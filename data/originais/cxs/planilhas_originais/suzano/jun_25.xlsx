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SUZANO/CAIXA/"/>
    </mc:Choice>
  </mc:AlternateContent>
  <xr:revisionPtr revIDLastSave="2455" documentId="8_{12C18059-FE5C-475C-9FA2-C1B4E0570756}" xr6:coauthVersionLast="47" xr6:coauthVersionMax="47" xr10:uidLastSave="{B1B3E84D-4A10-4441-AE2D-A3FF1573CA16}"/>
  <bookViews>
    <workbookView xWindow="-120" yWindow="-120" windowWidth="20730" windowHeight="11310" tabRatio="883" activeTab="4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_OS" sheetId="201" state="hidden" r:id="rId33"/>
    <sheet name="base" sheetId="36" state="hidden" r:id="rId34"/>
  </sheets>
  <definedNames>
    <definedName name="_xlnm.Print_Area" localSheetId="2">'02'!$A$1:$M$41</definedName>
    <definedName name="_xlnm.Print_Area" localSheetId="5">'05'!$A$1:$M$41</definedName>
    <definedName name="_xlnm.Print_Area" localSheetId="7">'07'!$A$1:$M$41</definedName>
    <definedName name="_xlnm.Print_Area" localSheetId="9">'09'!$A$1:$M$42</definedName>
    <definedName name="_xlnm.Print_Area" localSheetId="18">'18'!$A$1:$M$41</definedName>
    <definedName name="_xlnm.Print_Area" localSheetId="19">'19'!$A$1:$M$41</definedName>
    <definedName name="_xlnm.Print_Area" localSheetId="30">'30'!$A$1:$M$41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77" l="1"/>
  <c r="C13" i="177"/>
  <c r="C14" i="177"/>
  <c r="C15" i="177"/>
  <c r="C11" i="177"/>
  <c r="C11" i="173" l="1"/>
  <c r="C12" i="173"/>
  <c r="C13" i="173"/>
  <c r="C14" i="173"/>
  <c r="C15" i="173"/>
  <c r="C6" i="200" l="1"/>
  <c r="C6" i="178"/>
  <c r="C6" i="179"/>
  <c r="C6" i="187"/>
  <c r="C6" i="191"/>
  <c r="C6" i="192"/>
  <c r="C6" i="198"/>
  <c r="C12" i="170"/>
  <c r="C13" i="170"/>
  <c r="C14" i="170"/>
  <c r="C15" i="170"/>
  <c r="C11" i="170"/>
  <c r="C12" i="188"/>
  <c r="C13" i="188"/>
  <c r="C14" i="188"/>
  <c r="C15" i="188"/>
  <c r="C11" i="188"/>
  <c r="C12" i="178"/>
  <c r="C13" i="178"/>
  <c r="C14" i="178"/>
  <c r="C15" i="178"/>
  <c r="C11" i="178"/>
  <c r="R20" i="175" l="1"/>
  <c r="R19" i="175"/>
  <c r="C19" i="175"/>
  <c r="C20" i="175" s="1"/>
  <c r="B19" i="175"/>
  <c r="R18" i="175"/>
  <c r="R17" i="175"/>
  <c r="R16" i="175"/>
  <c r="R15" i="175"/>
  <c r="C15" i="175"/>
  <c r="R14" i="175"/>
  <c r="C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5" i="175"/>
  <c r="C22" i="175" s="1"/>
  <c r="C12" i="174"/>
  <c r="C13" i="174"/>
  <c r="C14" i="174"/>
  <c r="C15" i="174"/>
  <c r="C12" i="172"/>
  <c r="C13" i="172"/>
  <c r="C14" i="172"/>
  <c r="C15" i="172"/>
  <c r="C12" i="171"/>
  <c r="C13" i="171"/>
  <c r="C14" i="171"/>
  <c r="C15" i="171"/>
  <c r="C12" i="103"/>
  <c r="C13" i="103"/>
  <c r="C14" i="103"/>
  <c r="C15" i="103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1" i="174"/>
  <c r="C11" i="172"/>
  <c r="C11" i="171"/>
  <c r="C11" i="103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93"/>
  <c r="C11" i="195"/>
  <c r="C11" i="194"/>
  <c r="C11" i="197"/>
  <c r="C11" i="196"/>
  <c r="C11" i="192"/>
  <c r="C11" i="199"/>
  <c r="C11" i="198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A17" i="200"/>
  <c r="C5" i="174"/>
  <c r="C22" i="174" s="1"/>
  <c r="C5" i="173"/>
  <c r="C22" i="173" s="1"/>
  <c r="C5" i="172"/>
  <c r="C22" i="172" s="1"/>
  <c r="C5" i="171"/>
  <c r="C22" i="171" s="1"/>
  <c r="C5" i="170"/>
  <c r="C22" i="170" s="1"/>
  <c r="C5" i="103"/>
  <c r="C5" i="178"/>
  <c r="C22" i="178" s="1"/>
  <c r="C5" i="177"/>
  <c r="C22" i="177" s="1"/>
  <c r="C5" i="176"/>
  <c r="C22" i="176" s="1"/>
  <c r="C5" i="180"/>
  <c r="C22" i="180" s="1"/>
  <c r="C5" i="182"/>
  <c r="C22" i="182" s="1"/>
  <c r="C5" i="183"/>
  <c r="C22" i="183" s="1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22" i="189" s="1"/>
  <c r="C5" i="190"/>
  <c r="C22" i="190" s="1"/>
  <c r="C5" i="191"/>
  <c r="C22" i="191" s="1"/>
  <c r="C5" i="188"/>
  <c r="C22" i="188" s="1"/>
  <c r="C5" i="193"/>
  <c r="C22" i="193" s="1"/>
  <c r="C5" i="195"/>
  <c r="C22" i="195" s="1"/>
  <c r="C5" i="194"/>
  <c r="C22" i="194" s="1"/>
  <c r="C5" i="197"/>
  <c r="C22" i="197" s="1"/>
  <c r="C5" i="196"/>
  <c r="C22" i="196" s="1"/>
  <c r="C5" i="192"/>
  <c r="C22" i="192" s="1"/>
  <c r="C5" i="199"/>
  <c r="C22" i="199" s="1"/>
  <c r="C5" i="198"/>
  <c r="C22" i="198" s="1"/>
  <c r="C8" i="179"/>
  <c r="C8" i="187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C8" i="192" l="1"/>
  <c r="R40" i="194"/>
  <c r="R40" i="190"/>
  <c r="R40" i="183"/>
  <c r="R40" i="192"/>
  <c r="R40" i="196"/>
  <c r="C8" i="191"/>
  <c r="R40" i="198"/>
  <c r="B17" i="200"/>
  <c r="B18" i="200" s="1"/>
  <c r="R40" i="187"/>
  <c r="R40" i="189"/>
  <c r="R40" i="191"/>
  <c r="R40" i="193"/>
  <c r="R40" i="195"/>
  <c r="R40" i="180"/>
  <c r="R40" i="185"/>
  <c r="R40" i="186"/>
  <c r="R40" i="188"/>
  <c r="R40" i="197"/>
  <c r="R40" i="199"/>
  <c r="C16" i="170"/>
  <c r="R40" i="170"/>
  <c r="C16" i="175"/>
  <c r="R40" i="175"/>
  <c r="R40" i="184"/>
  <c r="R40" i="179"/>
  <c r="R40" i="177"/>
  <c r="R40" i="178"/>
  <c r="R40" i="172"/>
  <c r="R40" i="173"/>
  <c r="R40" i="174"/>
  <c r="R40" i="181"/>
  <c r="R40" i="182"/>
  <c r="R40" i="176"/>
  <c r="C16" i="171"/>
  <c r="R40" i="171"/>
  <c r="B13" i="200"/>
  <c r="B5" i="200"/>
  <c r="B11" i="200"/>
  <c r="B10" i="200"/>
  <c r="B9" i="200"/>
  <c r="B3" i="200"/>
  <c r="B12" i="200"/>
  <c r="C16" i="196"/>
  <c r="C16" i="189"/>
  <c r="C16" i="188"/>
  <c r="C16" i="185"/>
  <c r="C8" i="178"/>
  <c r="C8" i="198"/>
  <c r="C16" i="198"/>
  <c r="O11" i="198" s="1"/>
  <c r="C16" i="199"/>
  <c r="C16" i="192"/>
  <c r="O11" i="192" s="1"/>
  <c r="C16" i="197"/>
  <c r="C16" i="194"/>
  <c r="C16" i="195"/>
  <c r="C6" i="195" s="1"/>
  <c r="C16" i="193"/>
  <c r="C16" i="191"/>
  <c r="O11" i="191" s="1"/>
  <c r="C16" i="190"/>
  <c r="C16" i="187"/>
  <c r="O11" i="187" s="1"/>
  <c r="C16" i="186"/>
  <c r="C16" i="184"/>
  <c r="C16" i="179"/>
  <c r="O11" i="179" s="1"/>
  <c r="C16" i="181"/>
  <c r="C16" i="183"/>
  <c r="C16" i="182"/>
  <c r="C16" i="180"/>
  <c r="C16" i="176"/>
  <c r="C16" i="177"/>
  <c r="C16" i="178"/>
  <c r="O11" i="178" s="1"/>
  <c r="C16" i="172"/>
  <c r="C16" i="173"/>
  <c r="C16" i="174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O11" i="199" l="1"/>
  <c r="C6" i="199"/>
  <c r="C8" i="199" s="1"/>
  <c r="O11" i="196"/>
  <c r="C6" i="196"/>
  <c r="C8" i="196" s="1"/>
  <c r="O11" i="197"/>
  <c r="C6" i="197"/>
  <c r="C8" i="197" s="1"/>
  <c r="O11" i="194"/>
  <c r="C6" i="194"/>
  <c r="C8" i="194" s="1"/>
  <c r="O11" i="193"/>
  <c r="C6" i="193"/>
  <c r="C8" i="193" s="1"/>
  <c r="O11" i="190"/>
  <c r="C6" i="190"/>
  <c r="C8" i="190" s="1"/>
  <c r="O11" i="189"/>
  <c r="C6" i="189"/>
  <c r="C8" i="189" s="1"/>
  <c r="O11" i="186"/>
  <c r="C6" i="186"/>
  <c r="C8" i="186" s="1"/>
  <c r="O11" i="185"/>
  <c r="C6" i="185"/>
  <c r="C8" i="185" s="1"/>
  <c r="O11" i="184"/>
  <c r="C6" i="184"/>
  <c r="C8" i="184" s="1"/>
  <c r="O11" i="181"/>
  <c r="C6" i="181"/>
  <c r="C8" i="181" s="1"/>
  <c r="O11" i="183"/>
  <c r="C6" i="183"/>
  <c r="C8" i="183" s="1"/>
  <c r="O11" i="182"/>
  <c r="C6" i="182"/>
  <c r="C8" i="182" s="1"/>
  <c r="O11" i="176"/>
  <c r="C6" i="176"/>
  <c r="C8" i="176" s="1"/>
  <c r="O11" i="180"/>
  <c r="C6" i="180"/>
  <c r="C8" i="180" s="1"/>
  <c r="O11" i="177"/>
  <c r="C6" i="177"/>
  <c r="C8" i="177" s="1"/>
  <c r="O11" i="170"/>
  <c r="C6" i="170"/>
  <c r="C8" i="170" s="1"/>
  <c r="O11" i="171"/>
  <c r="C6" i="171"/>
  <c r="C8" i="171" s="1"/>
  <c r="O11" i="172"/>
  <c r="C6" i="172"/>
  <c r="C8" i="172" s="1"/>
  <c r="O11" i="173"/>
  <c r="C6" i="173"/>
  <c r="C8" i="173" s="1"/>
  <c r="O11" i="174"/>
  <c r="C6" i="174"/>
  <c r="C8" i="174" s="1"/>
  <c r="O11" i="188"/>
  <c r="C6" i="188"/>
  <c r="C8" i="188" s="1"/>
  <c r="O11" i="175"/>
  <c r="C6" i="175"/>
  <c r="C8" i="175" s="1"/>
  <c r="O11" i="195"/>
  <c r="B14" i="200"/>
  <c r="C16" i="103"/>
  <c r="R40" i="103"/>
  <c r="O11" i="103" l="1"/>
  <c r="C6" i="103"/>
  <c r="C8" i="103" s="1"/>
  <c r="C8" i="195"/>
  <c r="B1" i="174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4" i="200" l="1"/>
  <c r="B6" i="200" s="1"/>
  <c r="B1" i="179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</calcChain>
</file>

<file path=xl/sharedStrings.xml><?xml version="1.0" encoding="utf-8"?>
<sst xmlns="http://schemas.openxmlformats.org/spreadsheetml/2006/main" count="2689" uniqueCount="373">
  <si>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</si>
  <si>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</si>
  <si>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</si>
  <si>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</si>
  <si>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</si>
  <si>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</si>
  <si>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</si>
  <si>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</si>
  <si>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</si>
  <si>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</si>
  <si>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</si>
  <si>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</si>
  <si>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</si>
  <si>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</si>
  <si>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</si>
  <si>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</si>
  <si>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</si>
  <si>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</si>
  <si>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</si>
  <si>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</si>
  <si>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</si>
  <si>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</si>
  <si>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</t>
  </si>
  <si>
    <t>Vendedor</t>
  </si>
  <si>
    <t>CARNE</t>
  </si>
  <si>
    <t>Venda</t>
  </si>
  <si>
    <t>Valor Parcela</t>
  </si>
  <si>
    <t>Nº Parcela</t>
  </si>
  <si>
    <t>Parcelas</t>
  </si>
  <si>
    <t>Valor Total</t>
  </si>
  <si>
    <t>PARC. 2/3</t>
  </si>
  <si>
    <t>PARC. 2/8</t>
  </si>
  <si>
    <t>PARC. 1/7</t>
  </si>
  <si>
    <t>Total de OS</t>
  </si>
  <si>
    <t>PARC. 5/8</t>
  </si>
  <si>
    <t>PARC. 1/5</t>
  </si>
  <si>
    <t>GARANTIA</t>
  </si>
  <si>
    <t>PARC. 4/7</t>
  </si>
  <si>
    <t>PARC. 1/6</t>
  </si>
  <si>
    <t>PARC. 7/8</t>
  </si>
  <si>
    <t>PARC. 5/7</t>
  </si>
  <si>
    <t>PARC. 3/6</t>
  </si>
  <si>
    <t>PARC. 1/1</t>
  </si>
  <si>
    <t>PARC. 3/5</t>
  </si>
  <si>
    <t>PARC. 5/5</t>
  </si>
  <si>
    <t>PARC. 3/7</t>
  </si>
  <si>
    <t>SS</t>
  </si>
  <si>
    <t>PARC. 8/8</t>
  </si>
  <si>
    <t>PARC. 1/4</t>
  </si>
  <si>
    <t>PARC. 2/5</t>
  </si>
  <si>
    <t>PARC. 2/6</t>
  </si>
  <si>
    <t>PARC. 2/7</t>
  </si>
  <si>
    <t>PARC. 6/8</t>
  </si>
  <si>
    <t>PARC. 4/8</t>
  </si>
  <si>
    <t xml:space="preserve"> </t>
  </si>
  <si>
    <t>PARC. 6/6</t>
  </si>
  <si>
    <t>PARC. 6/7</t>
  </si>
  <si>
    <t>PARC. 7/7</t>
  </si>
  <si>
    <t>Tipo Pagto</t>
  </si>
  <si>
    <t>descricao</t>
  </si>
  <si>
    <t xml:space="preserve">Parcelas </t>
  </si>
  <si>
    <t>Dinheiro</t>
  </si>
  <si>
    <t>Cartão Débito</t>
  </si>
  <si>
    <t>PARC. 1/2</t>
  </si>
  <si>
    <t>Cartão Crédito</t>
  </si>
  <si>
    <t>PARC. 2/2</t>
  </si>
  <si>
    <t>PARC. 1/3</t>
  </si>
  <si>
    <t>Sem Sinal</t>
  </si>
  <si>
    <t>PARC. 3/3</t>
  </si>
  <si>
    <t xml:space="preserve">Carne </t>
  </si>
  <si>
    <t>Todas as Garantias</t>
  </si>
  <si>
    <t>PARC. 2/4</t>
  </si>
  <si>
    <t>PARC. 3/4</t>
  </si>
  <si>
    <t>PARC. 4/4</t>
  </si>
  <si>
    <t>PARC. 4/5</t>
  </si>
  <si>
    <t>PARC. 4/6</t>
  </si>
  <si>
    <t>PARC. 5/6</t>
  </si>
  <si>
    <t>PARC. 1/8</t>
  </si>
  <si>
    <t>PARC. 3/8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</si>
  <si>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</si>
  <si>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</si>
  <si>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</si>
  <si>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</si>
  <si>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</si>
  <si>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</si>
  <si>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</si>
  <si>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</si>
  <si>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</si>
  <si>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</si>
  <si>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</si>
  <si>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</si>
  <si>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</si>
  <si>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</si>
  <si>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</si>
  <si>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</si>
  <si>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</si>
  <si>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</si>
  <si>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</si>
  <si>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</si>
  <si>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</si>
  <si>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</si>
  <si>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</si>
  <si>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</si>
  <si>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</si>
  <si>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</si>
  <si>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</si>
  <si>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</si>
  <si>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</si>
  <si>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</si>
  <si>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</si>
  <si>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</si>
  <si>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</si>
  <si>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</si>
  <si>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</si>
  <si>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</si>
  <si>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</si>
  <si>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</si>
  <si>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</si>
  <si>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</si>
  <si>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</si>
  <si>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</si>
  <si>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 xml:space="preserve">        </t>
  </si>
  <si>
    <t>Colaboradores</t>
  </si>
  <si>
    <t>ROGÉRIO</t>
  </si>
  <si>
    <t>JOCY</t>
  </si>
  <si>
    <t>MARIA</t>
  </si>
  <si>
    <t>WEVILLY</t>
  </si>
  <si>
    <t>BETH</t>
  </si>
  <si>
    <t>ARIANI</t>
  </si>
  <si>
    <t>ROSÂNGELA</t>
  </si>
  <si>
    <t>TATY</t>
  </si>
  <si>
    <t>LARISSA</t>
  </si>
  <si>
    <t>ERIKA</t>
  </si>
  <si>
    <t>LUANA</t>
  </si>
  <si>
    <t>FELIPE</t>
  </si>
  <si>
    <t>OSs Mauá</t>
  </si>
  <si>
    <t>VENDAS</t>
  </si>
  <si>
    <t>DESPESAS</t>
  </si>
  <si>
    <t>RESTANTE DE ENTRADA</t>
  </si>
  <si>
    <t xml:space="preserve">RECEBIMENTO DE CARNÊ </t>
  </si>
  <si>
    <t xml:space="preserve">ENTREGA DE CARNÊ </t>
  </si>
  <si>
    <t>OS's ENTREGUES NO DIA</t>
  </si>
  <si>
    <t>RECEBIMENTO DE CARNÊ</t>
  </si>
  <si>
    <t>suzano 1</t>
  </si>
  <si>
    <t>,</t>
  </si>
  <si>
    <t xml:space="preserve">PÃO </t>
  </si>
  <si>
    <t>Não</t>
  </si>
  <si>
    <t xml:space="preserve">MOYSES CHAHADE </t>
  </si>
  <si>
    <t>RAIMUNDO FRANCISCO DE SOUZA</t>
  </si>
  <si>
    <t>RAISSA MILENA SIQUEIRA DA SILVA</t>
  </si>
  <si>
    <t>RITA DE CÁSSIA ALVES DE SOUZA</t>
  </si>
  <si>
    <t>RAIMUNDO AMARAL DOS SANTOS</t>
  </si>
  <si>
    <t>ANFRISIO FERREIRA DA SILVA</t>
  </si>
  <si>
    <t>ANA CAROLINY DE ALMEIDA</t>
  </si>
  <si>
    <t>ANTONIO AMORIM</t>
  </si>
  <si>
    <t>LETICIA FERREIRA DE NOVAES</t>
  </si>
  <si>
    <t>ZILDA CAMPOS</t>
  </si>
  <si>
    <t>DENAIDE SOUZA</t>
  </si>
  <si>
    <t>ELLEN PEREIRA DE ARAUJO DE MOURA</t>
  </si>
  <si>
    <t>DENAILDE SOUZA DE ALMEIDA</t>
  </si>
  <si>
    <t>CLAUDEMIR DE OLIVEIRA</t>
  </si>
  <si>
    <t>PÃO</t>
  </si>
  <si>
    <t>Sim</t>
  </si>
  <si>
    <t xml:space="preserve">PAULO ROBERTO DO NASCIMENTO </t>
  </si>
  <si>
    <t>RAIMUNDO FRANCISCO DE SOUSA</t>
  </si>
  <si>
    <t xml:space="preserve">ROSELI JUSTINIANO ESCALANTE </t>
  </si>
  <si>
    <t>MARTA ROCHA ABACE</t>
  </si>
  <si>
    <t>GENILDA SPARES DE LIMA</t>
  </si>
  <si>
    <t xml:space="preserve">LEILA PRESTELO DOS SANTOS </t>
  </si>
  <si>
    <t>LAURA FERREIRA DE CASTRO</t>
  </si>
  <si>
    <t>ANISIA RODRIGUES DE SOUZA</t>
  </si>
  <si>
    <t>CECILIA BOAVENTURA SUZARTE</t>
  </si>
  <si>
    <t xml:space="preserve">BENEDITA CANDIDA DOS SANTOS </t>
  </si>
  <si>
    <t>GILBERTOS DOS SANTOS OLIVEIRA</t>
  </si>
  <si>
    <t xml:space="preserve">CLAUDEMIR DE OLIVEIRA </t>
  </si>
  <si>
    <t>LUCIANO JOSE DA SILVA</t>
  </si>
  <si>
    <t>RITA DE CASSIA DE SOUZA FREITAS</t>
  </si>
  <si>
    <t>ELIANE PEDROSO ALVES DA SILVA</t>
  </si>
  <si>
    <t xml:space="preserve">JANDYRA BISSACO </t>
  </si>
  <si>
    <t>NÃO</t>
  </si>
  <si>
    <t>MARGARIDA OLIVEIRA</t>
  </si>
  <si>
    <t>SUELI PEREIRA</t>
  </si>
  <si>
    <t>APRIGIO ALVES MACEDO</t>
  </si>
  <si>
    <t xml:space="preserve">SIMONE IGNÁCIO </t>
  </si>
  <si>
    <t xml:space="preserve">ELÁDIO JULIO DE OLIVEIRA </t>
  </si>
  <si>
    <t>KETELLYN ARAUJO DE OLIVEIRA</t>
  </si>
  <si>
    <t>RAQUEL DIOGO ROSA</t>
  </si>
  <si>
    <t>MARIA HELENICE</t>
  </si>
  <si>
    <t>AIRTON TAVARES DA SILVA</t>
  </si>
  <si>
    <t>ANA LUCIA DA SILVA</t>
  </si>
  <si>
    <t>EDILSON DA CONCEIÇÃO DELGADO</t>
  </si>
  <si>
    <t>MARTA VAZ DA SILVA</t>
  </si>
  <si>
    <t xml:space="preserve">IVONE SILVA </t>
  </si>
  <si>
    <t>CAFÉ</t>
  </si>
  <si>
    <t>GILMAR LOPES MARINHO</t>
  </si>
  <si>
    <t>SIMONE IGNACIO</t>
  </si>
  <si>
    <t>RODRIGO BISPO RAMOS</t>
  </si>
  <si>
    <t>RICARDO CAMPANI PERIS BASTOS</t>
  </si>
  <si>
    <t>MOYSES CHAHADE FILHO</t>
  </si>
  <si>
    <t>IRANDI BOAVENTURA SUZARTE</t>
  </si>
  <si>
    <t>HISAO KOBA</t>
  </si>
  <si>
    <t>ULISSES ROBERTO DOS SANTOS</t>
  </si>
  <si>
    <t>MARCOS VIANA BARBOSA</t>
  </si>
  <si>
    <t>EVELYN DE ALMEIDA SILVA</t>
  </si>
  <si>
    <t>FERNANDO DE ANDRADE</t>
  </si>
  <si>
    <t>MARIA AUXILIADORA ALVES SILVA</t>
  </si>
  <si>
    <t>ROBERTO MARCOS BARBOSA</t>
  </si>
  <si>
    <t>VALDEMICE BATISTA DOS SANTOS</t>
  </si>
  <si>
    <t>VINICIUS AUGUSTO GOMES</t>
  </si>
  <si>
    <t>DEPÓSITO</t>
  </si>
  <si>
    <t>VANDERLEIA NASCIMENTO PALADINO</t>
  </si>
  <si>
    <t>GUDE SUDARI</t>
  </si>
  <si>
    <t>TATIANA SANTOS OLIVEIRA</t>
  </si>
  <si>
    <t>AUZILENE LIMA PEREIRA</t>
  </si>
  <si>
    <t xml:space="preserve">CRISTIANE DA SILVA GOMES </t>
  </si>
  <si>
    <t>JAILSON XAVIER COSTA</t>
  </si>
  <si>
    <t xml:space="preserve">MARINALVA FERREIRA VIEIRA </t>
  </si>
  <si>
    <t>RENATA DE OLIVEIRA COELHO RAMOS</t>
  </si>
  <si>
    <t>ANA FLAVIA FERREIRA DE CASTRO</t>
  </si>
  <si>
    <t>MARCIA REGINA TEIXEIRA</t>
  </si>
  <si>
    <t>MARCIA FERREIRA DE SOUZA</t>
  </si>
  <si>
    <t>JOÃO PEDRO NASCIMENTO DA SILVA</t>
  </si>
  <si>
    <t>FERNANDA TIEMI YOSHIMOTO</t>
  </si>
  <si>
    <t xml:space="preserve">ANA FLAVIA FERREIRA DE CASTRO </t>
  </si>
  <si>
    <t>GERALDA CELINA ZATTI</t>
  </si>
  <si>
    <t>GLÓRIA NUNES</t>
  </si>
  <si>
    <t>OLGA ALAMEDA SOARES</t>
  </si>
  <si>
    <t>MARIA NEUZA SANTOS</t>
  </si>
  <si>
    <t>FLAVIA DE OLIVEIRA BARROS</t>
  </si>
  <si>
    <t>PAULA GOMES SANTANA</t>
  </si>
  <si>
    <t>PEDRO ALVES</t>
  </si>
  <si>
    <t>THIAGO VINICIUS  ANDRADE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</si>
  <si>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</si>
  <si>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AMAURI JOSÉ DA SILVA</t>
  </si>
  <si>
    <t>CAMILA DAIANE RESENDE</t>
  </si>
  <si>
    <t xml:space="preserve">MARIA DAS GRAÇAS ALCANTARA </t>
  </si>
  <si>
    <t>simone maria da silva</t>
  </si>
  <si>
    <t>maria sandra da silva dias</t>
  </si>
  <si>
    <t xml:space="preserve">maria messias barros dos santos </t>
  </si>
  <si>
    <t xml:space="preserve">sandra fernandes </t>
  </si>
  <si>
    <t xml:space="preserve">waldete alves dos santos </t>
  </si>
  <si>
    <t>erica da silva barbosa</t>
  </si>
  <si>
    <t>marcio henrique ferreira</t>
  </si>
  <si>
    <t>eduardo adriano da silva</t>
  </si>
  <si>
    <t>DEVANI SANTANA DIAS</t>
  </si>
  <si>
    <t>KATIA DE OLIVEIRA MOURA</t>
  </si>
  <si>
    <t>GENI CARLOS RANGEL</t>
  </si>
  <si>
    <t>MOYSES CHAHADE</t>
  </si>
  <si>
    <t>SANDRA FERNANDES</t>
  </si>
  <si>
    <t xml:space="preserve">RICARDO CAMPANI </t>
  </si>
  <si>
    <t>Depósito bancário: Junior</t>
  </si>
  <si>
    <t>MANTEIGA</t>
  </si>
  <si>
    <t xml:space="preserve">FRANCISCO DA CONCEIÇÃO </t>
  </si>
  <si>
    <t>ILZA DE MESSIAS DE OLIVEIRA</t>
  </si>
  <si>
    <t>ANTÔNIO CASTILHO FILHO</t>
  </si>
  <si>
    <t xml:space="preserve">QUEREN SANTOS DE MELLO </t>
  </si>
  <si>
    <t>AGNALDO SANTOS FILHO</t>
  </si>
  <si>
    <t>ANA LUCIA CUSTODIO D SILVA</t>
  </si>
  <si>
    <t>BENEDITO DE OLIVEIRA</t>
  </si>
  <si>
    <t>ALINE CALIXTO BALBINO</t>
  </si>
  <si>
    <t>SOLANGE MARIA OLIVEIRA DE ALMEIDA</t>
  </si>
  <si>
    <t>BARBARA DE PAES SIMPLICIO</t>
  </si>
  <si>
    <t>MARIA APARECIDA DA SILVA</t>
  </si>
  <si>
    <t>ANGEL  FERNANDO BELLINI</t>
  </si>
  <si>
    <t>JOELMA MARIA DOS SANTOS</t>
  </si>
  <si>
    <t xml:space="preserve"> AMAURI JOSÉ DA SILVA</t>
  </si>
  <si>
    <t>MARIA ROSANA DA SILVA</t>
  </si>
  <si>
    <t xml:space="preserve">LUIZ RAMOS </t>
  </si>
  <si>
    <t>CAMILY FIASQUI</t>
  </si>
  <si>
    <t>MARIA REGINA TEIXEIRA</t>
  </si>
  <si>
    <t>CAMILA NONATO SALES</t>
  </si>
  <si>
    <t xml:space="preserve">MANOEL TALES DE MENEZES LIMA </t>
  </si>
  <si>
    <t>SILVANA REGIANE FERREIRA VIEIRA BARROS</t>
  </si>
  <si>
    <t>JOÃO ALVES DE MEDEIROS</t>
  </si>
  <si>
    <t>HERMELINDA MARIA DE CARVALHO</t>
  </si>
  <si>
    <t>LUIZ RAMOS</t>
  </si>
  <si>
    <t xml:space="preserve">solange aparecida dos santos </t>
  </si>
  <si>
    <t xml:space="preserve">ana lucia da paz oliveira </t>
  </si>
  <si>
    <t>ANA LUCIA PAZ OLIVEIRA COELHO</t>
  </si>
  <si>
    <t>ANA LUCIA DA PAZ OLIVEIRA (ELVIS)</t>
  </si>
  <si>
    <t>KARINA DE MEDEIROS CIRILO</t>
  </si>
  <si>
    <t>ANA LUCIA DA PAZ OLIVEIRA</t>
  </si>
  <si>
    <t>RICARDO HENRIQUE S. DA SILVA</t>
  </si>
  <si>
    <t>RAISSA MILENE SIQUEIRA DA SILVA</t>
  </si>
  <si>
    <t xml:space="preserve">ANA PAULA RAMOS NOGUEIRA </t>
  </si>
  <si>
    <t>JHONATAN GOMES VIERA</t>
  </si>
  <si>
    <t>MARIA ANSELMA VIEIRA DA SILVA</t>
  </si>
  <si>
    <t>CRISTIANE DE FREITAS</t>
  </si>
  <si>
    <t>PATRICIA VICTORINO</t>
  </si>
  <si>
    <t>PATRICIA VICTORINO (WILLIAN)</t>
  </si>
  <si>
    <t>ROBERTO</t>
  </si>
  <si>
    <t>RAQUEL PIRES DA SILVA</t>
  </si>
  <si>
    <t>ROGÉRIO FAUSTINO DA SILVA</t>
  </si>
  <si>
    <t>DOUGLAS GOMES DE SOUSA</t>
  </si>
  <si>
    <t>FERNANDO DE OLIVEIRA SANTOS</t>
  </si>
  <si>
    <t>KELLY YURI UEDA</t>
  </si>
  <si>
    <t>CLAUDIA SANTIAGO VIEIRA ENRIQUE</t>
  </si>
  <si>
    <t xml:space="preserve">         </t>
  </si>
  <si>
    <t>SARA ROCHA DE JESUS</t>
  </si>
  <si>
    <t>GILBERTO DE ALMEIDA</t>
  </si>
  <si>
    <t>ELZA THEREZINHA DE SOUZA SANTOS DOS REIS</t>
  </si>
  <si>
    <t>MOISES MARTINS (CÉLIA)</t>
  </si>
  <si>
    <t xml:space="preserve">MOISES MARTINS </t>
  </si>
  <si>
    <t>MARIA VALDETE ANDRADE MELO</t>
  </si>
  <si>
    <t>BENEDITA CANDIDA DOS SANTOS QUINTELA</t>
  </si>
  <si>
    <t>DEISE CRISTINA DOS SANTOS</t>
  </si>
  <si>
    <t>MARIA DE FATIMA SOARES</t>
  </si>
  <si>
    <t>CAUDIOMIDIO MARTINS</t>
  </si>
  <si>
    <t>VERALDA MOREIRA DE SANTANA</t>
  </si>
  <si>
    <t>NATALIA RAQUEL PEREIRA DE ARAUJO</t>
  </si>
  <si>
    <t>KELLY DOS SANTOS FARIA BARBOSA</t>
  </si>
  <si>
    <t>LUCIANO BITTENCOURT TEIXEIRA</t>
  </si>
  <si>
    <t>SOLANGE APARECIDA DOS SANTOS</t>
  </si>
  <si>
    <t>MARIA DAS GRAÇAS ALCANTARA</t>
  </si>
  <si>
    <t>DENIVALDO DA SILVA NASCIMENTO</t>
  </si>
  <si>
    <t>pix</t>
  </si>
  <si>
    <t>ELZA SILVEIRA BRASIL</t>
  </si>
  <si>
    <t xml:space="preserve">ALBERTO FUDIO </t>
  </si>
  <si>
    <t>MIRIÃ REBECA MIDORI</t>
  </si>
  <si>
    <t>JACOB FIRMINO NASCIMENTO</t>
  </si>
  <si>
    <t>ROGENVAL FARIA</t>
  </si>
  <si>
    <t>SIDILAINE APARECIDA DE PAULA</t>
  </si>
  <si>
    <t>Pix</t>
  </si>
  <si>
    <t>Ricieli SILVA ANDRADE</t>
  </si>
  <si>
    <t>ESDRAS AURELIANO DA SILVA</t>
  </si>
  <si>
    <t>MARIA DE FATIMA DE ALMEIDA</t>
  </si>
  <si>
    <t>ADRIANO RODRIGUES COSTA</t>
  </si>
  <si>
    <t>CLAUMIDIO MARTINS</t>
  </si>
  <si>
    <t>HELENA RODRIGUES PINTO</t>
  </si>
  <si>
    <t>JOÃO VICTOR DOS SANTOS</t>
  </si>
  <si>
    <t xml:space="preserve">IRACI LOPES DE LANA </t>
  </si>
  <si>
    <t>IVANA NOGUEIRA</t>
  </si>
  <si>
    <t>HELENA FREIRE ROCHA DA SILVA</t>
  </si>
  <si>
    <t>PATRICIA PAULINO DOS SANTOS</t>
  </si>
  <si>
    <t>KAREN SOARES DE JESUS</t>
  </si>
  <si>
    <t>Depósito: Junior</t>
  </si>
  <si>
    <t>REBECA VITÓRIA GINO DOS SANTOS</t>
  </si>
  <si>
    <t>MARIA DE FÁTIMA GOMES</t>
  </si>
  <si>
    <t>DINHEIRO</t>
  </si>
  <si>
    <t>FATIMA APARECIDA MENEZES</t>
  </si>
  <si>
    <t>ALAN SANTOS CARVALHO</t>
  </si>
  <si>
    <t>ALVARO RODRIGUES FLOR</t>
  </si>
  <si>
    <t xml:space="preserve">MESSIAS  ROSA DA SILVA </t>
  </si>
  <si>
    <t xml:space="preserve">ROSILEIDE BRITO RIBEIRO </t>
  </si>
  <si>
    <t xml:space="preserve">MARIA DE FATIMA DE ALMEIDA BEZERRA </t>
  </si>
  <si>
    <t xml:space="preserve">SILVANA REGIANE FERREIRA </t>
  </si>
  <si>
    <t xml:space="preserve">ANA PRISCILA DE OLIVEIRA </t>
  </si>
  <si>
    <t>CRISTIANE DA SILVA</t>
  </si>
  <si>
    <t>MARIA DE FATIMA GOMES</t>
  </si>
  <si>
    <t>ZELIADORA BENTO SOUZA</t>
  </si>
  <si>
    <t>SARAH QUENIA DE PAULA VASCONCELOS</t>
  </si>
  <si>
    <t>DENISE DASAN</t>
  </si>
  <si>
    <t>FRANCINEL AMORIM</t>
  </si>
  <si>
    <t>MARIA ELOINA ABEL</t>
  </si>
  <si>
    <t xml:space="preserve">MARGARIDA OLIVEIRA </t>
  </si>
  <si>
    <t xml:space="preserve">MARIA DE FATIMA </t>
  </si>
  <si>
    <t xml:space="preserve">DIEGO DA SILVA VIANA </t>
  </si>
  <si>
    <t>PÃO E MANTEIGA</t>
  </si>
  <si>
    <t>GABRIEL HENRIQUE</t>
  </si>
  <si>
    <t>JOSÉ LUIZ SANTOS</t>
  </si>
  <si>
    <t xml:space="preserve">MARIA CRISTINA DEOLINDO </t>
  </si>
  <si>
    <t xml:space="preserve">TALITA SANTOS LEÃO </t>
  </si>
  <si>
    <t>EMILSON DEOS SANTOS MENEZES</t>
  </si>
  <si>
    <t xml:space="preserve">GERALDA GONÇALVES CRISPIM </t>
  </si>
  <si>
    <t>KAYLLANE ANSELMO MARÇON</t>
  </si>
  <si>
    <t xml:space="preserve">GRAZIELE DOS SANTOS SOUZA </t>
  </si>
  <si>
    <t xml:space="preserve">SIMONE IGNACIO </t>
  </si>
  <si>
    <t>VALQUIRIA BATISTA FERNANDES</t>
  </si>
  <si>
    <t xml:space="preserve">SANDRA MARIA ALVES PASSOS </t>
  </si>
  <si>
    <t xml:space="preserve">ARILDSON RIBEIRO DE SOUZA </t>
  </si>
  <si>
    <t>MARCIO HENRIQUE FERREIRA</t>
  </si>
  <si>
    <t>Pão</t>
  </si>
  <si>
    <t xml:space="preserve">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</si>
</sst>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4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8"/>
      <name val="Arial"/>
      <family val="2"/>
    </font>
    <font>
      <sz val="22"/>
      <name val="Castellar"/>
      <family val="1"/>
    </font>
    <font>
      <u/>
      <sz val="22"/>
      <name val="Castellar"/>
      <family val="1"/>
    </font>
    <font>
      <b/>
      <sz val="18"/>
      <name val="Castellar"/>
      <family val="1"/>
    </font>
    <font>
      <b/>
      <sz val="14"/>
      <color theme="0"/>
      <name val="Candara Light"/>
      <family val="2"/>
    </font>
    <font>
      <b/>
      <sz val="11"/>
      <name val="Candara Light"/>
      <family val="2"/>
    </font>
    <font>
      <sz val="10"/>
      <name val="Candara Light"/>
      <family val="2"/>
    </font>
    <font>
      <b/>
      <sz val="11"/>
      <color theme="0"/>
      <name val="Century Gothic"/>
      <family val="2"/>
    </font>
    <font>
      <sz val="11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b/>
      <sz val="12"/>
      <color theme="0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4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0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8" fillId="0" borderId="0" applyNumberFormat="0" applyFill="0" applyBorder="0" applyAlignment="0" applyProtection="0">
      <alignment vertical="top"/>
      <protection locked="0"/>
    </xf>
    <xf numFmtId="0" fontId="19" fillId="2" borderId="0"/>
    <xf numFmtId="0" fontId="17" fillId="3" borderId="0"/>
    <xf numFmtId="0" fontId="15" fillId="0" borderId="0" applyNumberFormat="0" applyBorder="0" applyAlignment="0" applyProtection="0"/>
    <xf numFmtId="44" fontId="20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1" fillId="0" borderId="0"/>
    <xf numFmtId="0" fontId="22" fillId="0" borderId="0" applyNumberFormat="0" applyFill="0" applyBorder="0" applyAlignment="0" applyProtection="0"/>
    <xf numFmtId="0" fontId="23" fillId="4" borderId="14">
      <alignment horizontal="center" vertical="center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5" fillId="0" borderId="0" applyNumberFormat="0" applyBorder="0" applyAlignment="0" applyProtection="0"/>
    <xf numFmtId="44" fontId="20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4" fillId="0" borderId="15">
      <alignment horizontal="left" vertical="center" indent="2"/>
    </xf>
    <xf numFmtId="9" fontId="6" fillId="0" borderId="0" applyFont="0" applyFill="0" applyBorder="0" applyAlignment="0" applyProtection="0"/>
    <xf numFmtId="166" fontId="25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6" fillId="0" borderId="0" applyNumberFormat="0" applyFill="0" applyBorder="0" applyAlignment="0" applyProtection="0"/>
    <xf numFmtId="168" fontId="27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0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0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0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12">
    <xf numFmtId="0" fontId="0" fillId="0" borderId="0" xfId="0"/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6" fillId="0" borderId="0" xfId="0" applyFont="1" applyAlignment="1">
      <alignment horizontal="center" vertical="center"/>
    </xf>
    <xf numFmtId="165" fontId="12" fillId="0" borderId="6" xfId="0" applyNumberFormat="1" applyFont="1" applyBorder="1" applyAlignment="1">
      <alignment horizontal="center"/>
    </xf>
    <xf numFmtId="0" fontId="11" fillId="6" borderId="5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/>
    </xf>
    <xf numFmtId="165" fontId="12" fillId="5" borderId="11" xfId="0" applyNumberFormat="1" applyFont="1" applyFill="1" applyBorder="1" applyAlignment="1">
      <alignment horizontal="center"/>
    </xf>
    <xf numFmtId="0" fontId="13" fillId="7" borderId="6" xfId="0" applyFont="1" applyFill="1" applyBorder="1" applyAlignment="1">
      <alignment horizontal="center"/>
    </xf>
    <xf numFmtId="0" fontId="12" fillId="5" borderId="0" xfId="0" applyFont="1" applyFill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5" fillId="0" borderId="0" xfId="0" applyFont="1"/>
    <xf numFmtId="165" fontId="33" fillId="6" borderId="12" xfId="2" applyNumberFormat="1" applyFont="1" applyFill="1" applyBorder="1" applyAlignment="1" applyProtection="1">
      <alignment horizontal="center" vertical="center"/>
    </xf>
    <xf numFmtId="0" fontId="34" fillId="0" borderId="0" xfId="0" applyFont="1"/>
    <xf numFmtId="164" fontId="36" fillId="5" borderId="10" xfId="2" applyFont="1" applyFill="1" applyBorder="1" applyAlignment="1">
      <alignment horizontal="center"/>
    </xf>
    <xf numFmtId="164" fontId="36" fillId="5" borderId="13" xfId="2" applyFont="1" applyFill="1" applyBorder="1" applyAlignment="1">
      <alignment horizontal="center"/>
    </xf>
    <xf numFmtId="165" fontId="36" fillId="5" borderId="13" xfId="4" applyNumberFormat="1" applyFont="1" applyFill="1" applyBorder="1" applyAlignment="1">
      <alignment horizontal="center"/>
    </xf>
    <xf numFmtId="165" fontId="36" fillId="5" borderId="9" xfId="4" applyNumberFormat="1" applyFont="1" applyFill="1" applyBorder="1" applyAlignment="1">
      <alignment horizontal="center"/>
    </xf>
    <xf numFmtId="164" fontId="36" fillId="0" borderId="3" xfId="2" applyFont="1" applyFill="1" applyBorder="1" applyAlignment="1">
      <alignment horizontal="center"/>
    </xf>
    <xf numFmtId="165" fontId="36" fillId="0" borderId="3" xfId="4" applyNumberFormat="1" applyFont="1" applyFill="1" applyBorder="1" applyAlignment="1">
      <alignment horizontal="center"/>
    </xf>
    <xf numFmtId="165" fontId="36" fillId="5" borderId="10" xfId="0" applyNumberFormat="1" applyFont="1" applyFill="1" applyBorder="1" applyAlignment="1">
      <alignment horizontal="center"/>
    </xf>
    <xf numFmtId="165" fontId="36" fillId="5" borderId="13" xfId="0" applyNumberFormat="1" applyFont="1" applyFill="1" applyBorder="1" applyAlignment="1">
      <alignment horizontal="center"/>
    </xf>
    <xf numFmtId="165" fontId="36" fillId="5" borderId="9" xfId="0" applyNumberFormat="1" applyFont="1" applyFill="1" applyBorder="1" applyAlignment="1">
      <alignment horizontal="center"/>
    </xf>
    <xf numFmtId="0" fontId="38" fillId="6" borderId="5" xfId="0" applyFont="1" applyFill="1" applyBorder="1" applyAlignment="1">
      <alignment horizontal="center" vertical="center"/>
    </xf>
    <xf numFmtId="165" fontId="38" fillId="6" borderId="12" xfId="2" applyNumberFormat="1" applyFont="1" applyFill="1" applyBorder="1" applyAlignment="1">
      <alignment horizontal="center" vertical="center"/>
    </xf>
    <xf numFmtId="0" fontId="38" fillId="0" borderId="0" xfId="0" applyFont="1" applyAlignment="1">
      <alignment horizontal="center"/>
    </xf>
    <xf numFmtId="0" fontId="38" fillId="5" borderId="2" xfId="0" applyFont="1" applyFill="1" applyBorder="1" applyAlignment="1">
      <alignment horizontal="center"/>
    </xf>
    <xf numFmtId="165" fontId="38" fillId="5" borderId="11" xfId="0" applyNumberFormat="1" applyFont="1" applyFill="1" applyBorder="1" applyAlignment="1">
      <alignment horizontal="center"/>
    </xf>
    <xf numFmtId="0" fontId="36" fillId="0" borderId="0" xfId="0" applyFont="1" applyAlignment="1">
      <alignment horizontal="center"/>
    </xf>
    <xf numFmtId="0" fontId="39" fillId="7" borderId="6" xfId="0" applyFont="1" applyFill="1" applyBorder="1" applyAlignment="1">
      <alignment horizontal="center"/>
    </xf>
    <xf numFmtId="165" fontId="39" fillId="7" borderId="8" xfId="0" applyNumberFormat="1" applyFont="1" applyFill="1" applyBorder="1" applyAlignment="1">
      <alignment horizontal="center"/>
    </xf>
    <xf numFmtId="165" fontId="40" fillId="0" borderId="0" xfId="0" applyNumberFormat="1" applyFont="1" applyAlignment="1">
      <alignment horizontal="center"/>
    </xf>
    <xf numFmtId="164" fontId="39" fillId="7" borderId="6" xfId="2" applyFont="1" applyFill="1" applyBorder="1" applyAlignment="1">
      <alignment horizontal="center"/>
    </xf>
    <xf numFmtId="164" fontId="40" fillId="0" borderId="0" xfId="2" applyFont="1" applyFill="1" applyBorder="1" applyAlignment="1">
      <alignment horizontal="center"/>
    </xf>
    <xf numFmtId="165" fontId="40" fillId="0" borderId="11" xfId="4" applyNumberFormat="1" applyFont="1" applyFill="1" applyBorder="1" applyAlignment="1">
      <alignment horizontal="center"/>
    </xf>
    <xf numFmtId="165" fontId="40" fillId="0" borderId="0" xfId="4" applyNumberFormat="1" applyFont="1" applyFill="1" applyBorder="1" applyAlignment="1">
      <alignment horizontal="center"/>
    </xf>
    <xf numFmtId="0" fontId="40" fillId="0" borderId="0" xfId="0" applyFont="1" applyAlignment="1">
      <alignment horizontal="center"/>
    </xf>
    <xf numFmtId="165" fontId="40" fillId="0" borderId="17" xfId="4" applyNumberFormat="1" applyFont="1" applyFill="1" applyBorder="1" applyAlignment="1">
      <alignment horizontal="center"/>
    </xf>
    <xf numFmtId="0" fontId="37" fillId="0" borderId="3" xfId="0" applyFont="1" applyBorder="1" applyAlignment="1">
      <alignment horizontal="center"/>
    </xf>
    <xf numFmtId="165" fontId="40" fillId="0" borderId="13" xfId="0" applyNumberFormat="1" applyFont="1" applyBorder="1" applyAlignment="1">
      <alignment horizontal="center"/>
    </xf>
    <xf numFmtId="164" fontId="40" fillId="0" borderId="3" xfId="2" applyFont="1" applyFill="1" applyBorder="1" applyAlignment="1">
      <alignment horizontal="center"/>
    </xf>
    <xf numFmtId="165" fontId="40" fillId="0" borderId="3" xfId="4" applyNumberFormat="1" applyFont="1" applyFill="1" applyBorder="1" applyAlignment="1">
      <alignment horizontal="center"/>
    </xf>
    <xf numFmtId="165" fontId="40" fillId="0" borderId="6" xfId="0" applyNumberFormat="1" applyFont="1" applyBorder="1" applyAlignment="1">
      <alignment horizontal="center"/>
    </xf>
    <xf numFmtId="164" fontId="41" fillId="0" borderId="2" xfId="2" applyFont="1" applyFill="1" applyBorder="1" applyAlignment="1">
      <alignment horizontal="center"/>
    </xf>
    <xf numFmtId="164" fontId="41" fillId="0" borderId="0" xfId="2" applyFont="1" applyFill="1" applyBorder="1" applyAlignment="1">
      <alignment horizontal="center"/>
    </xf>
    <xf numFmtId="165" fontId="41" fillId="0" borderId="0" xfId="4" applyNumberFormat="1" applyFont="1" applyFill="1" applyBorder="1" applyAlignment="1">
      <alignment horizontal="center"/>
    </xf>
    <xf numFmtId="44" fontId="40" fillId="0" borderId="13" xfId="39" applyFont="1" applyFill="1" applyBorder="1" applyAlignment="1">
      <alignment horizontal="center"/>
    </xf>
    <xf numFmtId="165" fontId="40" fillId="0" borderId="13" xfId="4" applyNumberFormat="1" applyFont="1" applyFill="1" applyBorder="1" applyAlignment="1">
      <alignment horizontal="center"/>
    </xf>
    <xf numFmtId="44" fontId="40" fillId="0" borderId="17" xfId="39" applyFont="1" applyFill="1" applyBorder="1" applyAlignment="1">
      <alignment horizontal="center"/>
    </xf>
    <xf numFmtId="164" fontId="40" fillId="0" borderId="17" xfId="2" applyFont="1" applyFill="1" applyBorder="1" applyAlignment="1">
      <alignment horizontal="center"/>
    </xf>
    <xf numFmtId="164" fontId="40" fillId="0" borderId="0" xfId="2" applyFont="1" applyAlignment="1">
      <alignment horizontal="center"/>
    </xf>
    <xf numFmtId="165" fontId="40" fillId="0" borderId="0" xfId="4" applyNumberFormat="1" applyFont="1" applyAlignment="1">
      <alignment horizontal="center"/>
    </xf>
    <xf numFmtId="165" fontId="40" fillId="0" borderId="9" xfId="0" applyNumberFormat="1" applyFont="1" applyBorder="1" applyAlignment="1">
      <alignment horizontal="center"/>
    </xf>
    <xf numFmtId="0" fontId="41" fillId="0" borderId="0" xfId="0" applyFont="1"/>
    <xf numFmtId="0" fontId="40" fillId="0" borderId="0" xfId="0" applyFont="1"/>
    <xf numFmtId="164" fontId="39" fillId="7" borderId="6" xfId="2" applyFont="1" applyFill="1" applyBorder="1" applyAlignment="1" applyProtection="1">
      <alignment horizontal="center"/>
    </xf>
    <xf numFmtId="0" fontId="36" fillId="0" borderId="0" xfId="0" applyFont="1" applyAlignment="1">
      <alignment horizontal="center" vertical="center"/>
    </xf>
    <xf numFmtId="165" fontId="41" fillId="0" borderId="11" xfId="4" applyNumberFormat="1" applyFont="1" applyFill="1" applyBorder="1" applyAlignment="1">
      <alignment horizontal="center"/>
    </xf>
    <xf numFmtId="164" fontId="40" fillId="0" borderId="12" xfId="2" applyFont="1" applyFill="1" applyBorder="1" applyAlignment="1">
      <alignment horizontal="center"/>
    </xf>
    <xf numFmtId="0" fontId="40" fillId="0" borderId="2" xfId="0" applyFont="1" applyBorder="1"/>
    <xf numFmtId="0" fontId="41" fillId="0" borderId="2" xfId="0" applyFont="1" applyBorder="1"/>
    <xf numFmtId="0" fontId="41" fillId="0" borderId="11" xfId="0" applyFont="1" applyBorder="1"/>
    <xf numFmtId="0" fontId="40" fillId="0" borderId="11" xfId="0" applyFont="1" applyBorder="1"/>
    <xf numFmtId="0" fontId="40" fillId="0" borderId="19" xfId="0" applyFont="1" applyBorder="1"/>
    <xf numFmtId="165" fontId="38" fillId="5" borderId="3" xfId="0" applyNumberFormat="1" applyFont="1" applyFill="1" applyBorder="1" applyAlignment="1">
      <alignment horizontal="center"/>
    </xf>
    <xf numFmtId="165" fontId="38" fillId="5" borderId="19" xfId="0" applyNumberFormat="1" applyFont="1" applyFill="1" applyBorder="1" applyAlignment="1">
      <alignment horizontal="center"/>
    </xf>
    <xf numFmtId="0" fontId="38" fillId="0" borderId="2" xfId="0" applyFont="1" applyBorder="1" applyAlignment="1">
      <alignment horizontal="center"/>
    </xf>
    <xf numFmtId="164" fontId="38" fillId="5" borderId="11" xfId="2" applyFont="1" applyFill="1" applyBorder="1" applyAlignment="1">
      <alignment horizontal="center"/>
    </xf>
    <xf numFmtId="164" fontId="39" fillId="7" borderId="17" xfId="2" applyFont="1" applyFill="1" applyBorder="1" applyAlignment="1">
      <alignment horizontal="center"/>
    </xf>
    <xf numFmtId="164" fontId="41" fillId="5" borderId="11" xfId="2" applyFont="1" applyFill="1" applyBorder="1" applyAlignment="1">
      <alignment horizontal="center"/>
    </xf>
    <xf numFmtId="0" fontId="41" fillId="0" borderId="12" xfId="0" applyFont="1" applyBorder="1"/>
    <xf numFmtId="0" fontId="41" fillId="0" borderId="10" xfId="0" applyFont="1" applyBorder="1"/>
    <xf numFmtId="0" fontId="41" fillId="0" borderId="9" xfId="0" applyFont="1" applyBorder="1"/>
    <xf numFmtId="1" fontId="40" fillId="0" borderId="17" xfId="0" applyNumberFormat="1" applyFont="1" applyBorder="1" applyAlignment="1">
      <alignment horizontal="center"/>
    </xf>
    <xf numFmtId="0" fontId="40" fillId="0" borderId="17" xfId="0" applyFont="1" applyBorder="1" applyAlignment="1">
      <alignment horizontal="center"/>
    </xf>
    <xf numFmtId="1" fontId="40" fillId="0" borderId="3" xfId="0" applyNumberFormat="1" applyFont="1" applyBorder="1" applyAlignment="1">
      <alignment horizontal="center"/>
    </xf>
    <xf numFmtId="0" fontId="40" fillId="0" borderId="3" xfId="0" applyFont="1" applyBorder="1" applyAlignment="1">
      <alignment horizontal="center"/>
    </xf>
    <xf numFmtId="164" fontId="40" fillId="0" borderId="13" xfId="2" applyFont="1" applyFill="1" applyBorder="1" applyAlignment="1">
      <alignment horizontal="center"/>
    </xf>
    <xf numFmtId="1" fontId="40" fillId="0" borderId="17" xfId="2" applyNumberFormat="1" applyFont="1" applyFill="1" applyBorder="1" applyAlignment="1">
      <alignment horizontal="center"/>
    </xf>
    <xf numFmtId="1" fontId="40" fillId="0" borderId="3" xfId="2" applyNumberFormat="1" applyFont="1" applyBorder="1" applyAlignment="1">
      <alignment horizontal="center"/>
    </xf>
    <xf numFmtId="1" fontId="40" fillId="0" borderId="17" xfId="2" applyNumberFormat="1" applyFont="1" applyBorder="1" applyAlignment="1">
      <alignment horizontal="center"/>
    </xf>
    <xf numFmtId="1" fontId="40" fillId="5" borderId="10" xfId="2" applyNumberFormat="1" applyFont="1" applyFill="1" applyBorder="1" applyAlignment="1">
      <alignment horizontal="center"/>
    </xf>
    <xf numFmtId="164" fontId="40" fillId="5" borderId="10" xfId="2" applyFont="1" applyFill="1" applyBorder="1" applyAlignment="1">
      <alignment horizontal="center"/>
    </xf>
    <xf numFmtId="164" fontId="40" fillId="5" borderId="13" xfId="2" applyFont="1" applyFill="1" applyBorder="1" applyAlignment="1">
      <alignment horizontal="center"/>
    </xf>
    <xf numFmtId="165" fontId="40" fillId="5" borderId="13" xfId="4" applyNumberFormat="1" applyFont="1" applyFill="1" applyBorder="1" applyAlignment="1">
      <alignment horizontal="center"/>
    </xf>
    <xf numFmtId="165" fontId="40" fillId="5" borderId="9" xfId="4" applyNumberFormat="1" applyFont="1" applyFill="1" applyBorder="1" applyAlignment="1">
      <alignment horizontal="center"/>
    </xf>
    <xf numFmtId="1" fontId="40" fillId="0" borderId="3" xfId="2" applyNumberFormat="1" applyFont="1" applyFill="1" applyBorder="1" applyAlignment="1">
      <alignment horizontal="center"/>
    </xf>
    <xf numFmtId="165" fontId="40" fillId="0" borderId="17" xfId="0" applyNumberFormat="1" applyFont="1" applyBorder="1" applyAlignment="1">
      <alignment horizontal="center"/>
    </xf>
    <xf numFmtId="165" fontId="40" fillId="0" borderId="3" xfId="0" applyNumberFormat="1" applyFont="1" applyBorder="1" applyAlignment="1">
      <alignment horizontal="center"/>
    </xf>
    <xf numFmtId="164" fontId="0" fillId="5" borderId="11" xfId="2" applyFont="1" applyFill="1" applyBorder="1" applyAlignment="1">
      <alignment horizontal="center"/>
    </xf>
    <xf numFmtId="0" fontId="0" fillId="8" borderId="4" xfId="0" applyFill="1" applyBorder="1"/>
    <xf numFmtId="0" fontId="11" fillId="6" borderId="0" xfId="0" applyFont="1" applyFill="1" applyAlignment="1">
      <alignment horizontal="center" vertical="center"/>
    </xf>
    <xf numFmtId="0" fontId="38" fillId="6" borderId="0" xfId="0" applyFont="1" applyFill="1" applyAlignment="1">
      <alignment horizontal="center" vertical="center"/>
    </xf>
    <xf numFmtId="0" fontId="38" fillId="6" borderId="9" xfId="0" applyFont="1" applyFill="1" applyBorder="1" applyAlignment="1">
      <alignment horizontal="center" vertical="center"/>
    </xf>
    <xf numFmtId="0" fontId="29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14" fontId="29" fillId="0" borderId="18" xfId="0" applyNumberFormat="1" applyFont="1" applyBorder="1" applyAlignment="1">
      <alignment horizontal="center"/>
    </xf>
    <xf numFmtId="165" fontId="31" fillId="0" borderId="18" xfId="0" applyNumberFormat="1" applyFont="1" applyBorder="1" applyAlignment="1">
      <alignment horizontal="center"/>
    </xf>
    <xf numFmtId="0" fontId="35" fillId="7" borderId="19" xfId="0" applyFont="1" applyFill="1" applyBorder="1" applyAlignment="1">
      <alignment horizontal="center"/>
    </xf>
    <xf numFmtId="0" fontId="35" fillId="7" borderId="3" xfId="0" applyFont="1" applyFill="1" applyBorder="1" applyAlignment="1">
      <alignment horizontal="center"/>
    </xf>
    <xf numFmtId="165" fontId="35" fillId="7" borderId="5" xfId="0" applyNumberFormat="1" applyFont="1" applyFill="1" applyBorder="1" applyAlignment="1">
      <alignment horizontal="center"/>
    </xf>
    <xf numFmtId="165" fontId="35" fillId="7" borderId="4" xfId="0" applyNumberFormat="1" applyFont="1" applyFill="1" applyBorder="1" applyAlignment="1">
      <alignment horizontal="center"/>
    </xf>
    <xf numFmtId="165" fontId="35" fillId="7" borderId="12" xfId="0" applyNumberFormat="1" applyFont="1" applyFill="1" applyBorder="1" applyAlignment="1">
      <alignment horizontal="center"/>
    </xf>
    <xf numFmtId="0" fontId="32" fillId="7" borderId="6" xfId="0" applyFont="1" applyFill="1" applyBorder="1" applyAlignment="1">
      <alignment horizontal="center" vertical="center"/>
    </xf>
    <xf numFmtId="0" fontId="32" fillId="7" borderId="7" xfId="0" applyFont="1" applyFill="1" applyBorder="1" applyAlignment="1">
      <alignment horizontal="center" vertical="center"/>
    </xf>
    <xf numFmtId="0" fontId="32" fillId="7" borderId="8" xfId="0" applyFont="1" applyFill="1" applyBorder="1" applyAlignment="1">
      <alignment horizontal="center" vertical="center"/>
    </xf>
    <xf numFmtId="0" fontId="35" fillId="7" borderId="17" xfId="0" applyFont="1" applyFill="1" applyBorder="1" applyAlignment="1">
      <alignment horizontal="center"/>
    </xf>
    <xf numFmtId="0" fontId="38" fillId="6" borderId="5" xfId="0" applyFont="1" applyFill="1" applyBorder="1" applyAlignment="1">
      <alignment horizontal="center" vertical="center"/>
    </xf>
    <xf numFmtId="0" fontId="38" fillId="6" borderId="12" xfId="0" applyFont="1" applyFill="1" applyBorder="1" applyAlignment="1">
      <alignment horizontal="center" vertical="center"/>
    </xf>
    <xf numFmtId="14" fontId="30" fillId="0" borderId="18" xfId="0" applyNumberFormat="1" applyFont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7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07979E3-B559-4616-B340-41AD393CE256}" name="Tabela4" displayName="Tabela4" ref="P1:P18" totalsRowShown="0">
  <autoFilter ref="P1:P18" xr:uid="{A07979E3-B559-4616-B340-41AD393CE256}"/>
  <tableColumns count="1">
    <tableColumn id="1" xr3:uid="{72FA060C-600C-46E7-82BB-477F5B3C8BCF}" name="Colaborado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675" dataDxfId="1673" headerRowBorderDxfId="1674" tableBorderDxfId="1672" totalsRowBorderDxfId="1671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70" dataCellStyle="Moeda"/>
    <tableColumn id="5" xr3:uid="{45BECD08-8ABE-4A34-BD78-E2D3AFB8C62A}" name="Cliente" dataDxfId="1669" dataCellStyle="Moeda"/>
    <tableColumn id="2" xr3:uid="{A0D6666C-9CF7-4343-AF6B-BDFE62F94469}" name="Forma de Pgto" dataDxfId="1668" dataCellStyle="Moeda"/>
    <tableColumn id="3" xr3:uid="{988F127F-9D83-4428-BB94-C16FBBB1BD89}" name="Valor Venda" dataDxfId="1667" dataCellStyle="Porcentagem"/>
    <tableColumn id="4" xr3:uid="{6A2928C3-17B0-4FA3-B60C-9E1A2C0324E1}" name="Entrada" dataDxfId="1666" dataCellStyle="Porcentage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1" displayName="desp1" ref="K5:M11" totalsRowShown="0" headerRowDxfId="1665" dataDxfId="1663" headerRowBorderDxfId="1664" tableBorderDxfId="1662" totalsRowBorderDxfId="1661">
  <autoFilter ref="K5:M11" xr:uid="{DD403130-B35C-452C-92F9-290622D77A3D}"/>
  <tableColumns count="3">
    <tableColumn id="1" xr3:uid="{FAD87634-3375-4B41-BEC0-5B072F6B52CE}" name="Descrição" dataDxfId="1660"/>
    <tableColumn id="2" xr3:uid="{7688071E-9548-4552-8BB1-3BA5128DF645}" name="Tipo de Pagto" dataDxfId="1659"/>
    <tableColumn id="3" xr3:uid="{2B260C33-79A5-4C5D-9195-15780C53A861}" name="Valor" dataDxfId="165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657" dataDxfId="1655" headerRowBorderDxfId="1656" tableBorderDxfId="1654" totalsRowBorderDxfId="1653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52"/>
    <tableColumn id="2" xr3:uid="{606BE417-6802-4580-90D2-86F95EFAAEB7}" name="Cliente" dataDxfId="1651"/>
    <tableColumn id="3" xr3:uid="{2F522A54-F708-4DA3-97E3-CE7C29912E04}" name="Forma de Pgto" dataDxfId="1650" dataCellStyle="Moeda"/>
    <tableColumn id="4" xr3:uid="{7B46EE64-F7F1-4449-A783-67286A94A7C4}" name="Valor Venda" dataDxfId="1649" dataCellStyle="Porcentagem"/>
    <tableColumn id="5" xr3:uid="{389A7D1A-3C35-485E-9958-8A78EF77BE9B}" name="Entrada" dataDxfId="1648" dataCellStyle="Porcentage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1" displayName="os_entr_dia1" ref="K14:M31" totalsRowShown="0" headerRowDxfId="1647" dataDxfId="1645" headerRowBorderDxfId="1646" tableBorderDxfId="1644" totalsRowBorderDxfId="1643">
  <autoFilter ref="K14:M31" xr:uid="{F07D43AD-1A4D-4B31-96B8-824F8623E518}"/>
  <tableColumns count="3">
    <tableColumn id="1" xr3:uid="{3AF01421-A7B6-4D23-9DA8-C20FAFAFDD9C}" name="OS" dataDxfId="1642"/>
    <tableColumn id="2" xr3:uid="{55DCC30E-EB52-427E-A16A-B2C93A41F1CE}" name="Vendedor" dataDxfId="1641"/>
    <tableColumn id="3" xr3:uid="{23EDA46C-42B4-4F6C-97D9-7040D6B9797C}" name="CARNE" dataDxfId="164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1" displayName="rec_carn1" ref="E34:I41" totalsRowShown="0" headerRowDxfId="1639" dataDxfId="1637" headerRowBorderDxfId="1638" tableBorderDxfId="1636" totalsRowBorderDxfId="1635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634"/>
    <tableColumn id="2" xr3:uid="{FBA6EA78-F44B-4D22-A27A-92A91C10551F}" name="Cliente" dataDxfId="1633"/>
    <tableColumn id="3" xr3:uid="{749B4D89-29B3-4987-91D3-6BA3C44D9B96}" name="Forma de Pgto" dataDxfId="1632" dataCellStyle="Moeda"/>
    <tableColumn id="4" xr3:uid="{A84A6598-B291-4809-A78D-AB810461733D}" name="Valor Parcela" dataDxfId="1631" dataCellStyle="Porcentagem"/>
    <tableColumn id="5" xr3:uid="{3C45FEEC-5E06-4ED7-87CD-0097DB6BC817}" name="Nº Parcela" dataDxfId="1630" dataCellStyle="Porcentage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1" displayName="entr_carn1" ref="K34:M41" totalsRowShown="0" headerRowDxfId="1629" dataDxfId="1627" headerRowBorderDxfId="1628" tableBorderDxfId="1626" totalsRowBorderDxfId="1625">
  <autoFilter ref="K34:M41" xr:uid="{42BA126A-AECD-4CD6-8583-BD2352D82FB9}"/>
  <tableColumns count="3">
    <tableColumn id="1" xr3:uid="{0989D88A-7CB7-4008-94FC-B7FFB3CAE582}" name="OS" dataDxfId="1624"/>
    <tableColumn id="2" xr3:uid="{AC9D76CC-A537-4210-9893-E8C57DA30B4D}" name="Parcelas" dataDxfId="1623"/>
    <tableColumn id="3" xr3:uid="{D4D72E6E-DAE0-4860-8606-BFD8E469AE3D}" name="Valor Total" dataDxfId="162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621" dataDxfId="1619" headerRowBorderDxfId="1620" tableBorderDxfId="1618" totalsRowBorderDxfId="161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616" dataCellStyle="Moeda"/>
    <tableColumn id="5" xr3:uid="{62DCD49D-7CD9-4268-A2D5-B3A594E461BB}" name="Cliente" dataDxfId="1615" dataCellStyle="Moeda"/>
    <tableColumn id="2" xr3:uid="{50D45495-B1A2-4885-996A-3E6DD92E280E}" name="Forma de Pgto" dataDxfId="1614" dataCellStyle="Moeda"/>
    <tableColumn id="3" xr3:uid="{DE57E226-692B-42B0-911E-ACCF59BC6D86}" name="Valor Venda" dataDxfId="1613" dataCellStyle="Porcentagem"/>
    <tableColumn id="4" xr3:uid="{CE230B3B-D2C9-4A92-A5F3-A5EE4A74409A}" name="Entrada" dataDxfId="1612" dataCellStyle="Porcentage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611" dataDxfId="1609" headerRowBorderDxfId="1610" tableBorderDxfId="1608" totalsRowBorderDxfId="1607">
  <autoFilter ref="K5:M11" xr:uid="{00000000-0009-0000-0100-000015000000}"/>
  <tableColumns count="3">
    <tableColumn id="1" xr3:uid="{58E2E66D-9AC0-4A69-BF19-1AB9AD59BA2F}" name="Descrição" dataDxfId="1606"/>
    <tableColumn id="2" xr3:uid="{FE1E3124-46C3-49A6-AE83-7C14B341DF59}" name="Tipo de Pagto" dataDxfId="1605"/>
    <tableColumn id="3" xr3:uid="{D8FBF474-04EE-46ED-9B9E-791D937CF715}" name="Valor" dataDxfId="160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2" totalsRowShown="0" headerRowDxfId="1603" dataDxfId="1601" headerRowBorderDxfId="1602" tableBorderDxfId="1600" totalsRowBorderDxfId="1599">
  <autoFilter ref="E25:I32" xr:uid="{00000000-0009-0000-0100-000016000000}"/>
  <sortState xmlns:xlrd2="http://schemas.microsoft.com/office/spreadsheetml/2017/richdata2" ref="E26:I32">
    <sortCondition ref="E25:E32"/>
  </sortState>
  <tableColumns count="5">
    <tableColumn id="1" xr3:uid="{004012A3-88A7-49FD-9D1F-E53F527E4EDD}" name="Nº Venda" dataDxfId="1598"/>
    <tableColumn id="2" xr3:uid="{595EF087-A3B2-4C2B-AEEA-F930A6C2F5F4}" name="Cliente" dataDxfId="1597"/>
    <tableColumn id="3" xr3:uid="{C5C2BC75-6E8D-4808-A5EE-A5F9251ECE6C}" name="Forma de Pgto" dataDxfId="1596" dataCellStyle="Moeda"/>
    <tableColumn id="4" xr3:uid="{20CF776B-B9F4-48DD-9379-961689B40B71}" name="Valor Venda" dataDxfId="1595" dataCellStyle="Porcentagem"/>
    <tableColumn id="5" xr3:uid="{65177CB6-6D07-42E6-8EFE-435282A2F5BA}" name="Entrada" dataDxfId="1594" dataCellStyle="Porcentage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93" dataDxfId="1591" headerRowBorderDxfId="1592" tableBorderDxfId="1590" totalsRowBorderDxfId="158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4C5A0E6-F291-4369-998D-321E2024DFE1}" name="OS" dataDxfId="1588"/>
    <tableColumn id="2" xr3:uid="{D1AEFC99-FF9D-4A0D-BE93-D866BDC7A817}" name="Vendedor" dataDxfId="1587"/>
    <tableColumn id="3" xr3:uid="{CA30546E-8A3F-45D5-BE2B-24DCF738F1F2}" name="CARNE" dataDxfId="158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85" dataDxfId="1583" headerRowBorderDxfId="1584" tableBorderDxfId="1582" totalsRowBorderDxfId="1581">
  <autoFilter ref="E34:I41" xr:uid="{B9E2F984-8588-4F2C-9FB9-680284154679}"/>
  <sortState xmlns:xlrd2="http://schemas.microsoft.com/office/spreadsheetml/2017/richdata2" ref="E33:I38">
    <sortCondition ref="E25:E31"/>
  </sortState>
  <tableColumns count="5">
    <tableColumn id="1" xr3:uid="{07E4FA26-C4CE-4094-A8B1-84A0D1090D09}" name="OS" dataDxfId="1580"/>
    <tableColumn id="2" xr3:uid="{7D38F106-0145-4B73-951B-86BF22EC7FAB}" name="Cliente" dataDxfId="1579"/>
    <tableColumn id="3" xr3:uid="{11A4EEBE-D35C-4719-B2B9-16486260EF79}" name="Forma de Pgto" dataDxfId="1578" dataCellStyle="Moeda"/>
    <tableColumn id="4" xr3:uid="{1BAB2FC5-9F2C-41DD-994A-6BA83A984883}" name="Valor Parcela" dataDxfId="1577" dataCellStyle="Porcentagem"/>
    <tableColumn id="5" xr3:uid="{8C539F89-5F96-4DB9-B7A4-784EA1B5350C}" name="Nº Parcela" dataDxfId="1576" dataCellStyle="Porcentage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75" dataDxfId="1573" headerRowBorderDxfId="1574" tableBorderDxfId="1572" totalsRowBorderDxfId="1571">
  <autoFilter ref="K34:M41" xr:uid="{1B8643D4-6AC3-4029-882A-C62E9D7CB225}"/>
  <tableColumns count="3">
    <tableColumn id="1" xr3:uid="{0B93901B-D681-410F-8B28-E186D9A3CAC3}" name="OS" dataDxfId="1570"/>
    <tableColumn id="2" xr3:uid="{A57C0E02-6258-48F0-9407-2095CD96B2D4}" name="Parcelas" dataDxfId="1569"/>
    <tableColumn id="3" xr3:uid="{1EA087CF-658D-4951-89BB-508667E3BBBE}" name="Valor Total" dataDxfId="1568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67" dataDxfId="1565" headerRowBorderDxfId="1566" tableBorderDxfId="1564" totalsRowBorderDxfId="15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62" dataCellStyle="Moeda"/>
    <tableColumn id="5" xr3:uid="{98DC42E5-632F-4288-9CC5-1F032859A7E7}" name="Cliente" dataDxfId="1561" dataCellStyle="Moeda"/>
    <tableColumn id="2" xr3:uid="{4AE32B81-9EBD-470B-9ABE-A82D6658F3FE}" name="Forma de Pgto" dataDxfId="1560" dataCellStyle="Moeda"/>
    <tableColumn id="3" xr3:uid="{6E5BAEC1-2689-4ABB-93EC-298595B5C82E}" name="Valor Venda" dataDxfId="1559" dataCellStyle="Porcentagem"/>
    <tableColumn id="4" xr3:uid="{24493E7B-FE77-4A85-8810-0F0A4A84D997}" name="Entrada" dataDxfId="1558" dataCellStyle="Porcentagem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57" dataDxfId="1555" headerRowBorderDxfId="1556" tableBorderDxfId="1554" totalsRowBorderDxfId="1553">
  <autoFilter ref="K5:M11" xr:uid="{00000000-0009-0000-0100-000015000000}"/>
  <tableColumns count="3">
    <tableColumn id="1" xr3:uid="{DA50BBFB-ECA9-45DE-9949-F3F90EEC3BA7}" name="Descrição" dataDxfId="1552"/>
    <tableColumn id="2" xr3:uid="{A64D4F88-B62D-440B-BA71-6D7BB28D542E}" name="Tipo de Pagto" dataDxfId="1551"/>
    <tableColumn id="3" xr3:uid="{0406A209-0652-47F9-9AB4-3256B26876D2}" name="Valor" dataDxfId="1550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5" totalsRowShown="0" headerRowDxfId="1549" dataDxfId="1547" headerRowBorderDxfId="1548" tableBorderDxfId="1546" totalsRowBorderDxfId="1545">
  <autoFilter ref="E25:I35" xr:uid="{00000000-0009-0000-0100-000016000000}"/>
  <sortState xmlns:xlrd2="http://schemas.microsoft.com/office/spreadsheetml/2017/richdata2" ref="E26:I35">
    <sortCondition ref="E25:E35"/>
  </sortState>
  <tableColumns count="5">
    <tableColumn id="1" xr3:uid="{0116C13B-47E4-4C9E-BC93-A4CD3ED7830F}" name="Nº Venda" dataDxfId="1544"/>
    <tableColumn id="2" xr3:uid="{8B8D24E4-1123-478B-838C-FCF56EABBDFD}" name="Cliente" dataDxfId="1543"/>
    <tableColumn id="3" xr3:uid="{8B7DE8DF-8D5D-4245-A63D-EF550AE347E3}" name="Forma de Pgto" dataDxfId="1542" dataCellStyle="Moeda"/>
    <tableColumn id="4" xr3:uid="{95A77C0C-49D0-45A2-8B99-A765C4741CE7}" name="Valor Venda" dataDxfId="1541" dataCellStyle="Porcentagem"/>
    <tableColumn id="5" xr3:uid="{FF4FDD32-DA70-4723-A8FB-07B3FB04B5CD}" name="Entrada" dataDxfId="1540" dataCellStyle="Porcentagem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39" dataDxfId="1537" headerRowBorderDxfId="1538" tableBorderDxfId="1536" totalsRowBorderDxfId="1535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A31E67F7-E266-4220-8D3F-09556FCE20B1}" name="OS" dataDxfId="1534"/>
    <tableColumn id="2" xr3:uid="{2ED39269-8DA5-4157-9E82-8C8ED0C828A3}" name="Vendedor" dataDxfId="1533"/>
    <tableColumn id="3" xr3:uid="{F550B35D-6F70-4E2E-9037-3A7DF5BB4D86}" name="CARNE" dataDxfId="1532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8:I41" totalsRowShown="0" headerRowDxfId="1531" dataDxfId="1529" headerRowBorderDxfId="1530" tableBorderDxfId="1528" totalsRowBorderDxfId="1527">
  <autoFilter ref="E38:I41" xr:uid="{B9E2F984-8588-4F2C-9FB9-680284154679}"/>
  <sortState xmlns:xlrd2="http://schemas.microsoft.com/office/spreadsheetml/2017/richdata2" ref="E39:I41">
    <sortCondition ref="E25:E31"/>
  </sortState>
  <tableColumns count="5">
    <tableColumn id="1" xr3:uid="{706FE362-C38D-4338-9CC8-589C838E63D7}" name="OS" dataDxfId="1526"/>
    <tableColumn id="2" xr3:uid="{58D563AD-1DCA-4768-9170-A0079A20A1DF}" name="Cliente" dataDxfId="1525"/>
    <tableColumn id="3" xr3:uid="{FE883FCE-942C-4DE5-904D-B12FE6C4992D}" name="Forma de Pgto" dataDxfId="1524" dataCellStyle="Moeda"/>
    <tableColumn id="4" xr3:uid="{21451B08-4DF0-4C35-AC45-94C183AA6A59}" name="Valor Parcela" dataDxfId="1523" dataCellStyle="Porcentagem"/>
    <tableColumn id="5" xr3:uid="{8F93C3AE-47D0-4E55-A038-445341804CE9}" name="Nº Parcela" dataDxfId="1522" dataCellStyle="Porcentagem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521" dataDxfId="1519" headerRowBorderDxfId="1520" tableBorderDxfId="1518" totalsRowBorderDxfId="1517">
  <autoFilter ref="K34:M41" xr:uid="{1B8643D4-6AC3-4029-882A-C62E9D7CB225}"/>
  <tableColumns count="3">
    <tableColumn id="1" xr3:uid="{2687574F-C0F9-4AD1-A54B-286C1AE50D97}" name="OS" dataDxfId="1516"/>
    <tableColumn id="2" xr3:uid="{AE623FF4-38C1-45D9-B220-1CD4A553B7C1}" name="Parcelas" dataDxfId="1515"/>
    <tableColumn id="3" xr3:uid="{EEBFC521-3084-43FF-A36B-C25CE198B817}" name="Valor Total" dataDxfId="1514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513" dataDxfId="1511" headerRowBorderDxfId="1512" tableBorderDxfId="1510" totalsRowBorderDxfId="15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508" dataCellStyle="Moeda"/>
    <tableColumn id="5" xr3:uid="{F5DA840E-A051-4AE4-AE1A-9DAFAF8FFC3B}" name="Cliente" dataDxfId="1507" dataCellStyle="Moeda"/>
    <tableColumn id="2" xr3:uid="{DF65CD3D-444A-4025-B98B-F38F11610432}" name="Forma de Pgto" dataDxfId="1506" dataCellStyle="Moeda"/>
    <tableColumn id="3" xr3:uid="{9A4839DC-9153-466A-B0AF-456FAEF79174}" name="Valor Venda" dataDxfId="1505" dataCellStyle="Porcentagem"/>
    <tableColumn id="4" xr3:uid="{EF410A7C-DBD1-4367-A43B-616826FFEB4F}" name="Entrada" dataDxfId="1504" dataCellStyle="Porcentagem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503" dataDxfId="1501" headerRowBorderDxfId="1502" tableBorderDxfId="1500" totalsRowBorderDxfId="1499">
  <autoFilter ref="K5:M11" xr:uid="{00000000-0009-0000-0100-000015000000}"/>
  <tableColumns count="3">
    <tableColumn id="1" xr3:uid="{F1C90853-2F5A-4C32-8AC3-18ECE1FDDF43}" name="Descrição" dataDxfId="1498"/>
    <tableColumn id="2" xr3:uid="{DEB32F17-2D52-4FBB-90C4-1C3AE9C104E6}" name="Tipo de Pagto" dataDxfId="1497"/>
    <tableColumn id="3" xr3:uid="{089B3650-C090-496F-BF9A-6E8466DBF76A}" name="Valor" dataDxfId="1496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95" dataDxfId="1493" headerRowBorderDxfId="1494" tableBorderDxfId="1492" totalsRowBorderDxfId="14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90"/>
    <tableColumn id="2" xr3:uid="{73AEC7DD-005C-4428-9D1D-1A3761F2192B}" name="Cliente" dataDxfId="1489"/>
    <tableColumn id="3" xr3:uid="{FA28017F-3137-49BD-B826-2E261901E543}" name="Forma de Pgto" dataDxfId="1488" dataCellStyle="Moeda"/>
    <tableColumn id="4" xr3:uid="{6030418B-B1EC-4D4D-96DF-0EB78B87F6F9}" name="Valor Venda" dataDxfId="1487" dataCellStyle="Porcentagem"/>
    <tableColumn id="5" xr3:uid="{0576A975-F40D-4463-85C0-76AB6FCD63AC}" name="Entrada" dataDxfId="1486" dataCellStyle="Porcentagem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85" dataDxfId="1483" headerRowBorderDxfId="1484" tableBorderDxfId="1482" totalsRowBorderDxfId="148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830E23BA-DE90-49EF-B4EA-89C3276575B2}" name="OS" dataDxfId="1480"/>
    <tableColumn id="2" xr3:uid="{679AF5A0-4545-4316-AD6C-E4B7A7BA099A}" name="Vendedor" dataDxfId="1479"/>
    <tableColumn id="3" xr3:uid="{6B801D58-D05B-4A78-A6FE-BC9EF408DC10}" name="CARNE" dataDxfId="1478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77" dataDxfId="1475" headerRowBorderDxfId="1476" tableBorderDxfId="1474" totalsRowBorderDxfId="1473">
  <autoFilter ref="E34:I41" xr:uid="{B9E2F984-8588-4F2C-9FB9-680284154679}"/>
  <sortState xmlns:xlrd2="http://schemas.microsoft.com/office/spreadsheetml/2017/richdata2" ref="E35:I41">
    <sortCondition ref="E34:E41"/>
  </sortState>
  <tableColumns count="5">
    <tableColumn id="1" xr3:uid="{6BEE042E-9E35-4BD7-842C-73720AA03CCF}" name="OS" dataDxfId="1472"/>
    <tableColumn id="2" xr3:uid="{953837B7-D16A-40C2-9C83-CD7E7171C88F}" name="Cliente" dataDxfId="1471"/>
    <tableColumn id="3" xr3:uid="{63860264-C651-4A12-8F01-E9F622A843C0}" name="Forma de Pgto" dataDxfId="1470" dataCellStyle="Moeda"/>
    <tableColumn id="4" xr3:uid="{584373BD-23BA-4A1E-A4FC-3D4A594F4148}" name="Valor Parcela" dataDxfId="1469" dataCellStyle="Porcentagem"/>
    <tableColumn id="5" xr3:uid="{7CBAF04B-D82E-4180-A8EA-98461BE41F4A}" name="Nº Parcela" dataDxfId="1468" dataCellStyle="Porcentagem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67" dataDxfId="1465" headerRowBorderDxfId="1466" tableBorderDxfId="1464" totalsRowBorderDxfId="1463">
  <autoFilter ref="K34:M41" xr:uid="{1B8643D4-6AC3-4029-882A-C62E9D7CB225}"/>
  <tableColumns count="3">
    <tableColumn id="1" xr3:uid="{F555359C-BC20-4C24-A948-500BDD3B5763}" name="OS" dataDxfId="1462"/>
    <tableColumn id="2" xr3:uid="{B72B4820-B8B5-4F80-83B5-9EC54EF78025}" name="Parcelas" dataDxfId="1461"/>
    <tableColumn id="3" xr3:uid="{893DDBC4-5663-4D63-80CB-4E7482811983}" name="Valor Total" dataDxfId="1460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59" dataDxfId="1457" headerRowBorderDxfId="1458" tableBorderDxfId="1456" totalsRowBorderDxfId="145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54" dataCellStyle="Moeda"/>
    <tableColumn id="5" xr3:uid="{4F9ED826-A0E1-4FB0-83C6-A561EA7B6750}" name="Cliente" dataDxfId="1453" dataCellStyle="Moeda"/>
    <tableColumn id="2" xr3:uid="{C2B928FE-CB2E-4271-AE3D-2FE26117248E}" name="Forma de Pgto" dataDxfId="1452" dataCellStyle="Moeda"/>
    <tableColumn id="3" xr3:uid="{CE23E3D0-4056-4DCB-83C4-5B94BD49CAAC}" name="Valor Venda" dataDxfId="1451" dataCellStyle="Porcentagem"/>
    <tableColumn id="4" xr3:uid="{1F426340-BFB9-4B9E-B988-7A195156D2F2}" name="Entrada" dataDxfId="1450" dataCellStyle="Porcentagem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49" dataDxfId="1447" headerRowBorderDxfId="1448" tableBorderDxfId="1446" totalsRowBorderDxfId="1445">
  <autoFilter ref="K5:M11" xr:uid="{00000000-0009-0000-0100-000015000000}"/>
  <tableColumns count="3">
    <tableColumn id="1" xr3:uid="{F4C840DC-E06E-4A51-B1BF-E769E4EC9ACB}" name="Descrição" dataDxfId="1444"/>
    <tableColumn id="2" xr3:uid="{E6DE1F07-CE97-421A-A22A-4B4270DDF46D}" name="Tipo de Pagto" dataDxfId="1443"/>
    <tableColumn id="3" xr3:uid="{D84FBA92-07C5-41FD-BBA2-2AADF245D1D6}" name="Valor" dataDxfId="1442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41" dataDxfId="1439" headerRowBorderDxfId="1440" tableBorderDxfId="1438" totalsRowBorderDxfId="143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36"/>
    <tableColumn id="2" xr3:uid="{CD77FB12-1DAA-4DAF-B42A-0357959803DD}" name="Cliente" dataDxfId="1435"/>
    <tableColumn id="3" xr3:uid="{5F4C4F5C-C920-452A-B2BA-592AD2C18723}" name="Forma de Pgto" dataDxfId="1434" dataCellStyle="Moeda"/>
    <tableColumn id="4" xr3:uid="{3930B2F0-6049-4E02-92B1-EC55A5330B2C}" name="Valor Venda" dataDxfId="1433" dataCellStyle="Porcentagem"/>
    <tableColumn id="5" xr3:uid="{82EBAE08-64CA-459E-9015-FA8F61210D87}" name="Entrada" dataDxfId="1432" dataCellStyle="Porcentagem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31" dataDxfId="1429" headerRowBorderDxfId="1430" tableBorderDxfId="1428" totalsRowBorderDxfId="1427">
  <autoFilter ref="K14:M31" xr:uid="{C83FE64B-E221-4DAA-89EA-5307A7BC98B3}"/>
  <tableColumns count="3">
    <tableColumn id="1" xr3:uid="{E0565617-EB8C-486F-838C-B370E84BC8A2}" name="OS" dataDxfId="1426"/>
    <tableColumn id="2" xr3:uid="{EA20833B-67D8-48B8-B6E4-54A10D0969E8}" name="Vendedor" dataDxfId="1425"/>
    <tableColumn id="3" xr3:uid="{8B1F8993-74A4-499F-AD5E-91A6051BA219}" name="CARNE" dataDxfId="1424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423" dataDxfId="1421" headerRowBorderDxfId="1422" tableBorderDxfId="1420" totalsRowBorderDxfId="141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418"/>
    <tableColumn id="2" xr3:uid="{FB461660-91D6-4E31-81FF-113A17320EED}" name="Cliente" dataDxfId="1417"/>
    <tableColumn id="3" xr3:uid="{0A47D0C3-375B-4E2D-B5E9-2048252BC0D3}" name="Forma de Pgto" dataDxfId="1416" dataCellStyle="Moeda"/>
    <tableColumn id="4" xr3:uid="{F9C62ED5-C18D-465D-B7E4-0729BD7B3A10}" name="Valor Parcela" dataDxfId="1415" dataCellStyle="Porcentagem"/>
    <tableColumn id="5" xr3:uid="{DD9D513B-1645-445F-83E9-DC54C163BD4E}" name="Nº Parcela" dataDxfId="1414" dataCellStyle="Porcentagem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413" dataDxfId="1411" headerRowBorderDxfId="1412" tableBorderDxfId="1410" totalsRowBorderDxfId="1409">
  <autoFilter ref="K34:M41" xr:uid="{1B8643D4-6AC3-4029-882A-C62E9D7CB225}"/>
  <tableColumns count="3">
    <tableColumn id="1" xr3:uid="{D65B195F-C059-40E5-A4CA-FE91C5DB43DB}" name="OS" dataDxfId="1408"/>
    <tableColumn id="2" xr3:uid="{A2A023CF-C61D-419E-ABB0-2F9CEE35150B}" name="Parcelas" dataDxfId="1407"/>
    <tableColumn id="3" xr3:uid="{F7D650A1-7C3D-42D0-B133-EB49D396C64F}" name="Valor Total" dataDxfId="1406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405" dataDxfId="1403" headerRowBorderDxfId="1404" tableBorderDxfId="1402" totalsRowBorderDxfId="140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400" dataCellStyle="Moeda"/>
    <tableColumn id="5" xr3:uid="{FF96847D-D5C5-4F73-905C-E549112972E1}" name="Cliente" dataDxfId="1399" dataCellStyle="Moeda"/>
    <tableColumn id="2" xr3:uid="{1B47815A-C2E2-4886-9A6F-B2A7307F901E}" name="Forma de Pgto" dataDxfId="1398" dataCellStyle="Moeda"/>
    <tableColumn id="3" xr3:uid="{FD86C99A-4E69-452A-8D71-B939B84F2B55}" name="Valor Venda" dataDxfId="1397" dataCellStyle="Porcentagem"/>
    <tableColumn id="4" xr3:uid="{49ECBAAC-14EE-43F3-BE6F-974EF5F3E156}" name="Entrada" dataDxfId="1396" dataCellStyle="Porcentagem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95" dataDxfId="1393" headerRowBorderDxfId="1394" tableBorderDxfId="1392" totalsRowBorderDxfId="1391">
  <autoFilter ref="K5:M11" xr:uid="{00000000-0009-0000-0100-000015000000}"/>
  <tableColumns count="3">
    <tableColumn id="1" xr3:uid="{5236D397-E61A-4AA1-B99C-AD40093239F9}" name="Descrição" dataDxfId="1390"/>
    <tableColumn id="2" xr3:uid="{3341FC2A-819A-41AF-B8A9-B5A195B8D597}" name="Tipo de Pagto" dataDxfId="1389"/>
    <tableColumn id="3" xr3:uid="{D568CA16-B32B-4F86-9DE5-B8B3E9825745}" name="Valor" dataDxfId="1388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87" dataDxfId="1385" headerRowBorderDxfId="1386" tableBorderDxfId="1384" totalsRowBorderDxfId="138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82"/>
    <tableColumn id="2" xr3:uid="{DEEB020C-2BC4-4E77-9557-B0FDBCF683E9}" name="Cliente" dataDxfId="1381"/>
    <tableColumn id="3" xr3:uid="{FC27FDBE-5194-4E32-AFD1-DB754ECCEF38}" name="Forma de Pgto" dataDxfId="1380" dataCellStyle="Moeda"/>
    <tableColumn id="4" xr3:uid="{489A4CE9-C3F1-4322-9639-D01F0935FB0E}" name="Valor Venda" dataDxfId="1379" dataCellStyle="Porcentagem"/>
    <tableColumn id="5" xr3:uid="{07E5F22F-7782-466E-98DB-48416B35B9C4}" name="Entrada" dataDxfId="1378" dataCellStyle="Porcentagem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77" dataDxfId="1375" headerRowBorderDxfId="1376" tableBorderDxfId="1374" totalsRowBorderDxfId="1373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E4926A1A-00A9-4844-90B1-E36D53050FAD}" name="OS" dataDxfId="1372"/>
    <tableColumn id="2" xr3:uid="{CFC62C38-9887-48E6-A3B8-42586D1EC066}" name="Vendedor" dataDxfId="1371"/>
    <tableColumn id="3" xr3:uid="{32577275-2002-496E-8AD4-5FE489DBC179}" name="CARNE" dataDxfId="1370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69" dataDxfId="1367" headerRowBorderDxfId="1368" tableBorderDxfId="1366" totalsRowBorderDxfId="136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64"/>
    <tableColumn id="2" xr3:uid="{19438CD0-86D0-4CC4-9B41-5D756AC61E4D}" name="Cliente" dataDxfId="1363"/>
    <tableColumn id="3" xr3:uid="{59621200-4821-4583-9D35-A2EA6C27B52D}" name="Forma de Pgto" dataDxfId="1362" dataCellStyle="Moeda"/>
    <tableColumn id="4" xr3:uid="{35A817E7-6B21-48A7-863E-225DFEDD8B2A}" name="Valor Parcela" dataDxfId="1361" dataCellStyle="Porcentagem"/>
    <tableColumn id="5" xr3:uid="{77D80430-C5F8-4582-B3DF-9A9A9350F565}" name="Nº Parcela" dataDxfId="1360" dataCellStyle="Porcentagem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59" dataDxfId="1357" headerRowBorderDxfId="1358" tableBorderDxfId="1356" totalsRowBorderDxfId="1355">
  <autoFilter ref="K34:M41" xr:uid="{1B8643D4-6AC3-4029-882A-C62E9D7CB225}"/>
  <tableColumns count="3">
    <tableColumn id="1" xr3:uid="{503F9F70-E540-4505-B65D-D233FCB88D5F}" name="OS" dataDxfId="1354"/>
    <tableColumn id="2" xr3:uid="{6A2B4927-D830-4C18-8831-6FE23BFAD877}" name="Parcelas" dataDxfId="1353"/>
    <tableColumn id="3" xr3:uid="{8E06E94A-FF62-4D13-8B11-C6CE2990FCDF}" name="Valor Total" dataDxfId="1352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51" dataDxfId="1349" headerRowBorderDxfId="1350" tableBorderDxfId="1348" totalsRowBorderDxfId="134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46" dataCellStyle="Moeda"/>
    <tableColumn id="5" xr3:uid="{00000000-0010-0000-0900-000005000000}" name="Cliente" dataDxfId="1345" dataCellStyle="Moeda"/>
    <tableColumn id="2" xr3:uid="{00000000-0010-0000-0900-000002000000}" name="Forma de Pgto" dataDxfId="1344" dataCellStyle="Moeda"/>
    <tableColumn id="3" xr3:uid="{00000000-0010-0000-0900-000003000000}" name="Valor Venda" dataDxfId="1343" dataCellStyle="Porcentagem"/>
    <tableColumn id="4" xr3:uid="{00000000-0010-0000-0900-000004000000}" name="Entrada" dataDxfId="1342" dataCellStyle="Porcentagem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41" dataDxfId="1339" headerRowBorderDxfId="1340" tableBorderDxfId="1338" totalsRowBorderDxfId="1337">
  <autoFilter ref="K5:M11" xr:uid="{00000000-0009-0000-0100-000015000000}"/>
  <tableColumns count="3">
    <tableColumn id="1" xr3:uid="{00000000-0010-0000-0A00-000001000000}" name="Descrição" dataDxfId="1336"/>
    <tableColumn id="2" xr3:uid="{00000000-0010-0000-0A00-000002000000}" name="Tipo de Pagto" dataDxfId="1335"/>
    <tableColumn id="3" xr3:uid="{00000000-0010-0000-0A00-000003000000}" name="Valor" dataDxfId="1334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33" dataDxfId="1331" headerRowBorderDxfId="1332" tableBorderDxfId="1330" totalsRowBorderDxfId="132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28"/>
    <tableColumn id="2" xr3:uid="{00000000-0010-0000-0B00-000002000000}" name="Cliente" dataDxfId="1327"/>
    <tableColumn id="3" xr3:uid="{00000000-0010-0000-0B00-000003000000}" name="Forma de Pgto" dataDxfId="1326" dataCellStyle="Moeda"/>
    <tableColumn id="4" xr3:uid="{00000000-0010-0000-0B00-000004000000}" name="Valor Venda" dataDxfId="1325" dataCellStyle="Porcentagem"/>
    <tableColumn id="5" xr3:uid="{00000000-0010-0000-0B00-000005000000}" name="Entrada" dataDxfId="1324" dataCellStyle="Porcentagem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323" dataDxfId="1321" headerRowBorderDxfId="1322" tableBorderDxfId="1320" totalsRowBorderDxfId="131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E5EB8AC8-7F8E-49D1-A903-14124A5BA1B1}" name="OS" dataDxfId="1318"/>
    <tableColumn id="2" xr3:uid="{E1794679-294A-42ED-9D8F-4C0874170BFA}" name="Vendedor" dataDxfId="1317"/>
    <tableColumn id="3" xr3:uid="{CB411C23-941D-4548-984D-68460932D683}" name="CARNE" dataDxfId="1316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315" dataDxfId="1313" headerRowBorderDxfId="1314" tableBorderDxfId="1312" totalsRowBorderDxfId="1311">
  <autoFilter ref="E34:I41" xr:uid="{B9E2F984-8588-4F2C-9FB9-680284154679}"/>
  <sortState xmlns:xlrd2="http://schemas.microsoft.com/office/spreadsheetml/2017/richdata2" ref="E35:I41">
    <sortCondition ref="E34:E41"/>
  </sortState>
  <tableColumns count="5">
    <tableColumn id="1" xr3:uid="{9EF94E6D-5A9B-4566-BFFC-98A6514BD048}" name="OS" dataDxfId="1310"/>
    <tableColumn id="2" xr3:uid="{430FE27E-32BC-43B0-BB6E-CCBAB36B2A5A}" name="Cliente" dataDxfId="1309"/>
    <tableColumn id="3" xr3:uid="{568CECCF-BE0A-4266-A7C7-9359F722EA0F}" name="Forma de Pgto" dataDxfId="1308" dataCellStyle="Moeda"/>
    <tableColumn id="4" xr3:uid="{9CF4291A-8808-43DB-9F83-A7EB463C5F4A}" name="Valor Parcela" dataDxfId="1307" dataCellStyle="Porcentagem"/>
    <tableColumn id="5" xr3:uid="{736EA743-97FA-4800-BEDD-5C07EEB144A8}" name="Nº Parcela" dataDxfId="1306" dataCellStyle="Porcentagem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305" dataDxfId="1303" headerRowBorderDxfId="1304" tableBorderDxfId="1302" totalsRowBorderDxfId="1301">
  <autoFilter ref="K34:M41" xr:uid="{1B8643D4-6AC3-4029-882A-C62E9D7CB225}"/>
  <tableColumns count="3">
    <tableColumn id="1" xr3:uid="{132FEC50-51B3-4AAA-BF48-63FA39ED861C}" name="OS" dataDxfId="1300"/>
    <tableColumn id="2" xr3:uid="{11276640-1C63-48D7-BE0B-1FE7C736A1A8}" name="Parcelas" dataDxfId="1299"/>
    <tableColumn id="3" xr3:uid="{96591591-9F74-40A6-B0B9-BA6D2106107F}" name="Valor Total" dataDxfId="1298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97" dataDxfId="1295" headerRowBorderDxfId="1296" tableBorderDxfId="1294" totalsRowBorderDxfId="129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92" dataCellStyle="Moeda"/>
    <tableColumn id="5" xr3:uid="{795F9F6D-AAE5-4C61-A646-82BF506C503E}" name="Cliente" dataDxfId="1291" dataCellStyle="Moeda"/>
    <tableColumn id="2" xr3:uid="{DD13626B-6361-410E-BFB7-9E75436163A4}" name="Forma de Pgto" dataDxfId="1290" dataCellStyle="Moeda"/>
    <tableColumn id="3" xr3:uid="{8939280F-F6DC-4F66-ADDF-59F6A387460C}" name="Valor Venda" dataDxfId="1289" dataCellStyle="Porcentagem"/>
    <tableColumn id="4" xr3:uid="{FFC83B9E-825A-4058-BFEA-DA64D7159065}" name="Entrada" dataDxfId="1288" dataCellStyle="Porcentagem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87" dataDxfId="1285" headerRowBorderDxfId="1286" tableBorderDxfId="1284" totalsRowBorderDxfId="1283">
  <autoFilter ref="K5:M11" xr:uid="{00000000-0009-0000-0100-000015000000}"/>
  <tableColumns count="3">
    <tableColumn id="1" xr3:uid="{9309A091-2326-4B68-B8C9-B31CF2D72EAF}" name="Descrição" dataDxfId="1282"/>
    <tableColumn id="2" xr3:uid="{910D89CE-506B-440F-8EB2-31633D7CAD51}" name="Tipo de Pagto" dataDxfId="1281"/>
    <tableColumn id="3" xr3:uid="{7155C391-52F1-4F4A-84B1-7BBC44A35A99}" name="Valor" dataDxfId="1280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79" dataDxfId="1277" headerRowBorderDxfId="1278" tableBorderDxfId="1276" totalsRowBorderDxfId="127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74"/>
    <tableColumn id="2" xr3:uid="{75B601B3-9668-4B1A-ADF2-17DA487A3413}" name="Cliente" dataDxfId="1273"/>
    <tableColumn id="3" xr3:uid="{64F47935-52AF-4AE3-9262-06D7472567D7}" name="Forma de Pgto" dataDxfId="1272" dataCellStyle="Moeda"/>
    <tableColumn id="4" xr3:uid="{9257AA0D-34DE-4B38-8406-BC1F561A53B3}" name="Valor Venda" dataDxfId="1271" dataCellStyle="Porcentagem"/>
    <tableColumn id="5" xr3:uid="{4C98958F-FB27-4968-81B6-D7CC6BBD2DAE}" name="Entrada" dataDxfId="1270" dataCellStyle="Porcentagem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69" dataDxfId="1267" headerRowBorderDxfId="1268" tableBorderDxfId="1266" totalsRowBorderDxfId="1265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5B76297-FCE6-4684-80C4-601E84D95BB4}" name="OS" dataDxfId="1264"/>
    <tableColumn id="2" xr3:uid="{AEB024E2-EB15-40A6-B65B-468339937BD0}" name="Vendedor" dataDxfId="1263"/>
    <tableColumn id="3" xr3:uid="{ACDDDA2A-4116-4E25-B799-0071372A8FAA}" name="CARNE" dataDxfId="1262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2" totalsRowShown="0" headerRowDxfId="1261" dataDxfId="1259" headerRowBorderDxfId="1260" tableBorderDxfId="1258" totalsRowBorderDxfId="1257">
  <autoFilter ref="E34:I42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56"/>
    <tableColumn id="2" xr3:uid="{A06C5B3A-A28C-4563-87C4-B63635D6E7B9}" name="Cliente" dataDxfId="1255"/>
    <tableColumn id="3" xr3:uid="{4AC120F2-6F4A-41F2-87D2-680E8D6F8D96}" name="Forma de Pgto" dataDxfId="1254" dataCellStyle="Moeda"/>
    <tableColumn id="4" xr3:uid="{17DB2EA9-C13D-4AEB-AB97-B4C907D16420}" name="Valor Parcela" dataDxfId="1253" dataCellStyle="Porcentagem"/>
    <tableColumn id="5" xr3:uid="{F6E09F06-2F23-4822-A9B4-D8898604A1E0}" name="Nº Parcela" dataDxfId="1252" dataCellStyle="Porcentagem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51" dataDxfId="1249" headerRowBorderDxfId="1250" tableBorderDxfId="1248" totalsRowBorderDxfId="1247">
  <autoFilter ref="K34:M41" xr:uid="{1B8643D4-6AC3-4029-882A-C62E9D7CB225}"/>
  <tableColumns count="3">
    <tableColumn id="1" xr3:uid="{D0DE8F47-9BDA-4E4F-92E6-E2404F920F1B}" name="OS" dataDxfId="1246"/>
    <tableColumn id="2" xr3:uid="{43AD47D8-F738-4D39-8B0B-E0AC217D9D32}" name="Parcelas" dataDxfId="1245"/>
    <tableColumn id="3" xr3:uid="{024ED2FF-C4EC-44DC-9129-9BE8032DC4A5}" name="Valor Total" dataDxfId="1244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43" dataDxfId="1241" headerRowBorderDxfId="1242" tableBorderDxfId="1240" totalsRowBorderDxfId="123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38" dataCellStyle="Moeda"/>
    <tableColumn id="5" xr3:uid="{C13AA79A-76C7-4954-B055-3EC7A6A9008A}" name="Cliente" dataDxfId="1237" dataCellStyle="Moeda"/>
    <tableColumn id="2" xr3:uid="{56D92948-0431-4E11-AC7A-A6D6B6D3D15E}" name="Forma de Pgto" dataDxfId="1236" dataCellStyle="Moeda"/>
    <tableColumn id="3" xr3:uid="{3348DA9C-6AA9-49E4-8450-E8BC22BC5F6C}" name="Valor Venda" dataDxfId="1235" dataCellStyle="Porcentagem"/>
    <tableColumn id="4" xr3:uid="{A03B4BE2-2B4F-4512-98ED-45C3754F4D2A}" name="Entrada" dataDxfId="1234" dataCellStyle="Porcentagem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33" dataDxfId="1231" headerRowBorderDxfId="1232" tableBorderDxfId="1230" totalsRowBorderDxfId="1229">
  <autoFilter ref="K5:M11" xr:uid="{00000000-0009-0000-0100-000015000000}"/>
  <tableColumns count="3">
    <tableColumn id="1" xr3:uid="{2700D0CD-8906-41BB-B51F-AAECD67A05FE}" name="Descrição" dataDxfId="1228"/>
    <tableColumn id="2" xr3:uid="{00E5FAC2-C7E2-44A6-AA64-460782F41E47}" name="Tipo de Pagto" dataDxfId="1227"/>
    <tableColumn id="3" xr3:uid="{70D30678-03EC-4DC1-BB28-EBD756D1976D}" name="Valor" dataDxfId="1226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25" dataDxfId="1223" headerRowBorderDxfId="1224" tableBorderDxfId="1222" totalsRowBorderDxfId="12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220"/>
    <tableColumn id="2" xr3:uid="{59310BF7-C6CA-49AF-8D7C-32023868A553}" name="Cliente" dataDxfId="1219"/>
    <tableColumn id="3" xr3:uid="{C13BE163-BA03-41E0-A121-27164C58ABA3}" name="Forma de Pgto" dataDxfId="1218" dataCellStyle="Moeda"/>
    <tableColumn id="4" xr3:uid="{E9797482-8A01-4C8B-8B66-47DE3D38D78F}" name="Valor Venda" dataDxfId="1217" dataCellStyle="Porcentagem"/>
    <tableColumn id="5" xr3:uid="{864D3F67-D199-48BA-8E16-3EFBAC4AF8A2}" name="Entrada" dataDxfId="1216" dataCellStyle="Porcentagem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215" dataDxfId="1213" headerRowBorderDxfId="1214" tableBorderDxfId="1212" totalsRowBorderDxfId="121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92200504-6651-4517-B155-4C75687BBC1E}" name="OS" dataDxfId="1210"/>
    <tableColumn id="2" xr3:uid="{BE1934F5-5D06-41D6-9394-C4D383C8CD33}" name="Vendedor" dataDxfId="1209"/>
    <tableColumn id="3" xr3:uid="{F504E9B2-856C-4C10-AA72-D7A7B035B330}" name="CARNE" dataDxfId="1208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2" totalsRowShown="0" headerRowDxfId="1207" dataDxfId="1205" headerRowBorderDxfId="1206" tableBorderDxfId="1204" totalsRowBorderDxfId="1203">
  <autoFilter ref="E34:I42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202"/>
    <tableColumn id="2" xr3:uid="{95B09C40-3752-47D7-9085-F5B42BC487DA}" name="Cliente" dataDxfId="1201"/>
    <tableColumn id="3" xr3:uid="{1A0B311C-327A-4C44-9D04-81730B41B9A2}" name="Forma de Pgto" dataDxfId="1200" dataCellStyle="Moeda"/>
    <tableColumn id="4" xr3:uid="{9A802666-F9A1-4EB6-824C-ECF60066044F}" name="Valor Parcela" dataDxfId="1199" dataCellStyle="Porcentagem"/>
    <tableColumn id="5" xr3:uid="{1CC0AF26-B599-4D4F-8BD5-BBE76DBCE085}" name="Nº Parcela" dataDxfId="1198" dataCellStyle="Porcentagem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2" totalsRowShown="0" headerRowDxfId="1197" dataDxfId="1195" headerRowBorderDxfId="1196" tableBorderDxfId="1194" totalsRowBorderDxfId="1193">
  <autoFilter ref="K34:M42" xr:uid="{1B8643D4-6AC3-4029-882A-C62E9D7CB225}"/>
  <tableColumns count="3">
    <tableColumn id="1" xr3:uid="{D712257D-E310-4A34-972E-E8E3502C0E07}" name="OS" dataDxfId="1192"/>
    <tableColumn id="2" xr3:uid="{DE78D123-6817-4646-8C08-920B2F11524F}" name="Parcelas" dataDxfId="1191"/>
    <tableColumn id="3" xr3:uid="{5BFF5A3E-02FE-410E-B1DB-45BB5A31FC42}" name="Valor Total" dataDxfId="1190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89" dataDxfId="1187" headerRowBorderDxfId="1188" tableBorderDxfId="1186" totalsRowBorderDxfId="118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84" dataCellStyle="Moeda"/>
    <tableColumn id="5" xr3:uid="{A57F8BDB-02F9-493C-AD6D-F47611C369D5}" name="Cliente" dataDxfId="1183" dataCellStyle="Moeda"/>
    <tableColumn id="2" xr3:uid="{3BF4EA26-026F-42E1-9B28-3FCC68B54E9F}" name="Forma de Pgto" dataDxfId="1182" dataCellStyle="Moeda"/>
    <tableColumn id="3" xr3:uid="{FD063076-8462-4774-B716-34AAD1738449}" name="Valor Venda" dataDxfId="1181" dataCellStyle="Porcentagem"/>
    <tableColumn id="4" xr3:uid="{690445E0-65B1-450A-A6D3-179070107086}" name="Entrada" dataDxfId="1180" dataCellStyle="Porcentagem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79" dataDxfId="1177" headerRowBorderDxfId="1178" tableBorderDxfId="1176" totalsRowBorderDxfId="1175">
  <autoFilter ref="K5:M11" xr:uid="{00000000-0009-0000-0100-000015000000}"/>
  <tableColumns count="3">
    <tableColumn id="1" xr3:uid="{5D510C76-887A-4F0A-A2F3-BD55732E9E85}" name="Descrição" dataDxfId="1174"/>
    <tableColumn id="2" xr3:uid="{F6C1F4A7-28F4-48F8-905E-708FA62EB574}" name="Tipo de Pagto" dataDxfId="1173"/>
    <tableColumn id="3" xr3:uid="{E62B0002-F6CD-4351-A9EA-673FC7C97B03}" name="Valor" dataDxfId="1172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1" totalsRowShown="0" headerRowDxfId="1171" dataDxfId="1169" headerRowBorderDxfId="1170" tableBorderDxfId="1168" totalsRowBorderDxfId="116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E1F9D64-D74D-43FD-A25D-F33C4D3EBF79}" name="Nº Venda" dataDxfId="1166"/>
    <tableColumn id="2" xr3:uid="{822B50C3-46B7-46F0-8829-5293CCAFB21E}" name="Cliente" dataDxfId="1165"/>
    <tableColumn id="3" xr3:uid="{F2A36AB3-30D6-4C43-A466-18FF147EE075}" name="Forma de Pgto" dataDxfId="1164" dataCellStyle="Moeda"/>
    <tableColumn id="4" xr3:uid="{AD829CF8-2271-44F1-A1F1-4928D83ED658}" name="Valor Venda" dataDxfId="1163" dataCellStyle="Porcentagem"/>
    <tableColumn id="5" xr3:uid="{7973C843-3740-4AE2-931D-89DE845BA145}" name="Entrada" dataDxfId="1162" dataCellStyle="Porcentagem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61" dataDxfId="1159" headerRowBorderDxfId="1160" tableBorderDxfId="1158" totalsRowBorderDxfId="115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04BEA27-9F48-40AC-AF84-177E7CA2ADEC}" name="OS" dataDxfId="1156"/>
    <tableColumn id="2" xr3:uid="{BC07784A-25E9-4C57-B0FF-1E3D183BCD37}" name="Vendedor" dataDxfId="1155"/>
    <tableColumn id="3" xr3:uid="{EFFF7860-5B35-466B-BA53-4485DC02FB15}" name="CARNE" dataDxfId="1154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4:I42" totalsRowShown="0" headerRowDxfId="1153" dataDxfId="1151" headerRowBorderDxfId="1152" tableBorderDxfId="1150" totalsRowBorderDxfId="1149">
  <autoFilter ref="E34:I42" xr:uid="{B9E2F984-8588-4F2C-9FB9-680284154679}"/>
  <sortState xmlns:xlrd2="http://schemas.microsoft.com/office/spreadsheetml/2017/richdata2" ref="E35:I42">
    <sortCondition ref="E34:E42"/>
  </sortState>
  <tableColumns count="5">
    <tableColumn id="1" xr3:uid="{0AD70F2E-47A6-41CF-83BB-24674AC9CA07}" name="OS" dataDxfId="1148"/>
    <tableColumn id="2" xr3:uid="{A8D4686B-F05E-4D96-BDB9-FD354C9E28B8}" name="Cliente" dataDxfId="1147"/>
    <tableColumn id="3" xr3:uid="{0FB871EC-4505-4E7C-A162-0EFDB16AB8E5}" name="Forma de Pgto" dataDxfId="1146" dataCellStyle="Moeda"/>
    <tableColumn id="4" xr3:uid="{41436228-3E61-4F7F-80EF-627B1794150B}" name="Valor Parcela" dataDxfId="1145" dataCellStyle="Porcentagem"/>
    <tableColumn id="5" xr3:uid="{9C580DC7-08E3-4AD7-B73C-C1AA4298633B}" name="Nº Parcela" dataDxfId="1144" dataCellStyle="Porcentagem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2" totalsRowShown="0" headerRowDxfId="1143" dataDxfId="1141" headerRowBorderDxfId="1142" tableBorderDxfId="1140" totalsRowBorderDxfId="1139">
  <autoFilter ref="K34:M42" xr:uid="{1B8643D4-6AC3-4029-882A-C62E9D7CB225}"/>
  <tableColumns count="3">
    <tableColumn id="1" xr3:uid="{6E774D52-7DFE-4ED1-9F2F-47B5899CBAC1}" name="OS" dataDxfId="1138"/>
    <tableColumn id="2" xr3:uid="{39CE62CA-537C-4DF4-B8D5-281ED0EE57C3}" name="Parcelas" dataDxfId="1137"/>
    <tableColumn id="3" xr3:uid="{830AFF05-9BCF-488F-97F3-8D4378DE4DCB}" name="Valor Total" dataDxfId="1136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35" dataDxfId="1133" headerRowBorderDxfId="1134" tableBorderDxfId="1132" totalsRowBorderDxfId="113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30" dataCellStyle="Moeda"/>
    <tableColumn id="5" xr3:uid="{CE0B3E90-9420-4A96-9195-72088311874E}" name="Cliente" dataDxfId="1129" dataCellStyle="Moeda"/>
    <tableColumn id="2" xr3:uid="{3EF1B45D-588D-4066-8ACF-697863B5F984}" name="Forma de Pgto" dataDxfId="1128" dataCellStyle="Moeda"/>
    <tableColumn id="3" xr3:uid="{9ADBAC7B-B04C-4E2B-9C83-E18200698CCE}" name="Valor Venda" dataDxfId="1127" dataCellStyle="Porcentagem"/>
    <tableColumn id="4" xr3:uid="{16823673-1F5B-4F46-A676-8665CF4D02BA}" name="Entrada" dataDxfId="1126" dataCellStyle="Porcentagem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25" dataDxfId="1123" headerRowBorderDxfId="1124" tableBorderDxfId="1122" totalsRowBorderDxfId="1121">
  <autoFilter ref="K5:M11" xr:uid="{00000000-0009-0000-0100-000015000000}"/>
  <tableColumns count="3">
    <tableColumn id="1" xr3:uid="{A02811B4-F6FA-4EDA-94FE-5EDFE6293B48}" name="Descrição" dataDxfId="1120"/>
    <tableColumn id="2" xr3:uid="{39EAD4CE-DDFA-4948-8B1E-10589BABDD84}" name="Tipo de Pagto" dataDxfId="1119"/>
    <tableColumn id="3" xr3:uid="{30C3BD81-38C9-4C67-BF45-044DFDDD7A0B}" name="Valor" dataDxfId="1118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117" dataDxfId="1115" headerRowBorderDxfId="1116" tableBorderDxfId="1114" totalsRowBorderDxfId="111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112"/>
    <tableColumn id="2" xr3:uid="{BE6E3444-490A-4F75-BE63-234EB84D04F7}" name="Cliente" dataDxfId="1111"/>
    <tableColumn id="3" xr3:uid="{868472E6-6C45-4AEC-9672-E559CFA15EA7}" name="Forma de Pgto" dataDxfId="1110" dataCellStyle="Moeda"/>
    <tableColumn id="4" xr3:uid="{DB2D0AA9-9B1E-4A35-B9B2-8B1052EAD782}" name="Valor Venda" dataDxfId="1109" dataCellStyle="Porcentagem"/>
    <tableColumn id="5" xr3:uid="{C23CEEDF-415E-4EFC-ACF7-2661157A84C3}" name="Entrada" dataDxfId="1108" dataCellStyle="Porcentagem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107" dataDxfId="1105" headerRowBorderDxfId="1106" tableBorderDxfId="1104" totalsRowBorderDxfId="1103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AA11040-DE86-4FBA-899D-4F8D992FF700}" name="OS" dataDxfId="1102"/>
    <tableColumn id="2" xr3:uid="{13D709D4-8F81-4D58-95F2-22F1C686CB18}" name="Vendedor" dataDxfId="1101"/>
    <tableColumn id="3" xr3:uid="{92130A71-CEC8-4371-B6C9-DA29C0189A09}" name="CARNE" dataDxfId="1100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99" dataDxfId="1097" headerRowBorderDxfId="1098" tableBorderDxfId="1096" totalsRowBorderDxfId="109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94"/>
    <tableColumn id="2" xr3:uid="{7652DD36-D535-400C-856B-02CB62C18176}" name="Cliente" dataDxfId="1093"/>
    <tableColumn id="3" xr3:uid="{129618E1-FDB4-497A-9DB0-29AC7143AF10}" name="Forma de Pgto" dataDxfId="1092" dataCellStyle="Moeda"/>
    <tableColumn id="4" xr3:uid="{EC69F906-8001-4D12-8ED6-D597AE23E936}" name="Valor Parcela" dataDxfId="1091" dataCellStyle="Porcentagem"/>
    <tableColumn id="5" xr3:uid="{65040BF1-55E0-4DD6-926F-3F0324D47077}" name="Nº Parcela" dataDxfId="1090" dataCellStyle="Porcentagem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89" dataDxfId="1087" headerRowBorderDxfId="1088" tableBorderDxfId="1086" totalsRowBorderDxfId="1085">
  <autoFilter ref="K34:M41" xr:uid="{1B8643D4-6AC3-4029-882A-C62E9D7CB225}"/>
  <tableColumns count="3">
    <tableColumn id="1" xr3:uid="{710179D9-1888-45A0-96B5-C6E1151FFFF0}" name="OS" dataDxfId="1084"/>
    <tableColumn id="2" xr3:uid="{D9D130F4-6D87-4655-90D8-AF3976107C2A}" name="Parcelas" dataDxfId="1083"/>
    <tableColumn id="3" xr3:uid="{07DCBA20-7E86-4F99-AED4-2BDCD854B71C}" name="Valor Total" dataDxfId="1082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81" dataDxfId="1079" headerRowBorderDxfId="1080" tableBorderDxfId="1078" totalsRowBorderDxfId="107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76" dataCellStyle="Moeda"/>
    <tableColumn id="5" xr3:uid="{C388448A-992D-4C2D-8BB2-14D587C7E260}" name="Cliente" dataDxfId="1075" dataCellStyle="Moeda"/>
    <tableColumn id="2" xr3:uid="{C66BE185-63F5-4991-91CC-2661F40F891F}" name="Forma de Pgto" dataDxfId="1074" dataCellStyle="Moeda"/>
    <tableColumn id="3" xr3:uid="{C86C165C-F04B-4F8A-9769-AE38C03F025E}" name="Valor Venda" dataDxfId="1073" dataCellStyle="Porcentagem"/>
    <tableColumn id="4" xr3:uid="{C11C99C9-E646-4417-8698-61AFF55AB567}" name="Entrada" dataDxfId="1072" dataCellStyle="Porcentagem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71" dataDxfId="1069" headerRowBorderDxfId="1070" tableBorderDxfId="1068" totalsRowBorderDxfId="1067">
  <autoFilter ref="K5:M11" xr:uid="{00000000-0009-0000-0100-000015000000}"/>
  <tableColumns count="3">
    <tableColumn id="1" xr3:uid="{696BC9EF-69BB-4D0D-96DF-B836B5771C08}" name="Descrição" dataDxfId="1066"/>
    <tableColumn id="2" xr3:uid="{4F12E940-09E4-4E51-A2A0-CEF5523233E2}" name="Tipo de Pagto" dataDxfId="1065"/>
    <tableColumn id="3" xr3:uid="{329E2ABB-99D4-47D1-8CEB-C3F4DE69A1C8}" name="Valor" dataDxfId="1064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63" dataDxfId="1061" headerRowBorderDxfId="1062" tableBorderDxfId="1060" totalsRowBorderDxfId="105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58"/>
    <tableColumn id="2" xr3:uid="{4745164B-5E29-4C65-87CA-C8C1B31B8272}" name="Cliente" dataDxfId="1057"/>
    <tableColumn id="3" xr3:uid="{69D7D490-36CA-4F69-BF76-2ADB810B4F37}" name="Forma de Pgto" dataDxfId="1056" dataCellStyle="Moeda"/>
    <tableColumn id="4" xr3:uid="{9B6B365B-42F7-499F-B705-B8F5196F8192}" name="Valor Venda" dataDxfId="1055" dataCellStyle="Porcentagem"/>
    <tableColumn id="5" xr3:uid="{7C88B9A2-2920-4AD8-AC1F-7417F3FA8282}" name="Entrada" dataDxfId="1054" dataCellStyle="Porcentagem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53" dataDxfId="1051" headerRowBorderDxfId="1052" tableBorderDxfId="1050" totalsRowBorderDxfId="104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740FA63-223C-47B7-8842-178B003DB4BC}" name="OS" dataDxfId="1048"/>
    <tableColumn id="2" xr3:uid="{5CCC3C75-C80E-44BB-BC37-80F487481DDA}" name="Vendedor" dataDxfId="1047"/>
    <tableColumn id="3" xr3:uid="{585175B8-B982-429E-9344-163CE2687302}" name="CARNE" dataDxfId="1046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45" dataDxfId="1043" headerRowBorderDxfId="1044" tableBorderDxfId="1042" totalsRowBorderDxfId="1041">
  <autoFilter ref="E34:I41" xr:uid="{B9E2F984-8588-4F2C-9FB9-680284154679}"/>
  <sortState xmlns:xlrd2="http://schemas.microsoft.com/office/spreadsheetml/2017/richdata2" ref="E35:I41">
    <sortCondition ref="E34:E41"/>
  </sortState>
  <tableColumns count="5">
    <tableColumn id="1" xr3:uid="{BE82ADFA-0EE6-43F9-AB92-E1B2BA769F26}" name="OS" dataDxfId="1040"/>
    <tableColumn id="2" xr3:uid="{2540FF22-68AB-4A04-B72D-DDBC8B064A8D}" name="Cliente" dataDxfId="1039"/>
    <tableColumn id="3" xr3:uid="{A7CB1680-9636-42C6-8AD9-F68C54BBCE0A}" name="Forma de Pgto" dataDxfId="1038" dataCellStyle="Moeda"/>
    <tableColumn id="4" xr3:uid="{727C37A8-450C-4D57-A2C9-396F29733C0A}" name="Valor Parcela" dataDxfId="1037" dataCellStyle="Porcentagem"/>
    <tableColumn id="5" xr3:uid="{4B27DCBF-BD8C-46A2-BC12-DE369C458E8A}" name="Nº Parcela" dataDxfId="1036" dataCellStyle="Porcentagem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35" dataDxfId="1033" headerRowBorderDxfId="1034" tableBorderDxfId="1032" totalsRowBorderDxfId="1031">
  <autoFilter ref="K34:M41" xr:uid="{1B8643D4-6AC3-4029-882A-C62E9D7CB225}"/>
  <tableColumns count="3">
    <tableColumn id="1" xr3:uid="{60FAE849-4EC1-49E6-990F-8A43377EE6C3}" name="OS" dataDxfId="1030"/>
    <tableColumn id="2" xr3:uid="{B3127003-34D7-49FE-AFFC-7FA256F8BC3F}" name="Parcelas" dataDxfId="1029"/>
    <tableColumn id="3" xr3:uid="{412AC98E-5FB9-4C3C-9FBF-2EBE1631A397}" name="Valor Total" dataDxfId="1028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27" dataDxfId="1025" headerRowBorderDxfId="1026" tableBorderDxfId="1024" totalsRowBorderDxfId="102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22" dataCellStyle="Moeda"/>
    <tableColumn id="5" xr3:uid="{A1AF61B3-EFAB-450A-92B2-38E357233CD5}" name="Cliente" dataDxfId="1021" dataCellStyle="Moeda"/>
    <tableColumn id="2" xr3:uid="{DF277353-579D-439F-85C3-76DEACDE7A39}" name="Forma de Pgto" dataDxfId="1020" dataCellStyle="Moeda"/>
    <tableColumn id="3" xr3:uid="{7164D8F5-C0CB-47F7-BD16-B590E7D85EDB}" name="Valor Venda" dataDxfId="1019" dataCellStyle="Porcentagem"/>
    <tableColumn id="4" xr3:uid="{065B051D-7958-4E7D-972D-DDB0E8E7D052}" name="Entrada" dataDxfId="1018" dataCellStyle="Porcentagem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1017" dataDxfId="1015" headerRowBorderDxfId="1016" tableBorderDxfId="1014" totalsRowBorderDxfId="1013">
  <autoFilter ref="K5:M11" xr:uid="{00000000-0009-0000-0100-000015000000}"/>
  <tableColumns count="3">
    <tableColumn id="1" xr3:uid="{865498B1-F05E-46C9-B6C1-CCD85D9306C6}" name="Descrição" dataDxfId="1012"/>
    <tableColumn id="2" xr3:uid="{37F7AC6A-A7CD-43FB-89B1-5E904BAC1EBD}" name="Tipo de Pagto" dataDxfId="1011"/>
    <tableColumn id="3" xr3:uid="{A014E45A-B38A-47C2-A582-411CA2B495EE}" name="Valor" dataDxfId="1010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0" totalsRowShown="0" headerRowDxfId="1009" dataDxfId="1007" headerRowBorderDxfId="1008" tableBorderDxfId="1006" totalsRowBorderDxfId="1005">
  <autoFilter ref="E25:I30" xr:uid="{00000000-0009-0000-0100-000016000000}"/>
  <sortState xmlns:xlrd2="http://schemas.microsoft.com/office/spreadsheetml/2017/richdata2" ref="E26:I30">
    <sortCondition ref="E25:E30"/>
  </sortState>
  <tableColumns count="5">
    <tableColumn id="1" xr3:uid="{CC487CAE-CC27-411A-A094-B78D46045632}" name="Nº Venda" dataDxfId="1004"/>
    <tableColumn id="2" xr3:uid="{BC7B7FC1-CF4C-42C2-ABD3-DFEEA234B02B}" name="Cliente" dataDxfId="1003"/>
    <tableColumn id="3" xr3:uid="{67F17557-E38E-4865-93F5-DCEF4A7ED2C6}" name="Forma de Pgto" dataDxfId="1002" dataCellStyle="Moeda"/>
    <tableColumn id="4" xr3:uid="{D2C10329-9C1A-4D0D-BC74-3A320E9B6593}" name="Valor Venda" dataDxfId="1001" dataCellStyle="Porcentagem"/>
    <tableColumn id="5" xr3:uid="{82810E21-D152-4A22-94D5-0A28C60F4849}" name="Entrada" dataDxfId="1000" dataCellStyle="Porcentagem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0" totalsRowShown="0" headerRowDxfId="999" dataDxfId="997" headerRowBorderDxfId="998" tableBorderDxfId="996" totalsRowBorderDxfId="995">
  <autoFilter ref="K14:M30" xr:uid="{C83FE64B-E221-4DAA-89EA-5307A7BC98B3}"/>
  <sortState xmlns:xlrd2="http://schemas.microsoft.com/office/spreadsheetml/2017/richdata2" ref="K15:M30">
    <sortCondition ref="K14:K30"/>
  </sortState>
  <tableColumns count="3">
    <tableColumn id="1" xr3:uid="{7A4CC637-3546-4D1B-9D86-75C6034079BF}" name="OS" dataDxfId="994"/>
    <tableColumn id="2" xr3:uid="{CEB52B1C-2642-45A1-A1EB-26029A9B5402}" name="Vendedor" dataDxfId="993"/>
    <tableColumn id="3" xr3:uid="{8C88CFEB-7155-49BD-9D63-1FCC9096735E}" name="CARNE" dataDxfId="992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3:I40" totalsRowShown="0" headerRowDxfId="991" dataDxfId="989" headerRowBorderDxfId="990" tableBorderDxfId="988" totalsRowBorderDxfId="987">
  <autoFilter ref="E33:I40" xr:uid="{B9E2F984-8588-4F2C-9FB9-680284154679}"/>
  <sortState xmlns:xlrd2="http://schemas.microsoft.com/office/spreadsheetml/2017/richdata2" ref="E34:I39">
    <sortCondition ref="E25:E30"/>
  </sortState>
  <tableColumns count="5">
    <tableColumn id="1" xr3:uid="{1DB4C12B-EA3D-46AB-A74D-0E714AC049CD}" name="OS" dataDxfId="986"/>
    <tableColumn id="2" xr3:uid="{7C3577CA-FC44-4DC9-9002-D4EA74DFF73F}" name="Cliente" dataDxfId="985"/>
    <tableColumn id="3" xr3:uid="{77D25058-5D06-4E37-8746-BF184DDEEA81}" name="Forma de Pgto" dataDxfId="984" dataCellStyle="Moeda"/>
    <tableColumn id="4" xr3:uid="{5EDAFC3F-F478-449C-990C-45300A2C66DF}" name="Valor Parcela" dataDxfId="983" dataCellStyle="Porcentagem"/>
    <tableColumn id="5" xr3:uid="{5DBCC805-C046-4526-8886-13334D431CB2}" name="Nº Parcela" dataDxfId="982" dataCellStyle="Porcentagem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3:M40" totalsRowShown="0" headerRowDxfId="981" dataDxfId="979" headerRowBorderDxfId="980" tableBorderDxfId="978" totalsRowBorderDxfId="977">
  <autoFilter ref="K33:M40" xr:uid="{1B8643D4-6AC3-4029-882A-C62E9D7CB225}"/>
  <tableColumns count="3">
    <tableColumn id="1" xr3:uid="{FDFEB034-D746-488E-9611-5C5421DF9812}" name="OS" dataDxfId="976"/>
    <tableColumn id="2" xr3:uid="{AD1C8A9C-91DA-4D2C-A438-9B8648A5521B}" name="Parcelas" dataDxfId="975"/>
    <tableColumn id="3" xr3:uid="{577D3B3F-3A18-4FE3-8E0F-E82C9012821F}" name="Valor Total" dataDxfId="974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73" dataDxfId="971" headerRowBorderDxfId="972" tableBorderDxfId="970" totalsRowBorderDxfId="9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68" dataCellStyle="Moeda"/>
    <tableColumn id="5" xr3:uid="{53B9FE46-E769-466F-9757-A5C752203582}" name="Cliente" dataDxfId="967" dataCellStyle="Moeda"/>
    <tableColumn id="2" xr3:uid="{9AFD5C78-132A-4E21-96EC-75882307A334}" name="Forma de Pgto" dataDxfId="966" dataCellStyle="Moeda"/>
    <tableColumn id="3" xr3:uid="{0B7791DE-BC7F-4EA7-87CC-E8588E2F6D00}" name="Valor Venda" dataDxfId="965" dataCellStyle="Porcentagem"/>
    <tableColumn id="4" xr3:uid="{EDACC2B7-28DE-40D1-BC9D-356B5D64934D}" name="Entrada" dataDxfId="964" dataCellStyle="Porcentagem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63" dataDxfId="961" headerRowBorderDxfId="962" tableBorderDxfId="960" totalsRowBorderDxfId="959">
  <autoFilter ref="K5:M11" xr:uid="{00000000-0009-0000-0100-000015000000}"/>
  <tableColumns count="3">
    <tableColumn id="1" xr3:uid="{F638F61A-E4B9-4300-BD8D-C0A6A3D7A8E2}" name="Descrição" dataDxfId="958"/>
    <tableColumn id="2" xr3:uid="{9DC04330-37E5-4813-8F2D-4BAA554527A5}" name="Tipo de Pagto" dataDxfId="957"/>
    <tableColumn id="3" xr3:uid="{799A991A-3D2C-4EC1-A2D8-A1F3023DD9AF}" name="Valor" dataDxfId="956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55" dataDxfId="953" headerRowBorderDxfId="954" tableBorderDxfId="952" totalsRowBorderDxfId="9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50"/>
    <tableColumn id="2" xr3:uid="{2FD43CA2-90CA-449B-821F-205F1748177C}" name="Cliente" dataDxfId="949"/>
    <tableColumn id="3" xr3:uid="{A5640B64-FD50-49A5-B305-E61D9280F57A}" name="Forma de Pgto" dataDxfId="948" dataCellStyle="Moeda"/>
    <tableColumn id="4" xr3:uid="{26AD2EE8-2400-4B07-A340-99B1BA546B01}" name="Valor Venda" dataDxfId="947" dataCellStyle="Porcentagem"/>
    <tableColumn id="5" xr3:uid="{DF786930-B464-48C0-92C5-A18D129572D3}" name="Entrada" dataDxfId="946" dataCellStyle="Porcentagem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45" dataDxfId="943" headerRowBorderDxfId="944" tableBorderDxfId="942" totalsRowBorderDxfId="94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686E8A3B-2CC1-443E-B3F0-07F1D6AF8C19}" name="OS" dataDxfId="940"/>
    <tableColumn id="2" xr3:uid="{1250D1EA-82EB-4EB4-AEDB-99799165C996}" name="Vendedor" dataDxfId="939"/>
    <tableColumn id="3" xr3:uid="{F6A6C0FE-3106-4929-AC63-C2A418BAD9A1}" name="CARNE" dataDxfId="938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37" dataDxfId="935" headerRowBorderDxfId="936" tableBorderDxfId="934" totalsRowBorderDxfId="93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32"/>
    <tableColumn id="2" xr3:uid="{6946C657-632E-4A47-A04C-EBD987018798}" name="Cliente" dataDxfId="931"/>
    <tableColumn id="3" xr3:uid="{11747110-E63B-4D92-AE0D-F744DD494204}" name="Forma de Pgto" dataDxfId="930" dataCellStyle="Moeda"/>
    <tableColumn id="4" xr3:uid="{7637A14A-3C11-482C-A77B-09489718F039}" name="Valor Parcela" dataDxfId="929" dataCellStyle="Porcentagem"/>
    <tableColumn id="5" xr3:uid="{E03E863B-EAD4-4137-9B26-2CA0EAC2F09E}" name="Nº Parcela" dataDxfId="928" dataCellStyle="Porcentagem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27" dataDxfId="925" headerRowBorderDxfId="926" tableBorderDxfId="924" totalsRowBorderDxfId="923">
  <autoFilter ref="K34:M41" xr:uid="{1B8643D4-6AC3-4029-882A-C62E9D7CB225}"/>
  <tableColumns count="3">
    <tableColumn id="1" xr3:uid="{6F6F5FBA-037D-4F8B-8355-AC821A55F803}" name="OS" dataDxfId="922"/>
    <tableColumn id="2" xr3:uid="{BEED8472-6636-42D9-A60A-E43C842B7D8F}" name="Parcelas" dataDxfId="921"/>
    <tableColumn id="3" xr3:uid="{0CE64280-F6A9-46AC-8696-F227912F6552}" name="Valor Total" dataDxfId="920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19" dataDxfId="917" headerRowBorderDxfId="918" tableBorderDxfId="916" totalsRowBorderDxfId="9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914" dataCellStyle="Moeda"/>
    <tableColumn id="5" xr3:uid="{864A4F89-382F-4099-9D59-467A7AB12940}" name="Cliente" dataDxfId="913" dataCellStyle="Moeda"/>
    <tableColumn id="2" xr3:uid="{529253EE-0917-4E7A-AA5F-14D2DCAD4080}" name="Forma de Pgto" dataDxfId="912" dataCellStyle="Moeda"/>
    <tableColumn id="3" xr3:uid="{7A07E6EC-5721-4AB5-B7BB-F8D16153B615}" name="Valor Venda" dataDxfId="911" dataCellStyle="Porcentagem"/>
    <tableColumn id="4" xr3:uid="{E3569DCA-7BA5-47A8-9C20-6FB2B553052E}" name="Entrada" dataDxfId="910" dataCellStyle="Porcentagem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909" dataDxfId="907" headerRowBorderDxfId="908" tableBorderDxfId="906" totalsRowBorderDxfId="905">
  <autoFilter ref="K5:M11" xr:uid="{00000000-0009-0000-0100-000015000000}"/>
  <tableColumns count="3">
    <tableColumn id="1" xr3:uid="{95CF041F-F7B4-4974-9B76-66A5C7C3CF1E}" name="Descrição" dataDxfId="904"/>
    <tableColumn id="2" xr3:uid="{010F2147-2B02-4E80-9D4E-E9E6110BD535}" name="Tipo de Pagto" dataDxfId="903"/>
    <tableColumn id="3" xr3:uid="{667C80AD-481C-4689-8F6A-2426991759A7}" name="Valor" dataDxfId="902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901" dataDxfId="899" headerRowBorderDxfId="900" tableBorderDxfId="898" totalsRowBorderDxfId="8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96"/>
    <tableColumn id="2" xr3:uid="{A401C727-3942-4BDF-BC32-5D789E1F6979}" name="Cliente" dataDxfId="895"/>
    <tableColumn id="3" xr3:uid="{29237CE2-AC3D-477F-ABA7-60B5DA6F8120}" name="Forma de Pgto" dataDxfId="894" dataCellStyle="Moeda"/>
    <tableColumn id="4" xr3:uid="{A39B1F5A-49E3-45B8-BCA8-E3252A43E2CC}" name="Valor Venda" dataDxfId="893" dataCellStyle="Porcentagem"/>
    <tableColumn id="5" xr3:uid="{A1809E96-D43C-48CA-B4B0-F8952BB21709}" name="Entrada" dataDxfId="892" dataCellStyle="Porcentagem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91" dataDxfId="889" headerRowBorderDxfId="890" tableBorderDxfId="888" totalsRowBorderDxfId="88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6C94D3F-8E22-47DC-AA8B-FBABE57C94EE}" name="OS" dataDxfId="886"/>
    <tableColumn id="2" xr3:uid="{61C3945B-58EB-4D02-A420-14D13F69B1FD}" name="Vendedor" dataDxfId="885"/>
    <tableColumn id="3" xr3:uid="{310A696D-E474-4609-8CAC-92E3BC19A517}" name="CARNE" dataDxfId="884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83" dataDxfId="881" headerRowBorderDxfId="882" tableBorderDxfId="880" totalsRowBorderDxfId="8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78"/>
    <tableColumn id="2" xr3:uid="{A7114117-5F41-4611-B14C-A3B2F7C35961}" name="Cliente" dataDxfId="877"/>
    <tableColumn id="3" xr3:uid="{3B2F2924-60FC-459E-BAAE-2D26D316360F}" name="Forma de Pgto" dataDxfId="876" dataCellStyle="Moeda"/>
    <tableColumn id="4" xr3:uid="{8C86BF8B-36B7-46FA-B050-2F1437A14710}" name="Valor Parcela" dataDxfId="875" dataCellStyle="Porcentagem"/>
    <tableColumn id="5" xr3:uid="{C429DF1A-E6B0-43DD-A949-A1EBA6DBEC04}" name="Nº Parcela" dataDxfId="874" dataCellStyle="Porcentagem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73" dataDxfId="871" headerRowBorderDxfId="872" tableBorderDxfId="870" totalsRowBorderDxfId="869">
  <autoFilter ref="K34:M41" xr:uid="{1B8643D4-6AC3-4029-882A-C62E9D7CB225}"/>
  <tableColumns count="3">
    <tableColumn id="1" xr3:uid="{182484ED-66B8-43D1-B168-BDEB5996673F}" name="OS" dataDxfId="868"/>
    <tableColumn id="2" xr3:uid="{FC47BB11-B6D3-4928-BFCD-BDAC4B2BDD2F}" name="Parcelas" dataDxfId="867"/>
    <tableColumn id="3" xr3:uid="{F7E0E4E8-A2A1-4513-B1F5-B98008299FD0}" name="Valor Total" dataDxfId="866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65" dataDxfId="863" headerRowBorderDxfId="864" tableBorderDxfId="862" totalsRowBorderDxfId="86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60" dataCellStyle="Moeda"/>
    <tableColumn id="5" xr3:uid="{2B9E675C-5EB2-4EBC-8FDE-19F93E6E7B08}" name="Cliente" dataDxfId="859" dataCellStyle="Moeda"/>
    <tableColumn id="2" xr3:uid="{04A3548D-E88B-4096-85CB-E08243412A85}" name="Forma de Pgto" dataDxfId="858" dataCellStyle="Moeda"/>
    <tableColumn id="3" xr3:uid="{977F794D-E094-4347-935B-1202B7138C52}" name="Valor Venda" dataDxfId="857" dataCellStyle="Porcentagem"/>
    <tableColumn id="4" xr3:uid="{908F3845-FF06-4899-A550-28B1BE92D1A9}" name="Entrada" dataDxfId="856" dataCellStyle="Porcentagem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55" dataDxfId="853" headerRowBorderDxfId="854" tableBorderDxfId="852" totalsRowBorderDxfId="851">
  <autoFilter ref="K5:M11" xr:uid="{00000000-0009-0000-0100-000015000000}"/>
  <tableColumns count="3">
    <tableColumn id="1" xr3:uid="{F9AC75BC-BCF6-4B22-9F75-0F3CC507495B}" name="Descrição" dataDxfId="850"/>
    <tableColumn id="2" xr3:uid="{61D86D1A-7892-4923-9684-5D9A01F0BD5D}" name="Tipo de Pagto" dataDxfId="849"/>
    <tableColumn id="3" xr3:uid="{3F8C718F-C7FE-423F-9F48-66FB2201CFE2}" name="Valor" dataDxfId="848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47" dataDxfId="845" headerRowBorderDxfId="846" tableBorderDxfId="844" totalsRowBorderDxfId="84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42"/>
    <tableColumn id="2" xr3:uid="{994EFF98-DD95-4B94-B1C7-D068C1D5212C}" name="Cliente" dataDxfId="841"/>
    <tableColumn id="3" xr3:uid="{7D4E72E0-4CFA-46C9-B3AF-A1654CF194A1}" name="Forma de Pgto" dataDxfId="840" dataCellStyle="Moeda"/>
    <tableColumn id="4" xr3:uid="{EE367263-F1E4-4631-A484-2013B6BA1F27}" name="Valor Venda" dataDxfId="839" dataCellStyle="Porcentagem"/>
    <tableColumn id="5" xr3:uid="{9DA475CB-BD5A-4734-A11F-3BB7DD0D9D7E}" name="Entrada" dataDxfId="838" dataCellStyle="Porcentagem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37" dataDxfId="835" headerRowBorderDxfId="836" tableBorderDxfId="834" totalsRowBorderDxfId="833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3DA7B618-15C5-4547-A26D-ABC55A01467A}" name="OS" dataDxfId="832"/>
    <tableColumn id="2" xr3:uid="{9ED68045-86C7-4BE0-8AE0-0417F1DD76FD}" name="Vendedor" dataDxfId="831"/>
    <tableColumn id="3" xr3:uid="{F4076139-8BF9-457D-ADE6-1BCD435E31BB}" name="CARNE" dataDxfId="830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29" dataDxfId="827" headerRowBorderDxfId="828" tableBorderDxfId="826" totalsRowBorderDxfId="82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24"/>
    <tableColumn id="2" xr3:uid="{E89F59BF-5F0B-4E4E-B2BE-7B739967886D}" name="Cliente" dataDxfId="823"/>
    <tableColumn id="3" xr3:uid="{B348335B-A485-46BE-AECB-0672679F4468}" name="Forma de Pgto" dataDxfId="822" dataCellStyle="Moeda"/>
    <tableColumn id="4" xr3:uid="{73B13E6E-5431-4E90-9A6E-E15737DDA887}" name="Valor Parcela" dataDxfId="821" dataCellStyle="Porcentagem"/>
    <tableColumn id="5" xr3:uid="{C738A843-A8FD-4CB7-B2C8-59810BA17BF2}" name="Nº Parcela" dataDxfId="820" dataCellStyle="Porcentagem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19" dataDxfId="817" headerRowBorderDxfId="818" tableBorderDxfId="816" totalsRowBorderDxfId="815">
  <autoFilter ref="K34:M41" xr:uid="{1B8643D4-6AC3-4029-882A-C62E9D7CB225}"/>
  <tableColumns count="3">
    <tableColumn id="1" xr3:uid="{3F5F54B7-8999-4296-A374-3780F172D2B8}" name="OS" dataDxfId="814"/>
    <tableColumn id="2" xr3:uid="{5F252D86-495C-4A65-B391-3FF46311DE83}" name="Parcelas" dataDxfId="813"/>
    <tableColumn id="3" xr3:uid="{50E905DA-42A9-43E1-8D51-FD4BDEAB81C8}" name="Valor Total" dataDxfId="812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811" dataDxfId="809" headerRowBorderDxfId="810" tableBorderDxfId="808" totalsRowBorderDxfId="80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806" dataCellStyle="Moeda"/>
    <tableColumn id="5" xr3:uid="{08C272CC-0220-47BB-9263-1AA910D9829C}" name="Cliente" dataDxfId="805" dataCellStyle="Moeda"/>
    <tableColumn id="2" xr3:uid="{DF276F1F-7FCA-4CE9-AD90-5340B6E688D4}" name="Forma de Pgto" dataDxfId="804" dataCellStyle="Moeda"/>
    <tableColumn id="3" xr3:uid="{CF6FE509-8C51-4621-87DF-AAD8645E20D4}" name="Valor Venda" dataDxfId="803" dataCellStyle="Porcentagem"/>
    <tableColumn id="4" xr3:uid="{5AB6BADB-DBB7-45C0-89E8-2C836C831FCF}" name="Entrada" dataDxfId="802" dataCellStyle="Porcentagem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801" dataDxfId="799" headerRowBorderDxfId="800" tableBorderDxfId="798" totalsRowBorderDxfId="797">
  <autoFilter ref="K5:M11" xr:uid="{00000000-0009-0000-0100-000015000000}"/>
  <tableColumns count="3">
    <tableColumn id="1" xr3:uid="{8CE76670-7409-454F-9B3A-4BD739F5C5E3}" name="Descrição" dataDxfId="796"/>
    <tableColumn id="2" xr3:uid="{B2BAF2DB-A6EF-41C6-8A5D-66027E15C8F8}" name="Tipo de Pagto" dataDxfId="795"/>
    <tableColumn id="3" xr3:uid="{99CFD3BD-FC58-49DA-AC21-ACD3EE40336E}" name="Valor" dataDxfId="794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93" dataDxfId="791" headerRowBorderDxfId="792" tableBorderDxfId="790" totalsRowBorderDxfId="78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88"/>
    <tableColumn id="2" xr3:uid="{B886F79B-BD9C-476A-88F8-CB3F80E42FD0}" name="Cliente" dataDxfId="787"/>
    <tableColumn id="3" xr3:uid="{78D9CA4E-E9E8-4359-8144-996DE0EE7A64}" name="Forma de Pgto" dataDxfId="786" dataCellStyle="Moeda"/>
    <tableColumn id="4" xr3:uid="{F327BA72-0013-44A1-B3CE-07FACF46CAC8}" name="Valor Venda" dataDxfId="785" dataCellStyle="Porcentagem"/>
    <tableColumn id="5" xr3:uid="{20494810-9085-4087-A73E-D3FE8DC5C40D}" name="Entrada" dataDxfId="784" dataCellStyle="Porcentagem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83" dataDxfId="781" headerRowBorderDxfId="782" tableBorderDxfId="780" totalsRowBorderDxfId="77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0D1E49B-6CB3-409E-AFC1-7315BAF42BBF}" name="OS" dataDxfId="778"/>
    <tableColumn id="2" xr3:uid="{4C8709E7-DDF3-475B-9A19-42E8B9FC587D}" name="Vendedor" dataDxfId="777"/>
    <tableColumn id="3" xr3:uid="{185D4DF1-07D8-4494-B6E4-5B4CFC4E2B4E}" name="CARNE" dataDxfId="776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75" dataDxfId="773" headerRowBorderDxfId="774" tableBorderDxfId="772" totalsRowBorderDxfId="77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70"/>
    <tableColumn id="2" xr3:uid="{CA06119C-2085-4F7F-B293-65E2AF15EEE5}" name="Cliente" dataDxfId="769"/>
    <tableColumn id="3" xr3:uid="{BF529E56-33D1-40B5-8E7B-EFBAB59D2A71}" name="Forma de Pgto" dataDxfId="768" dataCellStyle="Moeda"/>
    <tableColumn id="4" xr3:uid="{66CAC967-C216-41AB-BBFE-D7EC8E60B5DB}" name="Valor Parcela" dataDxfId="767" dataCellStyle="Porcentagem"/>
    <tableColumn id="5" xr3:uid="{684E478E-5460-400B-8F1B-2956E3BF42E8}" name="Nº Parcela" dataDxfId="766" dataCellStyle="Porcentagem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65" dataDxfId="763" headerRowBorderDxfId="764" tableBorderDxfId="762" totalsRowBorderDxfId="761">
  <autoFilter ref="K34:M41" xr:uid="{1B8643D4-6AC3-4029-882A-C62E9D7CB225}"/>
  <tableColumns count="3">
    <tableColumn id="1" xr3:uid="{3DD44433-DB26-4FDD-8D11-D1C35C6FECEB}" name="OS" dataDxfId="760"/>
    <tableColumn id="2" xr3:uid="{A9DC5AE8-407E-40E2-8AD6-B02FE1A5CF20}" name="Parcelas" dataDxfId="759"/>
    <tableColumn id="3" xr3:uid="{6A850C65-FE9A-4796-B920-651ED5594439}" name="Valor Total" dataDxfId="758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757" dataDxfId="755" headerRowBorderDxfId="756" tableBorderDxfId="754" totalsRowBorderDxfId="753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52" dataCellStyle="Moeda"/>
    <tableColumn id="5" xr3:uid="{60E6A65C-186D-4764-A3E8-74F5C0B0AFC1}" name="Cliente" dataDxfId="751" dataCellStyle="Moeda"/>
    <tableColumn id="2" xr3:uid="{22FA520F-5DA7-46FD-9861-DF942B6D91AB}" name="Forma de Pgto" dataDxfId="750" dataCellStyle="Moeda"/>
    <tableColumn id="3" xr3:uid="{7DEE868C-EA7D-401A-A3DF-4CC64A44467F}" name="Valor Venda" dataDxfId="749" dataCellStyle="Porcentagem"/>
    <tableColumn id="4" xr3:uid="{720D25ED-5FF4-421F-94C6-24275CF94733}" name="Entrada" dataDxfId="748" dataCellStyle="Porcentagem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47" dataDxfId="745" headerRowBorderDxfId="746" tableBorderDxfId="744" totalsRowBorderDxfId="743">
  <autoFilter ref="K5:M11" xr:uid="{00000000-0009-0000-0100-000015000000}"/>
  <tableColumns count="3">
    <tableColumn id="1" xr3:uid="{2FBA0522-04E5-4ED5-94F6-52B232AF2373}" name="Descrição" dataDxfId="742"/>
    <tableColumn id="2" xr3:uid="{DB3FC5DE-C5F6-4B07-A662-D19BD76E91F6}" name="Tipo de Pagto" dataDxfId="741"/>
    <tableColumn id="3" xr3:uid="{A2799F30-0033-4E72-9108-ABF645A8DCD3}" name="Valor" dataDxfId="740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39" dataDxfId="737" headerRowBorderDxfId="738" tableBorderDxfId="736" totalsRowBorderDxfId="73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34"/>
    <tableColumn id="2" xr3:uid="{6DECDDC0-CF3A-4677-94C4-62618488FE89}" name="Cliente" dataDxfId="733"/>
    <tableColumn id="3" xr3:uid="{D40EA3F2-0782-4C3D-A060-4DCC1DCF2881}" name="Forma de Pgto" dataDxfId="732" dataCellStyle="Moeda"/>
    <tableColumn id="4" xr3:uid="{A527DD67-780C-4EE1-A7AE-0831114EA80A}" name="Valor Venda" dataDxfId="731" dataCellStyle="Porcentagem"/>
    <tableColumn id="5" xr3:uid="{4082F19A-5570-4E9D-B250-BCD24B16165E}" name="Entrada" dataDxfId="730" dataCellStyle="Porcentagem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29" dataDxfId="727" headerRowBorderDxfId="728" tableBorderDxfId="726" totalsRowBorderDxfId="725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CF4CC083-8415-4A42-9102-69414AAB96C8}" name="OS" dataDxfId="724"/>
    <tableColumn id="2" xr3:uid="{AFF5A585-6EEA-427D-B49B-A553763AA94C}" name="Vendedor" dataDxfId="723"/>
    <tableColumn id="3" xr3:uid="{2D8D088A-4AB0-487F-929A-89D197884938}" name="CARNE" dataDxfId="722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21" dataDxfId="719" headerRowBorderDxfId="720" tableBorderDxfId="718" totalsRowBorderDxfId="71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16"/>
    <tableColumn id="2" xr3:uid="{71667114-B8E0-4FEE-B3C4-B23C231E71C9}" name="Cliente" dataDxfId="715"/>
    <tableColumn id="3" xr3:uid="{413E4F46-D41F-4D0A-8403-3244651C22ED}" name="Forma de Pgto" dataDxfId="714" dataCellStyle="Moeda"/>
    <tableColumn id="4" xr3:uid="{695A7396-BEC7-498E-8F8D-5C11C17422D0}" name="Valor Parcela" dataDxfId="713" dataCellStyle="Porcentagem"/>
    <tableColumn id="5" xr3:uid="{7D0562F5-5DF1-49C0-BE96-CBD4632BD577}" name="Nº Parcela" dataDxfId="712" dataCellStyle="Porcentagem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711" dataDxfId="709" headerRowBorderDxfId="710" tableBorderDxfId="708" totalsRowBorderDxfId="707">
  <autoFilter ref="K34:M41" xr:uid="{1B8643D4-6AC3-4029-882A-C62E9D7CB225}"/>
  <tableColumns count="3">
    <tableColumn id="1" xr3:uid="{468A4151-2B13-428F-B7B3-DD7850FB056D}" name="OS" dataDxfId="706"/>
    <tableColumn id="2" xr3:uid="{0E5A1628-3806-4E80-9B5C-6CCB43ED7A95}" name="Parcelas" dataDxfId="705"/>
    <tableColumn id="3" xr3:uid="{94527026-C4E7-48B1-ADEC-FAE98EDE2DF7}" name="Valor Total" dataDxfId="704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703" dataDxfId="701" headerRowBorderDxfId="702" tableBorderDxfId="700" totalsRowBorderDxfId="69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98" dataCellStyle="Moeda"/>
    <tableColumn id="5" xr3:uid="{B476382F-8FC0-4C4B-904B-9CEC2FD1737F}" name="Cliente" dataDxfId="697" dataCellStyle="Moeda"/>
    <tableColumn id="2" xr3:uid="{9347CB1E-8ECB-4789-B3B3-F0676BCEF308}" name="Forma de Pgto" dataDxfId="696" dataCellStyle="Moeda"/>
    <tableColumn id="3" xr3:uid="{95E7B651-F8E7-4260-A9CD-31524C1AF920}" name="Valor Venda" dataDxfId="695" dataCellStyle="Porcentagem"/>
    <tableColumn id="4" xr3:uid="{E1F36979-874B-46CF-A70F-6769CE2B4972}" name="Entrada" dataDxfId="694" dataCellStyle="Porcentagem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93" dataDxfId="691" headerRowBorderDxfId="692" tableBorderDxfId="690" totalsRowBorderDxfId="689">
  <autoFilter ref="K5:M11" xr:uid="{00000000-0009-0000-0100-000015000000}"/>
  <tableColumns count="3">
    <tableColumn id="1" xr3:uid="{5DAF9728-D097-46AC-AFA1-2A7D5A636197}" name="Descrição" dataDxfId="688"/>
    <tableColumn id="2" xr3:uid="{7E14BBAB-F602-43F7-BA75-66182DDDFB5A}" name="Tipo de Pagto" dataDxfId="687"/>
    <tableColumn id="3" xr3:uid="{807C6654-E3F5-4B45-B712-93A22255EE13}" name="Valor" dataDxfId="686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85" dataDxfId="683" headerRowBorderDxfId="684" tableBorderDxfId="682" totalsRowBorderDxfId="68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80"/>
    <tableColumn id="2" xr3:uid="{DA2D4CE2-3235-4592-824A-D21C9FEE1324}" name="Cliente" dataDxfId="679"/>
    <tableColumn id="3" xr3:uid="{78436E8E-423C-4634-A0AC-78283D9649B2}" name="Forma de Pgto" dataDxfId="678" dataCellStyle="Moeda"/>
    <tableColumn id="4" xr3:uid="{9B5C140A-AEF6-451D-B599-1B3C00239BF3}" name="Valor Venda" dataDxfId="677" dataCellStyle="Porcentagem"/>
    <tableColumn id="5" xr3:uid="{91C4587E-3C3A-4A8E-B0CF-84D9FBCB29D6}" name="Entrada" dataDxfId="676" dataCellStyle="Porcentagem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75" dataDxfId="673" headerRowBorderDxfId="674" tableBorderDxfId="672" totalsRowBorderDxfId="67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0109EEB-FA95-426D-A1C8-873B914A4726}" name="OS" dataDxfId="670"/>
    <tableColumn id="2" xr3:uid="{8A5D657B-8F60-4746-999B-0FA3393A39E9}" name="Vendedor" dataDxfId="669"/>
    <tableColumn id="3" xr3:uid="{496CB9CC-67BF-4541-A109-5F5FF565C716}" name="CARNE" dataDxfId="668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67" dataDxfId="665" headerRowBorderDxfId="666" tableBorderDxfId="664" totalsRowBorderDxfId="66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62"/>
    <tableColumn id="2" xr3:uid="{B3362A08-206B-41A8-970B-34C6B8B4C7AA}" name="Cliente" dataDxfId="661"/>
    <tableColumn id="3" xr3:uid="{718A6844-98C1-4F96-8966-19162734BEB9}" name="Forma de Pgto" dataDxfId="660" dataCellStyle="Moeda"/>
    <tableColumn id="4" xr3:uid="{DC15894A-49A7-435B-A661-5666005BEEC8}" name="Valor Parcela" dataDxfId="659" dataCellStyle="Porcentagem"/>
    <tableColumn id="5" xr3:uid="{DE080DD1-0F6B-485E-8515-CE624433C220}" name="Nº Parcela" dataDxfId="658" dataCellStyle="Porcentagem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57" dataDxfId="655" headerRowBorderDxfId="656" tableBorderDxfId="654" totalsRowBorderDxfId="653">
  <autoFilter ref="K34:M41" xr:uid="{1B8643D4-6AC3-4029-882A-C62E9D7CB225}"/>
  <tableColumns count="3">
    <tableColumn id="1" xr3:uid="{DF952D1A-166D-4762-BD7E-3B8C91304310}" name="OS" dataDxfId="652"/>
    <tableColumn id="2" xr3:uid="{4F0F7384-D5B8-477E-9EC7-B82060EBBD78}" name="Parcelas" dataDxfId="651"/>
    <tableColumn id="3" xr3:uid="{8DD00EBF-D0FE-4903-8F44-7064A873609A}" name="Valor Total" dataDxfId="650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49" dataDxfId="647" headerRowBorderDxfId="648" tableBorderDxfId="646" totalsRowBorderDxfId="6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44" dataCellStyle="Moeda"/>
    <tableColumn id="5" xr3:uid="{F65697F3-20D0-4B41-BE55-C2885202D924}" name="Cliente" dataDxfId="643" dataCellStyle="Moeda"/>
    <tableColumn id="2" xr3:uid="{11E8E848-C035-46A3-B1AB-9BBD863CA30A}" name="Forma de Pgto" dataDxfId="642" dataCellStyle="Moeda"/>
    <tableColumn id="3" xr3:uid="{CE50BBF0-66D9-4ABB-AD66-D300C740ED4C}" name="Valor Venda" dataDxfId="641" dataCellStyle="Porcentagem"/>
    <tableColumn id="4" xr3:uid="{A6700982-093E-4E60-A8B4-C0EB11A78A03}" name="Entrada" dataDxfId="640" dataCellStyle="Porcentagem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39" dataDxfId="637" headerRowBorderDxfId="638" tableBorderDxfId="636" totalsRowBorderDxfId="635">
  <autoFilter ref="K5:M11" xr:uid="{00000000-0009-0000-0100-000015000000}"/>
  <tableColumns count="3">
    <tableColumn id="1" xr3:uid="{53B1873C-545D-4906-B601-0C81EDA7CFE1}" name="Descrição" dataDxfId="634"/>
    <tableColumn id="2" xr3:uid="{76E6DB40-F96B-4A9C-8632-7103030C72DC}" name="Tipo de Pagto" dataDxfId="633"/>
    <tableColumn id="3" xr3:uid="{C62F93B6-2A0A-47C6-8FF1-E604490619BC}" name="Valor" dataDxfId="632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31" dataDxfId="629" headerRowBorderDxfId="630" tableBorderDxfId="628" totalsRowBorderDxfId="6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26"/>
    <tableColumn id="2" xr3:uid="{B806E92F-CE0E-4D07-A956-20D8F2029057}" name="Cliente" dataDxfId="625"/>
    <tableColumn id="3" xr3:uid="{36BDBAFD-E01B-4EEA-BEB0-2FB5914B315B}" name="Forma de Pgto" dataDxfId="624" dataCellStyle="Moeda"/>
    <tableColumn id="4" xr3:uid="{56605023-01AD-4E35-8794-2FCCF14CCA1F}" name="Valor Venda" dataDxfId="623" dataCellStyle="Porcentagem"/>
    <tableColumn id="5" xr3:uid="{C1960D0E-D625-415E-9C4E-608948FC535D}" name="Entrada" dataDxfId="622" dataCellStyle="Porcentagem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21" dataDxfId="619" headerRowBorderDxfId="620" tableBorderDxfId="618" totalsRowBorderDxfId="61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6A036C59-7D03-43F7-84CF-EE3CB14BE67B}" name="OS" dataDxfId="616"/>
    <tableColumn id="2" xr3:uid="{C5A126A9-9B7F-4F06-ADC7-ACCED0396BF3}" name="Vendedor" dataDxfId="615"/>
    <tableColumn id="3" xr3:uid="{BA1C7B45-A00B-472E-A02F-25A3DC58D90D}" name="CARNE" dataDxfId="614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13" dataDxfId="611" headerRowBorderDxfId="612" tableBorderDxfId="610" totalsRowBorderDxfId="6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608"/>
    <tableColumn id="2" xr3:uid="{2C145274-4831-4FAC-9C72-4EE6C56B54AE}" name="Cliente" dataDxfId="607"/>
    <tableColumn id="3" xr3:uid="{DE981E69-6CF2-49CA-A2F4-E16E28E648B8}" name="Forma de Pgto" dataDxfId="606" dataCellStyle="Moeda"/>
    <tableColumn id="4" xr3:uid="{6444B2E2-EBBD-4AD1-8C9A-93047C0686E8}" name="Valor Parcela" dataDxfId="605" dataCellStyle="Porcentagem"/>
    <tableColumn id="5" xr3:uid="{04528C7F-DC52-411C-A2BF-BF90292C4224}" name="Nº Parcela" dataDxfId="604" dataCellStyle="Porcentagem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603" dataDxfId="601" headerRowBorderDxfId="602" tableBorderDxfId="600" totalsRowBorderDxfId="599">
  <autoFilter ref="K34:M41" xr:uid="{1B8643D4-6AC3-4029-882A-C62E9D7CB225}"/>
  <tableColumns count="3">
    <tableColumn id="1" xr3:uid="{B8F19651-A782-44BC-8BA0-FFD090973F4B}" name="OS" dataDxfId="598"/>
    <tableColumn id="2" xr3:uid="{47E2F01C-C7E6-4997-80A0-4C35FA7B082A}" name="Parcelas" dataDxfId="597"/>
    <tableColumn id="3" xr3:uid="{BBBC80DF-0D25-47A9-9C8A-B68DAC85549A}" name="Valor Total" dataDxfId="596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95" dataDxfId="593" headerRowBorderDxfId="594" tableBorderDxfId="592" totalsRowBorderDxfId="59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90" dataCellStyle="Moeda"/>
    <tableColumn id="5" xr3:uid="{63E5AEF6-80DE-4801-B1C2-914D1F185217}" name="Cliente" dataDxfId="589" dataCellStyle="Moeda"/>
    <tableColumn id="2" xr3:uid="{1109E74A-578C-491B-B35C-C22544718F14}" name="Forma de Pgto" dataDxfId="588" dataCellStyle="Moeda"/>
    <tableColumn id="3" xr3:uid="{5C59392A-0568-4E84-9867-F9DCD09B25B6}" name="Valor Venda" dataDxfId="587" dataCellStyle="Porcentagem"/>
    <tableColumn id="4" xr3:uid="{D2C3A378-8143-432B-A8C6-A6193ABD7662}" name="Entrada" dataDxfId="586" dataCellStyle="Porcentagem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85" dataDxfId="583" headerRowBorderDxfId="584" tableBorderDxfId="582" totalsRowBorderDxfId="581">
  <autoFilter ref="K5:M11" xr:uid="{00000000-0009-0000-0100-000015000000}"/>
  <tableColumns count="3">
    <tableColumn id="1" xr3:uid="{E6962685-66B9-4B52-AFC6-82E1DC5ABF13}" name="Descrição" dataDxfId="580"/>
    <tableColumn id="2" xr3:uid="{632111FE-E109-4AB8-89E6-0435B85BD131}" name="Tipo de Pagto" dataDxfId="579"/>
    <tableColumn id="3" xr3:uid="{E8C5B365-8D2D-4605-8A16-1AB9150BCC44}" name="Valor" dataDxfId="578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77" dataDxfId="575" headerRowBorderDxfId="576" tableBorderDxfId="574" totalsRowBorderDxfId="57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72"/>
    <tableColumn id="2" xr3:uid="{C0E81097-83C4-4524-8E34-CEF9787F8A7E}" name="Cliente" dataDxfId="571"/>
    <tableColumn id="3" xr3:uid="{8D59E67E-B452-4F9A-AAE0-36EA95BB6E19}" name="Forma de Pgto" dataDxfId="570" dataCellStyle="Moeda"/>
    <tableColumn id="4" xr3:uid="{F7466880-2D96-46D0-97F5-A0F3057F4B83}" name="Valor Venda" dataDxfId="569" dataCellStyle="Porcentagem"/>
    <tableColumn id="5" xr3:uid="{1C9ACBF3-A8FA-4869-9459-B9FD6EE7CC98}" name="Entrada" dataDxfId="568" dataCellStyle="Porcentagem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67" dataDxfId="565" headerRowBorderDxfId="566" tableBorderDxfId="564" totalsRowBorderDxfId="563">
  <autoFilter ref="K14:M31" xr:uid="{C83FE64B-E221-4DAA-89EA-5307A7BC98B3}"/>
  <tableColumns count="3">
    <tableColumn id="1" xr3:uid="{B00D0221-B7E2-4319-872F-39A5F278179B}" name="OS" dataDxfId="562"/>
    <tableColumn id="2" xr3:uid="{EB50C8BC-2DB9-4F7B-B612-681BB547926A}" name="Vendedor" dataDxfId="561"/>
    <tableColumn id="3" xr3:uid="{35270191-CAC7-406B-B916-370E9194FBD0}" name="CARNE" dataDxfId="560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59" dataDxfId="557" headerRowBorderDxfId="558" tableBorderDxfId="556" totalsRowBorderDxfId="55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54"/>
    <tableColumn id="2" xr3:uid="{D650DC73-190F-4D20-A432-5DFA05B32EBB}" name="Cliente" dataDxfId="553"/>
    <tableColumn id="3" xr3:uid="{B232D3BA-4291-4772-8FA1-966DFC2F6BAD}" name="Forma de Pgto" dataDxfId="552" dataCellStyle="Moeda"/>
    <tableColumn id="4" xr3:uid="{27933DC4-0B14-4F8A-9424-CDECA8B0BE13}" name="Valor Parcela" dataDxfId="551" dataCellStyle="Porcentagem"/>
    <tableColumn id="5" xr3:uid="{812A2DA5-D78D-454A-BF37-5BC7C8B486FB}" name="Nº Parcela" dataDxfId="550" dataCellStyle="Porcentagem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49" dataDxfId="547" headerRowBorderDxfId="548" tableBorderDxfId="546" totalsRowBorderDxfId="545">
  <autoFilter ref="K34:M41" xr:uid="{1B8643D4-6AC3-4029-882A-C62E9D7CB225}"/>
  <tableColumns count="3">
    <tableColumn id="1" xr3:uid="{F3E7E89B-8196-4CDC-A23E-947DB3CEA07C}" name="OS" dataDxfId="544"/>
    <tableColumn id="2" xr3:uid="{D705822D-AFE1-401D-A8C8-7D7BB7A4C86C}" name="Parcelas" dataDxfId="543"/>
    <tableColumn id="3" xr3:uid="{C528E7A1-6466-4E27-8A7C-A46F4678792C}" name="Valor Total" dataDxfId="542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41" dataDxfId="539" headerRowBorderDxfId="540" tableBorderDxfId="538" totalsRowBorderDxfId="53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36" dataCellStyle="Moeda"/>
    <tableColumn id="5" xr3:uid="{935EFB73-C7DF-4DB2-A9CA-2CCBA3650F22}" name="Cliente" dataDxfId="535" dataCellStyle="Moeda"/>
    <tableColumn id="2" xr3:uid="{869122A0-3CC2-4E92-8EFB-746E8E8CB311}" name="Forma de Pgto" dataDxfId="534" dataCellStyle="Moeda"/>
    <tableColumn id="3" xr3:uid="{6DA3B9FE-BCC2-4503-9E60-EA0ED444B7A6}" name="Valor Venda" dataDxfId="533" dataCellStyle="Porcentagem"/>
    <tableColumn id="4" xr3:uid="{A8A1A79C-5DE2-48A0-9D24-1DA382BBF42E}" name="Entrada" dataDxfId="532" dataCellStyle="Porcentagem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31" dataDxfId="529" headerRowBorderDxfId="530" tableBorderDxfId="528" totalsRowBorderDxfId="527">
  <autoFilter ref="K5:M11" xr:uid="{00000000-0009-0000-0100-000015000000}"/>
  <tableColumns count="3">
    <tableColumn id="1" xr3:uid="{3E8535D4-7B2A-41EF-B25F-D96FCA746C77}" name="Descrição" dataDxfId="526"/>
    <tableColumn id="2" xr3:uid="{29FD7EBB-FAB4-46A7-8D0C-8DEF811BE03C}" name="Tipo de Pagto" dataDxfId="525"/>
    <tableColumn id="3" xr3:uid="{42A84199-904C-48CF-9EA1-668D5693A5E1}" name="Valor" dataDxfId="524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23" dataDxfId="521" headerRowBorderDxfId="522" tableBorderDxfId="520" totalsRowBorderDxfId="51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18"/>
    <tableColumn id="2" xr3:uid="{06FD4E8A-ECFC-46A5-9546-F18D5C7CCF46}" name="Cliente" dataDxfId="517"/>
    <tableColumn id="3" xr3:uid="{393434A3-085F-407B-B651-4C537A1C4DCA}" name="Forma de Pgto" dataDxfId="516" dataCellStyle="Moeda"/>
    <tableColumn id="4" xr3:uid="{D08FA6C2-56D1-4A76-94C1-132618C070F2}" name="Valor Venda" dataDxfId="515" dataCellStyle="Porcentagem"/>
    <tableColumn id="5" xr3:uid="{A94780A1-5426-454F-8950-AFE4D356071F}" name="Entrada" dataDxfId="514" dataCellStyle="Porcentagem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13" dataDxfId="511" headerRowBorderDxfId="512" tableBorderDxfId="510" totalsRowBorderDxfId="509">
  <autoFilter ref="K14:M31" xr:uid="{C83FE64B-E221-4DAA-89EA-5307A7BC98B3}"/>
  <tableColumns count="3">
    <tableColumn id="1" xr3:uid="{5F81F202-5A63-416E-B66A-BC7A70C51944}" name="OS" dataDxfId="508"/>
    <tableColumn id="2" xr3:uid="{74527326-0E45-44AC-976A-01AD354EEF97}" name="Vendedor" dataDxfId="507"/>
    <tableColumn id="3" xr3:uid="{7E368C39-6290-45A4-8C60-3E0B6BEC860E}" name="CARNE" dataDxfId="506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505" dataDxfId="503" headerRowBorderDxfId="504" tableBorderDxfId="502" totalsRowBorderDxfId="50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500"/>
    <tableColumn id="2" xr3:uid="{5FB18F19-64B5-46AA-955B-A301C651C0F2}" name="Cliente" dataDxfId="499"/>
    <tableColumn id="3" xr3:uid="{51F731CD-986B-4FF6-A861-83997E66998E}" name="Forma de Pgto" dataDxfId="498" dataCellStyle="Moeda"/>
    <tableColumn id="4" xr3:uid="{BD861052-26CD-48E9-91C6-0A6DF7C6A099}" name="Valor Parcela" dataDxfId="497" dataCellStyle="Porcentagem"/>
    <tableColumn id="5" xr3:uid="{8A5D6765-7637-45A4-9660-09EDBB031EC1}" name="Nº Parcela" dataDxfId="496" dataCellStyle="Porcentagem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95" dataDxfId="493" headerRowBorderDxfId="494" tableBorderDxfId="492" totalsRowBorderDxfId="491">
  <autoFilter ref="K34:M41" xr:uid="{1B8643D4-6AC3-4029-882A-C62E9D7CB225}"/>
  <tableColumns count="3">
    <tableColumn id="1" xr3:uid="{96F2F5A7-6005-4604-8B24-0E2838B4DD29}" name="OS" dataDxfId="490"/>
    <tableColumn id="2" xr3:uid="{ED904B68-5D9C-4B50-96BA-96CAD5E34CF1}" name="Parcelas" dataDxfId="489"/>
    <tableColumn id="3" xr3:uid="{317680F4-80F7-44BC-B3EF-4EFC6A803CAC}" name="Valor Total" dataDxfId="488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87" dataDxfId="485" headerRowBorderDxfId="486" tableBorderDxfId="484" totalsRowBorderDxfId="48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82" dataCellStyle="Moeda"/>
    <tableColumn id="5" xr3:uid="{8C950723-3D74-47BB-96EF-8D7D6A2189F6}" name="Cliente" dataDxfId="481" dataCellStyle="Moeda"/>
    <tableColumn id="2" xr3:uid="{891A7678-229E-4FF4-AD78-C00F149C7AB3}" name="Forma de Pgto" dataDxfId="480" dataCellStyle="Moeda"/>
    <tableColumn id="3" xr3:uid="{C1AD64CF-D636-4D0B-90AF-998E65C41E3B}" name="Valor Venda" dataDxfId="479" dataCellStyle="Porcentagem"/>
    <tableColumn id="4" xr3:uid="{4674130B-789D-479A-9F01-407FB3322D27}" name="Entrada" dataDxfId="478" dataCellStyle="Porcentagem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77" dataDxfId="475" headerRowBorderDxfId="476" tableBorderDxfId="474" totalsRowBorderDxfId="473">
  <autoFilter ref="K5:M11" xr:uid="{00000000-0009-0000-0100-000015000000}"/>
  <tableColumns count="3">
    <tableColumn id="1" xr3:uid="{558DC85F-C627-4F48-82AA-C24727E75A42}" name="Descrição" dataDxfId="472"/>
    <tableColumn id="2" xr3:uid="{8346B0E0-FB0D-4ED3-ABBC-3816B7CB40C9}" name="Tipo de Pagto" dataDxfId="471"/>
    <tableColumn id="3" xr3:uid="{362F9934-CC54-4E70-A26F-6CDF66DEB838}" name="Valor" dataDxfId="470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9" dataDxfId="467" headerRowBorderDxfId="468" tableBorderDxfId="466" totalsRowBorderDxfId="46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64"/>
    <tableColumn id="2" xr3:uid="{B711E4E6-0AE5-42C8-8015-A72C2855CDFB}" name="Cliente" dataDxfId="463"/>
    <tableColumn id="3" xr3:uid="{016D3713-BA29-48F8-8683-6E42C1C8BDFE}" name="Forma de Pgto" dataDxfId="462" dataCellStyle="Moeda"/>
    <tableColumn id="4" xr3:uid="{66F30211-F047-40DA-B134-05B87A798574}" name="Valor Venda" dataDxfId="461" dataCellStyle="Porcentagem"/>
    <tableColumn id="5" xr3:uid="{2FB6AB3C-AA9E-4034-AF4B-12D9A3ECBBCA}" name="Entrada" dataDxfId="460" dataCellStyle="Porcentagem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9" dataDxfId="457" headerRowBorderDxfId="458" tableBorderDxfId="456" totalsRowBorderDxfId="455">
  <autoFilter ref="K14:M31" xr:uid="{C83FE64B-E221-4DAA-89EA-5307A7BC98B3}"/>
  <tableColumns count="3">
    <tableColumn id="1" xr3:uid="{D6DF1477-46D1-47E2-A070-9A33886E6137}" name="OS" dataDxfId="454"/>
    <tableColumn id="2" xr3:uid="{C4215FA6-4F2C-444A-8E0B-4F99AEEE9430}" name="Vendedor" dataDxfId="453"/>
    <tableColumn id="3" xr3:uid="{7B8AD675-F389-4803-BFFB-8166F703E829}" name="CARNE" dataDxfId="452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1" totalsRowShown="0" headerRowDxfId="451" dataDxfId="449" headerRowBorderDxfId="450" tableBorderDxfId="448" totalsRowBorderDxfId="44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46"/>
    <tableColumn id="2" xr3:uid="{45674E96-72EC-433B-9141-E40A07A72A19}" name="Cliente" dataDxfId="445"/>
    <tableColumn id="3" xr3:uid="{22102B96-8607-4584-B5A3-C1EE639E0F4C}" name="Forma de Pgto" dataDxfId="444" dataCellStyle="Moeda"/>
    <tableColumn id="4" xr3:uid="{DC2E9D15-91B3-4478-AA38-B98773D1B0DA}" name="Valor Parcela" dataDxfId="443" dataCellStyle="Porcentagem"/>
    <tableColumn id="5" xr3:uid="{ABCCDEDB-69A0-4492-A24A-12A60E76A2F8}" name="Nº Parcela" dataDxfId="442" dataCellStyle="Porcentagem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41" dataDxfId="439" headerRowBorderDxfId="440" tableBorderDxfId="438" totalsRowBorderDxfId="437">
  <autoFilter ref="K34:M41" xr:uid="{1B8643D4-6AC3-4029-882A-C62E9D7CB225}"/>
  <tableColumns count="3">
    <tableColumn id="1" xr3:uid="{96E4A694-A16C-4FAB-8484-5D1DCD513FF1}" name="OS" dataDxfId="436"/>
    <tableColumn id="2" xr3:uid="{CEC7F98C-5986-47BB-824E-5616D5A150E4}" name="Parcelas" dataDxfId="435"/>
    <tableColumn id="3" xr3:uid="{A82CBD0B-203D-4ED5-BDE4-3B77ECED5860}" name="Valor Total" dataDxfId="434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33" dataDxfId="431" headerRowBorderDxfId="432" tableBorderDxfId="430" totalsRowBorderDxfId="42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8" dataCellStyle="Moeda"/>
    <tableColumn id="5" xr3:uid="{28960474-C27A-4147-BD99-7BB60462B8B0}" name="Cliente" dataDxfId="427" dataCellStyle="Moeda"/>
    <tableColumn id="2" xr3:uid="{67D37C1F-FE45-48AD-BED8-2CFECE89FEA0}" name="Forma de Pgto" dataDxfId="426" dataCellStyle="Moeda"/>
    <tableColumn id="3" xr3:uid="{9D53CA59-8DC0-45C1-B948-0BC9CE105A46}" name="Valor Venda" dataDxfId="425" dataCellStyle="Porcentagem"/>
    <tableColumn id="4" xr3:uid="{63C5EED9-C4FA-4177-B2B7-18053322A958}" name="Entrada" dataDxfId="424" dataCellStyle="Porcentagem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23" dataDxfId="421" headerRowBorderDxfId="422" tableBorderDxfId="420" totalsRowBorderDxfId="419">
  <autoFilter ref="K5:M11" xr:uid="{00000000-0009-0000-0100-000015000000}"/>
  <tableColumns count="3">
    <tableColumn id="1" xr3:uid="{EA5469B7-1D8E-40E9-95A2-35DAC9D5EC13}" name="Descrição" dataDxfId="418"/>
    <tableColumn id="2" xr3:uid="{6149AE8A-4EBC-4D73-8258-5E25710E3A30}" name="Tipo de Pagto" dataDxfId="417"/>
    <tableColumn id="3" xr3:uid="{6872D867-5B80-4E69-B012-87CC7B75B649}" name="Valor" dataDxfId="416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15" dataDxfId="413" headerRowBorderDxfId="414" tableBorderDxfId="412" totalsRowBorderDxfId="41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10"/>
    <tableColumn id="2" xr3:uid="{83BEE3E3-D5E6-4B4E-B0F3-B7D166EBC951}" name="Cliente" dataDxfId="409"/>
    <tableColumn id="3" xr3:uid="{D56D36FF-3364-4C9B-95E8-FF48852EB70B}" name="Forma de Pgto" dataDxfId="408" dataCellStyle="Moeda"/>
    <tableColumn id="4" xr3:uid="{E2E76570-BF3A-47F8-A702-0FE2FE405B33}" name="Valor Venda" dataDxfId="407" dataCellStyle="Porcentagem"/>
    <tableColumn id="5" xr3:uid="{19FD5054-F0CE-4B30-BF14-7D86B666A44E}" name="Entrada" dataDxfId="406" dataCellStyle="Porcentagem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405" dataDxfId="403" headerRowBorderDxfId="404" tableBorderDxfId="402" totalsRowBorderDxfId="401">
  <autoFilter ref="K14:M31" xr:uid="{C83FE64B-E221-4DAA-89EA-5307A7BC98B3}"/>
  <tableColumns count="3">
    <tableColumn id="1" xr3:uid="{2A900AC2-CDD6-4655-B7AF-13F9A8DDD9FF}" name="OS" dataDxfId="400"/>
    <tableColumn id="2" xr3:uid="{D566D654-CC7D-40A6-874D-6CD6342DEC3B}" name="Vendedor" dataDxfId="399"/>
    <tableColumn id="3" xr3:uid="{E8D97BA9-0913-40AD-B2A5-0F60E6A0BE95}" name="CARNE" dataDxfId="398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97" dataDxfId="395" headerRowBorderDxfId="396" tableBorderDxfId="394" totalsRowBorderDxfId="39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92"/>
    <tableColumn id="2" xr3:uid="{CDAD5229-EE1B-4727-8C27-8A17FEDA1C5C}" name="Cliente" dataDxfId="391"/>
    <tableColumn id="3" xr3:uid="{93224419-805E-4D8C-A296-80DA02CCC413}" name="Forma de Pgto" dataDxfId="390" dataCellStyle="Moeda"/>
    <tableColumn id="4" xr3:uid="{40C77CE6-762C-49C9-94EB-7D5AFC9A73A4}" name="Valor Parcela" dataDxfId="389" dataCellStyle="Porcentagem"/>
    <tableColumn id="5" xr3:uid="{8A7914AB-189B-4928-860C-9AB79BAA232D}" name="Nº Parcela" dataDxfId="388" dataCellStyle="Porcentagem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87" dataDxfId="385" headerRowBorderDxfId="386" tableBorderDxfId="384" totalsRowBorderDxfId="383">
  <autoFilter ref="K34:M41" xr:uid="{1B8643D4-6AC3-4029-882A-C62E9D7CB225}"/>
  <tableColumns count="3">
    <tableColumn id="1" xr3:uid="{C92D7BD7-E114-41CE-802D-B41EFFA721F2}" name="OS" dataDxfId="382"/>
    <tableColumn id="2" xr3:uid="{C67ABBBE-4637-4653-928F-36D0678D64F6}" name="Parcelas" dataDxfId="381"/>
    <tableColumn id="3" xr3:uid="{2217F874-8724-4CC1-9542-1585CC1817E3}" name="Valor Total" dataDxfId="380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9" dataDxfId="377" headerRowBorderDxfId="378" tableBorderDxfId="376" totalsRowBorderDxfId="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74" dataCellStyle="Moeda"/>
    <tableColumn id="5" xr3:uid="{EA7582FE-FEFF-4011-BD42-218C3664E6AB}" name="Cliente" dataDxfId="373" dataCellStyle="Moeda"/>
    <tableColumn id="2" xr3:uid="{F90F407A-44F2-4B25-95B2-7FFF747C7AA1}" name="Forma de Pgto" dataDxfId="372" dataCellStyle="Moeda"/>
    <tableColumn id="3" xr3:uid="{3ED51D07-27C8-4437-A49E-867C7274BC65}" name="Valor Venda" dataDxfId="371" dataCellStyle="Porcentagem"/>
    <tableColumn id="4" xr3:uid="{42C92817-5DF0-4DE7-B430-03840EF6E852}" name="Entrada" dataDxfId="370" dataCellStyle="Porcentagem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9" dataDxfId="367" headerRowBorderDxfId="368" tableBorderDxfId="366" totalsRowBorderDxfId="365">
  <autoFilter ref="K5:M11" xr:uid="{00000000-0009-0000-0100-000015000000}"/>
  <tableColumns count="3">
    <tableColumn id="1" xr3:uid="{BCDA9109-FE1B-43D0-A775-F187BA433103}" name="Descrição" dataDxfId="364"/>
    <tableColumn id="2" xr3:uid="{6200DB38-1340-49E2-8DB4-68F203C169F1}" name="Tipo de Pagto" dataDxfId="363"/>
    <tableColumn id="3" xr3:uid="{27595B27-AB97-40C9-BECE-DEB4EF2576B7}" name="Valor" dataDxfId="362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61" dataDxfId="359" headerRowBorderDxfId="360" tableBorderDxfId="358" totalsRowBorderDxfId="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56"/>
    <tableColumn id="2" xr3:uid="{2547CEAB-188F-4407-8B89-F3536432D0FA}" name="Cliente" dataDxfId="355"/>
    <tableColumn id="3" xr3:uid="{54CBD340-AB1A-4F98-A129-037389C3E236}" name="Forma de Pgto" dataDxfId="354" dataCellStyle="Moeda"/>
    <tableColumn id="4" xr3:uid="{CB0BC571-5837-4C35-AFDD-D5873CE23AE9}" name="Valor Venda" dataDxfId="353" dataCellStyle="Porcentagem"/>
    <tableColumn id="5" xr3:uid="{517A77AC-A76A-4CE7-B5D1-3FEFDF7B8722}" name="Entrada" dataDxfId="352" dataCellStyle="Porcentagem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51" dataDxfId="349" headerRowBorderDxfId="350" tableBorderDxfId="348" totalsRowBorderDxfId="34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71C4392B-8887-40B1-9A7B-C600C91C0A9F}" name="OS" dataDxfId="346"/>
    <tableColumn id="2" xr3:uid="{EAC02F14-380C-4B61-8944-E4F1EC6C2572}" name="Vendedor" dataDxfId="345"/>
    <tableColumn id="3" xr3:uid="{04750BAB-2533-45E4-AD1A-4273DBA80CF4}" name="CARNE" dataDxfId="344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43" dataDxfId="341" headerRowBorderDxfId="342" tableBorderDxfId="340" totalsRowBorderDxfId="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8"/>
    <tableColumn id="2" xr3:uid="{C78ED1A0-4ABC-4C46-9011-9E7D40E53828}" name="Cliente" dataDxfId="337"/>
    <tableColumn id="3" xr3:uid="{5CDE3049-7EDA-4337-9E8E-58F0DB4CFDD5}" name="Forma de Pgto" dataDxfId="336" dataCellStyle="Moeda"/>
    <tableColumn id="4" xr3:uid="{7ACCAB16-AFFF-4B9D-A25F-B45F3BBA93B9}" name="Valor Parcela" dataDxfId="335" dataCellStyle="Porcentagem"/>
    <tableColumn id="5" xr3:uid="{15EC4276-5957-4146-877A-2D9AF52832DE}" name="Nº Parcela" dataDxfId="334" dataCellStyle="Porcentagem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33" dataDxfId="331" headerRowBorderDxfId="332" tableBorderDxfId="330" totalsRowBorderDxfId="329">
  <autoFilter ref="K34:M41" xr:uid="{1B8643D4-6AC3-4029-882A-C62E9D7CB225}"/>
  <tableColumns count="3">
    <tableColumn id="1" xr3:uid="{509FE920-B0D4-48CC-8AFC-C231084014ED}" name="OS" dataDxfId="328"/>
    <tableColumn id="2" xr3:uid="{648797DA-323D-4F7C-95F3-3223D3A08821}" name="Parcelas" dataDxfId="327"/>
    <tableColumn id="3" xr3:uid="{0684A7C0-4163-4297-B332-DFFBB65E266D}" name="Valor Total" dataDxfId="326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25" dataDxfId="323" headerRowBorderDxfId="324" tableBorderDxfId="322" totalsRowBorderDxfId="3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20" dataCellStyle="Moeda"/>
    <tableColumn id="5" xr3:uid="{FA1FA1DC-5352-4524-9AB2-369222C4BDD1}" name="Cliente" dataDxfId="319" dataCellStyle="Moeda"/>
    <tableColumn id="2" xr3:uid="{A73B5E06-AB1F-48ED-B61C-8853446A4F5E}" name="Forma de Pgto" dataDxfId="318" dataCellStyle="Moeda"/>
    <tableColumn id="3" xr3:uid="{E5231A7F-7D20-4503-A786-BF9FC0E23F42}" name="Valor Venda" dataDxfId="317" dataCellStyle="Porcentagem"/>
    <tableColumn id="4" xr3:uid="{86DAF072-A11E-464D-A335-9A5F5FF09F8D}" name="Entrada" dataDxfId="316" dataCellStyle="Porcentagem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15" dataDxfId="313" headerRowBorderDxfId="314" tableBorderDxfId="312" totalsRowBorderDxfId="311">
  <autoFilter ref="K5:M11" xr:uid="{00000000-0009-0000-0100-000015000000}"/>
  <tableColumns count="3">
    <tableColumn id="1" xr3:uid="{0C299E65-9391-4336-8CF7-2EC1702B221E}" name="Descrição" dataDxfId="310"/>
    <tableColumn id="2" xr3:uid="{45EA8371-50DD-4161-8CE6-AE739B48843A}" name="Tipo de Pagto" dataDxfId="309"/>
    <tableColumn id="3" xr3:uid="{4D98764C-873C-4A32-9ABD-121372723463}" name="Valor" dataDxfId="308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7" dataDxfId="305" headerRowBorderDxfId="306" tableBorderDxfId="304" totalsRowBorderDxfId="3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302"/>
    <tableColumn id="2" xr3:uid="{212BE65F-3FA5-419B-B9A4-58240EFDEBFA}" name="Cliente" dataDxfId="301"/>
    <tableColumn id="3" xr3:uid="{1EE1E2AC-25F1-4013-8D38-A0638CF454DB}" name="Forma de Pgto" dataDxfId="300" dataCellStyle="Moeda"/>
    <tableColumn id="4" xr3:uid="{38D98562-880F-4C00-A26B-F40D7F6C9E67}" name="Valor Venda" dataDxfId="299" dataCellStyle="Porcentagem"/>
    <tableColumn id="5" xr3:uid="{183B778F-EB01-4FDA-BD28-D4D361F688C4}" name="Entrada" dataDxfId="298" dataCellStyle="Porcentagem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7" dataDxfId="295" headerRowBorderDxfId="296" tableBorderDxfId="294" totalsRowBorderDxfId="293">
  <autoFilter ref="K14:M31" xr:uid="{C83FE64B-E221-4DAA-89EA-5307A7BC98B3}"/>
  <tableColumns count="3">
    <tableColumn id="1" xr3:uid="{21BA2342-0EF4-4D12-8CEB-D5F98AF1E43D}" name="OS" dataDxfId="292"/>
    <tableColumn id="2" xr3:uid="{8EC3F5A2-9325-43BD-A364-C3D24B7F492B}" name="Vendedor" dataDxfId="291"/>
    <tableColumn id="3" xr3:uid="{60B7BB21-2E30-4BF0-9109-7C61A6F8023E}" name="CARNE" dataDxfId="290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9" dataDxfId="287" headerRowBorderDxfId="288" tableBorderDxfId="286" totalsRowBorderDxfId="2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84"/>
    <tableColumn id="2" xr3:uid="{FEC021D0-C21F-4087-AA46-92F79B0BD15C}" name="Cliente" dataDxfId="283"/>
    <tableColumn id="3" xr3:uid="{B057DFD4-3A13-40AD-95B0-7A4A6D2F12EA}" name="Forma de Pgto" dataDxfId="282" dataCellStyle="Moeda"/>
    <tableColumn id="4" xr3:uid="{8571FA4F-3615-40B7-87DD-4A3572C756ED}" name="Valor Parcela" dataDxfId="281" dataCellStyle="Porcentagem"/>
    <tableColumn id="5" xr3:uid="{32F42922-7FF4-44E6-8FE1-CF1D84ED2607}" name="Nº Parcela" dataDxfId="280" dataCellStyle="Porcentagem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9" dataDxfId="277" headerRowBorderDxfId="278" tableBorderDxfId="276" totalsRowBorderDxfId="275">
  <autoFilter ref="K34:M41" xr:uid="{1B8643D4-6AC3-4029-882A-C62E9D7CB225}"/>
  <tableColumns count="3">
    <tableColumn id="1" xr3:uid="{239C8B86-39AD-48DE-8CD4-9E298F831595}" name="OS" dataDxfId="274"/>
    <tableColumn id="2" xr3:uid="{52A4913C-562E-40FD-8422-19A5A2E9F3E9}" name="Parcelas" dataDxfId="273"/>
    <tableColumn id="3" xr3:uid="{A2980378-BECE-4786-B65D-94F14F69AE6B}" name="Valor Total" dataDxfId="272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71" dataDxfId="269" headerRowBorderDxfId="270" tableBorderDxfId="268" totalsRowBorderDxfId="26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6" dataCellStyle="Moeda"/>
    <tableColumn id="5" xr3:uid="{570F0DA8-D686-4E48-AB43-770DB49D735A}" name="Cliente" dataDxfId="265" dataCellStyle="Moeda"/>
    <tableColumn id="2" xr3:uid="{80EB692B-CEF9-4384-93C3-D0C2D659D8B9}" name="Forma de Pgto" dataDxfId="264" dataCellStyle="Moeda"/>
    <tableColumn id="3" xr3:uid="{C072FA33-E65C-46A1-9619-122C55ADB543}" name="Valor Venda" dataDxfId="263" dataCellStyle="Porcentagem"/>
    <tableColumn id="4" xr3:uid="{A6AD7AE2-A356-40B6-8551-4661FBEB3F51}" name="Entrada" dataDxfId="262" dataCellStyle="Porcentagem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61" dataDxfId="259" headerRowBorderDxfId="260" tableBorderDxfId="258" totalsRowBorderDxfId="257">
  <autoFilter ref="K5:M11" xr:uid="{00000000-0009-0000-0100-000015000000}"/>
  <tableColumns count="3">
    <tableColumn id="1" xr3:uid="{B332CB19-9163-40A3-A95C-B96A1582E073}" name="Descrição" dataDxfId="256"/>
    <tableColumn id="2" xr3:uid="{61F5EE7F-73F4-42E2-A9DC-23449B0C3C01}" name="Tipo de Pagto" dataDxfId="255"/>
    <tableColumn id="3" xr3:uid="{DA89D608-9609-4843-A5C1-DE0E1200E4A8}" name="Valor" dataDxfId="254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53" dataDxfId="251" headerRowBorderDxfId="252" tableBorderDxfId="250" totalsRowBorderDxfId="24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8"/>
    <tableColumn id="2" xr3:uid="{AC5BDFCE-FCF6-4AAB-9202-5F41FD623E7A}" name="Cliente" dataDxfId="247"/>
    <tableColumn id="3" xr3:uid="{60B29A82-92C4-41E9-85E9-1CB47FDC0F48}" name="Forma de Pgto" dataDxfId="246" dataCellStyle="Moeda"/>
    <tableColumn id="4" xr3:uid="{77AEFEA3-2B2A-45D9-B420-2C503790CB98}" name="Valor Venda" dataDxfId="245" dataCellStyle="Porcentagem"/>
    <tableColumn id="5" xr3:uid="{ADAFB771-5146-4657-B325-26E81CB97F70}" name="Entrada" dataDxfId="244" dataCellStyle="Porcentagem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43" dataDxfId="241" headerRowBorderDxfId="242" tableBorderDxfId="240" totalsRowBorderDxfId="23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A681CC1B-EF00-4702-9240-49A1F9CD0ED9}" name="OS" dataDxfId="238"/>
    <tableColumn id="2" xr3:uid="{CACBAC13-6FB8-41CD-B9DA-E0BF6545625A}" name="Vendedor" dataDxfId="237"/>
    <tableColumn id="3" xr3:uid="{62DBFAEA-33ED-481B-88FE-D480C79BD70A}" name="CARNE" dataDxfId="236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5" dataDxfId="233" headerRowBorderDxfId="234" tableBorderDxfId="232" totalsRowBorderDxfId="231">
  <autoFilter ref="E34:I41" xr:uid="{B9E2F984-8588-4F2C-9FB9-680284154679}"/>
  <sortState xmlns:xlrd2="http://schemas.microsoft.com/office/spreadsheetml/2017/richdata2" ref="E35:I41">
    <sortCondition ref="E34:E41"/>
  </sortState>
  <tableColumns count="5">
    <tableColumn id="1" xr3:uid="{86069355-97F2-4655-9A91-E044756F3432}" name="OS" dataDxfId="230"/>
    <tableColumn id="2" xr3:uid="{84774BA8-817B-4BB4-B330-18FC2D74BEBD}" name="Cliente" dataDxfId="229"/>
    <tableColumn id="3" xr3:uid="{B445E0F1-2EE3-48E4-A8D9-FA43238816EF}" name="Forma de Pgto" dataDxfId="228" dataCellStyle="Moeda"/>
    <tableColumn id="4" xr3:uid="{ABB960AB-65AE-4F15-BF53-C9D07E2FDA8B}" name="Valor Parcela" dataDxfId="227" dataCellStyle="Porcentagem"/>
    <tableColumn id="5" xr3:uid="{89825584-3833-4995-A86E-D7E4080CB9BB}" name="Nº Parcela" dataDxfId="226" dataCellStyle="Porcentagem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5" dataDxfId="223" headerRowBorderDxfId="224" tableBorderDxfId="222" totalsRowBorderDxfId="221">
  <autoFilter ref="K34:M41" xr:uid="{1B8643D4-6AC3-4029-882A-C62E9D7CB225}"/>
  <tableColumns count="3">
    <tableColumn id="1" xr3:uid="{EAA08E73-C7D6-46EB-8CB3-0B41DCC95916}" name="OS" dataDxfId="220"/>
    <tableColumn id="2" xr3:uid="{706D1FAA-0C88-4CDF-B8E1-15AD01A2E582}" name="Parcelas" dataDxfId="219"/>
    <tableColumn id="3" xr3:uid="{98D05923-385E-4F7C-ADF4-C1FB7F5B5CC5}" name="Valor Total" dataDxfId="218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7" dataDxfId="215" headerRowBorderDxfId="216" tableBorderDxfId="214" totalsRowBorderDxfId="21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12" dataCellStyle="Moeda"/>
    <tableColumn id="5" xr3:uid="{57575EBC-6B68-41EF-9676-918A4ABDCB4D}" name="Cliente" dataDxfId="211" dataCellStyle="Moeda"/>
    <tableColumn id="2" xr3:uid="{85714B76-869D-4DF7-8709-20EB0FE90848}" name="Forma de Pgto" dataDxfId="210" dataCellStyle="Moeda"/>
    <tableColumn id="3" xr3:uid="{A556487C-0FB8-4138-908B-0692480ED40F}" name="Valor Venda" dataDxfId="209" dataCellStyle="Porcentagem"/>
    <tableColumn id="4" xr3:uid="{2437A1CF-1861-42F2-9B6F-020480542B91}" name="Entrada" dataDxfId="208" dataCellStyle="Porcentagem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7" dataDxfId="205" headerRowBorderDxfId="206" tableBorderDxfId="204" totalsRowBorderDxfId="203">
  <autoFilter ref="K5:M11" xr:uid="{00000000-0009-0000-0100-000015000000}"/>
  <tableColumns count="3">
    <tableColumn id="1" xr3:uid="{EA498FD3-4549-4930-A7C5-2A6A697F86CC}" name="Descrição" dataDxfId="202"/>
    <tableColumn id="2" xr3:uid="{8748D917-3F00-4700-B7E5-7700540A331D}" name="Tipo de Pagto" dataDxfId="201"/>
    <tableColumn id="3" xr3:uid="{42A9985B-0743-4482-AA4C-D8FD0E0F72A5}" name="Valor" dataDxfId="200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9" dataDxfId="197" headerRowBorderDxfId="198" tableBorderDxfId="196" totalsRowBorderDxfId="19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4"/>
    <tableColumn id="2" xr3:uid="{FE587643-BC52-4E6E-AF00-724AEF5CF68E}" name="Cliente" dataDxfId="193"/>
    <tableColumn id="3" xr3:uid="{7FE7D67C-9631-4982-8037-006DC6383D49}" name="Forma de Pgto" dataDxfId="192" dataCellStyle="Moeda"/>
    <tableColumn id="4" xr3:uid="{F211FF52-FD8A-4441-B1F6-EDB12BA108C0}" name="Valor Venda" dataDxfId="191" dataCellStyle="Porcentagem"/>
    <tableColumn id="5" xr3:uid="{16E4261B-0737-47FE-A7D3-731BFAF25FF7}" name="Entrada" dataDxfId="190" dataCellStyle="Porcentagem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9" dataDxfId="187" headerRowBorderDxfId="188" tableBorderDxfId="186" totalsRowBorderDxfId="185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8E54EB92-C776-41FF-A0DB-06AF704A4887}" name="OS" dataDxfId="184"/>
    <tableColumn id="2" xr3:uid="{6868B7F3-9EF7-46C7-BEF9-654E8E36ED1C}" name="Vendedor" dataDxfId="183"/>
    <tableColumn id="3" xr3:uid="{1350521A-D743-40D9-A465-2D8D4BFE6A10}" name="CARNE" dataDxfId="182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81" dataDxfId="179" headerRowBorderDxfId="180" tableBorderDxfId="178" totalsRowBorderDxfId="177">
  <autoFilter ref="E34:I41" xr:uid="{B9E2F984-8588-4F2C-9FB9-680284154679}"/>
  <sortState xmlns:xlrd2="http://schemas.microsoft.com/office/spreadsheetml/2017/richdata2" ref="E35:I41">
    <sortCondition ref="E34:E41"/>
  </sortState>
  <tableColumns count="5">
    <tableColumn id="1" xr3:uid="{B7426E5F-2D5D-4034-A4B5-4D246C1BD56A}" name="OS" dataDxfId="176"/>
    <tableColumn id="2" xr3:uid="{85BDCF85-AA6C-42E1-B1B7-C516556DBDB9}" name="Cliente" dataDxfId="175"/>
    <tableColumn id="3" xr3:uid="{9F8DE4E4-D5E2-48B5-8EAA-40EB197D32AC}" name="Forma de Pgto" dataDxfId="174" dataCellStyle="Moeda"/>
    <tableColumn id="4" xr3:uid="{C6290D95-7284-445D-8939-C5FD7951996B}" name="Valor Parcela" dataDxfId="173" dataCellStyle="Porcentagem"/>
    <tableColumn id="5" xr3:uid="{52285BEC-0F7D-418F-A98F-3BC424F4B159}" name="Nº Parcela" dataDxfId="172" dataCellStyle="Porcentagem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71" dataDxfId="169" headerRowBorderDxfId="170" tableBorderDxfId="168" totalsRowBorderDxfId="167">
  <autoFilter ref="K34:M41" xr:uid="{1B8643D4-6AC3-4029-882A-C62E9D7CB225}"/>
  <tableColumns count="3">
    <tableColumn id="1" xr3:uid="{2CBB75AA-30A1-4E7B-931E-A32395F87AA4}" name="OS" dataDxfId="166"/>
    <tableColumn id="2" xr3:uid="{9C8D7AA6-CFE0-4494-82DC-042A052CAAA0}" name="Parcelas" dataDxfId="165"/>
    <tableColumn id="3" xr3:uid="{57D19216-198A-4E06-835D-91E30A9FE599}" name="Valor Total" dataDxfId="164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3" dataDxfId="161" headerRowBorderDxfId="162" tableBorderDxfId="160" totalsRowBorderDxfId="15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8" dataCellStyle="Moeda"/>
    <tableColumn id="5" xr3:uid="{B57FE100-D980-4793-9BEF-6EB81A189BDF}" name="Cliente" dataDxfId="157" dataCellStyle="Moeda"/>
    <tableColumn id="2" xr3:uid="{E3E7153F-994D-48FC-90C4-2CBF846DD020}" name="Forma de Pgto" dataDxfId="156" dataCellStyle="Moeda"/>
    <tableColumn id="3" xr3:uid="{665F1580-FA55-4C7F-BD41-C142CAFE3223}" name="Valor Venda" dataDxfId="155" dataCellStyle="Porcentagem"/>
    <tableColumn id="4" xr3:uid="{6F1E523A-10ED-4EDD-B2CA-D0C7AD019914}" name="Entrada" dataDxfId="154" dataCellStyle="Porcentagem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3" dataDxfId="151" headerRowBorderDxfId="152" tableBorderDxfId="150" totalsRowBorderDxfId="149">
  <autoFilter ref="K5:M11" xr:uid="{00000000-0009-0000-0100-000015000000}"/>
  <tableColumns count="3">
    <tableColumn id="1" xr3:uid="{8A51E802-CECA-43FB-B82C-E6736A43EA3D}" name="Descrição" dataDxfId="148"/>
    <tableColumn id="2" xr3:uid="{5BCD8607-AADC-48F8-8E37-0466420D4FCD}" name="Tipo de Pagto" dataDxfId="147"/>
    <tableColumn id="3" xr3:uid="{4723FDE3-A519-42AE-9778-8C9E4D87D4F8}" name="Valor" dataDxfId="146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5" dataDxfId="143" headerRowBorderDxfId="144" tableBorderDxfId="142" totalsRowBorderDxfId="14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40"/>
    <tableColumn id="2" xr3:uid="{DD36027F-0205-4159-9C6C-7703DD9F61D1}" name="Cliente" dataDxfId="139"/>
    <tableColumn id="3" xr3:uid="{C8916D40-C533-47FF-A39E-183396744611}" name="Forma de Pgto" dataDxfId="138" dataCellStyle="Moeda"/>
    <tableColumn id="4" xr3:uid="{80EB5638-1F44-4817-8C1B-9EB07004D4CA}" name="Valor Venda" dataDxfId="137" dataCellStyle="Porcentagem"/>
    <tableColumn id="5" xr3:uid="{B4816614-99C6-4C2F-BA88-5290B6B734E3}" name="Entrada" dataDxfId="136" dataCellStyle="Porcentagem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5" dataDxfId="133" headerRowBorderDxfId="134" tableBorderDxfId="132" totalsRowBorderDxfId="131">
  <autoFilter ref="K14:M31" xr:uid="{C83FE64B-E221-4DAA-89EA-5307A7BC98B3}"/>
  <tableColumns count="3">
    <tableColumn id="1" xr3:uid="{DCFC0FAB-C428-42CC-A79B-6BBC4C4E77BA}" name="OS" dataDxfId="130"/>
    <tableColumn id="2" xr3:uid="{55C72FAB-171A-4E5F-A55F-BBFBE0F4AF66}" name="Vendedor" dataDxfId="129"/>
    <tableColumn id="3" xr3:uid="{DCD6A944-16B4-44C6-9625-37A26D7A1151}" name="CARNE" dataDxfId="128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7" dataDxfId="125" headerRowBorderDxfId="126" tableBorderDxfId="124" totalsRowBorderDxfId="12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22"/>
    <tableColumn id="2" xr3:uid="{D2E85D99-F671-4642-9D56-7BBD7EADC926}" name="Cliente" dataDxfId="121"/>
    <tableColumn id="3" xr3:uid="{B8D270E5-112A-4D49-B21F-9055AF1F02FC}" name="Forma de Pgto" dataDxfId="120" dataCellStyle="Moeda"/>
    <tableColumn id="4" xr3:uid="{BA14CF36-FD33-4C35-B77D-D8C5207F906C}" name="Valor Parcela" dataDxfId="119" dataCellStyle="Porcentagem"/>
    <tableColumn id="5" xr3:uid="{2E862B2B-4705-4EDB-B528-4C423CDCC317}" name="Nº Parcela" dataDxfId="118" dataCellStyle="Porcentagem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7" dataDxfId="115" headerRowBorderDxfId="116" tableBorderDxfId="114" totalsRowBorderDxfId="113">
  <autoFilter ref="K34:M41" xr:uid="{1B8643D4-6AC3-4029-882A-C62E9D7CB225}"/>
  <tableColumns count="3">
    <tableColumn id="1" xr3:uid="{2092375F-825B-4295-AC07-BBBA3650EB3F}" name="OS" dataDxfId="112"/>
    <tableColumn id="2" xr3:uid="{8614B6AF-F25C-401B-AE51-F9959608EB4A}" name="Parcelas" dataDxfId="111"/>
    <tableColumn id="3" xr3:uid="{9702475E-64D8-4282-B5F4-F45E7E7B1891}" name="Valor Total" dataDxfId="110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9" dataDxfId="107" headerRowBorderDxfId="108" tableBorderDxfId="106" totalsRowBorderDxfId="10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4" dataCellStyle="Moeda"/>
    <tableColumn id="5" xr3:uid="{6DA19713-2E98-46D3-97C5-9220DCA239CF}" name="Cliente" dataDxfId="103" dataCellStyle="Moeda"/>
    <tableColumn id="2" xr3:uid="{88459FA3-E39A-4E24-BE6F-5B43DDEA2A4A}" name="Forma de Pgto" dataDxfId="102" dataCellStyle="Moeda"/>
    <tableColumn id="3" xr3:uid="{D7168B7C-70C2-4F65-A7A3-4909E88C1A7B}" name="Valor Venda" dataDxfId="101" dataCellStyle="Porcentagem"/>
    <tableColumn id="4" xr3:uid="{ADF4588D-7BC9-4314-A427-3D24958DACCC}" name="Entrada" dataDxfId="100" dataCellStyle="Porcentagem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9" dataDxfId="97" headerRowBorderDxfId="98" tableBorderDxfId="96" totalsRowBorderDxfId="95">
  <autoFilter ref="K5:M11" xr:uid="{00000000-0009-0000-0100-000015000000}"/>
  <tableColumns count="3">
    <tableColumn id="1" xr3:uid="{E442CE4D-8AE5-41ED-A914-7256B88EAC73}" name="Descrição" dataDxfId="94"/>
    <tableColumn id="2" xr3:uid="{1E7FE08B-850F-4E9F-8B47-9536C8F5EC41}" name="Tipo de Pagto" dataDxfId="93"/>
    <tableColumn id="3" xr3:uid="{3DF1C1DC-F67A-43FF-B2A1-DF3622684536}" name="Valor" dataDxfId="92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91" dataDxfId="89" headerRowBorderDxfId="90" tableBorderDxfId="88" totalsRowBorderDxfId="8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6"/>
    <tableColumn id="2" xr3:uid="{7751C919-065D-412F-B8A7-F92A54826246}" name="Cliente" dataDxfId="85"/>
    <tableColumn id="3" xr3:uid="{22CEA33D-E4AE-4795-B81E-F00AEE0259C7}" name="Forma de Pgto" dataDxfId="84" dataCellStyle="Moeda"/>
    <tableColumn id="4" xr3:uid="{111A6D3D-9DF3-48E3-B298-6A078CD9958A}" name="Valor Venda" dataDxfId="83" dataCellStyle="Porcentagem"/>
    <tableColumn id="5" xr3:uid="{6FAC4EB6-9A05-4962-BE54-D649C18DF277}" name="Entrada" dataDxfId="82" dataCellStyle="Porcentagem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81" dataDxfId="79" headerRowBorderDxfId="80" tableBorderDxfId="78" totalsRowBorderDxfId="7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70EC0554-ECDB-4BBB-8EC8-2A8F33D6CFC6}" name="OS" dataDxfId="76"/>
    <tableColumn id="2" xr3:uid="{7B162083-69E8-4F3B-A78B-AAB824AC7351}" name="Vendedor" dataDxfId="75"/>
    <tableColumn id="3" xr3:uid="{A73D781B-1144-472F-AB4F-C1B60353EA62}" name="CARNE" dataDxfId="74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3" dataDxfId="71" headerRowBorderDxfId="72" tableBorderDxfId="70" totalsRowBorderDxfId="69">
  <autoFilter ref="E34:I41" xr:uid="{B9E2F984-8588-4F2C-9FB9-680284154679}"/>
  <sortState xmlns:xlrd2="http://schemas.microsoft.com/office/spreadsheetml/2017/richdata2" ref="E35:I41">
    <sortCondition ref="E34:E41"/>
  </sortState>
  <tableColumns count="5">
    <tableColumn id="1" xr3:uid="{AD3C0498-252B-437A-9A16-3112A87FF46D}" name="OS" dataDxfId="68"/>
    <tableColumn id="2" xr3:uid="{20C66877-6F9A-47B0-A475-B6BCD966BCDE}" name="Cliente" dataDxfId="67"/>
    <tableColumn id="3" xr3:uid="{0B1C76D4-E380-4017-B2F1-2785D2AA0EB8}" name="Forma de Pgto" dataDxfId="66" dataCellStyle="Moeda"/>
    <tableColumn id="4" xr3:uid="{B7ACF4A8-9732-43AF-BAA1-9675D326ADFE}" name="Valor Parcela" dataDxfId="65" dataCellStyle="Porcentagem"/>
    <tableColumn id="5" xr3:uid="{D3AA6A31-6891-4F0D-A789-213423B77F89}" name="Nº Parcela" dataDxfId="64" dataCellStyle="Porcentagem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3" dataDxfId="61" headerRowBorderDxfId="62" tableBorderDxfId="60" totalsRowBorderDxfId="59">
  <autoFilter ref="K34:M41" xr:uid="{1B8643D4-6AC3-4029-882A-C62E9D7CB225}"/>
  <tableColumns count="3">
    <tableColumn id="1" xr3:uid="{2F82B378-0FB6-4745-B866-67CFE9774172}" name="OS" dataDxfId="58"/>
    <tableColumn id="2" xr3:uid="{BC22F8A2-3A5C-41B3-B76F-5C0070F63051}" name="Parcelas" dataDxfId="57"/>
    <tableColumn id="3" xr3:uid="{4BD95DAA-0D20-4678-8E3E-53FA905C70F9}" name="Valor Total" dataDxfId="56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5" dataDxfId="53" headerRowBorderDxfId="54" tableBorderDxfId="52" totalsRowBorderDxfId="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50" dataCellStyle="Moeda"/>
    <tableColumn id="5" xr3:uid="{B349F75C-FD83-42BC-AC89-09AA029D8EFE}" name="Cliente" dataDxfId="49" dataCellStyle="Moeda"/>
    <tableColumn id="2" xr3:uid="{5AC8E623-19E4-4450-B04F-87D3C51A3106}" name="Forma de Pgto" dataDxfId="48" dataCellStyle="Moeda"/>
    <tableColumn id="3" xr3:uid="{B508839F-67B8-4567-A0E7-F626D9292F0F}" name="Valor Venda" dataDxfId="47" dataCellStyle="Porcentagem"/>
    <tableColumn id="4" xr3:uid="{EEC337BF-1756-4A9B-AD25-186C19F608E4}" name="Entrada" dataDxfId="46" dataCellStyle="Porcentagem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5" dataDxfId="43" headerRowBorderDxfId="44" tableBorderDxfId="42" totalsRowBorderDxfId="41">
  <autoFilter ref="K5:M11" xr:uid="{00000000-0009-0000-0100-000015000000}"/>
  <tableColumns count="3">
    <tableColumn id="1" xr3:uid="{3592BEEC-943B-4302-A978-B56ADB08BED9}" name="Descrição" dataDxfId="40"/>
    <tableColumn id="2" xr3:uid="{49221644-AE32-4BF9-BB52-77A3EABD5F0C}" name="Tipo de Pagto" dataDxfId="39"/>
    <tableColumn id="3" xr3:uid="{88361A78-CF3F-4DCF-8424-AE46053C75E6}" name="Valor" dataDxfId="38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7" dataDxfId="35" headerRowBorderDxfId="36" tableBorderDxfId="34" totalsRowBorderDxfId="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2"/>
    <tableColumn id="2" xr3:uid="{97DD3132-3804-4C47-A6DB-7DC40600EC8C}" name="Cliente" dataDxfId="31"/>
    <tableColumn id="3" xr3:uid="{1BC70869-3856-4ED9-8F16-5BD65C3868A7}" name="Forma de Pgto" dataDxfId="30" dataCellStyle="Moeda"/>
    <tableColumn id="4" xr3:uid="{C05A5EE1-AECF-408D-AE83-591D903C7D3B}" name="Valor Venda" dataDxfId="29" dataCellStyle="Porcentagem"/>
    <tableColumn id="5" xr3:uid="{1797FF6E-998A-42EF-B971-6F5AF105380C}" name="Entrada" dataDxfId="28" dataCellStyle="Porcentagem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7" dataDxfId="25" headerRowBorderDxfId="26" tableBorderDxfId="24" totalsRowBorderDxfId="23">
  <autoFilter ref="K14:M31" xr:uid="{C83FE64B-E221-4DAA-89EA-5307A7BC98B3}"/>
  <tableColumns count="3">
    <tableColumn id="1" xr3:uid="{9DE4A889-248F-459E-8992-681934B06197}" name="OS" dataDxfId="22"/>
    <tableColumn id="2" xr3:uid="{02C1F889-1B21-460D-A9B5-23882A34C610}" name="Vendedor" dataDxfId="21"/>
    <tableColumn id="3" xr3:uid="{7BA38CB9-A108-482C-89FC-5BAC0E16D20B}" name="CARNE" dataDxfId="20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9" dataDxfId="17" headerRowBorderDxfId="18" tableBorderDxfId="16" totalsRowBorderDxfId="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4"/>
    <tableColumn id="2" xr3:uid="{0384488B-A6E8-45B8-95DF-1AFC546D97F7}" name="Cliente" dataDxfId="13"/>
    <tableColumn id="3" xr3:uid="{27D144F0-AF87-462E-9717-001979EED817}" name="Forma de Pgto" dataDxfId="12" dataCellStyle="Moeda"/>
    <tableColumn id="4" xr3:uid="{53029C9F-CBAD-4B52-99B7-2C6ECD96CA7E}" name="Valor Parcela" dataDxfId="11" dataCellStyle="Porcentagem"/>
    <tableColumn id="5" xr3:uid="{6A53694F-D9A9-435C-8BF9-62A66BB6F1AD}" name="Nº Parcela" dataDxfId="10" dataCellStyle="Porcentagem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9" dataDxfId="7" headerRowBorderDxfId="8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D402EF9-34C5-4C77-9043-D8C632E8B7F4}" name="Tabela39" displayName="Tabela39" ref="A1:A13000" totalsRowShown="0">
  <autoFilter ref="A1:A13000" xr:uid="{0D402EF9-34C5-4C77-9043-D8C632E8B7F4}"/>
  <tableColumns count="1">
    <tableColumn id="1" xr3:uid="{0B94906A-DDE3-4257-AA3C-EF6DA0B00468}" name="OSs Mauá"/>
  </tableColumns>
  <tableStyleInfo name="TableStyleMedium2" showFirstColumn="0" showLastColumn="0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8" totalsRowShown="0" headerRowDxfId="1">
  <autoFilter ref="A1:B8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7" Type="http://schemas.openxmlformats.org/officeDocument/2006/relationships/table" Target="../tables/table31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0.xml"/><Relationship Id="rId5" Type="http://schemas.openxmlformats.org/officeDocument/2006/relationships/table" Target="../tables/table29.xml"/><Relationship Id="rId4" Type="http://schemas.openxmlformats.org/officeDocument/2006/relationships/table" Target="../tables/table2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7" Type="http://schemas.openxmlformats.org/officeDocument/2006/relationships/table" Target="../tables/table37.xml"/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36.xml"/><Relationship Id="rId5" Type="http://schemas.openxmlformats.org/officeDocument/2006/relationships/table" Target="../tables/table35.xml"/><Relationship Id="rId4" Type="http://schemas.openxmlformats.org/officeDocument/2006/relationships/table" Target="../tables/table3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7" Type="http://schemas.openxmlformats.org/officeDocument/2006/relationships/table" Target="../tables/table43.xml"/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2.xml"/><Relationship Id="rId5" Type="http://schemas.openxmlformats.org/officeDocument/2006/relationships/table" Target="../tables/table41.xml"/><Relationship Id="rId4" Type="http://schemas.openxmlformats.org/officeDocument/2006/relationships/table" Target="../tables/table4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7" Type="http://schemas.openxmlformats.org/officeDocument/2006/relationships/table" Target="../tables/table49.xml"/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48.xml"/><Relationship Id="rId5" Type="http://schemas.openxmlformats.org/officeDocument/2006/relationships/table" Target="../tables/table47.xml"/><Relationship Id="rId4" Type="http://schemas.openxmlformats.org/officeDocument/2006/relationships/table" Target="../tables/table4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7" Type="http://schemas.openxmlformats.org/officeDocument/2006/relationships/table" Target="../tables/table55.xml"/><Relationship Id="rId2" Type="http://schemas.openxmlformats.org/officeDocument/2006/relationships/table" Target="../tables/table50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4.xml"/><Relationship Id="rId5" Type="http://schemas.openxmlformats.org/officeDocument/2006/relationships/table" Target="../tables/table53.xml"/><Relationship Id="rId4" Type="http://schemas.openxmlformats.org/officeDocument/2006/relationships/table" Target="../tables/table5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7" Type="http://schemas.openxmlformats.org/officeDocument/2006/relationships/table" Target="../tables/table61.xml"/><Relationship Id="rId2" Type="http://schemas.openxmlformats.org/officeDocument/2006/relationships/table" Target="../tables/table56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0.xml"/><Relationship Id="rId5" Type="http://schemas.openxmlformats.org/officeDocument/2006/relationships/table" Target="../tables/table59.xml"/><Relationship Id="rId4" Type="http://schemas.openxmlformats.org/officeDocument/2006/relationships/table" Target="../tables/table5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3.xml"/><Relationship Id="rId7" Type="http://schemas.openxmlformats.org/officeDocument/2006/relationships/table" Target="../tables/table67.xml"/><Relationship Id="rId2" Type="http://schemas.openxmlformats.org/officeDocument/2006/relationships/table" Target="../tables/table62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66.xml"/><Relationship Id="rId5" Type="http://schemas.openxmlformats.org/officeDocument/2006/relationships/table" Target="../tables/table65.xml"/><Relationship Id="rId4" Type="http://schemas.openxmlformats.org/officeDocument/2006/relationships/table" Target="../tables/table6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9.xml"/><Relationship Id="rId7" Type="http://schemas.openxmlformats.org/officeDocument/2006/relationships/table" Target="../tables/table73.xml"/><Relationship Id="rId2" Type="http://schemas.openxmlformats.org/officeDocument/2006/relationships/table" Target="../tables/table68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2.xml"/><Relationship Id="rId5" Type="http://schemas.openxmlformats.org/officeDocument/2006/relationships/table" Target="../tables/table71.xml"/><Relationship Id="rId4" Type="http://schemas.openxmlformats.org/officeDocument/2006/relationships/table" Target="../tables/table7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5.xml"/><Relationship Id="rId7" Type="http://schemas.openxmlformats.org/officeDocument/2006/relationships/table" Target="../tables/table79.xml"/><Relationship Id="rId2" Type="http://schemas.openxmlformats.org/officeDocument/2006/relationships/table" Target="../tables/table74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78.xml"/><Relationship Id="rId5" Type="http://schemas.openxmlformats.org/officeDocument/2006/relationships/table" Target="../tables/table77.xml"/><Relationship Id="rId4" Type="http://schemas.openxmlformats.org/officeDocument/2006/relationships/table" Target="../tables/table7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1.xml"/><Relationship Id="rId7" Type="http://schemas.openxmlformats.org/officeDocument/2006/relationships/table" Target="../tables/table85.xml"/><Relationship Id="rId2" Type="http://schemas.openxmlformats.org/officeDocument/2006/relationships/table" Target="../tables/table80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84.xml"/><Relationship Id="rId5" Type="http://schemas.openxmlformats.org/officeDocument/2006/relationships/table" Target="../tables/table83.xml"/><Relationship Id="rId4" Type="http://schemas.openxmlformats.org/officeDocument/2006/relationships/table" Target="../tables/table8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7.xml"/><Relationship Id="rId7" Type="http://schemas.openxmlformats.org/officeDocument/2006/relationships/table" Target="../tables/table91.xml"/><Relationship Id="rId2" Type="http://schemas.openxmlformats.org/officeDocument/2006/relationships/table" Target="../tables/table86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0.xml"/><Relationship Id="rId5" Type="http://schemas.openxmlformats.org/officeDocument/2006/relationships/table" Target="../tables/table89.xml"/><Relationship Id="rId4" Type="http://schemas.openxmlformats.org/officeDocument/2006/relationships/table" Target="../tables/table88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3.xml"/><Relationship Id="rId7" Type="http://schemas.openxmlformats.org/officeDocument/2006/relationships/table" Target="../tables/table97.xml"/><Relationship Id="rId2" Type="http://schemas.openxmlformats.org/officeDocument/2006/relationships/table" Target="../tables/table92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96.xml"/><Relationship Id="rId5" Type="http://schemas.openxmlformats.org/officeDocument/2006/relationships/table" Target="../tables/table95.xml"/><Relationship Id="rId4" Type="http://schemas.openxmlformats.org/officeDocument/2006/relationships/table" Target="../tables/table9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9.xml"/><Relationship Id="rId7" Type="http://schemas.openxmlformats.org/officeDocument/2006/relationships/table" Target="../tables/table103.xml"/><Relationship Id="rId2" Type="http://schemas.openxmlformats.org/officeDocument/2006/relationships/table" Target="../tables/table98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2.xml"/><Relationship Id="rId5" Type="http://schemas.openxmlformats.org/officeDocument/2006/relationships/table" Target="../tables/table101.xml"/><Relationship Id="rId4" Type="http://schemas.openxmlformats.org/officeDocument/2006/relationships/table" Target="../tables/table100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5.xml"/><Relationship Id="rId7" Type="http://schemas.openxmlformats.org/officeDocument/2006/relationships/table" Target="../tables/table109.xml"/><Relationship Id="rId2" Type="http://schemas.openxmlformats.org/officeDocument/2006/relationships/table" Target="../tables/table104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08.xml"/><Relationship Id="rId5" Type="http://schemas.openxmlformats.org/officeDocument/2006/relationships/table" Target="../tables/table107.xml"/><Relationship Id="rId4" Type="http://schemas.openxmlformats.org/officeDocument/2006/relationships/table" Target="../tables/table106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1.xml"/><Relationship Id="rId7" Type="http://schemas.openxmlformats.org/officeDocument/2006/relationships/table" Target="../tables/table115.xml"/><Relationship Id="rId2" Type="http://schemas.openxmlformats.org/officeDocument/2006/relationships/table" Target="../tables/table110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14.xml"/><Relationship Id="rId5" Type="http://schemas.openxmlformats.org/officeDocument/2006/relationships/table" Target="../tables/table113.xml"/><Relationship Id="rId4" Type="http://schemas.openxmlformats.org/officeDocument/2006/relationships/table" Target="../tables/table112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7.xml"/><Relationship Id="rId7" Type="http://schemas.openxmlformats.org/officeDocument/2006/relationships/table" Target="../tables/table121.xml"/><Relationship Id="rId2" Type="http://schemas.openxmlformats.org/officeDocument/2006/relationships/table" Target="../tables/table116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0.xml"/><Relationship Id="rId5" Type="http://schemas.openxmlformats.org/officeDocument/2006/relationships/table" Target="../tables/table119.xml"/><Relationship Id="rId4" Type="http://schemas.openxmlformats.org/officeDocument/2006/relationships/table" Target="../tables/table118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3.xml"/><Relationship Id="rId7" Type="http://schemas.openxmlformats.org/officeDocument/2006/relationships/table" Target="../tables/table127.xml"/><Relationship Id="rId2" Type="http://schemas.openxmlformats.org/officeDocument/2006/relationships/table" Target="../tables/table122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26.xml"/><Relationship Id="rId5" Type="http://schemas.openxmlformats.org/officeDocument/2006/relationships/table" Target="../tables/table125.xml"/><Relationship Id="rId4" Type="http://schemas.openxmlformats.org/officeDocument/2006/relationships/table" Target="../tables/table124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9.xml"/><Relationship Id="rId7" Type="http://schemas.openxmlformats.org/officeDocument/2006/relationships/table" Target="../tables/table133.xml"/><Relationship Id="rId2" Type="http://schemas.openxmlformats.org/officeDocument/2006/relationships/table" Target="../tables/table128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2.xml"/><Relationship Id="rId5" Type="http://schemas.openxmlformats.org/officeDocument/2006/relationships/table" Target="../tables/table131.xml"/><Relationship Id="rId4" Type="http://schemas.openxmlformats.org/officeDocument/2006/relationships/table" Target="../tables/table130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5.xml"/><Relationship Id="rId7" Type="http://schemas.openxmlformats.org/officeDocument/2006/relationships/table" Target="../tables/table139.xml"/><Relationship Id="rId2" Type="http://schemas.openxmlformats.org/officeDocument/2006/relationships/table" Target="../tables/table134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38.xml"/><Relationship Id="rId5" Type="http://schemas.openxmlformats.org/officeDocument/2006/relationships/table" Target="../tables/table137.xml"/><Relationship Id="rId4" Type="http://schemas.openxmlformats.org/officeDocument/2006/relationships/table" Target="../tables/table136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1.xml"/><Relationship Id="rId7" Type="http://schemas.openxmlformats.org/officeDocument/2006/relationships/table" Target="../tables/table145.xml"/><Relationship Id="rId2" Type="http://schemas.openxmlformats.org/officeDocument/2006/relationships/table" Target="../tables/table140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44.xml"/><Relationship Id="rId5" Type="http://schemas.openxmlformats.org/officeDocument/2006/relationships/table" Target="../tables/table143.xml"/><Relationship Id="rId4" Type="http://schemas.openxmlformats.org/officeDocument/2006/relationships/table" Target="../tables/table142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7.xml"/><Relationship Id="rId7" Type="http://schemas.openxmlformats.org/officeDocument/2006/relationships/table" Target="../tables/table151.xml"/><Relationship Id="rId2" Type="http://schemas.openxmlformats.org/officeDocument/2006/relationships/table" Target="../tables/table146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0.xml"/><Relationship Id="rId5" Type="http://schemas.openxmlformats.org/officeDocument/2006/relationships/table" Target="../tables/table149.xml"/><Relationship Id="rId4" Type="http://schemas.openxmlformats.org/officeDocument/2006/relationships/table" Target="../tables/table148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3.xml"/><Relationship Id="rId7" Type="http://schemas.openxmlformats.org/officeDocument/2006/relationships/table" Target="../tables/table157.xml"/><Relationship Id="rId2" Type="http://schemas.openxmlformats.org/officeDocument/2006/relationships/table" Target="../tables/table152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56.xml"/><Relationship Id="rId5" Type="http://schemas.openxmlformats.org/officeDocument/2006/relationships/table" Target="../tables/table155.xml"/><Relationship Id="rId4" Type="http://schemas.openxmlformats.org/officeDocument/2006/relationships/table" Target="../tables/table15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9.xml"/><Relationship Id="rId7" Type="http://schemas.openxmlformats.org/officeDocument/2006/relationships/table" Target="../tables/table163.xml"/><Relationship Id="rId2" Type="http://schemas.openxmlformats.org/officeDocument/2006/relationships/table" Target="../tables/table158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2.xml"/><Relationship Id="rId5" Type="http://schemas.openxmlformats.org/officeDocument/2006/relationships/table" Target="../tables/table161.xml"/><Relationship Id="rId4" Type="http://schemas.openxmlformats.org/officeDocument/2006/relationships/table" Target="../tables/table160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5.xml"/><Relationship Id="rId7" Type="http://schemas.openxmlformats.org/officeDocument/2006/relationships/table" Target="../tables/table169.xml"/><Relationship Id="rId2" Type="http://schemas.openxmlformats.org/officeDocument/2006/relationships/table" Target="../tables/table164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68.xml"/><Relationship Id="rId5" Type="http://schemas.openxmlformats.org/officeDocument/2006/relationships/table" Target="../tables/table167.xml"/><Relationship Id="rId4" Type="http://schemas.openxmlformats.org/officeDocument/2006/relationships/table" Target="../tables/table166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1.xml"/><Relationship Id="rId7" Type="http://schemas.openxmlformats.org/officeDocument/2006/relationships/table" Target="../tables/table175.xml"/><Relationship Id="rId2" Type="http://schemas.openxmlformats.org/officeDocument/2006/relationships/table" Target="../tables/table170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74.xml"/><Relationship Id="rId5" Type="http://schemas.openxmlformats.org/officeDocument/2006/relationships/table" Target="../tables/table173.xml"/><Relationship Id="rId4" Type="http://schemas.openxmlformats.org/officeDocument/2006/relationships/table" Target="../tables/table172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7.xml"/><Relationship Id="rId7" Type="http://schemas.openxmlformats.org/officeDocument/2006/relationships/table" Target="../tables/table181.xml"/><Relationship Id="rId2" Type="http://schemas.openxmlformats.org/officeDocument/2006/relationships/table" Target="../tables/table176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0.xml"/><Relationship Id="rId5" Type="http://schemas.openxmlformats.org/officeDocument/2006/relationships/table" Target="../tables/table179.xml"/><Relationship Id="rId4" Type="http://schemas.openxmlformats.org/officeDocument/2006/relationships/table" Target="../tables/table178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3.xml"/><Relationship Id="rId7" Type="http://schemas.openxmlformats.org/officeDocument/2006/relationships/table" Target="../tables/table187.xml"/><Relationship Id="rId2" Type="http://schemas.openxmlformats.org/officeDocument/2006/relationships/table" Target="../tables/table182.xml"/><Relationship Id="rId1" Type="http://schemas.openxmlformats.org/officeDocument/2006/relationships/printerSettings" Target="../printerSettings/printerSettings32.bin"/><Relationship Id="rId6" Type="http://schemas.openxmlformats.org/officeDocument/2006/relationships/table" Target="../tables/table186.xml"/><Relationship Id="rId5" Type="http://schemas.openxmlformats.org/officeDocument/2006/relationships/table" Target="../tables/table185.xml"/><Relationship Id="rId4" Type="http://schemas.openxmlformats.org/officeDocument/2006/relationships/table" Target="../tables/table184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8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0.xml"/><Relationship Id="rId1" Type="http://schemas.openxmlformats.org/officeDocument/2006/relationships/table" Target="../tables/table18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1:P45"/>
  <sheetViews>
    <sheetView zoomScaleNormal="100" workbookViewId="0">
      <selection activeCell="P7" sqref="P7"/>
    </sheetView>
  </sheetViews>
  <sheetFormatPr defaultColWidth="21.28515625" defaultRowHeight="12.75" x14ac:dyDescent="0.2"/>
  <cols>
    <col min="2" max="2" width="22.7109375" customWidth="1"/>
    <col min="5" max="5" width="15.7109375" customWidth="1"/>
    <col min="6" max="6" width="34.7109375" customWidth="1"/>
    <col min="7" max="7" width="15.7109375" customWidth="1"/>
    <col min="8" max="9" width="18.85546875" customWidth="1"/>
    <col min="11" max="11" width="25.7109375" customWidth="1"/>
    <col min="12" max="12" width="20.85546875" customWidth="1"/>
    <col min="13" max="13" width="18.85546875" customWidth="1"/>
  </cols>
  <sheetData>
    <row r="1" spans="1:16" ht="28.5" x14ac:dyDescent="0.45">
      <c r="B1" s="96"/>
      <c r="C1" s="96"/>
      <c r="L1" s="97" t="s">
        <v>143</v>
      </c>
      <c r="M1" s="97"/>
      <c r="P1" t="s">
        <v>122</v>
      </c>
    </row>
    <row r="2" spans="1:16" ht="15" x14ac:dyDescent="0.2">
      <c r="A2" s="7" t="s">
        <v>0</v>
      </c>
      <c r="B2" s="14">
        <v>0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P2" t="s">
        <v>123</v>
      </c>
    </row>
    <row r="3" spans="1:16" ht="15" x14ac:dyDescent="0.25">
      <c r="A3" s="8" t="s">
        <v>1</v>
      </c>
      <c r="B3" s="9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82339.239999999991</v>
      </c>
      <c r="P3" t="s">
        <v>124</v>
      </c>
    </row>
    <row r="4" spans="1:16" ht="15" x14ac:dyDescent="0.25">
      <c r="A4" s="8" t="s">
        <v>2</v>
      </c>
      <c r="B4" s="29">
        <f ca="1">SUM('01'!C6,'02'!C6,'03'!C6,'04'!C6,'05'!C6,'06'!C6,'07'!C6,'08'!C6,'09'!C6,'10'!C6,'11'!C6,'12'!C6,'13'!C6,'14'!C6,'15'!C6,'16'!C6,'17'!C6,'18'!C6,'19'!C6,'20'!C6,'21'!C6,'22'!C6,'23'!C6,'24'!C6,'25'!C6,'26'!C6,'27'!C6,'28'!C6,'29'!C6,'30'!C6,'31'!C6)</f>
        <v>78458.579999999987</v>
      </c>
      <c r="C4" s="55"/>
      <c r="D4" s="56"/>
      <c r="E4" s="55" t="s">
        <v>136</v>
      </c>
      <c r="F4" s="55"/>
      <c r="G4" s="55"/>
      <c r="H4" s="55"/>
      <c r="I4" s="55"/>
      <c r="J4" s="56"/>
      <c r="K4" s="55" t="s">
        <v>137</v>
      </c>
      <c r="L4" s="55"/>
      <c r="M4" s="55"/>
      <c r="P4" t="s">
        <v>125</v>
      </c>
    </row>
    <row r="5" spans="1:16" ht="15" x14ac:dyDescent="0.25">
      <c r="A5" s="8" t="s">
        <v>3</v>
      </c>
      <c r="B5" s="29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8379.49</v>
      </c>
      <c r="C5" s="55"/>
      <c r="D5" s="56"/>
      <c r="E5" s="56"/>
      <c r="F5" s="56"/>
      <c r="G5" s="56"/>
      <c r="H5" s="56"/>
      <c r="I5" s="56"/>
      <c r="J5" s="56"/>
      <c r="K5" s="56"/>
      <c r="L5" s="56"/>
      <c r="M5" s="56"/>
      <c r="P5" t="s">
        <v>126</v>
      </c>
    </row>
    <row r="6" spans="1:16" ht="15.75" x14ac:dyDescent="0.25">
      <c r="A6" s="10" t="s">
        <v>4</v>
      </c>
      <c r="B6" s="32">
        <f ca="1">SUM(B4:B5)</f>
        <v>86838.069999999992</v>
      </c>
      <c r="C6" s="55">
        <f>C16</f>
        <v>0</v>
      </c>
      <c r="D6" s="56"/>
      <c r="E6" s="56"/>
      <c r="F6" s="56"/>
      <c r="G6" s="56"/>
      <c r="H6" s="56"/>
      <c r="I6" s="56"/>
      <c r="J6" s="56"/>
      <c r="K6" s="56"/>
      <c r="L6" s="56"/>
      <c r="M6" s="56"/>
      <c r="P6" t="s">
        <v>127</v>
      </c>
    </row>
    <row r="7" spans="1:16" ht="15" x14ac:dyDescent="0.25">
      <c r="A7" s="2"/>
      <c r="B7" s="27"/>
      <c r="C7" s="55"/>
      <c r="D7" s="56"/>
      <c r="E7" s="56"/>
      <c r="F7" s="56"/>
      <c r="G7" s="56"/>
      <c r="H7" s="56"/>
      <c r="I7" s="56"/>
      <c r="J7" s="56"/>
      <c r="K7" s="56"/>
      <c r="L7" s="56"/>
      <c r="M7" s="56"/>
      <c r="P7" t="s">
        <v>128</v>
      </c>
    </row>
    <row r="8" spans="1:16" ht="15" x14ac:dyDescent="0.25">
      <c r="A8" s="93" t="s">
        <v>5</v>
      </c>
      <c r="B8" s="94"/>
      <c r="C8" s="55"/>
      <c r="D8" s="56"/>
      <c r="E8" s="56"/>
      <c r="F8" s="56"/>
      <c r="G8" s="56"/>
      <c r="H8" s="56"/>
      <c r="I8" s="56"/>
      <c r="J8" s="56"/>
      <c r="K8" s="56"/>
      <c r="L8" s="56"/>
      <c r="M8" s="56"/>
      <c r="P8" t="s">
        <v>129</v>
      </c>
    </row>
    <row r="9" spans="1:16" ht="15" x14ac:dyDescent="0.25">
      <c r="A9" s="11" t="s">
        <v>6</v>
      </c>
      <c r="B9" s="29">
        <f ca="1"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9748.0499999999993</v>
      </c>
      <c r="C9" s="55"/>
      <c r="D9" s="56"/>
      <c r="E9" s="56"/>
      <c r="F9" s="56"/>
      <c r="G9" s="56"/>
      <c r="H9" s="56"/>
      <c r="I9" s="56"/>
      <c r="J9" s="56"/>
      <c r="K9" s="56"/>
      <c r="L9" s="56"/>
      <c r="M9" s="56"/>
      <c r="P9" t="s">
        <v>130</v>
      </c>
    </row>
    <row r="10" spans="1:16" ht="15" x14ac:dyDescent="0.25">
      <c r="A10" s="11" t="s">
        <v>7</v>
      </c>
      <c r="B10" s="66">
        <f ca="1"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8917</v>
      </c>
      <c r="C10" s="72"/>
      <c r="D10" s="56"/>
      <c r="E10" s="56"/>
      <c r="F10" s="56"/>
      <c r="G10" s="56"/>
      <c r="H10" s="56"/>
      <c r="I10" s="56"/>
      <c r="J10" s="56"/>
      <c r="K10" s="56"/>
      <c r="L10" s="56"/>
      <c r="M10" s="56"/>
      <c r="P10" t="s">
        <v>131</v>
      </c>
    </row>
    <row r="11" spans="1:16" ht="15" x14ac:dyDescent="0.25">
      <c r="A11" s="11" t="s">
        <v>8</v>
      </c>
      <c r="B11" s="67">
        <f ca="1"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38209.64</v>
      </c>
      <c r="C11" s="63"/>
      <c r="D11" s="56"/>
      <c r="E11" s="56"/>
      <c r="F11" s="56"/>
      <c r="G11" s="56"/>
      <c r="H11" s="56"/>
      <c r="I11" s="56"/>
      <c r="J11" s="56"/>
      <c r="K11" s="56"/>
      <c r="L11" s="56"/>
      <c r="M11" s="56"/>
      <c r="P11" t="s">
        <v>132</v>
      </c>
    </row>
    <row r="12" spans="1:16" ht="15" x14ac:dyDescent="0.25">
      <c r="A12" s="11" t="s">
        <v>9</v>
      </c>
      <c r="B12" s="67">
        <f ca="1"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0</v>
      </c>
      <c r="C12" s="63"/>
      <c r="D12" s="56"/>
      <c r="E12" s="56"/>
      <c r="F12" s="56"/>
      <c r="G12" s="56"/>
      <c r="H12" s="56"/>
      <c r="I12" s="56"/>
      <c r="J12" s="56"/>
      <c r="K12" s="56"/>
      <c r="L12" s="56"/>
      <c r="M12" s="56"/>
      <c r="P12" t="s">
        <v>133</v>
      </c>
    </row>
    <row r="13" spans="1:16" ht="15" x14ac:dyDescent="0.25">
      <c r="A13" s="11" t="s">
        <v>10</v>
      </c>
      <c r="B13" s="67">
        <f ca="1"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21583.89</v>
      </c>
      <c r="C13" s="63"/>
      <c r="D13" s="56"/>
      <c r="E13" s="56"/>
      <c r="F13" s="56"/>
      <c r="G13" s="56"/>
      <c r="H13" s="56"/>
      <c r="I13" s="56"/>
      <c r="J13" s="56"/>
      <c r="K13" s="55" t="s">
        <v>141</v>
      </c>
      <c r="L13" s="55"/>
      <c r="M13" s="55"/>
      <c r="P13" t="s">
        <v>134</v>
      </c>
    </row>
    <row r="14" spans="1:16" ht="15.75" x14ac:dyDescent="0.25">
      <c r="A14" s="10" t="s">
        <v>11</v>
      </c>
      <c r="B14" s="57">
        <f ca="1">SUM(B9:B13)</f>
        <v>78458.58</v>
      </c>
      <c r="C14" s="63"/>
      <c r="D14" s="56"/>
      <c r="E14" s="56"/>
      <c r="F14" s="56"/>
      <c r="G14" s="56"/>
      <c r="H14" s="56"/>
      <c r="I14" s="56"/>
      <c r="J14" s="56"/>
      <c r="K14" s="56"/>
      <c r="L14" s="56"/>
      <c r="M14" s="56"/>
    </row>
    <row r="15" spans="1:16" ht="15" x14ac:dyDescent="0.25">
      <c r="A15" s="2"/>
      <c r="B15" s="68"/>
      <c r="C15" s="63"/>
      <c r="D15" s="56"/>
      <c r="E15" s="56"/>
      <c r="F15" s="56"/>
      <c r="G15" s="56"/>
      <c r="H15" s="56"/>
      <c r="I15" s="56"/>
      <c r="J15" s="56"/>
      <c r="K15" s="56"/>
      <c r="L15" s="56"/>
      <c r="M15" s="56"/>
    </row>
    <row r="16" spans="1:16" ht="15" x14ac:dyDescent="0.25">
      <c r="A16" s="93" t="s">
        <v>12</v>
      </c>
      <c r="B16" s="95"/>
      <c r="C16" s="73"/>
      <c r="D16" s="56"/>
      <c r="E16" s="56"/>
      <c r="F16" s="56"/>
      <c r="G16" s="56"/>
      <c r="H16" s="56"/>
      <c r="I16" s="56"/>
      <c r="J16" s="56"/>
      <c r="K16" s="56"/>
      <c r="L16" s="56"/>
      <c r="M16" s="56"/>
    </row>
    <row r="17" spans="1:13" ht="15" x14ac:dyDescent="0.25">
      <c r="A17" s="11">
        <f>COUNT(#REF!)</f>
        <v>0</v>
      </c>
      <c r="B17" s="29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8785</v>
      </c>
      <c r="C17" s="55"/>
      <c r="D17" s="56"/>
      <c r="E17" s="56"/>
      <c r="F17" s="56"/>
      <c r="G17" s="56"/>
      <c r="H17" s="56"/>
      <c r="I17" s="56"/>
      <c r="J17" s="56"/>
      <c r="K17" s="56"/>
      <c r="L17" s="56"/>
      <c r="M17" s="56"/>
    </row>
    <row r="18" spans="1:13" ht="15.75" x14ac:dyDescent="0.25">
      <c r="A18" s="10" t="s">
        <v>11</v>
      </c>
      <c r="B18" s="57">
        <f>SUM(B17:B17)</f>
        <v>8785</v>
      </c>
      <c r="C18" s="72"/>
      <c r="D18" s="56"/>
      <c r="E18" s="56"/>
      <c r="F18" s="56"/>
      <c r="G18" s="56"/>
      <c r="H18" s="56"/>
      <c r="I18" s="56"/>
      <c r="J18" s="56"/>
      <c r="K18" s="56"/>
      <c r="L18" s="56"/>
      <c r="M18" s="56"/>
    </row>
    <row r="19" spans="1:13" ht="13.5" x14ac:dyDescent="0.25">
      <c r="B19" s="62"/>
      <c r="C19" s="63"/>
      <c r="D19" s="56"/>
      <c r="E19" s="56"/>
      <c r="F19" s="56"/>
      <c r="G19" s="56"/>
      <c r="H19" s="56"/>
      <c r="I19" s="56"/>
      <c r="J19" s="56"/>
      <c r="K19" s="56"/>
      <c r="L19" s="56"/>
      <c r="M19" s="56"/>
    </row>
    <row r="20" spans="1:13" ht="13.5" x14ac:dyDescent="0.25">
      <c r="B20" s="74"/>
      <c r="C20" s="73"/>
      <c r="D20" s="56"/>
      <c r="E20" s="56"/>
      <c r="F20" s="56"/>
      <c r="G20" s="56"/>
      <c r="H20" s="56"/>
      <c r="I20" s="56"/>
      <c r="J20" s="56"/>
      <c r="K20" s="56"/>
      <c r="L20" s="56"/>
      <c r="M20" s="56"/>
    </row>
    <row r="21" spans="1:13" ht="13.5" x14ac:dyDescent="0.25">
      <c r="B21" s="55"/>
      <c r="C21" s="55"/>
      <c r="D21" s="56"/>
      <c r="E21" s="56"/>
      <c r="F21" s="56"/>
      <c r="G21" s="56"/>
      <c r="H21" s="56"/>
      <c r="I21" s="56"/>
      <c r="J21" s="56"/>
      <c r="K21" s="56"/>
      <c r="L21" s="56"/>
      <c r="M21" s="56"/>
    </row>
    <row r="22" spans="1:13" ht="13.5" x14ac:dyDescent="0.25">
      <c r="B22" s="55"/>
      <c r="C22" s="55"/>
      <c r="D22" s="56"/>
      <c r="E22" s="56"/>
      <c r="F22" s="56"/>
      <c r="G22" s="56"/>
      <c r="H22" s="56"/>
      <c r="I22" s="56"/>
      <c r="J22" s="56"/>
      <c r="K22" s="56"/>
      <c r="L22" s="56"/>
      <c r="M22" s="56"/>
    </row>
    <row r="23" spans="1:13" ht="13.5" x14ac:dyDescent="0.25"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</row>
    <row r="24" spans="1:13" ht="13.5" x14ac:dyDescent="0.25">
      <c r="B24" s="56"/>
      <c r="C24" s="56"/>
      <c r="D24" s="56"/>
      <c r="E24" s="62" t="s">
        <v>138</v>
      </c>
      <c r="F24" s="55"/>
      <c r="G24" s="55"/>
      <c r="H24" s="55"/>
      <c r="I24" s="63"/>
      <c r="J24" s="56"/>
      <c r="K24" s="56"/>
      <c r="L24" s="56"/>
      <c r="M24" s="56"/>
    </row>
    <row r="25" spans="1:13" ht="13.5" x14ac:dyDescent="0.25">
      <c r="B25" s="56"/>
      <c r="C25" s="56"/>
      <c r="D25" s="56"/>
      <c r="E25" s="61"/>
      <c r="F25" s="56"/>
      <c r="G25" s="56"/>
      <c r="H25" s="56"/>
      <c r="I25" s="64"/>
      <c r="J25" s="56"/>
      <c r="K25" s="56"/>
      <c r="L25" s="56"/>
      <c r="M25" s="56"/>
    </row>
    <row r="26" spans="1:13" ht="13.5" x14ac:dyDescent="0.25"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</row>
    <row r="27" spans="1:13" ht="13.5" x14ac:dyDescent="0.25"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</row>
    <row r="28" spans="1:13" ht="13.5" x14ac:dyDescent="0.25"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</row>
    <row r="29" spans="1:13" ht="13.5" x14ac:dyDescent="0.25"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</row>
    <row r="30" spans="1:13" ht="13.5" x14ac:dyDescent="0.25"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</row>
    <row r="31" spans="1:13" ht="13.5" x14ac:dyDescent="0.25"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</row>
    <row r="32" spans="1:13" ht="13.5" x14ac:dyDescent="0.25"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</row>
    <row r="33" spans="2:13" ht="13.5" x14ac:dyDescent="0.25">
      <c r="B33" s="56"/>
      <c r="C33" s="56"/>
      <c r="D33" s="56"/>
      <c r="E33" s="62" t="s">
        <v>139</v>
      </c>
      <c r="F33" s="55"/>
      <c r="G33" s="55"/>
      <c r="H33" s="55"/>
      <c r="I33" s="63"/>
      <c r="J33" s="56"/>
      <c r="K33" s="62" t="s">
        <v>140</v>
      </c>
      <c r="L33" s="55"/>
      <c r="M33" s="63"/>
    </row>
    <row r="34" spans="2:13" ht="13.5" x14ac:dyDescent="0.25">
      <c r="B34" s="56"/>
      <c r="C34" s="56"/>
      <c r="D34" s="56"/>
      <c r="E34" s="61"/>
      <c r="F34" s="56"/>
      <c r="G34" s="56"/>
      <c r="H34" s="56"/>
      <c r="I34" s="64"/>
      <c r="J34" s="56"/>
      <c r="K34" s="65"/>
      <c r="L34" s="56"/>
      <c r="M34" s="64"/>
    </row>
    <row r="35" spans="2:13" ht="16.5" customHeight="1" x14ac:dyDescent="0.25"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64"/>
    </row>
    <row r="36" spans="2:13" ht="16.5" customHeight="1" x14ac:dyDescent="0.25"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64"/>
    </row>
    <row r="37" spans="2:13" ht="16.5" customHeight="1" x14ac:dyDescent="0.25"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64"/>
    </row>
    <row r="38" spans="2:13" ht="16.5" customHeight="1" x14ac:dyDescent="0.25"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64"/>
    </row>
    <row r="39" spans="2:13" ht="16.5" customHeight="1" x14ac:dyDescent="0.25"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64"/>
    </row>
    <row r="40" spans="2:13" ht="16.5" customHeight="1" x14ac:dyDescent="0.25"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64"/>
    </row>
    <row r="41" spans="2:13" ht="16.5" customHeight="1" x14ac:dyDescent="0.25"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64"/>
    </row>
    <row r="42" spans="2:13" ht="13.5" x14ac:dyDescent="0.25"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</row>
    <row r="43" spans="2:13" ht="13.5" x14ac:dyDescent="0.25"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</row>
    <row r="44" spans="2:13" ht="13.5" x14ac:dyDescent="0.25"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</row>
    <row r="45" spans="2:13" ht="13.5" x14ac:dyDescent="0.25"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</row>
  </sheetData>
  <dataConsolidate/>
  <mergeCells count="4">
    <mergeCell ref="A8:B8"/>
    <mergeCell ref="A16:B16"/>
    <mergeCell ref="B1:C1"/>
    <mergeCell ref="L1:M1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5"/>
  <sheetViews>
    <sheetView showGridLines="0" topLeftCell="A2" zoomScale="90" zoomScaleNormal="9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4.57031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v>45809</v>
      </c>
      <c r="C1" s="98"/>
      <c r="L1" s="99" t="s">
        <v>143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5" t="s">
        <v>0</v>
      </c>
      <c r="C4" s="26">
        <v>0</v>
      </c>
      <c r="D4" s="58"/>
      <c r="E4" s="108" t="s">
        <v>136</v>
      </c>
      <c r="F4" s="108"/>
      <c r="G4" s="108"/>
      <c r="H4" s="108"/>
      <c r="I4" s="108"/>
      <c r="J4" s="30"/>
      <c r="K4" s="102" t="s">
        <v>137</v>
      </c>
      <c r="L4" s="103"/>
      <c r="M4" s="104"/>
    </row>
    <row r="5" spans="2:18" ht="16.5" x14ac:dyDescent="0.3">
      <c r="B5" s="28" t="s">
        <v>1</v>
      </c>
      <c r="C5" s="29">
        <f>SUMIF(I6:I31,"&gt;0",H6:H31)</f>
        <v>0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18" ht="16.5" x14ac:dyDescent="0.3">
      <c r="B6" s="28" t="s">
        <v>2</v>
      </c>
      <c r="C6" s="29">
        <f>C16</f>
        <v>0</v>
      </c>
      <c r="D6" s="30"/>
      <c r="E6" s="75"/>
      <c r="F6" s="76"/>
      <c r="G6" s="51"/>
      <c r="H6" s="39"/>
      <c r="I6" s="39"/>
      <c r="J6" s="30"/>
      <c r="K6" s="76"/>
      <c r="L6" s="89"/>
      <c r="M6" s="44"/>
      <c r="R6" s="1">
        <f>IF(vend1[[#This Row],[Nº Venda]]&gt;1,1,0)</f>
        <v>0</v>
      </c>
    </row>
    <row r="7" spans="2:18" ht="16.5" x14ac:dyDescent="0.3">
      <c r="B7" s="28" t="s">
        <v>3</v>
      </c>
      <c r="C7" s="29">
        <f>SUM(M6:M11)</f>
        <v>0</v>
      </c>
      <c r="D7" s="30"/>
      <c r="E7" s="75"/>
      <c r="F7" s="76"/>
      <c r="G7" s="51"/>
      <c r="H7" s="39"/>
      <c r="I7" s="39"/>
      <c r="J7" s="30"/>
      <c r="K7" s="76"/>
      <c r="L7" s="89"/>
      <c r="M7" s="44"/>
      <c r="R7" s="1">
        <f>IF(vend1[[#This Row],[Nº Venda]]&gt;1,1,0)</f>
        <v>0</v>
      </c>
    </row>
    <row r="8" spans="2:18" ht="16.5" x14ac:dyDescent="0.3">
      <c r="B8" s="31" t="s">
        <v>21</v>
      </c>
      <c r="C8" s="32">
        <f>SUM(C6:C7)</f>
        <v>0</v>
      </c>
      <c r="D8" s="30"/>
      <c r="E8" s="75"/>
      <c r="F8" s="76"/>
      <c r="G8" s="51"/>
      <c r="H8" s="39"/>
      <c r="I8" s="39"/>
      <c r="J8" s="30"/>
      <c r="K8" s="76"/>
      <c r="L8" s="89"/>
      <c r="M8" s="44"/>
      <c r="R8" s="1">
        <f>IF(vend1[[#This Row],[Nº Venda]]&gt;1,1,0)</f>
        <v>0</v>
      </c>
    </row>
    <row r="9" spans="2:18" ht="16.5" x14ac:dyDescent="0.3">
      <c r="B9" s="27"/>
      <c r="C9" s="27"/>
      <c r="D9" s="30"/>
      <c r="E9" s="75"/>
      <c r="F9" s="76"/>
      <c r="G9" s="51"/>
      <c r="H9" s="39"/>
      <c r="I9" s="39"/>
      <c r="J9" s="30"/>
      <c r="K9" s="76"/>
      <c r="L9" s="89"/>
      <c r="M9" s="44"/>
      <c r="R9" s="1">
        <f>IF(vend1[[#This Row],[Nº Venda]]&gt;1,1,0)</f>
        <v>0</v>
      </c>
    </row>
    <row r="10" spans="2:18" ht="16.5" x14ac:dyDescent="0.3">
      <c r="B10" s="109" t="s">
        <v>5</v>
      </c>
      <c r="C10" s="110"/>
      <c r="D10" s="30"/>
      <c r="E10" s="75"/>
      <c r="F10" s="76"/>
      <c r="G10" s="51"/>
      <c r="H10" s="39"/>
      <c r="I10" s="39"/>
      <c r="J10" s="30"/>
      <c r="K10" s="76"/>
      <c r="L10" s="89"/>
      <c r="M10" s="44"/>
      <c r="R10" s="1">
        <f>IF(vend1[[#This Row],[Nº Venda]]&gt;1,1,0)</f>
        <v>0</v>
      </c>
    </row>
    <row r="11" spans="2:18" ht="16.5" x14ac:dyDescent="0.3">
      <c r="B11" s="28" t="s">
        <v>6</v>
      </c>
      <c r="C11" s="69">
        <f>(SUMIF($G$2:$G$31,B11,$I$2:$I$31))+(SUMIF($G$35:$G$41,B11,$H$35:$H$41))</f>
        <v>0</v>
      </c>
      <c r="D11" s="30"/>
      <c r="E11" s="75"/>
      <c r="F11" s="76"/>
      <c r="G11" s="51"/>
      <c r="H11" s="39"/>
      <c r="I11" s="39"/>
      <c r="J11" s="30"/>
      <c r="K11" s="38"/>
      <c r="L11" s="89"/>
      <c r="M11" s="44"/>
      <c r="O11" s="1">
        <f>IF(C16=0,0,1)</f>
        <v>0</v>
      </c>
      <c r="R11" s="1">
        <f>IF(vend1[[#This Row],[Nº Venda]]&gt;1,1,0)</f>
        <v>0</v>
      </c>
    </row>
    <row r="12" spans="2:18" ht="16.5" x14ac:dyDescent="0.3">
      <c r="B12" s="28" t="s">
        <v>7</v>
      </c>
      <c r="C12" s="69">
        <f t="shared" ref="C12:C15" si="0">(SUMIF($G$2:$G$31,B12,$I$2:$I$31))+(SUMIF($G$35:$G$41,B12,$H$35:$H$41))</f>
        <v>0</v>
      </c>
      <c r="D12" s="30"/>
      <c r="E12" s="75"/>
      <c r="F12" s="76"/>
      <c r="G12" s="51"/>
      <c r="H12" s="39"/>
      <c r="I12" s="39"/>
      <c r="J12" s="30"/>
      <c r="K12" s="33"/>
      <c r="L12" s="33"/>
      <c r="M12" s="33"/>
      <c r="R12" s="1">
        <f>IF(vend1[[#This Row],[Nº Venda]]&gt;1,1,0)</f>
        <v>0</v>
      </c>
    </row>
    <row r="13" spans="2:18" ht="16.5" x14ac:dyDescent="0.3">
      <c r="B13" s="28" t="s">
        <v>8</v>
      </c>
      <c r="C13" s="69">
        <f t="shared" si="0"/>
        <v>0</v>
      </c>
      <c r="D13" s="30"/>
      <c r="E13" s="75"/>
      <c r="F13" s="76"/>
      <c r="G13" s="51"/>
      <c r="H13" s="39"/>
      <c r="I13" s="39"/>
      <c r="J13" s="30"/>
      <c r="K13" s="102" t="s">
        <v>141</v>
      </c>
      <c r="L13" s="103"/>
      <c r="M13" s="104"/>
      <c r="R13" s="1">
        <f>IF(vend1[[#This Row],[Nº Venda]]&gt;1,1,0)</f>
        <v>0</v>
      </c>
    </row>
    <row r="14" spans="2:18" ht="16.5" x14ac:dyDescent="0.3">
      <c r="B14" s="28" t="s">
        <v>9</v>
      </c>
      <c r="C14" s="69">
        <f t="shared" si="0"/>
        <v>0</v>
      </c>
      <c r="D14" s="30"/>
      <c r="E14" s="75"/>
      <c r="F14" s="76"/>
      <c r="G14" s="51"/>
      <c r="H14" s="39"/>
      <c r="I14" s="39"/>
      <c r="J14" s="30"/>
      <c r="K14" s="22" t="s">
        <v>22</v>
      </c>
      <c r="L14" s="23" t="s">
        <v>23</v>
      </c>
      <c r="M14" s="24" t="s">
        <v>24</v>
      </c>
      <c r="R14" s="1">
        <f>IF(vend1[[#This Row],[Nº Venda]]&gt;1,1,0)</f>
        <v>0</v>
      </c>
    </row>
    <row r="15" spans="2:18" ht="16.5" x14ac:dyDescent="0.3">
      <c r="B15" s="28" t="s">
        <v>10</v>
      </c>
      <c r="C15" s="69">
        <f t="shared" si="0"/>
        <v>0</v>
      </c>
      <c r="D15" s="30"/>
      <c r="E15" s="75"/>
      <c r="F15" s="76"/>
      <c r="G15" s="51"/>
      <c r="H15" s="39"/>
      <c r="I15" s="39"/>
      <c r="J15" s="30"/>
      <c r="K15" s="75"/>
      <c r="L15" s="89"/>
      <c r="M15" s="44"/>
      <c r="R15" s="1">
        <f>IF(vend1[[#This Row],[Nº Venda]]&gt;1,1,0)</f>
        <v>0</v>
      </c>
    </row>
    <row r="16" spans="2:18" ht="16.5" x14ac:dyDescent="0.3">
      <c r="B16" s="31" t="s">
        <v>11</v>
      </c>
      <c r="C16" s="70">
        <f>SUM(C11:C15)</f>
        <v>0</v>
      </c>
      <c r="D16" s="30"/>
      <c r="E16" s="75"/>
      <c r="F16" s="76"/>
      <c r="G16" s="51"/>
      <c r="H16" s="39"/>
      <c r="I16" s="39"/>
      <c r="J16" s="30"/>
      <c r="K16" s="75"/>
      <c r="L16" s="89"/>
      <c r="M16" s="44"/>
      <c r="R16" s="1">
        <f>IF(vend1[[#This Row],[Nº Venda]]&gt;1,1,0)</f>
        <v>0</v>
      </c>
    </row>
    <row r="17" spans="2:18" ht="16.5" x14ac:dyDescent="0.3">
      <c r="B17" s="27"/>
      <c r="C17" s="27"/>
      <c r="D17" s="30"/>
      <c r="E17" s="75"/>
      <c r="F17" s="76"/>
      <c r="G17" s="51"/>
      <c r="H17" s="39"/>
      <c r="I17" s="39"/>
      <c r="J17" s="30"/>
      <c r="K17" s="75"/>
      <c r="L17" s="89"/>
      <c r="M17" s="44"/>
      <c r="R17" s="1">
        <f>IF(vend1[[#This Row],[Nº Venda]]&gt;1,1,0)</f>
        <v>0</v>
      </c>
    </row>
    <row r="18" spans="2:18" ht="16.5" x14ac:dyDescent="0.3">
      <c r="B18" s="109" t="s">
        <v>12</v>
      </c>
      <c r="C18" s="110"/>
      <c r="D18" s="30"/>
      <c r="E18" s="75"/>
      <c r="F18" s="76"/>
      <c r="G18" s="51"/>
      <c r="H18" s="39"/>
      <c r="I18" s="39"/>
      <c r="J18" s="30"/>
      <c r="K18" s="75"/>
      <c r="L18" s="89"/>
      <c r="M18" s="44"/>
      <c r="R18" s="1">
        <f>IF(vend1[[#This Row],[Nº Venda]]&gt;1,1,0)</f>
        <v>0</v>
      </c>
    </row>
    <row r="19" spans="2:18" ht="16.5" x14ac:dyDescent="0.3">
      <c r="B19" s="28">
        <f>COUNT(entr_carn1[OS])</f>
        <v>0</v>
      </c>
      <c r="C19" s="69">
        <f>SUM(entr_carn1[Valor Total])</f>
        <v>0</v>
      </c>
      <c r="D19" s="30"/>
      <c r="E19" s="75"/>
      <c r="F19" s="76"/>
      <c r="G19" s="51"/>
      <c r="H19" s="39"/>
      <c r="I19" s="39"/>
      <c r="J19" s="30"/>
      <c r="K19" s="75"/>
      <c r="L19" s="89"/>
      <c r="M19" s="44"/>
      <c r="R19" s="1">
        <f>IF(vend1[[#This Row],[Nº Venda]]&gt;1,1,0)</f>
        <v>0</v>
      </c>
    </row>
    <row r="20" spans="2:18" ht="16.5" x14ac:dyDescent="0.3">
      <c r="B20" s="31" t="s">
        <v>11</v>
      </c>
      <c r="C20" s="70">
        <f>SUM(C19:C19)</f>
        <v>0</v>
      </c>
      <c r="D20" s="30"/>
      <c r="E20" s="75"/>
      <c r="F20" s="51"/>
      <c r="G20" s="51"/>
      <c r="H20" s="39"/>
      <c r="I20" s="39"/>
      <c r="J20" s="30"/>
      <c r="K20" s="75"/>
      <c r="L20" s="89"/>
      <c r="M20" s="44"/>
      <c r="R20" s="1">
        <f>IF(vend1[[#This Row],[Nº Venda]]&gt;1,1,0)</f>
        <v>0</v>
      </c>
    </row>
    <row r="21" spans="2:18" ht="16.5" x14ac:dyDescent="0.3">
      <c r="B21" s="27"/>
      <c r="C21" s="27"/>
      <c r="D21" s="30"/>
      <c r="E21" s="75"/>
      <c r="F21" s="76"/>
      <c r="G21" s="51"/>
      <c r="H21" s="39"/>
      <c r="I21" s="39"/>
      <c r="J21" s="30"/>
      <c r="K21" s="75"/>
      <c r="L21" s="89"/>
      <c r="M21" s="44"/>
    </row>
    <row r="22" spans="2:18" ht="16.5" x14ac:dyDescent="0.3">
      <c r="B22" s="31" t="s">
        <v>25</v>
      </c>
      <c r="C22" s="34">
        <f>C5</f>
        <v>0</v>
      </c>
      <c r="D22" s="30"/>
      <c r="E22" s="77"/>
      <c r="F22" s="76"/>
      <c r="G22" s="51"/>
      <c r="H22" s="39"/>
      <c r="I22" s="39"/>
      <c r="J22" s="30"/>
      <c r="K22" s="75"/>
      <c r="L22" s="89"/>
      <c r="M22" s="44"/>
    </row>
    <row r="23" spans="2:18" ht="16.5" x14ac:dyDescent="0.3">
      <c r="B23" s="30"/>
      <c r="C23" s="30"/>
      <c r="D23" s="30"/>
      <c r="E23" s="35"/>
      <c r="F23" s="35"/>
      <c r="G23" s="35"/>
      <c r="H23" s="36"/>
      <c r="I23" s="37"/>
      <c r="J23" s="30"/>
      <c r="K23" s="75"/>
      <c r="L23" s="89"/>
      <c r="M23" s="44"/>
    </row>
    <row r="24" spans="2:18" ht="16.5" x14ac:dyDescent="0.3">
      <c r="B24" s="30"/>
      <c r="C24" s="30"/>
      <c r="D24" s="30"/>
      <c r="E24" s="100" t="s">
        <v>138</v>
      </c>
      <c r="F24" s="101"/>
      <c r="G24" s="101"/>
      <c r="H24" s="101"/>
      <c r="I24" s="101"/>
      <c r="J24" s="30"/>
      <c r="K24" s="75"/>
      <c r="L24" s="89"/>
      <c r="M24" s="44"/>
    </row>
    <row r="25" spans="2:18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5"/>
      <c r="L25" s="89"/>
      <c r="M25" s="44"/>
    </row>
    <row r="26" spans="2:18" ht="16.5" x14ac:dyDescent="0.3">
      <c r="B26" s="30"/>
      <c r="C26" s="30"/>
      <c r="D26" s="30"/>
      <c r="E26" s="75"/>
      <c r="F26" s="76"/>
      <c r="G26" s="51"/>
      <c r="H26" s="39"/>
      <c r="I26" s="39"/>
      <c r="J26" s="30"/>
      <c r="K26" s="75"/>
      <c r="L26" s="89"/>
      <c r="M26" s="44"/>
    </row>
    <row r="27" spans="2:18" ht="16.5" x14ac:dyDescent="0.3">
      <c r="B27" s="30"/>
      <c r="C27" s="30"/>
      <c r="D27" s="30"/>
      <c r="E27" s="75"/>
      <c r="F27" s="76"/>
      <c r="G27" s="51"/>
      <c r="H27" s="39"/>
      <c r="I27" s="39"/>
      <c r="J27" s="30"/>
      <c r="K27" s="75"/>
      <c r="L27" s="89"/>
      <c r="M27" s="44"/>
    </row>
    <row r="28" spans="2:18" ht="16.5" x14ac:dyDescent="0.3">
      <c r="B28" s="30"/>
      <c r="C28" s="30"/>
      <c r="D28" s="30"/>
      <c r="E28" s="75"/>
      <c r="F28" s="76"/>
      <c r="G28" s="51"/>
      <c r="H28" s="39"/>
      <c r="I28" s="39"/>
      <c r="J28" s="30"/>
      <c r="K28" s="75"/>
      <c r="L28" s="89"/>
      <c r="M28" s="44"/>
    </row>
    <row r="29" spans="2:18" ht="16.5" x14ac:dyDescent="0.3">
      <c r="B29" s="30"/>
      <c r="C29" s="30"/>
      <c r="D29" s="30"/>
      <c r="E29" s="75"/>
      <c r="F29" s="76"/>
      <c r="G29" s="51"/>
      <c r="H29" s="39"/>
      <c r="I29" s="39"/>
      <c r="J29" s="30"/>
      <c r="K29" s="75"/>
      <c r="L29" s="89"/>
      <c r="M29" s="44"/>
    </row>
    <row r="30" spans="2:18" ht="16.5" x14ac:dyDescent="0.3">
      <c r="B30" s="30"/>
      <c r="C30" s="30"/>
      <c r="D30" s="30"/>
      <c r="E30" s="75"/>
      <c r="F30" s="51"/>
      <c r="G30" s="51"/>
      <c r="H30" s="39"/>
      <c r="I30" s="39"/>
      <c r="J30" s="30"/>
      <c r="K30" s="75"/>
      <c r="L30" s="89"/>
      <c r="M30" s="44"/>
    </row>
    <row r="31" spans="2:18" ht="16.5" x14ac:dyDescent="0.3">
      <c r="B31" s="30"/>
      <c r="C31" s="30"/>
      <c r="D31" s="30"/>
      <c r="E31" s="77"/>
      <c r="F31" s="78"/>
      <c r="G31" s="42"/>
      <c r="H31" s="43"/>
      <c r="I31" s="43"/>
      <c r="J31" s="30"/>
      <c r="K31" s="75"/>
      <c r="L31" s="89"/>
      <c r="M31" s="44"/>
    </row>
    <row r="32" spans="2:18" ht="16.5" x14ac:dyDescent="0.3">
      <c r="B32" s="30"/>
      <c r="C32" s="30"/>
      <c r="D32" s="38"/>
      <c r="E32" s="35"/>
      <c r="F32" s="35"/>
      <c r="G32" s="35"/>
      <c r="H32" s="37"/>
      <c r="I32" s="37"/>
      <c r="J32" s="38"/>
      <c r="K32" s="33"/>
      <c r="L32" s="33"/>
      <c r="M32" s="33"/>
    </row>
    <row r="33" spans="2:18" ht="16.5" x14ac:dyDescent="0.3">
      <c r="B33" s="30"/>
      <c r="C33" s="30"/>
      <c r="D33" s="38"/>
      <c r="E33" s="100" t="s">
        <v>139</v>
      </c>
      <c r="F33" s="101"/>
      <c r="G33" s="101"/>
      <c r="H33" s="101"/>
      <c r="I33" s="101"/>
      <c r="J33" s="38"/>
      <c r="K33" s="102" t="s">
        <v>140</v>
      </c>
      <c r="L33" s="103"/>
      <c r="M33" s="104"/>
    </row>
    <row r="34" spans="2:18" ht="16.5" x14ac:dyDescent="0.3">
      <c r="B34" s="38"/>
      <c r="C34" s="38"/>
      <c r="D34" s="38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75"/>
      <c r="F35" s="76"/>
      <c r="G35" s="51"/>
      <c r="H35" s="39"/>
      <c r="I35" s="39"/>
      <c r="J35" s="38"/>
      <c r="K35" s="75"/>
      <c r="L35" s="75"/>
      <c r="M35" s="89"/>
    </row>
    <row r="36" spans="2:18" ht="16.5" customHeight="1" x14ac:dyDescent="0.25">
      <c r="B36" s="38"/>
      <c r="C36" s="38"/>
      <c r="D36" s="38"/>
      <c r="E36" s="75"/>
      <c r="F36" s="76"/>
      <c r="G36" s="51"/>
      <c r="H36" s="39"/>
      <c r="I36" s="39"/>
      <c r="J36" s="38"/>
      <c r="K36" s="75"/>
      <c r="L36" s="75"/>
      <c r="M36" s="89"/>
    </row>
    <row r="37" spans="2:18" ht="16.5" customHeight="1" x14ac:dyDescent="0.25">
      <c r="B37" s="38"/>
      <c r="C37" s="38"/>
      <c r="D37" s="38"/>
      <c r="E37" s="75"/>
      <c r="F37" s="76"/>
      <c r="G37" s="51"/>
      <c r="H37" s="39"/>
      <c r="I37" s="39"/>
      <c r="J37" s="38"/>
      <c r="K37" s="75"/>
      <c r="L37" s="75"/>
      <c r="M37" s="89"/>
    </row>
    <row r="38" spans="2:18" ht="16.5" customHeight="1" x14ac:dyDescent="0.25">
      <c r="B38" s="38"/>
      <c r="C38" s="38"/>
      <c r="D38" s="38"/>
      <c r="E38" s="75"/>
      <c r="F38" s="76"/>
      <c r="G38" s="51"/>
      <c r="H38" s="39"/>
      <c r="I38" s="39"/>
      <c r="J38" s="38"/>
      <c r="K38" s="75"/>
      <c r="L38" s="75"/>
      <c r="M38" s="89"/>
    </row>
    <row r="39" spans="2:18" ht="16.5" customHeight="1" x14ac:dyDescent="0.25">
      <c r="B39" s="38"/>
      <c r="C39" s="38"/>
      <c r="D39" s="38"/>
      <c r="E39" s="75"/>
      <c r="F39" s="51"/>
      <c r="G39" s="51"/>
      <c r="H39" s="39"/>
      <c r="I39" s="39"/>
      <c r="J39" s="38"/>
      <c r="K39" s="75"/>
      <c r="L39" s="75"/>
      <c r="M39" s="89"/>
    </row>
    <row r="40" spans="2:18" ht="16.5" customHeight="1" x14ac:dyDescent="0.25">
      <c r="B40" s="38"/>
      <c r="C40" s="38"/>
      <c r="D40" s="38"/>
      <c r="E40" s="77"/>
      <c r="F40" s="78"/>
      <c r="G40" s="42"/>
      <c r="H40" s="43"/>
      <c r="I40" s="39"/>
      <c r="J40" s="38"/>
      <c r="K40" s="77"/>
      <c r="L40" s="77"/>
      <c r="M40" s="90"/>
      <c r="Q40" s="1" t="s">
        <v>33</v>
      </c>
      <c r="R40" s="1">
        <f>SUM(R6:R21)</f>
        <v>0</v>
      </c>
    </row>
    <row r="41" spans="2:18" ht="16.5" customHeight="1" x14ac:dyDescent="0.25">
      <c r="B41" s="38"/>
      <c r="C41" s="38"/>
      <c r="D41" s="38"/>
      <c r="E41" s="80"/>
      <c r="F41" s="51"/>
      <c r="G41" s="51"/>
      <c r="H41" s="39"/>
      <c r="I41" s="39"/>
      <c r="J41" s="38"/>
      <c r="K41" s="75"/>
      <c r="L41" s="75"/>
      <c r="M41" s="90"/>
    </row>
    <row r="42" spans="2:18" ht="13.5" x14ac:dyDescent="0.25">
      <c r="B42" s="38"/>
      <c r="C42" s="38"/>
      <c r="D42" s="38"/>
      <c r="E42" s="35"/>
      <c r="F42" s="35"/>
      <c r="G42" s="35"/>
      <c r="H42" s="37"/>
      <c r="I42" s="37"/>
      <c r="J42" s="38"/>
      <c r="K42" s="33"/>
      <c r="L42" s="33"/>
      <c r="M42" s="33"/>
    </row>
    <row r="43" spans="2:18" ht="13.5" x14ac:dyDescent="0.25">
      <c r="B43" s="38"/>
      <c r="C43" s="38"/>
      <c r="D43" s="38"/>
      <c r="E43" s="35"/>
      <c r="F43" s="35"/>
      <c r="G43" s="35"/>
      <c r="H43" s="37"/>
      <c r="I43" s="37"/>
      <c r="J43" s="38"/>
      <c r="K43" s="33"/>
      <c r="L43" s="33"/>
      <c r="M43" s="33"/>
    </row>
    <row r="44" spans="2:18" ht="13.5" x14ac:dyDescent="0.25">
      <c r="B44" s="38"/>
      <c r="C44" s="38"/>
      <c r="D44" s="38"/>
      <c r="E44" s="35"/>
      <c r="F44" s="35"/>
      <c r="G44" s="35"/>
      <c r="H44" s="37"/>
      <c r="I44" s="37"/>
      <c r="J44" s="38"/>
      <c r="K44" s="33"/>
      <c r="L44" s="33"/>
      <c r="M44" s="33"/>
    </row>
    <row r="45" spans="2:18" ht="13.5" x14ac:dyDescent="0.25">
      <c r="B45" s="38"/>
      <c r="C45" s="38"/>
      <c r="D45" s="38"/>
      <c r="E45" s="35"/>
      <c r="F45" s="35"/>
      <c r="G45" s="35"/>
      <c r="H45" s="37"/>
      <c r="I45" s="37"/>
      <c r="J45" s="38"/>
      <c r="K45" s="33"/>
      <c r="L45" s="33"/>
      <c r="M45" s="33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28" type="noConversion"/>
  <dataValidations count="2">
    <dataValidation type="list" allowBlank="1" showInputMessage="1" showErrorMessage="1" sqref="M15:M31" xr:uid="{9539A39A-7E11-4770-A03D-2CE6F0502CC7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2AC9059-422A-49F7-825C-65DEBB219367}">
          <x14:formula1>
            <xm:f>base!$E$2:$E$79</xm:f>
          </x14:formula1>
          <xm:sqref>I35:I41</xm:sqref>
        </x14:dataValidation>
        <x14:dataValidation type="list" allowBlank="1" showInputMessage="1" showErrorMessage="1" xr:uid="{21C0EE20-9846-4D0C-A722-ED5996C9F463}">
          <x14:formula1>
            <xm:f>resumo_cx!$P$2:$P$18</xm:f>
          </x14:formula1>
          <xm:sqref>L15:L31</xm:sqref>
        </x14:dataValidation>
        <x14:dataValidation type="list" allowBlank="1" showInputMessage="1" showErrorMessage="1" xr:uid="{E935C8AA-888D-46AB-9959-F44F30A21EB7}">
          <x14:formula1>
            <xm:f>base_OS!$A$2:$A$15000</xm:f>
          </x14:formula1>
          <xm:sqref>E6:E22 E26:E31 K15:K31 K35:K41 E35:E41</xm:sqref>
        </x14:dataValidation>
        <x14:dataValidation type="list" allowBlank="1" showInputMessage="1" showErrorMessage="1" xr:uid="{D750A6A5-C201-4190-B207-F5C8AA22818D}">
          <x14:formula1>
            <xm:f>base!$A$2:$A$8</xm:f>
          </x14:formula1>
          <xm:sqref>G6:G22</xm:sqref>
        </x14:dataValidation>
        <x14:dataValidation type="list" allowBlank="1" showInputMessage="1" showErrorMessage="1" xr:uid="{01D25F35-F227-438E-85FA-444CACF98FBB}">
          <x14:formula1>
            <xm:f>base!$A$2:$A$5</xm:f>
          </x14:formula1>
          <xm:sqref>G26:G31 G35:G41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R45"/>
  <sheetViews>
    <sheetView showGridLines="0" topLeftCell="A20" zoomScale="90" zoomScaleNormal="90" workbookViewId="0">
      <selection activeCell="C24" sqref="C24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'01'!B1+1</f>
        <v>45810</v>
      </c>
      <c r="C1" s="98"/>
      <c r="L1" s="99" t="s">
        <v>143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5" t="s">
        <v>0</v>
      </c>
      <c r="C4" s="26">
        <v>0</v>
      </c>
      <c r="D4" s="58"/>
      <c r="E4" s="108" t="s">
        <v>136</v>
      </c>
      <c r="F4" s="108"/>
      <c r="G4" s="108"/>
      <c r="H4" s="108"/>
      <c r="I4" s="108"/>
      <c r="J4" s="30"/>
      <c r="K4" s="102" t="s">
        <v>137</v>
      </c>
      <c r="L4" s="103"/>
      <c r="M4" s="104"/>
    </row>
    <row r="5" spans="2:18" ht="16.5" x14ac:dyDescent="0.3">
      <c r="B5" s="28" t="s">
        <v>1</v>
      </c>
      <c r="C5" s="29">
        <f>SUMIF(I6:I31,"&gt;0",H6:H31)</f>
        <v>8198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18" ht="16.5" x14ac:dyDescent="0.3">
      <c r="B6" s="28" t="s">
        <v>2</v>
      </c>
      <c r="C6" s="29">
        <f>C16</f>
        <v>3247.5699999999997</v>
      </c>
      <c r="D6" s="30"/>
      <c r="E6" s="75">
        <v>11134</v>
      </c>
      <c r="F6" s="76" t="s">
        <v>149</v>
      </c>
      <c r="G6" s="50" t="s">
        <v>36</v>
      </c>
      <c r="H6" s="39"/>
      <c r="I6" s="39"/>
      <c r="J6" s="30"/>
      <c r="K6" s="76" t="s">
        <v>145</v>
      </c>
      <c r="L6" s="89" t="s">
        <v>10</v>
      </c>
      <c r="M6" s="44">
        <v>3.53</v>
      </c>
      <c r="R6" s="1">
        <f>IF(vend2[[#This Row],[Nº Venda]]&gt;1,1,0)</f>
        <v>1</v>
      </c>
    </row>
    <row r="7" spans="2:18" ht="16.5" x14ac:dyDescent="0.3">
      <c r="B7" s="28" t="s">
        <v>3</v>
      </c>
      <c r="C7" s="29">
        <f>SUM(M6:M11)</f>
        <v>612.53</v>
      </c>
      <c r="D7" s="30"/>
      <c r="E7" s="75">
        <v>11135</v>
      </c>
      <c r="F7" s="76" t="s">
        <v>149</v>
      </c>
      <c r="G7" s="50" t="s">
        <v>36</v>
      </c>
      <c r="H7" s="39"/>
      <c r="I7" s="39"/>
      <c r="J7" s="30"/>
      <c r="K7" s="76" t="s">
        <v>250</v>
      </c>
      <c r="L7" s="89" t="s">
        <v>6</v>
      </c>
      <c r="M7" s="44">
        <v>609</v>
      </c>
      <c r="R7" s="1">
        <f>IF(vend2[[#This Row],[Nº Venda]]&gt;1,1,0)</f>
        <v>1</v>
      </c>
    </row>
    <row r="8" spans="2:18" ht="16.5" x14ac:dyDescent="0.3">
      <c r="B8" s="31" t="s">
        <v>21</v>
      </c>
      <c r="C8" s="32">
        <f>SUM(C6:C7)</f>
        <v>3860.0999999999995</v>
      </c>
      <c r="D8" s="30"/>
      <c r="E8" s="75">
        <v>11136</v>
      </c>
      <c r="F8" s="76" t="s">
        <v>150</v>
      </c>
      <c r="G8" s="51" t="s">
        <v>6</v>
      </c>
      <c r="H8" s="39">
        <v>35</v>
      </c>
      <c r="I8" s="39">
        <v>35</v>
      </c>
      <c r="J8" s="30"/>
      <c r="K8" s="76"/>
      <c r="L8" s="89"/>
      <c r="M8" s="44"/>
      <c r="R8" s="1">
        <f>IF(vend2[[#This Row],[Nº Venda]]&gt;1,1,0)</f>
        <v>1</v>
      </c>
    </row>
    <row r="9" spans="2:18" ht="16.5" x14ac:dyDescent="0.3">
      <c r="B9" s="27"/>
      <c r="C9" s="27"/>
      <c r="D9" s="30"/>
      <c r="E9" s="75">
        <v>11137</v>
      </c>
      <c r="F9" s="76" t="s">
        <v>155</v>
      </c>
      <c r="G9" s="51" t="s">
        <v>6</v>
      </c>
      <c r="H9" s="39">
        <v>25</v>
      </c>
      <c r="I9" s="39">
        <v>25</v>
      </c>
      <c r="J9" s="30"/>
      <c r="K9" s="76"/>
      <c r="L9" s="89"/>
      <c r="M9" s="44"/>
      <c r="R9" s="1">
        <f>IF(vend2[[#This Row],[Nº Venda]]&gt;1,1,0)</f>
        <v>1</v>
      </c>
    </row>
    <row r="10" spans="2:18" ht="16.5" x14ac:dyDescent="0.3">
      <c r="B10" s="109" t="s">
        <v>5</v>
      </c>
      <c r="C10" s="110"/>
      <c r="D10" s="30"/>
      <c r="E10" s="75">
        <v>11138</v>
      </c>
      <c r="F10" s="76" t="s">
        <v>151</v>
      </c>
      <c r="G10" s="51" t="s">
        <v>6</v>
      </c>
      <c r="H10" s="39">
        <v>300</v>
      </c>
      <c r="I10" s="39">
        <v>100</v>
      </c>
      <c r="J10" s="30"/>
      <c r="K10" s="76"/>
      <c r="L10" s="89"/>
      <c r="M10" s="44"/>
      <c r="R10" s="1">
        <f>IF(vend2[[#This Row],[Nº Venda]]&gt;1,1,0)</f>
        <v>1</v>
      </c>
    </row>
    <row r="11" spans="2:18" ht="16.5" x14ac:dyDescent="0.3">
      <c r="B11" s="28" t="s">
        <v>6</v>
      </c>
      <c r="C11" s="69">
        <f>(SUMIF($G$2:$G$31,B11,$I$2:$I$31))+(SUMIF($G$35:$G$41,B11,$H$35:$H$41))</f>
        <v>609</v>
      </c>
      <c r="D11" s="30"/>
      <c r="E11" s="75">
        <v>11139</v>
      </c>
      <c r="F11" s="76" t="s">
        <v>148</v>
      </c>
      <c r="G11" s="51" t="s">
        <v>6</v>
      </c>
      <c r="H11" s="39">
        <v>850</v>
      </c>
      <c r="I11" s="39">
        <v>50</v>
      </c>
      <c r="J11" s="30"/>
      <c r="K11" s="38"/>
      <c r="L11" s="89"/>
      <c r="M11" s="44"/>
      <c r="O11" s="1">
        <f>IF(C16=0,0,1)</f>
        <v>1</v>
      </c>
      <c r="R11" s="1">
        <f>IF(vend2[[#This Row],[Nº Venda]]&gt;1,1,0)</f>
        <v>1</v>
      </c>
    </row>
    <row r="12" spans="2:18" ht="16.5" x14ac:dyDescent="0.3">
      <c r="B12" s="28" t="s">
        <v>7</v>
      </c>
      <c r="C12" s="69">
        <f>(SUMIF($G$2:$G$31,B12,$I$2:$I$31))+(SUMIF($G$35:$G$41,B12,$H$35:$H$41))</f>
        <v>268.57</v>
      </c>
      <c r="D12" s="30"/>
      <c r="E12" s="75">
        <v>11140</v>
      </c>
      <c r="F12" s="76" t="s">
        <v>156</v>
      </c>
      <c r="G12" s="51" t="s">
        <v>36</v>
      </c>
      <c r="H12" s="39"/>
      <c r="I12" s="39"/>
      <c r="J12" s="30"/>
      <c r="K12" s="33"/>
      <c r="L12" s="33"/>
      <c r="M12" s="33"/>
      <c r="R12" s="1">
        <f>IF(vend2[[#This Row],[Nº Venda]]&gt;1,1,0)</f>
        <v>1</v>
      </c>
    </row>
    <row r="13" spans="2:18" ht="16.5" x14ac:dyDescent="0.3">
      <c r="B13" s="28" t="s">
        <v>8</v>
      </c>
      <c r="C13" s="69">
        <f>(SUMIF($G$2:$G$31,B13,$I$2:$I$31))+(SUMIF($G$35:$G$41,B13,$H$35:$H$41))</f>
        <v>1380</v>
      </c>
      <c r="D13" s="30"/>
      <c r="E13" s="75">
        <v>11141</v>
      </c>
      <c r="F13" s="76" t="s">
        <v>158</v>
      </c>
      <c r="G13" s="51" t="s">
        <v>8</v>
      </c>
      <c r="H13" s="39">
        <v>2227</v>
      </c>
      <c r="I13" s="39">
        <v>800</v>
      </c>
      <c r="J13" s="30"/>
      <c r="K13" s="102" t="s">
        <v>141</v>
      </c>
      <c r="L13" s="103"/>
      <c r="M13" s="104"/>
      <c r="R13" s="1">
        <f>IF(vend2[[#This Row],[Nº Venda]]&gt;1,1,0)</f>
        <v>1</v>
      </c>
    </row>
    <row r="14" spans="2:18" ht="16.5" x14ac:dyDescent="0.3">
      <c r="B14" s="28" t="s">
        <v>9</v>
      </c>
      <c r="C14" s="69">
        <f>(SUMIF($G$2:$G$31,B14,$I$2:$I$31))+(SUMIF($G$35:$G$41,B14,$H$35:$H$41))</f>
        <v>0</v>
      </c>
      <c r="D14" s="30"/>
      <c r="E14" s="75">
        <v>11142</v>
      </c>
      <c r="F14" s="76" t="s">
        <v>158</v>
      </c>
      <c r="G14" s="51" t="s">
        <v>8</v>
      </c>
      <c r="H14" s="39">
        <v>263</v>
      </c>
      <c r="I14" s="39">
        <v>80</v>
      </c>
      <c r="J14" s="30"/>
      <c r="K14" s="22" t="s">
        <v>22</v>
      </c>
      <c r="L14" s="23" t="s">
        <v>23</v>
      </c>
      <c r="M14" s="24" t="s">
        <v>24</v>
      </c>
      <c r="R14" s="1">
        <f>IF(vend2[[#This Row],[Nº Venda]]&gt;1,1,0)</f>
        <v>1</v>
      </c>
    </row>
    <row r="15" spans="2:18" ht="16.5" x14ac:dyDescent="0.3">
      <c r="B15" s="28" t="s">
        <v>10</v>
      </c>
      <c r="C15" s="69">
        <f>(SUMIF($G$2:$G$31,B15,$I$2:$I$31))+(SUMIF($G$35:$G$41,B15,$H$35:$H$41))</f>
        <v>990</v>
      </c>
      <c r="D15" s="30"/>
      <c r="E15" s="75">
        <v>11143</v>
      </c>
      <c r="F15" s="76" t="s">
        <v>158</v>
      </c>
      <c r="G15" s="51" t="s">
        <v>46</v>
      </c>
      <c r="H15" s="39">
        <v>0</v>
      </c>
      <c r="I15" s="39">
        <v>0</v>
      </c>
      <c r="J15" s="30"/>
      <c r="K15" s="75">
        <v>10199</v>
      </c>
      <c r="L15" s="89" t="s">
        <v>130</v>
      </c>
      <c r="M15" s="44" t="s">
        <v>146</v>
      </c>
      <c r="R15" s="1">
        <f>IF(vend2[[#This Row],[Nº Venda]]&gt;1,1,0)</f>
        <v>1</v>
      </c>
    </row>
    <row r="16" spans="2:18" ht="16.5" x14ac:dyDescent="0.3">
      <c r="B16" s="31" t="s">
        <v>11</v>
      </c>
      <c r="C16" s="70">
        <f>SUM(C11:C15)</f>
        <v>3247.5699999999997</v>
      </c>
      <c r="D16" s="30"/>
      <c r="E16" s="75">
        <v>11144</v>
      </c>
      <c r="F16" s="76" t="s">
        <v>157</v>
      </c>
      <c r="G16" s="51" t="s">
        <v>6</v>
      </c>
      <c r="H16" s="39">
        <v>3800</v>
      </c>
      <c r="I16" s="39">
        <v>50</v>
      </c>
      <c r="J16" s="30"/>
      <c r="K16" s="75">
        <v>10975</v>
      </c>
      <c r="L16" s="89" t="s">
        <v>134</v>
      </c>
      <c r="M16" s="44" t="s">
        <v>146</v>
      </c>
      <c r="R16" s="1">
        <f>IF(vend2[[#This Row],[Nº Venda]]&gt;1,1,0)</f>
        <v>1</v>
      </c>
    </row>
    <row r="17" spans="2:18" ht="16.5" x14ac:dyDescent="0.3">
      <c r="B17" s="27"/>
      <c r="C17" s="27"/>
      <c r="D17" s="30"/>
      <c r="E17" s="75">
        <v>11145</v>
      </c>
      <c r="F17" s="76" t="s">
        <v>157</v>
      </c>
      <c r="G17" s="51" t="s">
        <v>6</v>
      </c>
      <c r="H17" s="39">
        <v>99</v>
      </c>
      <c r="I17" s="39">
        <v>99</v>
      </c>
      <c r="J17" s="30"/>
      <c r="K17" s="75">
        <v>11033</v>
      </c>
      <c r="L17" s="89" t="s">
        <v>128</v>
      </c>
      <c r="M17" s="44" t="s">
        <v>146</v>
      </c>
      <c r="R17" s="1">
        <f>IF(vend2[[#This Row],[Nº Venda]]&gt;1,1,0)</f>
        <v>1</v>
      </c>
    </row>
    <row r="18" spans="2:18" ht="16.5" x14ac:dyDescent="0.3">
      <c r="B18" s="109" t="s">
        <v>12</v>
      </c>
      <c r="C18" s="110"/>
      <c r="D18" s="30"/>
      <c r="E18" s="75"/>
      <c r="F18" s="76"/>
      <c r="G18" s="51"/>
      <c r="H18" s="39"/>
      <c r="I18" s="39"/>
      <c r="J18" s="30"/>
      <c r="K18" s="75">
        <v>11035</v>
      </c>
      <c r="L18" s="89" t="s">
        <v>128</v>
      </c>
      <c r="M18" s="44" t="s">
        <v>146</v>
      </c>
      <c r="R18" s="1">
        <f>IF(vend2[[#This Row],[Nº Venda]]&gt;1,1,0)</f>
        <v>0</v>
      </c>
    </row>
    <row r="19" spans="2:18" ht="16.5" x14ac:dyDescent="0.3">
      <c r="B19" s="28">
        <f>COUNT(entr_carn2[OS])</f>
        <v>0</v>
      </c>
      <c r="C19" s="69">
        <f>SUM(entr_carn2[Valor Total])</f>
        <v>0</v>
      </c>
      <c r="D19" s="30"/>
      <c r="E19" s="75"/>
      <c r="F19" s="76"/>
      <c r="G19" s="51"/>
      <c r="H19" s="39"/>
      <c r="I19" s="39"/>
      <c r="J19" s="30"/>
      <c r="K19" s="75">
        <v>11036</v>
      </c>
      <c r="L19" s="89" t="s">
        <v>128</v>
      </c>
      <c r="M19" s="44" t="s">
        <v>146</v>
      </c>
      <c r="R19" s="1">
        <f>IF(vend2[[#This Row],[Nº Venda]]&gt;1,1,0)</f>
        <v>0</v>
      </c>
    </row>
    <row r="20" spans="2:18" ht="16.5" x14ac:dyDescent="0.3">
      <c r="B20" s="31" t="s">
        <v>11</v>
      </c>
      <c r="C20" s="70">
        <f>SUM(C19:C19)</f>
        <v>0</v>
      </c>
      <c r="D20" s="30"/>
      <c r="E20" s="75"/>
      <c r="F20" s="51"/>
      <c r="G20" s="51"/>
      <c r="H20" s="39"/>
      <c r="I20" s="39"/>
      <c r="J20" s="30"/>
      <c r="K20" s="75">
        <v>11093</v>
      </c>
      <c r="L20" s="89" t="s">
        <v>130</v>
      </c>
      <c r="M20" s="44" t="s">
        <v>146</v>
      </c>
      <c r="R20" s="1">
        <f>IF(vend2[[#This Row],[Nº Venda]]&gt;1,1,0)</f>
        <v>0</v>
      </c>
    </row>
    <row r="21" spans="2:18" ht="16.5" x14ac:dyDescent="0.3">
      <c r="B21" s="27"/>
      <c r="C21" s="27"/>
      <c r="D21" s="30"/>
      <c r="E21" s="75"/>
      <c r="F21" s="76"/>
      <c r="G21" s="51"/>
      <c r="H21" s="39"/>
      <c r="I21" s="39"/>
      <c r="J21" s="30"/>
      <c r="K21" s="75">
        <v>11097</v>
      </c>
      <c r="L21" s="89" t="s">
        <v>128</v>
      </c>
      <c r="M21" s="44" t="s">
        <v>146</v>
      </c>
    </row>
    <row r="22" spans="2:18" ht="16.5" x14ac:dyDescent="0.3">
      <c r="B22" s="31" t="s">
        <v>25</v>
      </c>
      <c r="C22" s="34">
        <f>C5</f>
        <v>8198</v>
      </c>
      <c r="D22" s="30"/>
      <c r="E22" s="77"/>
      <c r="F22" s="76"/>
      <c r="G22" s="51"/>
      <c r="H22" s="39"/>
      <c r="I22" s="39" t="s">
        <v>54</v>
      </c>
      <c r="J22" s="30"/>
      <c r="K22" s="75">
        <v>11108</v>
      </c>
      <c r="L22" s="89" t="s">
        <v>130</v>
      </c>
      <c r="M22" s="44" t="s">
        <v>146</v>
      </c>
    </row>
    <row r="23" spans="2:18" ht="16.5" x14ac:dyDescent="0.3">
      <c r="B23" s="30"/>
      <c r="C23" s="30"/>
      <c r="D23" s="30"/>
      <c r="E23" s="35"/>
      <c r="F23" s="35"/>
      <c r="G23" s="35"/>
      <c r="H23" s="36"/>
      <c r="I23" s="37"/>
      <c r="J23" s="30"/>
      <c r="K23" s="75">
        <v>11137</v>
      </c>
      <c r="L23" s="89" t="s">
        <v>128</v>
      </c>
      <c r="M23" s="44" t="s">
        <v>146</v>
      </c>
    </row>
    <row r="24" spans="2:18" ht="16.5" x14ac:dyDescent="0.3">
      <c r="B24" s="30"/>
      <c r="C24" s="30"/>
      <c r="D24" s="30"/>
      <c r="E24" s="100" t="s">
        <v>138</v>
      </c>
      <c r="F24" s="101"/>
      <c r="G24" s="101"/>
      <c r="H24" s="101"/>
      <c r="I24" s="101"/>
      <c r="J24" s="30"/>
      <c r="K24" s="75"/>
      <c r="L24" s="89"/>
      <c r="M24" s="44"/>
    </row>
    <row r="25" spans="2:18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5"/>
      <c r="L25" s="89"/>
      <c r="M25" s="44"/>
    </row>
    <row r="26" spans="2:18" ht="16.5" x14ac:dyDescent="0.3">
      <c r="B26" s="30"/>
      <c r="C26" s="30"/>
      <c r="D26" s="30"/>
      <c r="E26" s="75">
        <v>10975</v>
      </c>
      <c r="F26" s="76" t="s">
        <v>152</v>
      </c>
      <c r="G26" s="51" t="s">
        <v>8</v>
      </c>
      <c r="H26" s="39"/>
      <c r="I26" s="39">
        <v>500</v>
      </c>
      <c r="J26" s="30"/>
      <c r="K26" s="75"/>
      <c r="L26" s="89"/>
      <c r="M26" s="44"/>
    </row>
    <row r="27" spans="2:18" ht="16.5" x14ac:dyDescent="0.3">
      <c r="B27" s="30"/>
      <c r="C27" s="30"/>
      <c r="D27" s="30"/>
      <c r="E27" s="75">
        <v>10975</v>
      </c>
      <c r="F27" s="76" t="s">
        <v>152</v>
      </c>
      <c r="G27" s="51" t="s">
        <v>6</v>
      </c>
      <c r="H27" s="39"/>
      <c r="I27" s="39">
        <v>250</v>
      </c>
      <c r="J27" s="30"/>
      <c r="K27" s="75"/>
      <c r="L27" s="89"/>
      <c r="M27" s="44"/>
    </row>
    <row r="28" spans="2:18" ht="16.5" x14ac:dyDescent="0.3">
      <c r="B28" s="30"/>
      <c r="C28" s="30"/>
      <c r="D28" s="30"/>
      <c r="E28" s="75">
        <v>11096</v>
      </c>
      <c r="F28" s="51" t="s">
        <v>153</v>
      </c>
      <c r="G28" s="51" t="s">
        <v>10</v>
      </c>
      <c r="H28" s="39"/>
      <c r="I28" s="39">
        <v>541</v>
      </c>
      <c r="J28" s="30"/>
      <c r="K28" s="75"/>
      <c r="L28" s="89"/>
      <c r="M28" s="44"/>
    </row>
    <row r="29" spans="2:18" ht="16.5" x14ac:dyDescent="0.3">
      <c r="B29" s="30"/>
      <c r="C29" s="30"/>
      <c r="D29" s="30"/>
      <c r="E29" s="75">
        <v>11097</v>
      </c>
      <c r="F29" s="51" t="s">
        <v>153</v>
      </c>
      <c r="G29" s="51" t="s">
        <v>10</v>
      </c>
      <c r="H29" s="39"/>
      <c r="I29" s="39">
        <v>449</v>
      </c>
      <c r="J29" s="30"/>
      <c r="K29" s="75"/>
      <c r="L29" s="89"/>
      <c r="M29" s="44"/>
    </row>
    <row r="30" spans="2:18" ht="16.5" x14ac:dyDescent="0.3">
      <c r="B30" s="30"/>
      <c r="C30" s="30"/>
      <c r="D30" s="30"/>
      <c r="E30" s="75">
        <v>11114</v>
      </c>
      <c r="F30" s="76" t="s">
        <v>147</v>
      </c>
      <c r="G30" s="51" t="s">
        <v>7</v>
      </c>
      <c r="H30" s="39">
        <v>299.5</v>
      </c>
      <c r="I30" s="39">
        <v>75</v>
      </c>
      <c r="J30" s="30"/>
      <c r="K30" s="75"/>
      <c r="L30" s="89"/>
      <c r="M30" s="44"/>
    </row>
    <row r="31" spans="2:18" ht="16.5" x14ac:dyDescent="0.3">
      <c r="B31" s="30"/>
      <c r="C31" s="30"/>
      <c r="D31" s="30"/>
      <c r="E31" s="77">
        <v>11115</v>
      </c>
      <c r="F31" s="78" t="s">
        <v>147</v>
      </c>
      <c r="G31" s="42" t="s">
        <v>7</v>
      </c>
      <c r="H31" s="43">
        <v>299.5</v>
      </c>
      <c r="I31" s="43">
        <v>75</v>
      </c>
      <c r="J31" s="30"/>
      <c r="K31" s="75"/>
      <c r="L31" s="89"/>
      <c r="M31" s="44"/>
    </row>
    <row r="32" spans="2:18" ht="16.5" x14ac:dyDescent="0.3">
      <c r="B32" s="30"/>
      <c r="C32" s="30"/>
      <c r="D32" s="38"/>
      <c r="E32" s="92"/>
      <c r="F32" s="92"/>
      <c r="G32" s="92"/>
      <c r="H32" s="92"/>
      <c r="I32" s="92"/>
      <c r="J32" s="38"/>
      <c r="K32" s="33"/>
      <c r="L32" s="33"/>
      <c r="M32" s="33"/>
    </row>
    <row r="33" spans="2:18" ht="16.5" x14ac:dyDescent="0.3">
      <c r="B33" s="30"/>
      <c r="C33" s="30"/>
      <c r="D33" s="38"/>
      <c r="E33" s="100" t="s">
        <v>144</v>
      </c>
      <c r="F33" s="100"/>
      <c r="G33" s="100"/>
      <c r="H33" s="100"/>
      <c r="I33" s="100"/>
      <c r="J33" s="38"/>
      <c r="K33" s="102" t="s">
        <v>140</v>
      </c>
      <c r="L33" s="103"/>
      <c r="M33" s="104"/>
    </row>
    <row r="34" spans="2:18" ht="16.5" x14ac:dyDescent="0.3">
      <c r="B34" s="38"/>
      <c r="C34" s="38"/>
      <c r="D34" s="38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75">
        <v>9894</v>
      </c>
      <c r="F35" s="76" t="s">
        <v>154</v>
      </c>
      <c r="G35" s="51" t="s">
        <v>7</v>
      </c>
      <c r="H35" s="39">
        <v>118.57</v>
      </c>
      <c r="I35" s="39" t="s">
        <v>57</v>
      </c>
      <c r="J35" s="38"/>
      <c r="K35" s="75"/>
      <c r="L35" s="75"/>
      <c r="M35" s="89"/>
    </row>
    <row r="36" spans="2:18" ht="16.5" customHeight="1" x14ac:dyDescent="0.25">
      <c r="B36" s="38"/>
      <c r="C36" s="38"/>
      <c r="D36" s="38"/>
      <c r="E36" s="75"/>
      <c r="F36" s="76"/>
      <c r="G36" s="51"/>
      <c r="H36" s="39"/>
      <c r="I36" s="39"/>
      <c r="J36" s="38"/>
      <c r="K36" s="75"/>
      <c r="L36" s="75"/>
      <c r="M36" s="89"/>
    </row>
    <row r="37" spans="2:18" ht="16.5" customHeight="1" x14ac:dyDescent="0.25">
      <c r="B37" s="38"/>
      <c r="C37" s="38"/>
      <c r="D37" s="38"/>
      <c r="E37" s="75"/>
      <c r="F37" s="76"/>
      <c r="G37" s="51"/>
      <c r="H37" s="39"/>
      <c r="I37" s="39"/>
      <c r="J37" s="38"/>
      <c r="K37" s="75"/>
      <c r="L37" s="75"/>
      <c r="M37" s="89"/>
    </row>
    <row r="38" spans="2:18" ht="16.5" customHeight="1" x14ac:dyDescent="0.25">
      <c r="B38" s="38"/>
      <c r="C38" s="38"/>
      <c r="D38" s="38"/>
      <c r="E38" s="75"/>
      <c r="F38" s="76"/>
      <c r="G38" s="51"/>
      <c r="H38" s="39"/>
      <c r="I38" s="39"/>
      <c r="J38" s="38"/>
      <c r="K38" s="75"/>
      <c r="L38" s="75"/>
      <c r="M38" s="89"/>
    </row>
    <row r="39" spans="2:18" ht="16.5" customHeight="1" x14ac:dyDescent="0.25">
      <c r="B39" s="38"/>
      <c r="C39" s="38"/>
      <c r="D39" s="38"/>
      <c r="E39" s="75"/>
      <c r="F39" s="51"/>
      <c r="G39" s="51"/>
      <c r="H39" s="39"/>
      <c r="I39" s="39"/>
      <c r="J39" s="38"/>
      <c r="K39" s="75"/>
      <c r="L39" s="75"/>
      <c r="M39" s="89"/>
    </row>
    <row r="40" spans="2:18" ht="16.5" customHeight="1" x14ac:dyDescent="0.25">
      <c r="B40" s="38"/>
      <c r="C40" s="38"/>
      <c r="D40" s="38"/>
      <c r="E40" s="77"/>
      <c r="F40" s="78"/>
      <c r="G40" s="42"/>
      <c r="H40" s="43"/>
      <c r="I40" s="39"/>
      <c r="J40" s="38"/>
      <c r="K40" s="77"/>
      <c r="L40" s="77"/>
      <c r="M40" s="90"/>
      <c r="Q40" s="1" t="s">
        <v>33</v>
      </c>
      <c r="R40" s="1">
        <f>SUM(R6:R21)</f>
        <v>12</v>
      </c>
    </row>
    <row r="41" spans="2:18" ht="16.5" customHeight="1" x14ac:dyDescent="0.25">
      <c r="B41" s="38"/>
      <c r="C41" s="38"/>
      <c r="D41" s="38"/>
      <c r="E41" s="80"/>
      <c r="F41" s="51"/>
      <c r="G41" s="51"/>
      <c r="H41" s="39"/>
      <c r="I41" s="39"/>
      <c r="J41" s="38"/>
      <c r="K41" s="75"/>
      <c r="L41" s="75"/>
      <c r="M41" s="90"/>
    </row>
    <row r="42" spans="2:18" ht="13.5" x14ac:dyDescent="0.25">
      <c r="B42" s="38"/>
      <c r="C42" s="38"/>
      <c r="D42" s="38"/>
      <c r="E42" s="35"/>
      <c r="F42" s="35"/>
      <c r="G42" s="35"/>
      <c r="H42" s="37"/>
      <c r="I42" s="37"/>
      <c r="J42" s="38"/>
      <c r="K42" s="33"/>
      <c r="L42" s="33"/>
      <c r="M42" s="33"/>
    </row>
    <row r="43" spans="2:18" ht="13.5" x14ac:dyDescent="0.25">
      <c r="B43" s="38"/>
      <c r="C43" s="38"/>
      <c r="D43" s="38"/>
      <c r="E43" s="35"/>
      <c r="F43" s="35"/>
      <c r="G43" s="35"/>
      <c r="H43" s="37"/>
      <c r="I43" s="37"/>
      <c r="J43" s="38"/>
      <c r="K43" s="33"/>
      <c r="L43" s="33"/>
      <c r="M43" s="33"/>
    </row>
    <row r="44" spans="2:18" ht="13.5" x14ac:dyDescent="0.25">
      <c r="B44" s="38"/>
      <c r="C44" s="38"/>
      <c r="D44" s="38"/>
      <c r="E44" s="35"/>
      <c r="F44" s="35"/>
      <c r="G44" s="35"/>
      <c r="H44" s="37"/>
      <c r="I44" s="37"/>
      <c r="J44" s="38"/>
      <c r="K44" s="33"/>
      <c r="L44" s="33"/>
      <c r="M44" s="33"/>
    </row>
    <row r="45" spans="2:18" ht="13.5" x14ac:dyDescent="0.25">
      <c r="B45" s="38"/>
      <c r="C45" s="38"/>
      <c r="D45" s="38"/>
      <c r="E45" s="35"/>
      <c r="F45" s="35"/>
      <c r="G45" s="35"/>
      <c r="H45" s="37"/>
      <c r="I45" s="37"/>
      <c r="J45" s="38"/>
      <c r="K45" s="33"/>
      <c r="L45" s="33"/>
      <c r="M45" s="33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  <x14:dataValidation type="list" allowBlank="1" showInputMessage="1" showErrorMessage="1" xr:uid="{D03A1A39-17AE-4E0D-BD93-9C0EB93F5BFF}">
          <x14:formula1>
            <xm:f>resumo_cx!$P$2:$P$18</xm:f>
          </x14:formula1>
          <xm:sqref>L15:L31</xm:sqref>
        </x14:dataValidation>
        <x14:dataValidation type="list" allowBlank="1" showInputMessage="1" showErrorMessage="1" xr:uid="{166F0ADB-3630-4A5D-925B-17F947832012}">
          <x14:formula1>
            <xm:f>base_OS!$A$2:$A$15000</xm:f>
          </x14:formula1>
          <xm:sqref>E6:E22 K15:K31 E35:E41 K35:K41 E26:E32</xm:sqref>
        </x14:dataValidation>
        <x14:dataValidation type="list" allowBlank="1" showInputMessage="1" showErrorMessage="1" xr:uid="{7E95BB8A-1768-4CAA-AEF8-5923B3598C9D}">
          <x14:formula1>
            <xm:f>base!$A$2:$A$5</xm:f>
          </x14:formula1>
          <xm:sqref>G35:G41 G28:G31</xm:sqref>
        </x14:dataValidation>
        <x14:dataValidation type="list" allowBlank="1" showInputMessage="1" showErrorMessage="1" xr:uid="{80DA3FBF-4FB8-4E09-B0FB-84F10F353689}">
          <x14:formula1>
            <xm:f>base!$A$2:$A$8</xm:f>
          </x14:formula1>
          <xm:sqref>G26:G27 G6:G22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5"/>
  <sheetViews>
    <sheetView showGridLines="0" topLeftCell="A24" zoomScale="90" zoomScaleNormal="90" workbookViewId="0">
      <selection activeCell="F40" sqref="F4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'02'!B1+1</f>
        <v>45811</v>
      </c>
      <c r="C1" s="98"/>
      <c r="L1" s="99" t="s">
        <v>143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5" t="s">
        <v>0</v>
      </c>
      <c r="C4" s="26">
        <v>0</v>
      </c>
      <c r="D4" s="58"/>
      <c r="E4" s="108" t="s">
        <v>136</v>
      </c>
      <c r="F4" s="108"/>
      <c r="G4" s="108"/>
      <c r="H4" s="108"/>
      <c r="I4" s="108"/>
      <c r="J4" s="30"/>
      <c r="K4" s="102" t="s">
        <v>137</v>
      </c>
      <c r="L4" s="103"/>
      <c r="M4" s="104"/>
    </row>
    <row r="5" spans="2:18" ht="16.5" x14ac:dyDescent="0.3">
      <c r="B5" s="28" t="s">
        <v>1</v>
      </c>
      <c r="C5" s="29">
        <f>SUMIF(I6:I31,"&gt;0",H6:H31)</f>
        <v>1799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18" ht="16.5" x14ac:dyDescent="0.3">
      <c r="B6" s="28" t="s">
        <v>2</v>
      </c>
      <c r="C6" s="29">
        <f>C16</f>
        <v>5218.5</v>
      </c>
      <c r="D6" s="30"/>
      <c r="E6" s="75">
        <v>11146</v>
      </c>
      <c r="F6" s="76" t="s">
        <v>165</v>
      </c>
      <c r="G6" s="50" t="s">
        <v>36</v>
      </c>
      <c r="H6" s="39"/>
      <c r="I6" s="39"/>
      <c r="J6" s="30"/>
      <c r="K6" s="76" t="s">
        <v>161</v>
      </c>
      <c r="L6" s="89" t="s">
        <v>10</v>
      </c>
      <c r="M6" s="44">
        <v>3.78</v>
      </c>
      <c r="R6" s="1">
        <f>IF(vend3[[#This Row],[Nº Venda]]&gt;1,1,0)</f>
        <v>1</v>
      </c>
    </row>
    <row r="7" spans="2:18" ht="16.5" x14ac:dyDescent="0.3">
      <c r="B7" s="28" t="s">
        <v>3</v>
      </c>
      <c r="C7" s="29">
        <f>SUM(M6:M11)</f>
        <v>2503.7800000000002</v>
      </c>
      <c r="D7" s="30"/>
      <c r="E7" s="75">
        <v>11147</v>
      </c>
      <c r="F7" s="76" t="s">
        <v>166</v>
      </c>
      <c r="G7" s="51" t="s">
        <v>7</v>
      </c>
      <c r="H7" s="39">
        <v>199</v>
      </c>
      <c r="I7" s="39">
        <v>199</v>
      </c>
      <c r="J7" s="30"/>
      <c r="K7" s="76" t="s">
        <v>250</v>
      </c>
      <c r="L7" s="89" t="s">
        <v>6</v>
      </c>
      <c r="M7" s="44">
        <v>2500</v>
      </c>
      <c r="R7" s="1">
        <f>IF(vend3[[#This Row],[Nº Venda]]&gt;1,1,0)</f>
        <v>1</v>
      </c>
    </row>
    <row r="8" spans="2:18" ht="16.5" x14ac:dyDescent="0.3">
      <c r="B8" s="31" t="s">
        <v>21</v>
      </c>
      <c r="C8" s="32">
        <f>SUM(C6:C7)</f>
        <v>7722.2800000000007</v>
      </c>
      <c r="D8" s="30"/>
      <c r="E8" s="75">
        <v>11148</v>
      </c>
      <c r="F8" s="76" t="s">
        <v>167</v>
      </c>
      <c r="G8" s="51" t="s">
        <v>8</v>
      </c>
      <c r="H8" s="39">
        <v>650</v>
      </c>
      <c r="I8" s="39">
        <v>30</v>
      </c>
      <c r="J8" s="30"/>
      <c r="K8" s="76"/>
      <c r="L8" s="89"/>
      <c r="M8" s="44"/>
      <c r="R8" s="1">
        <f>IF(vend3[[#This Row],[Nº Venda]]&gt;1,1,0)</f>
        <v>1</v>
      </c>
    </row>
    <row r="9" spans="2:18" ht="16.5" x14ac:dyDescent="0.3">
      <c r="B9" s="27"/>
      <c r="C9" s="27"/>
      <c r="D9" s="30"/>
      <c r="E9" s="75">
        <v>11149</v>
      </c>
      <c r="F9" s="76" t="s">
        <v>167</v>
      </c>
      <c r="G9" s="51" t="s">
        <v>6</v>
      </c>
      <c r="H9" s="39">
        <v>50</v>
      </c>
      <c r="I9" s="39">
        <v>50</v>
      </c>
      <c r="J9" s="30"/>
      <c r="K9" s="76"/>
      <c r="L9" s="89"/>
      <c r="M9" s="44"/>
      <c r="R9" s="1">
        <f>IF(vend3[[#This Row],[Nº Venda]]&gt;1,1,0)</f>
        <v>1</v>
      </c>
    </row>
    <row r="10" spans="2:18" ht="16.5" x14ac:dyDescent="0.3">
      <c r="B10" s="109" t="s">
        <v>5</v>
      </c>
      <c r="C10" s="110"/>
      <c r="D10" s="30"/>
      <c r="E10" s="75">
        <v>11150</v>
      </c>
      <c r="F10" s="76" t="s">
        <v>171</v>
      </c>
      <c r="G10" s="51" t="s">
        <v>10</v>
      </c>
      <c r="H10" s="39">
        <v>900</v>
      </c>
      <c r="I10" s="39">
        <v>250</v>
      </c>
      <c r="J10" s="30"/>
      <c r="K10" s="76"/>
      <c r="L10" s="89"/>
      <c r="M10" s="44"/>
      <c r="R10" s="1">
        <f>IF(vend3[[#This Row],[Nº Venda]]&gt;1,1,0)</f>
        <v>1</v>
      </c>
    </row>
    <row r="11" spans="2:18" ht="16.5" x14ac:dyDescent="0.3">
      <c r="B11" s="28" t="s">
        <v>6</v>
      </c>
      <c r="C11" s="69">
        <f>(SUMIF($G$2:$G$35,B11,$I$2:$I$35))+(SUMIF($G$39:$G$41,B11,$H$39:$H$41))</f>
        <v>2499.5</v>
      </c>
      <c r="D11" s="30"/>
      <c r="E11" s="75"/>
      <c r="F11" s="76"/>
      <c r="G11" s="51"/>
      <c r="H11" s="39"/>
      <c r="I11" s="39"/>
      <c r="J11" s="30"/>
      <c r="K11" s="38"/>
      <c r="L11" s="89"/>
      <c r="M11" s="44"/>
      <c r="O11" s="1">
        <f>IF(C16=0,0,1)</f>
        <v>1</v>
      </c>
      <c r="R11" s="1">
        <f>IF(vend3[[#This Row],[Nº Venda]]&gt;1,1,0)</f>
        <v>0</v>
      </c>
    </row>
    <row r="12" spans="2:18" ht="16.5" x14ac:dyDescent="0.3">
      <c r="B12" s="28" t="s">
        <v>7</v>
      </c>
      <c r="C12" s="69">
        <f>(SUMIF($G$2:$G$35,B12,$I$2:$I$35))+(SUMIF($G$39:$G$41,B12,$H$39:$H$41))</f>
        <v>249</v>
      </c>
      <c r="D12" s="30"/>
      <c r="E12" s="75"/>
      <c r="F12" s="76"/>
      <c r="G12" s="51"/>
      <c r="H12" s="39"/>
      <c r="I12" s="39"/>
      <c r="J12" s="30"/>
      <c r="K12" s="33"/>
      <c r="L12" s="33"/>
      <c r="M12" s="33"/>
      <c r="R12" s="1">
        <f>IF(vend3[[#This Row],[Nº Venda]]&gt;1,1,0)</f>
        <v>0</v>
      </c>
    </row>
    <row r="13" spans="2:18" ht="16.5" x14ac:dyDescent="0.3">
      <c r="B13" s="28" t="s">
        <v>8</v>
      </c>
      <c r="C13" s="69">
        <f>(SUMIF($G$2:$G$35,B13,$I$2:$I$35))+(SUMIF($G$39:$G$41,B13,$H$39:$H$41))</f>
        <v>1670</v>
      </c>
      <c r="D13" s="30"/>
      <c r="E13" s="75"/>
      <c r="F13" s="76"/>
      <c r="G13" s="51"/>
      <c r="H13" s="39"/>
      <c r="I13" s="39"/>
      <c r="J13" s="30"/>
      <c r="K13" s="102" t="s">
        <v>141</v>
      </c>
      <c r="L13" s="103"/>
      <c r="M13" s="104"/>
      <c r="R13" s="1">
        <f>IF(vend3[[#This Row],[Nº Venda]]&gt;1,1,0)</f>
        <v>0</v>
      </c>
    </row>
    <row r="14" spans="2:18" ht="16.5" x14ac:dyDescent="0.3">
      <c r="B14" s="28" t="s">
        <v>9</v>
      </c>
      <c r="C14" s="69">
        <f>(SUMIF($G$2:$G$35,B14,$I$2:$I$35))+(SUMIF($G$39:$G$41,B14,$H$39:$H$41))</f>
        <v>0</v>
      </c>
      <c r="D14" s="30"/>
      <c r="E14" s="75"/>
      <c r="F14" s="76"/>
      <c r="G14" s="51"/>
      <c r="H14" s="39"/>
      <c r="I14" s="39"/>
      <c r="J14" s="30"/>
      <c r="K14" s="22" t="s">
        <v>22</v>
      </c>
      <c r="L14" s="23" t="s">
        <v>23</v>
      </c>
      <c r="M14" s="24" t="s">
        <v>24</v>
      </c>
      <c r="R14" s="1">
        <f>IF(vend3[[#This Row],[Nº Venda]]&gt;1,1,0)</f>
        <v>0</v>
      </c>
    </row>
    <row r="15" spans="2:18" ht="16.5" x14ac:dyDescent="0.3">
      <c r="B15" s="28" t="s">
        <v>10</v>
      </c>
      <c r="C15" s="69">
        <f>(SUMIF($G$2:$G$35,B15,$I$2:$I$35))+(SUMIF($G$39:$G$41,B15,$H$39:$H$41))</f>
        <v>800</v>
      </c>
      <c r="D15" s="30"/>
      <c r="E15" s="75"/>
      <c r="F15" s="76"/>
      <c r="G15" s="51"/>
      <c r="H15" s="39"/>
      <c r="I15" s="39"/>
      <c r="J15" s="30"/>
      <c r="K15" s="75">
        <v>10901</v>
      </c>
      <c r="L15" s="89" t="s">
        <v>128</v>
      </c>
      <c r="M15" s="44" t="s">
        <v>146</v>
      </c>
      <c r="R15" s="1">
        <f>IF(vend3[[#This Row],[Nº Venda]]&gt;1,1,0)</f>
        <v>0</v>
      </c>
    </row>
    <row r="16" spans="2:18" ht="16.5" x14ac:dyDescent="0.3">
      <c r="B16" s="31" t="s">
        <v>11</v>
      </c>
      <c r="C16" s="70">
        <f>SUM(C11:C15)</f>
        <v>5218.5</v>
      </c>
      <c r="D16" s="30"/>
      <c r="E16" s="75"/>
      <c r="F16" s="76"/>
      <c r="G16" s="51"/>
      <c r="H16" s="39"/>
      <c r="I16" s="39"/>
      <c r="J16" s="30"/>
      <c r="K16" s="75">
        <v>11064</v>
      </c>
      <c r="L16" s="89" t="s">
        <v>134</v>
      </c>
      <c r="M16" s="44" t="s">
        <v>146</v>
      </c>
      <c r="R16" s="1">
        <f>IF(vend3[[#This Row],[Nº Venda]]&gt;1,1,0)</f>
        <v>0</v>
      </c>
    </row>
    <row r="17" spans="2:18" ht="16.5" x14ac:dyDescent="0.3">
      <c r="B17" s="27"/>
      <c r="C17" s="27"/>
      <c r="D17" s="30"/>
      <c r="E17" s="75"/>
      <c r="F17" s="76"/>
      <c r="G17" s="51"/>
      <c r="H17" s="39"/>
      <c r="I17" s="39"/>
      <c r="J17" s="30"/>
      <c r="K17" s="75">
        <v>11078</v>
      </c>
      <c r="L17" s="89" t="s">
        <v>128</v>
      </c>
      <c r="M17" s="44" t="s">
        <v>146</v>
      </c>
      <c r="R17" s="1">
        <f>IF(vend3[[#This Row],[Nº Venda]]&gt;1,1,0)</f>
        <v>0</v>
      </c>
    </row>
    <row r="18" spans="2:18" ht="16.5" x14ac:dyDescent="0.3">
      <c r="B18" s="109" t="s">
        <v>12</v>
      </c>
      <c r="C18" s="110"/>
      <c r="D18" s="30"/>
      <c r="E18" s="75"/>
      <c r="F18" s="76"/>
      <c r="G18" s="51"/>
      <c r="H18" s="39"/>
      <c r="I18" s="39"/>
      <c r="J18" s="30"/>
      <c r="K18" s="75">
        <v>11080</v>
      </c>
      <c r="L18" s="89" t="s">
        <v>130</v>
      </c>
      <c r="M18" s="44" t="s">
        <v>146</v>
      </c>
      <c r="R18" s="1">
        <f>IF(vend3[[#This Row],[Nº Venda]]&gt;1,1,0)</f>
        <v>0</v>
      </c>
    </row>
    <row r="19" spans="2:18" ht="16.5" x14ac:dyDescent="0.3">
      <c r="B19" s="28">
        <f>COUNT(entr_carn3[OS])</f>
        <v>1</v>
      </c>
      <c r="C19" s="69">
        <f>SUM(entr_carn3[Valor Total])</f>
        <v>230</v>
      </c>
      <c r="D19" s="30"/>
      <c r="E19" s="75"/>
      <c r="F19" s="76"/>
      <c r="G19" s="51"/>
      <c r="H19" s="39"/>
      <c r="I19" s="39"/>
      <c r="J19" s="30"/>
      <c r="K19" s="75">
        <v>11087</v>
      </c>
      <c r="L19" s="89" t="s">
        <v>128</v>
      </c>
      <c r="M19" s="44" t="s">
        <v>146</v>
      </c>
      <c r="R19" s="1">
        <f>IF(vend3[[#This Row],[Nº Venda]]&gt;1,1,0)</f>
        <v>0</v>
      </c>
    </row>
    <row r="20" spans="2:18" ht="16.5" x14ac:dyDescent="0.3">
      <c r="B20" s="31" t="s">
        <v>11</v>
      </c>
      <c r="C20" s="70">
        <f>SUM(C19:C19)</f>
        <v>230</v>
      </c>
      <c r="D20" s="30"/>
      <c r="E20" s="75"/>
      <c r="F20" s="51"/>
      <c r="G20" s="51"/>
      <c r="H20" s="39"/>
      <c r="I20" s="39"/>
      <c r="J20" s="30"/>
      <c r="K20" s="75">
        <v>11096</v>
      </c>
      <c r="L20" s="89" t="s">
        <v>128</v>
      </c>
      <c r="M20" s="44" t="s">
        <v>146</v>
      </c>
      <c r="R20" s="1">
        <f>IF(vend3[[#This Row],[Nº Venda]]&gt;1,1,0)</f>
        <v>0</v>
      </c>
    </row>
    <row r="21" spans="2:18" ht="16.5" x14ac:dyDescent="0.3">
      <c r="B21" s="27"/>
      <c r="C21" s="27"/>
      <c r="D21" s="30"/>
      <c r="E21" s="75"/>
      <c r="F21" s="76"/>
      <c r="G21" s="51"/>
      <c r="H21" s="39"/>
      <c r="I21" s="39"/>
      <c r="J21" s="30"/>
      <c r="K21" s="75">
        <v>11101</v>
      </c>
      <c r="L21" s="89" t="s">
        <v>128</v>
      </c>
      <c r="M21" s="44" t="s">
        <v>162</v>
      </c>
    </row>
    <row r="22" spans="2:18" ht="16.5" x14ac:dyDescent="0.3">
      <c r="B22" s="31" t="s">
        <v>25</v>
      </c>
      <c r="C22" s="34">
        <f>C5</f>
        <v>1799</v>
      </c>
      <c r="D22" s="30"/>
      <c r="E22" s="77"/>
      <c r="F22" s="76"/>
      <c r="G22" s="51"/>
      <c r="H22" s="39"/>
      <c r="I22" s="39"/>
      <c r="J22" s="30"/>
      <c r="K22" s="75">
        <v>11136</v>
      </c>
      <c r="L22" s="89" t="s">
        <v>128</v>
      </c>
      <c r="M22" s="44" t="s">
        <v>146</v>
      </c>
    </row>
    <row r="23" spans="2:18" ht="16.5" x14ac:dyDescent="0.3">
      <c r="B23" s="30"/>
      <c r="C23" s="30"/>
      <c r="D23" s="30"/>
      <c r="E23" s="35"/>
      <c r="F23" s="35"/>
      <c r="G23" s="35"/>
      <c r="H23" s="36"/>
      <c r="I23" s="37"/>
      <c r="J23" s="30"/>
      <c r="K23" s="75"/>
      <c r="L23" s="89"/>
      <c r="M23" s="44"/>
    </row>
    <row r="24" spans="2:18" ht="16.5" x14ac:dyDescent="0.3">
      <c r="B24" s="30"/>
      <c r="C24" s="30"/>
      <c r="D24" s="30"/>
      <c r="E24" s="100" t="s">
        <v>138</v>
      </c>
      <c r="F24" s="101"/>
      <c r="G24" s="101"/>
      <c r="H24" s="101"/>
      <c r="I24" s="101"/>
      <c r="J24" s="30"/>
      <c r="K24" s="75"/>
      <c r="L24" s="89"/>
      <c r="M24" s="44"/>
    </row>
    <row r="25" spans="2:18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5"/>
      <c r="L25" s="89"/>
      <c r="M25" s="44"/>
    </row>
    <row r="26" spans="2:18" ht="16.5" x14ac:dyDescent="0.3">
      <c r="B26" s="30"/>
      <c r="C26" s="30"/>
      <c r="D26" s="30"/>
      <c r="E26" s="75">
        <v>11064</v>
      </c>
      <c r="F26" s="76" t="s">
        <v>169</v>
      </c>
      <c r="G26" s="51" t="s">
        <v>8</v>
      </c>
      <c r="H26" s="39"/>
      <c r="I26" s="39">
        <v>340</v>
      </c>
      <c r="J26" s="30"/>
      <c r="K26" s="75"/>
      <c r="L26" s="89"/>
      <c r="M26" s="44"/>
    </row>
    <row r="27" spans="2:18" ht="16.5" x14ac:dyDescent="0.3">
      <c r="B27" s="30"/>
      <c r="C27" s="30"/>
      <c r="D27" s="30"/>
      <c r="E27" s="75">
        <v>11078</v>
      </c>
      <c r="F27" s="51" t="s">
        <v>168</v>
      </c>
      <c r="G27" s="51" t="s">
        <v>8</v>
      </c>
      <c r="H27" s="39"/>
      <c r="I27" s="39">
        <v>300</v>
      </c>
      <c r="J27" s="30"/>
      <c r="K27" s="75"/>
      <c r="L27" s="89"/>
      <c r="M27" s="44"/>
    </row>
    <row r="28" spans="2:18" ht="16.5" x14ac:dyDescent="0.3">
      <c r="B28" s="30"/>
      <c r="C28" s="30"/>
      <c r="D28" s="30"/>
      <c r="E28" s="75">
        <v>11090</v>
      </c>
      <c r="F28" s="76" t="s">
        <v>170</v>
      </c>
      <c r="G28" s="51" t="s">
        <v>10</v>
      </c>
      <c r="H28" s="39"/>
      <c r="I28" s="39">
        <v>225</v>
      </c>
      <c r="J28" s="30"/>
      <c r="K28" s="75"/>
      <c r="L28" s="89"/>
      <c r="M28" s="44"/>
    </row>
    <row r="29" spans="2:18" ht="16.5" x14ac:dyDescent="0.3">
      <c r="B29" s="30"/>
      <c r="C29" s="30"/>
      <c r="D29" s="30"/>
      <c r="E29" s="75">
        <v>11091</v>
      </c>
      <c r="F29" s="76" t="s">
        <v>170</v>
      </c>
      <c r="G29" s="51" t="s">
        <v>10</v>
      </c>
      <c r="H29" s="39"/>
      <c r="I29" s="39">
        <v>175</v>
      </c>
      <c r="J29" s="30"/>
      <c r="K29" s="75"/>
      <c r="L29" s="89"/>
      <c r="M29" s="44"/>
    </row>
    <row r="30" spans="2:18" ht="16.5" x14ac:dyDescent="0.3">
      <c r="B30" s="30"/>
      <c r="C30" s="30"/>
      <c r="D30" s="30"/>
      <c r="E30" s="75">
        <v>11091</v>
      </c>
      <c r="F30" s="76" t="s">
        <v>170</v>
      </c>
      <c r="G30" s="51" t="s">
        <v>7</v>
      </c>
      <c r="H30" s="39"/>
      <c r="I30" s="39">
        <v>50</v>
      </c>
      <c r="J30" s="30"/>
      <c r="K30" s="75"/>
      <c r="L30" s="89"/>
      <c r="M30" s="44"/>
    </row>
    <row r="31" spans="2:18" ht="16.5" x14ac:dyDescent="0.3">
      <c r="B31" s="30"/>
      <c r="C31" s="30"/>
      <c r="D31" s="30"/>
      <c r="E31" s="77">
        <v>11127</v>
      </c>
      <c r="F31" s="78" t="s">
        <v>160</v>
      </c>
      <c r="G31" s="42" t="s">
        <v>10</v>
      </c>
      <c r="H31" s="43"/>
      <c r="I31" s="43">
        <v>50</v>
      </c>
      <c r="J31" s="30"/>
      <c r="K31" s="75"/>
      <c r="L31" s="89"/>
      <c r="M31" s="44"/>
    </row>
    <row r="32" spans="2:18" ht="16.5" x14ac:dyDescent="0.3">
      <c r="B32" s="30"/>
      <c r="C32" s="30"/>
      <c r="D32" s="38"/>
      <c r="E32" s="75">
        <v>11139</v>
      </c>
      <c r="F32" s="76" t="s">
        <v>164</v>
      </c>
      <c r="G32" s="51" t="s">
        <v>6</v>
      </c>
      <c r="H32" s="39"/>
      <c r="I32" s="39">
        <v>600</v>
      </c>
      <c r="J32" s="38"/>
      <c r="K32" s="33"/>
      <c r="L32" s="33"/>
      <c r="M32" s="33"/>
    </row>
    <row r="33" spans="2:18" ht="16.5" x14ac:dyDescent="0.3">
      <c r="B33" s="30"/>
      <c r="C33" s="30"/>
      <c r="D33" s="38"/>
      <c r="E33" s="75">
        <v>11144</v>
      </c>
      <c r="F33" s="76" t="s">
        <v>159</v>
      </c>
      <c r="G33" s="50" t="s">
        <v>6</v>
      </c>
      <c r="H33" s="39"/>
      <c r="I33" s="39">
        <v>1000</v>
      </c>
      <c r="J33" s="38"/>
      <c r="K33" s="102" t="s">
        <v>140</v>
      </c>
      <c r="L33" s="103"/>
      <c r="M33" s="104"/>
    </row>
    <row r="34" spans="2:18" ht="16.5" x14ac:dyDescent="0.3">
      <c r="B34" s="38"/>
      <c r="C34" s="38"/>
      <c r="D34" s="38"/>
      <c r="E34" s="75">
        <v>11144</v>
      </c>
      <c r="F34" s="76" t="s">
        <v>159</v>
      </c>
      <c r="G34" s="51" t="s">
        <v>6</v>
      </c>
      <c r="H34" s="39"/>
      <c r="I34" s="39">
        <v>700</v>
      </c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75">
        <v>11144</v>
      </c>
      <c r="F35" s="76" t="s">
        <v>159</v>
      </c>
      <c r="G35" s="51" t="s">
        <v>8</v>
      </c>
      <c r="H35" s="39"/>
      <c r="I35" s="39">
        <v>1000</v>
      </c>
      <c r="J35" s="38"/>
      <c r="K35" s="75">
        <v>11101</v>
      </c>
      <c r="L35" s="75">
        <v>4</v>
      </c>
      <c r="M35" s="89">
        <v>230</v>
      </c>
    </row>
    <row r="36" spans="2:18" ht="16.5" customHeight="1" x14ac:dyDescent="0.25">
      <c r="B36" s="38"/>
      <c r="C36" s="38"/>
      <c r="D36" s="38"/>
      <c r="E36" s="35"/>
      <c r="F36" s="35"/>
      <c r="G36" s="35"/>
      <c r="H36" s="37"/>
      <c r="I36" s="37"/>
      <c r="J36" s="38"/>
      <c r="K36" s="75"/>
      <c r="L36" s="75"/>
      <c r="M36" s="89"/>
    </row>
    <row r="37" spans="2:18" ht="16.5" customHeight="1" x14ac:dyDescent="0.25">
      <c r="B37" s="38"/>
      <c r="C37" s="38"/>
      <c r="D37" s="38"/>
      <c r="E37" s="100" t="s">
        <v>139</v>
      </c>
      <c r="F37" s="101"/>
      <c r="G37" s="101"/>
      <c r="H37" s="101"/>
      <c r="I37" s="101"/>
      <c r="J37" s="38"/>
      <c r="K37" s="75"/>
      <c r="L37" s="75"/>
      <c r="M37" s="89"/>
    </row>
    <row r="38" spans="2:18" ht="16.5" customHeight="1" x14ac:dyDescent="0.3">
      <c r="B38" s="38"/>
      <c r="C38" s="38"/>
      <c r="D38" s="38"/>
      <c r="E38" s="17" t="s">
        <v>22</v>
      </c>
      <c r="F38" s="16" t="s">
        <v>15</v>
      </c>
      <c r="G38" s="17" t="s">
        <v>16</v>
      </c>
      <c r="H38" s="18" t="s">
        <v>26</v>
      </c>
      <c r="I38" s="18" t="s">
        <v>27</v>
      </c>
      <c r="J38" s="38"/>
      <c r="K38" s="75"/>
      <c r="L38" s="75"/>
      <c r="M38" s="89"/>
    </row>
    <row r="39" spans="2:18" ht="16.5" customHeight="1" x14ac:dyDescent="0.25">
      <c r="B39" s="38"/>
      <c r="C39" s="38"/>
      <c r="D39" s="38"/>
      <c r="E39" s="75">
        <v>11101</v>
      </c>
      <c r="F39" s="76" t="s">
        <v>163</v>
      </c>
      <c r="G39" s="51" t="s">
        <v>6</v>
      </c>
      <c r="H39" s="39">
        <v>57.5</v>
      </c>
      <c r="I39" s="39" t="s">
        <v>48</v>
      </c>
      <c r="J39" s="38"/>
      <c r="K39" s="75"/>
      <c r="L39" s="75"/>
      <c r="M39" s="89"/>
    </row>
    <row r="40" spans="2:18" ht="16.5" customHeight="1" x14ac:dyDescent="0.25">
      <c r="B40" s="38"/>
      <c r="C40" s="38"/>
      <c r="D40" s="38"/>
      <c r="E40" s="75">
        <v>11007</v>
      </c>
      <c r="F40" s="76" t="s">
        <v>163</v>
      </c>
      <c r="G40" s="51" t="s">
        <v>6</v>
      </c>
      <c r="H40" s="39">
        <v>92</v>
      </c>
      <c r="I40" s="39" t="s">
        <v>32</v>
      </c>
      <c r="J40" s="38"/>
      <c r="K40" s="77"/>
      <c r="L40" s="77"/>
      <c r="M40" s="90"/>
      <c r="Q40" s="1" t="s">
        <v>33</v>
      </c>
      <c r="R40" s="1">
        <f>SUM(R6:R21)</f>
        <v>5</v>
      </c>
    </row>
    <row r="41" spans="2:18" ht="16.5" customHeight="1" x14ac:dyDescent="0.25">
      <c r="B41" s="38"/>
      <c r="C41" s="38"/>
      <c r="D41" s="38"/>
      <c r="E41" s="75">
        <v>10353</v>
      </c>
      <c r="F41" s="76" t="s">
        <v>171</v>
      </c>
      <c r="G41" s="51" t="s">
        <v>10</v>
      </c>
      <c r="H41" s="39">
        <v>100</v>
      </c>
      <c r="I41" s="39" t="s">
        <v>44</v>
      </c>
      <c r="J41" s="38"/>
      <c r="K41" s="75"/>
      <c r="L41" s="75"/>
      <c r="M41" s="90"/>
    </row>
    <row r="42" spans="2:18" ht="13.5" x14ac:dyDescent="0.25">
      <c r="B42" s="38"/>
      <c r="C42" s="38"/>
      <c r="D42" s="38"/>
      <c r="E42" s="35"/>
      <c r="F42" s="35"/>
      <c r="G42" s="35"/>
      <c r="H42" s="37"/>
      <c r="I42" s="37"/>
      <c r="J42" s="38"/>
      <c r="K42" s="33"/>
      <c r="L42" s="33"/>
      <c r="M42" s="33"/>
    </row>
    <row r="43" spans="2:18" ht="13.5" x14ac:dyDescent="0.25">
      <c r="B43" s="38"/>
      <c r="C43" s="38"/>
      <c r="D43" s="38"/>
      <c r="E43" s="35"/>
      <c r="F43" s="35"/>
      <c r="G43" s="35"/>
      <c r="H43" s="37"/>
      <c r="I43" s="37"/>
      <c r="J43" s="38"/>
      <c r="K43" s="33"/>
      <c r="L43" s="33"/>
      <c r="M43" s="33"/>
    </row>
    <row r="44" spans="2:18" ht="13.5" x14ac:dyDescent="0.25">
      <c r="B44" s="38"/>
      <c r="C44" s="38"/>
      <c r="D44" s="38"/>
      <c r="E44" s="35"/>
      <c r="F44" s="35"/>
      <c r="G44" s="35"/>
      <c r="H44" s="37"/>
      <c r="I44" s="37"/>
      <c r="J44" s="38"/>
      <c r="K44" s="33"/>
      <c r="L44" s="33"/>
      <c r="M44" s="33"/>
    </row>
    <row r="45" spans="2:18" ht="13.5" x14ac:dyDescent="0.25">
      <c r="B45" s="38"/>
      <c r="C45" s="38"/>
      <c r="D45" s="38"/>
      <c r="E45" s="35"/>
      <c r="F45" s="35"/>
      <c r="G45" s="35"/>
      <c r="H45" s="37"/>
      <c r="I45" s="37"/>
      <c r="J45" s="38"/>
      <c r="K45" s="33"/>
      <c r="L45" s="33"/>
      <c r="M45" s="33"/>
    </row>
  </sheetData>
  <mergeCells count="11">
    <mergeCell ref="B1:C1"/>
    <mergeCell ref="L1:M1"/>
    <mergeCell ref="E24:I24"/>
    <mergeCell ref="E37:I37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72B55E-E645-40AF-B663-A157B0ECB6D8}">
          <x14:formula1>
            <xm:f>base!$E$2:$E$79</xm:f>
          </x14:formula1>
          <xm:sqref>I39:I41</xm:sqref>
        </x14:dataValidation>
        <x14:dataValidation type="list" allowBlank="1" showInputMessage="1" showErrorMessage="1" xr:uid="{D04BF380-4E28-4E38-9964-012179E62F47}">
          <x14:formula1>
            <xm:f>resumo_cx!$P$2:$P$18</xm:f>
          </x14:formula1>
          <xm:sqref>L15:L31</xm:sqref>
        </x14:dataValidation>
        <x14:dataValidation type="list" allowBlank="1" showInputMessage="1" showErrorMessage="1" xr:uid="{22E915E8-1F32-40A5-9019-592A4214A123}">
          <x14:formula1>
            <xm:f>base_OS!$A$2:$A$15000</xm:f>
          </x14:formula1>
          <xm:sqref>E6:E22 E39:E41 K35:K41 K15:K31 E26:E35</xm:sqref>
        </x14:dataValidation>
        <x14:dataValidation type="list" allowBlank="1" showInputMessage="1" showErrorMessage="1" xr:uid="{627AE46E-77AF-4B05-BD74-FF72E5E2EAE3}">
          <x14:formula1>
            <xm:f>base!$A$2:$A$8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base!$A$2:$A$5</xm:f>
          </x14:formula1>
          <xm:sqref>G39:G41 G26:G35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5"/>
  <sheetViews>
    <sheetView showGridLines="0" tabSelected="1" view="pageBreakPreview" zoomScale="60" zoomScaleNormal="90" workbookViewId="0">
      <selection activeCell="L29" sqref="L2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'03'!B1+1</f>
        <v>45812</v>
      </c>
      <c r="C1" s="98"/>
      <c r="L1" s="99" t="s">
        <v>143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5" t="s">
        <v>0</v>
      </c>
      <c r="C4" s="26">
        <v>0</v>
      </c>
      <c r="D4" s="58"/>
      <c r="E4" s="108" t="s">
        <v>136</v>
      </c>
      <c r="F4" s="108"/>
      <c r="G4" s="108"/>
      <c r="H4" s="108"/>
      <c r="I4" s="108"/>
      <c r="J4" s="30"/>
      <c r="K4" s="102" t="s">
        <v>137</v>
      </c>
      <c r="L4" s="103"/>
      <c r="M4" s="104"/>
    </row>
    <row r="5" spans="2:18" ht="16.5" x14ac:dyDescent="0.3">
      <c r="B5" s="28" t="s">
        <v>1</v>
      </c>
      <c r="C5" s="29">
        <f>SUMIF(I6:I31,"&gt;0",H6:H31)</f>
        <v>2522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18" ht="16.5" x14ac:dyDescent="0.3">
      <c r="B6" s="28" t="s">
        <v>2</v>
      </c>
      <c r="C6" s="29">
        <f>C16</f>
        <v>1379.9</v>
      </c>
      <c r="D6" s="30"/>
      <c r="E6" s="75">
        <v>11151</v>
      </c>
      <c r="F6" s="76" t="s">
        <v>172</v>
      </c>
      <c r="G6" s="50" t="s">
        <v>6</v>
      </c>
      <c r="H6" s="39">
        <v>1000</v>
      </c>
      <c r="I6" s="39">
        <v>120</v>
      </c>
      <c r="J6" s="30"/>
      <c r="K6" s="76" t="s">
        <v>161</v>
      </c>
      <c r="L6" s="89" t="s">
        <v>10</v>
      </c>
      <c r="M6" s="44">
        <v>2.61</v>
      </c>
      <c r="R6" s="1">
        <f>IF(vend4[[#This Row],[Nº Venda]]&gt;1,1,0)</f>
        <v>1</v>
      </c>
    </row>
    <row r="7" spans="2:18" ht="16.5" x14ac:dyDescent="0.3">
      <c r="B7" s="28" t="s">
        <v>3</v>
      </c>
      <c r="C7" s="29">
        <f>SUM(M6:M11)</f>
        <v>232.61</v>
      </c>
      <c r="D7" s="30"/>
      <c r="E7" s="75">
        <v>11152</v>
      </c>
      <c r="F7" s="76" t="s">
        <v>173</v>
      </c>
      <c r="G7" s="50" t="s">
        <v>10</v>
      </c>
      <c r="H7" s="39">
        <v>1422</v>
      </c>
      <c r="I7" s="39">
        <v>750</v>
      </c>
      <c r="J7" s="30"/>
      <c r="K7" s="76" t="s">
        <v>335</v>
      </c>
      <c r="L7" s="89" t="s">
        <v>6</v>
      </c>
      <c r="M7" s="44">
        <v>230</v>
      </c>
      <c r="R7" s="1">
        <f>IF(vend4[[#This Row],[Nº Venda]]&gt;1,1,0)</f>
        <v>1</v>
      </c>
    </row>
    <row r="8" spans="2:18" ht="16.5" x14ac:dyDescent="0.3">
      <c r="B8" s="31" t="s">
        <v>21</v>
      </c>
      <c r="C8" s="32">
        <f>SUM(C6:C7)</f>
        <v>1612.5100000000002</v>
      </c>
      <c r="D8" s="30"/>
      <c r="E8" s="75">
        <v>11153</v>
      </c>
      <c r="F8" s="76" t="s">
        <v>173</v>
      </c>
      <c r="G8" s="50" t="s">
        <v>46</v>
      </c>
      <c r="H8" s="39">
        <v>0</v>
      </c>
      <c r="I8" s="39">
        <v>0</v>
      </c>
      <c r="J8" s="30"/>
      <c r="K8" s="76"/>
      <c r="L8" s="89"/>
      <c r="M8" s="44"/>
      <c r="R8" s="1">
        <f>IF(vend4[[#This Row],[Nº Venda]]&gt;1,1,0)</f>
        <v>1</v>
      </c>
    </row>
    <row r="9" spans="2:18" ht="16.5" x14ac:dyDescent="0.3">
      <c r="B9" s="27"/>
      <c r="C9" s="27"/>
      <c r="D9" s="30"/>
      <c r="E9" s="75"/>
      <c r="F9" s="76"/>
      <c r="G9" s="50"/>
      <c r="H9" s="39"/>
      <c r="I9" s="39"/>
      <c r="J9" s="30"/>
      <c r="K9" s="76"/>
      <c r="L9" s="89"/>
      <c r="M9" s="44"/>
      <c r="R9" s="1">
        <f>IF(vend4[[#This Row],[Nº Venda]]&gt;1,1,0)</f>
        <v>0</v>
      </c>
    </row>
    <row r="10" spans="2:18" ht="16.5" x14ac:dyDescent="0.3">
      <c r="B10" s="109" t="s">
        <v>5</v>
      </c>
      <c r="C10" s="110"/>
      <c r="D10" s="30"/>
      <c r="E10" s="75"/>
      <c r="F10" s="76"/>
      <c r="G10" s="51"/>
      <c r="H10" s="39"/>
      <c r="I10" s="39"/>
      <c r="J10" s="30"/>
      <c r="K10" s="76"/>
      <c r="L10" s="89"/>
      <c r="M10" s="44"/>
      <c r="R10" s="1">
        <f>IF(vend4[[#This Row],[Nº Venda]]&gt;1,1,0)</f>
        <v>0</v>
      </c>
    </row>
    <row r="11" spans="2:18" ht="16.5" x14ac:dyDescent="0.3">
      <c r="B11" s="28" t="s">
        <v>6</v>
      </c>
      <c r="C11" s="69">
        <f>(SUMIF($G$2:$G$31,B11,$I$2:$I$31))+(SUMIF($G$35:$G$41,B11,$H$35:$H$41))</f>
        <v>229.9</v>
      </c>
      <c r="D11" s="30"/>
      <c r="E11" s="75"/>
      <c r="F11" s="76"/>
      <c r="G11" s="51"/>
      <c r="H11" s="39"/>
      <c r="I11" s="39"/>
      <c r="J11" s="30"/>
      <c r="K11" s="38"/>
      <c r="L11" s="89"/>
      <c r="M11" s="44"/>
      <c r="O11" s="1">
        <f>IF(C16=0,0,1)</f>
        <v>1</v>
      </c>
      <c r="R11" s="1">
        <f>IF(vend4[[#This Row],[Nº Venda]]&gt;1,1,0)</f>
        <v>0</v>
      </c>
    </row>
    <row r="12" spans="2:18" ht="16.5" x14ac:dyDescent="0.3">
      <c r="B12" s="28" t="s">
        <v>7</v>
      </c>
      <c r="C12" s="69">
        <f t="shared" ref="C12:C15" si="0">(SUMIF($G$2:$G$31,B12,$I$2:$I$31))+(SUMIF($G$35:$G$41,B12,$H$35:$H$41))</f>
        <v>0</v>
      </c>
      <c r="D12" s="30"/>
      <c r="E12" s="75"/>
      <c r="F12" s="76"/>
      <c r="G12" s="51"/>
      <c r="H12" s="39"/>
      <c r="I12" s="39"/>
      <c r="J12" s="30"/>
      <c r="K12" s="33"/>
      <c r="L12" s="33"/>
      <c r="M12" s="33"/>
      <c r="R12" s="1">
        <f>IF(vend4[[#This Row],[Nº Venda]]&gt;1,1,0)</f>
        <v>0</v>
      </c>
    </row>
    <row r="13" spans="2:18" ht="16.5" x14ac:dyDescent="0.3">
      <c r="B13" s="28" t="s">
        <v>8</v>
      </c>
      <c r="C13" s="69">
        <f t="shared" si="0"/>
        <v>0</v>
      </c>
      <c r="D13" s="30"/>
      <c r="E13" s="75"/>
      <c r="F13" s="76"/>
      <c r="G13" s="51"/>
      <c r="H13" s="39"/>
      <c r="I13" s="39"/>
      <c r="J13" s="30"/>
      <c r="K13" s="102" t="s">
        <v>141</v>
      </c>
      <c r="L13" s="103"/>
      <c r="M13" s="104"/>
      <c r="R13" s="1">
        <f>IF(vend4[[#This Row],[Nº Venda]]&gt;1,1,0)</f>
        <v>0</v>
      </c>
    </row>
    <row r="14" spans="2:18" ht="16.5" x14ac:dyDescent="0.3">
      <c r="B14" s="28" t="s">
        <v>9</v>
      </c>
      <c r="C14" s="69">
        <f t="shared" si="0"/>
        <v>0</v>
      </c>
      <c r="D14" s="30"/>
      <c r="E14" s="75"/>
      <c r="F14" s="76"/>
      <c r="G14" s="51"/>
      <c r="H14" s="39"/>
      <c r="I14" s="39"/>
      <c r="J14" s="30"/>
      <c r="K14" s="22" t="s">
        <v>22</v>
      </c>
      <c r="L14" s="23" t="s">
        <v>23</v>
      </c>
      <c r="M14" s="24" t="s">
        <v>24</v>
      </c>
      <c r="R14" s="1">
        <f>IF(vend4[[#This Row],[Nº Venda]]&gt;1,1,0)</f>
        <v>0</v>
      </c>
    </row>
    <row r="15" spans="2:18" ht="16.5" x14ac:dyDescent="0.3">
      <c r="B15" s="28" t="s">
        <v>10</v>
      </c>
      <c r="C15" s="69">
        <f t="shared" si="0"/>
        <v>1150</v>
      </c>
      <c r="D15" s="30"/>
      <c r="E15" s="75"/>
      <c r="F15" s="76"/>
      <c r="G15" s="51"/>
      <c r="H15" s="39"/>
      <c r="I15" s="39"/>
      <c r="J15" s="30"/>
      <c r="K15" s="75">
        <v>10946</v>
      </c>
      <c r="L15" s="89" t="s">
        <v>128</v>
      </c>
      <c r="M15" s="44" t="s">
        <v>146</v>
      </c>
      <c r="R15" s="1">
        <f>IF(vend4[[#This Row],[Nº Venda]]&gt;1,1,0)</f>
        <v>0</v>
      </c>
    </row>
    <row r="16" spans="2:18" ht="16.5" x14ac:dyDescent="0.3">
      <c r="B16" s="31" t="s">
        <v>11</v>
      </c>
      <c r="C16" s="70">
        <f>SUM(C11:C15)</f>
        <v>1379.9</v>
      </c>
      <c r="D16" s="30"/>
      <c r="E16" s="75"/>
      <c r="F16" s="76"/>
      <c r="G16" s="51"/>
      <c r="H16" s="39"/>
      <c r="I16" s="39"/>
      <c r="J16" s="30"/>
      <c r="K16" s="75">
        <v>11059</v>
      </c>
      <c r="L16" s="89" t="s">
        <v>130</v>
      </c>
      <c r="M16" s="44" t="s">
        <v>146</v>
      </c>
      <c r="R16" s="1">
        <f>IF(vend4[[#This Row],[Nº Venda]]&gt;1,1,0)</f>
        <v>0</v>
      </c>
    </row>
    <row r="17" spans="2:18" ht="16.5" x14ac:dyDescent="0.3">
      <c r="B17" s="27"/>
      <c r="C17" s="27"/>
      <c r="D17" s="30"/>
      <c r="E17" s="75"/>
      <c r="F17" s="76"/>
      <c r="G17" s="51"/>
      <c r="H17" s="39"/>
      <c r="I17" s="39"/>
      <c r="J17" s="30"/>
      <c r="K17" s="75">
        <v>11074</v>
      </c>
      <c r="L17" s="89" t="s">
        <v>128</v>
      </c>
      <c r="M17" s="44" t="s">
        <v>146</v>
      </c>
      <c r="R17" s="1">
        <f>IF(vend4[[#This Row],[Nº Venda]]&gt;1,1,0)</f>
        <v>0</v>
      </c>
    </row>
    <row r="18" spans="2:18" ht="16.5" x14ac:dyDescent="0.3">
      <c r="B18" s="109" t="s">
        <v>12</v>
      </c>
      <c r="C18" s="110"/>
      <c r="D18" s="30"/>
      <c r="E18" s="75"/>
      <c r="F18" s="76"/>
      <c r="G18" s="51"/>
      <c r="H18" s="39"/>
      <c r="I18" s="39"/>
      <c r="J18" s="30"/>
      <c r="K18" s="75">
        <v>11089</v>
      </c>
      <c r="L18" s="89" t="s">
        <v>130</v>
      </c>
      <c r="M18" s="44" t="s">
        <v>146</v>
      </c>
      <c r="R18" s="1">
        <f>IF(vend4[[#This Row],[Nº Venda]]&gt;1,1,0)</f>
        <v>0</v>
      </c>
    </row>
    <row r="19" spans="2:18" ht="16.5" x14ac:dyDescent="0.3">
      <c r="B19" s="28">
        <f>COUNT(entr_carn4[OS])</f>
        <v>0</v>
      </c>
      <c r="C19" s="69">
        <f>SUM(entr_carn4[Valor Total])</f>
        <v>0</v>
      </c>
      <c r="D19" s="30"/>
      <c r="E19" s="75"/>
      <c r="F19" s="76"/>
      <c r="G19" s="51"/>
      <c r="H19" s="39"/>
      <c r="I19" s="39"/>
      <c r="J19" s="30"/>
      <c r="K19" s="75">
        <v>11146</v>
      </c>
      <c r="L19" s="89" t="s">
        <v>128</v>
      </c>
      <c r="M19" s="44" t="s">
        <v>146</v>
      </c>
      <c r="R19" s="1">
        <f>IF(vend4[[#This Row],[Nº Venda]]&gt;1,1,0)</f>
        <v>0</v>
      </c>
    </row>
    <row r="20" spans="2:18" ht="16.5" x14ac:dyDescent="0.3">
      <c r="B20" s="31" t="s">
        <v>11</v>
      </c>
      <c r="C20" s="70">
        <f>SUM(C19:C19)</f>
        <v>0</v>
      </c>
      <c r="D20" s="30"/>
      <c r="E20" s="75"/>
      <c r="F20" s="51"/>
      <c r="G20" s="51"/>
      <c r="H20" s="39"/>
      <c r="I20" s="39"/>
      <c r="J20" s="30"/>
      <c r="K20" s="75"/>
      <c r="L20" s="89"/>
      <c r="M20" s="44"/>
      <c r="R20" s="1">
        <f>IF(vend4[[#This Row],[Nº Venda]]&gt;1,1,0)</f>
        <v>0</v>
      </c>
    </row>
    <row r="21" spans="2:18" ht="16.5" x14ac:dyDescent="0.3">
      <c r="B21" s="27"/>
      <c r="C21" s="27"/>
      <c r="D21" s="30"/>
      <c r="E21" s="75"/>
      <c r="F21" s="76"/>
      <c r="G21" s="51"/>
      <c r="H21" s="39"/>
      <c r="I21" s="39"/>
      <c r="J21" s="30"/>
      <c r="K21" s="75"/>
      <c r="L21" s="89"/>
      <c r="M21" s="44"/>
    </row>
    <row r="22" spans="2:18" ht="16.5" x14ac:dyDescent="0.3">
      <c r="B22" s="31" t="s">
        <v>25</v>
      </c>
      <c r="C22" s="34">
        <f>C5</f>
        <v>2522</v>
      </c>
      <c r="D22" s="30"/>
      <c r="E22" s="77"/>
      <c r="F22" s="76"/>
      <c r="G22" s="51"/>
      <c r="H22" s="39"/>
      <c r="I22" s="39"/>
      <c r="J22" s="30"/>
      <c r="K22" s="75"/>
      <c r="L22" s="89"/>
      <c r="M22" s="44"/>
    </row>
    <row r="23" spans="2:18" ht="16.5" x14ac:dyDescent="0.3">
      <c r="B23" s="30"/>
      <c r="C23" s="30"/>
      <c r="D23" s="30"/>
      <c r="E23" s="35"/>
      <c r="F23" s="35"/>
      <c r="G23" s="35"/>
      <c r="H23" s="36"/>
      <c r="I23" s="37"/>
      <c r="J23" s="30"/>
      <c r="K23" s="75"/>
      <c r="L23" s="89"/>
      <c r="M23" s="44"/>
    </row>
    <row r="24" spans="2:18" ht="16.5" x14ac:dyDescent="0.3">
      <c r="B24" s="30"/>
      <c r="C24" s="30"/>
      <c r="D24" s="30"/>
      <c r="E24" s="100" t="s">
        <v>138</v>
      </c>
      <c r="F24" s="101"/>
      <c r="G24" s="101"/>
      <c r="H24" s="101"/>
      <c r="I24" s="101"/>
      <c r="J24" s="30"/>
      <c r="K24" s="75"/>
      <c r="L24" s="89"/>
      <c r="M24" s="44"/>
    </row>
    <row r="25" spans="2:18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5"/>
      <c r="L25" s="89"/>
      <c r="M25" s="44"/>
    </row>
    <row r="26" spans="2:18" ht="16.5" x14ac:dyDescent="0.3">
      <c r="B26" s="30"/>
      <c r="C26" s="30"/>
      <c r="D26" s="30"/>
      <c r="E26" s="75">
        <v>11074</v>
      </c>
      <c r="F26" s="76" t="s">
        <v>177</v>
      </c>
      <c r="G26" s="50" t="s">
        <v>10</v>
      </c>
      <c r="H26" s="39">
        <v>100</v>
      </c>
      <c r="I26" s="39">
        <v>100</v>
      </c>
      <c r="J26" s="30"/>
      <c r="K26" s="75"/>
      <c r="L26" s="89"/>
      <c r="M26" s="44"/>
    </row>
    <row r="27" spans="2:18" ht="16.5" x14ac:dyDescent="0.3">
      <c r="B27" s="30"/>
      <c r="C27" s="30"/>
      <c r="D27" s="30"/>
      <c r="E27" s="75">
        <v>11127</v>
      </c>
      <c r="F27" s="76" t="s">
        <v>174</v>
      </c>
      <c r="G27" s="50" t="s">
        <v>10</v>
      </c>
      <c r="H27" s="39">
        <v>0</v>
      </c>
      <c r="I27" s="39">
        <v>300</v>
      </c>
      <c r="J27" s="30"/>
      <c r="K27" s="75"/>
      <c r="L27" s="89"/>
      <c r="M27" s="44"/>
    </row>
    <row r="28" spans="2:18" ht="16.5" x14ac:dyDescent="0.3">
      <c r="B28" s="30"/>
      <c r="C28" s="30"/>
      <c r="D28" s="30"/>
      <c r="E28" s="75"/>
      <c r="F28" s="76"/>
      <c r="G28" s="50"/>
      <c r="H28" s="39"/>
      <c r="I28" s="39"/>
      <c r="J28" s="30"/>
      <c r="K28" s="75"/>
      <c r="L28" s="89"/>
      <c r="M28" s="44"/>
    </row>
    <row r="29" spans="2:18" ht="16.5" x14ac:dyDescent="0.3">
      <c r="B29" s="30"/>
      <c r="C29" s="30"/>
      <c r="D29" s="30"/>
      <c r="E29" s="75"/>
      <c r="F29" s="76"/>
      <c r="G29" s="51"/>
      <c r="H29" s="39"/>
      <c r="I29" s="39"/>
      <c r="J29" s="30"/>
      <c r="K29" s="75"/>
      <c r="L29" s="89"/>
      <c r="M29" s="44"/>
    </row>
    <row r="30" spans="2:18" ht="16.5" x14ac:dyDescent="0.3">
      <c r="B30" s="30"/>
      <c r="C30" s="30"/>
      <c r="D30" s="30"/>
      <c r="E30" s="75"/>
      <c r="F30" s="51"/>
      <c r="G30" s="51"/>
      <c r="H30" s="39"/>
      <c r="I30" s="39"/>
      <c r="J30" s="30"/>
      <c r="K30" s="75"/>
      <c r="L30" s="89"/>
      <c r="M30" s="44"/>
    </row>
    <row r="31" spans="2:18" ht="16.5" x14ac:dyDescent="0.3">
      <c r="B31" s="30"/>
      <c r="C31" s="30"/>
      <c r="D31" s="30"/>
      <c r="E31" s="77"/>
      <c r="F31" s="78"/>
      <c r="G31" s="42"/>
      <c r="H31" s="43"/>
      <c r="I31" s="43"/>
      <c r="J31" s="30"/>
      <c r="K31" s="75"/>
      <c r="L31" s="89"/>
      <c r="M31" s="44"/>
    </row>
    <row r="32" spans="2:18" ht="16.5" x14ac:dyDescent="0.3">
      <c r="B32" s="30"/>
      <c r="C32" s="30"/>
      <c r="D32" s="38"/>
      <c r="E32" s="35"/>
      <c r="F32" s="35"/>
      <c r="G32" s="35"/>
      <c r="H32" s="37"/>
      <c r="I32" s="37"/>
      <c r="J32" s="38"/>
      <c r="K32" s="33"/>
      <c r="L32" s="33"/>
      <c r="M32" s="33"/>
    </row>
    <row r="33" spans="2:18" ht="16.5" x14ac:dyDescent="0.3">
      <c r="B33" s="30"/>
      <c r="C33" s="30"/>
      <c r="D33" s="38"/>
      <c r="E33" s="100" t="s">
        <v>139</v>
      </c>
      <c r="F33" s="101"/>
      <c r="G33" s="101"/>
      <c r="H33" s="101"/>
      <c r="I33" s="101"/>
      <c r="J33" s="38"/>
      <c r="K33" s="102" t="s">
        <v>140</v>
      </c>
      <c r="L33" s="103"/>
      <c r="M33" s="104"/>
    </row>
    <row r="34" spans="2:18" ht="16.5" x14ac:dyDescent="0.3">
      <c r="B34" s="38"/>
      <c r="C34" s="38"/>
      <c r="D34" s="38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75">
        <v>10821</v>
      </c>
      <c r="F35" s="76" t="s">
        <v>175</v>
      </c>
      <c r="G35" s="51" t="s">
        <v>6</v>
      </c>
      <c r="H35" s="39">
        <v>49.9</v>
      </c>
      <c r="I35" s="39" t="s">
        <v>45</v>
      </c>
      <c r="J35" s="38"/>
      <c r="K35" s="75"/>
      <c r="L35" s="75"/>
      <c r="M35" s="89"/>
    </row>
    <row r="36" spans="2:18" ht="16.5" customHeight="1" x14ac:dyDescent="0.25">
      <c r="B36" s="38"/>
      <c r="C36" s="38"/>
      <c r="D36" s="38"/>
      <c r="E36" s="75">
        <v>10942</v>
      </c>
      <c r="F36" s="76" t="s">
        <v>176</v>
      </c>
      <c r="G36" s="51" t="s">
        <v>6</v>
      </c>
      <c r="H36" s="39">
        <v>60</v>
      </c>
      <c r="I36" s="39" t="s">
        <v>35</v>
      </c>
      <c r="J36" s="38"/>
      <c r="K36" s="75"/>
      <c r="L36" s="75"/>
      <c r="M36" s="89"/>
    </row>
    <row r="37" spans="2:18" ht="16.5" customHeight="1" x14ac:dyDescent="0.25">
      <c r="B37" s="38"/>
      <c r="C37" s="38"/>
      <c r="D37" s="38"/>
      <c r="E37" s="75"/>
      <c r="F37" s="76"/>
      <c r="G37" s="51"/>
      <c r="H37" s="39"/>
      <c r="I37" s="39"/>
      <c r="J37" s="38"/>
      <c r="K37" s="75"/>
      <c r="L37" s="75"/>
      <c r="M37" s="89"/>
    </row>
    <row r="38" spans="2:18" ht="16.5" customHeight="1" x14ac:dyDescent="0.25">
      <c r="B38" s="38"/>
      <c r="C38" s="38"/>
      <c r="D38" s="38"/>
      <c r="E38" s="75"/>
      <c r="F38" s="76"/>
      <c r="G38" s="51"/>
      <c r="H38" s="39"/>
      <c r="I38" s="39"/>
      <c r="J38" s="38"/>
      <c r="K38" s="75"/>
      <c r="L38" s="75"/>
      <c r="M38" s="89"/>
    </row>
    <row r="39" spans="2:18" ht="16.5" customHeight="1" x14ac:dyDescent="0.25">
      <c r="B39" s="38"/>
      <c r="C39" s="38"/>
      <c r="D39" s="38"/>
      <c r="E39" s="75"/>
      <c r="F39" s="51"/>
      <c r="G39" s="51"/>
      <c r="H39" s="39"/>
      <c r="I39" s="39"/>
      <c r="J39" s="38"/>
      <c r="K39" s="75"/>
      <c r="L39" s="75"/>
      <c r="M39" s="89"/>
    </row>
    <row r="40" spans="2:18" ht="16.5" customHeight="1" x14ac:dyDescent="0.25">
      <c r="B40" s="38"/>
      <c r="C40" s="38"/>
      <c r="D40" s="38"/>
      <c r="E40" s="77"/>
      <c r="F40" s="78"/>
      <c r="G40" s="42"/>
      <c r="H40" s="43"/>
      <c r="I40" s="39"/>
      <c r="J40" s="38"/>
      <c r="K40" s="77"/>
      <c r="L40" s="77"/>
      <c r="M40" s="90"/>
      <c r="Q40" s="1" t="s">
        <v>33</v>
      </c>
      <c r="R40" s="1">
        <f>SUM(R6:R21)</f>
        <v>3</v>
      </c>
    </row>
    <row r="41" spans="2:18" ht="16.5" customHeight="1" x14ac:dyDescent="0.25">
      <c r="B41" s="38"/>
      <c r="C41" s="38"/>
      <c r="D41" s="38"/>
      <c r="E41" s="80"/>
      <c r="F41" s="51"/>
      <c r="G41" s="51"/>
      <c r="H41" s="39"/>
      <c r="I41" s="39"/>
      <c r="J41" s="38"/>
      <c r="K41" s="75"/>
      <c r="L41" s="75"/>
      <c r="M41" s="90"/>
    </row>
    <row r="42" spans="2:18" ht="13.5" x14ac:dyDescent="0.25">
      <c r="B42" s="38"/>
      <c r="C42" s="38"/>
      <c r="D42" s="38"/>
      <c r="E42" s="35"/>
      <c r="F42" s="35"/>
      <c r="G42" s="35"/>
      <c r="H42" s="37"/>
      <c r="I42" s="37"/>
      <c r="J42" s="38"/>
      <c r="K42" s="33"/>
      <c r="L42" s="33"/>
      <c r="M42" s="33"/>
    </row>
    <row r="43" spans="2:18" ht="13.5" x14ac:dyDescent="0.25">
      <c r="B43" s="38"/>
      <c r="C43" s="38"/>
      <c r="D43" s="38"/>
      <c r="E43" s="35"/>
      <c r="F43" s="35"/>
      <c r="G43" s="35"/>
      <c r="H43" s="37"/>
      <c r="I43" s="37"/>
      <c r="J43" s="38"/>
      <c r="K43" s="33"/>
      <c r="L43" s="33"/>
      <c r="M43" s="33"/>
    </row>
    <row r="44" spans="2:18" ht="13.5" x14ac:dyDescent="0.25">
      <c r="B44" s="38"/>
      <c r="C44" s="38"/>
      <c r="D44" s="38"/>
      <c r="E44" s="35"/>
      <c r="F44" s="35"/>
      <c r="G44" s="35"/>
      <c r="H44" s="37"/>
      <c r="I44" s="37"/>
      <c r="J44" s="38"/>
      <c r="K44" s="33"/>
      <c r="L44" s="33"/>
      <c r="M44" s="33"/>
    </row>
    <row r="45" spans="2:18" ht="13.5" x14ac:dyDescent="0.25">
      <c r="B45" s="38"/>
      <c r="C45" s="38"/>
      <c r="D45" s="38"/>
      <c r="E45" s="35"/>
      <c r="F45" s="35"/>
      <c r="G45" s="35"/>
      <c r="H45" s="37"/>
      <c r="I45" s="37"/>
      <c r="J45" s="38"/>
      <c r="K45" s="33"/>
      <c r="L45" s="33"/>
      <c r="M45" s="33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  <x14:dataValidation type="list" allowBlank="1" showInputMessage="1" showErrorMessage="1" xr:uid="{EF836593-6624-4BC0-A2B4-E462607C09E4}">
          <x14:formula1>
            <xm:f>resumo_cx!$P$2:$P$18</xm:f>
          </x14:formula1>
          <xm:sqref>L15:L31</xm:sqref>
        </x14:dataValidation>
        <x14:dataValidation type="list" allowBlank="1" showInputMessage="1" showErrorMessage="1" xr:uid="{8C7FF45F-2AE2-4A37-8610-8FB9A0F320CB}">
          <x14:formula1>
            <xm:f>base_OS!$A$2:$A$15000</xm:f>
          </x14:formula1>
          <xm:sqref>E6:E22 E26:E31 E35:E41 K35:K41 K15:K31</xm:sqref>
        </x14:dataValidation>
        <x14:dataValidation type="list" allowBlank="1" showInputMessage="1" showErrorMessage="1" xr:uid="{A86F74FE-C589-48B3-8098-7D63287AC7AD}">
          <x14:formula1>
            <xm:f>base!$A$2:$A$5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base!$A$2:$A$8</xm:f>
          </x14:formula1>
          <xm:sqref>G6:G22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5"/>
  <sheetViews>
    <sheetView showGridLines="0" view="pageBreakPreview" zoomScale="60" zoomScaleNormal="90" workbookViewId="0">
      <selection activeCell="G17" sqref="G17"/>
    </sheetView>
  </sheetViews>
  <sheetFormatPr defaultColWidth="9.140625" defaultRowHeight="12.75" x14ac:dyDescent="0.2"/>
  <cols>
    <col min="1" max="1" width="3.7109375" style="1" customWidth="1"/>
    <col min="2" max="2" width="29.140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'04'!B1+1</f>
        <v>45813</v>
      </c>
      <c r="C1" s="98"/>
      <c r="L1" s="99" t="s">
        <v>143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5" t="s">
        <v>0</v>
      </c>
      <c r="C4" s="26">
        <v>0</v>
      </c>
      <c r="D4" s="58"/>
      <c r="E4" s="108" t="s">
        <v>136</v>
      </c>
      <c r="F4" s="108"/>
      <c r="G4" s="108"/>
      <c r="H4" s="108"/>
      <c r="I4" s="108"/>
      <c r="J4" s="30"/>
      <c r="K4" s="102" t="s">
        <v>137</v>
      </c>
      <c r="L4" s="103"/>
      <c r="M4" s="104"/>
    </row>
    <row r="5" spans="2:18" ht="16.5" x14ac:dyDescent="0.3">
      <c r="B5" s="28" t="s">
        <v>1</v>
      </c>
      <c r="C5" s="29">
        <f>SUMIF(I6:I31,"&gt;0",H6:H31)</f>
        <v>277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18" ht="16.5" x14ac:dyDescent="0.3">
      <c r="B6" s="28" t="s">
        <v>2</v>
      </c>
      <c r="C6" s="29">
        <f>C16</f>
        <v>848.6099999999999</v>
      </c>
      <c r="D6" s="30"/>
      <c r="E6" s="75">
        <v>11154</v>
      </c>
      <c r="F6" s="76" t="s">
        <v>178</v>
      </c>
      <c r="G6" s="50" t="s">
        <v>7</v>
      </c>
      <c r="H6" s="39">
        <v>150</v>
      </c>
      <c r="I6" s="39">
        <v>150</v>
      </c>
      <c r="J6" s="30"/>
      <c r="K6" s="76" t="s">
        <v>161</v>
      </c>
      <c r="L6" s="89" t="s">
        <v>10</v>
      </c>
      <c r="M6" s="44">
        <v>3.73</v>
      </c>
      <c r="R6" s="1">
        <f>IF(vend5[[#This Row],[Nº Venda]]&gt;1,1,0)</f>
        <v>1</v>
      </c>
    </row>
    <row r="7" spans="2:18" ht="16.5" x14ac:dyDescent="0.3">
      <c r="B7" s="28" t="s">
        <v>3</v>
      </c>
      <c r="C7" s="29">
        <f>SUM(M6:M11)</f>
        <v>3.73</v>
      </c>
      <c r="D7" s="30"/>
      <c r="E7" s="75">
        <v>11155</v>
      </c>
      <c r="F7" s="76" t="s">
        <v>181</v>
      </c>
      <c r="G7" s="50" t="s">
        <v>46</v>
      </c>
      <c r="H7" s="39">
        <v>40</v>
      </c>
      <c r="I7" s="39">
        <v>0</v>
      </c>
      <c r="J7" s="30"/>
      <c r="K7" s="76"/>
      <c r="L7" s="89"/>
      <c r="M7" s="44"/>
      <c r="R7" s="1">
        <f>IF(vend5[[#This Row],[Nº Venda]]&gt;1,1,0)</f>
        <v>1</v>
      </c>
    </row>
    <row r="8" spans="2:18" ht="16.5" x14ac:dyDescent="0.3">
      <c r="B8" s="31" t="s">
        <v>21</v>
      </c>
      <c r="C8" s="32">
        <f>SUM(C6:C7)</f>
        <v>852.33999999999992</v>
      </c>
      <c r="D8" s="30"/>
      <c r="E8" s="75">
        <v>11156</v>
      </c>
      <c r="F8" s="76" t="s">
        <v>182</v>
      </c>
      <c r="G8" s="50" t="s">
        <v>8</v>
      </c>
      <c r="H8" s="39">
        <v>127</v>
      </c>
      <c r="I8" s="39">
        <v>127</v>
      </c>
      <c r="J8" s="30"/>
      <c r="K8" s="76"/>
      <c r="L8" s="89"/>
      <c r="M8" s="44"/>
      <c r="R8" s="1">
        <f>IF(vend5[[#This Row],[Nº Venda]]&gt;1,1,0)</f>
        <v>1</v>
      </c>
    </row>
    <row r="9" spans="2:18" ht="16.5" x14ac:dyDescent="0.3">
      <c r="B9" s="27"/>
      <c r="C9" s="27"/>
      <c r="D9" s="30"/>
      <c r="E9" s="75"/>
      <c r="F9" s="76"/>
      <c r="G9" s="50"/>
      <c r="H9" s="39"/>
      <c r="I9" s="39"/>
      <c r="J9" s="30"/>
      <c r="K9" s="76"/>
      <c r="L9" s="89"/>
      <c r="M9" s="44"/>
      <c r="R9" s="1">
        <f>IF(vend5[[#This Row],[Nº Venda]]&gt;1,1,0)</f>
        <v>0</v>
      </c>
    </row>
    <row r="10" spans="2:18" ht="16.5" x14ac:dyDescent="0.3">
      <c r="B10" s="109" t="s">
        <v>5</v>
      </c>
      <c r="C10" s="110"/>
      <c r="D10" s="30"/>
      <c r="E10" s="75"/>
      <c r="F10" s="76"/>
      <c r="G10" s="50"/>
      <c r="H10" s="39"/>
      <c r="I10" s="39"/>
      <c r="J10" s="30"/>
      <c r="K10" s="76"/>
      <c r="L10" s="89"/>
      <c r="M10" s="44"/>
      <c r="R10" s="1">
        <f>IF(vend5[[#This Row],[Nº Venda]]&gt;1,1,0)</f>
        <v>0</v>
      </c>
    </row>
    <row r="11" spans="2:18" ht="16.5" x14ac:dyDescent="0.3">
      <c r="B11" s="28" t="s">
        <v>6</v>
      </c>
      <c r="C11" s="69">
        <f>(SUMIF($G$2:$G$31,B11,$I$2:$I$31))+(SUMIF($G$35:$G$41,B11,$H$35:$H$41))</f>
        <v>0</v>
      </c>
      <c r="D11" s="30"/>
      <c r="E11" s="75"/>
      <c r="F11" s="76"/>
      <c r="G11" s="50"/>
      <c r="H11" s="39"/>
      <c r="I11" s="39"/>
      <c r="J11" s="30"/>
      <c r="K11" s="38"/>
      <c r="L11" s="89"/>
      <c r="M11" s="44"/>
      <c r="O11" s="1">
        <f>IF(C16=0,0,1)</f>
        <v>1</v>
      </c>
      <c r="R11" s="1">
        <f>IF(vend5[[#This Row],[Nº Venda]]&gt;1,1,0)</f>
        <v>0</v>
      </c>
    </row>
    <row r="12" spans="2:18" ht="16.5" x14ac:dyDescent="0.3">
      <c r="B12" s="28" t="s">
        <v>7</v>
      </c>
      <c r="C12" s="69">
        <f t="shared" ref="C12:C15" si="0">(SUMIF($G$2:$G$31,B12,$I$2:$I$31))+(SUMIF($G$35:$G$41,B12,$H$35:$H$41))</f>
        <v>264.27999999999997</v>
      </c>
      <c r="D12" s="30"/>
      <c r="E12" s="75"/>
      <c r="F12" s="76"/>
      <c r="G12" s="51"/>
      <c r="H12" s="39"/>
      <c r="I12" s="39"/>
      <c r="J12" s="30"/>
      <c r="K12" s="33"/>
      <c r="L12" s="33"/>
      <c r="M12" s="33"/>
      <c r="R12" s="1">
        <f>IF(vend5[[#This Row],[Nº Venda]]&gt;1,1,0)</f>
        <v>0</v>
      </c>
    </row>
    <row r="13" spans="2:18" ht="16.5" x14ac:dyDescent="0.3">
      <c r="B13" s="28" t="s">
        <v>8</v>
      </c>
      <c r="C13" s="69">
        <f t="shared" si="0"/>
        <v>127</v>
      </c>
      <c r="D13" s="30"/>
      <c r="E13" s="75"/>
      <c r="F13" s="76"/>
      <c r="G13" s="51"/>
      <c r="H13" s="39"/>
      <c r="I13" s="39"/>
      <c r="J13" s="30"/>
      <c r="K13" s="102" t="s">
        <v>141</v>
      </c>
      <c r="L13" s="103"/>
      <c r="M13" s="104"/>
      <c r="R13" s="1">
        <f>IF(vend5[[#This Row],[Nº Venda]]&gt;1,1,0)</f>
        <v>0</v>
      </c>
    </row>
    <row r="14" spans="2:18" ht="16.5" x14ac:dyDescent="0.3">
      <c r="B14" s="28" t="s">
        <v>9</v>
      </c>
      <c r="C14" s="69">
        <f t="shared" si="0"/>
        <v>0</v>
      </c>
      <c r="D14" s="30"/>
      <c r="E14" s="75"/>
      <c r="F14" s="76"/>
      <c r="G14" s="51"/>
      <c r="H14" s="39"/>
      <c r="I14" s="39"/>
      <c r="J14" s="30"/>
      <c r="K14" s="22" t="s">
        <v>22</v>
      </c>
      <c r="L14" s="23" t="s">
        <v>23</v>
      </c>
      <c r="M14" s="24" t="s">
        <v>24</v>
      </c>
      <c r="R14" s="1">
        <f>IF(vend5[[#This Row],[Nº Venda]]&gt;1,1,0)</f>
        <v>0</v>
      </c>
    </row>
    <row r="15" spans="2:18" ht="16.5" x14ac:dyDescent="0.3">
      <c r="B15" s="28" t="s">
        <v>10</v>
      </c>
      <c r="C15" s="69">
        <f t="shared" si="0"/>
        <v>457.33</v>
      </c>
      <c r="D15" s="30"/>
      <c r="E15" s="75"/>
      <c r="F15" s="76"/>
      <c r="G15" s="51"/>
      <c r="H15" s="39"/>
      <c r="I15" s="39"/>
      <c r="J15" s="30"/>
      <c r="K15" s="75">
        <v>11154</v>
      </c>
      <c r="L15" s="89" t="s">
        <v>128</v>
      </c>
      <c r="M15" s="54" t="s">
        <v>179</v>
      </c>
      <c r="N15" s="6"/>
      <c r="R15" s="1">
        <f>IF(vend5[[#This Row],[Nº Venda]]&gt;1,1,0)</f>
        <v>0</v>
      </c>
    </row>
    <row r="16" spans="2:18" ht="16.5" x14ac:dyDescent="0.3">
      <c r="B16" s="31" t="s">
        <v>11</v>
      </c>
      <c r="C16" s="70">
        <f>SUM(C11:C15)</f>
        <v>848.6099999999999</v>
      </c>
      <c r="D16" s="30"/>
      <c r="E16" s="75"/>
      <c r="F16" s="76"/>
      <c r="G16" s="51"/>
      <c r="H16" s="39"/>
      <c r="I16" s="39"/>
      <c r="J16" s="30"/>
      <c r="K16" s="75">
        <v>11156</v>
      </c>
      <c r="L16" s="89" t="s">
        <v>128</v>
      </c>
      <c r="M16" s="44" t="s">
        <v>179</v>
      </c>
      <c r="N16" s="6"/>
      <c r="R16" s="1">
        <f>IF(vend5[[#This Row],[Nº Venda]]&gt;1,1,0)</f>
        <v>0</v>
      </c>
    </row>
    <row r="17" spans="2:18" ht="16.5" x14ac:dyDescent="0.3">
      <c r="B17" s="27"/>
      <c r="C17" s="27"/>
      <c r="D17" s="30"/>
      <c r="E17" s="75"/>
      <c r="F17" s="76"/>
      <c r="G17" s="51"/>
      <c r="H17" s="39"/>
      <c r="I17" s="39"/>
      <c r="J17" s="30"/>
      <c r="K17" s="75"/>
      <c r="L17" s="89"/>
      <c r="M17" s="44"/>
      <c r="R17" s="1">
        <f>IF(vend5[[#This Row],[Nº Venda]]&gt;1,1,0)</f>
        <v>0</v>
      </c>
    </row>
    <row r="18" spans="2:18" ht="16.5" x14ac:dyDescent="0.3">
      <c r="B18" s="109" t="s">
        <v>12</v>
      </c>
      <c r="C18" s="110"/>
      <c r="D18" s="30"/>
      <c r="E18" s="75"/>
      <c r="F18" s="76"/>
      <c r="G18" s="51"/>
      <c r="H18" s="39"/>
      <c r="I18" s="39"/>
      <c r="J18" s="30"/>
      <c r="K18" s="75"/>
      <c r="L18" s="89"/>
      <c r="M18" s="44"/>
      <c r="R18" s="1">
        <f>IF(vend5[[#This Row],[Nº Venda]]&gt;1,1,0)</f>
        <v>0</v>
      </c>
    </row>
    <row r="19" spans="2:18" ht="16.5" x14ac:dyDescent="0.3">
      <c r="B19" s="28">
        <f>COUNT(entr_carn5[OS])</f>
        <v>0</v>
      </c>
      <c r="C19" s="69">
        <f>SUM(entr_carn5[Valor Total])</f>
        <v>0</v>
      </c>
      <c r="D19" s="30"/>
      <c r="E19" s="75"/>
      <c r="F19" s="76"/>
      <c r="G19" s="51"/>
      <c r="H19" s="39"/>
      <c r="I19" s="39"/>
      <c r="J19" s="30"/>
      <c r="K19" s="75"/>
      <c r="L19" s="89"/>
      <c r="M19" s="44"/>
      <c r="R19" s="1">
        <f>IF(vend5[[#This Row],[Nº Venda]]&gt;1,1,0)</f>
        <v>0</v>
      </c>
    </row>
    <row r="20" spans="2:18" ht="16.5" x14ac:dyDescent="0.3">
      <c r="B20" s="31" t="s">
        <v>11</v>
      </c>
      <c r="C20" s="70">
        <f>SUM(C19:C19)</f>
        <v>0</v>
      </c>
      <c r="D20" s="30"/>
      <c r="E20" s="75"/>
      <c r="F20" s="51"/>
      <c r="G20" s="51"/>
      <c r="H20" s="39"/>
      <c r="I20" s="39"/>
      <c r="J20" s="30"/>
      <c r="K20" s="75"/>
      <c r="L20" s="89"/>
      <c r="M20" s="44"/>
      <c r="R20" s="1">
        <f>IF(vend5[[#This Row],[Nº Venda]]&gt;1,1,0)</f>
        <v>0</v>
      </c>
    </row>
    <row r="21" spans="2:18" ht="16.5" x14ac:dyDescent="0.3">
      <c r="B21" s="27"/>
      <c r="C21" s="27"/>
      <c r="D21" s="30"/>
      <c r="E21" s="75"/>
      <c r="F21" s="76"/>
      <c r="G21" s="51"/>
      <c r="H21" s="39"/>
      <c r="I21" s="39"/>
      <c r="J21" s="30"/>
      <c r="K21" s="75"/>
      <c r="L21" s="89"/>
      <c r="M21" s="44"/>
    </row>
    <row r="22" spans="2:18" ht="16.5" x14ac:dyDescent="0.3">
      <c r="B22" s="31" t="s">
        <v>25</v>
      </c>
      <c r="C22" s="34">
        <f>C5</f>
        <v>277</v>
      </c>
      <c r="D22" s="30"/>
      <c r="E22" s="77"/>
      <c r="F22" s="76"/>
      <c r="G22" s="51"/>
      <c r="H22" s="39"/>
      <c r="I22" s="39"/>
      <c r="J22" s="30"/>
      <c r="K22" s="75"/>
      <c r="L22" s="89"/>
      <c r="M22" s="44"/>
    </row>
    <row r="23" spans="2:18" ht="16.5" x14ac:dyDescent="0.3">
      <c r="B23" s="30"/>
      <c r="C23" s="30"/>
      <c r="D23" s="30"/>
      <c r="E23" s="35"/>
      <c r="F23" s="35"/>
      <c r="G23" s="35"/>
      <c r="H23" s="36"/>
      <c r="I23" s="37"/>
      <c r="J23" s="30"/>
      <c r="K23" s="75"/>
      <c r="L23" s="89"/>
      <c r="M23" s="44"/>
    </row>
    <row r="24" spans="2:18" ht="16.5" x14ac:dyDescent="0.3">
      <c r="B24" s="30"/>
      <c r="C24" s="30"/>
      <c r="D24" s="30"/>
      <c r="E24" s="100" t="s">
        <v>138</v>
      </c>
      <c r="F24" s="101"/>
      <c r="G24" s="101"/>
      <c r="H24" s="101"/>
      <c r="I24" s="101"/>
      <c r="J24" s="30"/>
      <c r="K24" s="75"/>
      <c r="L24" s="89"/>
      <c r="M24" s="44"/>
    </row>
    <row r="25" spans="2:18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5"/>
      <c r="L25" s="89"/>
      <c r="M25" s="44"/>
    </row>
    <row r="26" spans="2:18" ht="16.5" x14ac:dyDescent="0.3">
      <c r="B26" s="30"/>
      <c r="C26" s="30"/>
      <c r="D26" s="30"/>
      <c r="E26" s="75">
        <v>10979</v>
      </c>
      <c r="F26" s="76" t="s">
        <v>180</v>
      </c>
      <c r="G26" s="50" t="s">
        <v>10</v>
      </c>
      <c r="H26" s="39"/>
      <c r="I26" s="39">
        <v>230</v>
      </c>
      <c r="J26" s="30"/>
      <c r="K26" s="75"/>
      <c r="L26" s="89"/>
      <c r="M26" s="44"/>
    </row>
    <row r="27" spans="2:18" ht="16.5" x14ac:dyDescent="0.3">
      <c r="B27" s="30"/>
      <c r="C27" s="30"/>
      <c r="D27" s="30"/>
      <c r="E27" s="75"/>
      <c r="F27" s="76"/>
      <c r="G27" s="50"/>
      <c r="H27" s="39"/>
      <c r="I27" s="39"/>
      <c r="J27" s="30"/>
      <c r="K27" s="75"/>
      <c r="L27" s="89"/>
      <c r="M27" s="44"/>
    </row>
    <row r="28" spans="2:18" ht="16.5" x14ac:dyDescent="0.3">
      <c r="B28" s="30"/>
      <c r="C28" s="30"/>
      <c r="D28" s="30"/>
      <c r="E28" s="75"/>
      <c r="F28" s="76"/>
      <c r="G28" s="50"/>
      <c r="H28" s="39"/>
      <c r="I28" s="39"/>
      <c r="J28" s="30"/>
      <c r="K28" s="75"/>
      <c r="L28" s="89"/>
      <c r="M28" s="44"/>
    </row>
    <row r="29" spans="2:18" ht="16.5" x14ac:dyDescent="0.3">
      <c r="B29" s="30"/>
      <c r="C29" s="30"/>
      <c r="D29" s="30"/>
      <c r="E29" s="75"/>
      <c r="F29" s="76"/>
      <c r="G29" s="51"/>
      <c r="H29" s="39"/>
      <c r="I29" s="39"/>
      <c r="J29" s="30"/>
      <c r="K29" s="75"/>
      <c r="L29" s="89"/>
      <c r="M29" s="44"/>
    </row>
    <row r="30" spans="2:18" ht="16.5" x14ac:dyDescent="0.3">
      <c r="B30" s="30"/>
      <c r="C30" s="30"/>
      <c r="D30" s="30"/>
      <c r="E30" s="75"/>
      <c r="F30" s="51"/>
      <c r="G30" s="51"/>
      <c r="H30" s="39"/>
      <c r="I30" s="39"/>
      <c r="J30" s="30"/>
      <c r="K30" s="75"/>
      <c r="L30" s="89"/>
      <c r="M30" s="44"/>
    </row>
    <row r="31" spans="2:18" ht="16.5" x14ac:dyDescent="0.3">
      <c r="B31" s="30"/>
      <c r="C31" s="30"/>
      <c r="D31" s="30"/>
      <c r="E31" s="77"/>
      <c r="F31" s="78"/>
      <c r="G31" s="42"/>
      <c r="H31" s="43"/>
      <c r="I31" s="43"/>
      <c r="J31" s="30"/>
      <c r="K31" s="75"/>
      <c r="L31" s="89"/>
      <c r="M31" s="44"/>
    </row>
    <row r="32" spans="2:18" ht="16.5" x14ac:dyDescent="0.3">
      <c r="B32" s="30"/>
      <c r="C32" s="30"/>
      <c r="D32" s="38"/>
      <c r="E32" s="35"/>
      <c r="F32" s="35"/>
      <c r="G32" s="35"/>
      <c r="H32" s="37"/>
      <c r="I32" s="37"/>
      <c r="J32" s="38"/>
      <c r="K32" s="33"/>
      <c r="L32" s="33"/>
      <c r="M32" s="33"/>
    </row>
    <row r="33" spans="2:18" ht="16.5" x14ac:dyDescent="0.3">
      <c r="B33" s="30"/>
      <c r="C33" s="30"/>
      <c r="D33" s="38"/>
      <c r="E33" s="100" t="s">
        <v>139</v>
      </c>
      <c r="F33" s="101"/>
      <c r="G33" s="101"/>
      <c r="H33" s="101"/>
      <c r="I33" s="101"/>
      <c r="J33" s="38"/>
      <c r="K33" s="102" t="s">
        <v>140</v>
      </c>
      <c r="L33" s="103"/>
      <c r="M33" s="104"/>
    </row>
    <row r="34" spans="2:18" ht="16.5" x14ac:dyDescent="0.3">
      <c r="B34" s="38"/>
      <c r="C34" s="38"/>
      <c r="D34" s="38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75">
        <v>10336</v>
      </c>
      <c r="F35" s="76" t="s">
        <v>183</v>
      </c>
      <c r="G35" s="51" t="s">
        <v>7</v>
      </c>
      <c r="H35" s="39">
        <v>114.28</v>
      </c>
      <c r="I35" s="39" t="s">
        <v>37</v>
      </c>
      <c r="J35" s="38"/>
      <c r="K35" s="75"/>
      <c r="L35" s="75"/>
      <c r="M35" s="89"/>
    </row>
    <row r="36" spans="2:18" ht="16.5" customHeight="1" x14ac:dyDescent="0.25">
      <c r="B36" s="38"/>
      <c r="C36" s="38"/>
      <c r="D36" s="38"/>
      <c r="E36" s="88">
        <v>9973</v>
      </c>
      <c r="F36" s="76" t="s">
        <v>184</v>
      </c>
      <c r="G36" s="51" t="s">
        <v>10</v>
      </c>
      <c r="H36" s="39">
        <v>103.33</v>
      </c>
      <c r="I36" s="39" t="s">
        <v>55</v>
      </c>
      <c r="J36" s="38"/>
      <c r="K36" s="75"/>
      <c r="L36" s="75"/>
      <c r="M36" s="89"/>
    </row>
    <row r="37" spans="2:18" ht="16.5" customHeight="1" x14ac:dyDescent="0.25">
      <c r="B37" s="38"/>
      <c r="C37" s="38"/>
      <c r="D37" s="38"/>
      <c r="E37" s="75">
        <v>10386</v>
      </c>
      <c r="F37" s="76" t="s">
        <v>185</v>
      </c>
      <c r="G37" s="51" t="s">
        <v>10</v>
      </c>
      <c r="H37" s="39">
        <v>124</v>
      </c>
      <c r="I37" s="39" t="s">
        <v>55</v>
      </c>
      <c r="J37" s="38"/>
      <c r="K37" s="75"/>
      <c r="L37" s="75"/>
      <c r="M37" s="89"/>
    </row>
    <row r="38" spans="2:18" ht="16.5" customHeight="1" x14ac:dyDescent="0.25">
      <c r="B38" s="38"/>
      <c r="C38" s="38"/>
      <c r="D38" s="38"/>
      <c r="E38" s="75"/>
      <c r="F38" s="76"/>
      <c r="G38" s="51"/>
      <c r="H38" s="39"/>
      <c r="I38" s="39"/>
      <c r="J38" s="38"/>
      <c r="K38" s="75"/>
      <c r="L38" s="75"/>
      <c r="M38" s="89"/>
    </row>
    <row r="39" spans="2:18" ht="16.5" customHeight="1" x14ac:dyDescent="0.25">
      <c r="B39" s="38"/>
      <c r="C39" s="38"/>
      <c r="D39" s="38"/>
      <c r="E39" s="75"/>
      <c r="F39" s="51"/>
      <c r="G39" s="51"/>
      <c r="H39" s="39"/>
      <c r="I39" s="39"/>
      <c r="J39" s="38"/>
      <c r="K39" s="75"/>
      <c r="L39" s="75"/>
      <c r="M39" s="89"/>
    </row>
    <row r="40" spans="2:18" ht="16.5" customHeight="1" x14ac:dyDescent="0.25">
      <c r="B40" s="38"/>
      <c r="C40" s="38"/>
      <c r="D40" s="38"/>
      <c r="E40" s="77"/>
      <c r="F40" s="78"/>
      <c r="G40" s="42"/>
      <c r="H40" s="43"/>
      <c r="I40" s="39"/>
      <c r="J40" s="38"/>
      <c r="K40" s="77"/>
      <c r="L40" s="77"/>
      <c r="M40" s="90"/>
      <c r="Q40" s="1" t="s">
        <v>33</v>
      </c>
      <c r="R40" s="1">
        <f>SUM(R6:R21)</f>
        <v>3</v>
      </c>
    </row>
    <row r="41" spans="2:18" ht="16.5" customHeight="1" x14ac:dyDescent="0.25">
      <c r="B41" s="38"/>
      <c r="C41" s="38"/>
      <c r="D41" s="38"/>
      <c r="E41" s="80"/>
      <c r="F41" s="51"/>
      <c r="G41" s="51"/>
      <c r="H41" s="39"/>
      <c r="I41" s="39"/>
      <c r="J41" s="38"/>
      <c r="K41" s="75"/>
      <c r="L41" s="75"/>
      <c r="M41" s="90"/>
    </row>
    <row r="42" spans="2:18" ht="13.5" x14ac:dyDescent="0.25">
      <c r="B42" s="38"/>
      <c r="C42" s="38"/>
      <c r="D42" s="38"/>
      <c r="E42" s="35"/>
      <c r="F42" s="35"/>
      <c r="G42" s="35"/>
      <c r="H42" s="37"/>
      <c r="I42" s="37"/>
      <c r="J42" s="38"/>
      <c r="K42" s="33"/>
      <c r="L42" s="33"/>
      <c r="M42" s="33"/>
    </row>
    <row r="43" spans="2:18" ht="13.5" x14ac:dyDescent="0.25">
      <c r="B43" s="38"/>
      <c r="C43" s="38"/>
      <c r="D43" s="38"/>
      <c r="E43" s="35"/>
      <c r="F43" s="35"/>
      <c r="G43" s="35"/>
      <c r="H43" s="37"/>
      <c r="I43" s="37"/>
      <c r="J43" s="38"/>
      <c r="K43" s="33"/>
      <c r="L43" s="33"/>
      <c r="M43" s="33"/>
    </row>
    <row r="44" spans="2:18" ht="13.5" x14ac:dyDescent="0.25">
      <c r="B44" s="38"/>
      <c r="C44" s="38"/>
      <c r="D44" s="38"/>
      <c r="E44" s="35"/>
      <c r="F44" s="35"/>
      <c r="G44" s="35"/>
      <c r="H44" s="37"/>
      <c r="I44" s="37"/>
      <c r="J44" s="38"/>
      <c r="K44" s="33"/>
      <c r="L44" s="33"/>
      <c r="M44" s="33"/>
    </row>
    <row r="45" spans="2:18" ht="13.5" x14ac:dyDescent="0.25">
      <c r="B45" s="38"/>
      <c r="C45" s="38"/>
      <c r="D45" s="38"/>
      <c r="E45" s="35"/>
      <c r="F45" s="35"/>
      <c r="G45" s="35"/>
      <c r="H45" s="37"/>
      <c r="I45" s="37"/>
      <c r="J45" s="38"/>
      <c r="K45" s="33"/>
      <c r="L45" s="33"/>
      <c r="M45" s="33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M17:M31 N15:N16" xr:uid="{5F91EB2E-234E-45A9-80A1-E7D0A7E98AB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colBreaks count="1" manualBreakCount="1">
    <brk id="13" max="1048575" man="1"/>
  </colBreak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  <x14:dataValidation type="list" allowBlank="1" showInputMessage="1" showErrorMessage="1" xr:uid="{CF5CAE4C-094B-4D93-A1A2-431E4AA11041}">
          <x14:formula1>
            <xm:f>resumo_cx!$P$2:$P$18</xm:f>
          </x14:formula1>
          <xm:sqref>L15:L31</xm:sqref>
        </x14:dataValidation>
        <x14:dataValidation type="list" allowBlank="1" showInputMessage="1" showErrorMessage="1" xr:uid="{54729208-C041-4ACE-9048-CEC899AB18D3}">
          <x14:formula1>
            <xm:f>base_OS!$A$2:$A$15000</xm:f>
          </x14:formula1>
          <xm:sqref>E6:E22 E26:E31 E35:E41 K35:K41 K15:K31</xm:sqref>
        </x14:dataValidation>
        <x14:dataValidation type="list" allowBlank="1" showInputMessage="1" showErrorMessage="1" xr:uid="{0B84582F-523D-44A4-9068-CEA44BF623CE}">
          <x14:formula1>
            <xm:f>base!$A$2:$A$8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base!$A$2:$A$5</xm:f>
          </x14:formula1>
          <xm:sqref>G26:G31 G35:G41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5"/>
  <sheetViews>
    <sheetView showGridLines="0" view="pageBreakPreview" zoomScale="60" zoomScaleNormal="90" workbookViewId="0">
      <selection activeCell="M21" sqref="M2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'05'!B1+1</f>
        <v>45814</v>
      </c>
      <c r="C1" s="98"/>
      <c r="L1" s="99" t="s">
        <v>143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5" t="s">
        <v>0</v>
      </c>
      <c r="C4" s="26">
        <v>0</v>
      </c>
      <c r="D4" s="58"/>
      <c r="E4" s="108" t="s">
        <v>136</v>
      </c>
      <c r="F4" s="108"/>
      <c r="G4" s="108"/>
      <c r="H4" s="108"/>
      <c r="I4" s="108"/>
      <c r="J4" s="30"/>
      <c r="K4" s="102" t="s">
        <v>137</v>
      </c>
      <c r="L4" s="103"/>
      <c r="M4" s="104"/>
    </row>
    <row r="5" spans="2:18" ht="16.5" x14ac:dyDescent="0.3">
      <c r="B5" s="28" t="s">
        <v>1</v>
      </c>
      <c r="C5" s="29">
        <f>SUMIF(I6:I31,"&gt;0",H6:H31)</f>
        <v>379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18" ht="16.5" x14ac:dyDescent="0.3">
      <c r="B6" s="28" t="s">
        <v>2</v>
      </c>
      <c r="C6" s="29">
        <f>C16</f>
        <v>2976.7599999999998</v>
      </c>
      <c r="D6" s="30"/>
      <c r="E6" s="75">
        <v>11157</v>
      </c>
      <c r="F6" s="76" t="s">
        <v>186</v>
      </c>
      <c r="G6" s="51" t="s">
        <v>36</v>
      </c>
      <c r="H6" s="39">
        <v>0</v>
      </c>
      <c r="I6" s="39">
        <v>0</v>
      </c>
      <c r="J6" s="30"/>
      <c r="K6" s="76" t="s">
        <v>161</v>
      </c>
      <c r="L6" s="89" t="s">
        <v>10</v>
      </c>
      <c r="M6" s="44">
        <v>3.36</v>
      </c>
      <c r="R6" s="1">
        <f>IF(vend[[#This Row],[Nº Venda]]&gt;1,1,0)</f>
        <v>1</v>
      </c>
    </row>
    <row r="7" spans="2:18" ht="16.5" x14ac:dyDescent="0.3">
      <c r="B7" s="28" t="s">
        <v>3</v>
      </c>
      <c r="C7" s="29">
        <f>SUM(M6:M11)</f>
        <v>595.36</v>
      </c>
      <c r="D7" s="30"/>
      <c r="E7" s="75">
        <v>11158</v>
      </c>
      <c r="F7" s="76" t="s">
        <v>188</v>
      </c>
      <c r="G7" s="51" t="s">
        <v>7</v>
      </c>
      <c r="H7" s="39">
        <v>180</v>
      </c>
      <c r="I7" s="39">
        <v>180</v>
      </c>
      <c r="J7" s="30"/>
      <c r="K7" s="76" t="s">
        <v>335</v>
      </c>
      <c r="L7" s="89" t="s">
        <v>6</v>
      </c>
      <c r="M7" s="44">
        <v>592</v>
      </c>
      <c r="R7" s="1">
        <f>IF(vend[[#This Row],[Nº Venda]]&gt;1,1,0)</f>
        <v>1</v>
      </c>
    </row>
    <row r="8" spans="2:18" ht="16.5" x14ac:dyDescent="0.3">
      <c r="B8" s="31" t="s">
        <v>21</v>
      </c>
      <c r="C8" s="32">
        <f>SUM(C6:C7)</f>
        <v>3572.12</v>
      </c>
      <c r="D8" s="30"/>
      <c r="E8" s="75">
        <v>11159</v>
      </c>
      <c r="F8" s="76" t="s">
        <v>205</v>
      </c>
      <c r="G8" s="51" t="s">
        <v>7</v>
      </c>
      <c r="H8" s="39">
        <v>199</v>
      </c>
      <c r="I8" s="39">
        <v>199</v>
      </c>
      <c r="J8" s="30"/>
      <c r="K8" s="76"/>
      <c r="L8" s="89"/>
      <c r="M8" s="44"/>
      <c r="R8" s="1">
        <f>IF(vend[[#This Row],[Nº Venda]]&gt;1,1,0)</f>
        <v>1</v>
      </c>
    </row>
    <row r="9" spans="2:18" ht="16.5" x14ac:dyDescent="0.3">
      <c r="B9" s="27"/>
      <c r="C9" s="27"/>
      <c r="D9" s="30"/>
      <c r="E9" s="75"/>
      <c r="F9" s="76"/>
      <c r="G9" s="51"/>
      <c r="H9" s="39"/>
      <c r="I9" s="39"/>
      <c r="J9" s="30"/>
      <c r="K9" s="76"/>
      <c r="L9" s="89"/>
      <c r="M9" s="44"/>
      <c r="R9" s="1">
        <f>IF(vend[[#This Row],[Nº Venda]]&gt;1,1,0)</f>
        <v>0</v>
      </c>
    </row>
    <row r="10" spans="2:18" ht="16.5" x14ac:dyDescent="0.3">
      <c r="B10" s="109" t="s">
        <v>5</v>
      </c>
      <c r="C10" s="110"/>
      <c r="D10" s="30"/>
      <c r="E10" s="75"/>
      <c r="F10" s="51"/>
      <c r="G10" s="51"/>
      <c r="H10" s="39"/>
      <c r="I10" s="39"/>
      <c r="J10" s="30"/>
      <c r="K10" s="76"/>
      <c r="L10" s="89"/>
      <c r="M10" s="44"/>
      <c r="R10" s="1">
        <f>IF(vend[[#This Row],[Nº Venda]]&gt;1,1,0)</f>
        <v>0</v>
      </c>
    </row>
    <row r="11" spans="2:18" ht="16.5" x14ac:dyDescent="0.3">
      <c r="B11" s="28" t="s">
        <v>6</v>
      </c>
      <c r="C11" s="71">
        <f>(SUMIF($G$2:$G$31,B11,$I$2:$I$31))+(SUMIF($G$35:$G$41,B11,$H$35:$H$41))</f>
        <v>591.77</v>
      </c>
      <c r="D11" s="30"/>
      <c r="E11" s="75"/>
      <c r="F11" s="76"/>
      <c r="G11" s="51"/>
      <c r="H11" s="39"/>
      <c r="I11" s="39"/>
      <c r="J11" s="30"/>
      <c r="K11" s="38"/>
      <c r="L11" s="89"/>
      <c r="M11" s="44"/>
      <c r="O11" s="1">
        <f>IF(C16=0,0,1)</f>
        <v>1</v>
      </c>
      <c r="R11" s="1">
        <f>IF(vend[[#This Row],[Nº Venda]]&gt;1,1,0)</f>
        <v>0</v>
      </c>
    </row>
    <row r="12" spans="2:18" ht="16.5" x14ac:dyDescent="0.3">
      <c r="B12" s="28" t="s">
        <v>7</v>
      </c>
      <c r="C12" s="71">
        <f>(SUMIF($G$2:$G$31,B12,$I$2:$I$31))+(SUMIF($G$35:$G$41,B12,$H$35:$H$41))</f>
        <v>611.37</v>
      </c>
      <c r="D12" s="30"/>
      <c r="E12" s="75"/>
      <c r="F12" s="76"/>
      <c r="G12" s="51"/>
      <c r="H12" s="39"/>
      <c r="I12" s="39"/>
      <c r="J12" s="30"/>
      <c r="K12" s="33"/>
      <c r="L12" s="33"/>
      <c r="M12" s="33"/>
      <c r="R12" s="1">
        <f>IF(vend[[#This Row],[Nº Venda]]&gt;1,1,0)</f>
        <v>0</v>
      </c>
    </row>
    <row r="13" spans="2:18" ht="16.5" x14ac:dyDescent="0.3">
      <c r="B13" s="28" t="s">
        <v>8</v>
      </c>
      <c r="C13" s="71">
        <f>(SUMIF($G$2:$G$31,B13,$I$2:$I$31))+(SUMIF($G$35:$G$41,B13,$H$35:$H$41))</f>
        <v>0</v>
      </c>
      <c r="D13" s="30"/>
      <c r="E13" s="75"/>
      <c r="F13" s="76"/>
      <c r="G13" s="51"/>
      <c r="H13" s="39"/>
      <c r="I13" s="39"/>
      <c r="J13" s="30"/>
      <c r="K13" s="102" t="s">
        <v>141</v>
      </c>
      <c r="L13" s="103"/>
      <c r="M13" s="104"/>
      <c r="R13" s="1">
        <f>IF(vend[[#This Row],[Nº Venda]]&gt;1,1,0)</f>
        <v>0</v>
      </c>
    </row>
    <row r="14" spans="2:18" ht="16.5" x14ac:dyDescent="0.3">
      <c r="B14" s="28" t="s">
        <v>9</v>
      </c>
      <c r="C14" s="71">
        <f>(SUMIF($G$2:$G$31,B14,$I$2:$I$31))+(SUMIF($G$35:$G$41,B14,$H$35:$H$41))</f>
        <v>0</v>
      </c>
      <c r="D14" s="30"/>
      <c r="E14" s="75"/>
      <c r="F14" s="76"/>
      <c r="G14" s="51"/>
      <c r="H14" s="39"/>
      <c r="I14" s="39"/>
      <c r="J14" s="30"/>
      <c r="K14" s="22" t="s">
        <v>22</v>
      </c>
      <c r="L14" s="23" t="s">
        <v>23</v>
      </c>
      <c r="M14" s="24" t="s">
        <v>24</v>
      </c>
      <c r="R14" s="1">
        <f>IF(vend[[#This Row],[Nº Venda]]&gt;1,1,0)</f>
        <v>0</v>
      </c>
    </row>
    <row r="15" spans="2:18" ht="16.5" x14ac:dyDescent="0.3">
      <c r="B15" s="28" t="s">
        <v>10</v>
      </c>
      <c r="C15" s="71">
        <f>(SUMIF($G$2:$G$31,B15,$I$2:$I$31))+(SUMIF($G$35:$G$41,B15,$H$35:$H$41))</f>
        <v>1773.62</v>
      </c>
      <c r="D15" s="30"/>
      <c r="E15" s="75"/>
      <c r="F15" s="76"/>
      <c r="G15" s="51"/>
      <c r="H15" s="39"/>
      <c r="I15" s="39"/>
      <c r="J15" s="30"/>
      <c r="K15" s="75">
        <v>10858</v>
      </c>
      <c r="L15" s="89" t="s">
        <v>128</v>
      </c>
      <c r="M15" s="44" t="s">
        <v>146</v>
      </c>
      <c r="R15" s="1">
        <f>IF(vend[[#This Row],[Nº Venda]]&gt;1,1,0)</f>
        <v>0</v>
      </c>
    </row>
    <row r="16" spans="2:18" ht="16.5" x14ac:dyDescent="0.3">
      <c r="B16" s="31" t="s">
        <v>11</v>
      </c>
      <c r="C16" s="70">
        <f>SUM(C11:C15)</f>
        <v>2976.7599999999998</v>
      </c>
      <c r="D16" s="30"/>
      <c r="E16" s="75"/>
      <c r="F16" s="76"/>
      <c r="G16" s="51"/>
      <c r="H16" s="39"/>
      <c r="I16" s="39"/>
      <c r="J16" s="30"/>
      <c r="K16" s="75">
        <v>10932</v>
      </c>
      <c r="L16" s="89" t="s">
        <v>130</v>
      </c>
      <c r="M16" s="44" t="s">
        <v>146</v>
      </c>
      <c r="R16" s="1">
        <f>IF(vend[[#This Row],[Nº Venda]]&gt;1,1,0)</f>
        <v>0</v>
      </c>
    </row>
    <row r="17" spans="2:18" ht="16.5" x14ac:dyDescent="0.3">
      <c r="B17" s="27"/>
      <c r="C17" s="27"/>
      <c r="D17" s="30"/>
      <c r="E17" s="75"/>
      <c r="F17" s="76"/>
      <c r="G17" s="51"/>
      <c r="H17" s="39"/>
      <c r="I17" s="39"/>
      <c r="J17" s="30"/>
      <c r="K17" s="75">
        <v>10933</v>
      </c>
      <c r="L17" s="89" t="s">
        <v>130</v>
      </c>
      <c r="M17" s="44" t="s">
        <v>146</v>
      </c>
      <c r="R17" s="1">
        <f>IF(vend[[#This Row],[Nº Venda]]&gt;1,1,0)</f>
        <v>0</v>
      </c>
    </row>
    <row r="18" spans="2:18" ht="16.5" x14ac:dyDescent="0.3">
      <c r="B18" s="109" t="s">
        <v>12</v>
      </c>
      <c r="C18" s="110"/>
      <c r="D18" s="30"/>
      <c r="E18" s="75"/>
      <c r="F18" s="76"/>
      <c r="G18" s="51"/>
      <c r="H18" s="39"/>
      <c r="I18" s="39"/>
      <c r="J18" s="30"/>
      <c r="K18" s="75">
        <v>10949</v>
      </c>
      <c r="L18" s="89" t="s">
        <v>130</v>
      </c>
      <c r="M18" s="44" t="s">
        <v>146</v>
      </c>
      <c r="R18" s="1">
        <f>IF(vend[[#This Row],[Nº Venda]]&gt;1,1,0)</f>
        <v>0</v>
      </c>
    </row>
    <row r="19" spans="2:18" ht="16.5" x14ac:dyDescent="0.3">
      <c r="B19" s="28">
        <f>COUNT(entr_carn6[OS])</f>
        <v>1</v>
      </c>
      <c r="C19" s="69">
        <f>SUM(entr_carn6[Valor Total])</f>
        <v>295</v>
      </c>
      <c r="D19" s="30"/>
      <c r="E19" s="75"/>
      <c r="F19" s="76"/>
      <c r="G19" s="51"/>
      <c r="H19" s="39"/>
      <c r="I19" s="39"/>
      <c r="J19" s="30"/>
      <c r="K19" s="75">
        <v>10995</v>
      </c>
      <c r="L19" s="89" t="s">
        <v>130</v>
      </c>
      <c r="M19" s="44" t="s">
        <v>146</v>
      </c>
      <c r="R19" s="1">
        <f>IF(vend[[#This Row],[Nº Venda]]&gt;1,1,0)</f>
        <v>0</v>
      </c>
    </row>
    <row r="20" spans="2:18" ht="16.5" x14ac:dyDescent="0.3">
      <c r="B20" s="31" t="s">
        <v>11</v>
      </c>
      <c r="C20" s="70">
        <f>SUM(C19:C19)</f>
        <v>295</v>
      </c>
      <c r="D20" s="30"/>
      <c r="E20" s="75"/>
      <c r="F20" s="51"/>
      <c r="G20" s="51"/>
      <c r="H20" s="39"/>
      <c r="I20" s="39"/>
      <c r="J20" s="30"/>
      <c r="K20" s="75">
        <v>11011</v>
      </c>
      <c r="L20" s="89" t="s">
        <v>130</v>
      </c>
      <c r="M20" s="44" t="s">
        <v>146</v>
      </c>
      <c r="R20" s="1">
        <f>IF(vend[[#This Row],[Nº Venda]]&gt;1,1,0)</f>
        <v>0</v>
      </c>
    </row>
    <row r="21" spans="2:18" ht="16.5" x14ac:dyDescent="0.3">
      <c r="B21" s="27"/>
      <c r="C21" s="27"/>
      <c r="D21" s="30"/>
      <c r="E21" s="75"/>
      <c r="F21" s="76"/>
      <c r="G21" s="51"/>
      <c r="H21" s="39"/>
      <c r="I21" s="39"/>
      <c r="J21" s="30"/>
      <c r="K21" s="75">
        <v>11029</v>
      </c>
      <c r="L21" s="89" t="s">
        <v>128</v>
      </c>
      <c r="M21" s="44" t="s">
        <v>146</v>
      </c>
    </row>
    <row r="22" spans="2:18" ht="16.5" x14ac:dyDescent="0.3">
      <c r="B22" s="31" t="s">
        <v>25</v>
      </c>
      <c r="C22" s="34">
        <f>C5</f>
        <v>379</v>
      </c>
      <c r="D22" s="30"/>
      <c r="E22" s="77"/>
      <c r="F22" s="76"/>
      <c r="G22" s="51"/>
      <c r="H22" s="39"/>
      <c r="I22" s="39"/>
      <c r="J22" s="30"/>
      <c r="K22" s="75">
        <v>11047</v>
      </c>
      <c r="L22" s="89" t="s">
        <v>130</v>
      </c>
      <c r="M22" s="44" t="s">
        <v>162</v>
      </c>
    </row>
    <row r="23" spans="2:18" ht="16.5" x14ac:dyDescent="0.3">
      <c r="B23" s="30"/>
      <c r="C23" s="30"/>
      <c r="D23" s="30"/>
      <c r="E23" s="35"/>
      <c r="F23" s="35"/>
      <c r="G23" s="35"/>
      <c r="H23" s="36"/>
      <c r="I23" s="37"/>
      <c r="J23" s="30"/>
      <c r="K23" s="75">
        <v>11103</v>
      </c>
      <c r="L23" s="89" t="s">
        <v>128</v>
      </c>
      <c r="M23" s="44" t="s">
        <v>146</v>
      </c>
    </row>
    <row r="24" spans="2:18" ht="16.5" x14ac:dyDescent="0.3">
      <c r="B24" s="30"/>
      <c r="C24" s="30"/>
      <c r="D24" s="30"/>
      <c r="E24" s="100" t="s">
        <v>138</v>
      </c>
      <c r="F24" s="101"/>
      <c r="G24" s="101"/>
      <c r="H24" s="101"/>
      <c r="I24" s="101"/>
      <c r="J24" s="30"/>
      <c r="K24" s="75">
        <v>11117</v>
      </c>
      <c r="L24" s="89" t="s">
        <v>130</v>
      </c>
      <c r="M24" s="44" t="s">
        <v>146</v>
      </c>
    </row>
    <row r="25" spans="2:18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5">
        <v>11128</v>
      </c>
      <c r="L25" s="89" t="s">
        <v>130</v>
      </c>
      <c r="M25" s="44" t="s">
        <v>146</v>
      </c>
    </row>
    <row r="26" spans="2:18" ht="16.5" x14ac:dyDescent="0.3">
      <c r="B26" s="30"/>
      <c r="C26" s="30"/>
      <c r="D26" s="30"/>
      <c r="E26" s="75">
        <v>10932</v>
      </c>
      <c r="F26" s="76" t="s">
        <v>206</v>
      </c>
      <c r="G26" s="51" t="s">
        <v>10</v>
      </c>
      <c r="H26" s="39"/>
      <c r="I26" s="39">
        <v>899.5</v>
      </c>
      <c r="J26" s="30"/>
      <c r="K26" s="75">
        <v>11158</v>
      </c>
      <c r="L26" s="89" t="s">
        <v>128</v>
      </c>
      <c r="M26" s="44" t="s">
        <v>146</v>
      </c>
    </row>
    <row r="27" spans="2:18" ht="16.5" x14ac:dyDescent="0.3">
      <c r="B27" s="30"/>
      <c r="C27" s="30"/>
      <c r="D27" s="30"/>
      <c r="E27" s="75">
        <v>11022</v>
      </c>
      <c r="F27" s="76" t="s">
        <v>190</v>
      </c>
      <c r="G27" s="51" t="s">
        <v>10</v>
      </c>
      <c r="H27" s="39"/>
      <c r="I27" s="39">
        <v>375</v>
      </c>
      <c r="J27" s="30"/>
      <c r="K27" s="75"/>
      <c r="L27" s="89"/>
      <c r="M27" s="44"/>
    </row>
    <row r="28" spans="2:18" ht="16.5" x14ac:dyDescent="0.3">
      <c r="B28" s="30"/>
      <c r="C28" s="30"/>
      <c r="D28" s="30"/>
      <c r="E28" s="75">
        <v>11025</v>
      </c>
      <c r="F28" s="76" t="s">
        <v>190</v>
      </c>
      <c r="G28" s="51" t="s">
        <v>10</v>
      </c>
      <c r="H28" s="39"/>
      <c r="I28" s="39">
        <v>375</v>
      </c>
      <c r="J28" s="30"/>
      <c r="K28" s="75"/>
      <c r="L28" s="89"/>
      <c r="M28" s="44"/>
    </row>
    <row r="29" spans="2:18" ht="16.5" x14ac:dyDescent="0.3">
      <c r="B29" s="30"/>
      <c r="C29" s="30"/>
      <c r="D29" s="30"/>
      <c r="E29" s="75">
        <v>11029</v>
      </c>
      <c r="F29" s="76" t="s">
        <v>187</v>
      </c>
      <c r="G29" s="51" t="s">
        <v>6</v>
      </c>
      <c r="H29" s="39"/>
      <c r="I29" s="39">
        <v>400</v>
      </c>
      <c r="J29" s="30"/>
      <c r="K29" s="75"/>
      <c r="L29" s="89"/>
      <c r="M29" s="44"/>
    </row>
    <row r="30" spans="2:18" ht="16.5" x14ac:dyDescent="0.3">
      <c r="B30" s="30"/>
      <c r="C30" s="30"/>
      <c r="D30" s="30"/>
      <c r="E30" s="75"/>
      <c r="F30" s="51"/>
      <c r="G30" s="51"/>
      <c r="H30" s="39"/>
      <c r="I30" s="39"/>
      <c r="J30" s="30"/>
      <c r="K30" s="75"/>
      <c r="L30" s="89"/>
      <c r="M30" s="44"/>
    </row>
    <row r="31" spans="2:18" ht="16.5" x14ac:dyDescent="0.3">
      <c r="B31" s="30"/>
      <c r="C31" s="30"/>
      <c r="D31" s="30"/>
      <c r="E31" s="77"/>
      <c r="F31" s="78"/>
      <c r="G31" s="42"/>
      <c r="H31" s="43"/>
      <c r="I31" s="43"/>
      <c r="J31" s="30"/>
      <c r="K31" s="75"/>
      <c r="L31" s="89"/>
      <c r="M31" s="44"/>
    </row>
    <row r="32" spans="2:18" ht="16.5" x14ac:dyDescent="0.3">
      <c r="B32" s="30"/>
      <c r="C32" s="30"/>
      <c r="D32" s="38"/>
      <c r="E32" s="35"/>
      <c r="F32" s="35"/>
      <c r="G32" s="35"/>
      <c r="H32" s="37"/>
      <c r="I32" s="37"/>
      <c r="J32" s="38"/>
      <c r="K32" s="33"/>
      <c r="L32" s="33"/>
      <c r="M32" s="33"/>
    </row>
    <row r="33" spans="2:18" ht="16.5" x14ac:dyDescent="0.3">
      <c r="B33" s="30"/>
      <c r="C33" s="30"/>
      <c r="D33" s="38"/>
      <c r="E33" s="100" t="s">
        <v>139</v>
      </c>
      <c r="F33" s="101"/>
      <c r="G33" s="101"/>
      <c r="H33" s="101"/>
      <c r="I33" s="101"/>
      <c r="J33" s="38"/>
      <c r="K33" s="102" t="s">
        <v>140</v>
      </c>
      <c r="L33" s="103"/>
      <c r="M33" s="104"/>
    </row>
    <row r="34" spans="2:18" ht="16.5" x14ac:dyDescent="0.3">
      <c r="B34" s="38"/>
      <c r="C34" s="38"/>
      <c r="D34" s="38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75">
        <v>9836</v>
      </c>
      <c r="F35" s="76" t="s">
        <v>189</v>
      </c>
      <c r="G35" s="51" t="s">
        <v>7</v>
      </c>
      <c r="H35" s="39">
        <v>150</v>
      </c>
      <c r="I35" s="39" t="s">
        <v>47</v>
      </c>
      <c r="J35" s="38"/>
      <c r="K35" s="75">
        <v>11047</v>
      </c>
      <c r="L35" s="75">
        <v>1</v>
      </c>
      <c r="M35" s="89">
        <v>295</v>
      </c>
    </row>
    <row r="36" spans="2:18" ht="16.5" customHeight="1" x14ac:dyDescent="0.25">
      <c r="B36" s="38"/>
      <c r="C36" s="38"/>
      <c r="D36" s="38"/>
      <c r="E36" s="81">
        <v>9891</v>
      </c>
      <c r="F36" s="76" t="s">
        <v>189</v>
      </c>
      <c r="G36" s="51" t="s">
        <v>7</v>
      </c>
      <c r="H36" s="39">
        <v>82.37</v>
      </c>
      <c r="I36" s="39" t="s">
        <v>47</v>
      </c>
      <c r="J36" s="38"/>
      <c r="K36" s="75"/>
      <c r="L36" s="75"/>
      <c r="M36" s="89"/>
    </row>
    <row r="37" spans="2:18" ht="16.5" customHeight="1" x14ac:dyDescent="0.25">
      <c r="B37" s="38"/>
      <c r="C37" s="38"/>
      <c r="D37" s="38"/>
      <c r="E37" s="75">
        <v>10468</v>
      </c>
      <c r="F37" s="76" t="s">
        <v>207</v>
      </c>
      <c r="G37" s="51" t="s">
        <v>6</v>
      </c>
      <c r="H37" s="39">
        <v>63.92</v>
      </c>
      <c r="I37" s="39" t="s">
        <v>37</v>
      </c>
      <c r="J37" s="38"/>
      <c r="K37" s="75"/>
      <c r="L37" s="75"/>
      <c r="M37" s="89"/>
    </row>
    <row r="38" spans="2:18" ht="16.5" customHeight="1" x14ac:dyDescent="0.25">
      <c r="B38" s="38"/>
      <c r="C38" s="38"/>
      <c r="D38" s="38"/>
      <c r="E38" s="75">
        <v>10468</v>
      </c>
      <c r="F38" s="76" t="s">
        <v>207</v>
      </c>
      <c r="G38" s="51" t="s">
        <v>6</v>
      </c>
      <c r="H38" s="39">
        <v>127.85</v>
      </c>
      <c r="I38" s="39" t="s">
        <v>40</v>
      </c>
      <c r="J38" s="38"/>
      <c r="K38" s="75"/>
      <c r="L38" s="75"/>
      <c r="M38" s="89"/>
    </row>
    <row r="39" spans="2:18" ht="16.5" customHeight="1" x14ac:dyDescent="0.25">
      <c r="B39" s="38"/>
      <c r="C39" s="38"/>
      <c r="D39" s="38"/>
      <c r="E39" s="75">
        <v>10495</v>
      </c>
      <c r="F39" s="51" t="s">
        <v>243</v>
      </c>
      <c r="G39" s="51" t="s">
        <v>10</v>
      </c>
      <c r="H39" s="39">
        <v>124.12</v>
      </c>
      <c r="I39" s="39" t="s">
        <v>53</v>
      </c>
      <c r="J39" s="38"/>
      <c r="K39" s="75"/>
      <c r="L39" s="75"/>
      <c r="M39" s="89"/>
    </row>
    <row r="40" spans="2:18" ht="16.5" customHeight="1" x14ac:dyDescent="0.25">
      <c r="B40" s="38"/>
      <c r="C40" s="38"/>
      <c r="D40" s="38"/>
      <c r="E40" s="77"/>
      <c r="F40" s="78"/>
      <c r="G40" s="42"/>
      <c r="H40" s="43"/>
      <c r="I40" s="39"/>
      <c r="J40" s="38"/>
      <c r="K40" s="77"/>
      <c r="L40" s="77"/>
      <c r="M40" s="90"/>
      <c r="Q40" s="1" t="s">
        <v>33</v>
      </c>
      <c r="R40" s="1">
        <f>SUM(R6:R21)</f>
        <v>3</v>
      </c>
    </row>
    <row r="41" spans="2:18" ht="16.5" customHeight="1" x14ac:dyDescent="0.25">
      <c r="B41" s="38"/>
      <c r="C41" s="38"/>
      <c r="D41" s="38"/>
      <c r="E41" s="82"/>
      <c r="F41" s="51"/>
      <c r="G41" s="51"/>
      <c r="H41" s="39"/>
      <c r="I41" s="39"/>
      <c r="J41" s="38"/>
      <c r="K41" s="75"/>
      <c r="L41" s="75"/>
      <c r="M41" s="90"/>
    </row>
    <row r="42" spans="2:18" ht="13.5" x14ac:dyDescent="0.25">
      <c r="B42" s="38"/>
      <c r="C42" s="38"/>
      <c r="D42" s="38"/>
      <c r="E42" s="35"/>
      <c r="F42" s="52"/>
      <c r="G42" s="52"/>
      <c r="H42" s="53"/>
      <c r="I42" s="53"/>
      <c r="J42" s="38"/>
      <c r="K42" s="33"/>
      <c r="L42" s="33"/>
      <c r="M42" s="33"/>
    </row>
    <row r="43" spans="2:18" ht="13.5" x14ac:dyDescent="0.25">
      <c r="B43" s="38"/>
      <c r="C43" s="38"/>
      <c r="D43" s="38"/>
      <c r="E43" s="35"/>
      <c r="F43" s="35"/>
      <c r="G43" s="35"/>
      <c r="H43" s="37"/>
      <c r="I43" s="37"/>
      <c r="J43" s="38"/>
      <c r="K43" s="33"/>
      <c r="L43" s="33"/>
      <c r="M43" s="33"/>
    </row>
    <row r="44" spans="2:18" ht="13.5" x14ac:dyDescent="0.25">
      <c r="B44" s="38"/>
      <c r="C44" s="38"/>
      <c r="D44" s="38"/>
      <c r="E44" s="35"/>
      <c r="F44" s="35"/>
      <c r="G44" s="35"/>
      <c r="H44" s="37"/>
      <c r="I44" s="37"/>
      <c r="J44" s="38"/>
      <c r="K44" s="33"/>
      <c r="L44" s="33"/>
      <c r="M44" s="33"/>
    </row>
    <row r="45" spans="2:18" ht="13.5" x14ac:dyDescent="0.25">
      <c r="B45" s="38"/>
      <c r="C45" s="38"/>
      <c r="D45" s="38"/>
      <c r="E45" s="35"/>
      <c r="F45" s="35"/>
      <c r="G45" s="35"/>
      <c r="H45" s="37"/>
      <c r="I45" s="37"/>
      <c r="J45" s="38"/>
      <c r="K45" s="33"/>
      <c r="L45" s="33"/>
      <c r="M45" s="33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  <x14:dataValidation type="list" allowBlank="1" showInputMessage="1" showErrorMessage="1" xr:uid="{9451563B-D5AF-4395-8014-6EC1B2324706}">
          <x14:formula1>
            <xm:f>resumo_cx!$P$2:$P$18</xm:f>
          </x14:formula1>
          <xm:sqref>L15:L31</xm:sqref>
        </x14:dataValidation>
        <x14:dataValidation type="list" allowBlank="1" showInputMessage="1" showErrorMessage="1" xr:uid="{A9C16D5F-70F6-4C56-B4D5-464E424C8DCF}">
          <x14:formula1>
            <xm:f>base_OS!$A$2:$A$15000</xm:f>
          </x14:formula1>
          <xm:sqref>E6:E22 E26:E31 E35:E41 K35:K41 K15:K31</xm:sqref>
        </x14:dataValidation>
        <x14:dataValidation type="list" allowBlank="1" showInputMessage="1" showErrorMessage="1" xr:uid="{BC348BBC-F96F-469C-BB6E-1E38A0DB31CA}">
          <x14:formula1>
            <xm:f>base!$A$2:$A$5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base!$A$2:$A$8</xm:f>
          </x14:formula1>
          <xm:sqref>G6:G22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U45"/>
  <sheetViews>
    <sheetView showGridLines="0" zoomScale="90" zoomScaleNormal="90" workbookViewId="0">
      <selection activeCell="G19" sqref="G19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1" ht="28.5" x14ac:dyDescent="0.45">
      <c r="B1" s="98">
        <f>'06'!B1+1</f>
        <v>45815</v>
      </c>
      <c r="C1" s="98"/>
      <c r="L1" s="99" t="s">
        <v>143</v>
      </c>
      <c r="M1" s="99"/>
    </row>
    <row r="2" spans="2:21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21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1" ht="16.5" x14ac:dyDescent="0.3">
      <c r="B4" s="25" t="s">
        <v>0</v>
      </c>
      <c r="C4" s="26">
        <v>0</v>
      </c>
      <c r="D4" s="58"/>
      <c r="E4" s="108" t="s">
        <v>136</v>
      </c>
      <c r="F4" s="108"/>
      <c r="G4" s="108"/>
      <c r="H4" s="108"/>
      <c r="I4" s="108"/>
      <c r="J4" s="30"/>
      <c r="K4" s="102" t="s">
        <v>137</v>
      </c>
      <c r="L4" s="103"/>
      <c r="M4" s="104"/>
      <c r="U4" s="1">
        <v>0</v>
      </c>
    </row>
    <row r="5" spans="2:21" ht="16.5" x14ac:dyDescent="0.3">
      <c r="B5" s="28" t="s">
        <v>1</v>
      </c>
      <c r="C5" s="29">
        <f>SUMIF(I6:I31,"&gt;0",H6:H31)</f>
        <v>3565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21" ht="16.5" x14ac:dyDescent="0.3">
      <c r="B6" s="28" t="s">
        <v>2</v>
      </c>
      <c r="C6" s="29">
        <f>C16</f>
        <v>2468.5</v>
      </c>
      <c r="D6" s="30"/>
      <c r="E6" s="75">
        <v>11160</v>
      </c>
      <c r="F6" s="48" t="s">
        <v>192</v>
      </c>
      <c r="G6" s="48" t="s">
        <v>36</v>
      </c>
      <c r="H6" s="49">
        <v>0</v>
      </c>
      <c r="I6" s="49">
        <v>0</v>
      </c>
      <c r="J6" s="30"/>
      <c r="K6" s="76" t="s">
        <v>161</v>
      </c>
      <c r="L6" s="89" t="s">
        <v>10</v>
      </c>
      <c r="M6" s="44">
        <v>2.61</v>
      </c>
      <c r="R6" s="1">
        <f>IF(vend7[[#This Row],[Nº Venda]]&gt;1,1,0)</f>
        <v>1</v>
      </c>
    </row>
    <row r="7" spans="2:21" ht="16.5" x14ac:dyDescent="0.3">
      <c r="B7" s="28" t="s">
        <v>3</v>
      </c>
      <c r="C7" s="29">
        <f>SUM(M6:M11)</f>
        <v>375.59</v>
      </c>
      <c r="D7" s="30"/>
      <c r="E7" s="75">
        <v>11161</v>
      </c>
      <c r="F7" s="50" t="s">
        <v>194</v>
      </c>
      <c r="G7" s="50" t="s">
        <v>8</v>
      </c>
      <c r="H7" s="39">
        <v>1800</v>
      </c>
      <c r="I7" s="39">
        <v>250</v>
      </c>
      <c r="J7" s="30"/>
      <c r="K7" s="76" t="s">
        <v>193</v>
      </c>
      <c r="L7" s="89" t="s">
        <v>6</v>
      </c>
      <c r="M7" s="44">
        <v>32.979999999999997</v>
      </c>
      <c r="R7" s="1">
        <f>IF(vend7[[#This Row],[Nº Venda]]&gt;1,1,0)</f>
        <v>1</v>
      </c>
    </row>
    <row r="8" spans="2:21" ht="16.5" x14ac:dyDescent="0.3">
      <c r="B8" s="31" t="s">
        <v>21</v>
      </c>
      <c r="C8" s="32">
        <f>SUM(C6:C7)</f>
        <v>2844.09</v>
      </c>
      <c r="D8" s="30"/>
      <c r="E8" s="75">
        <v>11162</v>
      </c>
      <c r="F8" s="76" t="s">
        <v>194</v>
      </c>
      <c r="G8" s="51" t="s">
        <v>46</v>
      </c>
      <c r="H8" s="39">
        <v>0</v>
      </c>
      <c r="I8" s="39">
        <v>0</v>
      </c>
      <c r="J8" s="30"/>
      <c r="K8" s="76" t="s">
        <v>335</v>
      </c>
      <c r="L8" s="89" t="s">
        <v>6</v>
      </c>
      <c r="M8" s="44">
        <v>340</v>
      </c>
      <c r="R8" s="1">
        <f>IF(vend7[[#This Row],[Nº Venda]]&gt;1,1,0)</f>
        <v>1</v>
      </c>
    </row>
    <row r="9" spans="2:21" ht="16.5" x14ac:dyDescent="0.3">
      <c r="B9" s="27"/>
      <c r="C9" s="27"/>
      <c r="D9" s="30"/>
      <c r="E9" s="75">
        <v>11163</v>
      </c>
      <c r="F9" s="76" t="s">
        <v>194</v>
      </c>
      <c r="G9" s="51" t="s">
        <v>8</v>
      </c>
      <c r="H9" s="39">
        <v>1700</v>
      </c>
      <c r="I9" s="39">
        <v>250</v>
      </c>
      <c r="J9" s="30"/>
      <c r="K9" s="76"/>
      <c r="L9" s="89"/>
      <c r="M9" s="44"/>
      <c r="R9" s="1">
        <f>IF(vend7[[#This Row],[Nº Venda]]&gt;1,1,0)</f>
        <v>1</v>
      </c>
    </row>
    <row r="10" spans="2:21" ht="16.5" x14ac:dyDescent="0.3">
      <c r="B10" s="109" t="s">
        <v>5</v>
      </c>
      <c r="C10" s="110"/>
      <c r="D10" s="30"/>
      <c r="E10" s="75">
        <v>11164</v>
      </c>
      <c r="F10" s="76" t="s">
        <v>194</v>
      </c>
      <c r="G10" s="51" t="s">
        <v>46</v>
      </c>
      <c r="H10" s="39">
        <v>0</v>
      </c>
      <c r="I10" s="39">
        <v>0</v>
      </c>
      <c r="J10" s="30"/>
      <c r="K10" s="76"/>
      <c r="L10" s="89"/>
      <c r="M10" s="44"/>
      <c r="R10" s="1">
        <f>IF(vend7[[#This Row],[Nº Venda]]&gt;1,1,0)</f>
        <v>1</v>
      </c>
    </row>
    <row r="11" spans="2:21" ht="16.5" x14ac:dyDescent="0.3">
      <c r="B11" s="28" t="s">
        <v>6</v>
      </c>
      <c r="C11" s="69">
        <f>(SUMIF($G$2:$G$31,B11,$I$2:$I$31))+(SUMIF($G$35:$G$41,B11,$H$35:$H$41))</f>
        <v>340</v>
      </c>
      <c r="D11" s="30"/>
      <c r="E11" s="75">
        <v>11165</v>
      </c>
      <c r="F11" s="76" t="s">
        <v>195</v>
      </c>
      <c r="G11" s="51" t="s">
        <v>7</v>
      </c>
      <c r="H11" s="39">
        <v>15</v>
      </c>
      <c r="I11" s="39">
        <v>15</v>
      </c>
      <c r="J11" s="30"/>
      <c r="K11" s="38"/>
      <c r="L11" s="89"/>
      <c r="M11" s="44"/>
      <c r="O11" s="1">
        <f>IF(C16=0,0,1)</f>
        <v>1</v>
      </c>
      <c r="R11" s="1">
        <f>IF(vend7[[#This Row],[Nº Venda]]&gt;1,1,0)</f>
        <v>1</v>
      </c>
    </row>
    <row r="12" spans="2:21" ht="16.5" x14ac:dyDescent="0.3">
      <c r="B12" s="28" t="s">
        <v>7</v>
      </c>
      <c r="C12" s="69">
        <f t="shared" ref="C12:C15" si="0">(SUMIF($G$2:$G$31,B12,$I$2:$I$31))+(SUMIF($G$35:$G$41,B12,$H$35:$H$41))</f>
        <v>378.75</v>
      </c>
      <c r="D12" s="30"/>
      <c r="E12" s="75">
        <v>11166</v>
      </c>
      <c r="F12" s="76" t="s">
        <v>211</v>
      </c>
      <c r="G12" s="51" t="s">
        <v>6</v>
      </c>
      <c r="H12" s="39">
        <v>50</v>
      </c>
      <c r="I12" s="39">
        <v>50</v>
      </c>
      <c r="J12" s="30"/>
      <c r="K12" s="33"/>
      <c r="L12" s="33"/>
      <c r="M12" s="33"/>
      <c r="R12" s="1">
        <f>IF(vend7[[#This Row],[Nº Venda]]&gt;1,1,0)</f>
        <v>1</v>
      </c>
    </row>
    <row r="13" spans="2:21" ht="16.5" x14ac:dyDescent="0.3">
      <c r="B13" s="28" t="s">
        <v>8</v>
      </c>
      <c r="C13" s="69">
        <f t="shared" si="0"/>
        <v>1599.75</v>
      </c>
      <c r="D13" s="30"/>
      <c r="E13" s="75"/>
      <c r="F13" s="76"/>
      <c r="G13" s="51"/>
      <c r="H13" s="39"/>
      <c r="I13" s="39"/>
      <c r="J13" s="30"/>
      <c r="K13" s="102" t="s">
        <v>141</v>
      </c>
      <c r="L13" s="103"/>
      <c r="M13" s="104"/>
      <c r="R13" s="1">
        <f>IF(vend7[[#This Row],[Nº Venda]]&gt;1,1,0)</f>
        <v>0</v>
      </c>
    </row>
    <row r="14" spans="2:21" ht="16.5" x14ac:dyDescent="0.3">
      <c r="B14" s="28" t="s">
        <v>9</v>
      </c>
      <c r="C14" s="69">
        <f t="shared" si="0"/>
        <v>0</v>
      </c>
      <c r="D14" s="30"/>
      <c r="E14" s="75"/>
      <c r="F14" s="76"/>
      <c r="G14" s="51"/>
      <c r="H14" s="39"/>
      <c r="I14" s="39"/>
      <c r="J14" s="30"/>
      <c r="K14" s="22" t="s">
        <v>22</v>
      </c>
      <c r="L14" s="23" t="s">
        <v>23</v>
      </c>
      <c r="M14" s="24" t="s">
        <v>24</v>
      </c>
      <c r="R14" s="1">
        <f>IF(vend7[[#This Row],[Nº Venda]]&gt;1,1,0)</f>
        <v>0</v>
      </c>
    </row>
    <row r="15" spans="2:21" ht="16.5" x14ac:dyDescent="0.3">
      <c r="B15" s="28" t="s">
        <v>10</v>
      </c>
      <c r="C15" s="69">
        <f t="shared" si="0"/>
        <v>150</v>
      </c>
      <c r="D15" s="30"/>
      <c r="E15" s="75"/>
      <c r="F15" s="76"/>
      <c r="G15" s="51"/>
      <c r="H15" s="39"/>
      <c r="I15" s="39"/>
      <c r="J15" s="30"/>
      <c r="K15" s="75">
        <v>10899</v>
      </c>
      <c r="L15" s="89" t="s">
        <v>128</v>
      </c>
      <c r="M15" s="54" t="s">
        <v>146</v>
      </c>
      <c r="R15" s="1">
        <f>IF(vend7[[#This Row],[Nº Venda]]&gt;1,1,0)</f>
        <v>0</v>
      </c>
    </row>
    <row r="16" spans="2:21" ht="16.5" x14ac:dyDescent="0.3">
      <c r="B16" s="31" t="s">
        <v>11</v>
      </c>
      <c r="C16" s="70">
        <f>SUM(C11:C15)</f>
        <v>2468.5</v>
      </c>
      <c r="D16" s="30"/>
      <c r="E16" s="75"/>
      <c r="F16" s="76"/>
      <c r="G16" s="51"/>
      <c r="H16" s="39"/>
      <c r="I16" s="39"/>
      <c r="J16" s="30"/>
      <c r="K16" s="75">
        <v>10944</v>
      </c>
      <c r="L16" s="89" t="s">
        <v>128</v>
      </c>
      <c r="M16" s="44" t="s">
        <v>146</v>
      </c>
      <c r="R16" s="1">
        <f>IF(vend7[[#This Row],[Nº Venda]]&gt;1,1,0)</f>
        <v>0</v>
      </c>
    </row>
    <row r="17" spans="2:18" ht="16.5" x14ac:dyDescent="0.3">
      <c r="B17" s="27"/>
      <c r="C17" s="27"/>
      <c r="D17" s="30"/>
      <c r="E17" s="75"/>
      <c r="F17" s="76"/>
      <c r="G17" s="51"/>
      <c r="H17" s="39"/>
      <c r="I17" s="39"/>
      <c r="J17" s="30"/>
      <c r="K17" s="75">
        <v>11054</v>
      </c>
      <c r="L17" s="89" t="s">
        <v>134</v>
      </c>
      <c r="M17" s="44" t="s">
        <v>146</v>
      </c>
      <c r="R17" s="1">
        <f>IF(vend7[[#This Row],[Nº Venda]]&gt;1,1,0)</f>
        <v>0</v>
      </c>
    </row>
    <row r="18" spans="2:18" ht="16.5" x14ac:dyDescent="0.3">
      <c r="B18" s="109" t="s">
        <v>12</v>
      </c>
      <c r="C18" s="110"/>
      <c r="D18" s="30"/>
      <c r="E18" s="75"/>
      <c r="F18" s="76"/>
      <c r="G18" s="51"/>
      <c r="H18" s="39"/>
      <c r="I18" s="39"/>
      <c r="J18" s="30"/>
      <c r="K18" s="75">
        <v>11077</v>
      </c>
      <c r="L18" s="89" t="s">
        <v>128</v>
      </c>
      <c r="M18" s="44" t="s">
        <v>146</v>
      </c>
      <c r="R18" s="1">
        <f>IF(vend7[[#This Row],[Nº Venda]]&gt;1,1,0)</f>
        <v>0</v>
      </c>
    </row>
    <row r="19" spans="2:18" ht="16.5" x14ac:dyDescent="0.3">
      <c r="B19" s="28">
        <f>COUNT(entr_carn7[OS])</f>
        <v>1</v>
      </c>
      <c r="C19" s="69">
        <f>SUM(entr_carn7[Valor Total])</f>
        <v>595</v>
      </c>
      <c r="D19" s="30"/>
      <c r="E19" s="75"/>
      <c r="F19" s="76"/>
      <c r="G19" s="51"/>
      <c r="H19" s="39"/>
      <c r="I19" s="39"/>
      <c r="J19" s="30"/>
      <c r="K19" s="75">
        <v>11114</v>
      </c>
      <c r="L19" s="89" t="s">
        <v>128</v>
      </c>
      <c r="M19" s="44" t="s">
        <v>146</v>
      </c>
      <c r="R19" s="1">
        <f>IF(vend7[[#This Row],[Nº Venda]]&gt;1,1,0)</f>
        <v>0</v>
      </c>
    </row>
    <row r="20" spans="2:18" ht="16.5" x14ac:dyDescent="0.3">
      <c r="B20" s="31" t="s">
        <v>11</v>
      </c>
      <c r="C20" s="70">
        <f>SUM(C19:C19)</f>
        <v>595</v>
      </c>
      <c r="D20" s="30"/>
      <c r="E20" s="75"/>
      <c r="F20" s="51"/>
      <c r="G20" s="51"/>
      <c r="H20" s="39"/>
      <c r="I20" s="39"/>
      <c r="J20" s="30"/>
      <c r="K20" s="75">
        <v>11119</v>
      </c>
      <c r="L20" s="89" t="s">
        <v>130</v>
      </c>
      <c r="M20" s="44" t="s">
        <v>162</v>
      </c>
      <c r="R20" s="1">
        <f>IF(vend7[[#This Row],[Nº Venda]]&gt;1,1,0)</f>
        <v>0</v>
      </c>
    </row>
    <row r="21" spans="2:18" ht="16.5" x14ac:dyDescent="0.3">
      <c r="B21" s="27"/>
      <c r="C21" s="27"/>
      <c r="D21" s="30"/>
      <c r="E21" s="75"/>
      <c r="F21" s="76"/>
      <c r="G21" s="51"/>
      <c r="H21" s="39"/>
      <c r="I21" s="39"/>
      <c r="J21" s="30"/>
      <c r="K21" s="75">
        <v>11120</v>
      </c>
      <c r="L21" s="89" t="s">
        <v>128</v>
      </c>
      <c r="M21" s="44" t="s">
        <v>146</v>
      </c>
    </row>
    <row r="22" spans="2:18" ht="16.5" x14ac:dyDescent="0.3">
      <c r="B22" s="31" t="s">
        <v>25</v>
      </c>
      <c r="C22" s="34">
        <f>C5</f>
        <v>3565</v>
      </c>
      <c r="D22" s="30"/>
      <c r="E22" s="77"/>
      <c r="F22" s="76"/>
      <c r="G22" s="51"/>
      <c r="H22" s="39"/>
      <c r="I22" s="39"/>
      <c r="J22" s="30"/>
      <c r="K22" s="75">
        <v>11138</v>
      </c>
      <c r="L22" s="89" t="s">
        <v>128</v>
      </c>
      <c r="M22" s="44" t="s">
        <v>146</v>
      </c>
    </row>
    <row r="23" spans="2:18" ht="16.5" x14ac:dyDescent="0.3">
      <c r="B23" s="30"/>
      <c r="C23" s="30"/>
      <c r="D23" s="30"/>
      <c r="E23" s="35"/>
      <c r="F23" s="35"/>
      <c r="G23" s="35"/>
      <c r="H23" s="36"/>
      <c r="I23" s="37"/>
      <c r="J23" s="30"/>
      <c r="K23" s="75">
        <v>11165</v>
      </c>
      <c r="L23" s="89" t="s">
        <v>130</v>
      </c>
      <c r="M23" s="44" t="s">
        <v>146</v>
      </c>
    </row>
    <row r="24" spans="2:18" ht="16.5" x14ac:dyDescent="0.3">
      <c r="B24" s="30"/>
      <c r="C24" s="30"/>
      <c r="D24" s="30"/>
      <c r="E24" s="100" t="s">
        <v>138</v>
      </c>
      <c r="F24" s="101"/>
      <c r="G24" s="101"/>
      <c r="H24" s="101"/>
      <c r="I24" s="101"/>
      <c r="J24" s="30"/>
      <c r="K24" s="75"/>
      <c r="L24" s="89"/>
      <c r="M24" s="44"/>
    </row>
    <row r="25" spans="2:18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5"/>
      <c r="L25" s="89"/>
      <c r="M25" s="44"/>
    </row>
    <row r="26" spans="2:18" ht="16.5" x14ac:dyDescent="0.3">
      <c r="B26" s="30"/>
      <c r="C26" s="30"/>
      <c r="D26" s="30"/>
      <c r="E26" s="75">
        <v>11054</v>
      </c>
      <c r="F26" s="79" t="s">
        <v>212</v>
      </c>
      <c r="G26" s="79" t="s">
        <v>8</v>
      </c>
      <c r="H26" s="49"/>
      <c r="I26" s="49">
        <v>730</v>
      </c>
      <c r="J26" s="30"/>
      <c r="K26" s="75"/>
      <c r="L26" s="89"/>
      <c r="M26" s="44"/>
    </row>
    <row r="27" spans="2:18" ht="16.5" x14ac:dyDescent="0.3">
      <c r="B27" s="30"/>
      <c r="C27" s="30"/>
      <c r="D27" s="30"/>
      <c r="E27" s="75">
        <v>11075</v>
      </c>
      <c r="F27" s="76" t="s">
        <v>213</v>
      </c>
      <c r="G27" s="51" t="s">
        <v>6</v>
      </c>
      <c r="H27" s="39"/>
      <c r="I27" s="39">
        <v>90</v>
      </c>
      <c r="J27" s="30"/>
      <c r="K27" s="75"/>
      <c r="L27" s="89"/>
      <c r="M27" s="44"/>
    </row>
    <row r="28" spans="2:18" ht="16.5" x14ac:dyDescent="0.3">
      <c r="B28" s="30"/>
      <c r="C28" s="30"/>
      <c r="D28" s="30"/>
      <c r="E28" s="75">
        <v>11114</v>
      </c>
      <c r="F28" s="76" t="s">
        <v>198</v>
      </c>
      <c r="G28" s="51" t="s">
        <v>8</v>
      </c>
      <c r="H28" s="39"/>
      <c r="I28" s="39">
        <v>200</v>
      </c>
      <c r="J28" s="30"/>
      <c r="K28" s="75"/>
      <c r="L28" s="89"/>
      <c r="M28" s="44"/>
    </row>
    <row r="29" spans="2:18" ht="16.5" x14ac:dyDescent="0.3">
      <c r="B29" s="30"/>
      <c r="C29" s="30"/>
      <c r="D29" s="30"/>
      <c r="E29" s="75">
        <v>11119</v>
      </c>
      <c r="F29" s="76" t="s">
        <v>195</v>
      </c>
      <c r="G29" s="51" t="s">
        <v>7</v>
      </c>
      <c r="H29" s="39"/>
      <c r="I29" s="39">
        <v>220</v>
      </c>
      <c r="J29" s="30"/>
      <c r="K29" s="75"/>
      <c r="L29" s="89"/>
      <c r="M29" s="44"/>
    </row>
    <row r="30" spans="2:18" ht="16.5" x14ac:dyDescent="0.3">
      <c r="B30" s="30"/>
      <c r="C30" s="30"/>
      <c r="D30" s="30"/>
      <c r="E30" s="75">
        <v>11138</v>
      </c>
      <c r="F30" s="76" t="s">
        <v>151</v>
      </c>
      <c r="G30" s="50" t="s">
        <v>6</v>
      </c>
      <c r="H30" s="39"/>
      <c r="I30" s="39">
        <v>200</v>
      </c>
      <c r="J30" s="30"/>
      <c r="K30" s="75"/>
      <c r="L30" s="89"/>
      <c r="M30" s="44"/>
    </row>
    <row r="31" spans="2:18" ht="16.5" x14ac:dyDescent="0.3">
      <c r="B31" s="30"/>
      <c r="C31" s="30"/>
      <c r="D31" s="30"/>
      <c r="E31" s="77">
        <v>11150</v>
      </c>
      <c r="F31" s="78" t="s">
        <v>199</v>
      </c>
      <c r="G31" s="42" t="s">
        <v>8</v>
      </c>
      <c r="H31" s="43"/>
      <c r="I31" s="43">
        <v>100</v>
      </c>
      <c r="J31" s="30"/>
      <c r="K31" s="75"/>
      <c r="L31" s="89"/>
      <c r="M31" s="44"/>
    </row>
    <row r="32" spans="2:18" ht="16.5" x14ac:dyDescent="0.3">
      <c r="B32" s="30"/>
      <c r="C32" s="30"/>
      <c r="D32" s="38"/>
      <c r="E32" s="35"/>
      <c r="F32" s="35"/>
      <c r="G32" s="35"/>
      <c r="H32" s="37"/>
      <c r="I32" s="37"/>
      <c r="J32" s="38"/>
      <c r="K32" s="33"/>
      <c r="L32" s="33"/>
      <c r="M32" s="33"/>
    </row>
    <row r="33" spans="2:18" ht="16.5" x14ac:dyDescent="0.3">
      <c r="B33" s="30"/>
      <c r="C33" s="30"/>
      <c r="D33" s="38"/>
      <c r="E33" s="100" t="s">
        <v>139</v>
      </c>
      <c r="F33" s="101"/>
      <c r="G33" s="101"/>
      <c r="H33" s="101"/>
      <c r="I33" s="101"/>
      <c r="J33" s="38"/>
      <c r="K33" s="102" t="s">
        <v>140</v>
      </c>
      <c r="L33" s="103"/>
      <c r="M33" s="104"/>
    </row>
    <row r="34" spans="2:18" ht="16.5" x14ac:dyDescent="0.3">
      <c r="B34" s="38"/>
      <c r="C34" s="38"/>
      <c r="D34" s="38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82">
        <v>9936</v>
      </c>
      <c r="F35" s="76" t="s">
        <v>196</v>
      </c>
      <c r="G35" s="51" t="s">
        <v>8</v>
      </c>
      <c r="H35" s="39">
        <v>69.75</v>
      </c>
      <c r="I35" s="39" t="s">
        <v>39</v>
      </c>
      <c r="J35" s="38"/>
      <c r="K35" s="75">
        <v>11119</v>
      </c>
      <c r="L35" s="75">
        <v>7</v>
      </c>
      <c r="M35" s="89">
        <v>595</v>
      </c>
    </row>
    <row r="36" spans="2:18" ht="16.5" customHeight="1" x14ac:dyDescent="0.25">
      <c r="B36" s="38"/>
      <c r="C36" s="38"/>
      <c r="D36" s="38"/>
      <c r="E36" s="77">
        <v>10012</v>
      </c>
      <c r="F36" s="76" t="s">
        <v>197</v>
      </c>
      <c r="G36" s="51" t="s">
        <v>7</v>
      </c>
      <c r="H36" s="39">
        <v>143.75</v>
      </c>
      <c r="I36" s="39" t="s">
        <v>39</v>
      </c>
      <c r="J36" s="38"/>
      <c r="K36" s="75"/>
      <c r="L36" s="75"/>
      <c r="M36" s="89"/>
    </row>
    <row r="37" spans="2:18" ht="16.5" customHeight="1" x14ac:dyDescent="0.25">
      <c r="B37" s="38"/>
      <c r="C37" s="38"/>
      <c r="D37" s="38"/>
      <c r="E37" s="75">
        <v>10192</v>
      </c>
      <c r="F37" s="76" t="s">
        <v>191</v>
      </c>
      <c r="G37" s="51" t="s">
        <v>10</v>
      </c>
      <c r="H37" s="39">
        <v>150</v>
      </c>
      <c r="I37" s="39" t="s">
        <v>41</v>
      </c>
      <c r="J37" s="38"/>
      <c r="K37" s="75"/>
      <c r="L37" s="75"/>
      <c r="M37" s="89"/>
    </row>
    <row r="38" spans="2:18" ht="16.5" customHeight="1" x14ac:dyDescent="0.25">
      <c r="B38" s="38"/>
      <c r="C38" s="38"/>
      <c r="D38" s="38"/>
      <c r="E38" s="75"/>
      <c r="F38" s="76"/>
      <c r="G38" s="51"/>
      <c r="H38" s="39"/>
      <c r="I38" s="39"/>
      <c r="J38" s="38"/>
      <c r="K38" s="75"/>
      <c r="L38" s="75"/>
      <c r="M38" s="89"/>
    </row>
    <row r="39" spans="2:18" ht="16.5" customHeight="1" x14ac:dyDescent="0.25">
      <c r="B39" s="38"/>
      <c r="C39" s="38"/>
      <c r="D39" s="38"/>
      <c r="E39" s="75"/>
      <c r="F39" s="51"/>
      <c r="G39" s="51"/>
      <c r="H39" s="39"/>
      <c r="I39" s="39"/>
      <c r="J39" s="38"/>
      <c r="K39" s="75"/>
      <c r="L39" s="75"/>
      <c r="M39" s="89"/>
    </row>
    <row r="40" spans="2:18" ht="16.5" customHeight="1" x14ac:dyDescent="0.25">
      <c r="B40" s="38"/>
      <c r="C40" s="38"/>
      <c r="D40" s="38"/>
      <c r="E40" s="77"/>
      <c r="F40" s="78"/>
      <c r="G40" s="42"/>
      <c r="H40" s="43"/>
      <c r="I40" s="39"/>
      <c r="J40" s="38"/>
      <c r="K40" s="77"/>
      <c r="L40" s="77"/>
      <c r="M40" s="90"/>
      <c r="Q40" s="1" t="s">
        <v>33</v>
      </c>
      <c r="R40" s="1">
        <f>SUM(R6:R21)</f>
        <v>7</v>
      </c>
    </row>
    <row r="41" spans="2:18" ht="16.5" customHeight="1" x14ac:dyDescent="0.25">
      <c r="B41" s="38"/>
      <c r="C41" s="38"/>
      <c r="D41" s="38"/>
      <c r="E41" s="80"/>
      <c r="F41" s="51"/>
      <c r="G41" s="51"/>
      <c r="H41" s="39"/>
      <c r="I41" s="39"/>
      <c r="J41" s="38"/>
      <c r="K41" s="75"/>
      <c r="L41" s="75"/>
      <c r="M41" s="90"/>
    </row>
    <row r="42" spans="2:18" ht="13.5" x14ac:dyDescent="0.25">
      <c r="B42" s="38"/>
      <c r="C42" s="38"/>
      <c r="D42" s="38"/>
      <c r="E42" s="35"/>
      <c r="F42" s="35"/>
      <c r="G42" s="35"/>
      <c r="H42" s="37"/>
      <c r="I42" s="37"/>
      <c r="J42" s="38"/>
      <c r="K42" s="33"/>
      <c r="L42" s="33"/>
      <c r="M42" s="33"/>
    </row>
    <row r="43" spans="2:18" ht="13.5" x14ac:dyDescent="0.25">
      <c r="B43" s="38"/>
      <c r="C43" s="38"/>
      <c r="D43" s="38"/>
      <c r="E43" s="35"/>
      <c r="F43" s="35"/>
      <c r="G43" s="35"/>
      <c r="H43" s="37"/>
      <c r="I43" s="37"/>
      <c r="J43" s="38"/>
      <c r="K43" s="33"/>
      <c r="L43" s="33"/>
      <c r="M43" s="33"/>
    </row>
    <row r="44" spans="2:18" ht="13.5" x14ac:dyDescent="0.25">
      <c r="B44" s="38"/>
      <c r="C44" s="38"/>
      <c r="D44" s="38"/>
      <c r="E44" s="35"/>
      <c r="F44" s="35"/>
      <c r="G44" s="35"/>
      <c r="H44" s="37"/>
      <c r="I44" s="37"/>
      <c r="J44" s="38"/>
      <c r="K44" s="33"/>
      <c r="L44" s="33"/>
      <c r="M44" s="33"/>
    </row>
    <row r="45" spans="2:18" ht="13.5" x14ac:dyDescent="0.25">
      <c r="B45" s="38"/>
      <c r="C45" s="38"/>
      <c r="D45" s="38"/>
      <c r="E45" s="35"/>
      <c r="F45" s="35"/>
      <c r="G45" s="35"/>
      <c r="H45" s="37"/>
      <c r="I45" s="37"/>
      <c r="J45" s="38"/>
      <c r="K45" s="33"/>
      <c r="L45" s="33"/>
      <c r="M45" s="33"/>
    </row>
  </sheetData>
  <mergeCells count="11">
    <mergeCell ref="B1:C1"/>
    <mergeCell ref="L1:M1"/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  <x14:dataValidation type="list" allowBlank="1" showInputMessage="1" showErrorMessage="1" xr:uid="{2FAD2AB6-F08E-4D36-B9BF-067B2153EACE}">
          <x14:formula1>
            <xm:f>resumo_cx!$P$2:$P$18</xm:f>
          </x14:formula1>
          <xm:sqref>L15:L31</xm:sqref>
        </x14:dataValidation>
        <x14:dataValidation type="list" allowBlank="1" showInputMessage="1" showErrorMessage="1" xr:uid="{76E29C28-BF09-4F67-83DA-606F14EE4C89}">
          <x14:formula1>
            <xm:f>base_OS!$A$2:$A$15000</xm:f>
          </x14:formula1>
          <xm:sqref>E6:E22 E26:E31 E35:E41 K35:K41 K15:K31</xm:sqref>
        </x14:dataValidation>
        <x14:dataValidation type="list" allowBlank="1" showInputMessage="1" showErrorMessage="1" xr:uid="{00000000-0002-0000-0300-000000000000}">
          <x14:formula1>
            <xm:f>base!$A$2:$A$8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base!$A$2:$A$5</xm:f>
          </x14:formula1>
          <xm:sqref>G26:G31 G35:G41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5"/>
  <sheetViews>
    <sheetView showGridLines="0" topLeftCell="A20" zoomScale="90" zoomScaleNormal="90" workbookViewId="0">
      <selection activeCell="L1" sqref="L1:M1"/>
    </sheetView>
  </sheetViews>
  <sheetFormatPr defaultColWidth="9.140625" defaultRowHeight="12.75" x14ac:dyDescent="0.2"/>
  <cols>
    <col min="1" max="1" width="3.7109375" style="1" customWidth="1"/>
    <col min="2" max="2" width="29.8554687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'07'!B1+1</f>
        <v>45816</v>
      </c>
      <c r="C1" s="98"/>
      <c r="L1" s="99" t="s">
        <v>143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5" t="s">
        <v>0</v>
      </c>
      <c r="C4" s="26">
        <v>0</v>
      </c>
      <c r="D4" s="58"/>
      <c r="E4" s="108" t="s">
        <v>136</v>
      </c>
      <c r="F4" s="108"/>
      <c r="G4" s="108"/>
      <c r="H4" s="108"/>
      <c r="I4" s="108"/>
      <c r="J4" s="30"/>
      <c r="K4" s="102" t="s">
        <v>137</v>
      </c>
      <c r="L4" s="103"/>
      <c r="M4" s="104"/>
    </row>
    <row r="5" spans="2:18" ht="16.5" x14ac:dyDescent="0.3">
      <c r="B5" s="28" t="s">
        <v>1</v>
      </c>
      <c r="C5" s="29">
        <f>SUMIF(I6:I31,"&gt;0",H6:H31)</f>
        <v>0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18" ht="16.5" x14ac:dyDescent="0.3">
      <c r="B6" s="28" t="s">
        <v>2</v>
      </c>
      <c r="C6" s="29">
        <f>C16</f>
        <v>0</v>
      </c>
      <c r="D6" s="30"/>
      <c r="E6" s="75"/>
      <c r="F6" s="39"/>
      <c r="G6" s="39"/>
      <c r="H6" s="39"/>
      <c r="I6" s="39"/>
      <c r="J6" s="30"/>
      <c r="K6" s="76"/>
      <c r="L6" s="89"/>
      <c r="M6" s="44"/>
      <c r="R6" s="1">
        <f>IF(vend8[[#This Row],[Nº Venda]]&gt;1,1,0)</f>
        <v>0</v>
      </c>
    </row>
    <row r="7" spans="2:18" ht="16.5" x14ac:dyDescent="0.3">
      <c r="B7" s="28" t="s">
        <v>3</v>
      </c>
      <c r="C7" s="29">
        <f>SUM(M6:M11)</f>
        <v>0</v>
      </c>
      <c r="D7" s="30"/>
      <c r="E7" s="75"/>
      <c r="F7" s="39"/>
      <c r="G7" s="39"/>
      <c r="H7" s="39"/>
      <c r="I7" s="39"/>
      <c r="J7" s="30"/>
      <c r="K7" s="76"/>
      <c r="L7" s="89"/>
      <c r="M7" s="44"/>
      <c r="R7" s="1">
        <f>IF(vend8[[#This Row],[Nº Venda]]&gt;1,1,0)</f>
        <v>0</v>
      </c>
    </row>
    <row r="8" spans="2:18" ht="16.5" x14ac:dyDescent="0.3">
      <c r="B8" s="31" t="s">
        <v>21</v>
      </c>
      <c r="C8" s="32">
        <f>SUM(C6:C7)</f>
        <v>0</v>
      </c>
      <c r="D8" s="30"/>
      <c r="E8" s="75"/>
      <c r="F8" s="39"/>
      <c r="G8" s="39"/>
      <c r="H8" s="39"/>
      <c r="I8" s="39"/>
      <c r="J8" s="30"/>
      <c r="K8" s="76"/>
      <c r="L8" s="89"/>
      <c r="M8" s="44"/>
      <c r="R8" s="1">
        <f>IF(vend8[[#This Row],[Nº Venda]]&gt;1,1,0)</f>
        <v>0</v>
      </c>
    </row>
    <row r="9" spans="2:18" ht="16.5" x14ac:dyDescent="0.3">
      <c r="B9" s="27"/>
      <c r="C9" s="27"/>
      <c r="D9" s="30"/>
      <c r="E9" s="75"/>
      <c r="F9" s="39"/>
      <c r="G9" s="39"/>
      <c r="H9" s="39"/>
      <c r="I9" s="39"/>
      <c r="J9" s="30"/>
      <c r="K9" s="76"/>
      <c r="L9" s="89"/>
      <c r="M9" s="44"/>
      <c r="R9" s="1">
        <f>IF(vend8[[#This Row],[Nº Venda]]&gt;1,1,0)</f>
        <v>0</v>
      </c>
    </row>
    <row r="10" spans="2:18" ht="16.5" x14ac:dyDescent="0.3">
      <c r="B10" s="109" t="s">
        <v>5</v>
      </c>
      <c r="C10" s="110"/>
      <c r="D10" s="30"/>
      <c r="E10" s="75"/>
      <c r="F10" s="76"/>
      <c r="G10" s="51"/>
      <c r="H10" s="39"/>
      <c r="I10" s="39"/>
      <c r="J10" s="30"/>
      <c r="K10" s="76"/>
      <c r="L10" s="89"/>
      <c r="M10" s="44"/>
      <c r="R10" s="1">
        <f>IF(vend8[[#This Row],[Nº Venda]]&gt;1,1,0)</f>
        <v>0</v>
      </c>
    </row>
    <row r="11" spans="2:18" ht="16.5" x14ac:dyDescent="0.3">
      <c r="B11" s="28" t="s">
        <v>6</v>
      </c>
      <c r="C11" s="71">
        <f>(SUMIF($G$2:$G$31,B11,$I$2:$I$31))+(SUMIF($G$35:$G$42,B11,$H$35:$H$42))</f>
        <v>0</v>
      </c>
      <c r="D11" s="30"/>
      <c r="E11" s="75"/>
      <c r="F11" s="76"/>
      <c r="G11" s="51"/>
      <c r="H11" s="39"/>
      <c r="I11" s="39"/>
      <c r="J11" s="30"/>
      <c r="K11" s="38"/>
      <c r="L11" s="89"/>
      <c r="M11" s="44"/>
      <c r="O11" s="1">
        <f>IF(C16=0,0,1)</f>
        <v>0</v>
      </c>
      <c r="R11" s="1">
        <f>IF(vend8[[#This Row],[Nº Venda]]&gt;1,1,0)</f>
        <v>0</v>
      </c>
    </row>
    <row r="12" spans="2:18" ht="16.5" x14ac:dyDescent="0.3">
      <c r="B12" s="28" t="s">
        <v>7</v>
      </c>
      <c r="C12" s="71">
        <f>(SUMIF($G$2:$G$31,B12,$I$2:$I$31))+(SUMIF($G$35:$G$42,B12,$H$35:$H$42))</f>
        <v>0</v>
      </c>
      <c r="D12" s="30"/>
      <c r="E12" s="75"/>
      <c r="F12" s="76"/>
      <c r="G12" s="51"/>
      <c r="H12" s="39"/>
      <c r="I12" s="39"/>
      <c r="J12" s="30"/>
      <c r="K12" s="33"/>
      <c r="L12" s="33"/>
      <c r="M12" s="33"/>
      <c r="R12" s="1">
        <f>IF(vend8[[#This Row],[Nº Venda]]&gt;1,1,0)</f>
        <v>0</v>
      </c>
    </row>
    <row r="13" spans="2:18" ht="16.5" x14ac:dyDescent="0.3">
      <c r="B13" s="28" t="s">
        <v>8</v>
      </c>
      <c r="C13" s="71">
        <f>(SUMIF($G$2:$G$31,B13,$I$2:$I$31))+(SUMIF($G$35:$G$42,B13,$H$35:$H$42))</f>
        <v>0</v>
      </c>
      <c r="D13" s="30"/>
      <c r="E13" s="75"/>
      <c r="F13" s="76"/>
      <c r="G13" s="51"/>
      <c r="H13" s="39"/>
      <c r="I13" s="39"/>
      <c r="J13" s="30"/>
      <c r="K13" s="102" t="s">
        <v>141</v>
      </c>
      <c r="L13" s="103"/>
      <c r="M13" s="104"/>
      <c r="R13" s="1">
        <f>IF(vend8[[#This Row],[Nº Venda]]&gt;1,1,0)</f>
        <v>0</v>
      </c>
    </row>
    <row r="14" spans="2:18" ht="16.5" x14ac:dyDescent="0.3">
      <c r="B14" s="28" t="s">
        <v>9</v>
      </c>
      <c r="C14" s="71">
        <f>(SUMIF($G$2:$G$31,B14,$I$2:$I$31))+(SUMIF($G$35:$G$42,B14,$H$35:$H$42))</f>
        <v>0</v>
      </c>
      <c r="D14" s="30"/>
      <c r="E14" s="75"/>
      <c r="F14" s="76"/>
      <c r="G14" s="51"/>
      <c r="H14" s="39"/>
      <c r="I14" s="39"/>
      <c r="J14" s="30"/>
      <c r="K14" s="22" t="s">
        <v>22</v>
      </c>
      <c r="L14" s="23" t="s">
        <v>23</v>
      </c>
      <c r="M14" s="24" t="s">
        <v>24</v>
      </c>
      <c r="R14" s="1">
        <f>IF(vend8[[#This Row],[Nº Venda]]&gt;1,1,0)</f>
        <v>0</v>
      </c>
    </row>
    <row r="15" spans="2:18" ht="16.5" x14ac:dyDescent="0.3">
      <c r="B15" s="28" t="s">
        <v>10</v>
      </c>
      <c r="C15" s="71">
        <f>(SUMIF($G$2:$G$31,B15,$I$2:$I$31))+(SUMIF($G$35:$G$42,B15,$H$35:$H$42))</f>
        <v>0</v>
      </c>
      <c r="D15" s="30"/>
      <c r="E15" s="75"/>
      <c r="F15" s="76"/>
      <c r="G15" s="51"/>
      <c r="H15" s="39"/>
      <c r="I15" s="39"/>
      <c r="J15" s="30"/>
      <c r="K15" s="75"/>
      <c r="L15" s="89"/>
      <c r="M15" s="44"/>
      <c r="R15" s="1">
        <f>IF(vend8[[#This Row],[Nº Venda]]&gt;1,1,0)</f>
        <v>0</v>
      </c>
    </row>
    <row r="16" spans="2:18" ht="16.5" x14ac:dyDescent="0.3">
      <c r="B16" s="31" t="s">
        <v>11</v>
      </c>
      <c r="C16" s="70">
        <f>SUM(C11:C15)</f>
        <v>0</v>
      </c>
      <c r="D16" s="30"/>
      <c r="E16" s="75"/>
      <c r="F16" s="76"/>
      <c r="G16" s="51"/>
      <c r="H16" s="39"/>
      <c r="I16" s="39"/>
      <c r="J16" s="30"/>
      <c r="K16" s="75"/>
      <c r="L16" s="89"/>
      <c r="M16" s="44"/>
      <c r="R16" s="1">
        <f>IF(vend8[[#This Row],[Nº Venda]]&gt;1,1,0)</f>
        <v>0</v>
      </c>
    </row>
    <row r="17" spans="2:18" ht="16.5" x14ac:dyDescent="0.3">
      <c r="B17" s="27"/>
      <c r="C17" s="27"/>
      <c r="D17" s="30"/>
      <c r="E17" s="75"/>
      <c r="F17" s="76"/>
      <c r="G17" s="51"/>
      <c r="H17" s="39"/>
      <c r="I17" s="39"/>
      <c r="J17" s="30"/>
      <c r="K17" s="75"/>
      <c r="L17" s="89"/>
      <c r="M17" s="44"/>
      <c r="R17" s="1">
        <f>IF(vend8[[#This Row],[Nº Venda]]&gt;1,1,0)</f>
        <v>0</v>
      </c>
    </row>
    <row r="18" spans="2:18" ht="16.5" x14ac:dyDescent="0.3">
      <c r="B18" s="109" t="s">
        <v>12</v>
      </c>
      <c r="C18" s="110"/>
      <c r="D18" s="30"/>
      <c r="E18" s="75"/>
      <c r="F18" s="76"/>
      <c r="G18" s="51"/>
      <c r="H18" s="39"/>
      <c r="I18" s="39"/>
      <c r="J18" s="30"/>
      <c r="K18" s="75"/>
      <c r="L18" s="89"/>
      <c r="M18" s="44"/>
      <c r="R18" s="1">
        <f>IF(vend8[[#This Row],[Nº Venda]]&gt;1,1,0)</f>
        <v>0</v>
      </c>
    </row>
    <row r="19" spans="2:18" ht="16.5" x14ac:dyDescent="0.3">
      <c r="B19" s="28">
        <f>COUNT(entr_carn8[OS])</f>
        <v>0</v>
      </c>
      <c r="C19" s="69">
        <f>SUM(entr_carn8[Valor Total])</f>
        <v>0</v>
      </c>
      <c r="D19" s="30"/>
      <c r="E19" s="75"/>
      <c r="F19" s="76"/>
      <c r="G19" s="51"/>
      <c r="H19" s="39"/>
      <c r="I19" s="39"/>
      <c r="J19" s="30"/>
      <c r="K19" s="75"/>
      <c r="L19" s="89"/>
      <c r="M19" s="44"/>
      <c r="R19" s="1">
        <f>IF(vend8[[#This Row],[Nº Venda]]&gt;1,1,0)</f>
        <v>0</v>
      </c>
    </row>
    <row r="20" spans="2:18" ht="16.5" x14ac:dyDescent="0.3">
      <c r="B20" s="31" t="s">
        <v>11</v>
      </c>
      <c r="C20" s="70">
        <f>SUM(C19:C19)</f>
        <v>0</v>
      </c>
      <c r="D20" s="30"/>
      <c r="E20" s="75"/>
      <c r="F20" s="51"/>
      <c r="G20" s="51"/>
      <c r="H20" s="39"/>
      <c r="I20" s="39"/>
      <c r="J20" s="30"/>
      <c r="K20" s="75"/>
      <c r="L20" s="89"/>
      <c r="M20" s="44"/>
      <c r="R20" s="1">
        <f>IF(vend8[[#This Row],[Nº Venda]]&gt;1,1,0)</f>
        <v>0</v>
      </c>
    </row>
    <row r="21" spans="2:18" ht="16.5" x14ac:dyDescent="0.3">
      <c r="B21" s="27"/>
      <c r="C21" s="27"/>
      <c r="D21" s="30"/>
      <c r="E21" s="75"/>
      <c r="F21" s="76"/>
      <c r="G21" s="51"/>
      <c r="H21" s="39"/>
      <c r="I21" s="39"/>
      <c r="J21" s="30"/>
      <c r="K21" s="75"/>
      <c r="L21" s="89"/>
      <c r="M21" s="44"/>
    </row>
    <row r="22" spans="2:18" ht="16.5" x14ac:dyDescent="0.3">
      <c r="B22" s="31" t="s">
        <v>25</v>
      </c>
      <c r="C22" s="34">
        <f>C5</f>
        <v>0</v>
      </c>
      <c r="D22" s="30"/>
      <c r="E22" s="77"/>
      <c r="F22" s="76"/>
      <c r="G22" s="51"/>
      <c r="H22" s="39"/>
      <c r="I22" s="39"/>
      <c r="J22" s="30"/>
      <c r="K22" s="75"/>
      <c r="L22" s="89"/>
      <c r="M22" s="44"/>
    </row>
    <row r="23" spans="2:18" ht="16.5" x14ac:dyDescent="0.3">
      <c r="B23" s="30"/>
      <c r="C23" s="30"/>
      <c r="D23" s="30"/>
      <c r="E23" s="35"/>
      <c r="F23" s="35"/>
      <c r="G23" s="35"/>
      <c r="H23" s="36"/>
      <c r="I23" s="37"/>
      <c r="J23" s="30"/>
      <c r="K23" s="75"/>
      <c r="L23" s="89"/>
      <c r="M23" s="44"/>
    </row>
    <row r="24" spans="2:18" ht="16.5" x14ac:dyDescent="0.3">
      <c r="B24" s="30"/>
      <c r="C24" s="30"/>
      <c r="D24" s="30"/>
      <c r="E24" s="100" t="s">
        <v>138</v>
      </c>
      <c r="F24" s="101"/>
      <c r="G24" s="101"/>
      <c r="H24" s="101"/>
      <c r="I24" s="101"/>
      <c r="J24" s="30"/>
      <c r="K24" s="75"/>
      <c r="L24" s="89"/>
      <c r="M24" s="44"/>
    </row>
    <row r="25" spans="2:18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5"/>
      <c r="L25" s="89"/>
      <c r="M25" s="44"/>
    </row>
    <row r="26" spans="2:18" ht="16.5" x14ac:dyDescent="0.3">
      <c r="B26" s="30"/>
      <c r="C26" s="30"/>
      <c r="D26" s="30"/>
      <c r="E26" s="75"/>
      <c r="F26" s="79"/>
      <c r="G26" s="79"/>
      <c r="H26" s="49"/>
      <c r="I26" s="49"/>
      <c r="J26" s="30"/>
      <c r="K26" s="75"/>
      <c r="L26" s="89"/>
      <c r="M26" s="44"/>
    </row>
    <row r="27" spans="2:18" ht="16.5" x14ac:dyDescent="0.3">
      <c r="B27" s="30"/>
      <c r="C27" s="30"/>
      <c r="D27" s="30"/>
      <c r="E27" s="75"/>
      <c r="F27" s="76"/>
      <c r="G27" s="50"/>
      <c r="H27" s="39"/>
      <c r="I27" s="39"/>
      <c r="J27" s="30"/>
      <c r="K27" s="75"/>
      <c r="L27" s="89"/>
      <c r="M27" s="44"/>
    </row>
    <row r="28" spans="2:18" ht="16.5" x14ac:dyDescent="0.3">
      <c r="B28" s="30"/>
      <c r="C28" s="30"/>
      <c r="D28" s="30"/>
      <c r="E28" s="75"/>
      <c r="F28" s="76"/>
      <c r="G28" s="50"/>
      <c r="H28" s="39"/>
      <c r="I28" s="39"/>
      <c r="J28" s="30"/>
      <c r="K28" s="75"/>
      <c r="L28" s="89"/>
      <c r="M28" s="44"/>
    </row>
    <row r="29" spans="2:18" ht="16.5" x14ac:dyDescent="0.3">
      <c r="B29" s="30"/>
      <c r="C29" s="30"/>
      <c r="D29" s="30"/>
      <c r="E29" s="75"/>
      <c r="F29" s="76"/>
      <c r="G29" s="50"/>
      <c r="H29" s="39"/>
      <c r="I29" s="39"/>
      <c r="J29" s="30"/>
      <c r="K29" s="75"/>
      <c r="L29" s="89"/>
      <c r="M29" s="44"/>
    </row>
    <row r="30" spans="2:18" ht="16.5" x14ac:dyDescent="0.3">
      <c r="B30" s="30"/>
      <c r="C30" s="30"/>
      <c r="D30" s="30"/>
      <c r="E30" s="75"/>
      <c r="F30" s="76"/>
      <c r="G30" s="51"/>
      <c r="H30" s="39"/>
      <c r="I30" s="39"/>
      <c r="J30" s="30"/>
      <c r="K30" s="75"/>
      <c r="L30" s="89"/>
      <c r="M30" s="44"/>
    </row>
    <row r="31" spans="2:18" ht="16.5" x14ac:dyDescent="0.3">
      <c r="B31" s="30"/>
      <c r="C31" s="30"/>
      <c r="D31" s="30"/>
      <c r="E31" s="77"/>
      <c r="F31" s="78"/>
      <c r="G31" s="42"/>
      <c r="H31" s="43"/>
      <c r="I31" s="43"/>
      <c r="J31" s="30"/>
      <c r="K31" s="75"/>
      <c r="L31" s="89"/>
      <c r="M31" s="44"/>
    </row>
    <row r="32" spans="2:18" ht="16.5" x14ac:dyDescent="0.3">
      <c r="B32" s="30"/>
      <c r="C32" s="30"/>
      <c r="D32" s="38"/>
      <c r="E32" s="35"/>
      <c r="F32" s="35"/>
      <c r="G32" s="35"/>
      <c r="H32" s="37"/>
      <c r="I32" s="37"/>
      <c r="J32" s="38"/>
      <c r="K32" s="33"/>
      <c r="L32" s="33"/>
      <c r="M32" s="33"/>
    </row>
    <row r="33" spans="2:18" ht="16.5" x14ac:dyDescent="0.3">
      <c r="B33" s="30"/>
      <c r="C33" s="30"/>
      <c r="D33" s="38"/>
      <c r="E33" s="100" t="s">
        <v>139</v>
      </c>
      <c r="F33" s="101"/>
      <c r="G33" s="101"/>
      <c r="H33" s="101"/>
      <c r="I33" s="101"/>
      <c r="J33" s="38"/>
      <c r="K33" s="102" t="s">
        <v>140</v>
      </c>
      <c r="L33" s="103"/>
      <c r="M33" s="104"/>
    </row>
    <row r="34" spans="2:18" ht="16.5" x14ac:dyDescent="0.3">
      <c r="B34" s="38"/>
      <c r="C34" s="38"/>
      <c r="D34" s="38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75"/>
      <c r="F35" s="76"/>
      <c r="G35" s="51"/>
      <c r="H35" s="39"/>
      <c r="I35" s="39"/>
      <c r="J35" s="38"/>
      <c r="K35" s="75"/>
      <c r="L35" s="75"/>
      <c r="M35" s="89"/>
    </row>
    <row r="36" spans="2:18" ht="16.5" customHeight="1" x14ac:dyDescent="0.25">
      <c r="B36" s="38"/>
      <c r="C36" s="38"/>
      <c r="D36" s="38"/>
      <c r="E36" s="81"/>
      <c r="F36" s="76"/>
      <c r="G36" s="51"/>
      <c r="H36" s="39"/>
      <c r="I36" s="39"/>
      <c r="J36" s="38"/>
      <c r="K36" s="75"/>
      <c r="L36" s="75"/>
      <c r="M36" s="89"/>
    </row>
    <row r="37" spans="2:18" ht="16.5" customHeight="1" x14ac:dyDescent="0.25">
      <c r="B37" s="38"/>
      <c r="C37" s="38"/>
      <c r="D37" s="38"/>
      <c r="E37" s="75"/>
      <c r="F37" s="76"/>
      <c r="G37" s="51"/>
      <c r="H37" s="39"/>
      <c r="I37" s="39"/>
      <c r="J37" s="38"/>
      <c r="K37" s="75"/>
      <c r="L37" s="75"/>
      <c r="M37" s="89"/>
    </row>
    <row r="38" spans="2:18" ht="16.5" customHeight="1" x14ac:dyDescent="0.25">
      <c r="B38" s="38"/>
      <c r="C38" s="38"/>
      <c r="D38" s="38"/>
      <c r="E38" s="75"/>
      <c r="F38" s="76"/>
      <c r="G38" s="51"/>
      <c r="H38" s="39"/>
      <c r="I38" s="39"/>
      <c r="J38" s="38"/>
      <c r="K38" s="75"/>
      <c r="L38" s="75"/>
      <c r="M38" s="89"/>
    </row>
    <row r="39" spans="2:18" ht="16.5" customHeight="1" x14ac:dyDescent="0.25">
      <c r="B39" s="38"/>
      <c r="C39" s="38"/>
      <c r="D39" s="38"/>
      <c r="E39" s="75"/>
      <c r="F39" s="51"/>
      <c r="G39" s="51"/>
      <c r="H39" s="39"/>
      <c r="I39" s="39"/>
      <c r="J39" s="38"/>
      <c r="K39" s="75"/>
      <c r="L39" s="75"/>
      <c r="M39" s="89"/>
    </row>
    <row r="40" spans="2:18" ht="16.5" customHeight="1" x14ac:dyDescent="0.25">
      <c r="B40" s="38"/>
      <c r="C40" s="38"/>
      <c r="D40" s="38"/>
      <c r="E40" s="77"/>
      <c r="F40" s="78"/>
      <c r="G40" s="42"/>
      <c r="H40" s="43"/>
      <c r="I40" s="39"/>
      <c r="J40" s="38"/>
      <c r="K40" s="77"/>
      <c r="L40" s="77"/>
      <c r="M40" s="90"/>
      <c r="Q40" s="1" t="s">
        <v>33</v>
      </c>
      <c r="R40" s="1">
        <f>SUM(R6:R21)</f>
        <v>0</v>
      </c>
    </row>
    <row r="41" spans="2:18" ht="16.5" customHeight="1" x14ac:dyDescent="0.25">
      <c r="B41" s="38"/>
      <c r="C41" s="38"/>
      <c r="D41" s="38"/>
      <c r="E41" s="82"/>
      <c r="F41" s="51"/>
      <c r="G41" s="51"/>
      <c r="H41" s="39"/>
      <c r="I41" s="39"/>
      <c r="J41" s="38"/>
      <c r="K41" s="75"/>
      <c r="L41" s="75"/>
      <c r="M41" s="90"/>
    </row>
    <row r="42" spans="2:18" ht="17.25" x14ac:dyDescent="0.3">
      <c r="B42" s="38"/>
      <c r="C42" s="38"/>
      <c r="D42" s="38"/>
      <c r="E42" s="40"/>
      <c r="F42" s="20"/>
      <c r="G42" s="20"/>
      <c r="H42" s="21"/>
      <c r="I42" s="21"/>
      <c r="J42" s="38"/>
      <c r="K42" s="33"/>
      <c r="L42" s="33"/>
      <c r="M42" s="33"/>
    </row>
    <row r="43" spans="2:18" ht="13.5" x14ac:dyDescent="0.25">
      <c r="B43" s="38"/>
      <c r="C43" s="38"/>
      <c r="D43" s="38"/>
      <c r="E43" s="35"/>
      <c r="F43" s="35"/>
      <c r="G43" s="35"/>
      <c r="H43" s="37"/>
      <c r="I43" s="37"/>
      <c r="J43" s="38"/>
      <c r="K43" s="33"/>
      <c r="L43" s="33"/>
      <c r="M43" s="33"/>
    </row>
    <row r="44" spans="2:18" ht="13.5" x14ac:dyDescent="0.25">
      <c r="B44" s="38"/>
      <c r="C44" s="38"/>
      <c r="D44" s="38"/>
      <c r="E44" s="35"/>
      <c r="F44" s="35"/>
      <c r="G44" s="35"/>
      <c r="H44" s="37"/>
      <c r="I44" s="37"/>
      <c r="J44" s="38"/>
      <c r="K44" s="33"/>
      <c r="L44" s="33"/>
      <c r="M44" s="33"/>
    </row>
    <row r="45" spans="2:18" ht="13.5" x14ac:dyDescent="0.25">
      <c r="B45" s="38"/>
      <c r="C45" s="38"/>
      <c r="D45" s="38"/>
      <c r="E45" s="35"/>
      <c r="F45" s="35"/>
      <c r="G45" s="35"/>
      <c r="H45" s="37"/>
      <c r="I45" s="37"/>
      <c r="J45" s="38"/>
      <c r="K45" s="33"/>
      <c r="L45" s="33"/>
      <c r="M45" s="33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3D5943B-C733-4E59-92F6-7382BCD9A03B}">
          <x14:formula1>
            <xm:f>base!$E$2:$E$79</xm:f>
          </x14:formula1>
          <xm:sqref>I35:I42</xm:sqref>
        </x14:dataValidation>
        <x14:dataValidation type="list" allowBlank="1" showInputMessage="1" showErrorMessage="1" xr:uid="{B4D14BD6-49E9-4DC2-A020-94D43844C229}">
          <x14:formula1>
            <xm:f>resumo_cx!$P$2:$P$18</xm:f>
          </x14:formula1>
          <xm:sqref>L15:L31</xm:sqref>
        </x14:dataValidation>
        <x14:dataValidation type="list" allowBlank="1" showInputMessage="1" showErrorMessage="1" xr:uid="{2854B691-552D-405C-8C7A-BACF152BD420}">
          <x14:formula1>
            <xm:f>base_OS!$A$2:$A$15000</xm:f>
          </x14:formula1>
          <xm:sqref>E6:E22 E26:E31 E35:E41 K35:K41 K15:K31</xm:sqref>
        </x14:dataValidation>
        <x14:dataValidation type="list" allowBlank="1" showInputMessage="1" showErrorMessage="1" xr:uid="{6DEDD930-861F-47CC-BD5B-46BF4A7AEB54}">
          <x14:formula1>
            <xm:f>base!$A$2:$A$5</xm:f>
          </x14:formula1>
          <xm:sqref>G26:G31 G35:G42</xm:sqref>
        </x14:dataValidation>
        <x14:dataValidation type="list" allowBlank="1" showInputMessage="1" showErrorMessage="1" xr:uid="{E78E1FEE-B5EA-4CBB-B060-8AE6DE0B6C31}">
          <x14:formula1>
            <xm:f>base!$A$2:$A$8</xm:f>
          </x14:formula1>
          <xm:sqref>G6:G22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V46"/>
  <sheetViews>
    <sheetView showGridLines="0" view="pageBreakPreview" topLeftCell="C10" zoomScale="60" zoomScaleNormal="92" workbookViewId="0">
      <selection activeCell="M8" sqref="M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5.28515625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2" ht="28.5" x14ac:dyDescent="0.45">
      <c r="B1" s="98">
        <f>'08'!B1+1</f>
        <v>45817</v>
      </c>
      <c r="C1" s="98"/>
      <c r="L1" s="99" t="s">
        <v>143</v>
      </c>
      <c r="M1" s="99"/>
    </row>
    <row r="2" spans="2:22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22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2" ht="16.5" x14ac:dyDescent="0.3">
      <c r="B4" s="25" t="s">
        <v>0</v>
      </c>
      <c r="C4" s="26">
        <v>0</v>
      </c>
      <c r="D4" s="58"/>
      <c r="E4" s="108" t="s">
        <v>136</v>
      </c>
      <c r="F4" s="108"/>
      <c r="G4" s="108"/>
      <c r="H4" s="108"/>
      <c r="I4" s="108"/>
      <c r="J4" s="30"/>
      <c r="K4" s="102" t="s">
        <v>137</v>
      </c>
      <c r="L4" s="103"/>
      <c r="M4" s="104"/>
    </row>
    <row r="5" spans="2:22" ht="16.5" x14ac:dyDescent="0.3">
      <c r="B5" s="28" t="s">
        <v>1</v>
      </c>
      <c r="C5" s="29">
        <f>SUMIF(I6:I31,"&gt;0",H6:H31)</f>
        <v>2641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22" ht="16.5" x14ac:dyDescent="0.3">
      <c r="B6" s="28" t="s">
        <v>2</v>
      </c>
      <c r="C6" s="29">
        <f>C16</f>
        <v>3054.25</v>
      </c>
      <c r="D6" s="30"/>
      <c r="E6" s="75">
        <v>11167</v>
      </c>
      <c r="F6" s="76" t="s">
        <v>201</v>
      </c>
      <c r="G6" s="50" t="s">
        <v>46</v>
      </c>
      <c r="H6" s="39">
        <v>98</v>
      </c>
      <c r="I6" s="39">
        <v>0</v>
      </c>
      <c r="J6" s="30"/>
      <c r="K6" s="76" t="s">
        <v>161</v>
      </c>
      <c r="L6" s="89" t="s">
        <v>10</v>
      </c>
      <c r="M6" s="44">
        <v>3.53</v>
      </c>
      <c r="R6" s="1">
        <f>IF(vend9[[#This Row],[Nº Venda]]&gt;1,1,0)</f>
        <v>1</v>
      </c>
    </row>
    <row r="7" spans="2:22" ht="16.5" x14ac:dyDescent="0.3">
      <c r="B7" s="28" t="s">
        <v>3</v>
      </c>
      <c r="C7" s="29">
        <f>SUM(M6:M11)</f>
        <v>23.53</v>
      </c>
      <c r="D7" s="30"/>
      <c r="E7" s="75">
        <v>11168</v>
      </c>
      <c r="F7" s="76" t="s">
        <v>202</v>
      </c>
      <c r="G7" s="50" t="s">
        <v>7</v>
      </c>
      <c r="H7" s="39">
        <v>45</v>
      </c>
      <c r="I7" s="39">
        <v>45</v>
      </c>
      <c r="J7" s="30"/>
      <c r="K7" s="76" t="s">
        <v>335</v>
      </c>
      <c r="L7" s="89" t="s">
        <v>6</v>
      </c>
      <c r="M7" s="44">
        <v>20</v>
      </c>
      <c r="R7" s="1">
        <f>IF(vend9[[#This Row],[Nº Venda]]&gt;1,1,0)</f>
        <v>1</v>
      </c>
    </row>
    <row r="8" spans="2:22" ht="16.5" x14ac:dyDescent="0.3">
      <c r="B8" s="31" t="s">
        <v>21</v>
      </c>
      <c r="C8" s="32">
        <f>SUM(C6:C7)</f>
        <v>3077.78</v>
      </c>
      <c r="D8" s="30"/>
      <c r="E8" s="75">
        <v>11169</v>
      </c>
      <c r="F8" s="76" t="s">
        <v>203</v>
      </c>
      <c r="G8" s="51" t="s">
        <v>7</v>
      </c>
      <c r="H8" s="39">
        <v>45</v>
      </c>
      <c r="I8" s="39">
        <v>45</v>
      </c>
      <c r="J8" s="30"/>
      <c r="K8" s="76"/>
      <c r="L8" s="89"/>
      <c r="M8" s="44"/>
      <c r="R8" s="1">
        <f>IF(vend9[[#This Row],[Nº Venda]]&gt;1,1,0)</f>
        <v>1</v>
      </c>
    </row>
    <row r="9" spans="2:22" ht="16.5" x14ac:dyDescent="0.3">
      <c r="B9" s="27"/>
      <c r="C9" s="27"/>
      <c r="D9" s="30"/>
      <c r="E9" s="75">
        <v>11170</v>
      </c>
      <c r="F9" s="76" t="s">
        <v>210</v>
      </c>
      <c r="G9" s="51" t="s">
        <v>7</v>
      </c>
      <c r="H9" s="39">
        <v>200</v>
      </c>
      <c r="I9" s="39">
        <v>200</v>
      </c>
      <c r="J9" s="30"/>
      <c r="K9" s="76"/>
      <c r="L9" s="89"/>
      <c r="M9" s="44"/>
      <c r="R9" s="1">
        <f>IF(vend9[[#This Row],[Nº Venda]]&gt;1,1,0)</f>
        <v>1</v>
      </c>
    </row>
    <row r="10" spans="2:22" ht="16.5" x14ac:dyDescent="0.3">
      <c r="B10" s="109" t="s">
        <v>5</v>
      </c>
      <c r="C10" s="110"/>
      <c r="D10" s="30"/>
      <c r="E10" s="75">
        <v>11171</v>
      </c>
      <c r="F10" s="76" t="s">
        <v>214</v>
      </c>
      <c r="G10" s="51" t="s">
        <v>8</v>
      </c>
      <c r="H10" s="39">
        <v>290</v>
      </c>
      <c r="I10" s="39">
        <v>290</v>
      </c>
      <c r="J10" s="30"/>
      <c r="K10" s="76"/>
      <c r="L10" s="89"/>
      <c r="M10" s="44"/>
      <c r="R10" s="1">
        <f>IF(vend9[[#This Row],[Nº Venda]]&gt;1,1,0)</f>
        <v>1</v>
      </c>
    </row>
    <row r="11" spans="2:22" ht="16.5" x14ac:dyDescent="0.3">
      <c r="B11" s="28" t="s">
        <v>6</v>
      </c>
      <c r="C11" s="91">
        <f>(SUMIF($G$2:$G$31,B11,$I$2:$I$31))+(SUMIF($G$35:$G$42,B11,$H$35:$H$42))</f>
        <v>20</v>
      </c>
      <c r="D11" s="30"/>
      <c r="E11" s="75">
        <v>11172</v>
      </c>
      <c r="F11" s="76" t="s">
        <v>215</v>
      </c>
      <c r="G11" s="51" t="s">
        <v>8</v>
      </c>
      <c r="H11" s="39">
        <v>541</v>
      </c>
      <c r="I11" s="39">
        <v>541</v>
      </c>
      <c r="J11" s="30"/>
      <c r="K11" s="38"/>
      <c r="L11" s="89"/>
      <c r="M11" s="44"/>
      <c r="O11" s="1">
        <f>IF(C16=0,0,1)</f>
        <v>1</v>
      </c>
      <c r="R11" s="1">
        <f>IF(vend9[[#This Row],[Nº Venda]]&gt;1,1,0)</f>
        <v>1</v>
      </c>
    </row>
    <row r="12" spans="2:22" ht="16.5" x14ac:dyDescent="0.3">
      <c r="B12" s="28" t="s">
        <v>7</v>
      </c>
      <c r="C12" s="91">
        <f>(SUMIF($G$2:$G$31,B12,$I$2:$I$31))+(SUMIF($G$35:$G$42,B12,$H$35:$H$42))</f>
        <v>1012.25</v>
      </c>
      <c r="D12" s="30"/>
      <c r="E12" s="75">
        <v>11173</v>
      </c>
      <c r="F12" s="76" t="s">
        <v>215</v>
      </c>
      <c r="G12" s="51" t="s">
        <v>8</v>
      </c>
      <c r="H12" s="39">
        <v>561</v>
      </c>
      <c r="I12" s="39">
        <v>561</v>
      </c>
      <c r="J12" s="30"/>
      <c r="K12" s="33"/>
      <c r="L12" s="33"/>
      <c r="M12" s="33"/>
      <c r="R12" s="1">
        <f>IF(vend9[[#This Row],[Nº Venda]]&gt;1,1,0)</f>
        <v>1</v>
      </c>
      <c r="V12" s="1">
        <v>0</v>
      </c>
    </row>
    <row r="13" spans="2:22" ht="16.5" x14ac:dyDescent="0.3">
      <c r="B13" s="28" t="s">
        <v>8</v>
      </c>
      <c r="C13" s="91">
        <f>(SUMIF($G$2:$G$31,B13,$I$2:$I$31))+(SUMIF($G$35:$G$42,B13,$H$35:$H$42))</f>
        <v>1972</v>
      </c>
      <c r="D13" s="30"/>
      <c r="E13" s="75">
        <v>11174</v>
      </c>
      <c r="F13" s="76" t="s">
        <v>225</v>
      </c>
      <c r="G13" s="51" t="s">
        <v>46</v>
      </c>
      <c r="H13" s="39">
        <v>30</v>
      </c>
      <c r="I13" s="39">
        <v>0</v>
      </c>
      <c r="J13" s="30"/>
      <c r="K13" s="102" t="s">
        <v>141</v>
      </c>
      <c r="L13" s="103"/>
      <c r="M13" s="104"/>
      <c r="R13" s="1">
        <f>IF(vend9[[#This Row],[Nº Venda]]&gt;1,1,0)</f>
        <v>1</v>
      </c>
    </row>
    <row r="14" spans="2:22" ht="16.5" x14ac:dyDescent="0.3">
      <c r="B14" s="28" t="s">
        <v>9</v>
      </c>
      <c r="C14" s="91">
        <f>(SUMIF($G$2:$G$31,B14,$I$2:$I$31))+(SUMIF($G$35:$G$42,B14,$H$35:$H$42))</f>
        <v>0</v>
      </c>
      <c r="D14" s="30"/>
      <c r="E14" s="75">
        <v>11175</v>
      </c>
      <c r="F14" s="76" t="s">
        <v>370</v>
      </c>
      <c r="G14" s="51" t="s">
        <v>8</v>
      </c>
      <c r="H14" s="39">
        <v>340</v>
      </c>
      <c r="I14" s="39">
        <v>340</v>
      </c>
      <c r="J14" s="30"/>
      <c r="K14" s="22" t="s">
        <v>22</v>
      </c>
      <c r="L14" s="23" t="s">
        <v>23</v>
      </c>
      <c r="M14" s="24" t="s">
        <v>24</v>
      </c>
      <c r="R14" s="1">
        <f>IF(vend9[[#This Row],[Nº Venda]]&gt;1,1,0)</f>
        <v>1</v>
      </c>
    </row>
    <row r="15" spans="2:22" ht="16.5" x14ac:dyDescent="0.3">
      <c r="B15" s="28" t="s">
        <v>10</v>
      </c>
      <c r="C15" s="91">
        <f>(SUMIF($G$2:$G$31,B15,$I$2:$I$31))+(SUMIF($G$35:$G$42,B15,$H$35:$H$42))</f>
        <v>50</v>
      </c>
      <c r="D15" s="30"/>
      <c r="E15" s="75">
        <v>11176</v>
      </c>
      <c r="F15" s="76" t="s">
        <v>231</v>
      </c>
      <c r="G15" s="51" t="s">
        <v>10</v>
      </c>
      <c r="H15" s="39">
        <v>399</v>
      </c>
      <c r="I15" s="39">
        <v>50</v>
      </c>
      <c r="J15" s="30"/>
      <c r="K15" s="75">
        <v>10951</v>
      </c>
      <c r="L15" s="89" t="s">
        <v>128</v>
      </c>
      <c r="M15" s="44" t="s">
        <v>146</v>
      </c>
      <c r="R15" s="1">
        <f>IF(vend9[[#This Row],[Nº Venda]]&gt;1,1,0)</f>
        <v>1</v>
      </c>
    </row>
    <row r="16" spans="2:22" ht="16.5" x14ac:dyDescent="0.3">
      <c r="B16" s="31" t="s">
        <v>11</v>
      </c>
      <c r="C16" s="70">
        <f>SUM(C11:C15)</f>
        <v>3054.25</v>
      </c>
      <c r="D16" s="30"/>
      <c r="E16" s="75"/>
      <c r="F16" s="76"/>
      <c r="G16" s="51"/>
      <c r="H16" s="39"/>
      <c r="I16" s="39"/>
      <c r="J16" s="30"/>
      <c r="K16" s="75">
        <v>11037</v>
      </c>
      <c r="L16" s="89" t="s">
        <v>130</v>
      </c>
      <c r="M16" s="44" t="s">
        <v>146</v>
      </c>
      <c r="R16" s="1">
        <f>IF(vend9[[#This Row],[Nº Venda]]&gt;1,1,0)</f>
        <v>0</v>
      </c>
    </row>
    <row r="17" spans="2:18" ht="16.5" x14ac:dyDescent="0.3">
      <c r="B17" s="27"/>
      <c r="C17" s="27"/>
      <c r="D17" s="30"/>
      <c r="E17" s="75"/>
      <c r="F17" s="76"/>
      <c r="G17" s="51"/>
      <c r="H17" s="39"/>
      <c r="I17" s="39"/>
      <c r="J17" s="30"/>
      <c r="K17" s="75">
        <v>11038</v>
      </c>
      <c r="L17" s="89" t="s">
        <v>130</v>
      </c>
      <c r="M17" s="44" t="s">
        <v>146</v>
      </c>
      <c r="R17" s="1">
        <f>IF(vend9[[#This Row],[Nº Venda]]&gt;1,1,0)</f>
        <v>0</v>
      </c>
    </row>
    <row r="18" spans="2:18" ht="16.5" x14ac:dyDescent="0.3">
      <c r="B18" s="109" t="s">
        <v>12</v>
      </c>
      <c r="C18" s="110"/>
      <c r="D18" s="30"/>
      <c r="E18" s="75"/>
      <c r="F18" s="76"/>
      <c r="G18" s="51"/>
      <c r="H18" s="39"/>
      <c r="I18" s="39"/>
      <c r="J18" s="30"/>
      <c r="K18" s="75">
        <v>11042</v>
      </c>
      <c r="L18" s="89" t="s">
        <v>134</v>
      </c>
      <c r="M18" s="44" t="s">
        <v>146</v>
      </c>
      <c r="R18" s="1">
        <f>IF(vend9[[#This Row],[Nº Venda]]&gt;1,1,0)</f>
        <v>0</v>
      </c>
    </row>
    <row r="19" spans="2:18" ht="16.5" x14ac:dyDescent="0.3">
      <c r="B19" s="28">
        <f>COUNT(entr_carn9[OS])</f>
        <v>0</v>
      </c>
      <c r="C19" s="69">
        <f>SUM(entr_carn9[Valor Total])</f>
        <v>0</v>
      </c>
      <c r="D19" s="30"/>
      <c r="E19" s="75"/>
      <c r="F19" s="76"/>
      <c r="G19" s="51"/>
      <c r="H19" s="39"/>
      <c r="I19" s="39" t="s">
        <v>232</v>
      </c>
      <c r="J19" s="30"/>
      <c r="K19" s="75">
        <v>11048</v>
      </c>
      <c r="L19" s="89" t="s">
        <v>134</v>
      </c>
      <c r="M19" s="44" t="s">
        <v>146</v>
      </c>
      <c r="R19" s="1">
        <f>IF(vend9[[#This Row],[Nº Venda]]&gt;1,1,0)</f>
        <v>0</v>
      </c>
    </row>
    <row r="20" spans="2:18" ht="16.5" x14ac:dyDescent="0.3">
      <c r="B20" s="31" t="s">
        <v>11</v>
      </c>
      <c r="C20" s="70">
        <f>SUM(C19:C19)</f>
        <v>0</v>
      </c>
      <c r="D20" s="30"/>
      <c r="E20" s="75"/>
      <c r="F20" s="76"/>
      <c r="G20" s="51"/>
      <c r="H20" s="39"/>
      <c r="I20" s="39"/>
      <c r="J20" s="30"/>
      <c r="K20" s="75">
        <v>11082</v>
      </c>
      <c r="L20" s="89" t="s">
        <v>128</v>
      </c>
      <c r="M20" s="44" t="s">
        <v>146</v>
      </c>
      <c r="R20" s="1">
        <f>IF(vend9[[#This Row],[Nº Venda]]&gt;1,1,0)</f>
        <v>0</v>
      </c>
    </row>
    <row r="21" spans="2:18" ht="16.5" x14ac:dyDescent="0.3">
      <c r="B21" s="27"/>
      <c r="C21" s="27"/>
      <c r="D21" s="30"/>
      <c r="E21" s="75"/>
      <c r="F21" s="76"/>
      <c r="G21" s="51"/>
      <c r="H21" s="39"/>
      <c r="I21" s="39"/>
      <c r="J21" s="30"/>
      <c r="K21" s="75">
        <v>11086</v>
      </c>
      <c r="L21" s="89" t="s">
        <v>128</v>
      </c>
      <c r="M21" s="44" t="s">
        <v>146</v>
      </c>
    </row>
    <row r="22" spans="2:18" ht="16.5" x14ac:dyDescent="0.3">
      <c r="B22" s="31" t="s">
        <v>25</v>
      </c>
      <c r="C22" s="34">
        <f>C5</f>
        <v>2641</v>
      </c>
      <c r="D22" s="30"/>
      <c r="E22" s="77"/>
      <c r="F22" s="76"/>
      <c r="G22" s="51"/>
      <c r="H22" s="39"/>
      <c r="I22" s="39"/>
      <c r="J22" s="30"/>
      <c r="K22" s="75">
        <v>11099</v>
      </c>
      <c r="L22" s="89" t="s">
        <v>130</v>
      </c>
      <c r="M22" s="44" t="s">
        <v>146</v>
      </c>
    </row>
    <row r="23" spans="2:18" ht="16.5" x14ac:dyDescent="0.3">
      <c r="B23" s="30"/>
      <c r="C23" s="30"/>
      <c r="D23" s="30"/>
      <c r="E23" s="35"/>
      <c r="F23" s="35"/>
      <c r="G23" s="35"/>
      <c r="H23" s="36"/>
      <c r="I23" s="37"/>
      <c r="J23" s="30"/>
      <c r="K23" s="75">
        <v>11111</v>
      </c>
      <c r="L23" s="89" t="s">
        <v>130</v>
      </c>
      <c r="M23" s="44" t="s">
        <v>146</v>
      </c>
    </row>
    <row r="24" spans="2:18" ht="16.5" x14ac:dyDescent="0.3">
      <c r="B24" s="30"/>
      <c r="C24" s="30"/>
      <c r="D24" s="30"/>
      <c r="E24" s="100" t="s">
        <v>138</v>
      </c>
      <c r="F24" s="101"/>
      <c r="G24" s="101"/>
      <c r="H24" s="101"/>
      <c r="I24" s="101"/>
      <c r="J24" s="30"/>
      <c r="K24" s="75">
        <v>11124</v>
      </c>
      <c r="L24" s="89" t="s">
        <v>128</v>
      </c>
      <c r="M24" s="44" t="s">
        <v>146</v>
      </c>
    </row>
    <row r="25" spans="2:18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5">
        <v>11147</v>
      </c>
      <c r="L25" s="89" t="s">
        <v>130</v>
      </c>
      <c r="M25" s="44" t="s">
        <v>146</v>
      </c>
    </row>
    <row r="26" spans="2:18" ht="16.5" x14ac:dyDescent="0.3">
      <c r="B26" s="30"/>
      <c r="C26" s="30"/>
      <c r="D26" s="30"/>
      <c r="E26" s="75">
        <v>11038</v>
      </c>
      <c r="F26" s="76" t="s">
        <v>242</v>
      </c>
      <c r="G26" s="51" t="s">
        <v>8</v>
      </c>
      <c r="H26" s="39"/>
      <c r="I26" s="39">
        <v>240</v>
      </c>
      <c r="J26" s="30"/>
      <c r="K26" s="75">
        <v>11155</v>
      </c>
      <c r="L26" s="89" t="s">
        <v>128</v>
      </c>
      <c r="M26" s="44" t="s">
        <v>146</v>
      </c>
    </row>
    <row r="27" spans="2:18" ht="16.5" x14ac:dyDescent="0.3">
      <c r="B27" s="30"/>
      <c r="C27" s="30"/>
      <c r="D27" s="30"/>
      <c r="E27" s="75">
        <v>11099</v>
      </c>
      <c r="F27" s="76" t="s">
        <v>228</v>
      </c>
      <c r="G27" s="51" t="s">
        <v>7</v>
      </c>
      <c r="H27" s="39">
        <v>180</v>
      </c>
      <c r="I27" s="39">
        <v>180</v>
      </c>
      <c r="J27" s="30"/>
      <c r="K27" s="75">
        <v>11168</v>
      </c>
      <c r="L27" s="89" t="s">
        <v>128</v>
      </c>
      <c r="M27" s="44" t="s">
        <v>146</v>
      </c>
    </row>
    <row r="28" spans="2:18" ht="16.5" x14ac:dyDescent="0.3">
      <c r="B28" s="30"/>
      <c r="C28" s="30"/>
      <c r="D28" s="30"/>
      <c r="E28" s="75">
        <v>11111</v>
      </c>
      <c r="F28" s="76" t="s">
        <v>200</v>
      </c>
      <c r="G28" s="50" t="s">
        <v>6</v>
      </c>
      <c r="H28" s="39"/>
      <c r="I28" s="39">
        <v>20</v>
      </c>
      <c r="J28" s="30"/>
      <c r="K28" s="75">
        <v>11169</v>
      </c>
      <c r="L28" s="89" t="s">
        <v>128</v>
      </c>
      <c r="M28" s="44" t="s">
        <v>146</v>
      </c>
    </row>
    <row r="29" spans="2:18" ht="16.5" x14ac:dyDescent="0.3">
      <c r="B29" s="30"/>
      <c r="C29" s="30"/>
      <c r="D29" s="30"/>
      <c r="E29" s="75">
        <v>11155</v>
      </c>
      <c r="F29" s="76" t="s">
        <v>181</v>
      </c>
      <c r="G29" s="51" t="s">
        <v>7</v>
      </c>
      <c r="H29" s="39">
        <v>40</v>
      </c>
      <c r="I29" s="39">
        <v>40</v>
      </c>
      <c r="J29" s="30"/>
      <c r="K29" s="75">
        <v>11175</v>
      </c>
      <c r="L29" s="89" t="s">
        <v>130</v>
      </c>
      <c r="M29" s="44" t="s">
        <v>146</v>
      </c>
    </row>
    <row r="30" spans="2:18" ht="16.5" x14ac:dyDescent="0.3">
      <c r="B30" s="30"/>
      <c r="C30" s="30"/>
      <c r="D30" s="30"/>
      <c r="E30" s="75"/>
      <c r="F30" s="51"/>
      <c r="G30" s="51"/>
      <c r="H30" s="39"/>
      <c r="I30" s="39"/>
      <c r="J30" s="30"/>
      <c r="K30" s="75"/>
      <c r="L30" s="89"/>
      <c r="M30" s="44"/>
    </row>
    <row r="31" spans="2:18" ht="16.5" x14ac:dyDescent="0.3">
      <c r="B31" s="30"/>
      <c r="C31" s="30"/>
      <c r="D31" s="30"/>
      <c r="E31" s="77"/>
      <c r="F31" s="78"/>
      <c r="G31" s="42"/>
      <c r="H31" s="43"/>
      <c r="I31" s="43"/>
      <c r="J31" s="30"/>
      <c r="K31" s="75"/>
      <c r="L31" s="89"/>
      <c r="M31" s="44"/>
    </row>
    <row r="32" spans="2:18" ht="16.5" x14ac:dyDescent="0.3">
      <c r="B32" s="30"/>
      <c r="C32" s="30"/>
      <c r="D32" s="38"/>
      <c r="E32" s="35"/>
      <c r="F32" s="35"/>
      <c r="G32" s="35"/>
      <c r="H32" s="37"/>
      <c r="I32" s="37"/>
      <c r="J32" s="38"/>
      <c r="K32" s="33"/>
      <c r="L32" s="33"/>
      <c r="M32" s="33"/>
    </row>
    <row r="33" spans="2:18" ht="16.5" x14ac:dyDescent="0.3">
      <c r="B33" s="30"/>
      <c r="C33" s="30"/>
      <c r="D33" s="38"/>
      <c r="E33" s="100" t="s">
        <v>139</v>
      </c>
      <c r="F33" s="101"/>
      <c r="G33" s="101"/>
      <c r="H33" s="101"/>
      <c r="I33" s="101"/>
      <c r="J33" s="38"/>
      <c r="K33" s="102" t="s">
        <v>140</v>
      </c>
      <c r="L33" s="103"/>
      <c r="M33" s="104"/>
    </row>
    <row r="34" spans="2:18" ht="16.5" x14ac:dyDescent="0.3">
      <c r="B34" s="38"/>
      <c r="C34" s="38"/>
      <c r="D34" s="38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75">
        <v>10001</v>
      </c>
      <c r="F35" s="76" t="s">
        <v>204</v>
      </c>
      <c r="G35" s="51" t="s">
        <v>7</v>
      </c>
      <c r="H35" s="39">
        <v>97.15</v>
      </c>
      <c r="I35" s="39" t="s">
        <v>57</v>
      </c>
      <c r="J35" s="38"/>
      <c r="K35" s="75"/>
      <c r="L35" s="75"/>
      <c r="M35" s="89"/>
    </row>
    <row r="36" spans="2:18" ht="16.5" customHeight="1" x14ac:dyDescent="0.25">
      <c r="B36" s="38"/>
      <c r="C36" s="38"/>
      <c r="D36" s="38"/>
      <c r="E36" s="81">
        <v>10433</v>
      </c>
      <c r="F36" s="76" t="s">
        <v>208</v>
      </c>
      <c r="G36" s="51" t="s">
        <v>7</v>
      </c>
      <c r="H36" s="39">
        <v>49.85</v>
      </c>
      <c r="I36" s="39" t="s">
        <v>51</v>
      </c>
      <c r="J36" s="38"/>
      <c r="K36" s="75"/>
      <c r="L36" s="75"/>
      <c r="M36" s="89"/>
    </row>
    <row r="37" spans="2:18" ht="16.5" customHeight="1" x14ac:dyDescent="0.25">
      <c r="B37" s="38"/>
      <c r="C37" s="38"/>
      <c r="D37" s="38"/>
      <c r="E37" s="75">
        <v>10433</v>
      </c>
      <c r="F37" s="76" t="s">
        <v>208</v>
      </c>
      <c r="G37" s="51" t="s">
        <v>7</v>
      </c>
      <c r="H37" s="39">
        <v>49.85</v>
      </c>
      <c r="I37" s="39" t="s">
        <v>45</v>
      </c>
      <c r="J37" s="38"/>
      <c r="K37" s="75"/>
      <c r="L37" s="75"/>
      <c r="M37" s="89"/>
    </row>
    <row r="38" spans="2:18" ht="16.5" customHeight="1" x14ac:dyDescent="0.25">
      <c r="B38" s="38"/>
      <c r="C38" s="38"/>
      <c r="D38" s="38"/>
      <c r="E38" s="81">
        <v>10433</v>
      </c>
      <c r="F38" s="76" t="s">
        <v>208</v>
      </c>
      <c r="G38" s="51" t="s">
        <v>7</v>
      </c>
      <c r="H38" s="39">
        <v>49.85</v>
      </c>
      <c r="I38" s="39" t="s">
        <v>37</v>
      </c>
      <c r="J38" s="38"/>
      <c r="K38" s="75"/>
      <c r="L38" s="75"/>
      <c r="M38" s="89"/>
    </row>
    <row r="39" spans="2:18" ht="16.5" customHeight="1" x14ac:dyDescent="0.25">
      <c r="B39" s="38"/>
      <c r="C39" s="38"/>
      <c r="D39" s="38"/>
      <c r="E39" s="75">
        <v>10433</v>
      </c>
      <c r="F39" s="76" t="s">
        <v>208</v>
      </c>
      <c r="G39" s="51" t="s">
        <v>7</v>
      </c>
      <c r="H39" s="39">
        <v>49.85</v>
      </c>
      <c r="I39" s="39" t="s">
        <v>40</v>
      </c>
      <c r="J39" s="38"/>
      <c r="K39" s="75"/>
      <c r="L39" s="75"/>
      <c r="M39" s="89"/>
    </row>
    <row r="40" spans="2:18" ht="16.5" customHeight="1" x14ac:dyDescent="0.25">
      <c r="B40" s="38"/>
      <c r="C40" s="38"/>
      <c r="D40" s="38"/>
      <c r="E40" s="81">
        <v>10433</v>
      </c>
      <c r="F40" s="76" t="s">
        <v>208</v>
      </c>
      <c r="G40" s="51" t="s">
        <v>7</v>
      </c>
      <c r="H40" s="39">
        <v>49.85</v>
      </c>
      <c r="I40" s="39" t="s">
        <v>56</v>
      </c>
      <c r="J40" s="38"/>
      <c r="K40" s="77"/>
      <c r="L40" s="77"/>
      <c r="M40" s="90"/>
      <c r="Q40" s="1" t="s">
        <v>33</v>
      </c>
      <c r="R40" s="1">
        <f>SUM(R6:R21)</f>
        <v>10</v>
      </c>
    </row>
    <row r="41" spans="2:18" ht="16.5" customHeight="1" x14ac:dyDescent="0.25">
      <c r="B41" s="38"/>
      <c r="C41" s="38"/>
      <c r="D41" s="38"/>
      <c r="E41" s="75">
        <v>10433</v>
      </c>
      <c r="F41" s="76" t="s">
        <v>208</v>
      </c>
      <c r="G41" s="51" t="s">
        <v>7</v>
      </c>
      <c r="H41" s="39">
        <v>49.85</v>
      </c>
      <c r="I41" s="39" t="s">
        <v>57</v>
      </c>
      <c r="J41" s="38"/>
      <c r="K41" s="75"/>
      <c r="L41" s="75"/>
      <c r="M41" s="90"/>
    </row>
    <row r="42" spans="2:18" ht="13.5" x14ac:dyDescent="0.25">
      <c r="B42" s="38"/>
      <c r="C42" s="38"/>
      <c r="D42" s="38"/>
      <c r="E42" s="88">
        <v>9092</v>
      </c>
      <c r="F42" s="42" t="s">
        <v>227</v>
      </c>
      <c r="G42" s="42" t="s">
        <v>7</v>
      </c>
      <c r="H42" s="43">
        <v>106</v>
      </c>
      <c r="I42" s="43" t="s">
        <v>44</v>
      </c>
      <c r="J42" s="38"/>
      <c r="K42" s="77"/>
      <c r="L42" s="75"/>
      <c r="M42" s="89"/>
    </row>
    <row r="43" spans="2:18" ht="13.5" x14ac:dyDescent="0.25">
      <c r="B43" s="38"/>
      <c r="C43" s="38"/>
      <c r="D43" s="38"/>
      <c r="E43" s="35"/>
      <c r="F43" s="35"/>
      <c r="G43" s="35"/>
      <c r="H43" s="37"/>
      <c r="I43" s="37"/>
      <c r="J43" s="38"/>
      <c r="K43" s="33"/>
      <c r="L43" s="33"/>
      <c r="M43" s="33"/>
    </row>
    <row r="44" spans="2:18" ht="13.5" x14ac:dyDescent="0.25">
      <c r="B44" s="38"/>
      <c r="C44" s="38"/>
      <c r="D44" s="38"/>
      <c r="E44" s="35"/>
      <c r="F44" s="35"/>
      <c r="G44" s="35"/>
      <c r="H44" s="37"/>
      <c r="I44" s="37"/>
      <c r="J44" s="38"/>
      <c r="K44" s="33"/>
      <c r="L44" s="33"/>
      <c r="M44" s="33"/>
    </row>
    <row r="45" spans="2:18" ht="13.5" x14ac:dyDescent="0.25">
      <c r="B45" s="38"/>
      <c r="C45" s="38"/>
      <c r="D45" s="38"/>
      <c r="E45" s="35"/>
      <c r="F45" s="35"/>
      <c r="G45" s="35"/>
      <c r="H45" s="37"/>
      <c r="I45" s="37"/>
      <c r="J45" s="38"/>
      <c r="K45" s="33"/>
      <c r="L45" s="33"/>
      <c r="M45" s="33"/>
    </row>
    <row r="46" spans="2:18" ht="13.5" x14ac:dyDescent="0.25">
      <c r="K46" s="33"/>
      <c r="L46" s="33"/>
      <c r="M46" s="33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2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ADFF7E4-4584-48B2-844D-3DA81E973A80}">
          <x14:formula1>
            <xm:f>base!$E$2:$E$79</xm:f>
          </x14:formula1>
          <xm:sqref>I35:I42</xm:sqref>
        </x14:dataValidation>
        <x14:dataValidation type="list" allowBlank="1" showInputMessage="1" showErrorMessage="1" xr:uid="{CC40C830-BA5E-4A3B-AC03-9D90B3DBE224}">
          <x14:formula1>
            <xm:f>resumo_cx!$P$2:$P$18</xm:f>
          </x14:formula1>
          <xm:sqref>L15:L31</xm:sqref>
        </x14:dataValidation>
        <x14:dataValidation type="list" allowBlank="1" showInputMessage="1" showErrorMessage="1" xr:uid="{7738E1C6-5141-47A8-BB9F-80B6EEAD326F}">
          <x14:formula1>
            <xm:f>base_OS!$A$2:$A$15000</xm:f>
          </x14:formula1>
          <xm:sqref>E6:E22 E26:E31 K15:K31 E35:E42 K35:K42</xm:sqref>
        </x14:dataValidation>
        <x14:dataValidation type="list" allowBlank="1" showInputMessage="1" showErrorMessage="1" xr:uid="{22AFCA31-3D3D-4524-8B45-1A8AA92BC219}">
          <x14:formula1>
            <xm:f>base!$A$2:$A$8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base!$A$2:$A$5</xm:f>
          </x14:formula1>
          <xm:sqref>G26:G31 G35:G42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6"/>
  <sheetViews>
    <sheetView showGridLines="0" view="pageBreakPreview" topLeftCell="C8" zoomScale="60" zoomScaleNormal="90" workbookViewId="0">
      <selection activeCell="M20" sqref="M2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'09'!B1+1</f>
        <v>45818</v>
      </c>
      <c r="C1" s="98"/>
      <c r="L1" s="99" t="s">
        <v>143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5" t="s">
        <v>0</v>
      </c>
      <c r="C4" s="26">
        <v>0</v>
      </c>
      <c r="D4" s="58"/>
      <c r="E4" s="108" t="s">
        <v>136</v>
      </c>
      <c r="F4" s="108"/>
      <c r="G4" s="108"/>
      <c r="H4" s="108"/>
      <c r="I4" s="108"/>
      <c r="J4" s="30"/>
      <c r="K4" s="102" t="s">
        <v>137</v>
      </c>
      <c r="L4" s="103"/>
      <c r="M4" s="104"/>
    </row>
    <row r="5" spans="2:18" ht="16.5" x14ac:dyDescent="0.3">
      <c r="B5" s="28" t="s">
        <v>1</v>
      </c>
      <c r="C5" s="29">
        <f>SUMIF(I6:I31,"&gt;0",H6:H31)</f>
        <v>1275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18" ht="16.5" x14ac:dyDescent="0.3">
      <c r="B6" s="28" t="s">
        <v>2</v>
      </c>
      <c r="C6" s="29">
        <f>C16</f>
        <v>2304.27</v>
      </c>
      <c r="D6" s="30"/>
      <c r="E6" s="75">
        <v>11177</v>
      </c>
      <c r="F6" s="76" t="s">
        <v>233</v>
      </c>
      <c r="G6" s="50" t="s">
        <v>7</v>
      </c>
      <c r="H6" s="39">
        <v>290</v>
      </c>
      <c r="I6" s="39">
        <v>100</v>
      </c>
      <c r="J6" s="30"/>
      <c r="K6" s="76" t="s">
        <v>161</v>
      </c>
      <c r="L6" s="89" t="s">
        <v>10</v>
      </c>
      <c r="M6" s="44">
        <v>3.67</v>
      </c>
      <c r="R6" s="1">
        <f>IF(vend10[[#This Row],[Nº Venda]]&gt;1,1,0)</f>
        <v>1</v>
      </c>
    </row>
    <row r="7" spans="2:18" ht="16.5" x14ac:dyDescent="0.3">
      <c r="B7" s="28" t="s">
        <v>3</v>
      </c>
      <c r="C7" s="29">
        <f>SUM(M6:M11)</f>
        <v>146.66999999999999</v>
      </c>
      <c r="D7" s="30"/>
      <c r="E7" s="75">
        <v>11178</v>
      </c>
      <c r="F7" s="76" t="s">
        <v>229</v>
      </c>
      <c r="G7" s="50" t="s">
        <v>7</v>
      </c>
      <c r="H7" s="39">
        <v>35</v>
      </c>
      <c r="I7" s="39">
        <v>35</v>
      </c>
      <c r="J7" s="30"/>
      <c r="K7" s="76" t="s">
        <v>335</v>
      </c>
      <c r="L7" s="89" t="s">
        <v>6</v>
      </c>
      <c r="M7" s="44">
        <v>143</v>
      </c>
      <c r="R7" s="1">
        <f>IF(vend10[[#This Row],[Nº Venda]]&gt;1,1,0)</f>
        <v>1</v>
      </c>
    </row>
    <row r="8" spans="2:18" ht="16.5" x14ac:dyDescent="0.3">
      <c r="B8" s="31" t="s">
        <v>21</v>
      </c>
      <c r="C8" s="32">
        <f>SUM(C6:C7)</f>
        <v>2450.94</v>
      </c>
      <c r="D8" s="30"/>
      <c r="E8" s="75">
        <v>11179</v>
      </c>
      <c r="F8" s="76" t="s">
        <v>234</v>
      </c>
      <c r="G8" s="51" t="s">
        <v>8</v>
      </c>
      <c r="H8" s="39">
        <v>648</v>
      </c>
      <c r="I8" s="39">
        <v>648</v>
      </c>
      <c r="J8" s="30"/>
      <c r="K8" s="76"/>
      <c r="L8" s="89"/>
      <c r="M8" s="44"/>
      <c r="R8" s="1">
        <f>IF(vend10[[#This Row],[Nº Venda]]&gt;1,1,0)</f>
        <v>1</v>
      </c>
    </row>
    <row r="9" spans="2:18" ht="16.5" x14ac:dyDescent="0.3">
      <c r="B9" s="27"/>
      <c r="C9" s="27"/>
      <c r="D9" s="30"/>
      <c r="E9" s="75">
        <v>11180</v>
      </c>
      <c r="F9" s="76" t="s">
        <v>234</v>
      </c>
      <c r="G9" s="51" t="s">
        <v>8</v>
      </c>
      <c r="H9" s="39">
        <v>302</v>
      </c>
      <c r="I9" s="39">
        <v>302</v>
      </c>
      <c r="J9" s="30"/>
      <c r="K9" s="76"/>
      <c r="L9" s="89"/>
      <c r="M9" s="44"/>
      <c r="R9" s="1">
        <f>IF(vend10[[#This Row],[Nº Venda]]&gt;1,1,0)</f>
        <v>1</v>
      </c>
    </row>
    <row r="10" spans="2:18" ht="16.5" x14ac:dyDescent="0.3">
      <c r="B10" s="109" t="s">
        <v>5</v>
      </c>
      <c r="C10" s="110"/>
      <c r="D10" s="30"/>
      <c r="E10" s="75"/>
      <c r="F10" s="76"/>
      <c r="G10" s="51"/>
      <c r="H10" s="39"/>
      <c r="I10" s="39"/>
      <c r="J10" s="30"/>
      <c r="K10" s="76"/>
      <c r="L10" s="89"/>
      <c r="M10" s="44"/>
      <c r="R10" s="1">
        <f>IF(vend10[[#This Row],[Nº Venda]]&gt;1,1,0)</f>
        <v>0</v>
      </c>
    </row>
    <row r="11" spans="2:18" ht="16.5" x14ac:dyDescent="0.3">
      <c r="B11" s="28" t="s">
        <v>6</v>
      </c>
      <c r="C11" s="69">
        <f>(SUMIF($G$2:$G$31,B11,$I$2:$I$31))+(SUMIF($G$35:$G$42,B11,$H$35:$H$42))</f>
        <v>163.32999999999998</v>
      </c>
      <c r="D11" s="30"/>
      <c r="E11" s="75"/>
      <c r="F11" s="76"/>
      <c r="G11" s="51"/>
      <c r="H11" s="39"/>
      <c r="I11" s="39"/>
      <c r="J11" s="30"/>
      <c r="K11" s="38"/>
      <c r="L11" s="89"/>
      <c r="M11" s="44"/>
      <c r="O11" s="1">
        <f>IF(C16=0,0,1)</f>
        <v>1</v>
      </c>
      <c r="R11" s="1">
        <f>IF(vend10[[#This Row],[Nº Venda]]&gt;1,1,0)</f>
        <v>0</v>
      </c>
    </row>
    <row r="12" spans="2:18" ht="16.5" x14ac:dyDescent="0.3">
      <c r="B12" s="28" t="s">
        <v>7</v>
      </c>
      <c r="C12" s="69">
        <f>(SUMIF($G$2:$G$31,B12,$I$2:$I$31))+(SUMIF($G$35:$G$42,B12,$H$35:$H$42))</f>
        <v>425</v>
      </c>
      <c r="D12" s="30"/>
      <c r="E12" s="75"/>
      <c r="F12" s="76"/>
      <c r="G12" s="51"/>
      <c r="H12" s="39"/>
      <c r="I12" s="39"/>
      <c r="J12" s="30"/>
      <c r="K12" s="33"/>
      <c r="L12" s="33"/>
      <c r="M12" s="33"/>
      <c r="R12" s="1">
        <f>IF(vend10[[#This Row],[Nº Venda]]&gt;1,1,0)</f>
        <v>0</v>
      </c>
    </row>
    <row r="13" spans="2:18" ht="16.5" x14ac:dyDescent="0.3">
      <c r="B13" s="28" t="s">
        <v>8</v>
      </c>
      <c r="C13" s="69">
        <f>(SUMIF($G$2:$G$31,B13,$I$2:$I$31))+(SUMIF($G$35:$G$42,B13,$H$35:$H$42))</f>
        <v>950</v>
      </c>
      <c r="D13" s="30"/>
      <c r="E13" s="75"/>
      <c r="F13" s="76"/>
      <c r="G13" s="51"/>
      <c r="H13" s="39"/>
      <c r="I13" s="39"/>
      <c r="J13" s="30"/>
      <c r="K13" s="102" t="s">
        <v>141</v>
      </c>
      <c r="L13" s="103"/>
      <c r="M13" s="104"/>
      <c r="R13" s="1">
        <f>IF(vend10[[#This Row],[Nº Venda]]&gt;1,1,0)</f>
        <v>0</v>
      </c>
    </row>
    <row r="14" spans="2:18" ht="16.5" x14ac:dyDescent="0.3">
      <c r="B14" s="28" t="s">
        <v>9</v>
      </c>
      <c r="C14" s="69">
        <f>(SUMIF($G$2:$G$31,B14,$I$2:$I$31))+(SUMIF($G$35:$G$42,B14,$H$35:$H$42))</f>
        <v>0</v>
      </c>
      <c r="D14" s="30"/>
      <c r="E14" s="75"/>
      <c r="F14" s="76"/>
      <c r="G14" s="51"/>
      <c r="H14" s="39"/>
      <c r="I14" s="39"/>
      <c r="J14" s="30"/>
      <c r="K14" s="22" t="s">
        <v>22</v>
      </c>
      <c r="L14" s="23" t="s">
        <v>23</v>
      </c>
      <c r="M14" s="24" t="s">
        <v>24</v>
      </c>
      <c r="R14" s="1">
        <f>IF(vend10[[#This Row],[Nº Venda]]&gt;1,1,0)</f>
        <v>0</v>
      </c>
    </row>
    <row r="15" spans="2:18" ht="16.5" x14ac:dyDescent="0.3">
      <c r="B15" s="28" t="s">
        <v>10</v>
      </c>
      <c r="C15" s="69">
        <f>(SUMIF($G$2:$G$31,B15,$I$2:$I$31))+(SUMIF($G$35:$G$42,B15,$H$35:$H$42))</f>
        <v>765.93999999999994</v>
      </c>
      <c r="D15" s="30"/>
      <c r="E15" s="75"/>
      <c r="F15" s="76"/>
      <c r="G15" s="51"/>
      <c r="H15" s="39"/>
      <c r="I15" s="39"/>
      <c r="J15" s="30"/>
      <c r="K15" s="75">
        <v>11040</v>
      </c>
      <c r="L15" s="89" t="s">
        <v>128</v>
      </c>
      <c r="M15" s="44" t="s">
        <v>162</v>
      </c>
      <c r="R15" s="1">
        <f>IF(vend10[[#This Row],[Nº Venda]]&gt;1,1,0)</f>
        <v>0</v>
      </c>
    </row>
    <row r="16" spans="2:18" ht="16.5" x14ac:dyDescent="0.3">
      <c r="B16" s="31" t="s">
        <v>11</v>
      </c>
      <c r="C16" s="70">
        <f>SUM(C11:C15)</f>
        <v>2304.27</v>
      </c>
      <c r="D16" s="30"/>
      <c r="E16" s="75"/>
      <c r="F16" s="76"/>
      <c r="G16" s="51"/>
      <c r="H16" s="39"/>
      <c r="I16" s="39"/>
      <c r="J16" s="30"/>
      <c r="K16" s="75">
        <v>11121</v>
      </c>
      <c r="L16" s="89" t="s">
        <v>128</v>
      </c>
      <c r="M16" s="44" t="s">
        <v>146</v>
      </c>
      <c r="R16" s="1">
        <f>IF(vend10[[#This Row],[Nº Venda]]&gt;1,1,0)</f>
        <v>0</v>
      </c>
    </row>
    <row r="17" spans="2:18" ht="16.5" x14ac:dyDescent="0.3">
      <c r="B17" s="27"/>
      <c r="C17" s="27"/>
      <c r="D17" s="30"/>
      <c r="E17" s="75"/>
      <c r="F17" s="76"/>
      <c r="G17" s="51"/>
      <c r="H17" s="39"/>
      <c r="I17" s="39"/>
      <c r="J17" s="30"/>
      <c r="K17" s="75">
        <v>11126</v>
      </c>
      <c r="L17" s="89" t="s">
        <v>128</v>
      </c>
      <c r="M17" s="44" t="s">
        <v>146</v>
      </c>
      <c r="R17" s="1">
        <f>IF(vend10[[#This Row],[Nº Venda]]&gt;1,1,0)</f>
        <v>0</v>
      </c>
    </row>
    <row r="18" spans="2:18" ht="16.5" x14ac:dyDescent="0.3">
      <c r="B18" s="109" t="s">
        <v>12</v>
      </c>
      <c r="C18" s="110"/>
      <c r="D18" s="30"/>
      <c r="E18" s="75"/>
      <c r="F18" s="76"/>
      <c r="G18" s="51"/>
      <c r="H18" s="39"/>
      <c r="I18" s="39"/>
      <c r="J18" s="30"/>
      <c r="K18" s="75">
        <v>11130</v>
      </c>
      <c r="L18" s="89" t="s">
        <v>128</v>
      </c>
      <c r="M18" s="44" t="s">
        <v>162</v>
      </c>
      <c r="R18" s="1">
        <f>IF(vend10[[#This Row],[Nº Venda]]&gt;1,1,0)</f>
        <v>0</v>
      </c>
    </row>
    <row r="19" spans="2:18" ht="16.5" x14ac:dyDescent="0.3">
      <c r="B19" s="28">
        <f>COUNT(entr_carn10[OS])</f>
        <v>1</v>
      </c>
      <c r="C19" s="69">
        <f>SUM(entr_carn10[Valor Total])</f>
        <v>689</v>
      </c>
      <c r="D19" s="30"/>
      <c r="E19" s="75"/>
      <c r="F19" s="76"/>
      <c r="G19" s="51"/>
      <c r="H19" s="39"/>
      <c r="I19" s="39"/>
      <c r="J19" s="30"/>
      <c r="K19" s="75"/>
      <c r="L19" s="89"/>
      <c r="M19" s="44"/>
      <c r="R19" s="1">
        <f>IF(vend10[[#This Row],[Nº Venda]]&gt;1,1,0)</f>
        <v>0</v>
      </c>
    </row>
    <row r="20" spans="2:18" ht="16.5" x14ac:dyDescent="0.3">
      <c r="B20" s="31" t="s">
        <v>11</v>
      </c>
      <c r="C20" s="70">
        <f>SUM(C19:C19)</f>
        <v>689</v>
      </c>
      <c r="D20" s="30"/>
      <c r="E20" s="75"/>
      <c r="F20" s="51"/>
      <c r="G20" s="51"/>
      <c r="H20" s="39"/>
      <c r="I20" s="39"/>
      <c r="J20" s="30"/>
      <c r="K20" s="75"/>
      <c r="L20" s="89"/>
      <c r="M20" s="44"/>
      <c r="R20" s="1">
        <f>IF(vend10[[#This Row],[Nº Venda]]&gt;1,1,0)</f>
        <v>0</v>
      </c>
    </row>
    <row r="21" spans="2:18" ht="16.5" x14ac:dyDescent="0.3">
      <c r="B21" s="27"/>
      <c r="C21" s="27"/>
      <c r="D21" s="30"/>
      <c r="E21" s="75"/>
      <c r="F21" s="76"/>
      <c r="G21" s="51"/>
      <c r="H21" s="39"/>
      <c r="I21" s="39"/>
      <c r="J21" s="30"/>
      <c r="K21" s="75"/>
      <c r="L21" s="89"/>
      <c r="M21" s="44"/>
    </row>
    <row r="22" spans="2:18" ht="16.5" x14ac:dyDescent="0.3">
      <c r="B22" s="31" t="s">
        <v>25</v>
      </c>
      <c r="C22" s="34">
        <f>C5</f>
        <v>1275</v>
      </c>
      <c r="D22" s="30"/>
      <c r="E22" s="77"/>
      <c r="F22" s="76"/>
      <c r="G22" s="51"/>
      <c r="H22" s="39"/>
      <c r="I22" s="39"/>
      <c r="J22" s="30"/>
      <c r="K22" s="75"/>
      <c r="L22" s="89"/>
      <c r="M22" s="44"/>
    </row>
    <row r="23" spans="2:18" ht="16.5" x14ac:dyDescent="0.3">
      <c r="B23" s="30"/>
      <c r="C23" s="30"/>
      <c r="D23" s="30"/>
      <c r="E23" s="35"/>
      <c r="F23" s="35"/>
      <c r="G23" s="35"/>
      <c r="H23" s="36"/>
      <c r="I23" s="37"/>
      <c r="J23" s="30"/>
      <c r="K23" s="75"/>
      <c r="L23" s="89"/>
      <c r="M23" s="44"/>
    </row>
    <row r="24" spans="2:18" ht="16.5" x14ac:dyDescent="0.3">
      <c r="B24" s="30"/>
      <c r="C24" s="30"/>
      <c r="D24" s="30"/>
      <c r="E24" s="100" t="s">
        <v>138</v>
      </c>
      <c r="F24" s="101"/>
      <c r="G24" s="101"/>
      <c r="H24" s="101"/>
      <c r="I24" s="101"/>
      <c r="J24" s="30"/>
      <c r="K24" s="75"/>
      <c r="L24" s="89"/>
      <c r="M24" s="44"/>
    </row>
    <row r="25" spans="2:18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5"/>
      <c r="L25" s="89"/>
      <c r="M25" s="44"/>
    </row>
    <row r="26" spans="2:18" ht="16.5" x14ac:dyDescent="0.3">
      <c r="B26" s="30"/>
      <c r="C26" s="30"/>
      <c r="D26" s="30"/>
      <c r="E26" s="75">
        <v>11040</v>
      </c>
      <c r="F26" s="76" t="s">
        <v>235</v>
      </c>
      <c r="G26" s="50" t="s">
        <v>6</v>
      </c>
      <c r="H26" s="39"/>
      <c r="I26" s="39">
        <v>100</v>
      </c>
      <c r="J26" s="30"/>
      <c r="K26" s="75"/>
      <c r="L26" s="89"/>
      <c r="M26" s="44"/>
    </row>
    <row r="27" spans="2:18" ht="16.5" x14ac:dyDescent="0.3">
      <c r="B27" s="30"/>
      <c r="C27" s="30"/>
      <c r="D27" s="30"/>
      <c r="E27" s="75"/>
      <c r="F27" s="76"/>
      <c r="G27" s="50"/>
      <c r="H27" s="39"/>
      <c r="I27" s="39"/>
      <c r="J27" s="30"/>
      <c r="K27" s="75"/>
      <c r="L27" s="89"/>
      <c r="M27" s="44"/>
    </row>
    <row r="28" spans="2:18" ht="16.5" x14ac:dyDescent="0.3">
      <c r="B28" s="30"/>
      <c r="C28" s="30"/>
      <c r="D28" s="30"/>
      <c r="E28" s="75"/>
      <c r="F28" s="76"/>
      <c r="G28" s="50"/>
      <c r="H28" s="39"/>
      <c r="I28" s="39"/>
      <c r="J28" s="30"/>
      <c r="K28" s="75"/>
      <c r="L28" s="89"/>
      <c r="M28" s="44"/>
    </row>
    <row r="29" spans="2:18" ht="16.5" x14ac:dyDescent="0.3">
      <c r="B29" s="30"/>
      <c r="C29" s="30"/>
      <c r="D29" s="30"/>
      <c r="E29" s="75"/>
      <c r="F29" s="76"/>
      <c r="G29" s="51"/>
      <c r="H29" s="39"/>
      <c r="I29" s="39"/>
      <c r="J29" s="30"/>
      <c r="K29" s="75"/>
      <c r="L29" s="89"/>
      <c r="M29" s="44"/>
    </row>
    <row r="30" spans="2:18" ht="16.5" x14ac:dyDescent="0.3">
      <c r="B30" s="30"/>
      <c r="C30" s="30"/>
      <c r="D30" s="30"/>
      <c r="E30" s="75"/>
      <c r="F30" s="51"/>
      <c r="G30" s="51"/>
      <c r="H30" s="39"/>
      <c r="I30" s="39"/>
      <c r="J30" s="30"/>
      <c r="K30" s="75"/>
      <c r="L30" s="89"/>
      <c r="M30" s="44"/>
    </row>
    <row r="31" spans="2:18" ht="16.5" x14ac:dyDescent="0.3">
      <c r="B31" s="30"/>
      <c r="C31" s="30"/>
      <c r="D31" s="30"/>
      <c r="E31" s="77"/>
      <c r="F31" s="78"/>
      <c r="G31" s="42"/>
      <c r="H31" s="43"/>
      <c r="I31" s="43"/>
      <c r="J31" s="30"/>
      <c r="K31" s="75"/>
      <c r="L31" s="89"/>
      <c r="M31" s="44"/>
    </row>
    <row r="32" spans="2:18" ht="16.5" x14ac:dyDescent="0.3">
      <c r="B32" s="30"/>
      <c r="C32" s="30"/>
      <c r="D32" s="38"/>
      <c r="E32" s="45"/>
      <c r="F32" s="46"/>
      <c r="G32" s="46"/>
      <c r="H32" s="47"/>
      <c r="I32" s="59"/>
      <c r="J32" s="38"/>
      <c r="K32" s="33"/>
      <c r="L32" s="33"/>
      <c r="M32" s="33"/>
    </row>
    <row r="33" spans="2:18" ht="16.5" x14ac:dyDescent="0.3">
      <c r="B33" s="30"/>
      <c r="C33" s="30"/>
      <c r="D33" s="38"/>
      <c r="E33" s="101" t="s">
        <v>142</v>
      </c>
      <c r="F33" s="101"/>
      <c r="G33" s="101"/>
      <c r="H33" s="101"/>
      <c r="I33" s="101"/>
      <c r="J33" s="38"/>
      <c r="K33" s="102" t="s">
        <v>140</v>
      </c>
      <c r="L33" s="103"/>
      <c r="M33" s="104"/>
    </row>
    <row r="34" spans="2:18" ht="16.5" x14ac:dyDescent="0.3">
      <c r="B34" s="38"/>
      <c r="C34" s="38"/>
      <c r="D34" s="38"/>
      <c r="E34" s="83" t="s">
        <v>22</v>
      </c>
      <c r="F34" s="84" t="s">
        <v>15</v>
      </c>
      <c r="G34" s="85" t="s">
        <v>16</v>
      </c>
      <c r="H34" s="86" t="s">
        <v>26</v>
      </c>
      <c r="I34" s="87" t="s">
        <v>27</v>
      </c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75">
        <v>9980</v>
      </c>
      <c r="F35" s="76" t="s">
        <v>237</v>
      </c>
      <c r="G35" s="51" t="s">
        <v>10</v>
      </c>
      <c r="H35" s="39">
        <v>100</v>
      </c>
      <c r="I35" s="39" t="s">
        <v>56</v>
      </c>
      <c r="J35" s="38"/>
      <c r="K35" s="75">
        <v>11040</v>
      </c>
      <c r="L35" s="75">
        <v>8</v>
      </c>
      <c r="M35" s="89">
        <v>689</v>
      </c>
    </row>
    <row r="36" spans="2:18" ht="16.5" customHeight="1" x14ac:dyDescent="0.25">
      <c r="B36" s="38"/>
      <c r="C36" s="38"/>
      <c r="D36" s="38"/>
      <c r="E36" s="77">
        <v>10041</v>
      </c>
      <c r="F36" s="76" t="s">
        <v>241</v>
      </c>
      <c r="G36" s="51" t="s">
        <v>10</v>
      </c>
      <c r="H36" s="39">
        <v>200</v>
      </c>
      <c r="I36" s="39" t="s">
        <v>52</v>
      </c>
      <c r="J36" s="38"/>
      <c r="K36" s="75"/>
      <c r="L36" s="75"/>
      <c r="M36" s="89"/>
    </row>
    <row r="37" spans="2:18" ht="16.5" customHeight="1" x14ac:dyDescent="0.25">
      <c r="B37" s="38"/>
      <c r="C37" s="38"/>
      <c r="D37" s="38"/>
      <c r="E37" s="75">
        <v>10058</v>
      </c>
      <c r="F37" s="76" t="s">
        <v>230</v>
      </c>
      <c r="G37" s="51" t="s">
        <v>7</v>
      </c>
      <c r="H37" s="39">
        <v>290</v>
      </c>
      <c r="I37" s="39" t="s">
        <v>93</v>
      </c>
      <c r="J37" s="38"/>
      <c r="K37" s="75"/>
      <c r="L37" s="75"/>
      <c r="M37" s="89"/>
    </row>
    <row r="38" spans="2:18" ht="16.5" customHeight="1" x14ac:dyDescent="0.25">
      <c r="B38" s="38"/>
      <c r="C38" s="38"/>
      <c r="D38" s="38"/>
      <c r="E38" s="75">
        <v>10210</v>
      </c>
      <c r="F38" s="76" t="s">
        <v>240</v>
      </c>
      <c r="G38" s="51" t="s">
        <v>10</v>
      </c>
      <c r="H38" s="39">
        <v>161</v>
      </c>
      <c r="I38" s="39" t="s">
        <v>93</v>
      </c>
      <c r="J38" s="38"/>
      <c r="K38" s="75"/>
      <c r="L38" s="75"/>
      <c r="M38" s="89"/>
    </row>
    <row r="39" spans="2:18" ht="16.5" customHeight="1" x14ac:dyDescent="0.25">
      <c r="B39" s="38"/>
      <c r="C39" s="38"/>
      <c r="D39" s="38"/>
      <c r="E39" s="82">
        <v>10757</v>
      </c>
      <c r="F39" s="76" t="s">
        <v>236</v>
      </c>
      <c r="G39" s="51" t="s">
        <v>6</v>
      </c>
      <c r="H39" s="39">
        <v>63.33</v>
      </c>
      <c r="I39" s="39" t="s">
        <v>38</v>
      </c>
      <c r="J39" s="38"/>
      <c r="K39" s="75"/>
      <c r="L39" s="75"/>
      <c r="M39" s="89"/>
    </row>
    <row r="40" spans="2:18" ht="16.5" customHeight="1" x14ac:dyDescent="0.25">
      <c r="B40" s="38"/>
      <c r="C40" s="38"/>
      <c r="D40" s="38"/>
      <c r="E40" s="77">
        <v>10811</v>
      </c>
      <c r="F40" s="78" t="s">
        <v>226</v>
      </c>
      <c r="G40" s="42" t="s">
        <v>10</v>
      </c>
      <c r="H40" s="43">
        <v>134.05000000000001</v>
      </c>
      <c r="I40" s="39" t="s">
        <v>41</v>
      </c>
      <c r="J40" s="38"/>
      <c r="K40" s="77"/>
      <c r="L40" s="77"/>
      <c r="M40" s="90"/>
      <c r="Q40" s="1" t="s">
        <v>33</v>
      </c>
      <c r="R40" s="1">
        <f>SUM(R6:R21)</f>
        <v>4</v>
      </c>
    </row>
    <row r="41" spans="2:18" ht="16.5" customHeight="1" x14ac:dyDescent="0.25">
      <c r="B41" s="38"/>
      <c r="C41" s="38"/>
      <c r="D41" s="38"/>
      <c r="E41" s="77">
        <v>10922</v>
      </c>
      <c r="F41" s="42" t="s">
        <v>238</v>
      </c>
      <c r="G41" s="42" t="s">
        <v>10</v>
      </c>
      <c r="H41" s="43">
        <v>50.9</v>
      </c>
      <c r="I41" s="39" t="s">
        <v>88</v>
      </c>
      <c r="J41" s="38"/>
      <c r="K41" s="75"/>
      <c r="L41" s="75"/>
      <c r="M41" s="90"/>
    </row>
    <row r="42" spans="2:18" ht="13.5" x14ac:dyDescent="0.25">
      <c r="B42" s="38"/>
      <c r="C42" s="38"/>
      <c r="D42" s="38"/>
      <c r="E42" s="77">
        <v>11004</v>
      </c>
      <c r="F42" s="78" t="s">
        <v>239</v>
      </c>
      <c r="G42" s="42" t="s">
        <v>10</v>
      </c>
      <c r="H42" s="43">
        <v>119.99</v>
      </c>
      <c r="I42" s="39" t="s">
        <v>66</v>
      </c>
      <c r="J42" s="38"/>
      <c r="K42" s="77"/>
      <c r="L42" s="75"/>
      <c r="M42" s="89"/>
    </row>
    <row r="43" spans="2:18" ht="13.5" x14ac:dyDescent="0.25">
      <c r="B43" s="38"/>
      <c r="C43" s="38"/>
      <c r="D43" s="38"/>
      <c r="E43" s="35"/>
      <c r="F43" s="35"/>
      <c r="G43" s="35"/>
      <c r="H43" s="37"/>
      <c r="I43" s="37"/>
      <c r="J43" s="38"/>
      <c r="K43" s="33"/>
      <c r="L43" s="33"/>
      <c r="M43" s="33"/>
    </row>
    <row r="44" spans="2:18" ht="13.5" x14ac:dyDescent="0.25">
      <c r="B44" s="38"/>
      <c r="C44" s="38"/>
      <c r="D44" s="38"/>
      <c r="E44" s="35"/>
      <c r="F44" s="35"/>
      <c r="G44" s="35"/>
      <c r="H44" s="37"/>
      <c r="I44" s="37"/>
      <c r="J44" s="38"/>
      <c r="K44" s="33"/>
      <c r="L44" s="33"/>
      <c r="M44" s="33"/>
    </row>
    <row r="45" spans="2:18" ht="13.5" x14ac:dyDescent="0.25">
      <c r="B45" s="38"/>
      <c r="C45" s="38"/>
      <c r="D45" s="38"/>
      <c r="E45" s="35"/>
      <c r="F45" s="35"/>
      <c r="G45" s="35"/>
      <c r="H45" s="37"/>
      <c r="I45" s="37"/>
      <c r="J45" s="38"/>
      <c r="K45" s="33"/>
      <c r="L45" s="33"/>
      <c r="M45" s="33"/>
    </row>
    <row r="46" spans="2:18" ht="13.5" x14ac:dyDescent="0.25">
      <c r="K46" s="33"/>
      <c r="L46" s="33"/>
      <c r="M46" s="33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2" xr:uid="{AD9A0320-9A30-41B2-9FAF-D01289640E0B}">
      <formula1>"1,2,3,4,5,6,7,8,9,10"</formula1>
    </dataValidation>
    <dataValidation type="list" allowBlank="1" showInputMessage="1" showErrorMessage="1" sqref="M15 M17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40A3EEF-C1AF-4F2A-B51B-7E555B1B8BD6}">
          <x14:formula1>
            <xm:f>resumo_cx!$P$2:$P$18</xm:f>
          </x14:formula1>
          <xm:sqref>L15:L31</xm:sqref>
        </x14:dataValidation>
        <x14:dataValidation type="list" allowBlank="1" showInputMessage="1" showErrorMessage="1" xr:uid="{7A763A56-ACB9-43B0-9088-3C67E178129C}">
          <x14:formula1>
            <xm:f>base_OS!$A$2:$A$15000</xm:f>
          </x14:formula1>
          <xm:sqref>E6:E22 E26:E31 K15:K31 E34:E42 K35:K42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I35:I42</xm:sqref>
        </x14:dataValidation>
        <x14:dataValidation type="list" allowBlank="1" showInputMessage="1" showErrorMessage="1" xr:uid="{B80BA27C-92FA-4E44-B45B-142D61BB934F}">
          <x14:formula1>
            <xm:f>base!$A$2:$A$5</xm:f>
          </x14:formula1>
          <xm:sqref>G26:G31 G35:G42</xm:sqref>
        </x14:dataValidation>
        <x14:dataValidation type="list" allowBlank="1" showInputMessage="1" showErrorMessage="1" xr:uid="{F59B2027-2773-449E-ABFB-BF6543795358}">
          <x14:formula1>
            <xm:f>base!$A$2:$A$8</xm:f>
          </x14:formula1>
          <xm:sqref>G6:G22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5"/>
  <sheetViews>
    <sheetView showGridLines="0" view="pageBreakPreview" topLeftCell="B15" zoomScale="60" zoomScaleNormal="90" workbookViewId="0">
      <selection activeCell="K7" sqref="K7:M7"/>
    </sheetView>
  </sheetViews>
  <sheetFormatPr defaultColWidth="9.140625" defaultRowHeight="12.75" x14ac:dyDescent="0.2"/>
  <cols>
    <col min="1" max="1" width="3.7109375" style="1" customWidth="1"/>
    <col min="2" max="2" width="27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'10'!B1+1</f>
        <v>45819</v>
      </c>
      <c r="C1" s="98"/>
      <c r="L1" s="99" t="s">
        <v>143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5" t="s">
        <v>0</v>
      </c>
      <c r="C4" s="26">
        <v>0</v>
      </c>
      <c r="D4" s="58"/>
      <c r="E4" s="108" t="s">
        <v>136</v>
      </c>
      <c r="F4" s="108"/>
      <c r="G4" s="108"/>
      <c r="H4" s="108"/>
      <c r="I4" s="108"/>
      <c r="J4" s="30"/>
      <c r="K4" s="102" t="s">
        <v>137</v>
      </c>
      <c r="L4" s="103"/>
      <c r="M4" s="104"/>
    </row>
    <row r="5" spans="2:18" ht="16.5" x14ac:dyDescent="0.3">
      <c r="B5" s="28" t="s">
        <v>1</v>
      </c>
      <c r="C5" s="29">
        <f>SUMIF(I6:I31,"&gt;0",H6:H31)</f>
        <v>6739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18" ht="16.5" x14ac:dyDescent="0.3">
      <c r="B6" s="28" t="s">
        <v>2</v>
      </c>
      <c r="C6" s="29">
        <f>C16</f>
        <v>9229</v>
      </c>
      <c r="D6" s="30"/>
      <c r="E6" s="75">
        <v>11181</v>
      </c>
      <c r="F6" s="76" t="s">
        <v>219</v>
      </c>
      <c r="G6" s="51" t="s">
        <v>6</v>
      </c>
      <c r="H6" s="39">
        <v>799</v>
      </c>
      <c r="I6" s="39">
        <v>100</v>
      </c>
      <c r="J6" s="30"/>
      <c r="K6" s="76" t="s">
        <v>335</v>
      </c>
      <c r="L6" s="89" t="s">
        <v>6</v>
      </c>
      <c r="M6" s="44">
        <v>100</v>
      </c>
      <c r="R6" s="1">
        <f>IF(vend11[[#This Row],[Nº Venda]]&gt;1,1,0)</f>
        <v>1</v>
      </c>
    </row>
    <row r="7" spans="2:18" ht="16.5" x14ac:dyDescent="0.3">
      <c r="B7" s="28" t="s">
        <v>3</v>
      </c>
      <c r="C7" s="29">
        <f>SUM(M6:M11)</f>
        <v>100</v>
      </c>
      <c r="D7" s="30"/>
      <c r="E7" s="75">
        <v>11182</v>
      </c>
      <c r="F7" s="76" t="s">
        <v>216</v>
      </c>
      <c r="G7" s="51" t="s">
        <v>8</v>
      </c>
      <c r="H7" s="39">
        <v>1099</v>
      </c>
      <c r="I7" s="39">
        <v>1099</v>
      </c>
      <c r="J7" s="30"/>
      <c r="K7" s="76"/>
      <c r="L7" s="89"/>
      <c r="M7" s="44"/>
      <c r="R7" s="1">
        <f>IF(vend11[[#This Row],[Nº Venda]]&gt;1,1,0)</f>
        <v>1</v>
      </c>
    </row>
    <row r="8" spans="2:18" ht="16.5" x14ac:dyDescent="0.3">
      <c r="B8" s="31" t="s">
        <v>21</v>
      </c>
      <c r="C8" s="32">
        <f>SUM(C6:C7)</f>
        <v>9329</v>
      </c>
      <c r="D8" s="30"/>
      <c r="E8" s="75">
        <v>11183</v>
      </c>
      <c r="F8" s="76" t="s">
        <v>216</v>
      </c>
      <c r="G8" s="51" t="s">
        <v>8</v>
      </c>
      <c r="H8" s="39">
        <v>391</v>
      </c>
      <c r="I8" s="39">
        <v>391</v>
      </c>
      <c r="J8" s="30"/>
      <c r="K8" s="76"/>
      <c r="L8" s="89"/>
      <c r="M8" s="44"/>
      <c r="R8" s="1">
        <f>IF(vend11[[#This Row],[Nº Venda]]&gt;1,1,0)</f>
        <v>1</v>
      </c>
    </row>
    <row r="9" spans="2:18" ht="16.5" x14ac:dyDescent="0.3">
      <c r="B9" s="27"/>
      <c r="C9" s="27"/>
      <c r="D9" s="30"/>
      <c r="E9" s="75">
        <v>11184</v>
      </c>
      <c r="F9" s="76" t="s">
        <v>216</v>
      </c>
      <c r="G9" s="51" t="s">
        <v>46</v>
      </c>
      <c r="H9" s="39">
        <v>0</v>
      </c>
      <c r="I9" s="39">
        <v>0</v>
      </c>
      <c r="J9" s="30"/>
      <c r="K9" s="76"/>
      <c r="L9" s="89"/>
      <c r="M9" s="44"/>
      <c r="R9" s="1">
        <f>IF(vend11[[#This Row],[Nº Venda]]&gt;1,1,0)</f>
        <v>1</v>
      </c>
    </row>
    <row r="10" spans="2:18" ht="16.5" x14ac:dyDescent="0.3">
      <c r="B10" s="109" t="s">
        <v>5</v>
      </c>
      <c r="C10" s="110"/>
      <c r="D10" s="30"/>
      <c r="E10" s="75">
        <v>11185</v>
      </c>
      <c r="F10" s="76" t="s">
        <v>217</v>
      </c>
      <c r="G10" s="51" t="s">
        <v>8</v>
      </c>
      <c r="H10" s="39">
        <v>2190</v>
      </c>
      <c r="I10" s="39">
        <v>2190</v>
      </c>
      <c r="J10" s="30"/>
      <c r="K10" s="76"/>
      <c r="L10" s="89"/>
      <c r="M10" s="44"/>
      <c r="R10" s="1">
        <f>IF(vend11[[#This Row],[Nº Venda]]&gt;1,1,0)</f>
        <v>1</v>
      </c>
    </row>
    <row r="11" spans="2:18" ht="16.5" x14ac:dyDescent="0.3">
      <c r="B11" s="28" t="s">
        <v>6</v>
      </c>
      <c r="C11" s="69">
        <f>(SUMIF($G$2:$G$31,B11,$I$2:$I$31))+(SUMIF($G$35:$G$41,B11,$H$35:$H$41))</f>
        <v>100</v>
      </c>
      <c r="D11" s="30"/>
      <c r="E11" s="75">
        <v>11186</v>
      </c>
      <c r="F11" s="76" t="s">
        <v>217</v>
      </c>
      <c r="G11" s="51" t="s">
        <v>46</v>
      </c>
      <c r="H11" s="39">
        <v>0</v>
      </c>
      <c r="I11" s="39">
        <v>0</v>
      </c>
      <c r="J11" s="30"/>
      <c r="K11" s="38"/>
      <c r="L11" s="89"/>
      <c r="M11" s="44"/>
      <c r="O11" s="1">
        <f>IF(C16=0,0,1)</f>
        <v>1</v>
      </c>
      <c r="R11" s="1">
        <f>IF(vend11[[#This Row],[Nº Venda]]&gt;1,1,0)</f>
        <v>1</v>
      </c>
    </row>
    <row r="12" spans="2:18" ht="16.5" x14ac:dyDescent="0.3">
      <c r="B12" s="28" t="s">
        <v>7</v>
      </c>
      <c r="C12" s="69">
        <f t="shared" ref="C12:C15" si="0">(SUMIF($G$2:$G$31,B12,$I$2:$I$31))+(SUMIF($G$35:$G$41,B12,$H$35:$H$41))</f>
        <v>0</v>
      </c>
      <c r="D12" s="30"/>
      <c r="E12" s="75">
        <v>11187</v>
      </c>
      <c r="F12" s="76" t="s">
        <v>221</v>
      </c>
      <c r="G12" s="51" t="s">
        <v>36</v>
      </c>
      <c r="H12" s="39">
        <v>0</v>
      </c>
      <c r="I12" s="39">
        <v>0</v>
      </c>
      <c r="J12" s="30"/>
      <c r="K12" s="33"/>
      <c r="L12" s="33"/>
      <c r="M12" s="33"/>
      <c r="R12" s="1">
        <f>IF(vend11[[#This Row],[Nº Venda]]&gt;1,1,0)</f>
        <v>1</v>
      </c>
    </row>
    <row r="13" spans="2:18" ht="16.5" x14ac:dyDescent="0.3">
      <c r="B13" s="28" t="s">
        <v>8</v>
      </c>
      <c r="C13" s="69">
        <f t="shared" si="0"/>
        <v>8969</v>
      </c>
      <c r="D13" s="30"/>
      <c r="E13" s="75">
        <v>11188</v>
      </c>
      <c r="F13" s="76" t="s">
        <v>222</v>
      </c>
      <c r="G13" s="51" t="s">
        <v>10</v>
      </c>
      <c r="H13" s="39">
        <v>160</v>
      </c>
      <c r="I13" s="39">
        <v>160</v>
      </c>
      <c r="J13" s="30"/>
      <c r="K13" s="102" t="s">
        <v>141</v>
      </c>
      <c r="L13" s="103"/>
      <c r="M13" s="104"/>
      <c r="R13" s="1">
        <f>IF(vend11[[#This Row],[Nº Venda]]&gt;1,1,0)</f>
        <v>1</v>
      </c>
    </row>
    <row r="14" spans="2:18" ht="16.5" x14ac:dyDescent="0.3">
      <c r="B14" s="28" t="s">
        <v>9</v>
      </c>
      <c r="C14" s="69">
        <f t="shared" si="0"/>
        <v>0</v>
      </c>
      <c r="D14" s="30"/>
      <c r="E14" s="75">
        <v>11189</v>
      </c>
      <c r="F14" s="76" t="s">
        <v>223</v>
      </c>
      <c r="G14" s="51" t="s">
        <v>36</v>
      </c>
      <c r="H14" s="39">
        <v>0</v>
      </c>
      <c r="I14" s="39">
        <v>0</v>
      </c>
      <c r="J14" s="30"/>
      <c r="K14" s="22" t="s">
        <v>22</v>
      </c>
      <c r="L14" s="23" t="s">
        <v>23</v>
      </c>
      <c r="M14" s="24" t="s">
        <v>24</v>
      </c>
      <c r="R14" s="1">
        <f>IF(vend11[[#This Row],[Nº Venda]]&gt;1,1,0)</f>
        <v>1</v>
      </c>
    </row>
    <row r="15" spans="2:18" ht="16.5" x14ac:dyDescent="0.3">
      <c r="B15" s="28" t="s">
        <v>10</v>
      </c>
      <c r="C15" s="69">
        <f t="shared" si="0"/>
        <v>160</v>
      </c>
      <c r="D15" s="30"/>
      <c r="E15" s="75">
        <v>11190</v>
      </c>
      <c r="F15" s="76" t="s">
        <v>224</v>
      </c>
      <c r="G15" s="51" t="s">
        <v>8</v>
      </c>
      <c r="H15" s="39">
        <v>2100</v>
      </c>
      <c r="I15" s="39">
        <v>2100</v>
      </c>
      <c r="J15" s="30"/>
      <c r="K15" s="75">
        <v>10939</v>
      </c>
      <c r="L15" s="89" t="s">
        <v>128</v>
      </c>
      <c r="M15" s="44" t="s">
        <v>146</v>
      </c>
      <c r="R15" s="1">
        <f>IF(vend11[[#This Row],[Nº Venda]]&gt;1,1,0)</f>
        <v>1</v>
      </c>
    </row>
    <row r="16" spans="2:18" ht="16.5" x14ac:dyDescent="0.3">
      <c r="B16" s="31" t="s">
        <v>11</v>
      </c>
      <c r="C16" s="70">
        <f>SUM(C11:C15)</f>
        <v>9229</v>
      </c>
      <c r="D16" s="30"/>
      <c r="E16" s="75"/>
      <c r="F16" s="76"/>
      <c r="G16" s="51"/>
      <c r="H16" s="39"/>
      <c r="I16" s="39"/>
      <c r="J16" s="30"/>
      <c r="K16" s="75">
        <v>10955</v>
      </c>
      <c r="L16" s="89" t="s">
        <v>134</v>
      </c>
      <c r="M16" s="44" t="s">
        <v>162</v>
      </c>
      <c r="R16" s="1">
        <f>IF(vend11[[#This Row],[Nº Venda]]&gt;1,1,0)</f>
        <v>0</v>
      </c>
    </row>
    <row r="17" spans="2:18" ht="16.5" x14ac:dyDescent="0.3">
      <c r="B17" s="27"/>
      <c r="C17" s="27"/>
      <c r="D17" s="30"/>
      <c r="E17" s="75"/>
      <c r="F17" s="76"/>
      <c r="G17" s="51"/>
      <c r="H17" s="39"/>
      <c r="I17" s="39"/>
      <c r="J17" s="30"/>
      <c r="K17" s="75">
        <v>10957</v>
      </c>
      <c r="L17" s="89" t="s">
        <v>134</v>
      </c>
      <c r="M17" s="44" t="s">
        <v>162</v>
      </c>
      <c r="R17" s="1">
        <f>IF(vend11[[#This Row],[Nº Venda]]&gt;1,1,0)</f>
        <v>0</v>
      </c>
    </row>
    <row r="18" spans="2:18" ht="16.5" x14ac:dyDescent="0.3">
      <c r="B18" s="109" t="s">
        <v>12</v>
      </c>
      <c r="C18" s="110"/>
      <c r="D18" s="30"/>
      <c r="E18" s="75"/>
      <c r="F18" s="76"/>
      <c r="G18" s="51"/>
      <c r="H18" s="39"/>
      <c r="I18" s="39"/>
      <c r="J18" s="30"/>
      <c r="K18" s="75">
        <v>11063</v>
      </c>
      <c r="L18" s="89" t="s">
        <v>134</v>
      </c>
      <c r="M18" s="44" t="s">
        <v>146</v>
      </c>
      <c r="R18" s="1">
        <f>IF(vend11[[#This Row],[Nº Venda]]&gt;1,1,0)</f>
        <v>0</v>
      </c>
    </row>
    <row r="19" spans="2:18" ht="16.5" x14ac:dyDescent="0.3">
      <c r="B19" s="28">
        <f>COUNT(entr_carn11[OS])</f>
        <v>0</v>
      </c>
      <c r="C19" s="69">
        <f>SUM(entr_carn11[Valor Total])</f>
        <v>0</v>
      </c>
      <c r="D19" s="30"/>
      <c r="E19" s="75"/>
      <c r="F19" s="76"/>
      <c r="G19" s="51"/>
      <c r="H19" s="39"/>
      <c r="I19" s="39"/>
      <c r="J19" s="30"/>
      <c r="K19" s="75">
        <v>11066</v>
      </c>
      <c r="L19" s="89" t="s">
        <v>134</v>
      </c>
      <c r="M19" s="44" t="s">
        <v>146</v>
      </c>
      <c r="R19" s="1">
        <f>IF(vend11[[#This Row],[Nº Venda]]&gt;1,1,0)</f>
        <v>0</v>
      </c>
    </row>
    <row r="20" spans="2:18" ht="16.5" x14ac:dyDescent="0.3">
      <c r="B20" s="31" t="s">
        <v>11</v>
      </c>
      <c r="C20" s="70">
        <f>SUM(C19:C19)</f>
        <v>0</v>
      </c>
      <c r="D20" s="30"/>
      <c r="E20" s="75"/>
      <c r="F20" s="51"/>
      <c r="G20" s="51"/>
      <c r="H20" s="39"/>
      <c r="I20" s="39"/>
      <c r="J20" s="30"/>
      <c r="K20" s="75">
        <v>11102</v>
      </c>
      <c r="L20" s="89" t="s">
        <v>128</v>
      </c>
      <c r="M20" s="44" t="s">
        <v>146</v>
      </c>
      <c r="R20" s="1">
        <f>IF(vend11[[#This Row],[Nº Venda]]&gt;1,1,0)</f>
        <v>0</v>
      </c>
    </row>
    <row r="21" spans="2:18" ht="16.5" x14ac:dyDescent="0.3">
      <c r="B21" s="27"/>
      <c r="C21" s="27"/>
      <c r="D21" s="30"/>
      <c r="E21" s="75"/>
      <c r="F21" s="76"/>
      <c r="G21" s="51"/>
      <c r="H21" s="39"/>
      <c r="I21" s="39"/>
      <c r="J21" s="30"/>
      <c r="K21" s="75">
        <v>11129</v>
      </c>
      <c r="L21" s="89" t="s">
        <v>130</v>
      </c>
      <c r="M21" s="44" t="s">
        <v>146</v>
      </c>
    </row>
    <row r="22" spans="2:18" ht="16.5" x14ac:dyDescent="0.3">
      <c r="B22" s="31" t="s">
        <v>25</v>
      </c>
      <c r="C22" s="34">
        <f>C5</f>
        <v>6739</v>
      </c>
      <c r="D22" s="30"/>
      <c r="E22" s="77"/>
      <c r="F22" s="76"/>
      <c r="G22" s="51"/>
      <c r="H22" s="39"/>
      <c r="I22" s="39"/>
      <c r="J22" s="30"/>
      <c r="K22" s="75"/>
      <c r="L22" s="89"/>
      <c r="M22" s="44"/>
    </row>
    <row r="23" spans="2:18" ht="16.5" x14ac:dyDescent="0.3">
      <c r="B23" s="30"/>
      <c r="C23" s="30"/>
      <c r="D23" s="30"/>
      <c r="E23" s="35"/>
      <c r="F23" s="35"/>
      <c r="G23" s="35"/>
      <c r="H23" s="36"/>
      <c r="I23" s="37"/>
      <c r="J23" s="30"/>
      <c r="K23" s="75"/>
      <c r="L23" s="89"/>
      <c r="M23" s="44"/>
    </row>
    <row r="24" spans="2:18" ht="16.5" x14ac:dyDescent="0.3">
      <c r="B24" s="30"/>
      <c r="C24" s="30"/>
      <c r="D24" s="30"/>
      <c r="E24" s="100" t="s">
        <v>138</v>
      </c>
      <c r="F24" s="101"/>
      <c r="G24" s="101"/>
      <c r="H24" s="101"/>
      <c r="I24" s="101"/>
      <c r="J24" s="30"/>
      <c r="K24" s="75"/>
      <c r="L24" s="89"/>
      <c r="M24" s="44"/>
    </row>
    <row r="25" spans="2:18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5"/>
      <c r="L25" s="89"/>
      <c r="M25" s="44"/>
    </row>
    <row r="26" spans="2:18" ht="16.5" x14ac:dyDescent="0.3">
      <c r="B26" s="30"/>
      <c r="C26" s="30"/>
      <c r="D26" s="30"/>
      <c r="E26" s="75">
        <v>11063</v>
      </c>
      <c r="F26" s="76" t="s">
        <v>218</v>
      </c>
      <c r="G26" s="51" t="s">
        <v>8</v>
      </c>
      <c r="H26" s="39"/>
      <c r="I26" s="39">
        <v>1740</v>
      </c>
      <c r="J26" s="30"/>
      <c r="K26" s="75"/>
      <c r="L26" s="89"/>
      <c r="M26" s="44"/>
    </row>
    <row r="27" spans="2:18" ht="16.5" x14ac:dyDescent="0.3">
      <c r="B27" s="30"/>
      <c r="C27" s="30"/>
      <c r="D27" s="30"/>
      <c r="E27" s="75">
        <v>11066</v>
      </c>
      <c r="F27" s="76" t="s">
        <v>218</v>
      </c>
      <c r="G27" s="51" t="s">
        <v>8</v>
      </c>
      <c r="H27" s="39"/>
      <c r="I27" s="39">
        <v>339</v>
      </c>
      <c r="J27" s="30"/>
      <c r="K27" s="75"/>
      <c r="L27" s="89"/>
      <c r="M27" s="44"/>
    </row>
    <row r="28" spans="2:18" ht="16.5" x14ac:dyDescent="0.3">
      <c r="B28" s="30"/>
      <c r="C28" s="30"/>
      <c r="D28" s="30"/>
      <c r="E28" s="75">
        <v>11102</v>
      </c>
      <c r="F28" s="76" t="s">
        <v>220</v>
      </c>
      <c r="G28" s="51" t="s">
        <v>8</v>
      </c>
      <c r="H28" s="39"/>
      <c r="I28" s="39">
        <v>490</v>
      </c>
      <c r="J28" s="30"/>
      <c r="K28" s="75"/>
      <c r="L28" s="89"/>
      <c r="M28" s="44"/>
    </row>
    <row r="29" spans="2:18" ht="16.5" x14ac:dyDescent="0.3">
      <c r="B29" s="30"/>
      <c r="C29" s="30"/>
      <c r="D29" s="30"/>
      <c r="E29" s="75">
        <v>11148</v>
      </c>
      <c r="F29" s="76" t="s">
        <v>167</v>
      </c>
      <c r="G29" s="50" t="s">
        <v>8</v>
      </c>
      <c r="H29" s="39"/>
      <c r="I29" s="39">
        <v>620</v>
      </c>
      <c r="J29" s="30"/>
      <c r="K29" s="75"/>
      <c r="L29" s="89"/>
      <c r="M29" s="44"/>
    </row>
    <row r="30" spans="2:18" ht="16.5" x14ac:dyDescent="0.3">
      <c r="B30" s="30"/>
      <c r="C30" s="30"/>
      <c r="D30" s="30"/>
      <c r="E30" s="75"/>
      <c r="F30" s="51"/>
      <c r="G30" s="51"/>
      <c r="H30" s="39"/>
      <c r="I30" s="39"/>
      <c r="J30" s="30"/>
      <c r="K30" s="75"/>
      <c r="L30" s="89"/>
      <c r="M30" s="44"/>
    </row>
    <row r="31" spans="2:18" ht="16.5" x14ac:dyDescent="0.3">
      <c r="B31" s="30"/>
      <c r="C31" s="30"/>
      <c r="D31" s="30"/>
      <c r="E31" s="77"/>
      <c r="F31" s="78"/>
      <c r="G31" s="42"/>
      <c r="H31" s="43"/>
      <c r="I31" s="43"/>
      <c r="J31" s="30"/>
      <c r="K31" s="75"/>
      <c r="L31" s="89"/>
      <c r="M31" s="44"/>
    </row>
    <row r="32" spans="2:18" ht="16.5" x14ac:dyDescent="0.3">
      <c r="B32" s="30"/>
      <c r="C32" s="30"/>
      <c r="D32" s="38"/>
      <c r="E32" s="35"/>
      <c r="F32" s="35"/>
      <c r="G32" s="35"/>
      <c r="H32" s="37"/>
      <c r="I32" s="37"/>
      <c r="J32" s="38"/>
      <c r="K32" s="33"/>
      <c r="L32" s="33"/>
      <c r="M32" s="33"/>
    </row>
    <row r="33" spans="2:18" ht="16.5" x14ac:dyDescent="0.3">
      <c r="B33" s="30"/>
      <c r="C33" s="30"/>
      <c r="D33" s="38"/>
      <c r="E33" s="100" t="s">
        <v>139</v>
      </c>
      <c r="F33" s="101"/>
      <c r="G33" s="101"/>
      <c r="H33" s="101"/>
      <c r="I33" s="101"/>
      <c r="J33" s="38"/>
      <c r="K33" s="102" t="s">
        <v>140</v>
      </c>
      <c r="L33" s="103"/>
      <c r="M33" s="104"/>
    </row>
    <row r="34" spans="2:18" ht="16.5" x14ac:dyDescent="0.3">
      <c r="B34" s="38"/>
      <c r="C34" s="38"/>
      <c r="D34" s="38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75"/>
      <c r="F35" s="76"/>
      <c r="G35" s="51"/>
      <c r="H35" s="39"/>
      <c r="I35" s="39"/>
      <c r="J35" s="38"/>
      <c r="K35" s="75"/>
      <c r="L35" s="75"/>
      <c r="M35" s="89"/>
    </row>
    <row r="36" spans="2:18" ht="16.5" customHeight="1" x14ac:dyDescent="0.25">
      <c r="B36" s="38"/>
      <c r="C36" s="38"/>
      <c r="D36" s="38"/>
      <c r="E36" s="81"/>
      <c r="F36" s="76"/>
      <c r="G36" s="51"/>
      <c r="H36" s="39"/>
      <c r="I36" s="39"/>
      <c r="J36" s="38"/>
      <c r="K36" s="75"/>
      <c r="L36" s="75"/>
      <c r="M36" s="89"/>
    </row>
    <row r="37" spans="2:18" ht="16.5" customHeight="1" x14ac:dyDescent="0.25">
      <c r="B37" s="38"/>
      <c r="C37" s="38"/>
      <c r="D37" s="38"/>
      <c r="E37" s="75"/>
      <c r="F37" s="76"/>
      <c r="G37" s="51"/>
      <c r="H37" s="39"/>
      <c r="I37" s="39"/>
      <c r="J37" s="38"/>
      <c r="K37" s="75"/>
      <c r="L37" s="75"/>
      <c r="M37" s="89"/>
    </row>
    <row r="38" spans="2:18" ht="16.5" customHeight="1" x14ac:dyDescent="0.25">
      <c r="B38" s="38"/>
      <c r="C38" s="38"/>
      <c r="D38" s="38"/>
      <c r="E38" s="75"/>
      <c r="F38" s="76"/>
      <c r="G38" s="51"/>
      <c r="H38" s="39"/>
      <c r="I38" s="39"/>
      <c r="J38" s="38"/>
      <c r="K38" s="75"/>
      <c r="L38" s="75"/>
      <c r="M38" s="89"/>
    </row>
    <row r="39" spans="2:18" ht="16.5" customHeight="1" x14ac:dyDescent="0.25">
      <c r="B39" s="38"/>
      <c r="C39" s="38"/>
      <c r="D39" s="38"/>
      <c r="E39" s="75"/>
      <c r="F39" s="51"/>
      <c r="G39" s="51"/>
      <c r="H39" s="39"/>
      <c r="I39" s="39"/>
      <c r="J39" s="38"/>
      <c r="K39" s="75"/>
      <c r="L39" s="75"/>
      <c r="M39" s="89"/>
    </row>
    <row r="40" spans="2:18" ht="16.5" customHeight="1" x14ac:dyDescent="0.25">
      <c r="B40" s="38"/>
      <c r="C40" s="38"/>
      <c r="D40" s="38"/>
      <c r="E40" s="77"/>
      <c r="F40" s="78"/>
      <c r="G40" s="42"/>
      <c r="H40" s="43"/>
      <c r="I40" s="39"/>
      <c r="J40" s="38"/>
      <c r="K40" s="77"/>
      <c r="L40" s="77"/>
      <c r="M40" s="90"/>
      <c r="Q40" s="1" t="s">
        <v>33</v>
      </c>
      <c r="R40" s="1">
        <f>SUM(R6:R21)</f>
        <v>10</v>
      </c>
    </row>
    <row r="41" spans="2:18" ht="16.5" customHeight="1" x14ac:dyDescent="0.25">
      <c r="B41" s="38"/>
      <c r="C41" s="38"/>
      <c r="D41" s="38"/>
      <c r="E41" s="80"/>
      <c r="F41" s="51"/>
      <c r="G41" s="51"/>
      <c r="H41" s="39"/>
      <c r="I41" s="39"/>
      <c r="J41" s="38"/>
      <c r="K41" s="75"/>
      <c r="L41" s="75"/>
      <c r="M41" s="90"/>
    </row>
    <row r="42" spans="2:18" ht="13.5" x14ac:dyDescent="0.25">
      <c r="B42" s="38"/>
      <c r="C42" s="38"/>
      <c r="D42" s="38"/>
      <c r="E42" s="35"/>
      <c r="F42" s="35"/>
      <c r="G42" s="35"/>
      <c r="H42" s="37"/>
      <c r="I42" s="37"/>
      <c r="J42" s="38"/>
      <c r="K42" s="33"/>
      <c r="L42" s="33"/>
      <c r="M42" s="33"/>
    </row>
    <row r="43" spans="2:18" ht="13.5" x14ac:dyDescent="0.25">
      <c r="B43" s="38"/>
      <c r="C43" s="38"/>
      <c r="D43" s="38"/>
      <c r="E43" s="35"/>
      <c r="F43" s="35"/>
      <c r="G43" s="35"/>
      <c r="H43" s="37"/>
      <c r="I43" s="37"/>
      <c r="J43" s="38"/>
      <c r="K43" s="33"/>
      <c r="L43" s="33"/>
      <c r="M43" s="33"/>
    </row>
    <row r="44" spans="2:18" ht="13.5" x14ac:dyDescent="0.25">
      <c r="B44" s="38"/>
      <c r="C44" s="38"/>
      <c r="D44" s="38"/>
      <c r="E44" s="35"/>
      <c r="F44" s="35"/>
      <c r="G44" s="35"/>
      <c r="H44" s="37"/>
      <c r="I44" s="37"/>
      <c r="J44" s="38"/>
      <c r="K44" s="33"/>
      <c r="L44" s="33"/>
      <c r="M44" s="33"/>
    </row>
    <row r="45" spans="2:18" ht="13.5" x14ac:dyDescent="0.25">
      <c r="B45" s="38"/>
      <c r="C45" s="38"/>
      <c r="D45" s="38"/>
      <c r="E45" s="35"/>
      <c r="F45" s="35"/>
      <c r="G45" s="35"/>
      <c r="H45" s="37"/>
      <c r="I45" s="37"/>
      <c r="J45" s="38"/>
      <c r="K45" s="33"/>
      <c r="L45" s="33"/>
      <c r="M45" s="33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  <x14:dataValidation type="list" allowBlank="1" showInputMessage="1" showErrorMessage="1" xr:uid="{A1A15168-65A2-4DE5-9938-A156BBC02803}">
          <x14:formula1>
            <xm:f>resumo_cx!$P$2:$P$18</xm:f>
          </x14:formula1>
          <xm:sqref>L15:L31</xm:sqref>
        </x14:dataValidation>
        <x14:dataValidation type="list" allowBlank="1" showInputMessage="1" showErrorMessage="1" xr:uid="{3C9DBA46-3611-48C9-8195-EBE8AFCA96A7}">
          <x14:formula1>
            <xm:f>base_OS!$A$2:$A$15000</xm:f>
          </x14:formula1>
          <xm:sqref>E6:E22 E26:E31 E35:E41 K35:K41 K15:K31</xm:sqref>
        </x14:dataValidation>
        <x14:dataValidation type="list" allowBlank="1" showInputMessage="1" showErrorMessage="1" xr:uid="{2C041720-F84D-4B31-8C64-E922AB78D0E6}">
          <x14:formula1>
            <xm:f>base!$A$2:$A$5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base!$A$2:$A$8</xm:f>
          </x14:formula1>
          <xm:sqref>G6:G22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5"/>
  <sheetViews>
    <sheetView showGridLines="0" view="pageBreakPreview" topLeftCell="A9" zoomScale="60" zoomScaleNormal="90" workbookViewId="0">
      <selection activeCell="L6" sqref="L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'11'!B1+1</f>
        <v>45820</v>
      </c>
      <c r="C1" s="98"/>
      <c r="L1" s="99" t="s">
        <v>143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5" t="s">
        <v>0</v>
      </c>
      <c r="C4" s="26">
        <v>0</v>
      </c>
      <c r="D4" s="58"/>
      <c r="E4" s="108" t="s">
        <v>136</v>
      </c>
      <c r="F4" s="108"/>
      <c r="G4" s="108"/>
      <c r="H4" s="108"/>
      <c r="I4" s="108"/>
      <c r="J4" s="30"/>
      <c r="K4" s="102" t="s">
        <v>137</v>
      </c>
      <c r="L4" s="103"/>
      <c r="M4" s="104"/>
    </row>
    <row r="5" spans="2:18" ht="16.5" x14ac:dyDescent="0.3">
      <c r="B5" s="28" t="s">
        <v>1</v>
      </c>
      <c r="C5" s="29">
        <f>SUMIF(I6:I31,"&gt;0",H6:H31)</f>
        <v>490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18" ht="16.5" x14ac:dyDescent="0.3">
      <c r="B6" s="28" t="s">
        <v>2</v>
      </c>
      <c r="C6" s="29">
        <f>C16</f>
        <v>2303.1</v>
      </c>
      <c r="D6" s="30"/>
      <c r="E6" s="75">
        <v>11191</v>
      </c>
      <c r="F6" s="48" t="s">
        <v>244</v>
      </c>
      <c r="G6" s="48" t="s">
        <v>8</v>
      </c>
      <c r="H6" s="49">
        <v>490</v>
      </c>
      <c r="I6" s="49">
        <v>490</v>
      </c>
      <c r="J6" s="30"/>
      <c r="K6" s="76" t="s">
        <v>371</v>
      </c>
      <c r="L6" s="89" t="s">
        <v>10</v>
      </c>
      <c r="M6" s="44">
        <v>3.11</v>
      </c>
      <c r="R6" s="1">
        <f>IF(vend12[[#This Row],[Nº Venda]]&gt;1,1,0)</f>
        <v>1</v>
      </c>
    </row>
    <row r="7" spans="2:18" ht="16.5" x14ac:dyDescent="0.3">
      <c r="B7" s="28" t="s">
        <v>3</v>
      </c>
      <c r="C7" s="29">
        <f>SUM(M6:M11)</f>
        <v>3.11</v>
      </c>
      <c r="D7" s="30"/>
      <c r="E7" s="75"/>
      <c r="F7" s="50"/>
      <c r="G7" s="50"/>
      <c r="H7" s="39"/>
      <c r="I7" s="39"/>
      <c r="J7" s="30"/>
      <c r="K7" s="76"/>
      <c r="L7" s="89"/>
      <c r="M7" s="44"/>
      <c r="R7" s="1">
        <f>IF(vend12[[#This Row],[Nº Venda]]&gt;1,1,0)</f>
        <v>0</v>
      </c>
    </row>
    <row r="8" spans="2:18" ht="16.5" x14ac:dyDescent="0.3">
      <c r="B8" s="31" t="s">
        <v>21</v>
      </c>
      <c r="C8" s="32">
        <f>SUM(C6:C7)</f>
        <v>2306.21</v>
      </c>
      <c r="D8" s="30"/>
      <c r="E8" s="75"/>
      <c r="F8" s="50"/>
      <c r="G8" s="50"/>
      <c r="H8" s="39"/>
      <c r="I8" s="39"/>
      <c r="J8" s="30"/>
      <c r="K8" s="76"/>
      <c r="L8" s="89"/>
      <c r="M8" s="44"/>
      <c r="R8" s="1">
        <f>IF(vend12[[#This Row],[Nº Venda]]&gt;1,1,0)</f>
        <v>0</v>
      </c>
    </row>
    <row r="9" spans="2:18" ht="16.5" x14ac:dyDescent="0.3">
      <c r="B9" s="27"/>
      <c r="C9" s="27"/>
      <c r="D9" s="30"/>
      <c r="E9" s="75"/>
      <c r="F9" s="76"/>
      <c r="G9" s="51"/>
      <c r="H9" s="39"/>
      <c r="I9" s="39"/>
      <c r="J9" s="30"/>
      <c r="K9" s="76"/>
      <c r="L9" s="89"/>
      <c r="M9" s="44"/>
      <c r="R9" s="1">
        <f>IF(vend12[[#This Row],[Nº Venda]]&gt;1,1,0)</f>
        <v>0</v>
      </c>
    </row>
    <row r="10" spans="2:18" ht="16.5" x14ac:dyDescent="0.3">
      <c r="B10" s="109" t="s">
        <v>5</v>
      </c>
      <c r="C10" s="110"/>
      <c r="D10" s="30"/>
      <c r="E10" s="75"/>
      <c r="F10" s="76"/>
      <c r="G10" s="51"/>
      <c r="H10" s="39"/>
      <c r="I10" s="39"/>
      <c r="J10" s="30"/>
      <c r="K10" s="76"/>
      <c r="L10" s="89"/>
      <c r="M10" s="44"/>
      <c r="R10" s="1">
        <f>IF(vend12[[#This Row],[Nº Venda]]&gt;1,1,0)</f>
        <v>0</v>
      </c>
    </row>
    <row r="11" spans="2:18" ht="16.5" x14ac:dyDescent="0.3">
      <c r="B11" s="28" t="s">
        <v>6</v>
      </c>
      <c r="C11" s="69">
        <f>(SUMIF($G$2:$G$31,B11,$I$2:$I$31))+(SUMIF($G$35:$G$41,B11,$H$35:$H$41))</f>
        <v>0</v>
      </c>
      <c r="D11" s="30"/>
      <c r="E11" s="75"/>
      <c r="F11" s="76"/>
      <c r="G11" s="51"/>
      <c r="H11" s="39"/>
      <c r="I11" s="39"/>
      <c r="J11" s="30"/>
      <c r="K11" s="38"/>
      <c r="L11" s="89"/>
      <c r="M11" s="44"/>
      <c r="O11" s="1">
        <f>IF(C16=0,0,1)</f>
        <v>1</v>
      </c>
      <c r="R11" s="1">
        <f>IF(vend12[[#This Row],[Nº Venda]]&gt;1,1,0)</f>
        <v>0</v>
      </c>
    </row>
    <row r="12" spans="2:18" ht="16.5" x14ac:dyDescent="0.3">
      <c r="B12" s="28" t="s">
        <v>7</v>
      </c>
      <c r="C12" s="69">
        <f t="shared" ref="C12:C15" si="0">(SUMIF($G$2:$G$31,B12,$I$2:$I$31))+(SUMIF($G$35:$G$41,B12,$H$35:$H$41))</f>
        <v>543.85</v>
      </c>
      <c r="D12" s="30"/>
      <c r="E12" s="75"/>
      <c r="F12" s="76"/>
      <c r="G12" s="51"/>
      <c r="H12" s="39"/>
      <c r="I12" s="39"/>
      <c r="J12" s="30"/>
      <c r="K12" s="33"/>
      <c r="L12" s="33"/>
      <c r="M12" s="33"/>
      <c r="R12" s="1">
        <f>IF(vend12[[#This Row],[Nº Venda]]&gt;1,1,0)</f>
        <v>0</v>
      </c>
    </row>
    <row r="13" spans="2:18" ht="16.5" x14ac:dyDescent="0.3">
      <c r="B13" s="28" t="s">
        <v>8</v>
      </c>
      <c r="C13" s="69">
        <f t="shared" si="0"/>
        <v>490</v>
      </c>
      <c r="D13" s="30"/>
      <c r="E13" s="75"/>
      <c r="F13" s="76"/>
      <c r="G13" s="51"/>
      <c r="H13" s="39"/>
      <c r="I13" s="39"/>
      <c r="J13" s="30"/>
      <c r="K13" s="102" t="s">
        <v>141</v>
      </c>
      <c r="L13" s="103"/>
      <c r="M13" s="104"/>
      <c r="R13" s="1">
        <f>IF(vend12[[#This Row],[Nº Venda]]&gt;1,1,0)</f>
        <v>0</v>
      </c>
    </row>
    <row r="14" spans="2:18" ht="16.5" x14ac:dyDescent="0.3">
      <c r="B14" s="28" t="s">
        <v>9</v>
      </c>
      <c r="C14" s="69">
        <f t="shared" si="0"/>
        <v>0</v>
      </c>
      <c r="D14" s="30"/>
      <c r="E14" s="75"/>
      <c r="F14" s="76"/>
      <c r="G14" s="51"/>
      <c r="H14" s="39"/>
      <c r="I14" s="39"/>
      <c r="J14" s="30"/>
      <c r="K14" s="22" t="s">
        <v>22</v>
      </c>
      <c r="L14" s="23" t="s">
        <v>23</v>
      </c>
      <c r="M14" s="24" t="s">
        <v>24</v>
      </c>
      <c r="R14" s="1">
        <f>IF(vend12[[#This Row],[Nº Venda]]&gt;1,1,0)</f>
        <v>0</v>
      </c>
    </row>
    <row r="15" spans="2:18" ht="16.5" x14ac:dyDescent="0.3">
      <c r="B15" s="28" t="s">
        <v>10</v>
      </c>
      <c r="C15" s="69">
        <f t="shared" si="0"/>
        <v>1269.25</v>
      </c>
      <c r="D15" s="30"/>
      <c r="E15" s="75"/>
      <c r="F15" s="76"/>
      <c r="G15" s="51"/>
      <c r="H15" s="39"/>
      <c r="I15" s="39"/>
      <c r="J15" s="30"/>
      <c r="K15" s="75">
        <v>11003</v>
      </c>
      <c r="L15" s="89" t="s">
        <v>130</v>
      </c>
      <c r="M15" s="44" t="s">
        <v>162</v>
      </c>
      <c r="R15" s="1">
        <f>IF(vend12[[#This Row],[Nº Venda]]&gt;1,1,0)</f>
        <v>0</v>
      </c>
    </row>
    <row r="16" spans="2:18" ht="16.5" x14ac:dyDescent="0.3">
      <c r="B16" s="31" t="s">
        <v>11</v>
      </c>
      <c r="C16" s="70">
        <f>SUM(C11:C15)</f>
        <v>2303.1</v>
      </c>
      <c r="D16" s="30"/>
      <c r="E16" s="75"/>
      <c r="F16" s="76"/>
      <c r="G16" s="51"/>
      <c r="H16" s="39"/>
      <c r="I16" s="39"/>
      <c r="J16" s="30"/>
      <c r="K16" s="75">
        <v>11008</v>
      </c>
      <c r="L16" s="89" t="s">
        <v>128</v>
      </c>
      <c r="M16" s="44" t="s">
        <v>146</v>
      </c>
      <c r="R16" s="1">
        <f>IF(vend12[[#This Row],[Nº Venda]]&gt;1,1,0)</f>
        <v>0</v>
      </c>
    </row>
    <row r="17" spans="2:18" ht="16.5" x14ac:dyDescent="0.3">
      <c r="B17" s="27"/>
      <c r="C17" s="27"/>
      <c r="D17" s="30"/>
      <c r="E17" s="75"/>
      <c r="F17" s="76"/>
      <c r="G17" s="51"/>
      <c r="H17" s="39"/>
      <c r="I17" s="39"/>
      <c r="J17" s="30"/>
      <c r="K17" s="75">
        <v>11115</v>
      </c>
      <c r="L17" s="89" t="s">
        <v>128</v>
      </c>
      <c r="M17" s="44" t="s">
        <v>146</v>
      </c>
      <c r="R17" s="1">
        <f>IF(vend12[[#This Row],[Nº Venda]]&gt;1,1,0)</f>
        <v>0</v>
      </c>
    </row>
    <row r="18" spans="2:18" ht="16.5" x14ac:dyDescent="0.3">
      <c r="B18" s="109" t="s">
        <v>12</v>
      </c>
      <c r="C18" s="110"/>
      <c r="D18" s="30"/>
      <c r="E18" s="75"/>
      <c r="F18" s="76"/>
      <c r="G18" s="51"/>
      <c r="H18" s="39"/>
      <c r="I18" s="39"/>
      <c r="J18" s="30"/>
      <c r="K18" s="75">
        <v>11125</v>
      </c>
      <c r="L18" s="89" t="s">
        <v>128</v>
      </c>
      <c r="M18" s="44" t="s">
        <v>146</v>
      </c>
      <c r="R18" s="1">
        <f>IF(vend12[[#This Row],[Nº Venda]]&gt;1,1,0)</f>
        <v>0</v>
      </c>
    </row>
    <row r="19" spans="2:18" ht="16.5" x14ac:dyDescent="0.3">
      <c r="B19" s="28">
        <f>COUNT(entr_carn12[OS])</f>
        <v>1</v>
      </c>
      <c r="C19" s="69">
        <f>SUM(entr_carn12[Valor Total])</f>
        <v>710</v>
      </c>
      <c r="D19" s="30"/>
      <c r="E19" s="75"/>
      <c r="F19" s="76"/>
      <c r="G19" s="51"/>
      <c r="H19" s="39"/>
      <c r="I19" s="39"/>
      <c r="J19" s="30"/>
      <c r="K19" s="75">
        <v>11131</v>
      </c>
      <c r="L19" s="89" t="s">
        <v>128</v>
      </c>
      <c r="M19" s="44" t="s">
        <v>146</v>
      </c>
      <c r="R19" s="1">
        <f>IF(vend12[[#This Row],[Nº Venda]]&gt;1,1,0)</f>
        <v>0</v>
      </c>
    </row>
    <row r="20" spans="2:18" ht="16.5" x14ac:dyDescent="0.3">
      <c r="B20" s="31" t="s">
        <v>11</v>
      </c>
      <c r="C20" s="70">
        <f>SUM(C19:C19)</f>
        <v>710</v>
      </c>
      <c r="D20" s="30"/>
      <c r="E20" s="75"/>
      <c r="F20" s="51"/>
      <c r="G20" s="51"/>
      <c r="H20" s="39"/>
      <c r="I20" s="39"/>
      <c r="J20" s="30"/>
      <c r="K20" s="75"/>
      <c r="L20" s="89"/>
      <c r="M20" s="44"/>
      <c r="R20" s="1">
        <f>IF(vend12[[#This Row],[Nº Venda]]&gt;1,1,0)</f>
        <v>0</v>
      </c>
    </row>
    <row r="21" spans="2:18" ht="16.5" x14ac:dyDescent="0.3">
      <c r="B21" s="27"/>
      <c r="C21" s="27"/>
      <c r="D21" s="30"/>
      <c r="E21" s="75"/>
      <c r="F21" s="76"/>
      <c r="G21" s="51"/>
      <c r="H21" s="39"/>
      <c r="I21" s="39"/>
      <c r="J21" s="30"/>
      <c r="K21" s="75"/>
      <c r="L21" s="89"/>
      <c r="M21" s="44"/>
    </row>
    <row r="22" spans="2:18" ht="16.5" x14ac:dyDescent="0.3">
      <c r="B22" s="31" t="s">
        <v>25</v>
      </c>
      <c r="C22" s="34">
        <f>C5</f>
        <v>490</v>
      </c>
      <c r="D22" s="30"/>
      <c r="E22" s="77"/>
      <c r="F22" s="76"/>
      <c r="G22" s="51"/>
      <c r="H22" s="39"/>
      <c r="I22" s="39"/>
      <c r="J22" s="30"/>
      <c r="K22" s="75"/>
      <c r="L22" s="89"/>
      <c r="M22" s="44"/>
    </row>
    <row r="23" spans="2:18" ht="16.5" x14ac:dyDescent="0.3">
      <c r="B23" s="30"/>
      <c r="C23" s="30"/>
      <c r="D23" s="30"/>
      <c r="E23" s="35"/>
      <c r="F23" s="35"/>
      <c r="G23" s="35"/>
      <c r="H23" s="36"/>
      <c r="I23" s="37"/>
      <c r="J23" s="30"/>
      <c r="K23" s="75"/>
      <c r="L23" s="89"/>
      <c r="M23" s="44"/>
    </row>
    <row r="24" spans="2:18" ht="16.5" x14ac:dyDescent="0.3">
      <c r="B24" s="30"/>
      <c r="C24" s="30"/>
      <c r="D24" s="30"/>
      <c r="E24" s="100" t="s">
        <v>138</v>
      </c>
      <c r="F24" s="101"/>
      <c r="G24" s="101"/>
      <c r="H24" s="101"/>
      <c r="I24" s="101"/>
      <c r="J24" s="30"/>
      <c r="K24" s="75"/>
      <c r="L24" s="89"/>
      <c r="M24" s="44"/>
    </row>
    <row r="25" spans="2:18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5"/>
      <c r="L25" s="89"/>
      <c r="M25" s="44"/>
    </row>
    <row r="26" spans="2:18" ht="16.5" x14ac:dyDescent="0.3">
      <c r="B26" s="30"/>
      <c r="C26" s="30"/>
      <c r="D26" s="30"/>
      <c r="E26" s="75">
        <v>11115</v>
      </c>
      <c r="F26" s="76" t="s">
        <v>247</v>
      </c>
      <c r="G26" s="51" t="s">
        <v>7</v>
      </c>
      <c r="H26" s="39"/>
      <c r="I26" s="39">
        <v>249</v>
      </c>
      <c r="J26" s="30"/>
      <c r="K26" s="75"/>
      <c r="L26" s="89"/>
      <c r="M26" s="44"/>
    </row>
    <row r="27" spans="2:18" ht="16.5" x14ac:dyDescent="0.3">
      <c r="B27" s="30"/>
      <c r="C27" s="30"/>
      <c r="D27" s="30"/>
      <c r="E27" s="75">
        <v>11162</v>
      </c>
      <c r="F27" s="50" t="s">
        <v>194</v>
      </c>
      <c r="G27" s="50" t="s">
        <v>10</v>
      </c>
      <c r="H27" s="39"/>
      <c r="I27" s="39">
        <v>500</v>
      </c>
      <c r="J27" s="30"/>
      <c r="K27" s="75"/>
      <c r="L27" s="89"/>
      <c r="M27" s="44"/>
    </row>
    <row r="28" spans="2:18" ht="16.5" x14ac:dyDescent="0.3">
      <c r="B28" s="30"/>
      <c r="C28" s="30"/>
      <c r="D28" s="30"/>
      <c r="E28" s="75">
        <v>11163</v>
      </c>
      <c r="F28" s="76" t="s">
        <v>194</v>
      </c>
      <c r="G28" s="51" t="s">
        <v>10</v>
      </c>
      <c r="H28" s="39"/>
      <c r="I28" s="39">
        <v>400</v>
      </c>
      <c r="J28" s="30"/>
      <c r="K28" s="75"/>
      <c r="L28" s="89"/>
      <c r="M28" s="44"/>
    </row>
    <row r="29" spans="2:18" ht="16.5" x14ac:dyDescent="0.3">
      <c r="B29" s="30"/>
      <c r="C29" s="30"/>
      <c r="D29" s="30"/>
      <c r="E29" s="75"/>
      <c r="F29" s="76"/>
      <c r="G29" s="51"/>
      <c r="H29" s="39"/>
      <c r="I29" s="39"/>
      <c r="J29" s="30"/>
      <c r="K29" s="75"/>
      <c r="L29" s="89"/>
      <c r="M29" s="44"/>
    </row>
    <row r="30" spans="2:18" ht="16.5" x14ac:dyDescent="0.3">
      <c r="B30" s="30"/>
      <c r="C30" s="30"/>
      <c r="D30" s="30"/>
      <c r="E30" s="75"/>
      <c r="F30" s="51"/>
      <c r="G30" s="51"/>
      <c r="H30" s="39"/>
      <c r="I30" s="39"/>
      <c r="J30" s="30"/>
      <c r="K30" s="75"/>
      <c r="L30" s="89"/>
      <c r="M30" s="44"/>
    </row>
    <row r="31" spans="2:18" ht="16.5" x14ac:dyDescent="0.3">
      <c r="B31" s="30"/>
      <c r="C31" s="30"/>
      <c r="D31" s="30"/>
      <c r="E31" s="77"/>
      <c r="F31" s="78"/>
      <c r="G31" s="42"/>
      <c r="H31" s="43"/>
      <c r="I31" s="43"/>
      <c r="J31" s="30"/>
      <c r="K31" s="75"/>
      <c r="L31" s="89"/>
      <c r="M31" s="44"/>
    </row>
    <row r="32" spans="2:18" ht="16.5" x14ac:dyDescent="0.3">
      <c r="B32" s="30"/>
      <c r="C32" s="30"/>
      <c r="D32" s="38"/>
      <c r="E32" s="35"/>
      <c r="F32" s="35"/>
      <c r="G32" s="35"/>
      <c r="H32" s="37"/>
      <c r="I32" s="37"/>
      <c r="J32" s="38"/>
      <c r="K32" s="33"/>
      <c r="L32" s="33"/>
      <c r="M32" s="33"/>
    </row>
    <row r="33" spans="2:18" ht="16.5" x14ac:dyDescent="0.3">
      <c r="B33" s="30"/>
      <c r="C33" s="30"/>
      <c r="D33" s="38"/>
      <c r="E33" s="100" t="s">
        <v>139</v>
      </c>
      <c r="F33" s="101"/>
      <c r="G33" s="101"/>
      <c r="H33" s="101"/>
      <c r="I33" s="101"/>
      <c r="J33" s="38"/>
      <c r="K33" s="102" t="s">
        <v>140</v>
      </c>
      <c r="L33" s="103"/>
      <c r="M33" s="104"/>
    </row>
    <row r="34" spans="2:18" ht="16.5" x14ac:dyDescent="0.3">
      <c r="B34" s="38"/>
      <c r="C34" s="38"/>
      <c r="D34" s="38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75">
        <v>10012</v>
      </c>
      <c r="F35" s="51" t="s">
        <v>249</v>
      </c>
      <c r="G35" s="51" t="s">
        <v>10</v>
      </c>
      <c r="H35" s="39">
        <v>243.75</v>
      </c>
      <c r="I35" s="39" t="s">
        <v>47</v>
      </c>
      <c r="J35" s="38"/>
      <c r="K35" s="75">
        <v>11003</v>
      </c>
      <c r="L35" s="75">
        <v>7</v>
      </c>
      <c r="M35" s="89">
        <v>710</v>
      </c>
    </row>
    <row r="36" spans="2:18" ht="16.5" customHeight="1" x14ac:dyDescent="0.25">
      <c r="B36" s="38"/>
      <c r="C36" s="38"/>
      <c r="D36" s="38"/>
      <c r="E36" s="77">
        <v>10442</v>
      </c>
      <c r="F36" s="76" t="s">
        <v>245</v>
      </c>
      <c r="G36" s="51" t="s">
        <v>10</v>
      </c>
      <c r="H36" s="39">
        <v>125.5</v>
      </c>
      <c r="I36" s="39" t="s">
        <v>91</v>
      </c>
      <c r="J36" s="38"/>
      <c r="K36" s="75"/>
      <c r="L36" s="75"/>
      <c r="M36" s="89"/>
    </row>
    <row r="37" spans="2:18" ht="16.5" customHeight="1" x14ac:dyDescent="0.25">
      <c r="B37" s="38"/>
      <c r="C37" s="38"/>
      <c r="D37" s="38"/>
      <c r="E37" s="82">
        <v>10787</v>
      </c>
      <c r="F37" s="76" t="s">
        <v>246</v>
      </c>
      <c r="G37" s="51" t="s">
        <v>7</v>
      </c>
      <c r="H37" s="39">
        <v>96</v>
      </c>
      <c r="I37" s="39" t="s">
        <v>43</v>
      </c>
      <c r="J37" s="38"/>
      <c r="K37" s="75"/>
      <c r="L37" s="75"/>
      <c r="M37" s="89"/>
    </row>
    <row r="38" spans="2:18" ht="16.5" customHeight="1" x14ac:dyDescent="0.25">
      <c r="B38" s="38"/>
      <c r="C38" s="38"/>
      <c r="D38" s="38"/>
      <c r="E38" s="75">
        <v>10787</v>
      </c>
      <c r="F38" s="76" t="s">
        <v>246</v>
      </c>
      <c r="G38" s="51" t="s">
        <v>7</v>
      </c>
      <c r="H38" s="39">
        <v>96</v>
      </c>
      <c r="I38" s="39" t="s">
        <v>74</v>
      </c>
      <c r="J38" s="38"/>
      <c r="K38" s="75"/>
      <c r="L38" s="75"/>
      <c r="M38" s="89"/>
    </row>
    <row r="39" spans="2:18" ht="16.5" customHeight="1" x14ac:dyDescent="0.25">
      <c r="B39" s="38"/>
      <c r="C39" s="38"/>
      <c r="D39" s="38"/>
      <c r="E39" s="75">
        <v>11003</v>
      </c>
      <c r="F39" s="76" t="s">
        <v>248</v>
      </c>
      <c r="G39" s="51" t="s">
        <v>7</v>
      </c>
      <c r="H39" s="39">
        <v>102.85</v>
      </c>
      <c r="I39" s="39" t="s">
        <v>32</v>
      </c>
      <c r="J39" s="38"/>
      <c r="K39" s="75"/>
      <c r="L39" s="75"/>
      <c r="M39" s="89"/>
    </row>
    <row r="40" spans="2:18" ht="16.5" customHeight="1" x14ac:dyDescent="0.25">
      <c r="B40" s="38"/>
      <c r="C40" s="38"/>
      <c r="D40" s="38"/>
      <c r="E40" s="77"/>
      <c r="F40" s="78"/>
      <c r="G40" s="42"/>
      <c r="H40" s="43"/>
      <c r="I40" s="39"/>
      <c r="J40" s="38"/>
      <c r="K40" s="77"/>
      <c r="L40" s="77"/>
      <c r="M40" s="90"/>
      <c r="Q40" s="1" t="s">
        <v>33</v>
      </c>
      <c r="R40" s="1">
        <f>SUM(R6:R21)</f>
        <v>1</v>
      </c>
    </row>
    <row r="41" spans="2:18" ht="16.5" customHeight="1" x14ac:dyDescent="0.25">
      <c r="B41" s="38"/>
      <c r="C41" s="38"/>
      <c r="D41" s="38"/>
      <c r="E41" s="80"/>
      <c r="F41" s="51"/>
      <c r="G41" s="51"/>
      <c r="H41" s="39"/>
      <c r="I41" s="39"/>
      <c r="J41" s="38"/>
      <c r="K41" s="75"/>
      <c r="L41" s="75"/>
      <c r="M41" s="90"/>
    </row>
    <row r="42" spans="2:18" ht="13.5" x14ac:dyDescent="0.25">
      <c r="B42" s="38"/>
      <c r="C42" s="38"/>
      <c r="D42" s="38"/>
      <c r="E42" s="35"/>
      <c r="F42" s="35"/>
      <c r="G42" s="35"/>
      <c r="H42" s="37"/>
      <c r="I42" s="37"/>
      <c r="J42" s="38"/>
      <c r="K42" s="33"/>
      <c r="L42" s="33"/>
      <c r="M42" s="33"/>
    </row>
    <row r="43" spans="2:18" ht="13.5" x14ac:dyDescent="0.25">
      <c r="B43" s="38"/>
      <c r="C43" s="38"/>
      <c r="D43" s="38"/>
      <c r="E43" s="35"/>
      <c r="F43" s="35"/>
      <c r="G43" s="35"/>
      <c r="H43" s="37"/>
      <c r="I43" s="37"/>
      <c r="J43" s="38"/>
      <c r="K43" s="33"/>
      <c r="L43" s="33"/>
      <c r="M43" s="33"/>
    </row>
    <row r="44" spans="2:18" ht="13.5" x14ac:dyDescent="0.25">
      <c r="B44" s="38"/>
      <c r="C44" s="38"/>
      <c r="D44" s="38"/>
      <c r="E44" s="35"/>
      <c r="F44" s="35"/>
      <c r="G44" s="35"/>
      <c r="H44" s="37"/>
      <c r="I44" s="37"/>
      <c r="J44" s="38"/>
      <c r="K44" s="33"/>
      <c r="L44" s="33"/>
      <c r="M44" s="33"/>
    </row>
    <row r="45" spans="2:18" ht="13.5" x14ac:dyDescent="0.25">
      <c r="B45" s="38"/>
      <c r="C45" s="38"/>
      <c r="D45" s="38"/>
      <c r="E45" s="35"/>
      <c r="F45" s="35"/>
      <c r="G45" s="35"/>
      <c r="H45" s="37"/>
      <c r="I45" s="37"/>
      <c r="J45" s="38"/>
      <c r="K45" s="33"/>
      <c r="L45" s="33"/>
      <c r="M45" s="33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  <x14:dataValidation type="list" allowBlank="1" showInputMessage="1" showErrorMessage="1" xr:uid="{AEA2EB4D-9854-41EA-9931-BB7D538560EF}">
          <x14:formula1>
            <xm:f>resumo_cx!$P$2:$P$18</xm:f>
          </x14:formula1>
          <xm:sqref>L15:L31</xm:sqref>
        </x14:dataValidation>
        <x14:dataValidation type="list" allowBlank="1" showInputMessage="1" showErrorMessage="1" xr:uid="{C0BC7016-7D16-48D0-A71F-040F65AA8C72}">
          <x14:formula1>
            <xm:f>base_OS!$A$2:$A$15000</xm:f>
          </x14:formula1>
          <xm:sqref>E6:E22 E26:E31 E35:E41 K35:K41 K15:K31</xm:sqref>
        </x14:dataValidation>
        <x14:dataValidation type="list" allowBlank="1" showInputMessage="1" showErrorMessage="1" xr:uid="{76DAD829-EB77-41C4-8A8D-E5F987FD24DB}">
          <x14:formula1>
            <xm:f>base!$A$2:$A$5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base!$A$2:$A$8</xm:f>
          </x14:formula1>
          <xm:sqref>G6:G22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5"/>
  <sheetViews>
    <sheetView showGridLines="0" topLeftCell="C23" zoomScale="90" zoomScaleNormal="90" workbookViewId="0">
      <selection activeCell="M26" sqref="L26:M2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'12'!B1+1</f>
        <v>45821</v>
      </c>
      <c r="C1" s="98"/>
      <c r="L1" s="99" t="s">
        <v>143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5" t="s">
        <v>0</v>
      </c>
      <c r="C4" s="26">
        <v>0</v>
      </c>
      <c r="D4" s="58"/>
      <c r="E4" s="108" t="s">
        <v>136</v>
      </c>
      <c r="F4" s="108"/>
      <c r="G4" s="108"/>
      <c r="H4" s="108"/>
      <c r="I4" s="108"/>
      <c r="J4" s="30"/>
      <c r="K4" s="102" t="s">
        <v>137</v>
      </c>
      <c r="L4" s="103"/>
      <c r="M4" s="104"/>
    </row>
    <row r="5" spans="2:18" ht="16.5" x14ac:dyDescent="0.3">
      <c r="B5" s="28" t="s">
        <v>1</v>
      </c>
      <c r="C5" s="29">
        <f>SUMIF(I6:I30,"&gt;0",H6:H30)</f>
        <v>2538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18" ht="16.5" x14ac:dyDescent="0.3">
      <c r="B6" s="28" t="s">
        <v>2</v>
      </c>
      <c r="C6" s="29">
        <f>C16</f>
        <v>3557</v>
      </c>
      <c r="D6" s="30"/>
      <c r="E6" s="75">
        <v>11192</v>
      </c>
      <c r="F6" s="76" t="s">
        <v>252</v>
      </c>
      <c r="G6" s="51" t="s">
        <v>6</v>
      </c>
      <c r="H6" s="39">
        <v>350</v>
      </c>
      <c r="I6" s="39">
        <v>150</v>
      </c>
      <c r="J6" s="30"/>
      <c r="K6" s="76" t="s">
        <v>161</v>
      </c>
      <c r="L6" s="89" t="s">
        <v>10</v>
      </c>
      <c r="M6" s="44">
        <v>3.78</v>
      </c>
      <c r="R6" s="1">
        <f>IF(vend13[[#This Row],[Nº Venda]]&gt;1,1,0)</f>
        <v>1</v>
      </c>
    </row>
    <row r="7" spans="2:18" ht="16.5" x14ac:dyDescent="0.3">
      <c r="B7" s="28" t="s">
        <v>3</v>
      </c>
      <c r="C7" s="29">
        <f>SUM(M6:M11)</f>
        <v>10.57</v>
      </c>
      <c r="D7" s="30"/>
      <c r="E7" s="75">
        <v>11193</v>
      </c>
      <c r="F7" s="76" t="s">
        <v>253</v>
      </c>
      <c r="G7" s="51" t="s">
        <v>6</v>
      </c>
      <c r="H7" s="39">
        <v>40</v>
      </c>
      <c r="I7" s="39">
        <v>20</v>
      </c>
      <c r="J7" s="30"/>
      <c r="K7" s="76" t="s">
        <v>251</v>
      </c>
      <c r="L7" s="89" t="s">
        <v>10</v>
      </c>
      <c r="M7" s="44">
        <v>6.79</v>
      </c>
      <c r="R7" s="1">
        <f>IF(vend13[[#This Row],[Nº Venda]]&gt;1,1,0)</f>
        <v>1</v>
      </c>
    </row>
    <row r="8" spans="2:18" ht="16.5" x14ac:dyDescent="0.3">
      <c r="B8" s="31" t="s">
        <v>21</v>
      </c>
      <c r="C8" s="32">
        <f>SUM(C6:C7)</f>
        <v>3567.57</v>
      </c>
      <c r="D8" s="30"/>
      <c r="E8" s="75">
        <v>11194</v>
      </c>
      <c r="F8" s="76" t="s">
        <v>254</v>
      </c>
      <c r="G8" s="51" t="s">
        <v>7</v>
      </c>
      <c r="H8" s="39">
        <v>1899</v>
      </c>
      <c r="I8" s="39">
        <v>1899</v>
      </c>
      <c r="J8" s="30"/>
      <c r="K8" s="76"/>
      <c r="L8" s="89"/>
      <c r="M8" s="44"/>
      <c r="R8" s="1">
        <f>IF(vend13[[#This Row],[Nº Venda]]&gt;1,1,0)</f>
        <v>1</v>
      </c>
    </row>
    <row r="9" spans="2:18" ht="16.5" x14ac:dyDescent="0.3">
      <c r="B9" s="27"/>
      <c r="C9" s="27"/>
      <c r="D9" s="30"/>
      <c r="E9" s="75">
        <v>11195</v>
      </c>
      <c r="F9" s="76" t="s">
        <v>245</v>
      </c>
      <c r="G9" s="51" t="s">
        <v>36</v>
      </c>
      <c r="H9" s="39">
        <v>0</v>
      </c>
      <c r="I9" s="39">
        <v>0</v>
      </c>
      <c r="J9" s="30"/>
      <c r="K9" s="76"/>
      <c r="L9" s="89"/>
      <c r="M9" s="44"/>
      <c r="R9" s="1">
        <f>IF(vend13[[#This Row],[Nº Venda]]&gt;1,1,0)</f>
        <v>1</v>
      </c>
    </row>
    <row r="10" spans="2:18" ht="16.5" x14ac:dyDescent="0.3">
      <c r="B10" s="109" t="s">
        <v>5</v>
      </c>
      <c r="C10" s="110"/>
      <c r="D10" s="30"/>
      <c r="E10" s="75">
        <v>11196</v>
      </c>
      <c r="F10" s="76" t="s">
        <v>245</v>
      </c>
      <c r="G10" s="51" t="s">
        <v>36</v>
      </c>
      <c r="H10" s="39">
        <v>0</v>
      </c>
      <c r="I10" s="39">
        <v>0</v>
      </c>
      <c r="J10" s="30"/>
      <c r="K10" s="76"/>
      <c r="L10" s="89"/>
      <c r="M10" s="44"/>
      <c r="R10" s="1">
        <f>IF(vend13[[#This Row],[Nº Venda]]&gt;1,1,0)</f>
        <v>1</v>
      </c>
    </row>
    <row r="11" spans="2:18" ht="16.5" x14ac:dyDescent="0.3">
      <c r="B11" s="28" t="s">
        <v>6</v>
      </c>
      <c r="C11" s="69">
        <f>(SUMIF($G$2:$G$30,B11,$I$2:$I$30))+(SUMIF($G$34:$G$40,B11,$H$34:$H$40))</f>
        <v>220</v>
      </c>
      <c r="D11" s="30"/>
      <c r="E11" s="75">
        <v>11197</v>
      </c>
      <c r="F11" s="76" t="s">
        <v>245</v>
      </c>
      <c r="G11" s="51" t="s">
        <v>36</v>
      </c>
      <c r="H11" s="39">
        <v>0</v>
      </c>
      <c r="I11" s="39">
        <v>0</v>
      </c>
      <c r="J11" s="30"/>
      <c r="K11" s="38"/>
      <c r="L11" s="89"/>
      <c r="M11" s="44"/>
      <c r="O11" s="1">
        <f>IF(C16=0,0,1)</f>
        <v>1</v>
      </c>
      <c r="R11" s="1">
        <f>IF(vend13[[#This Row],[Nº Venda]]&gt;1,1,0)</f>
        <v>1</v>
      </c>
    </row>
    <row r="12" spans="2:18" ht="16.5" x14ac:dyDescent="0.3">
      <c r="B12" s="28" t="s">
        <v>7</v>
      </c>
      <c r="C12" s="69">
        <f>(SUMIF($G$2:$G$30,B12,$I$2:$I$30))+(SUMIF($G$34:$G$40,B12,$H$34:$H$40))</f>
        <v>1899</v>
      </c>
      <c r="D12" s="30"/>
      <c r="E12" s="75">
        <v>11198</v>
      </c>
      <c r="F12" s="76" t="s">
        <v>245</v>
      </c>
      <c r="G12" s="51" t="s">
        <v>6</v>
      </c>
      <c r="H12" s="39">
        <v>50</v>
      </c>
      <c r="I12" s="39">
        <v>50</v>
      </c>
      <c r="J12" s="30"/>
      <c r="K12" s="33"/>
      <c r="L12" s="33"/>
      <c r="M12" s="33"/>
      <c r="R12" s="1">
        <f>IF(vend13[[#This Row],[Nº Venda]]&gt;1,1,0)</f>
        <v>1</v>
      </c>
    </row>
    <row r="13" spans="2:18" ht="16.5" x14ac:dyDescent="0.3">
      <c r="B13" s="28" t="s">
        <v>8</v>
      </c>
      <c r="C13" s="69">
        <f>(SUMIF($G$2:$G$30,B13,$I$2:$I$30))+(SUMIF($G$34:$G$40,B13,$H$34:$H$40))</f>
        <v>1299</v>
      </c>
      <c r="D13" s="30"/>
      <c r="E13" s="75">
        <v>11199</v>
      </c>
      <c r="F13" s="76" t="s">
        <v>257</v>
      </c>
      <c r="G13" s="51" t="s">
        <v>10</v>
      </c>
      <c r="H13" s="39">
        <v>199</v>
      </c>
      <c r="I13" s="39">
        <v>50</v>
      </c>
      <c r="J13" s="30"/>
      <c r="K13" s="102" t="s">
        <v>141</v>
      </c>
      <c r="L13" s="103"/>
      <c r="M13" s="104"/>
      <c r="R13" s="1">
        <f>IF(vend13[[#This Row],[Nº Venda]]&gt;1,1,0)</f>
        <v>1</v>
      </c>
    </row>
    <row r="14" spans="2:18" ht="16.5" x14ac:dyDescent="0.3">
      <c r="B14" s="28" t="s">
        <v>9</v>
      </c>
      <c r="C14" s="69">
        <f>(SUMIF($G$2:$G$30,B14,$I$2:$I$30))+(SUMIF($G$34:$G$40,B14,$H$34:$H$40))</f>
        <v>0</v>
      </c>
      <c r="D14" s="30"/>
      <c r="E14" s="75"/>
      <c r="F14" s="76"/>
      <c r="G14" s="51"/>
      <c r="H14" s="39"/>
      <c r="I14" s="39"/>
      <c r="J14" s="30"/>
      <c r="K14" s="22" t="s">
        <v>22</v>
      </c>
      <c r="L14" s="23" t="s">
        <v>23</v>
      </c>
      <c r="M14" s="24" t="s">
        <v>24</v>
      </c>
      <c r="R14" s="1">
        <f>IF(vend13[[#This Row],[Nº Venda]]&gt;1,1,0)</f>
        <v>0</v>
      </c>
    </row>
    <row r="15" spans="2:18" ht="16.5" x14ac:dyDescent="0.3">
      <c r="B15" s="28" t="s">
        <v>10</v>
      </c>
      <c r="C15" s="69">
        <f>(SUMIF($G$2:$G$30,B15,$I$2:$I$30))+(SUMIF($G$34:$G$40,B15,$H$34:$H$40))</f>
        <v>139</v>
      </c>
      <c r="D15" s="30"/>
      <c r="E15" s="75"/>
      <c r="F15" s="76"/>
      <c r="G15" s="51"/>
      <c r="H15" s="39"/>
      <c r="I15" s="39"/>
      <c r="J15" s="30"/>
      <c r="K15" s="75">
        <v>10950</v>
      </c>
      <c r="L15" s="89" t="s">
        <v>130</v>
      </c>
      <c r="M15" s="44" t="s">
        <v>146</v>
      </c>
      <c r="R15" s="1">
        <f>IF(vend13[[#This Row],[Nº Venda]]&gt;1,1,0)</f>
        <v>0</v>
      </c>
    </row>
    <row r="16" spans="2:18" ht="16.5" x14ac:dyDescent="0.3">
      <c r="B16" s="31" t="s">
        <v>11</v>
      </c>
      <c r="C16" s="70">
        <f>SUM(C11:C15)</f>
        <v>3557</v>
      </c>
      <c r="D16" s="30"/>
      <c r="E16" s="75"/>
      <c r="F16" s="76"/>
      <c r="G16" s="51"/>
      <c r="H16" s="39"/>
      <c r="I16" s="39"/>
      <c r="J16" s="30"/>
      <c r="K16" s="75">
        <v>10979</v>
      </c>
      <c r="L16" s="89" t="s">
        <v>134</v>
      </c>
      <c r="M16" s="44" t="s">
        <v>162</v>
      </c>
      <c r="R16" s="1">
        <f>IF(vend13[[#This Row],[Nº Venda]]&gt;1,1,0)</f>
        <v>0</v>
      </c>
    </row>
    <row r="17" spans="2:18" ht="16.5" x14ac:dyDescent="0.3">
      <c r="B17" s="27"/>
      <c r="C17" s="27"/>
      <c r="D17" s="30"/>
      <c r="E17" s="75"/>
      <c r="F17" s="76"/>
      <c r="G17" s="51"/>
      <c r="H17" s="39"/>
      <c r="I17" s="39"/>
      <c r="J17" s="30"/>
      <c r="K17" s="75">
        <v>11022</v>
      </c>
      <c r="L17" s="89" t="s">
        <v>128</v>
      </c>
      <c r="M17" s="44" t="s">
        <v>162</v>
      </c>
      <c r="R17" s="1">
        <f>IF(vend13[[#This Row],[Nº Venda]]&gt;1,1,0)</f>
        <v>0</v>
      </c>
    </row>
    <row r="18" spans="2:18" ht="16.5" x14ac:dyDescent="0.3">
      <c r="B18" s="109" t="s">
        <v>12</v>
      </c>
      <c r="C18" s="110"/>
      <c r="D18" s="30"/>
      <c r="E18" s="75"/>
      <c r="F18" s="76"/>
      <c r="G18" s="51"/>
      <c r="H18" s="39"/>
      <c r="I18" s="39"/>
      <c r="J18" s="30"/>
      <c r="K18" s="75">
        <v>11025</v>
      </c>
      <c r="L18" s="89" t="s">
        <v>128</v>
      </c>
      <c r="M18" s="44" t="s">
        <v>146</v>
      </c>
      <c r="R18" s="1">
        <f>IF(vend13[[#This Row],[Nº Venda]]&gt;1,1,0)</f>
        <v>0</v>
      </c>
    </row>
    <row r="19" spans="2:18" ht="16.5" x14ac:dyDescent="0.3">
      <c r="B19" s="28">
        <f>COUNT(entr_carn13[OS])</f>
        <v>0</v>
      </c>
      <c r="C19" s="69">
        <f>SUM(entr_carn13[Valor Total])</f>
        <v>0</v>
      </c>
      <c r="D19" s="30"/>
      <c r="E19" s="75"/>
      <c r="F19" s="76"/>
      <c r="G19" s="51"/>
      <c r="H19" s="39"/>
      <c r="I19" s="39"/>
      <c r="J19" s="30"/>
      <c r="K19" s="75">
        <v>11041</v>
      </c>
      <c r="L19" s="89" t="s">
        <v>134</v>
      </c>
      <c r="M19" s="44" t="s">
        <v>146</v>
      </c>
      <c r="R19" s="1">
        <f>IF(vend13[[#This Row],[Nº Venda]]&gt;1,1,0)</f>
        <v>0</v>
      </c>
    </row>
    <row r="20" spans="2:18" ht="16.5" x14ac:dyDescent="0.3">
      <c r="B20" s="31" t="s">
        <v>11</v>
      </c>
      <c r="C20" s="70">
        <f>SUM(C19:C19)</f>
        <v>0</v>
      </c>
      <c r="D20" s="30"/>
      <c r="E20" s="75"/>
      <c r="F20" s="51"/>
      <c r="G20" s="51"/>
      <c r="H20" s="39"/>
      <c r="I20" s="39"/>
      <c r="J20" s="30"/>
      <c r="K20" s="75">
        <v>11050</v>
      </c>
      <c r="L20" s="89" t="s">
        <v>134</v>
      </c>
      <c r="M20" s="44" t="s">
        <v>162</v>
      </c>
      <c r="R20" s="1">
        <f>IF(vend13[[#This Row],[Nº Venda]]&gt;1,1,0)</f>
        <v>0</v>
      </c>
    </row>
    <row r="21" spans="2:18" ht="16.5" x14ac:dyDescent="0.3">
      <c r="B21" s="27"/>
      <c r="C21" s="27"/>
      <c r="D21" s="30"/>
      <c r="E21" s="75"/>
      <c r="F21" s="76"/>
      <c r="G21" s="51"/>
      <c r="H21" s="39"/>
      <c r="I21" s="39"/>
      <c r="J21" s="30"/>
      <c r="K21" s="75">
        <v>11092</v>
      </c>
      <c r="L21" s="89" t="s">
        <v>130</v>
      </c>
      <c r="M21" s="44" t="s">
        <v>146</v>
      </c>
    </row>
    <row r="22" spans="2:18" ht="16.5" x14ac:dyDescent="0.3">
      <c r="B22" s="31" t="s">
        <v>25</v>
      </c>
      <c r="C22" s="34">
        <f>C5</f>
        <v>2538</v>
      </c>
      <c r="D22" s="30"/>
      <c r="E22" s="77"/>
      <c r="F22" s="76"/>
      <c r="G22" s="51"/>
      <c r="H22" s="39"/>
      <c r="I22" s="39"/>
      <c r="J22" s="30"/>
      <c r="K22" s="75">
        <v>11107</v>
      </c>
      <c r="L22" s="89" t="s">
        <v>130</v>
      </c>
      <c r="M22" s="44" t="s">
        <v>146</v>
      </c>
    </row>
    <row r="23" spans="2:18" ht="16.5" x14ac:dyDescent="0.3">
      <c r="B23" s="30"/>
      <c r="C23" s="30"/>
      <c r="D23" s="30"/>
      <c r="E23" s="35"/>
      <c r="F23" s="35"/>
      <c r="G23" s="35"/>
      <c r="H23" s="36"/>
      <c r="I23" s="37"/>
      <c r="J23" s="30"/>
      <c r="K23" s="75">
        <v>11187</v>
      </c>
      <c r="L23" s="89" t="s">
        <v>130</v>
      </c>
      <c r="M23" s="44" t="s">
        <v>146</v>
      </c>
    </row>
    <row r="24" spans="2:18" ht="16.5" x14ac:dyDescent="0.3">
      <c r="B24" s="30"/>
      <c r="C24" s="30"/>
      <c r="D24" s="30"/>
      <c r="E24" s="100" t="s">
        <v>138</v>
      </c>
      <c r="F24" s="101"/>
      <c r="G24" s="101"/>
      <c r="H24" s="101"/>
      <c r="I24" s="101"/>
      <c r="J24" s="30"/>
      <c r="K24" s="75"/>
      <c r="L24" s="89"/>
      <c r="M24" s="44"/>
    </row>
    <row r="25" spans="2:18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5"/>
      <c r="L25" s="89"/>
      <c r="M25" s="44"/>
    </row>
    <row r="26" spans="2:18" ht="16.5" x14ac:dyDescent="0.3">
      <c r="B26" s="30"/>
      <c r="C26" s="30"/>
      <c r="D26" s="30"/>
      <c r="E26" s="75">
        <v>11092</v>
      </c>
      <c r="F26" s="76" t="s">
        <v>256</v>
      </c>
      <c r="G26" s="51" t="s">
        <v>8</v>
      </c>
      <c r="H26" s="39"/>
      <c r="I26" s="39">
        <v>1299</v>
      </c>
      <c r="J26" s="30"/>
      <c r="K26" s="75"/>
      <c r="L26" s="89"/>
      <c r="M26" s="44"/>
    </row>
    <row r="27" spans="2:18" ht="16.5" x14ac:dyDescent="0.3">
      <c r="B27" s="30"/>
      <c r="C27" s="30"/>
      <c r="D27" s="30"/>
      <c r="E27" s="75"/>
      <c r="F27" s="76"/>
      <c r="G27" s="51"/>
      <c r="H27" s="39"/>
      <c r="I27" s="39"/>
      <c r="J27" s="30"/>
      <c r="K27" s="75"/>
      <c r="L27" s="89"/>
      <c r="M27" s="44"/>
    </row>
    <row r="28" spans="2:18" ht="16.5" x14ac:dyDescent="0.3">
      <c r="B28" s="30"/>
      <c r="C28" s="30"/>
      <c r="D28" s="30"/>
      <c r="E28" s="75"/>
      <c r="F28" s="76"/>
      <c r="G28" s="51"/>
      <c r="H28" s="39"/>
      <c r="I28" s="39"/>
      <c r="J28" s="30"/>
      <c r="K28" s="75"/>
      <c r="L28" s="89"/>
      <c r="M28" s="44"/>
    </row>
    <row r="29" spans="2:18" ht="16.5" x14ac:dyDescent="0.3">
      <c r="B29" s="30"/>
      <c r="C29" s="30"/>
      <c r="D29" s="30"/>
      <c r="E29" s="75"/>
      <c r="F29" s="76"/>
      <c r="G29" s="51"/>
      <c r="H29" s="39"/>
      <c r="I29" s="39"/>
      <c r="J29" s="30"/>
      <c r="K29" s="75"/>
      <c r="L29" s="89"/>
      <c r="M29" s="44"/>
    </row>
    <row r="30" spans="2:18" ht="16.5" x14ac:dyDescent="0.3">
      <c r="B30" s="30"/>
      <c r="C30" s="30"/>
      <c r="D30" s="30"/>
      <c r="E30" s="75"/>
      <c r="F30" s="51"/>
      <c r="G30" s="51"/>
      <c r="H30" s="39"/>
      <c r="I30" s="39"/>
      <c r="J30" s="30"/>
      <c r="K30" s="75"/>
      <c r="L30" s="89"/>
      <c r="M30" s="44"/>
    </row>
    <row r="31" spans="2:18" ht="16.5" x14ac:dyDescent="0.3">
      <c r="B31" s="30"/>
      <c r="C31" s="30"/>
      <c r="D31" s="30"/>
      <c r="E31" s="35"/>
      <c r="F31" s="35"/>
      <c r="G31" s="35"/>
      <c r="H31" s="37"/>
      <c r="I31" s="37"/>
      <c r="J31" s="30"/>
      <c r="K31" s="33"/>
      <c r="L31" s="33"/>
      <c r="M31" s="33"/>
    </row>
    <row r="32" spans="2:18" ht="16.5" x14ac:dyDescent="0.3">
      <c r="B32" s="30"/>
      <c r="C32" s="30"/>
      <c r="D32" s="38"/>
      <c r="E32" s="100" t="s">
        <v>139</v>
      </c>
      <c r="F32" s="101"/>
      <c r="G32" s="101"/>
      <c r="H32" s="101"/>
      <c r="I32" s="101"/>
      <c r="J32" s="38"/>
      <c r="K32" s="102" t="s">
        <v>140</v>
      </c>
      <c r="L32" s="103"/>
      <c r="M32" s="104"/>
    </row>
    <row r="33" spans="2:18" ht="16.5" x14ac:dyDescent="0.3">
      <c r="B33" s="30"/>
      <c r="C33" s="30"/>
      <c r="D33" s="38"/>
      <c r="E33" s="17" t="s">
        <v>22</v>
      </c>
      <c r="F33" s="16" t="s">
        <v>15</v>
      </c>
      <c r="G33" s="17" t="s">
        <v>16</v>
      </c>
      <c r="H33" s="18" t="s">
        <v>26</v>
      </c>
      <c r="I33" s="18" t="s">
        <v>27</v>
      </c>
      <c r="J33" s="38"/>
      <c r="K33" s="23" t="s">
        <v>22</v>
      </c>
      <c r="L33" s="22" t="s">
        <v>28</v>
      </c>
      <c r="M33" s="23" t="s">
        <v>29</v>
      </c>
    </row>
    <row r="34" spans="2:18" ht="13.5" x14ac:dyDescent="0.25">
      <c r="B34" s="38"/>
      <c r="C34" s="38"/>
      <c r="D34" s="38"/>
      <c r="E34" s="75">
        <v>9681</v>
      </c>
      <c r="F34" s="76" t="s">
        <v>255</v>
      </c>
      <c r="G34" s="51" t="s">
        <v>10</v>
      </c>
      <c r="H34" s="39">
        <v>89</v>
      </c>
      <c r="I34" s="39" t="s">
        <v>39</v>
      </c>
      <c r="J34" s="38"/>
      <c r="K34" s="75"/>
      <c r="L34" s="75"/>
      <c r="M34" s="89"/>
    </row>
    <row r="35" spans="2:18" ht="16.5" customHeight="1" x14ac:dyDescent="0.25">
      <c r="B35" s="38"/>
      <c r="C35" s="38"/>
      <c r="D35" s="38"/>
      <c r="E35" s="81"/>
      <c r="F35" s="76"/>
      <c r="G35" s="51"/>
      <c r="H35" s="39"/>
      <c r="I35" s="39"/>
      <c r="J35" s="38"/>
      <c r="K35" s="75"/>
      <c r="L35" s="75"/>
      <c r="M35" s="89"/>
    </row>
    <row r="36" spans="2:18" ht="16.5" customHeight="1" x14ac:dyDescent="0.25">
      <c r="B36" s="38"/>
      <c r="C36" s="38"/>
      <c r="D36" s="38"/>
      <c r="E36" s="75"/>
      <c r="F36" s="76"/>
      <c r="G36" s="51"/>
      <c r="H36" s="39"/>
      <c r="I36" s="39"/>
      <c r="J36" s="38"/>
      <c r="K36" s="75"/>
      <c r="L36" s="75"/>
      <c r="M36" s="89"/>
    </row>
    <row r="37" spans="2:18" ht="16.5" customHeight="1" x14ac:dyDescent="0.25">
      <c r="B37" s="38"/>
      <c r="C37" s="38"/>
      <c r="D37" s="38"/>
      <c r="E37" s="75"/>
      <c r="F37" s="76"/>
      <c r="G37" s="51"/>
      <c r="H37" s="39"/>
      <c r="I37" s="39"/>
      <c r="J37" s="38"/>
      <c r="K37" s="75"/>
      <c r="L37" s="75"/>
      <c r="M37" s="89"/>
    </row>
    <row r="38" spans="2:18" ht="16.5" customHeight="1" x14ac:dyDescent="0.25">
      <c r="B38" s="38"/>
      <c r="C38" s="38"/>
      <c r="D38" s="38"/>
      <c r="E38" s="75"/>
      <c r="F38" s="51"/>
      <c r="G38" s="51"/>
      <c r="H38" s="39"/>
      <c r="I38" s="39"/>
      <c r="J38" s="38"/>
      <c r="K38" s="75"/>
      <c r="L38" s="75"/>
      <c r="M38" s="89"/>
    </row>
    <row r="39" spans="2:18" ht="16.5" customHeight="1" x14ac:dyDescent="0.25">
      <c r="B39" s="38"/>
      <c r="C39" s="38"/>
      <c r="D39" s="38"/>
      <c r="E39" s="77"/>
      <c r="F39" s="78"/>
      <c r="G39" s="42"/>
      <c r="H39" s="43"/>
      <c r="I39" s="39"/>
      <c r="J39" s="38"/>
      <c r="K39" s="77"/>
      <c r="L39" s="77"/>
      <c r="M39" s="90"/>
    </row>
    <row r="40" spans="2:18" ht="16.5" customHeight="1" x14ac:dyDescent="0.25">
      <c r="B40" s="38"/>
      <c r="C40" s="38"/>
      <c r="D40" s="38"/>
      <c r="E40" s="80"/>
      <c r="F40" s="51"/>
      <c r="G40" s="51"/>
      <c r="H40" s="39"/>
      <c r="I40" s="39"/>
      <c r="J40" s="38"/>
      <c r="K40" s="75"/>
      <c r="L40" s="75"/>
      <c r="M40" s="90"/>
      <c r="Q40" s="1" t="s">
        <v>33</v>
      </c>
      <c r="R40" s="1">
        <f>SUM(R6:R21)</f>
        <v>8</v>
      </c>
    </row>
    <row r="41" spans="2:18" ht="16.5" customHeight="1" x14ac:dyDescent="0.25">
      <c r="B41" s="38"/>
      <c r="C41" s="38"/>
      <c r="D41" s="38"/>
      <c r="E41" s="35"/>
      <c r="F41" s="35"/>
      <c r="G41" s="35"/>
      <c r="H41" s="37"/>
      <c r="I41" s="37"/>
      <c r="J41" s="38"/>
      <c r="K41" s="33"/>
      <c r="L41" s="33"/>
      <c r="M41" s="33"/>
    </row>
    <row r="42" spans="2:18" ht="13.5" x14ac:dyDescent="0.25">
      <c r="B42" s="38"/>
      <c r="C42" s="38"/>
      <c r="D42" s="38"/>
      <c r="E42" s="35"/>
      <c r="F42" s="35"/>
      <c r="G42" s="35"/>
      <c r="H42" s="37"/>
      <c r="I42" s="37"/>
      <c r="J42" s="38"/>
      <c r="K42" s="33"/>
      <c r="L42" s="33"/>
      <c r="M42" s="33"/>
    </row>
    <row r="43" spans="2:18" ht="13.5" x14ac:dyDescent="0.25">
      <c r="B43" s="38"/>
      <c r="C43" s="38"/>
      <c r="D43" s="38"/>
      <c r="E43" s="35"/>
      <c r="F43" s="35"/>
      <c r="G43" s="35"/>
      <c r="H43" s="37"/>
      <c r="I43" s="37"/>
      <c r="J43" s="38"/>
      <c r="K43" s="33"/>
      <c r="L43" s="33"/>
      <c r="M43" s="33"/>
    </row>
    <row r="44" spans="2:18" ht="13.5" x14ac:dyDescent="0.25">
      <c r="B44" s="38"/>
      <c r="C44" s="38"/>
      <c r="D44" s="38"/>
      <c r="E44" s="35"/>
      <c r="F44" s="35"/>
      <c r="G44" s="35"/>
      <c r="H44" s="37"/>
      <c r="I44" s="37"/>
      <c r="J44" s="38"/>
      <c r="K44" s="33"/>
      <c r="L44" s="33"/>
      <c r="M44" s="33"/>
    </row>
    <row r="45" spans="2:18" ht="13.5" x14ac:dyDescent="0.25">
      <c r="B45" s="38"/>
      <c r="C45" s="38"/>
      <c r="D45" s="38"/>
      <c r="J45" s="38"/>
    </row>
  </sheetData>
  <mergeCells count="11">
    <mergeCell ref="B1:C1"/>
    <mergeCell ref="L1:M1"/>
    <mergeCell ref="E24:I24"/>
    <mergeCell ref="E32:I32"/>
    <mergeCell ref="K32:M32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4:L40" xr:uid="{5FBAD0B9-A947-4F99-A786-E5507FB6A4B3}">
      <formula1>"1,2,3,4,5,6,7,8,9,10"</formula1>
    </dataValidation>
    <dataValidation type="list" allowBlank="1" showInputMessage="1" showErrorMessage="1" sqref="M15:M30" xr:uid="{F335A261-ABBD-4C95-A2F8-7B0C89DA4F4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7485B5A-F59A-4123-B6B3-1C4132270F61}">
          <x14:formula1>
            <xm:f>base!$E$2:$E$79</xm:f>
          </x14:formula1>
          <xm:sqref>I34:I40</xm:sqref>
        </x14:dataValidation>
        <x14:dataValidation type="list" allowBlank="1" showInputMessage="1" showErrorMessage="1" xr:uid="{9F58C427-5091-4CB2-84A3-281F8ABB36C9}">
          <x14:formula1>
            <xm:f>base_OS!$A$2:$A$15000</xm:f>
          </x14:formula1>
          <xm:sqref>E6:E22 E26:E30 E34:E40 K34:K40 K15:K30</xm:sqref>
        </x14:dataValidation>
        <x14:dataValidation type="list" allowBlank="1" showInputMessage="1" showErrorMessage="1" xr:uid="{245BDF35-8AB3-43D0-BD06-D449F65BEBB8}">
          <x14:formula1>
            <xm:f>base!$A$2:$A$8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base!$A$2:$A$5</xm:f>
          </x14:formula1>
          <xm:sqref>G26:G30 G34:G40</xm:sqref>
        </x14:dataValidation>
        <x14:dataValidation type="list" allowBlank="1" showInputMessage="1" showErrorMessage="1" xr:uid="{7E85E7C8-3870-43A2-B265-464547213144}">
          <x14:formula1>
            <xm:f>resumo_cx!$P$2:$P$18</xm:f>
          </x14:formula1>
          <xm:sqref>L15:L30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5"/>
  <sheetViews>
    <sheetView showGridLines="0" view="pageBreakPreview" topLeftCell="A11" zoomScale="60" zoomScaleNormal="90" workbookViewId="0">
      <selection activeCell="F16" sqref="F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8.42578125" style="12" bestFit="1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'13'!B1+1</f>
        <v>45822</v>
      </c>
      <c r="C1" s="98"/>
      <c r="L1" s="99" t="s">
        <v>143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5" t="s">
        <v>0</v>
      </c>
      <c r="C4" s="26">
        <v>0</v>
      </c>
      <c r="D4" s="58"/>
      <c r="E4" s="108" t="s">
        <v>136</v>
      </c>
      <c r="F4" s="108"/>
      <c r="G4" s="108"/>
      <c r="H4" s="108"/>
      <c r="I4" s="108"/>
      <c r="J4" s="30"/>
      <c r="K4" s="102" t="s">
        <v>137</v>
      </c>
      <c r="L4" s="103"/>
      <c r="M4" s="104"/>
    </row>
    <row r="5" spans="2:18" ht="16.5" x14ac:dyDescent="0.3">
      <c r="B5" s="28" t="s">
        <v>1</v>
      </c>
      <c r="C5" s="29">
        <f>SUMIF(I6:I31,"&gt;0",H6:H31)</f>
        <v>8276.7999999999993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18" ht="16.5" x14ac:dyDescent="0.3">
      <c r="B6" s="28" t="s">
        <v>2</v>
      </c>
      <c r="C6" s="29">
        <f>C16</f>
        <v>5759.79</v>
      </c>
      <c r="D6" s="30"/>
      <c r="E6" s="75">
        <v>11200</v>
      </c>
      <c r="F6" s="76" t="s">
        <v>258</v>
      </c>
      <c r="G6" s="50" t="s">
        <v>36</v>
      </c>
      <c r="H6" s="39">
        <v>0</v>
      </c>
      <c r="I6" s="39">
        <v>0</v>
      </c>
      <c r="J6" s="30"/>
      <c r="K6" s="76" t="s">
        <v>161</v>
      </c>
      <c r="L6" s="89" t="s">
        <v>10</v>
      </c>
      <c r="M6" s="44">
        <v>3.36</v>
      </c>
      <c r="R6" s="1">
        <f>IF(vend14[[#This Row],[Nº Venda]]&gt;1,1,0)</f>
        <v>1</v>
      </c>
    </row>
    <row r="7" spans="2:18" ht="16.5" x14ac:dyDescent="0.3">
      <c r="B7" s="28" t="s">
        <v>3</v>
      </c>
      <c r="C7" s="29">
        <f>SUM(M6:M11)</f>
        <v>164.34</v>
      </c>
      <c r="D7" s="30"/>
      <c r="E7" s="75">
        <v>11201</v>
      </c>
      <c r="F7" s="76" t="s">
        <v>152</v>
      </c>
      <c r="G7" s="50" t="s">
        <v>6</v>
      </c>
      <c r="H7" s="39">
        <v>239</v>
      </c>
      <c r="I7" s="39">
        <v>100</v>
      </c>
      <c r="J7" s="30"/>
      <c r="K7" s="76" t="s">
        <v>193</v>
      </c>
      <c r="L7" s="89" t="s">
        <v>10</v>
      </c>
      <c r="M7" s="44">
        <v>32.979999999999997</v>
      </c>
      <c r="R7" s="1">
        <f>IF(vend14[[#This Row],[Nº Venda]]&gt;1,1,0)</f>
        <v>1</v>
      </c>
    </row>
    <row r="8" spans="2:18" ht="16.5" x14ac:dyDescent="0.3">
      <c r="B8" s="31" t="s">
        <v>21</v>
      </c>
      <c r="C8" s="32">
        <f>SUM(C6:C7)</f>
        <v>5924.13</v>
      </c>
      <c r="D8" s="30"/>
      <c r="E8" s="75">
        <v>11202</v>
      </c>
      <c r="F8" s="76" t="s">
        <v>211</v>
      </c>
      <c r="G8" s="51" t="s">
        <v>6</v>
      </c>
      <c r="H8" s="39">
        <v>9.8000000000000007</v>
      </c>
      <c r="I8" s="39">
        <v>9.8000000000000007</v>
      </c>
      <c r="J8" s="30"/>
      <c r="K8" s="76" t="s">
        <v>335</v>
      </c>
      <c r="L8" s="89" t="s">
        <v>6</v>
      </c>
      <c r="M8" s="44">
        <v>128</v>
      </c>
      <c r="R8" s="1">
        <f>IF(vend14[[#This Row],[Nº Venda]]&gt;1,1,0)</f>
        <v>1</v>
      </c>
    </row>
    <row r="9" spans="2:18" ht="16.5" x14ac:dyDescent="0.3">
      <c r="B9" s="27"/>
      <c r="C9" s="27"/>
      <c r="D9" s="30"/>
      <c r="E9" s="75">
        <v>11203</v>
      </c>
      <c r="F9" s="76" t="s">
        <v>259</v>
      </c>
      <c r="G9" s="51" t="s">
        <v>8</v>
      </c>
      <c r="H9" s="39">
        <v>1980</v>
      </c>
      <c r="I9" s="39">
        <v>1980</v>
      </c>
      <c r="J9" s="30"/>
      <c r="K9" s="76"/>
      <c r="L9" s="89"/>
      <c r="M9" s="44"/>
      <c r="R9" s="1">
        <f>IF(vend14[[#This Row],[Nº Venda]]&gt;1,1,0)</f>
        <v>1</v>
      </c>
    </row>
    <row r="10" spans="2:18" ht="16.5" x14ac:dyDescent="0.3">
      <c r="B10" s="109" t="s">
        <v>5</v>
      </c>
      <c r="C10" s="110"/>
      <c r="D10" s="30"/>
      <c r="E10" s="75">
        <v>11204</v>
      </c>
      <c r="F10" s="76" t="s">
        <v>259</v>
      </c>
      <c r="G10" s="51" t="s">
        <v>46</v>
      </c>
      <c r="H10" s="39">
        <v>0</v>
      </c>
      <c r="I10" s="39">
        <v>0</v>
      </c>
      <c r="J10" s="30"/>
      <c r="K10" s="76"/>
      <c r="L10" s="89"/>
      <c r="M10" s="44"/>
      <c r="R10" s="1">
        <f>IF(vend14[[#This Row],[Nº Venda]]&gt;1,1,0)</f>
        <v>1</v>
      </c>
    </row>
    <row r="11" spans="2:18" ht="16.5" x14ac:dyDescent="0.3">
      <c r="B11" s="28" t="s">
        <v>6</v>
      </c>
      <c r="C11" s="69">
        <f>(SUMIF($G$2:$G$31,B11,$I$2:$I$31))+(SUMIF($G$35:$G$41,B11,$H$35:$H$41))</f>
        <v>129.80000000000001</v>
      </c>
      <c r="D11" s="30"/>
      <c r="E11" s="75">
        <v>11205</v>
      </c>
      <c r="F11" s="76" t="s">
        <v>259</v>
      </c>
      <c r="G11" s="51" t="s">
        <v>46</v>
      </c>
      <c r="H11" s="39">
        <v>0</v>
      </c>
      <c r="I11" s="39">
        <v>0</v>
      </c>
      <c r="J11" s="30"/>
      <c r="K11" s="38"/>
      <c r="L11" s="89"/>
      <c r="M11" s="44"/>
      <c r="O11" s="1">
        <f>IF(C16=0,0,1)</f>
        <v>1</v>
      </c>
      <c r="R11" s="1">
        <f>IF(vend14[[#This Row],[Nº Venda]]&gt;1,1,0)</f>
        <v>1</v>
      </c>
    </row>
    <row r="12" spans="2:18" ht="16.5" x14ac:dyDescent="0.3">
      <c r="B12" s="28" t="s">
        <v>7</v>
      </c>
      <c r="C12" s="69">
        <f t="shared" ref="C12:C15" si="0">(SUMIF($G$2:$G$31,B12,$I$2:$I$31))+(SUMIF($G$35:$G$41,B12,$H$35:$H$41))</f>
        <v>1700</v>
      </c>
      <c r="D12" s="30"/>
      <c r="E12" s="75">
        <v>11206</v>
      </c>
      <c r="F12" s="76" t="s">
        <v>260</v>
      </c>
      <c r="G12" s="51" t="s">
        <v>7</v>
      </c>
      <c r="H12" s="39">
        <v>1000</v>
      </c>
      <c r="I12" s="39">
        <v>500</v>
      </c>
      <c r="J12" s="30"/>
      <c r="K12" s="33"/>
      <c r="L12" s="33"/>
      <c r="M12" s="33"/>
      <c r="R12" s="1">
        <f>IF(vend14[[#This Row],[Nº Venda]]&gt;1,1,0)</f>
        <v>1</v>
      </c>
    </row>
    <row r="13" spans="2:18" ht="16.5" x14ac:dyDescent="0.3">
      <c r="B13" s="28" t="s">
        <v>8</v>
      </c>
      <c r="C13" s="69">
        <f t="shared" si="0"/>
        <v>3929.99</v>
      </c>
      <c r="D13" s="30"/>
      <c r="E13" s="75">
        <v>11207</v>
      </c>
      <c r="F13" s="76" t="s">
        <v>261</v>
      </c>
      <c r="G13" s="51" t="s">
        <v>7</v>
      </c>
      <c r="H13" s="39">
        <v>450</v>
      </c>
      <c r="I13" s="39">
        <v>50</v>
      </c>
      <c r="J13" s="30"/>
      <c r="K13" s="102" t="s">
        <v>141</v>
      </c>
      <c r="L13" s="103"/>
      <c r="M13" s="104"/>
      <c r="R13" s="1">
        <f>IF(vend14[[#This Row],[Nº Venda]]&gt;1,1,0)</f>
        <v>1</v>
      </c>
    </row>
    <row r="14" spans="2:18" ht="16.5" x14ac:dyDescent="0.3">
      <c r="B14" s="28" t="s">
        <v>9</v>
      </c>
      <c r="C14" s="69">
        <f t="shared" si="0"/>
        <v>0</v>
      </c>
      <c r="D14" s="30"/>
      <c r="E14" s="75">
        <v>11208</v>
      </c>
      <c r="F14" s="76" t="s">
        <v>261</v>
      </c>
      <c r="G14" s="51" t="s">
        <v>7</v>
      </c>
      <c r="H14" s="39">
        <v>1499</v>
      </c>
      <c r="I14" s="39">
        <v>50</v>
      </c>
      <c r="J14" s="30"/>
      <c r="K14" s="22" t="s">
        <v>22</v>
      </c>
      <c r="L14" s="23" t="s">
        <v>23</v>
      </c>
      <c r="M14" s="24" t="s">
        <v>24</v>
      </c>
      <c r="R14" s="1">
        <f>IF(vend14[[#This Row],[Nº Venda]]&gt;1,1,0)</f>
        <v>1</v>
      </c>
    </row>
    <row r="15" spans="2:18" ht="16.5" x14ac:dyDescent="0.3">
      <c r="B15" s="28" t="s">
        <v>10</v>
      </c>
      <c r="C15" s="69">
        <f t="shared" si="0"/>
        <v>0</v>
      </c>
      <c r="D15" s="30"/>
      <c r="E15" s="75">
        <v>11209</v>
      </c>
      <c r="F15" s="76" t="s">
        <v>262</v>
      </c>
      <c r="G15" s="51" t="s">
        <v>7</v>
      </c>
      <c r="H15" s="39">
        <v>799</v>
      </c>
      <c r="I15" s="39">
        <v>100</v>
      </c>
      <c r="J15" s="30"/>
      <c r="K15" s="75">
        <v>11073</v>
      </c>
      <c r="L15" s="89" t="s">
        <v>128</v>
      </c>
      <c r="M15" s="44" t="s">
        <v>146</v>
      </c>
      <c r="R15" s="1">
        <f>IF(vend14[[#This Row],[Nº Venda]]&gt;1,1,0)</f>
        <v>1</v>
      </c>
    </row>
    <row r="16" spans="2:18" ht="16.5" x14ac:dyDescent="0.3">
      <c r="B16" s="31" t="s">
        <v>11</v>
      </c>
      <c r="C16" s="70">
        <f>SUM(C11:C15)</f>
        <v>5759.79</v>
      </c>
      <c r="D16" s="30"/>
      <c r="E16" s="75">
        <v>11210</v>
      </c>
      <c r="F16" s="76" t="s">
        <v>263</v>
      </c>
      <c r="G16" s="51" t="s">
        <v>7</v>
      </c>
      <c r="H16" s="39">
        <v>2300</v>
      </c>
      <c r="I16" s="39">
        <v>1000</v>
      </c>
      <c r="J16" s="30"/>
      <c r="K16" s="75">
        <v>11112</v>
      </c>
      <c r="L16" s="89" t="s">
        <v>130</v>
      </c>
      <c r="M16" s="44" t="s">
        <v>146</v>
      </c>
      <c r="R16" s="1">
        <f>IF(vend14[[#This Row],[Nº Venda]]&gt;1,1,0)</f>
        <v>1</v>
      </c>
    </row>
    <row r="17" spans="2:18" ht="16.5" x14ac:dyDescent="0.3">
      <c r="B17" s="27"/>
      <c r="C17" s="27"/>
      <c r="D17" s="30"/>
      <c r="E17" s="75">
        <v>11210</v>
      </c>
      <c r="F17" s="76" t="s">
        <v>263</v>
      </c>
      <c r="G17" s="51" t="s">
        <v>8</v>
      </c>
      <c r="H17" s="39"/>
      <c r="I17" s="39">
        <v>1300</v>
      </c>
      <c r="J17" s="30"/>
      <c r="K17" s="75">
        <v>11113</v>
      </c>
      <c r="L17" s="89" t="s">
        <v>130</v>
      </c>
      <c r="M17" s="44" t="s">
        <v>146</v>
      </c>
      <c r="R17" s="1">
        <f>IF(vend14[[#This Row],[Nº Venda]]&gt;1,1,0)</f>
        <v>1</v>
      </c>
    </row>
    <row r="18" spans="2:18" ht="16.5" x14ac:dyDescent="0.3">
      <c r="B18" s="109" t="s">
        <v>12</v>
      </c>
      <c r="C18" s="110"/>
      <c r="D18" s="30"/>
      <c r="E18" s="75"/>
      <c r="F18" s="76"/>
      <c r="G18" s="51"/>
      <c r="H18" s="39"/>
      <c r="I18" s="39"/>
      <c r="J18" s="30"/>
      <c r="K18" s="75">
        <v>11150</v>
      </c>
      <c r="L18" s="89" t="s">
        <v>130</v>
      </c>
      <c r="M18" s="44" t="s">
        <v>146</v>
      </c>
      <c r="R18" s="1">
        <f>IF(vend14[[#This Row],[Nº Venda]]&gt;1,1,0)</f>
        <v>0</v>
      </c>
    </row>
    <row r="19" spans="2:18" ht="16.5" x14ac:dyDescent="0.3">
      <c r="B19" s="28">
        <f>COUNT(entr_carn14[OS])</f>
        <v>0</v>
      </c>
      <c r="C19" s="69">
        <f>SUM(entr_carn14[Valor Total])</f>
        <v>0</v>
      </c>
      <c r="D19" s="30"/>
      <c r="E19" s="75"/>
      <c r="F19" s="76"/>
      <c r="G19" s="51"/>
      <c r="H19" s="39"/>
      <c r="I19" s="39"/>
      <c r="J19" s="30"/>
      <c r="K19" s="75">
        <v>11166</v>
      </c>
      <c r="L19" s="89" t="s">
        <v>130</v>
      </c>
      <c r="M19" s="44" t="s">
        <v>146</v>
      </c>
      <c r="R19" s="1">
        <f>IF(vend14[[#This Row],[Nº Venda]]&gt;1,1,0)</f>
        <v>0</v>
      </c>
    </row>
    <row r="20" spans="2:18" ht="16.5" x14ac:dyDescent="0.3">
      <c r="B20" s="31" t="s">
        <v>11</v>
      </c>
      <c r="C20" s="70">
        <f>SUM(C19:C19)</f>
        <v>0</v>
      </c>
      <c r="D20" s="30"/>
      <c r="E20" s="75"/>
      <c r="F20" s="51"/>
      <c r="G20" s="51"/>
      <c r="H20" s="39"/>
      <c r="I20" s="39"/>
      <c r="J20" s="30"/>
      <c r="K20" s="75">
        <v>11170</v>
      </c>
      <c r="L20" s="89" t="s">
        <v>128</v>
      </c>
      <c r="M20" s="44" t="s">
        <v>146</v>
      </c>
      <c r="R20" s="1">
        <f>IF(vend14[[#This Row],[Nº Venda]]&gt;1,1,0)</f>
        <v>0</v>
      </c>
    </row>
    <row r="21" spans="2:18" ht="16.5" x14ac:dyDescent="0.3">
      <c r="B21" s="27"/>
      <c r="C21" s="27"/>
      <c r="D21" s="30"/>
      <c r="E21" s="75"/>
      <c r="F21" s="76"/>
      <c r="G21" s="51"/>
      <c r="H21" s="39"/>
      <c r="I21" s="39"/>
      <c r="J21" s="30"/>
      <c r="K21" s="75">
        <v>11179</v>
      </c>
      <c r="L21" s="89" t="s">
        <v>130</v>
      </c>
      <c r="M21" s="44" t="s">
        <v>146</v>
      </c>
    </row>
    <row r="22" spans="2:18" ht="16.5" x14ac:dyDescent="0.3">
      <c r="B22" s="31" t="s">
        <v>25</v>
      </c>
      <c r="C22" s="34">
        <f>C5</f>
        <v>8276.7999999999993</v>
      </c>
      <c r="D22" s="30"/>
      <c r="E22" s="77"/>
      <c r="F22" s="76"/>
      <c r="G22" s="51"/>
      <c r="H22" s="39"/>
      <c r="I22" s="39"/>
      <c r="J22" s="30"/>
      <c r="K22" s="75">
        <v>11193</v>
      </c>
      <c r="L22" s="89" t="s">
        <v>128</v>
      </c>
      <c r="M22" s="44" t="s">
        <v>146</v>
      </c>
    </row>
    <row r="23" spans="2:18" ht="16.5" x14ac:dyDescent="0.3">
      <c r="B23" s="30"/>
      <c r="C23" s="30"/>
      <c r="D23" s="30"/>
      <c r="E23" s="35"/>
      <c r="F23" s="35"/>
      <c r="G23" s="35"/>
      <c r="H23" s="36"/>
      <c r="I23" s="37"/>
      <c r="J23" s="30"/>
      <c r="K23" s="75"/>
      <c r="L23" s="89"/>
      <c r="M23" s="44"/>
    </row>
    <row r="24" spans="2:18" ht="16.5" x14ac:dyDescent="0.3">
      <c r="B24" s="30"/>
      <c r="C24" s="30"/>
      <c r="D24" s="30"/>
      <c r="E24" s="100" t="s">
        <v>138</v>
      </c>
      <c r="F24" s="101"/>
      <c r="G24" s="101"/>
      <c r="H24" s="101"/>
      <c r="I24" s="101"/>
      <c r="J24" s="30"/>
      <c r="K24" s="75"/>
      <c r="L24" s="89"/>
      <c r="M24" s="44"/>
    </row>
    <row r="25" spans="2:18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5"/>
      <c r="L25" s="89"/>
      <c r="M25" s="44"/>
    </row>
    <row r="26" spans="2:18" ht="16.5" x14ac:dyDescent="0.3">
      <c r="B26" s="30"/>
      <c r="C26" s="30"/>
      <c r="D26" s="30"/>
      <c r="E26" s="75">
        <v>11150</v>
      </c>
      <c r="F26" s="76" t="s">
        <v>199</v>
      </c>
      <c r="G26" s="51" t="s">
        <v>8</v>
      </c>
      <c r="H26" s="39"/>
      <c r="I26" s="39">
        <v>649.99</v>
      </c>
      <c r="J26" s="30"/>
      <c r="K26" s="75"/>
      <c r="L26" s="89"/>
      <c r="M26" s="44"/>
    </row>
    <row r="27" spans="2:18" ht="16.5" x14ac:dyDescent="0.3">
      <c r="B27" s="30"/>
      <c r="C27" s="30"/>
      <c r="D27" s="30"/>
      <c r="E27" s="75">
        <v>11193</v>
      </c>
      <c r="F27" s="76" t="s">
        <v>253</v>
      </c>
      <c r="G27" s="51" t="s">
        <v>6</v>
      </c>
      <c r="H27" s="39"/>
      <c r="I27" s="39">
        <v>20</v>
      </c>
      <c r="J27" s="30"/>
      <c r="K27" s="75"/>
      <c r="L27" s="89"/>
      <c r="M27" s="44"/>
    </row>
    <row r="28" spans="2:18" ht="16.5" x14ac:dyDescent="0.3">
      <c r="B28" s="30"/>
      <c r="C28" s="30"/>
      <c r="D28" s="30"/>
      <c r="E28" s="75"/>
      <c r="F28" s="76"/>
      <c r="G28" s="51"/>
      <c r="H28" s="39"/>
      <c r="I28" s="39"/>
      <c r="J28" s="30"/>
      <c r="K28" s="75"/>
      <c r="L28" s="89"/>
      <c r="M28" s="44"/>
    </row>
    <row r="29" spans="2:18" ht="16.5" x14ac:dyDescent="0.3">
      <c r="B29" s="30"/>
      <c r="C29" s="30"/>
      <c r="D29" s="30"/>
      <c r="E29" s="75"/>
      <c r="F29" s="76"/>
      <c r="G29" s="51"/>
      <c r="H29" s="39"/>
      <c r="I29" s="39"/>
      <c r="J29" s="30"/>
      <c r="K29" s="75"/>
      <c r="L29" s="89"/>
      <c r="M29" s="44"/>
    </row>
    <row r="30" spans="2:18" ht="16.5" x14ac:dyDescent="0.3">
      <c r="B30" s="30"/>
      <c r="C30" s="30"/>
      <c r="D30" s="30"/>
      <c r="E30" s="75"/>
      <c r="F30" s="51"/>
      <c r="G30" s="51"/>
      <c r="H30" s="39"/>
      <c r="I30" s="39"/>
      <c r="J30" s="30"/>
      <c r="K30" s="75"/>
      <c r="L30" s="89"/>
      <c r="M30" s="44"/>
    </row>
    <row r="31" spans="2:18" ht="16.5" x14ac:dyDescent="0.3">
      <c r="B31" s="30"/>
      <c r="C31" s="30"/>
      <c r="D31" s="30"/>
      <c r="E31" s="77"/>
      <c r="F31" s="78"/>
      <c r="G31" s="42"/>
      <c r="H31" s="43"/>
      <c r="I31" s="43"/>
      <c r="J31" s="30"/>
      <c r="K31" s="75"/>
      <c r="L31" s="89"/>
      <c r="M31" s="44"/>
    </row>
    <row r="32" spans="2:18" ht="16.5" x14ac:dyDescent="0.3">
      <c r="B32" s="30"/>
      <c r="C32" s="30"/>
      <c r="D32" s="38"/>
      <c r="E32" s="35"/>
      <c r="F32" s="35"/>
      <c r="G32" s="35"/>
      <c r="H32" s="37"/>
      <c r="I32" s="37"/>
      <c r="J32" s="38"/>
      <c r="K32" s="33"/>
      <c r="L32" s="33"/>
      <c r="M32" s="33"/>
    </row>
    <row r="33" spans="2:18" ht="16.5" x14ac:dyDescent="0.3">
      <c r="B33" s="30"/>
      <c r="C33" s="30"/>
      <c r="D33" s="38"/>
      <c r="E33" s="100" t="s">
        <v>139</v>
      </c>
      <c r="F33" s="101"/>
      <c r="G33" s="101"/>
      <c r="H33" s="101"/>
      <c r="I33" s="101"/>
      <c r="J33" s="38"/>
      <c r="K33" s="102" t="s">
        <v>140</v>
      </c>
      <c r="L33" s="103"/>
      <c r="M33" s="104"/>
    </row>
    <row r="34" spans="2:18" ht="16.5" x14ac:dyDescent="0.3">
      <c r="B34" s="38"/>
      <c r="C34" s="38"/>
      <c r="D34" s="38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75"/>
      <c r="F35" s="76"/>
      <c r="G35" s="51"/>
      <c r="H35" s="39"/>
      <c r="I35" s="39"/>
      <c r="J35" s="38"/>
      <c r="K35" s="75"/>
      <c r="L35" s="75"/>
      <c r="M35" s="89"/>
    </row>
    <row r="36" spans="2:18" ht="16.5" customHeight="1" x14ac:dyDescent="0.25">
      <c r="B36" s="38"/>
      <c r="C36" s="38"/>
      <c r="D36" s="38"/>
      <c r="E36" s="81"/>
      <c r="F36" s="76"/>
      <c r="G36" s="51"/>
      <c r="H36" s="39"/>
      <c r="I36" s="39"/>
      <c r="J36" s="38"/>
      <c r="K36" s="75"/>
      <c r="L36" s="75"/>
      <c r="M36" s="89"/>
    </row>
    <row r="37" spans="2:18" ht="16.5" customHeight="1" x14ac:dyDescent="0.25">
      <c r="B37" s="38"/>
      <c r="C37" s="38"/>
      <c r="D37" s="38"/>
      <c r="E37" s="75"/>
      <c r="F37" s="76"/>
      <c r="G37" s="51"/>
      <c r="H37" s="39"/>
      <c r="I37" s="39"/>
      <c r="J37" s="38"/>
      <c r="K37" s="75"/>
      <c r="L37" s="75"/>
      <c r="M37" s="89"/>
    </row>
    <row r="38" spans="2:18" ht="16.5" customHeight="1" x14ac:dyDescent="0.25">
      <c r="B38" s="38"/>
      <c r="C38" s="38"/>
      <c r="D38" s="38"/>
      <c r="E38" s="75"/>
      <c r="F38" s="76"/>
      <c r="G38" s="51"/>
      <c r="H38" s="39"/>
      <c r="I38" s="39"/>
      <c r="J38" s="38"/>
      <c r="K38" s="75"/>
      <c r="L38" s="75"/>
      <c r="M38" s="89"/>
    </row>
    <row r="39" spans="2:18" ht="16.5" customHeight="1" x14ac:dyDescent="0.25">
      <c r="B39" s="38"/>
      <c r="C39" s="38"/>
      <c r="D39" s="38"/>
      <c r="E39" s="75"/>
      <c r="F39" s="51"/>
      <c r="G39" s="51"/>
      <c r="H39" s="39"/>
      <c r="I39" s="39"/>
      <c r="J39" s="38"/>
      <c r="K39" s="75"/>
      <c r="L39" s="75"/>
      <c r="M39" s="89"/>
    </row>
    <row r="40" spans="2:18" ht="16.5" customHeight="1" x14ac:dyDescent="0.25">
      <c r="B40" s="38"/>
      <c r="C40" s="38"/>
      <c r="D40" s="38"/>
      <c r="E40" s="77"/>
      <c r="F40" s="78"/>
      <c r="G40" s="42"/>
      <c r="H40" s="43"/>
      <c r="I40" s="39"/>
      <c r="J40" s="38"/>
      <c r="K40" s="77"/>
      <c r="L40" s="77"/>
      <c r="M40" s="90"/>
      <c r="Q40" s="1" t="s">
        <v>33</v>
      </c>
      <c r="R40" s="1">
        <f>SUM(R6:R21)</f>
        <v>12</v>
      </c>
    </row>
    <row r="41" spans="2:18" ht="16.5" customHeight="1" x14ac:dyDescent="0.25">
      <c r="B41" s="38"/>
      <c r="C41" s="38"/>
      <c r="D41" s="38"/>
      <c r="E41" s="80"/>
      <c r="F41" s="51"/>
      <c r="G41" s="51"/>
      <c r="H41" s="39"/>
      <c r="I41" s="39"/>
      <c r="J41" s="38"/>
      <c r="K41" s="75"/>
      <c r="L41" s="75"/>
      <c r="M41" s="90"/>
    </row>
    <row r="42" spans="2:18" ht="13.5" x14ac:dyDescent="0.25">
      <c r="B42" s="38"/>
      <c r="C42" s="38"/>
      <c r="D42" s="38"/>
      <c r="E42" s="35"/>
      <c r="F42" s="35"/>
      <c r="G42" s="35"/>
      <c r="H42" s="37"/>
      <c r="I42" s="37"/>
      <c r="J42" s="38"/>
      <c r="K42" s="33"/>
      <c r="L42" s="33"/>
      <c r="M42" s="33"/>
    </row>
    <row r="43" spans="2:18" ht="13.5" x14ac:dyDescent="0.25">
      <c r="B43" s="38"/>
      <c r="C43" s="38"/>
      <c r="D43" s="38"/>
      <c r="E43" s="35"/>
      <c r="F43" s="35"/>
      <c r="G43" s="35"/>
      <c r="H43" s="37"/>
      <c r="I43" s="37"/>
      <c r="J43" s="38"/>
      <c r="K43" s="33"/>
      <c r="L43" s="33"/>
      <c r="M43" s="33"/>
    </row>
    <row r="44" spans="2:18" ht="13.5" x14ac:dyDescent="0.25">
      <c r="B44" s="38"/>
      <c r="C44" s="38"/>
      <c r="D44" s="38"/>
      <c r="E44" s="35"/>
      <c r="F44" s="35"/>
      <c r="G44" s="35"/>
      <c r="H44" s="37"/>
      <c r="I44" s="37"/>
      <c r="J44" s="38"/>
      <c r="K44" s="33"/>
      <c r="L44" s="33"/>
      <c r="M44" s="33"/>
    </row>
    <row r="45" spans="2:18" ht="13.5" x14ac:dyDescent="0.25">
      <c r="B45" s="38"/>
      <c r="C45" s="38"/>
      <c r="D45" s="38"/>
      <c r="E45" s="35"/>
      <c r="F45" s="35"/>
      <c r="G45" s="35"/>
      <c r="H45" s="37"/>
      <c r="I45" s="37"/>
      <c r="J45" s="38"/>
      <c r="K45" s="33"/>
      <c r="L45" s="33"/>
      <c r="M45" s="33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  <x14:dataValidation type="list" allowBlank="1" showInputMessage="1" showErrorMessage="1" xr:uid="{1D70F56B-950E-41CC-9BC3-9746C7BE4553}">
          <x14:formula1>
            <xm:f>resumo_cx!$P$2:$P$18</xm:f>
          </x14:formula1>
          <xm:sqref>L15:L31</xm:sqref>
        </x14:dataValidation>
        <x14:dataValidation type="list" allowBlank="1" showInputMessage="1" showErrorMessage="1" xr:uid="{230D7C6F-2383-4C6A-94AE-ADE7F3EE709E}">
          <x14:formula1>
            <xm:f>base_OS!$A$2:$A$15000</xm:f>
          </x14:formula1>
          <xm:sqref>E6:E22 E26:E31 E35:E41 K35:K41 K15:K31</xm:sqref>
        </x14:dataValidation>
        <x14:dataValidation type="list" allowBlank="1" showInputMessage="1" showErrorMessage="1" xr:uid="{6A6D97E3-5A16-4AA2-81E6-E08B3CD71B30}">
          <x14:formula1>
            <xm:f>base!$A$2:$A$8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base!$A$2:$A$5</xm:f>
          </x14:formula1>
          <xm:sqref>G26:G31 G35:G41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5"/>
  <sheetViews>
    <sheetView showGridLines="0" topLeftCell="A24" zoomScale="90" zoomScaleNormal="9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'14'!B1+1</f>
        <v>45823</v>
      </c>
      <c r="C1" s="98"/>
      <c r="L1" s="99" t="s">
        <v>143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5" t="s">
        <v>0</v>
      </c>
      <c r="C4" s="26">
        <v>0</v>
      </c>
      <c r="D4" s="58"/>
      <c r="E4" s="108" t="s">
        <v>136</v>
      </c>
      <c r="F4" s="108"/>
      <c r="G4" s="108"/>
      <c r="H4" s="108"/>
      <c r="I4" s="108"/>
      <c r="J4" s="30"/>
      <c r="K4" s="102" t="s">
        <v>137</v>
      </c>
      <c r="L4" s="103"/>
      <c r="M4" s="104"/>
    </row>
    <row r="5" spans="2:18" ht="16.5" x14ac:dyDescent="0.3">
      <c r="B5" s="28" t="s">
        <v>1</v>
      </c>
      <c r="C5" s="29">
        <f>SUMIF(I6:I31,"&gt;0",H6:H31)</f>
        <v>0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18" ht="16.5" x14ac:dyDescent="0.3">
      <c r="B6" s="28" t="s">
        <v>2</v>
      </c>
      <c r="C6" s="29">
        <f>C16</f>
        <v>0</v>
      </c>
      <c r="D6" s="30"/>
      <c r="E6" s="75"/>
      <c r="F6" s="76"/>
      <c r="G6" s="50"/>
      <c r="H6" s="39"/>
      <c r="I6" s="39"/>
      <c r="J6" s="30"/>
      <c r="K6" s="76"/>
      <c r="L6" s="89"/>
      <c r="M6" s="44"/>
      <c r="R6" s="1">
        <f>IF(vend15[[#This Row],[Nº Venda]]&gt;1,1,0)</f>
        <v>0</v>
      </c>
    </row>
    <row r="7" spans="2:18" ht="16.5" x14ac:dyDescent="0.3">
      <c r="B7" s="28" t="s">
        <v>3</v>
      </c>
      <c r="C7" s="29">
        <f>SUM(M6:M11)</f>
        <v>0</v>
      </c>
      <c r="D7" s="30"/>
      <c r="E7" s="75"/>
      <c r="F7" s="76"/>
      <c r="G7" s="50"/>
      <c r="H7" s="39"/>
      <c r="I7" s="39"/>
      <c r="J7" s="30"/>
      <c r="K7" s="76"/>
      <c r="L7" s="89"/>
      <c r="M7" s="44"/>
      <c r="R7" s="1">
        <f>IF(vend15[[#This Row],[Nº Venda]]&gt;1,1,0)</f>
        <v>0</v>
      </c>
    </row>
    <row r="8" spans="2:18" ht="16.5" x14ac:dyDescent="0.3">
      <c r="B8" s="31" t="s">
        <v>21</v>
      </c>
      <c r="C8" s="32">
        <f>SUM(C6:C7)</f>
        <v>0</v>
      </c>
      <c r="D8" s="30"/>
      <c r="E8" s="75"/>
      <c r="F8" s="76"/>
      <c r="G8" s="51"/>
      <c r="H8" s="39"/>
      <c r="I8" s="39"/>
      <c r="J8" s="30"/>
      <c r="K8" s="76"/>
      <c r="L8" s="89"/>
      <c r="M8" s="44"/>
      <c r="R8" s="1">
        <f>IF(vend15[[#This Row],[Nº Venda]]&gt;1,1,0)</f>
        <v>0</v>
      </c>
    </row>
    <row r="9" spans="2:18" ht="16.5" x14ac:dyDescent="0.3">
      <c r="B9" s="27"/>
      <c r="C9" s="27"/>
      <c r="D9" s="30"/>
      <c r="E9" s="75"/>
      <c r="F9" s="76"/>
      <c r="G9" s="51"/>
      <c r="H9" s="39"/>
      <c r="I9" s="39"/>
      <c r="J9" s="30"/>
      <c r="K9" s="76"/>
      <c r="L9" s="89"/>
      <c r="M9" s="44"/>
      <c r="R9" s="1">
        <f>IF(vend15[[#This Row],[Nº Venda]]&gt;1,1,0)</f>
        <v>0</v>
      </c>
    </row>
    <row r="10" spans="2:18" ht="16.5" x14ac:dyDescent="0.3">
      <c r="B10" s="109" t="s">
        <v>5</v>
      </c>
      <c r="C10" s="110"/>
      <c r="D10" s="30"/>
      <c r="E10" s="75"/>
      <c r="F10" s="76"/>
      <c r="G10" s="51"/>
      <c r="H10" s="39"/>
      <c r="I10" s="39"/>
      <c r="J10" s="30"/>
      <c r="K10" s="76"/>
      <c r="L10" s="89"/>
      <c r="M10" s="44"/>
      <c r="R10" s="1">
        <f>IF(vend15[[#This Row],[Nº Venda]]&gt;1,1,0)</f>
        <v>0</v>
      </c>
    </row>
    <row r="11" spans="2:18" ht="16.5" x14ac:dyDescent="0.3">
      <c r="B11" s="28" t="s">
        <v>6</v>
      </c>
      <c r="C11" s="69">
        <f>(SUMIF($G$2:$G$31,B11,$I$2:$I$31))+(SUMIF($G$35:$G$41,B11,$H$35:$H$41))</f>
        <v>0</v>
      </c>
      <c r="D11" s="30"/>
      <c r="E11" s="75"/>
      <c r="F11" s="76"/>
      <c r="G11" s="51"/>
      <c r="H11" s="39"/>
      <c r="I11" s="39"/>
      <c r="J11" s="30"/>
      <c r="K11" s="38"/>
      <c r="L11" s="89"/>
      <c r="M11" s="44"/>
      <c r="O11" s="1">
        <f>IF(C16=0,0,1)</f>
        <v>0</v>
      </c>
      <c r="R11" s="1">
        <f>IF(vend15[[#This Row],[Nº Venda]]&gt;1,1,0)</f>
        <v>0</v>
      </c>
    </row>
    <row r="12" spans="2:18" ht="16.5" x14ac:dyDescent="0.3">
      <c r="B12" s="28" t="s">
        <v>7</v>
      </c>
      <c r="C12" s="69">
        <f t="shared" ref="C12:C15" si="0">(SUMIF($G$2:$G$31,B12,$I$2:$I$31))+(SUMIF($G$35:$G$41,B12,$H$35:$H$41))</f>
        <v>0</v>
      </c>
      <c r="D12" s="30"/>
      <c r="E12" s="75"/>
      <c r="F12" s="76"/>
      <c r="G12" s="51"/>
      <c r="H12" s="39"/>
      <c r="I12" s="39"/>
      <c r="J12" s="30"/>
      <c r="K12" s="33"/>
      <c r="L12" s="33"/>
      <c r="M12" s="33"/>
      <c r="R12" s="1">
        <f>IF(vend15[[#This Row],[Nº Venda]]&gt;1,1,0)</f>
        <v>0</v>
      </c>
    </row>
    <row r="13" spans="2:18" ht="16.5" x14ac:dyDescent="0.3">
      <c r="B13" s="28" t="s">
        <v>8</v>
      </c>
      <c r="C13" s="69">
        <f t="shared" si="0"/>
        <v>0</v>
      </c>
      <c r="D13" s="30"/>
      <c r="E13" s="75"/>
      <c r="F13" s="76"/>
      <c r="G13" s="51"/>
      <c r="H13" s="39"/>
      <c r="I13" s="39"/>
      <c r="J13" s="30"/>
      <c r="K13" s="102" t="s">
        <v>141</v>
      </c>
      <c r="L13" s="103"/>
      <c r="M13" s="104"/>
      <c r="R13" s="1">
        <f>IF(vend15[[#This Row],[Nº Venda]]&gt;1,1,0)</f>
        <v>0</v>
      </c>
    </row>
    <row r="14" spans="2:18" ht="16.5" x14ac:dyDescent="0.3">
      <c r="B14" s="28" t="s">
        <v>9</v>
      </c>
      <c r="C14" s="69">
        <f t="shared" si="0"/>
        <v>0</v>
      </c>
      <c r="D14" s="30"/>
      <c r="E14" s="75"/>
      <c r="F14" s="76"/>
      <c r="G14" s="51"/>
      <c r="H14" s="39"/>
      <c r="I14" s="39"/>
      <c r="J14" s="30"/>
      <c r="K14" s="22" t="s">
        <v>22</v>
      </c>
      <c r="L14" s="23" t="s">
        <v>23</v>
      </c>
      <c r="M14" s="24" t="s">
        <v>24</v>
      </c>
      <c r="R14" s="1">
        <f>IF(vend15[[#This Row],[Nº Venda]]&gt;1,1,0)</f>
        <v>0</v>
      </c>
    </row>
    <row r="15" spans="2:18" ht="16.5" x14ac:dyDescent="0.3">
      <c r="B15" s="28" t="s">
        <v>10</v>
      </c>
      <c r="C15" s="69">
        <f t="shared" si="0"/>
        <v>0</v>
      </c>
      <c r="D15" s="30"/>
      <c r="E15" s="75"/>
      <c r="F15" s="76"/>
      <c r="G15" s="51"/>
      <c r="H15" s="39"/>
      <c r="I15" s="39"/>
      <c r="J15" s="30"/>
      <c r="K15" s="75"/>
      <c r="L15" s="89"/>
      <c r="M15" s="44"/>
      <c r="R15" s="1">
        <f>IF(vend15[[#This Row],[Nº Venda]]&gt;1,1,0)</f>
        <v>0</v>
      </c>
    </row>
    <row r="16" spans="2:18" ht="16.5" x14ac:dyDescent="0.3">
      <c r="B16" s="31" t="s">
        <v>11</v>
      </c>
      <c r="C16" s="70">
        <f>SUM(C11:C15)</f>
        <v>0</v>
      </c>
      <c r="D16" s="30"/>
      <c r="E16" s="75"/>
      <c r="F16" s="76"/>
      <c r="G16" s="51"/>
      <c r="H16" s="39"/>
      <c r="I16" s="39"/>
      <c r="J16" s="30"/>
      <c r="K16" s="75"/>
      <c r="L16" s="89"/>
      <c r="M16" s="44"/>
      <c r="R16" s="1">
        <f>IF(vend15[[#This Row],[Nº Venda]]&gt;1,1,0)</f>
        <v>0</v>
      </c>
    </row>
    <row r="17" spans="2:18" ht="16.5" x14ac:dyDescent="0.3">
      <c r="B17" s="27"/>
      <c r="C17" s="27"/>
      <c r="D17" s="30"/>
      <c r="E17" s="75"/>
      <c r="F17" s="76"/>
      <c r="G17" s="51"/>
      <c r="H17" s="39"/>
      <c r="I17" s="39"/>
      <c r="J17" s="30"/>
      <c r="K17" s="75"/>
      <c r="L17" s="89"/>
      <c r="M17" s="44"/>
      <c r="R17" s="1">
        <f>IF(vend15[[#This Row],[Nº Venda]]&gt;1,1,0)</f>
        <v>0</v>
      </c>
    </row>
    <row r="18" spans="2:18" ht="16.5" x14ac:dyDescent="0.3">
      <c r="B18" s="109" t="s">
        <v>12</v>
      </c>
      <c r="C18" s="110"/>
      <c r="D18" s="30"/>
      <c r="E18" s="75"/>
      <c r="F18" s="76"/>
      <c r="G18" s="51"/>
      <c r="H18" s="39"/>
      <c r="I18" s="39"/>
      <c r="J18" s="30"/>
      <c r="K18" s="75"/>
      <c r="L18" s="89"/>
      <c r="M18" s="44"/>
      <c r="R18" s="1">
        <f>IF(vend15[[#This Row],[Nº Venda]]&gt;1,1,0)</f>
        <v>0</v>
      </c>
    </row>
    <row r="19" spans="2:18" ht="16.5" x14ac:dyDescent="0.3">
      <c r="B19" s="28">
        <f>COUNT(entr_carn15[OS])</f>
        <v>0</v>
      </c>
      <c r="C19" s="69">
        <f>SUM(entr_carn15[Valor Total])</f>
        <v>0</v>
      </c>
      <c r="D19" s="30"/>
      <c r="E19" s="75"/>
      <c r="F19" s="76"/>
      <c r="G19" s="51"/>
      <c r="H19" s="39"/>
      <c r="I19" s="39"/>
      <c r="J19" s="30"/>
      <c r="K19" s="75"/>
      <c r="L19" s="89"/>
      <c r="M19" s="44"/>
      <c r="R19" s="1">
        <f>IF(vend15[[#This Row],[Nº Venda]]&gt;1,1,0)</f>
        <v>0</v>
      </c>
    </row>
    <row r="20" spans="2:18" ht="16.5" x14ac:dyDescent="0.3">
      <c r="B20" s="31" t="s">
        <v>11</v>
      </c>
      <c r="C20" s="70">
        <f>SUM(C19:C19)</f>
        <v>0</v>
      </c>
      <c r="D20" s="30"/>
      <c r="E20" s="75"/>
      <c r="F20" s="51"/>
      <c r="G20" s="51"/>
      <c r="H20" s="39"/>
      <c r="I20" s="39"/>
      <c r="J20" s="30"/>
      <c r="K20" s="75"/>
      <c r="L20" s="89"/>
      <c r="M20" s="44"/>
      <c r="R20" s="1">
        <f>IF(vend15[[#This Row],[Nº Venda]]&gt;1,1,0)</f>
        <v>0</v>
      </c>
    </row>
    <row r="21" spans="2:18" ht="16.5" x14ac:dyDescent="0.3">
      <c r="B21" s="27"/>
      <c r="C21" s="27"/>
      <c r="D21" s="30"/>
      <c r="E21" s="75"/>
      <c r="F21" s="76"/>
      <c r="G21" s="51"/>
      <c r="H21" s="39"/>
      <c r="I21" s="39"/>
      <c r="J21" s="30"/>
      <c r="K21" s="75"/>
      <c r="L21" s="89"/>
      <c r="M21" s="44"/>
    </row>
    <row r="22" spans="2:18" ht="16.5" x14ac:dyDescent="0.3">
      <c r="B22" s="31" t="s">
        <v>25</v>
      </c>
      <c r="C22" s="34">
        <f>C5</f>
        <v>0</v>
      </c>
      <c r="D22" s="30"/>
      <c r="E22" s="77"/>
      <c r="F22" s="76"/>
      <c r="G22" s="51"/>
      <c r="H22" s="39"/>
      <c r="I22" s="39"/>
      <c r="J22" s="30"/>
      <c r="K22" s="75"/>
      <c r="L22" s="89"/>
      <c r="M22" s="44"/>
    </row>
    <row r="23" spans="2:18" ht="16.5" x14ac:dyDescent="0.3">
      <c r="B23" s="30"/>
      <c r="C23" s="30"/>
      <c r="D23" s="30"/>
      <c r="E23" s="35"/>
      <c r="F23" s="35"/>
      <c r="G23" s="35"/>
      <c r="H23" s="36"/>
      <c r="I23" s="37"/>
      <c r="J23" s="30"/>
      <c r="K23" s="75"/>
      <c r="L23" s="89"/>
      <c r="M23" s="44"/>
    </row>
    <row r="24" spans="2:18" ht="16.5" x14ac:dyDescent="0.3">
      <c r="B24" s="30"/>
      <c r="C24" s="30"/>
      <c r="D24" s="30"/>
      <c r="E24" s="100" t="s">
        <v>138</v>
      </c>
      <c r="F24" s="101"/>
      <c r="G24" s="101"/>
      <c r="H24" s="101"/>
      <c r="I24" s="101"/>
      <c r="J24" s="30"/>
      <c r="K24" s="75"/>
      <c r="L24" s="89"/>
      <c r="M24" s="44"/>
    </row>
    <row r="25" spans="2:18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5"/>
      <c r="L25" s="89"/>
      <c r="M25" s="44"/>
    </row>
    <row r="26" spans="2:18" ht="16.5" x14ac:dyDescent="0.3">
      <c r="B26" s="30"/>
      <c r="C26" s="30"/>
      <c r="D26" s="30"/>
      <c r="E26" s="75"/>
      <c r="F26" s="76"/>
      <c r="G26" s="50"/>
      <c r="H26" s="39"/>
      <c r="I26" s="39"/>
      <c r="J26" s="30"/>
      <c r="K26" s="75"/>
      <c r="L26" s="89"/>
      <c r="M26" s="44"/>
    </row>
    <row r="27" spans="2:18" ht="16.5" x14ac:dyDescent="0.3">
      <c r="B27" s="30"/>
      <c r="C27" s="30"/>
      <c r="D27" s="30"/>
      <c r="E27" s="75"/>
      <c r="F27" s="76"/>
      <c r="G27" s="51"/>
      <c r="H27" s="39"/>
      <c r="I27" s="39"/>
      <c r="J27" s="30"/>
      <c r="K27" s="75"/>
      <c r="L27" s="89"/>
      <c r="M27" s="44"/>
    </row>
    <row r="28" spans="2:18" ht="16.5" x14ac:dyDescent="0.3">
      <c r="B28" s="30"/>
      <c r="C28" s="30"/>
      <c r="D28" s="30"/>
      <c r="E28" s="75"/>
      <c r="F28" s="76"/>
      <c r="G28" s="51"/>
      <c r="H28" s="39"/>
      <c r="I28" s="39"/>
      <c r="J28" s="30"/>
      <c r="K28" s="75"/>
      <c r="L28" s="89"/>
      <c r="M28" s="44"/>
    </row>
    <row r="29" spans="2:18" ht="16.5" x14ac:dyDescent="0.3">
      <c r="B29" s="30"/>
      <c r="C29" s="30"/>
      <c r="D29" s="30"/>
      <c r="E29" s="75"/>
      <c r="F29" s="76"/>
      <c r="G29" s="51"/>
      <c r="H29" s="39"/>
      <c r="I29" s="39"/>
      <c r="J29" s="30"/>
      <c r="K29" s="75"/>
      <c r="L29" s="89"/>
      <c r="M29" s="44"/>
    </row>
    <row r="30" spans="2:18" ht="16.5" x14ac:dyDescent="0.3">
      <c r="B30" s="30"/>
      <c r="C30" s="30"/>
      <c r="D30" s="30"/>
      <c r="E30" s="75"/>
      <c r="F30" s="51"/>
      <c r="G30" s="51"/>
      <c r="H30" s="39"/>
      <c r="I30" s="39"/>
      <c r="J30" s="30"/>
      <c r="K30" s="75"/>
      <c r="L30" s="89"/>
      <c r="M30" s="44"/>
    </row>
    <row r="31" spans="2:18" ht="16.5" x14ac:dyDescent="0.3">
      <c r="B31" s="30"/>
      <c r="C31" s="30"/>
      <c r="D31" s="30"/>
      <c r="E31" s="77"/>
      <c r="F31" s="78"/>
      <c r="G31" s="42"/>
      <c r="H31" s="43"/>
      <c r="I31" s="43"/>
      <c r="J31" s="30"/>
      <c r="K31" s="75"/>
      <c r="L31" s="89"/>
      <c r="M31" s="44"/>
    </row>
    <row r="32" spans="2:18" ht="16.5" x14ac:dyDescent="0.3">
      <c r="B32" s="30"/>
      <c r="C32" s="30"/>
      <c r="D32" s="38"/>
      <c r="E32" s="35"/>
      <c r="F32" s="35"/>
      <c r="G32" s="35"/>
      <c r="H32" s="37"/>
      <c r="I32" s="37"/>
      <c r="J32" s="38"/>
      <c r="K32" s="33"/>
      <c r="L32" s="33"/>
      <c r="M32" s="33"/>
    </row>
    <row r="33" spans="2:18" ht="16.5" x14ac:dyDescent="0.3">
      <c r="B33" s="30"/>
      <c r="C33" s="30"/>
      <c r="D33" s="38"/>
      <c r="E33" s="100" t="s">
        <v>139</v>
      </c>
      <c r="F33" s="101"/>
      <c r="G33" s="101"/>
      <c r="H33" s="101"/>
      <c r="I33" s="101"/>
      <c r="J33" s="38"/>
      <c r="K33" s="102" t="s">
        <v>140</v>
      </c>
      <c r="L33" s="103"/>
      <c r="M33" s="104"/>
    </row>
    <row r="34" spans="2:18" ht="16.5" x14ac:dyDescent="0.3">
      <c r="B34" s="38"/>
      <c r="C34" s="38"/>
      <c r="D34" s="38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75"/>
      <c r="F35" s="76"/>
      <c r="G35" s="51"/>
      <c r="H35" s="39"/>
      <c r="I35" s="39"/>
      <c r="J35" s="38"/>
      <c r="K35" s="75"/>
      <c r="L35" s="75"/>
      <c r="M35" s="89"/>
    </row>
    <row r="36" spans="2:18" ht="16.5" customHeight="1" x14ac:dyDescent="0.25">
      <c r="B36" s="38"/>
      <c r="C36" s="38"/>
      <c r="D36" s="38"/>
      <c r="E36" s="81"/>
      <c r="F36" s="76"/>
      <c r="G36" s="51"/>
      <c r="H36" s="39"/>
      <c r="I36" s="39"/>
      <c r="J36" s="38"/>
      <c r="K36" s="75"/>
      <c r="L36" s="75"/>
      <c r="M36" s="89"/>
    </row>
    <row r="37" spans="2:18" ht="16.5" customHeight="1" x14ac:dyDescent="0.25">
      <c r="B37" s="38"/>
      <c r="C37" s="38"/>
      <c r="D37" s="38"/>
      <c r="E37" s="75"/>
      <c r="F37" s="76"/>
      <c r="G37" s="51"/>
      <c r="H37" s="39"/>
      <c r="I37" s="39"/>
      <c r="J37" s="38"/>
      <c r="K37" s="75"/>
      <c r="L37" s="75"/>
      <c r="M37" s="89"/>
    </row>
    <row r="38" spans="2:18" ht="16.5" customHeight="1" x14ac:dyDescent="0.25">
      <c r="B38" s="38"/>
      <c r="C38" s="38"/>
      <c r="D38" s="38"/>
      <c r="E38" s="75"/>
      <c r="F38" s="76"/>
      <c r="G38" s="51"/>
      <c r="H38" s="39"/>
      <c r="I38" s="39"/>
      <c r="J38" s="38"/>
      <c r="K38" s="75"/>
      <c r="L38" s="75"/>
      <c r="M38" s="89"/>
    </row>
    <row r="39" spans="2:18" ht="16.5" customHeight="1" x14ac:dyDescent="0.25">
      <c r="B39" s="38"/>
      <c r="C39" s="38"/>
      <c r="D39" s="38"/>
      <c r="E39" s="75"/>
      <c r="F39" s="51"/>
      <c r="G39" s="51"/>
      <c r="H39" s="39"/>
      <c r="I39" s="39"/>
      <c r="J39" s="38"/>
      <c r="K39" s="75"/>
      <c r="L39" s="75"/>
      <c r="M39" s="89"/>
    </row>
    <row r="40" spans="2:18" ht="16.5" customHeight="1" x14ac:dyDescent="0.25">
      <c r="B40" s="38"/>
      <c r="C40" s="38"/>
      <c r="D40" s="38"/>
      <c r="E40" s="77"/>
      <c r="F40" s="78"/>
      <c r="G40" s="42"/>
      <c r="H40" s="43"/>
      <c r="I40" s="39"/>
      <c r="J40" s="38"/>
      <c r="K40" s="77"/>
      <c r="L40" s="77"/>
      <c r="M40" s="90"/>
      <c r="Q40" s="1" t="s">
        <v>33</v>
      </c>
      <c r="R40" s="1">
        <f>SUM(R6:R21)</f>
        <v>0</v>
      </c>
    </row>
    <row r="41" spans="2:18" ht="16.5" customHeight="1" x14ac:dyDescent="0.25">
      <c r="B41" s="38"/>
      <c r="C41" s="38"/>
      <c r="D41" s="38"/>
      <c r="E41" s="80"/>
      <c r="F41" s="51"/>
      <c r="G41" s="51"/>
      <c r="H41" s="39"/>
      <c r="I41" s="39"/>
      <c r="J41" s="38"/>
      <c r="K41" s="75"/>
      <c r="L41" s="75"/>
      <c r="M41" s="90"/>
    </row>
    <row r="42" spans="2:18" ht="13.5" x14ac:dyDescent="0.25">
      <c r="B42" s="38"/>
      <c r="C42" s="38"/>
      <c r="D42" s="38"/>
      <c r="E42" s="35"/>
      <c r="F42" s="35"/>
      <c r="G42" s="35"/>
      <c r="H42" s="37"/>
      <c r="I42" s="37"/>
      <c r="J42" s="38"/>
      <c r="K42" s="33"/>
      <c r="L42" s="33"/>
      <c r="M42" s="33"/>
    </row>
    <row r="43" spans="2:18" ht="13.5" x14ac:dyDescent="0.25">
      <c r="B43" s="38"/>
      <c r="C43" s="38"/>
      <c r="D43" s="38"/>
      <c r="E43" s="35"/>
      <c r="F43" s="35"/>
      <c r="G43" s="35"/>
      <c r="H43" s="37"/>
      <c r="I43" s="37"/>
      <c r="J43" s="38"/>
      <c r="K43" s="33"/>
      <c r="L43" s="33"/>
      <c r="M43" s="33"/>
    </row>
    <row r="44" spans="2:18" ht="13.5" x14ac:dyDescent="0.25">
      <c r="B44" s="38"/>
      <c r="C44" s="38"/>
      <c r="D44" s="38"/>
      <c r="E44" s="35"/>
      <c r="F44" s="35"/>
      <c r="G44" s="35"/>
      <c r="H44" s="37"/>
      <c r="I44" s="37"/>
      <c r="J44" s="38"/>
      <c r="K44" s="33"/>
      <c r="L44" s="33"/>
      <c r="M44" s="33"/>
    </row>
    <row r="45" spans="2:18" ht="13.5" x14ac:dyDescent="0.25">
      <c r="B45" s="38"/>
      <c r="C45" s="38"/>
      <c r="D45" s="38"/>
      <c r="E45" s="35"/>
      <c r="F45" s="35"/>
      <c r="G45" s="35"/>
      <c r="H45" s="37"/>
      <c r="I45" s="37"/>
      <c r="J45" s="38"/>
      <c r="K45" s="33"/>
      <c r="L45" s="33"/>
      <c r="M45" s="33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  <x14:dataValidation type="list" allowBlank="1" showInputMessage="1" showErrorMessage="1" xr:uid="{E7201B6E-6C1A-4DA2-8895-7F599458BA86}">
          <x14:formula1>
            <xm:f>resumo_cx!$P$2:$P$18</xm:f>
          </x14:formula1>
          <xm:sqref>L15:L31</xm:sqref>
        </x14:dataValidation>
        <x14:dataValidation type="list" allowBlank="1" showInputMessage="1" showErrorMessage="1" xr:uid="{D7EB65B4-6A62-4D2E-886E-7E2D8811DF77}">
          <x14:formula1>
            <xm:f>base_OS!$A$2:$A$15000</xm:f>
          </x14:formula1>
          <xm:sqref>E6:E22 E26:E31 E35:E41 K35:K41 K15:K31</xm:sqref>
        </x14:dataValidation>
        <x14:dataValidation type="list" allowBlank="1" showInputMessage="1" showErrorMessage="1" xr:uid="{D2E9574C-8978-4987-B70B-5E6645EF0D63}">
          <x14:formula1>
            <xm:f>base!$A$2:$A$8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base!$A$2:$A$5</xm:f>
          </x14:formula1>
          <xm:sqref>G26:G31 G35:G41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5"/>
  <sheetViews>
    <sheetView showGridLines="0" topLeftCell="A24" zoomScale="90" zoomScaleNormal="90" workbookViewId="0">
      <selection activeCell="E9" sqref="E9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'15'!B1+1</f>
        <v>45824</v>
      </c>
      <c r="C1" s="98"/>
      <c r="L1" s="99" t="s">
        <v>143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5" t="s">
        <v>0</v>
      </c>
      <c r="C4" s="26">
        <v>0</v>
      </c>
      <c r="D4" s="58"/>
      <c r="E4" s="108" t="s">
        <v>136</v>
      </c>
      <c r="F4" s="108"/>
      <c r="G4" s="108"/>
      <c r="H4" s="108"/>
      <c r="I4" s="108"/>
      <c r="J4" s="30"/>
      <c r="K4" s="102" t="s">
        <v>137</v>
      </c>
      <c r="L4" s="103"/>
      <c r="M4" s="104"/>
    </row>
    <row r="5" spans="2:18" ht="16.5" x14ac:dyDescent="0.3">
      <c r="B5" s="28" t="s">
        <v>1</v>
      </c>
      <c r="C5" s="29">
        <f>SUMIF(I6:I31,"&gt;0",H6:H31)</f>
        <v>338.99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18" ht="16.5" x14ac:dyDescent="0.3">
      <c r="B6" s="28" t="s">
        <v>2</v>
      </c>
      <c r="C6" s="29">
        <f>C16</f>
        <v>628.99</v>
      </c>
      <c r="D6" s="30"/>
      <c r="E6" s="75">
        <v>11211</v>
      </c>
      <c r="F6" s="76" t="s">
        <v>264</v>
      </c>
      <c r="G6" s="50" t="s">
        <v>10</v>
      </c>
      <c r="H6" s="39">
        <v>299</v>
      </c>
      <c r="I6" s="39">
        <v>299</v>
      </c>
      <c r="J6" s="30"/>
      <c r="K6" s="76"/>
      <c r="L6" s="89"/>
      <c r="M6" s="44"/>
      <c r="R6" s="1">
        <f>IF(vend16[[#This Row],[Nº Venda]]&gt;1,1,0)</f>
        <v>1</v>
      </c>
    </row>
    <row r="7" spans="2:18" ht="16.5" x14ac:dyDescent="0.3">
      <c r="B7" s="28" t="s">
        <v>3</v>
      </c>
      <c r="C7" s="29">
        <f>SUM(M6:M11)</f>
        <v>0</v>
      </c>
      <c r="D7" s="30"/>
      <c r="E7" s="75">
        <v>11212</v>
      </c>
      <c r="F7" s="76" t="s">
        <v>266</v>
      </c>
      <c r="G7" s="50" t="s">
        <v>10</v>
      </c>
      <c r="H7" s="39">
        <v>39.99</v>
      </c>
      <c r="I7" s="39">
        <v>39.99</v>
      </c>
      <c r="J7" s="30"/>
      <c r="K7" s="76"/>
      <c r="L7" s="89"/>
      <c r="M7" s="44"/>
      <c r="R7" s="1">
        <f>IF(vend16[[#This Row],[Nº Venda]]&gt;1,1,0)</f>
        <v>1</v>
      </c>
    </row>
    <row r="8" spans="2:18" ht="16.5" x14ac:dyDescent="0.3">
      <c r="B8" s="31" t="s">
        <v>21</v>
      </c>
      <c r="C8" s="32">
        <f>SUM(C6:C7)</f>
        <v>628.99</v>
      </c>
      <c r="D8" s="30"/>
      <c r="E8" s="75">
        <v>11213</v>
      </c>
      <c r="F8" s="76" t="s">
        <v>267</v>
      </c>
      <c r="G8" s="51" t="s">
        <v>46</v>
      </c>
      <c r="H8" s="39">
        <v>45</v>
      </c>
      <c r="I8" s="39"/>
      <c r="J8" s="30"/>
      <c r="K8" s="76"/>
      <c r="L8" s="89"/>
      <c r="M8" s="44"/>
      <c r="R8" s="1">
        <f>IF(vend16[[#This Row],[Nº Venda]]&gt;1,1,0)</f>
        <v>1</v>
      </c>
    </row>
    <row r="9" spans="2:18" ht="16.5" x14ac:dyDescent="0.3">
      <c r="B9" s="27"/>
      <c r="C9" s="27"/>
      <c r="D9" s="30"/>
      <c r="E9" s="75">
        <v>11214</v>
      </c>
      <c r="F9" s="76" t="s">
        <v>268</v>
      </c>
      <c r="G9" s="51" t="s">
        <v>46</v>
      </c>
      <c r="H9" s="39">
        <v>600</v>
      </c>
      <c r="I9" s="39"/>
      <c r="J9" s="30"/>
      <c r="K9" s="76"/>
      <c r="L9" s="89"/>
      <c r="M9" s="44"/>
      <c r="R9" s="1">
        <f>IF(vend16[[#This Row],[Nº Venda]]&gt;1,1,0)</f>
        <v>1</v>
      </c>
    </row>
    <row r="10" spans="2:18" ht="16.5" x14ac:dyDescent="0.3">
      <c r="B10" s="109" t="s">
        <v>5</v>
      </c>
      <c r="C10" s="110"/>
      <c r="D10" s="30"/>
      <c r="E10" s="75">
        <v>10215</v>
      </c>
      <c r="F10" s="76" t="s">
        <v>270</v>
      </c>
      <c r="G10" s="51" t="s">
        <v>36</v>
      </c>
      <c r="H10" s="39"/>
      <c r="I10" s="39"/>
      <c r="J10" s="30"/>
      <c r="K10" s="76"/>
      <c r="L10" s="89"/>
      <c r="M10" s="44"/>
      <c r="R10" s="1">
        <f>IF(vend16[[#This Row],[Nº Venda]]&gt;1,1,0)</f>
        <v>1</v>
      </c>
    </row>
    <row r="11" spans="2:18" ht="16.5" x14ac:dyDescent="0.3">
      <c r="B11" s="28" t="s">
        <v>6</v>
      </c>
      <c r="C11" s="69">
        <f>(SUMIF($G$2:$G$31,B11,$I$2:$I$31))+(SUMIF($G$35:$G$41,B11,$H$35:$H$41))</f>
        <v>0</v>
      </c>
      <c r="D11" s="30"/>
      <c r="E11" s="75"/>
      <c r="F11" s="76"/>
      <c r="G11" s="51"/>
      <c r="H11" s="39"/>
      <c r="I11" s="39"/>
      <c r="J11" s="30"/>
      <c r="K11" s="38"/>
      <c r="L11" s="89"/>
      <c r="M11" s="44"/>
      <c r="O11" s="1">
        <f>IF(C16=0,0,1)</f>
        <v>1</v>
      </c>
      <c r="R11" s="1">
        <f>IF(vend16[[#This Row],[Nº Venda]]&gt;1,1,0)</f>
        <v>0</v>
      </c>
    </row>
    <row r="12" spans="2:18" ht="16.5" x14ac:dyDescent="0.3">
      <c r="B12" s="28" t="s">
        <v>7</v>
      </c>
      <c r="C12" s="69">
        <f t="shared" ref="C12:C15" si="0">(SUMIF($G$2:$G$31,B12,$I$2:$I$31))+(SUMIF($G$35:$G$41,B12,$H$35:$H$41))</f>
        <v>290</v>
      </c>
      <c r="D12" s="30"/>
      <c r="E12" s="75"/>
      <c r="F12" s="76"/>
      <c r="G12" s="51"/>
      <c r="H12" s="39"/>
      <c r="I12" s="39"/>
      <c r="J12" s="30"/>
      <c r="K12" s="33"/>
      <c r="L12" s="33"/>
      <c r="M12" s="33"/>
      <c r="R12" s="1">
        <f>IF(vend16[[#This Row],[Nº Venda]]&gt;1,1,0)</f>
        <v>0</v>
      </c>
    </row>
    <row r="13" spans="2:18" ht="16.5" x14ac:dyDescent="0.3">
      <c r="B13" s="28" t="s">
        <v>8</v>
      </c>
      <c r="C13" s="69">
        <f t="shared" si="0"/>
        <v>0</v>
      </c>
      <c r="D13" s="30"/>
      <c r="E13" s="75"/>
      <c r="F13" s="76"/>
      <c r="G13" s="51"/>
      <c r="H13" s="39"/>
      <c r="I13" s="39"/>
      <c r="J13" s="30"/>
      <c r="K13" s="102" t="s">
        <v>141</v>
      </c>
      <c r="L13" s="103"/>
      <c r="M13" s="104"/>
      <c r="R13" s="1">
        <f>IF(vend16[[#This Row],[Nº Venda]]&gt;1,1,0)</f>
        <v>0</v>
      </c>
    </row>
    <row r="14" spans="2:18" ht="16.5" x14ac:dyDescent="0.3">
      <c r="B14" s="28" t="s">
        <v>9</v>
      </c>
      <c r="C14" s="69">
        <f t="shared" si="0"/>
        <v>0</v>
      </c>
      <c r="D14" s="30"/>
      <c r="E14" s="75"/>
      <c r="F14" s="76"/>
      <c r="G14" s="51"/>
      <c r="H14" s="39"/>
      <c r="I14" s="39"/>
      <c r="J14" s="30"/>
      <c r="K14" s="22" t="s">
        <v>22</v>
      </c>
      <c r="L14" s="23" t="s">
        <v>23</v>
      </c>
      <c r="M14" s="24" t="s">
        <v>24</v>
      </c>
      <c r="R14" s="1">
        <f>IF(vend16[[#This Row],[Nº Venda]]&gt;1,1,0)</f>
        <v>0</v>
      </c>
    </row>
    <row r="15" spans="2:18" ht="16.5" x14ac:dyDescent="0.3">
      <c r="B15" s="28" t="s">
        <v>10</v>
      </c>
      <c r="C15" s="69">
        <f t="shared" si="0"/>
        <v>338.99</v>
      </c>
      <c r="D15" s="30"/>
      <c r="E15" s="75"/>
      <c r="F15" s="76"/>
      <c r="G15" s="51"/>
      <c r="H15" s="39"/>
      <c r="I15" s="39"/>
      <c r="J15" s="30"/>
      <c r="K15" s="75">
        <v>11065</v>
      </c>
      <c r="L15" s="89" t="s">
        <v>134</v>
      </c>
      <c r="M15" s="44" t="s">
        <v>146</v>
      </c>
      <c r="R15" s="1">
        <f>IF(vend16[[#This Row],[Nº Venda]]&gt;1,1,0)</f>
        <v>0</v>
      </c>
    </row>
    <row r="16" spans="2:18" ht="16.5" x14ac:dyDescent="0.3">
      <c r="B16" s="31" t="s">
        <v>11</v>
      </c>
      <c r="C16" s="70">
        <f>SUM(C11:C15)</f>
        <v>628.99</v>
      </c>
      <c r="D16" s="30"/>
      <c r="E16" s="75"/>
      <c r="F16" s="76"/>
      <c r="G16" s="51"/>
      <c r="H16" s="39"/>
      <c r="I16" s="39"/>
      <c r="J16" s="30"/>
      <c r="K16" s="75">
        <v>11127</v>
      </c>
      <c r="L16" s="89" t="s">
        <v>128</v>
      </c>
      <c r="M16" s="44" t="s">
        <v>146</v>
      </c>
      <c r="R16" s="1">
        <f>IF(vend16[[#This Row],[Nº Venda]]&gt;1,1,0)</f>
        <v>0</v>
      </c>
    </row>
    <row r="17" spans="2:18" ht="16.5" x14ac:dyDescent="0.3">
      <c r="B17" s="27"/>
      <c r="C17" s="27"/>
      <c r="D17" s="30"/>
      <c r="E17" s="75"/>
      <c r="F17" s="76"/>
      <c r="G17" s="51"/>
      <c r="H17" s="39"/>
      <c r="I17" s="39"/>
      <c r="J17" s="30"/>
      <c r="K17" s="75">
        <v>11132</v>
      </c>
      <c r="L17" s="89" t="s">
        <v>128</v>
      </c>
      <c r="M17" s="44" t="s">
        <v>146</v>
      </c>
      <c r="R17" s="1">
        <f>IF(vend16[[#This Row],[Nº Venda]]&gt;1,1,0)</f>
        <v>0</v>
      </c>
    </row>
    <row r="18" spans="2:18" ht="16.5" x14ac:dyDescent="0.3">
      <c r="B18" s="109" t="s">
        <v>12</v>
      </c>
      <c r="C18" s="110"/>
      <c r="D18" s="30"/>
      <c r="E18" s="75"/>
      <c r="F18" s="76"/>
      <c r="G18" s="51"/>
      <c r="H18" s="39"/>
      <c r="I18" s="39"/>
      <c r="J18" s="30"/>
      <c r="K18" s="75">
        <v>11157</v>
      </c>
      <c r="L18" s="89" t="s">
        <v>128</v>
      </c>
      <c r="M18" s="44" t="s">
        <v>146</v>
      </c>
      <c r="R18" s="1">
        <f>IF(vend16[[#This Row],[Nº Venda]]&gt;1,1,0)</f>
        <v>0</v>
      </c>
    </row>
    <row r="19" spans="2:18" ht="16.5" x14ac:dyDescent="0.3">
      <c r="B19" s="28">
        <f>COUNT(entr_carn16[OS])</f>
        <v>1</v>
      </c>
      <c r="C19" s="69">
        <f>SUM(entr_carn16[Valor Total])</f>
        <v>599</v>
      </c>
      <c r="D19" s="30"/>
      <c r="E19" s="75"/>
      <c r="F19" s="76"/>
      <c r="G19" s="51"/>
      <c r="H19" s="39"/>
      <c r="I19" s="39"/>
      <c r="J19" s="30"/>
      <c r="K19" s="75">
        <v>11176</v>
      </c>
      <c r="L19" s="89" t="s">
        <v>128</v>
      </c>
      <c r="M19" s="44" t="s">
        <v>146</v>
      </c>
      <c r="R19" s="1">
        <f>IF(vend16[[#This Row],[Nº Venda]]&gt;1,1,0)</f>
        <v>0</v>
      </c>
    </row>
    <row r="20" spans="2:18" ht="16.5" x14ac:dyDescent="0.3">
      <c r="B20" s="31" t="s">
        <v>11</v>
      </c>
      <c r="C20" s="70">
        <f>SUM(C19:C19)</f>
        <v>599</v>
      </c>
      <c r="D20" s="30"/>
      <c r="E20" s="75"/>
      <c r="F20" s="51"/>
      <c r="G20" s="51"/>
      <c r="H20" s="39"/>
      <c r="I20" s="39"/>
      <c r="J20" s="30"/>
      <c r="K20" s="75">
        <v>11177</v>
      </c>
      <c r="L20" s="89" t="s">
        <v>128</v>
      </c>
      <c r="M20" s="44" t="s">
        <v>146</v>
      </c>
      <c r="R20" s="1">
        <f>IF(vend16[[#This Row],[Nº Venda]]&gt;1,1,0)</f>
        <v>0</v>
      </c>
    </row>
    <row r="21" spans="2:18" ht="16.5" x14ac:dyDescent="0.3">
      <c r="B21" s="27"/>
      <c r="C21" s="27"/>
      <c r="D21" s="30"/>
      <c r="E21" s="75"/>
      <c r="F21" s="76"/>
      <c r="G21" s="51"/>
      <c r="H21" s="39"/>
      <c r="I21" s="39"/>
      <c r="J21" s="30"/>
      <c r="K21" s="75">
        <v>11181</v>
      </c>
      <c r="L21" s="89" t="s">
        <v>128</v>
      </c>
      <c r="M21" s="44" t="s">
        <v>162</v>
      </c>
    </row>
    <row r="22" spans="2:18" ht="16.5" x14ac:dyDescent="0.3">
      <c r="B22" s="31" t="s">
        <v>25</v>
      </c>
      <c r="C22" s="34">
        <f>C5</f>
        <v>338.99</v>
      </c>
      <c r="D22" s="30"/>
      <c r="E22" s="77"/>
      <c r="F22" s="76"/>
      <c r="G22" s="51"/>
      <c r="H22" s="39"/>
      <c r="I22" s="39"/>
      <c r="J22" s="30"/>
      <c r="K22" s="75">
        <v>11189</v>
      </c>
      <c r="L22" s="89" t="s">
        <v>130</v>
      </c>
      <c r="M22" s="44" t="s">
        <v>146</v>
      </c>
    </row>
    <row r="23" spans="2:18" ht="16.5" x14ac:dyDescent="0.3">
      <c r="B23" s="30"/>
      <c r="C23" s="30"/>
      <c r="D23" s="30"/>
      <c r="E23" s="35"/>
      <c r="F23" s="35"/>
      <c r="G23" s="35"/>
      <c r="H23" s="36"/>
      <c r="I23" s="37"/>
      <c r="J23" s="30"/>
      <c r="K23" s="75">
        <v>11212</v>
      </c>
      <c r="L23" s="89" t="s">
        <v>128</v>
      </c>
      <c r="M23" s="44" t="s">
        <v>146</v>
      </c>
    </row>
    <row r="24" spans="2:18" ht="16.5" x14ac:dyDescent="0.3">
      <c r="B24" s="30"/>
      <c r="C24" s="30"/>
      <c r="D24" s="30"/>
      <c r="E24" s="100" t="s">
        <v>138</v>
      </c>
      <c r="F24" s="101"/>
      <c r="G24" s="101"/>
      <c r="H24" s="101"/>
      <c r="I24" s="101"/>
      <c r="J24" s="30"/>
      <c r="K24" s="75"/>
      <c r="L24" s="89"/>
      <c r="M24" s="44"/>
    </row>
    <row r="25" spans="2:18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5"/>
      <c r="L25" s="89"/>
      <c r="M25" s="44"/>
    </row>
    <row r="26" spans="2:18" ht="16.5" x14ac:dyDescent="0.3">
      <c r="B26" s="30"/>
      <c r="C26" s="30"/>
      <c r="D26" s="30"/>
      <c r="E26" s="75">
        <v>11177</v>
      </c>
      <c r="F26" s="76" t="s">
        <v>265</v>
      </c>
      <c r="G26" s="50" t="s">
        <v>7</v>
      </c>
      <c r="H26" s="39"/>
      <c r="I26" s="39">
        <v>190</v>
      </c>
      <c r="J26" s="30"/>
      <c r="K26" s="75"/>
      <c r="L26" s="89"/>
      <c r="M26" s="44"/>
    </row>
    <row r="27" spans="2:18" ht="16.5" x14ac:dyDescent="0.3">
      <c r="B27" s="30"/>
      <c r="C27" s="30"/>
      <c r="D27" s="30"/>
      <c r="E27" s="75">
        <v>11181</v>
      </c>
      <c r="F27" s="76" t="s">
        <v>269</v>
      </c>
      <c r="G27" s="51" t="s">
        <v>7</v>
      </c>
      <c r="H27" s="39"/>
      <c r="I27" s="39">
        <v>100</v>
      </c>
      <c r="J27" s="30"/>
      <c r="K27" s="75"/>
      <c r="L27" s="89"/>
      <c r="M27" s="44"/>
    </row>
    <row r="28" spans="2:18" ht="16.5" x14ac:dyDescent="0.3">
      <c r="B28" s="30"/>
      <c r="C28" s="30"/>
      <c r="D28" s="30"/>
      <c r="E28" s="75"/>
      <c r="F28" s="76"/>
      <c r="G28" s="51"/>
      <c r="H28" s="39"/>
      <c r="I28" s="39"/>
      <c r="J28" s="30"/>
      <c r="K28" s="75"/>
      <c r="L28" s="89"/>
      <c r="M28" s="44"/>
    </row>
    <row r="29" spans="2:18" ht="16.5" x14ac:dyDescent="0.3">
      <c r="B29" s="30"/>
      <c r="C29" s="30"/>
      <c r="D29" s="30"/>
      <c r="E29" s="75"/>
      <c r="F29" s="76"/>
      <c r="G29" s="51"/>
      <c r="H29" s="39"/>
      <c r="I29" s="39"/>
      <c r="J29" s="30"/>
      <c r="K29" s="75"/>
      <c r="L29" s="89"/>
      <c r="M29" s="44"/>
    </row>
    <row r="30" spans="2:18" ht="16.5" x14ac:dyDescent="0.3">
      <c r="B30" s="30"/>
      <c r="C30" s="30"/>
      <c r="D30" s="30"/>
      <c r="E30" s="75"/>
      <c r="F30" s="51"/>
      <c r="G30" s="51"/>
      <c r="H30" s="39"/>
      <c r="I30" s="39"/>
      <c r="J30" s="30"/>
      <c r="K30" s="75"/>
      <c r="L30" s="89"/>
      <c r="M30" s="44"/>
    </row>
    <row r="31" spans="2:18" ht="16.5" x14ac:dyDescent="0.3">
      <c r="B31" s="30"/>
      <c r="C31" s="30"/>
      <c r="D31" s="30"/>
      <c r="E31" s="77"/>
      <c r="F31" s="78"/>
      <c r="G31" s="42"/>
      <c r="H31" s="43"/>
      <c r="I31" s="43"/>
      <c r="J31" s="30"/>
      <c r="K31" s="75"/>
      <c r="L31" s="89"/>
      <c r="M31" s="44"/>
    </row>
    <row r="32" spans="2:18" ht="16.5" x14ac:dyDescent="0.3">
      <c r="B32" s="30"/>
      <c r="C32" s="30"/>
      <c r="D32" s="38"/>
      <c r="E32" s="35"/>
      <c r="F32" s="35"/>
      <c r="G32" s="35"/>
      <c r="H32" s="37"/>
      <c r="I32" s="37"/>
      <c r="J32" s="38"/>
      <c r="K32" s="33"/>
      <c r="L32" s="33"/>
      <c r="M32" s="33"/>
    </row>
    <row r="33" spans="2:18" ht="16.5" x14ac:dyDescent="0.3">
      <c r="B33" s="30"/>
      <c r="C33" s="30"/>
      <c r="D33" s="38"/>
      <c r="E33" s="100" t="s">
        <v>139</v>
      </c>
      <c r="F33" s="101"/>
      <c r="G33" s="101"/>
      <c r="H33" s="101"/>
      <c r="I33" s="101"/>
      <c r="J33" s="38"/>
      <c r="K33" s="102" t="s">
        <v>140</v>
      </c>
      <c r="L33" s="103"/>
      <c r="M33" s="104"/>
    </row>
    <row r="34" spans="2:18" ht="16.5" x14ac:dyDescent="0.3">
      <c r="B34" s="38"/>
      <c r="C34" s="38"/>
      <c r="D34" s="38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75"/>
      <c r="F35" s="76"/>
      <c r="G35" s="51"/>
      <c r="H35" s="39"/>
      <c r="I35" s="39"/>
      <c r="J35" s="38"/>
      <c r="K35" s="75">
        <v>11181</v>
      </c>
      <c r="L35" s="75">
        <v>8</v>
      </c>
      <c r="M35" s="89">
        <v>599</v>
      </c>
    </row>
    <row r="36" spans="2:18" ht="16.5" customHeight="1" x14ac:dyDescent="0.25">
      <c r="B36" s="38"/>
      <c r="C36" s="38"/>
      <c r="D36" s="38"/>
      <c r="E36" s="81"/>
      <c r="F36" s="76"/>
      <c r="G36" s="51"/>
      <c r="H36" s="39"/>
      <c r="I36" s="39"/>
      <c r="J36" s="38"/>
      <c r="K36" s="75"/>
      <c r="L36" s="75"/>
      <c r="M36" s="89"/>
    </row>
    <row r="37" spans="2:18" ht="16.5" customHeight="1" x14ac:dyDescent="0.25">
      <c r="B37" s="38"/>
      <c r="C37" s="38"/>
      <c r="D37" s="38"/>
      <c r="E37" s="75"/>
      <c r="F37" s="76"/>
      <c r="G37" s="51"/>
      <c r="H37" s="39"/>
      <c r="I37" s="39"/>
      <c r="J37" s="38"/>
      <c r="K37" s="75"/>
      <c r="L37" s="75"/>
      <c r="M37" s="89"/>
    </row>
    <row r="38" spans="2:18" ht="16.5" customHeight="1" x14ac:dyDescent="0.25">
      <c r="B38" s="38"/>
      <c r="C38" s="38"/>
      <c r="D38" s="38"/>
      <c r="E38" s="75"/>
      <c r="F38" s="76"/>
      <c r="G38" s="51"/>
      <c r="H38" s="39"/>
      <c r="I38" s="39"/>
      <c r="J38" s="38"/>
      <c r="K38" s="75"/>
      <c r="L38" s="75"/>
      <c r="M38" s="89"/>
    </row>
    <row r="39" spans="2:18" ht="16.5" customHeight="1" x14ac:dyDescent="0.25">
      <c r="B39" s="38"/>
      <c r="C39" s="38"/>
      <c r="D39" s="38"/>
      <c r="E39" s="75"/>
      <c r="F39" s="51"/>
      <c r="G39" s="51"/>
      <c r="H39" s="39"/>
      <c r="I39" s="39"/>
      <c r="J39" s="38"/>
      <c r="K39" s="75"/>
      <c r="L39" s="75"/>
      <c r="M39" s="89"/>
    </row>
    <row r="40" spans="2:18" ht="16.5" customHeight="1" x14ac:dyDescent="0.25">
      <c r="B40" s="38"/>
      <c r="C40" s="38"/>
      <c r="D40" s="38"/>
      <c r="E40" s="77"/>
      <c r="F40" s="78"/>
      <c r="G40" s="42"/>
      <c r="H40" s="43"/>
      <c r="I40" s="39"/>
      <c r="J40" s="38"/>
      <c r="K40" s="77"/>
      <c r="L40" s="77"/>
      <c r="M40" s="90"/>
      <c r="Q40" s="1" t="s">
        <v>33</v>
      </c>
      <c r="R40" s="1">
        <f>SUM(R6:R21)</f>
        <v>5</v>
      </c>
    </row>
    <row r="41" spans="2:18" ht="16.5" customHeight="1" x14ac:dyDescent="0.25">
      <c r="B41" s="38"/>
      <c r="C41" s="38"/>
      <c r="D41" s="38"/>
      <c r="E41" s="80"/>
      <c r="F41" s="51"/>
      <c r="G41" s="51"/>
      <c r="H41" s="39"/>
      <c r="I41" s="39"/>
      <c r="J41" s="38"/>
      <c r="K41" s="75"/>
      <c r="L41" s="75"/>
      <c r="M41" s="90"/>
    </row>
    <row r="42" spans="2:18" ht="13.5" x14ac:dyDescent="0.25">
      <c r="B42" s="38"/>
      <c r="C42" s="38"/>
      <c r="D42" s="38"/>
      <c r="E42" s="35"/>
      <c r="F42" s="35"/>
      <c r="G42" s="35"/>
      <c r="H42" s="37"/>
      <c r="I42" s="37"/>
      <c r="J42" s="38"/>
      <c r="K42" s="33"/>
      <c r="L42" s="33"/>
      <c r="M42" s="33"/>
    </row>
    <row r="43" spans="2:18" ht="13.5" x14ac:dyDescent="0.25">
      <c r="B43" s="38"/>
      <c r="C43" s="38"/>
      <c r="D43" s="38"/>
      <c r="E43" s="35"/>
      <c r="F43" s="35"/>
      <c r="G43" s="35"/>
      <c r="H43" s="37"/>
      <c r="I43" s="37"/>
      <c r="J43" s="38"/>
      <c r="K43" s="33"/>
      <c r="L43" s="33"/>
      <c r="M43" s="33"/>
    </row>
    <row r="44" spans="2:18" ht="13.5" x14ac:dyDescent="0.25">
      <c r="B44" s="38"/>
      <c r="C44" s="38"/>
      <c r="D44" s="38"/>
      <c r="E44" s="35"/>
      <c r="F44" s="35"/>
      <c r="G44" s="35"/>
      <c r="H44" s="37"/>
      <c r="I44" s="37"/>
      <c r="J44" s="38"/>
      <c r="K44" s="33"/>
      <c r="L44" s="33"/>
      <c r="M44" s="33"/>
    </row>
    <row r="45" spans="2:18" ht="13.5" x14ac:dyDescent="0.25">
      <c r="B45" s="38"/>
      <c r="C45" s="38"/>
      <c r="D45" s="38"/>
      <c r="E45" s="35"/>
      <c r="F45" s="35"/>
      <c r="G45" s="35"/>
      <c r="H45" s="37"/>
      <c r="I45" s="37"/>
      <c r="J45" s="38"/>
      <c r="K45" s="33"/>
      <c r="L45" s="33"/>
      <c r="M45" s="33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  <x14:dataValidation type="list" allowBlank="1" showInputMessage="1" showErrorMessage="1" xr:uid="{2E93A34E-84DB-41F0-9F96-A1B7FAA7ED72}">
          <x14:formula1>
            <xm:f>resumo_cx!$P$2:$P$18</xm:f>
          </x14:formula1>
          <xm:sqref>L15:L31</xm:sqref>
        </x14:dataValidation>
        <x14:dataValidation type="list" allowBlank="1" showInputMessage="1" showErrorMessage="1" xr:uid="{5932D48C-CC65-42DF-A8F0-B533E7841B74}">
          <x14:formula1>
            <xm:f>base_OS!$A$2:$A$15000</xm:f>
          </x14:formula1>
          <xm:sqref>E6:E22 E26:E31 E35:E41 K35:K41 K15:K31</xm:sqref>
        </x14:dataValidation>
        <x14:dataValidation type="list" allowBlank="1" showInputMessage="1" showErrorMessage="1" xr:uid="{93DBB679-1465-4AE3-9464-4632F880272C}">
          <x14:formula1>
            <xm:f>base!$A$2:$A$5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base!$A$2:$A$8</xm:f>
          </x14:formula1>
          <xm:sqref>G6:G22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5"/>
  <sheetViews>
    <sheetView showGridLines="0" view="pageBreakPreview" topLeftCell="A18" zoomScale="60" zoomScaleNormal="90" workbookViewId="0">
      <selection activeCell="E9" sqref="E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41.5703125" style="12" bestFit="1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'16'!B1+1</f>
        <v>45825</v>
      </c>
      <c r="C1" s="98"/>
      <c r="L1" s="99" t="s">
        <v>143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5" t="s">
        <v>0</v>
      </c>
      <c r="C4" s="26">
        <v>0</v>
      </c>
      <c r="D4" s="58"/>
      <c r="E4" s="108" t="s">
        <v>136</v>
      </c>
      <c r="F4" s="108"/>
      <c r="G4" s="108"/>
      <c r="H4" s="108"/>
      <c r="I4" s="108"/>
      <c r="J4" s="30"/>
      <c r="K4" s="102" t="s">
        <v>137</v>
      </c>
      <c r="L4" s="103"/>
      <c r="M4" s="104"/>
    </row>
    <row r="5" spans="2:18" ht="16.5" x14ac:dyDescent="0.3">
      <c r="B5" s="28" t="s">
        <v>1</v>
      </c>
      <c r="C5" s="29">
        <f>SUMIF(I6:I31,"&gt;0",H6:H31)</f>
        <v>4169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18" ht="16.5" x14ac:dyDescent="0.3">
      <c r="B6" s="28" t="s">
        <v>2</v>
      </c>
      <c r="C6" s="29">
        <f>C16</f>
        <v>1180</v>
      </c>
      <c r="D6" s="30"/>
      <c r="E6" s="75">
        <v>11216</v>
      </c>
      <c r="F6" s="76" t="s">
        <v>271</v>
      </c>
      <c r="G6" s="51" t="s">
        <v>8</v>
      </c>
      <c r="H6" s="39">
        <v>100</v>
      </c>
      <c r="I6" s="39">
        <v>100</v>
      </c>
      <c r="J6" s="30"/>
      <c r="K6" s="76" t="s">
        <v>161</v>
      </c>
      <c r="L6" s="89" t="s">
        <v>10</v>
      </c>
      <c r="M6" s="44">
        <v>3.03</v>
      </c>
      <c r="R6" s="1">
        <f>IF(vend17[[#This Row],[Nº Venda]]&gt;1,1,0)</f>
        <v>1</v>
      </c>
    </row>
    <row r="7" spans="2:18" ht="16.5" x14ac:dyDescent="0.3">
      <c r="B7" s="28" t="s">
        <v>3</v>
      </c>
      <c r="C7" s="29">
        <f>SUM(M6:M11)</f>
        <v>303.02999999999997</v>
      </c>
      <c r="D7" s="30"/>
      <c r="E7" s="75">
        <v>11217</v>
      </c>
      <c r="F7" s="76" t="s">
        <v>272</v>
      </c>
      <c r="G7" s="51" t="s">
        <v>6</v>
      </c>
      <c r="H7" s="39">
        <v>130</v>
      </c>
      <c r="I7" s="39">
        <v>50</v>
      </c>
      <c r="J7" s="30"/>
      <c r="K7" s="76" t="s">
        <v>335</v>
      </c>
      <c r="L7" s="89" t="s">
        <v>6</v>
      </c>
      <c r="M7" s="44">
        <v>300</v>
      </c>
      <c r="R7" s="1">
        <f>IF(vend17[[#This Row],[Nº Venda]]&gt;1,1,0)</f>
        <v>1</v>
      </c>
    </row>
    <row r="8" spans="2:18" ht="16.5" x14ac:dyDescent="0.3">
      <c r="B8" s="31" t="s">
        <v>21</v>
      </c>
      <c r="C8" s="32">
        <f>SUM(C6:C7)</f>
        <v>1483.03</v>
      </c>
      <c r="D8" s="30"/>
      <c r="E8" s="75">
        <v>11218</v>
      </c>
      <c r="F8" s="76" t="s">
        <v>272</v>
      </c>
      <c r="G8" s="51" t="s">
        <v>6</v>
      </c>
      <c r="H8" s="39">
        <v>500</v>
      </c>
      <c r="I8" s="39">
        <v>50</v>
      </c>
      <c r="J8" s="30"/>
      <c r="K8" s="76"/>
      <c r="L8" s="89"/>
      <c r="M8" s="44"/>
      <c r="R8" s="1">
        <f>IF(vend17[[#This Row],[Nº Venda]]&gt;1,1,0)</f>
        <v>1</v>
      </c>
    </row>
    <row r="9" spans="2:18" ht="16.5" x14ac:dyDescent="0.3">
      <c r="B9" s="27"/>
      <c r="C9" s="27"/>
      <c r="D9" s="30"/>
      <c r="E9" s="75">
        <v>11219</v>
      </c>
      <c r="F9" s="76" t="s">
        <v>273</v>
      </c>
      <c r="G9" s="51" t="s">
        <v>6</v>
      </c>
      <c r="H9" s="39">
        <v>1690</v>
      </c>
      <c r="I9" s="39">
        <v>200</v>
      </c>
      <c r="J9" s="30"/>
      <c r="K9" s="76"/>
      <c r="L9" s="89"/>
      <c r="M9" s="44"/>
      <c r="R9" s="1">
        <f>IF(vend17[[#This Row],[Nº Venda]]&gt;1,1,0)</f>
        <v>1</v>
      </c>
    </row>
    <row r="10" spans="2:18" ht="16.5" x14ac:dyDescent="0.3">
      <c r="B10" s="109" t="s">
        <v>5</v>
      </c>
      <c r="C10" s="110"/>
      <c r="D10" s="30"/>
      <c r="E10" s="75">
        <v>11220</v>
      </c>
      <c r="F10" s="76" t="s">
        <v>274</v>
      </c>
      <c r="G10" s="51" t="s">
        <v>46</v>
      </c>
      <c r="H10" s="39">
        <v>0</v>
      </c>
      <c r="I10" s="39">
        <v>0</v>
      </c>
      <c r="J10" s="30"/>
      <c r="K10" s="76"/>
      <c r="L10" s="89"/>
      <c r="M10" s="44"/>
      <c r="R10" s="1">
        <f>IF(vend17[[#This Row],[Nº Venda]]&gt;1,1,0)</f>
        <v>1</v>
      </c>
    </row>
    <row r="11" spans="2:18" ht="16.5" x14ac:dyDescent="0.3">
      <c r="B11" s="28" t="s">
        <v>6</v>
      </c>
      <c r="C11" s="69">
        <f>(SUMIF($G$2:$G$31,B11,$I$2:$I$31))+(SUMIF($G$35:$G$41,B11,$H$35:$H$41))</f>
        <v>300</v>
      </c>
      <c r="D11" s="30"/>
      <c r="E11" s="75">
        <v>11221</v>
      </c>
      <c r="F11" s="76" t="s">
        <v>276</v>
      </c>
      <c r="G11" s="51" t="s">
        <v>46</v>
      </c>
      <c r="H11" s="39">
        <v>60</v>
      </c>
      <c r="I11" s="39">
        <v>0</v>
      </c>
      <c r="J11" s="30"/>
      <c r="K11" s="38"/>
      <c r="L11" s="89"/>
      <c r="M11" s="44"/>
      <c r="O11" s="1">
        <f>IF(C16=0,0,1)</f>
        <v>1</v>
      </c>
      <c r="R11" s="1">
        <f>IF(vend17[[#This Row],[Nº Venda]]&gt;1,1,0)</f>
        <v>1</v>
      </c>
    </row>
    <row r="12" spans="2:18" ht="16.5" x14ac:dyDescent="0.3">
      <c r="B12" s="28" t="s">
        <v>7</v>
      </c>
      <c r="C12" s="69">
        <f t="shared" ref="C12:C15" si="0">(SUMIF($G$2:$G$31,B12,$I$2:$I$31))+(SUMIF($G$35:$G$41,B12,$H$35:$H$41))</f>
        <v>160</v>
      </c>
      <c r="D12" s="30"/>
      <c r="E12" s="75">
        <v>11222</v>
      </c>
      <c r="F12" s="76" t="s">
        <v>277</v>
      </c>
      <c r="G12" s="51" t="s">
        <v>10</v>
      </c>
      <c r="H12" s="39">
        <v>580</v>
      </c>
      <c r="I12" s="39" t="s">
        <v>372</v>
      </c>
      <c r="J12" s="30"/>
      <c r="K12" s="33"/>
      <c r="L12" s="33"/>
      <c r="M12" s="33"/>
      <c r="R12" s="1">
        <f>IF(vend17[[#This Row],[Nº Venda]]&gt;1,1,0)</f>
        <v>1</v>
      </c>
    </row>
    <row r="13" spans="2:18" ht="16.5" x14ac:dyDescent="0.3">
      <c r="B13" s="28" t="s">
        <v>8</v>
      </c>
      <c r="C13" s="69">
        <f t="shared" si="0"/>
        <v>100</v>
      </c>
      <c r="D13" s="30"/>
      <c r="E13" s="75">
        <v>11223</v>
      </c>
      <c r="F13" s="76" t="s">
        <v>278</v>
      </c>
      <c r="G13" s="51" t="s">
        <v>10</v>
      </c>
      <c r="H13" s="39">
        <v>150</v>
      </c>
      <c r="I13" s="39">
        <v>75</v>
      </c>
      <c r="J13" s="30"/>
      <c r="K13" s="102" t="s">
        <v>141</v>
      </c>
      <c r="L13" s="103"/>
      <c r="M13" s="104"/>
      <c r="R13" s="1">
        <f>IF(vend17[[#This Row],[Nº Venda]]&gt;1,1,0)</f>
        <v>1</v>
      </c>
    </row>
    <row r="14" spans="2:18" ht="16.5" x14ac:dyDescent="0.3">
      <c r="B14" s="28" t="s">
        <v>9</v>
      </c>
      <c r="C14" s="69">
        <f t="shared" si="0"/>
        <v>0</v>
      </c>
      <c r="D14" s="30"/>
      <c r="E14" s="75">
        <v>11224</v>
      </c>
      <c r="F14" s="76" t="s">
        <v>279</v>
      </c>
      <c r="G14" s="51" t="s">
        <v>10</v>
      </c>
      <c r="H14" s="39">
        <v>990</v>
      </c>
      <c r="I14" s="39">
        <v>495</v>
      </c>
      <c r="J14" s="30"/>
      <c r="K14" s="22" t="s">
        <v>22</v>
      </c>
      <c r="L14" s="23" t="s">
        <v>23</v>
      </c>
      <c r="M14" s="24" t="s">
        <v>24</v>
      </c>
      <c r="R14" s="1">
        <f>IF(vend17[[#This Row],[Nº Venda]]&gt;1,1,0)</f>
        <v>1</v>
      </c>
    </row>
    <row r="15" spans="2:18" ht="16.5" x14ac:dyDescent="0.3">
      <c r="B15" s="28" t="s">
        <v>10</v>
      </c>
      <c r="C15" s="69">
        <f t="shared" si="0"/>
        <v>620</v>
      </c>
      <c r="D15" s="30"/>
      <c r="E15" s="75">
        <v>11225</v>
      </c>
      <c r="F15" s="76" t="s">
        <v>280</v>
      </c>
      <c r="G15" s="51" t="s">
        <v>7</v>
      </c>
      <c r="H15" s="39">
        <v>499</v>
      </c>
      <c r="I15" s="39">
        <v>100</v>
      </c>
      <c r="J15" s="30"/>
      <c r="K15" s="75">
        <v>11171</v>
      </c>
      <c r="L15" s="89" t="s">
        <v>128</v>
      </c>
      <c r="M15" s="44" t="s">
        <v>146</v>
      </c>
      <c r="R15" s="1">
        <f>IF(vend17[[#This Row],[Nº Venda]]&gt;1,1,0)</f>
        <v>1</v>
      </c>
    </row>
    <row r="16" spans="2:18" ht="16.5" x14ac:dyDescent="0.3">
      <c r="B16" s="31" t="s">
        <v>11</v>
      </c>
      <c r="C16" s="70">
        <f>SUM(C11:C15)</f>
        <v>1180</v>
      </c>
      <c r="D16" s="30"/>
      <c r="E16" s="75">
        <v>11226</v>
      </c>
      <c r="F16" s="76" t="s">
        <v>281</v>
      </c>
      <c r="G16" s="51" t="s">
        <v>10</v>
      </c>
      <c r="H16" s="39">
        <v>50</v>
      </c>
      <c r="I16" s="39">
        <v>50</v>
      </c>
      <c r="J16" s="30"/>
      <c r="K16" s="75">
        <v>11213</v>
      </c>
      <c r="L16" s="89" t="s">
        <v>128</v>
      </c>
      <c r="M16" s="44" t="s">
        <v>146</v>
      </c>
      <c r="R16" s="1">
        <f>IF(vend17[[#This Row],[Nº Venda]]&gt;1,1,0)</f>
        <v>1</v>
      </c>
    </row>
    <row r="17" spans="2:18" ht="16.5" x14ac:dyDescent="0.3">
      <c r="B17" s="27"/>
      <c r="C17" s="27"/>
      <c r="D17" s="30"/>
      <c r="E17" s="75"/>
      <c r="F17" s="76"/>
      <c r="G17" s="51"/>
      <c r="H17" s="39"/>
      <c r="I17" s="39"/>
      <c r="J17" s="30"/>
      <c r="K17" s="75">
        <v>11216</v>
      </c>
      <c r="L17" s="89" t="s">
        <v>128</v>
      </c>
      <c r="M17" s="44" t="s">
        <v>146</v>
      </c>
      <c r="R17" s="1">
        <f>IF(vend17[[#This Row],[Nº Venda]]&gt;1,1,0)</f>
        <v>0</v>
      </c>
    </row>
    <row r="18" spans="2:18" ht="16.5" x14ac:dyDescent="0.3">
      <c r="B18" s="109" t="s">
        <v>12</v>
      </c>
      <c r="C18" s="110"/>
      <c r="D18" s="30"/>
      <c r="E18" s="75"/>
      <c r="F18" s="76"/>
      <c r="G18" s="51"/>
      <c r="H18" s="39"/>
      <c r="I18" s="39"/>
      <c r="J18" s="30"/>
      <c r="K18" s="75">
        <v>11221</v>
      </c>
      <c r="L18" s="89" t="s">
        <v>130</v>
      </c>
      <c r="M18" s="44" t="s">
        <v>162</v>
      </c>
      <c r="R18" s="1">
        <f>IF(vend17[[#This Row],[Nº Venda]]&gt;1,1,0)</f>
        <v>0</v>
      </c>
    </row>
    <row r="19" spans="2:18" ht="16.5" x14ac:dyDescent="0.3">
      <c r="B19" s="28">
        <f>COUNT(entr_carn17[OS])</f>
        <v>1</v>
      </c>
      <c r="C19" s="69">
        <f>SUM(entr_carn17[Valor Total])</f>
        <v>60</v>
      </c>
      <c r="D19" s="30"/>
      <c r="E19" s="75"/>
      <c r="F19" s="76"/>
      <c r="G19" s="51"/>
      <c r="H19" s="39"/>
      <c r="I19" s="39"/>
      <c r="J19" s="30"/>
      <c r="K19" s="75">
        <v>11226</v>
      </c>
      <c r="L19" s="89" t="s">
        <v>130</v>
      </c>
      <c r="M19" s="44" t="s">
        <v>146</v>
      </c>
      <c r="R19" s="1">
        <f>IF(vend17[[#This Row],[Nº Venda]]&gt;1,1,0)</f>
        <v>0</v>
      </c>
    </row>
    <row r="20" spans="2:18" ht="16.5" x14ac:dyDescent="0.3">
      <c r="B20" s="31" t="s">
        <v>11</v>
      </c>
      <c r="C20" s="70">
        <f>SUM(C19:C19)</f>
        <v>60</v>
      </c>
      <c r="D20" s="30"/>
      <c r="E20" s="75"/>
      <c r="F20" s="51"/>
      <c r="G20" s="51"/>
      <c r="H20" s="39"/>
      <c r="I20" s="39"/>
      <c r="J20" s="30"/>
      <c r="K20" s="75"/>
      <c r="L20" s="89"/>
      <c r="M20" s="44"/>
      <c r="R20" s="1">
        <f>IF(vend17[[#This Row],[Nº Venda]]&gt;1,1,0)</f>
        <v>0</v>
      </c>
    </row>
    <row r="21" spans="2:18" ht="16.5" x14ac:dyDescent="0.3">
      <c r="B21" s="27"/>
      <c r="C21" s="27"/>
      <c r="D21" s="30"/>
      <c r="E21" s="75"/>
      <c r="F21" s="76"/>
      <c r="G21" s="51"/>
      <c r="H21" s="39"/>
      <c r="I21" s="39"/>
      <c r="J21" s="30"/>
      <c r="K21" s="75"/>
      <c r="L21" s="89"/>
      <c r="M21" s="44"/>
    </row>
    <row r="22" spans="2:18" ht="16.5" x14ac:dyDescent="0.3">
      <c r="B22" s="31" t="s">
        <v>25</v>
      </c>
      <c r="C22" s="34">
        <f>C5</f>
        <v>4169</v>
      </c>
      <c r="D22" s="30"/>
      <c r="E22" s="77"/>
      <c r="F22" s="76"/>
      <c r="G22" s="51"/>
      <c r="H22" s="39"/>
      <c r="I22" s="39"/>
      <c r="J22" s="30"/>
      <c r="K22" s="75"/>
      <c r="L22" s="89"/>
      <c r="M22" s="44"/>
    </row>
    <row r="23" spans="2:18" ht="16.5" x14ac:dyDescent="0.3">
      <c r="B23" s="30"/>
      <c r="C23" s="30"/>
      <c r="D23" s="30"/>
      <c r="E23" s="35"/>
      <c r="F23" s="35"/>
      <c r="G23" s="35"/>
      <c r="H23" s="36"/>
      <c r="I23" s="37"/>
      <c r="J23" s="30"/>
      <c r="K23" s="75"/>
      <c r="L23" s="89"/>
      <c r="M23" s="44"/>
    </row>
    <row r="24" spans="2:18" ht="16.5" x14ac:dyDescent="0.3">
      <c r="B24" s="30"/>
      <c r="C24" s="30"/>
      <c r="D24" s="30"/>
      <c r="E24" s="100" t="s">
        <v>138</v>
      </c>
      <c r="F24" s="101"/>
      <c r="G24" s="101"/>
      <c r="H24" s="101"/>
      <c r="I24" s="101"/>
      <c r="J24" s="30"/>
      <c r="K24" s="75"/>
      <c r="L24" s="89"/>
      <c r="M24" s="44"/>
    </row>
    <row r="25" spans="2:18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5"/>
      <c r="L25" s="89"/>
      <c r="M25" s="44"/>
    </row>
    <row r="26" spans="2:18" ht="16.5" x14ac:dyDescent="0.3">
      <c r="B26" s="30"/>
      <c r="C26" s="30"/>
      <c r="D26" s="30"/>
      <c r="E26" s="75">
        <v>11213</v>
      </c>
      <c r="F26" s="76" t="s">
        <v>275</v>
      </c>
      <c r="G26" s="51" t="s">
        <v>7</v>
      </c>
      <c r="H26" s="39">
        <v>60</v>
      </c>
      <c r="I26" s="39">
        <v>60</v>
      </c>
      <c r="J26" s="30"/>
      <c r="K26" s="75"/>
      <c r="L26" s="89"/>
      <c r="M26" s="44"/>
    </row>
    <row r="27" spans="2:18" ht="16.5" x14ac:dyDescent="0.3">
      <c r="B27" s="30"/>
      <c r="C27" s="30"/>
      <c r="D27" s="30"/>
      <c r="E27" s="75"/>
      <c r="F27" s="76"/>
      <c r="G27" s="51"/>
      <c r="H27" s="39"/>
      <c r="I27" s="39"/>
      <c r="J27" s="30"/>
      <c r="K27" s="75"/>
      <c r="L27" s="89"/>
      <c r="M27" s="44"/>
    </row>
    <row r="28" spans="2:18" ht="16.5" x14ac:dyDescent="0.3">
      <c r="B28" s="30"/>
      <c r="C28" s="30"/>
      <c r="D28" s="30"/>
      <c r="E28" s="75"/>
      <c r="F28" s="76"/>
      <c r="G28" s="51"/>
      <c r="H28" s="39"/>
      <c r="I28" s="39"/>
      <c r="J28" s="30"/>
      <c r="K28" s="75"/>
      <c r="L28" s="89"/>
      <c r="M28" s="44"/>
    </row>
    <row r="29" spans="2:18" ht="16.5" x14ac:dyDescent="0.3">
      <c r="B29" s="30"/>
      <c r="C29" s="30"/>
      <c r="D29" s="30"/>
      <c r="E29" s="75"/>
      <c r="F29" s="76"/>
      <c r="G29" s="51"/>
      <c r="H29" s="39"/>
      <c r="I29" s="39"/>
      <c r="J29" s="30"/>
      <c r="K29" s="75"/>
      <c r="L29" s="89"/>
      <c r="M29" s="44"/>
    </row>
    <row r="30" spans="2:18" ht="16.5" x14ac:dyDescent="0.3">
      <c r="B30" s="30"/>
      <c r="C30" s="30"/>
      <c r="D30" s="30"/>
      <c r="E30" s="75"/>
      <c r="F30" s="51"/>
      <c r="G30" s="51"/>
      <c r="H30" s="39"/>
      <c r="I30" s="39"/>
      <c r="J30" s="30"/>
      <c r="K30" s="75"/>
      <c r="L30" s="89"/>
      <c r="M30" s="44"/>
    </row>
    <row r="31" spans="2:18" ht="16.5" x14ac:dyDescent="0.3">
      <c r="B31" s="30"/>
      <c r="C31" s="30"/>
      <c r="D31" s="30"/>
      <c r="E31" s="77"/>
      <c r="F31" s="78"/>
      <c r="G31" s="42"/>
      <c r="H31" s="43"/>
      <c r="I31" s="43"/>
      <c r="J31" s="30"/>
      <c r="K31" s="75"/>
      <c r="L31" s="89"/>
      <c r="M31" s="44"/>
    </row>
    <row r="32" spans="2:18" ht="16.5" x14ac:dyDescent="0.3">
      <c r="B32" s="30"/>
      <c r="C32" s="30"/>
      <c r="D32" s="38"/>
      <c r="E32" s="35"/>
      <c r="F32" s="35"/>
      <c r="G32" s="35"/>
      <c r="H32" s="37"/>
      <c r="I32" s="37"/>
      <c r="J32" s="38"/>
      <c r="K32" s="33"/>
      <c r="L32" s="33"/>
      <c r="M32" s="33"/>
    </row>
    <row r="33" spans="2:18" ht="16.5" x14ac:dyDescent="0.3">
      <c r="B33" s="30"/>
      <c r="C33" s="30"/>
      <c r="D33" s="38"/>
      <c r="E33" s="100" t="s">
        <v>139</v>
      </c>
      <c r="F33" s="101"/>
      <c r="G33" s="101"/>
      <c r="H33" s="101"/>
      <c r="I33" s="101"/>
      <c r="J33" s="38"/>
      <c r="K33" s="102" t="s">
        <v>140</v>
      </c>
      <c r="L33" s="103"/>
      <c r="M33" s="104"/>
    </row>
    <row r="34" spans="2:18" ht="16.5" x14ac:dyDescent="0.3">
      <c r="B34" s="38"/>
      <c r="C34" s="38"/>
      <c r="D34" s="38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75"/>
      <c r="F35" s="76"/>
      <c r="G35" s="51"/>
      <c r="H35" s="39"/>
      <c r="I35" s="39"/>
      <c r="J35" s="38"/>
      <c r="K35" s="75">
        <v>11221</v>
      </c>
      <c r="L35" s="75">
        <v>1</v>
      </c>
      <c r="M35" s="89">
        <v>60</v>
      </c>
    </row>
    <row r="36" spans="2:18" ht="16.5" customHeight="1" x14ac:dyDescent="0.25">
      <c r="B36" s="38"/>
      <c r="C36" s="38"/>
      <c r="D36" s="38"/>
      <c r="E36" s="81"/>
      <c r="F36" s="76"/>
      <c r="G36" s="51"/>
      <c r="H36" s="39"/>
      <c r="I36" s="39"/>
      <c r="J36" s="38"/>
      <c r="K36" s="75"/>
      <c r="L36" s="75"/>
      <c r="M36" s="89"/>
    </row>
    <row r="37" spans="2:18" ht="16.5" customHeight="1" x14ac:dyDescent="0.25">
      <c r="B37" s="38"/>
      <c r="C37" s="38"/>
      <c r="D37" s="38"/>
      <c r="E37" s="75"/>
      <c r="F37" s="76"/>
      <c r="G37" s="51"/>
      <c r="H37" s="39"/>
      <c r="I37" s="39"/>
      <c r="J37" s="38"/>
      <c r="K37" s="75"/>
      <c r="L37" s="75"/>
      <c r="M37" s="89"/>
    </row>
    <row r="38" spans="2:18" ht="16.5" customHeight="1" x14ac:dyDescent="0.25">
      <c r="B38" s="38"/>
      <c r="C38" s="38"/>
      <c r="D38" s="38"/>
      <c r="E38" s="75"/>
      <c r="F38" s="76"/>
      <c r="G38" s="51"/>
      <c r="H38" s="39"/>
      <c r="I38" s="39"/>
      <c r="J38" s="38"/>
      <c r="K38" s="75"/>
      <c r="L38" s="75"/>
      <c r="M38" s="89"/>
    </row>
    <row r="39" spans="2:18" ht="16.5" customHeight="1" x14ac:dyDescent="0.25">
      <c r="B39" s="38"/>
      <c r="C39" s="38"/>
      <c r="D39" s="38"/>
      <c r="E39" s="75"/>
      <c r="F39" s="51"/>
      <c r="G39" s="51"/>
      <c r="H39" s="39"/>
      <c r="I39" s="39"/>
      <c r="J39" s="38"/>
      <c r="K39" s="75"/>
      <c r="L39" s="75"/>
      <c r="M39" s="89"/>
    </row>
    <row r="40" spans="2:18" ht="16.5" customHeight="1" x14ac:dyDescent="0.25">
      <c r="B40" s="38"/>
      <c r="C40" s="38"/>
      <c r="D40" s="38"/>
      <c r="E40" s="77"/>
      <c r="F40" s="78"/>
      <c r="G40" s="42"/>
      <c r="H40" s="43"/>
      <c r="I40" s="39"/>
      <c r="J40" s="38"/>
      <c r="K40" s="77"/>
      <c r="L40" s="77"/>
      <c r="M40" s="90"/>
      <c r="Q40" s="1" t="s">
        <v>33</v>
      </c>
      <c r="R40" s="1">
        <f>SUM(R6:R21)</f>
        <v>11</v>
      </c>
    </row>
    <row r="41" spans="2:18" ht="16.5" customHeight="1" x14ac:dyDescent="0.25">
      <c r="B41" s="38"/>
      <c r="C41" s="38"/>
      <c r="D41" s="38"/>
      <c r="E41" s="80"/>
      <c r="F41" s="51"/>
      <c r="G41" s="51"/>
      <c r="H41" s="39"/>
      <c r="I41" s="39"/>
      <c r="J41" s="38"/>
      <c r="K41" s="75"/>
      <c r="L41" s="75"/>
      <c r="M41" s="90"/>
    </row>
    <row r="42" spans="2:18" ht="13.5" x14ac:dyDescent="0.25">
      <c r="B42" s="38"/>
      <c r="C42" s="38"/>
      <c r="D42" s="38"/>
      <c r="E42" s="35"/>
      <c r="F42" s="35"/>
      <c r="G42" s="35"/>
      <c r="H42" s="37"/>
      <c r="I42" s="37"/>
      <c r="J42" s="38"/>
      <c r="K42" s="33"/>
      <c r="L42" s="33"/>
      <c r="M42" s="33"/>
    </row>
    <row r="43" spans="2:18" ht="13.5" x14ac:dyDescent="0.25">
      <c r="B43" s="38"/>
      <c r="C43" s="38"/>
      <c r="D43" s="38"/>
      <c r="E43" s="35"/>
      <c r="F43" s="35"/>
      <c r="G43" s="35"/>
      <c r="H43" s="37"/>
      <c r="I43" s="37"/>
      <c r="J43" s="38"/>
      <c r="K43" s="33"/>
      <c r="L43" s="33"/>
      <c r="M43" s="33"/>
    </row>
    <row r="44" spans="2:18" ht="13.5" x14ac:dyDescent="0.25">
      <c r="B44" s="38"/>
      <c r="C44" s="38"/>
      <c r="D44" s="38"/>
      <c r="E44" s="35"/>
      <c r="F44" s="35"/>
      <c r="G44" s="35"/>
      <c r="H44" s="37"/>
      <c r="I44" s="37"/>
      <c r="J44" s="38"/>
      <c r="K44" s="33"/>
      <c r="L44" s="33"/>
      <c r="M44" s="33"/>
    </row>
    <row r="45" spans="2:18" ht="13.5" x14ac:dyDescent="0.25">
      <c r="B45" s="38"/>
      <c r="C45" s="38"/>
      <c r="D45" s="38"/>
      <c r="E45" s="35"/>
      <c r="F45" s="35"/>
      <c r="G45" s="35"/>
      <c r="H45" s="37"/>
      <c r="I45" s="37"/>
      <c r="J45" s="38"/>
      <c r="K45" s="33"/>
      <c r="L45" s="33"/>
      <c r="M45" s="33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58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  <x14:dataValidation type="list" allowBlank="1" showInputMessage="1" showErrorMessage="1" xr:uid="{87DE9A87-0143-4B7F-BD5A-6E8F16B4D440}">
          <x14:formula1>
            <xm:f>resumo_cx!$P$2:$P$18</xm:f>
          </x14:formula1>
          <xm:sqref>L15:L31</xm:sqref>
        </x14:dataValidation>
        <x14:dataValidation type="list" allowBlank="1" showInputMessage="1" showErrorMessage="1" xr:uid="{819D3B23-B687-42F8-811D-08C50907F8D7}">
          <x14:formula1>
            <xm:f>base_OS!$A$2:$A$15000</xm:f>
          </x14:formula1>
          <xm:sqref>E6:E22 E26:E31 E35:E41 K35:K41 K15:K31</xm:sqref>
        </x14:dataValidation>
        <x14:dataValidation type="list" allowBlank="1" showInputMessage="1" showErrorMessage="1" xr:uid="{51FDB922-3E57-4990-B691-641DA5F97512}">
          <x14:formula1>
            <xm:f>base!$A$2:$A$8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base!$A$2:$A$5</xm:f>
          </x14:formula1>
          <xm:sqref>G26:G31 G35:G41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5"/>
  <sheetViews>
    <sheetView showGridLines="0" topLeftCell="A18" zoomScale="90" zoomScaleNormal="90" workbookViewId="0">
      <selection activeCell="F27" sqref="F27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11">
        <f>'17'!B1+1</f>
        <v>45826</v>
      </c>
      <c r="C1" s="111"/>
      <c r="L1" s="99" t="s">
        <v>143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5" t="s">
        <v>0</v>
      </c>
      <c r="C4" s="26">
        <v>0</v>
      </c>
      <c r="D4" s="58"/>
      <c r="E4" s="108" t="s">
        <v>136</v>
      </c>
      <c r="F4" s="108"/>
      <c r="G4" s="108"/>
      <c r="H4" s="108"/>
      <c r="I4" s="108"/>
      <c r="J4" s="30"/>
      <c r="K4" s="102" t="s">
        <v>137</v>
      </c>
      <c r="L4" s="103"/>
      <c r="M4" s="104"/>
    </row>
    <row r="5" spans="2:18" ht="16.5" x14ac:dyDescent="0.3">
      <c r="B5" s="28" t="s">
        <v>1</v>
      </c>
      <c r="C5" s="29">
        <f>SUMIF(I6:I31,"&gt;0",H6:H31)</f>
        <v>6968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18" ht="16.5" x14ac:dyDescent="0.3">
      <c r="B6" s="28" t="s">
        <v>2</v>
      </c>
      <c r="C6" s="29">
        <f>C16</f>
        <v>3186.25</v>
      </c>
      <c r="D6" s="30"/>
      <c r="E6" s="75">
        <v>11227</v>
      </c>
      <c r="F6" s="76" t="s">
        <v>219</v>
      </c>
      <c r="G6" s="51" t="s">
        <v>36</v>
      </c>
      <c r="H6" s="39"/>
      <c r="I6" s="39"/>
      <c r="J6" s="30"/>
      <c r="K6" s="76" t="s">
        <v>161</v>
      </c>
      <c r="L6" s="41" t="s">
        <v>10</v>
      </c>
      <c r="M6" s="44">
        <v>4.09</v>
      </c>
      <c r="R6" s="1">
        <f>IF(vend18[[#This Row],[Nº Venda]]&gt;1,1,0)</f>
        <v>1</v>
      </c>
    </row>
    <row r="7" spans="2:18" ht="16.5" x14ac:dyDescent="0.3">
      <c r="B7" s="28" t="s">
        <v>3</v>
      </c>
      <c r="C7" s="29">
        <f>SUM(M6:M11)</f>
        <v>1904.09</v>
      </c>
      <c r="D7" s="30"/>
      <c r="E7" s="75">
        <v>11228</v>
      </c>
      <c r="F7" s="76" t="s">
        <v>291</v>
      </c>
      <c r="G7" s="51" t="s">
        <v>36</v>
      </c>
      <c r="H7" s="39"/>
      <c r="I7" s="39"/>
      <c r="J7" s="30"/>
      <c r="K7" s="76" t="s">
        <v>209</v>
      </c>
      <c r="L7" s="89" t="s">
        <v>6</v>
      </c>
      <c r="M7" s="44">
        <v>1900</v>
      </c>
      <c r="R7" s="1">
        <f>IF(vend18[[#This Row],[Nº Venda]]&gt;1,1,0)</f>
        <v>1</v>
      </c>
    </row>
    <row r="8" spans="2:18" ht="16.5" x14ac:dyDescent="0.3">
      <c r="B8" s="31" t="s">
        <v>21</v>
      </c>
      <c r="C8" s="32">
        <f>SUM(C6:C7)</f>
        <v>5090.34</v>
      </c>
      <c r="D8" s="30"/>
      <c r="E8" s="75">
        <v>11229</v>
      </c>
      <c r="F8" s="76" t="s">
        <v>284</v>
      </c>
      <c r="G8" s="51" t="s">
        <v>46</v>
      </c>
      <c r="H8" s="39"/>
      <c r="I8" s="39"/>
      <c r="J8" s="30"/>
      <c r="K8" s="76"/>
      <c r="L8" s="89"/>
      <c r="M8" s="44"/>
      <c r="R8" s="1">
        <f>IF(vend18[[#This Row],[Nº Venda]]&gt;1,1,0)</f>
        <v>1</v>
      </c>
    </row>
    <row r="9" spans="2:18" ht="16.5" x14ac:dyDescent="0.3">
      <c r="B9" s="27"/>
      <c r="C9" s="27"/>
      <c r="D9" s="30"/>
      <c r="E9" s="75">
        <v>11230</v>
      </c>
      <c r="F9" s="76" t="s">
        <v>285</v>
      </c>
      <c r="G9" s="51" t="s">
        <v>6</v>
      </c>
      <c r="H9" s="39">
        <v>110</v>
      </c>
      <c r="I9" s="39">
        <v>100</v>
      </c>
      <c r="J9" s="30"/>
      <c r="K9" s="76"/>
      <c r="L9" s="89"/>
      <c r="M9" s="44"/>
      <c r="R9" s="1">
        <f>IF(vend18[[#This Row],[Nº Venda]]&gt;1,1,0)</f>
        <v>1</v>
      </c>
    </row>
    <row r="10" spans="2:18" ht="16.5" x14ac:dyDescent="0.3">
      <c r="B10" s="109" t="s">
        <v>5</v>
      </c>
      <c r="C10" s="110"/>
      <c r="D10" s="30"/>
      <c r="E10" s="75">
        <v>11230</v>
      </c>
      <c r="F10" s="76"/>
      <c r="G10" s="51" t="s">
        <v>8</v>
      </c>
      <c r="H10" s="39"/>
      <c r="I10" s="39">
        <v>10</v>
      </c>
      <c r="J10" s="30"/>
      <c r="K10" s="76"/>
      <c r="L10" s="89"/>
      <c r="M10" s="44"/>
      <c r="R10" s="1">
        <f>IF(vend18[[#This Row],[Nº Venda]]&gt;1,1,0)</f>
        <v>1</v>
      </c>
    </row>
    <row r="11" spans="2:18" ht="16.5" x14ac:dyDescent="0.3">
      <c r="B11" s="28" t="s">
        <v>6</v>
      </c>
      <c r="C11" s="69">
        <f>(SUMIF($G$2:$G$31,B11,$I$2:$I$31))+(SUMIF($G$35:$G$41,B11,$H$35:$H$41))</f>
        <v>1896.25</v>
      </c>
      <c r="D11" s="30"/>
      <c r="E11" s="75">
        <v>11231</v>
      </c>
      <c r="F11" s="76" t="s">
        <v>284</v>
      </c>
      <c r="G11" s="51" t="s">
        <v>10</v>
      </c>
      <c r="H11" s="39">
        <v>1080</v>
      </c>
      <c r="I11" s="39">
        <v>90</v>
      </c>
      <c r="J11" s="30"/>
      <c r="K11" s="38"/>
      <c r="L11" s="89"/>
      <c r="M11" s="44"/>
      <c r="O11" s="1">
        <f>IF(C16=0,0,1)</f>
        <v>1</v>
      </c>
      <c r="R11" s="1">
        <f>IF(vend18[[#This Row],[Nº Venda]]&gt;1,1,0)</f>
        <v>1</v>
      </c>
    </row>
    <row r="12" spans="2:18" ht="16.5" x14ac:dyDescent="0.3">
      <c r="B12" s="28" t="s">
        <v>7</v>
      </c>
      <c r="C12" s="69">
        <f t="shared" ref="C12:C15" si="0">(SUMIF($G$2:$G$31,B12,$I$2:$I$31))+(SUMIF($G$35:$G$41,B12,$H$35:$H$41))</f>
        <v>40</v>
      </c>
      <c r="D12" s="30"/>
      <c r="E12" s="75">
        <v>11232</v>
      </c>
      <c r="F12" s="76" t="s">
        <v>284</v>
      </c>
      <c r="G12" s="51" t="s">
        <v>10</v>
      </c>
      <c r="H12" s="39">
        <v>219</v>
      </c>
      <c r="I12" s="39">
        <v>10</v>
      </c>
      <c r="J12" s="30"/>
      <c r="K12" s="33"/>
      <c r="L12" s="33"/>
      <c r="M12" s="33"/>
      <c r="R12" s="1">
        <f>IF(vend18[[#This Row],[Nº Venda]]&gt;1,1,0)</f>
        <v>1</v>
      </c>
    </row>
    <row r="13" spans="2:18" ht="16.5" x14ac:dyDescent="0.3">
      <c r="B13" s="28" t="s">
        <v>8</v>
      </c>
      <c r="C13" s="69">
        <f t="shared" si="0"/>
        <v>560</v>
      </c>
      <c r="D13" s="30"/>
      <c r="E13" s="75">
        <v>11233</v>
      </c>
      <c r="F13" s="76" t="s">
        <v>286</v>
      </c>
      <c r="G13" s="51" t="s">
        <v>6</v>
      </c>
      <c r="H13" s="39">
        <v>1399</v>
      </c>
      <c r="I13" s="39">
        <v>1000</v>
      </c>
      <c r="J13" s="30"/>
      <c r="K13" s="102" t="s">
        <v>141</v>
      </c>
      <c r="L13" s="103"/>
      <c r="M13" s="104"/>
      <c r="R13" s="1">
        <f>IF(vend18[[#This Row],[Nº Venda]]&gt;1,1,0)</f>
        <v>1</v>
      </c>
    </row>
    <row r="14" spans="2:18" ht="16.5" x14ac:dyDescent="0.3">
      <c r="B14" s="28" t="s">
        <v>9</v>
      </c>
      <c r="C14" s="69">
        <f t="shared" si="0"/>
        <v>0</v>
      </c>
      <c r="D14" s="30"/>
      <c r="E14" s="75">
        <v>11234</v>
      </c>
      <c r="F14" s="76" t="s">
        <v>287</v>
      </c>
      <c r="G14" s="51" t="s">
        <v>8</v>
      </c>
      <c r="H14" s="39">
        <v>550</v>
      </c>
      <c r="I14" s="39">
        <v>550</v>
      </c>
      <c r="J14" s="30"/>
      <c r="K14" s="22" t="s">
        <v>22</v>
      </c>
      <c r="L14" s="23" t="s">
        <v>23</v>
      </c>
      <c r="M14" s="24" t="s">
        <v>24</v>
      </c>
      <c r="R14" s="1">
        <f>IF(vend18[[#This Row],[Nº Venda]]&gt;1,1,0)</f>
        <v>1</v>
      </c>
    </row>
    <row r="15" spans="2:18" ht="16.5" x14ac:dyDescent="0.3">
      <c r="B15" s="28" t="s">
        <v>10</v>
      </c>
      <c r="C15" s="69">
        <f t="shared" si="0"/>
        <v>690</v>
      </c>
      <c r="D15" s="30"/>
      <c r="E15" s="75">
        <v>11235</v>
      </c>
      <c r="F15" s="76" t="s">
        <v>288</v>
      </c>
      <c r="G15" s="51" t="s">
        <v>10</v>
      </c>
      <c r="H15" s="39">
        <v>1890</v>
      </c>
      <c r="I15" s="39">
        <v>300</v>
      </c>
      <c r="J15" s="30"/>
      <c r="K15" s="75">
        <v>11141</v>
      </c>
      <c r="L15" s="89" t="s">
        <v>130</v>
      </c>
      <c r="M15" s="44" t="s">
        <v>162</v>
      </c>
      <c r="R15" s="1">
        <f>IF(vend18[[#This Row],[Nº Venda]]&gt;1,1,0)</f>
        <v>1</v>
      </c>
    </row>
    <row r="16" spans="2:18" ht="16.5" x14ac:dyDescent="0.3">
      <c r="B16" s="31" t="s">
        <v>11</v>
      </c>
      <c r="C16" s="70">
        <f>SUM(C11:C15)</f>
        <v>3186.25</v>
      </c>
      <c r="D16" s="30"/>
      <c r="E16" s="75">
        <v>11236</v>
      </c>
      <c r="F16" s="76" t="s">
        <v>288</v>
      </c>
      <c r="G16" s="51" t="s">
        <v>46</v>
      </c>
      <c r="H16" s="39"/>
      <c r="I16" s="39"/>
      <c r="J16" s="30"/>
      <c r="K16" s="75">
        <v>11142</v>
      </c>
      <c r="L16" s="89" t="s">
        <v>130</v>
      </c>
      <c r="M16" s="44" t="s">
        <v>162</v>
      </c>
      <c r="R16" s="1">
        <f>IF(vend18[[#This Row],[Nº Venda]]&gt;1,1,0)</f>
        <v>1</v>
      </c>
    </row>
    <row r="17" spans="2:18" ht="16.5" x14ac:dyDescent="0.3">
      <c r="B17" s="27"/>
      <c r="C17" s="27"/>
      <c r="D17" s="30"/>
      <c r="E17" s="75">
        <v>11237</v>
      </c>
      <c r="F17" s="76" t="s">
        <v>289</v>
      </c>
      <c r="G17" s="51" t="s">
        <v>10</v>
      </c>
      <c r="H17" s="39">
        <v>1290</v>
      </c>
      <c r="I17" s="39">
        <v>200</v>
      </c>
      <c r="J17" s="30"/>
      <c r="K17" s="75">
        <v>11172</v>
      </c>
      <c r="L17" s="89" t="s">
        <v>128</v>
      </c>
      <c r="M17" s="44" t="s">
        <v>146</v>
      </c>
      <c r="R17" s="1">
        <f>IF(vend18[[#This Row],[Nº Venda]]&gt;1,1,0)</f>
        <v>1</v>
      </c>
    </row>
    <row r="18" spans="2:18" ht="16.5" x14ac:dyDescent="0.3">
      <c r="B18" s="109" t="s">
        <v>12</v>
      </c>
      <c r="C18" s="110"/>
      <c r="D18" s="30"/>
      <c r="E18" s="75">
        <v>11238</v>
      </c>
      <c r="F18" s="76" t="s">
        <v>289</v>
      </c>
      <c r="G18" s="51" t="s">
        <v>10</v>
      </c>
      <c r="H18" s="39">
        <v>390</v>
      </c>
      <c r="I18" s="39">
        <v>90</v>
      </c>
      <c r="J18" s="30"/>
      <c r="K18" s="75">
        <v>11173</v>
      </c>
      <c r="L18" s="89" t="s">
        <v>128</v>
      </c>
      <c r="M18" s="44" t="s">
        <v>146</v>
      </c>
      <c r="R18" s="1">
        <f>IF(vend18[[#This Row],[Nº Venda]]&gt;1,1,0)</f>
        <v>1</v>
      </c>
    </row>
    <row r="19" spans="2:18" ht="16.5" x14ac:dyDescent="0.3">
      <c r="B19" s="28">
        <f>COUNT(entr_carn18[OS])</f>
        <v>2</v>
      </c>
      <c r="C19" s="69">
        <f>SUM(entr_carn18[Valor Total])</f>
        <v>1759</v>
      </c>
      <c r="D19" s="30"/>
      <c r="E19" s="75">
        <v>11239</v>
      </c>
      <c r="F19" s="76" t="s">
        <v>290</v>
      </c>
      <c r="G19" s="51" t="s">
        <v>7</v>
      </c>
      <c r="H19" s="39">
        <v>40</v>
      </c>
      <c r="I19" s="39">
        <v>40</v>
      </c>
      <c r="J19" s="30"/>
      <c r="K19" s="75">
        <v>11188</v>
      </c>
      <c r="L19" s="89" t="s">
        <v>128</v>
      </c>
      <c r="M19" s="44" t="s">
        <v>146</v>
      </c>
      <c r="R19" s="1">
        <f>IF(vend18[[#This Row],[Nº Venda]]&gt;1,1,0)</f>
        <v>1</v>
      </c>
    </row>
    <row r="20" spans="2:18" ht="16.5" x14ac:dyDescent="0.3">
      <c r="B20" s="31" t="s">
        <v>11</v>
      </c>
      <c r="C20" s="70">
        <f>SUM(C19:C19)</f>
        <v>1759</v>
      </c>
      <c r="D20" s="30"/>
      <c r="E20" s="75"/>
      <c r="F20" s="51"/>
      <c r="G20" s="51"/>
      <c r="H20" s="39"/>
      <c r="I20" s="39"/>
      <c r="J20" s="30"/>
      <c r="K20" s="75">
        <v>11199</v>
      </c>
      <c r="L20" s="89" t="s">
        <v>130</v>
      </c>
      <c r="M20" s="44" t="s">
        <v>162</v>
      </c>
      <c r="R20" s="1">
        <f>IF(vend18[[#This Row],[Nº Venda]]&gt;1,1,0)</f>
        <v>0</v>
      </c>
    </row>
    <row r="21" spans="2:18" ht="16.5" x14ac:dyDescent="0.3">
      <c r="B21" s="27"/>
      <c r="C21" s="27"/>
      <c r="D21" s="30"/>
      <c r="E21" s="75"/>
      <c r="F21" s="76"/>
      <c r="G21" s="51"/>
      <c r="H21" s="39"/>
      <c r="I21" s="39"/>
      <c r="J21" s="30"/>
      <c r="K21" s="75">
        <v>11220</v>
      </c>
      <c r="L21" s="89" t="s">
        <v>130</v>
      </c>
      <c r="M21" s="44" t="s">
        <v>146</v>
      </c>
    </row>
    <row r="22" spans="2:18" ht="16.5" x14ac:dyDescent="0.3">
      <c r="B22" s="31" t="s">
        <v>25</v>
      </c>
      <c r="C22" s="34">
        <f>C5</f>
        <v>6968</v>
      </c>
      <c r="D22" s="30"/>
      <c r="E22" s="77"/>
      <c r="F22" s="76"/>
      <c r="G22" s="51"/>
      <c r="H22" s="39"/>
      <c r="I22" s="39"/>
      <c r="J22" s="30"/>
      <c r="K22" s="75">
        <v>11227</v>
      </c>
      <c r="L22" s="89" t="s">
        <v>130</v>
      </c>
      <c r="M22" s="44" t="s">
        <v>146</v>
      </c>
    </row>
    <row r="23" spans="2:18" ht="16.5" x14ac:dyDescent="0.3">
      <c r="B23" s="30"/>
      <c r="C23" s="30"/>
      <c r="D23" s="30"/>
      <c r="E23" s="35"/>
      <c r="F23" s="60"/>
      <c r="G23" s="42"/>
      <c r="H23" s="43"/>
      <c r="I23" s="43"/>
      <c r="J23" s="30"/>
      <c r="K23" s="75">
        <v>11229</v>
      </c>
      <c r="L23" s="89" t="s">
        <v>130</v>
      </c>
      <c r="M23" s="44" t="s">
        <v>146</v>
      </c>
    </row>
    <row r="24" spans="2:18" ht="16.5" x14ac:dyDescent="0.3">
      <c r="B24" s="30"/>
      <c r="C24" s="30"/>
      <c r="D24" s="30"/>
      <c r="E24" s="100" t="s">
        <v>138</v>
      </c>
      <c r="F24" s="101"/>
      <c r="G24" s="101"/>
      <c r="H24" s="101"/>
      <c r="I24" s="101"/>
      <c r="J24" s="30"/>
      <c r="K24" s="75">
        <v>11230</v>
      </c>
      <c r="L24" s="89" t="s">
        <v>128</v>
      </c>
      <c r="M24" s="44" t="s">
        <v>146</v>
      </c>
    </row>
    <row r="25" spans="2:18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5">
        <v>11239</v>
      </c>
      <c r="L25" s="89" t="s">
        <v>130</v>
      </c>
      <c r="M25" s="44" t="s">
        <v>146</v>
      </c>
    </row>
    <row r="26" spans="2:18" ht="16.5" x14ac:dyDescent="0.3">
      <c r="B26" s="30"/>
      <c r="C26" s="30"/>
      <c r="D26" s="30"/>
      <c r="E26" s="75"/>
      <c r="F26" s="76"/>
      <c r="G26" s="51"/>
      <c r="H26" s="39"/>
      <c r="I26" s="39"/>
      <c r="J26" s="30"/>
      <c r="K26" s="75"/>
      <c r="L26" s="89"/>
      <c r="M26" s="44"/>
    </row>
    <row r="27" spans="2:18" ht="16.5" x14ac:dyDescent="0.3">
      <c r="B27" s="30"/>
      <c r="C27" s="30"/>
      <c r="D27" s="30"/>
      <c r="E27" s="75"/>
      <c r="F27" s="76"/>
      <c r="G27" s="51"/>
      <c r="H27" s="39"/>
      <c r="I27" s="39"/>
      <c r="J27" s="30"/>
      <c r="K27" s="75"/>
      <c r="L27" s="89"/>
      <c r="M27" s="44"/>
    </row>
    <row r="28" spans="2:18" ht="16.5" x14ac:dyDescent="0.3">
      <c r="B28" s="30"/>
      <c r="C28" s="30"/>
      <c r="D28" s="30"/>
      <c r="E28" s="75"/>
      <c r="F28" s="76"/>
      <c r="G28" s="51"/>
      <c r="H28" s="39"/>
      <c r="I28" s="39"/>
      <c r="J28" s="30"/>
      <c r="K28" s="75"/>
      <c r="L28" s="89"/>
      <c r="M28" s="44"/>
    </row>
    <row r="29" spans="2:18" ht="16.5" x14ac:dyDescent="0.3">
      <c r="B29" s="30"/>
      <c r="C29" s="30"/>
      <c r="D29" s="30"/>
      <c r="E29" s="75"/>
      <c r="F29" s="76"/>
      <c r="G29" s="51"/>
      <c r="H29" s="39"/>
      <c r="I29" s="39"/>
      <c r="J29" s="30"/>
      <c r="K29" s="75"/>
      <c r="L29" s="89"/>
      <c r="M29" s="44"/>
    </row>
    <row r="30" spans="2:18" ht="16.5" x14ac:dyDescent="0.3">
      <c r="B30" s="30"/>
      <c r="C30" s="30"/>
      <c r="D30" s="30"/>
      <c r="E30" s="75"/>
      <c r="F30" s="51"/>
      <c r="G30" s="51"/>
      <c r="H30" s="39"/>
      <c r="I30" s="39"/>
      <c r="J30" s="30"/>
      <c r="K30" s="75"/>
      <c r="L30" s="89"/>
      <c r="M30" s="44"/>
    </row>
    <row r="31" spans="2:18" ht="16.5" x14ac:dyDescent="0.3">
      <c r="B31" s="30"/>
      <c r="C31" s="30"/>
      <c r="D31" s="30"/>
      <c r="E31" s="77"/>
      <c r="F31" s="78"/>
      <c r="G31" s="42"/>
      <c r="H31" s="43"/>
      <c r="I31" s="43"/>
      <c r="J31" s="30"/>
      <c r="K31" s="75"/>
      <c r="L31" s="89"/>
      <c r="M31" s="44"/>
    </row>
    <row r="32" spans="2:18" ht="16.5" x14ac:dyDescent="0.3">
      <c r="B32" s="30"/>
      <c r="C32" s="30"/>
      <c r="D32" s="38"/>
      <c r="E32" s="35"/>
      <c r="F32" s="35"/>
      <c r="G32" s="35"/>
      <c r="H32" s="37"/>
      <c r="I32" s="37"/>
      <c r="J32" s="38"/>
      <c r="K32" s="33"/>
      <c r="L32" s="33"/>
      <c r="M32" s="33"/>
    </row>
    <row r="33" spans="2:18" ht="16.5" x14ac:dyDescent="0.3">
      <c r="B33" s="30"/>
      <c r="C33" s="30"/>
      <c r="D33" s="38"/>
      <c r="E33" s="100" t="s">
        <v>139</v>
      </c>
      <c r="F33" s="101"/>
      <c r="G33" s="101"/>
      <c r="H33" s="101"/>
      <c r="I33" s="101"/>
      <c r="J33" s="38"/>
      <c r="K33" s="102" t="s">
        <v>140</v>
      </c>
      <c r="L33" s="103"/>
      <c r="M33" s="104"/>
    </row>
    <row r="34" spans="2:18" ht="16.5" x14ac:dyDescent="0.3">
      <c r="B34" s="38"/>
      <c r="C34" s="38"/>
      <c r="D34" s="38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75">
        <v>10105</v>
      </c>
      <c r="F35" s="76" t="s">
        <v>282</v>
      </c>
      <c r="G35" s="51" t="s">
        <v>6</v>
      </c>
      <c r="H35" s="39">
        <v>350</v>
      </c>
      <c r="I35" s="39" t="s">
        <v>93</v>
      </c>
      <c r="J35" s="38"/>
      <c r="K35" s="75">
        <v>11199</v>
      </c>
      <c r="L35" s="75">
        <v>2</v>
      </c>
      <c r="M35" s="89">
        <v>149</v>
      </c>
    </row>
    <row r="36" spans="2:18" ht="16.5" customHeight="1" x14ac:dyDescent="0.25">
      <c r="B36" s="38"/>
      <c r="C36" s="38"/>
      <c r="D36" s="38"/>
      <c r="E36" s="81">
        <v>11043</v>
      </c>
      <c r="F36" s="76" t="s">
        <v>283</v>
      </c>
      <c r="G36" s="51" t="s">
        <v>6</v>
      </c>
      <c r="H36" s="39">
        <v>96.25</v>
      </c>
      <c r="I36" s="39" t="s">
        <v>79</v>
      </c>
      <c r="J36" s="38"/>
      <c r="K36" s="75">
        <v>11141</v>
      </c>
      <c r="L36" s="75">
        <v>7</v>
      </c>
      <c r="M36" s="89">
        <v>1610</v>
      </c>
    </row>
    <row r="37" spans="2:18" ht="16.5" customHeight="1" x14ac:dyDescent="0.25">
      <c r="B37" s="38"/>
      <c r="C37" s="38"/>
      <c r="D37" s="38"/>
      <c r="E37" s="75">
        <v>11050</v>
      </c>
      <c r="F37" s="76" t="s">
        <v>292</v>
      </c>
      <c r="G37" s="51" t="s">
        <v>6</v>
      </c>
      <c r="H37" s="39">
        <v>350</v>
      </c>
      <c r="I37" s="39" t="s">
        <v>66</v>
      </c>
      <c r="J37" s="38"/>
      <c r="K37" s="75"/>
      <c r="L37" s="75"/>
      <c r="M37" s="89"/>
    </row>
    <row r="38" spans="2:18" ht="16.5" customHeight="1" x14ac:dyDescent="0.25">
      <c r="B38" s="38"/>
      <c r="C38" s="38"/>
      <c r="D38" s="38"/>
      <c r="E38" s="75"/>
      <c r="F38" s="76"/>
      <c r="G38" s="51"/>
      <c r="H38" s="39"/>
      <c r="I38" s="39"/>
      <c r="J38" s="38"/>
      <c r="K38" s="75"/>
      <c r="L38" s="75"/>
      <c r="M38" s="89"/>
    </row>
    <row r="39" spans="2:18" ht="16.5" customHeight="1" x14ac:dyDescent="0.25">
      <c r="B39" s="38"/>
      <c r="C39" s="38"/>
      <c r="D39" s="38"/>
      <c r="E39" s="75"/>
      <c r="F39" s="51"/>
      <c r="G39" s="51"/>
      <c r="H39" s="39"/>
      <c r="I39" s="39"/>
      <c r="J39" s="38"/>
      <c r="K39" s="75"/>
      <c r="L39" s="75"/>
      <c r="M39" s="89"/>
    </row>
    <row r="40" spans="2:18" ht="16.5" customHeight="1" x14ac:dyDescent="0.25">
      <c r="B40" s="38"/>
      <c r="C40" s="38"/>
      <c r="D40" s="38"/>
      <c r="E40" s="77"/>
      <c r="F40" s="78"/>
      <c r="G40" s="42"/>
      <c r="H40" s="43"/>
      <c r="I40" s="39"/>
      <c r="J40" s="38"/>
      <c r="K40" s="77"/>
      <c r="L40" s="77"/>
      <c r="M40" s="90"/>
      <c r="Q40" s="1" t="s">
        <v>33</v>
      </c>
      <c r="R40" s="1">
        <f>SUM(R6:R21)</f>
        <v>14</v>
      </c>
    </row>
    <row r="41" spans="2:18" ht="16.5" customHeight="1" x14ac:dyDescent="0.25">
      <c r="B41" s="38"/>
      <c r="C41" s="38"/>
      <c r="D41" s="38"/>
      <c r="E41" s="80"/>
      <c r="F41" s="51"/>
      <c r="G41" s="51"/>
      <c r="H41" s="39"/>
      <c r="I41" s="39"/>
      <c r="J41" s="38"/>
      <c r="K41" s="75"/>
      <c r="L41" s="75"/>
      <c r="M41" s="90"/>
    </row>
    <row r="42" spans="2:18" ht="13.5" x14ac:dyDescent="0.25">
      <c r="B42" s="38"/>
      <c r="C42" s="38"/>
      <c r="D42" s="38"/>
      <c r="E42" s="35"/>
      <c r="F42" s="35"/>
      <c r="G42" s="35"/>
      <c r="H42" s="37"/>
      <c r="I42" s="37"/>
      <c r="J42" s="38"/>
      <c r="K42" s="33"/>
      <c r="L42" s="33"/>
      <c r="M42" s="33"/>
    </row>
    <row r="43" spans="2:18" ht="13.5" x14ac:dyDescent="0.25">
      <c r="B43" s="38"/>
      <c r="C43" s="38"/>
      <c r="D43" s="38"/>
      <c r="E43" s="35"/>
      <c r="F43" s="35"/>
      <c r="G43" s="35"/>
      <c r="H43" s="37"/>
      <c r="I43" s="37"/>
      <c r="J43" s="38"/>
      <c r="K43" s="33"/>
      <c r="L43" s="33"/>
      <c r="M43" s="33"/>
    </row>
    <row r="44" spans="2:18" ht="13.5" x14ac:dyDescent="0.25">
      <c r="B44" s="38"/>
      <c r="C44" s="38"/>
      <c r="D44" s="38"/>
      <c r="E44" s="35"/>
      <c r="F44" s="35"/>
      <c r="G44" s="35"/>
      <c r="H44" s="37"/>
      <c r="I44" s="37"/>
      <c r="J44" s="38"/>
      <c r="K44" s="33"/>
      <c r="L44" s="33"/>
      <c r="M44" s="33"/>
    </row>
    <row r="45" spans="2:18" ht="13.5" x14ac:dyDescent="0.25">
      <c r="B45" s="38"/>
      <c r="C45" s="38"/>
      <c r="D45" s="38"/>
      <c r="E45" s="35"/>
      <c r="F45" s="35"/>
      <c r="G45" s="35"/>
      <c r="H45" s="37"/>
      <c r="I45" s="37"/>
      <c r="J45" s="38"/>
      <c r="K45" s="33"/>
      <c r="L45" s="33"/>
      <c r="M45" s="33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  <x14:dataValidation type="list" allowBlank="1" showInputMessage="1" showErrorMessage="1" xr:uid="{4A9D39F6-9A77-4B1C-A7FB-33BB55CBFC59}">
          <x14:formula1>
            <xm:f>resumo_cx!$P$2:$P$18</xm:f>
          </x14:formula1>
          <xm:sqref>L15:L31</xm:sqref>
        </x14:dataValidation>
        <x14:dataValidation type="list" allowBlank="1" showInputMessage="1" showErrorMessage="1" xr:uid="{7964959A-9873-49D2-B890-FAC213E8E8A3}">
          <x14:formula1>
            <xm:f>base_OS!$A$2:$A$15000</xm:f>
          </x14:formula1>
          <xm:sqref>E6:E22 E26:E31 E35:E41 K35:K41 K15:K31</xm:sqref>
        </x14:dataValidation>
        <x14:dataValidation type="list" allowBlank="1" showInputMessage="1" showErrorMessage="1" xr:uid="{785A6D07-781D-4F76-AFED-B220484140B1}">
          <x14:formula1>
            <xm:f>base!$A$2:$A$5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base!$A$2:$A$8</xm:f>
          </x14:formula1>
          <xm:sqref>G6:G23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V45"/>
  <sheetViews>
    <sheetView showGridLines="0" topLeftCell="A29" zoomScale="90" zoomScaleNormal="90" zoomScaleSheetLayoutView="70" workbookViewId="0">
      <selection activeCell="L1" sqref="L1:M1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'18'!B1+1</f>
        <v>45827</v>
      </c>
      <c r="C1" s="98"/>
      <c r="L1" s="99" t="s">
        <v>143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5" t="s">
        <v>0</v>
      </c>
      <c r="C4" s="26">
        <v>0</v>
      </c>
      <c r="D4" s="58"/>
      <c r="E4" s="108" t="s">
        <v>136</v>
      </c>
      <c r="F4" s="108"/>
      <c r="G4" s="108"/>
      <c r="H4" s="108"/>
      <c r="I4" s="108"/>
      <c r="J4" s="30"/>
      <c r="K4" s="102" t="s">
        <v>137</v>
      </c>
      <c r="L4" s="103"/>
      <c r="M4" s="104"/>
    </row>
    <row r="5" spans="2:18" ht="16.5" x14ac:dyDescent="0.3">
      <c r="B5" s="28" t="s">
        <v>1</v>
      </c>
      <c r="C5" s="29">
        <f>SUMIF(I6:I31,"&gt;0",H6:H31)</f>
        <v>0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18" ht="16.5" x14ac:dyDescent="0.3">
      <c r="B6" s="28" t="s">
        <v>2</v>
      </c>
      <c r="C6" s="29">
        <f>C16</f>
        <v>0</v>
      </c>
      <c r="D6" s="30"/>
      <c r="E6" s="75"/>
      <c r="F6" s="76"/>
      <c r="G6" s="51"/>
      <c r="H6" s="39"/>
      <c r="I6" s="39"/>
      <c r="J6" s="30"/>
      <c r="K6" s="76"/>
      <c r="L6" s="89"/>
      <c r="M6" s="44"/>
      <c r="R6" s="1">
        <f>IF(vend19[[#This Row],[Nº Venda]]&gt;1,1,0)</f>
        <v>0</v>
      </c>
    </row>
    <row r="7" spans="2:18" ht="16.5" x14ac:dyDescent="0.3">
      <c r="B7" s="28" t="s">
        <v>3</v>
      </c>
      <c r="C7" s="29">
        <f>SUM(M6:M11)</f>
        <v>0</v>
      </c>
      <c r="D7" s="30"/>
      <c r="E7" s="75"/>
      <c r="F7" s="76"/>
      <c r="G7" s="51"/>
      <c r="H7" s="39"/>
      <c r="I7" s="39"/>
      <c r="J7" s="30"/>
      <c r="K7" s="76"/>
      <c r="L7" s="89"/>
      <c r="M7" s="44"/>
      <c r="R7" s="1">
        <f>IF(vend19[[#This Row],[Nº Venda]]&gt;1,1,0)</f>
        <v>0</v>
      </c>
    </row>
    <row r="8" spans="2:18" ht="16.5" x14ac:dyDescent="0.3">
      <c r="B8" s="31" t="s">
        <v>21</v>
      </c>
      <c r="C8" s="32">
        <f>SUM(C6:C7)</f>
        <v>0</v>
      </c>
      <c r="D8" s="30"/>
      <c r="E8" s="75"/>
      <c r="F8" s="76"/>
      <c r="G8" s="51"/>
      <c r="H8" s="39"/>
      <c r="I8" s="39"/>
      <c r="J8" s="30"/>
      <c r="K8" s="76"/>
      <c r="L8" s="89"/>
      <c r="M8" s="44"/>
      <c r="R8" s="1">
        <f>IF(vend19[[#This Row],[Nº Venda]]&gt;1,1,0)</f>
        <v>0</v>
      </c>
    </row>
    <row r="9" spans="2:18" ht="16.5" x14ac:dyDescent="0.3">
      <c r="B9" s="27"/>
      <c r="C9" s="27"/>
      <c r="D9" s="30"/>
      <c r="E9" s="75"/>
      <c r="F9" s="76"/>
      <c r="G9" s="51"/>
      <c r="H9" s="39"/>
      <c r="I9" s="39"/>
      <c r="J9" s="30"/>
      <c r="K9" s="76"/>
      <c r="L9" s="89"/>
      <c r="M9" s="44"/>
      <c r="R9" s="1">
        <f>IF(vend19[[#This Row],[Nº Venda]]&gt;1,1,0)</f>
        <v>0</v>
      </c>
    </row>
    <row r="10" spans="2:18" ht="16.5" x14ac:dyDescent="0.3">
      <c r="B10" s="109" t="s">
        <v>5</v>
      </c>
      <c r="C10" s="110"/>
      <c r="D10" s="30"/>
      <c r="E10" s="75"/>
      <c r="F10" s="76"/>
      <c r="G10" s="51"/>
      <c r="H10" s="39"/>
      <c r="I10" s="39"/>
      <c r="J10" s="30"/>
      <c r="K10" s="76"/>
      <c r="L10" s="89"/>
      <c r="M10" s="44"/>
      <c r="R10" s="1">
        <f>IF(vend19[[#This Row],[Nº Venda]]&gt;1,1,0)</f>
        <v>0</v>
      </c>
    </row>
    <row r="11" spans="2:18" ht="16.5" x14ac:dyDescent="0.3">
      <c r="B11" s="28" t="s">
        <v>6</v>
      </c>
      <c r="C11" s="69">
        <f>(SUMIF($G$2:$G$31,B11,$I$2:$I$31))+(SUMIF($G$35:$G$41,B11,$H$35:$H$41))</f>
        <v>0</v>
      </c>
      <c r="D11" s="30"/>
      <c r="E11" s="75"/>
      <c r="F11" s="76"/>
      <c r="G11" s="51"/>
      <c r="H11" s="39"/>
      <c r="I11" s="39"/>
      <c r="J11" s="30"/>
      <c r="K11" s="38"/>
      <c r="L11" s="89"/>
      <c r="M11" s="44"/>
      <c r="O11" s="1">
        <f>IF(C16=0,0,1)</f>
        <v>0</v>
      </c>
      <c r="R11" s="1">
        <f>IF(vend19[[#This Row],[Nº Venda]]&gt;1,1,0)</f>
        <v>0</v>
      </c>
    </row>
    <row r="12" spans="2:18" ht="16.5" x14ac:dyDescent="0.3">
      <c r="B12" s="28" t="s">
        <v>7</v>
      </c>
      <c r="C12" s="69">
        <f t="shared" ref="C12:C15" si="0">(SUMIF($G$2:$G$31,B12,$I$2:$I$31))+(SUMIF($G$35:$G$41,B12,$H$35:$H$41))</f>
        <v>0</v>
      </c>
      <c r="D12" s="30"/>
      <c r="E12" s="75"/>
      <c r="F12" s="76"/>
      <c r="G12" s="51"/>
      <c r="H12" s="39"/>
      <c r="I12" s="39"/>
      <c r="J12" s="30"/>
      <c r="K12" s="33"/>
      <c r="L12" s="33"/>
      <c r="M12" s="33"/>
      <c r="R12" s="1">
        <f>IF(vend19[[#This Row],[Nº Venda]]&gt;1,1,0)</f>
        <v>0</v>
      </c>
    </row>
    <row r="13" spans="2:18" ht="16.5" x14ac:dyDescent="0.3">
      <c r="B13" s="28" t="s">
        <v>8</v>
      </c>
      <c r="C13" s="69">
        <f t="shared" si="0"/>
        <v>0</v>
      </c>
      <c r="D13" s="30"/>
      <c r="E13" s="75"/>
      <c r="F13" s="76"/>
      <c r="G13" s="51"/>
      <c r="H13" s="39"/>
      <c r="I13" s="39"/>
      <c r="J13" s="30"/>
      <c r="K13" s="102" t="s">
        <v>141</v>
      </c>
      <c r="L13" s="103"/>
      <c r="M13" s="104"/>
      <c r="R13" s="1">
        <f>IF(vend19[[#This Row],[Nº Venda]]&gt;1,1,0)</f>
        <v>0</v>
      </c>
    </row>
    <row r="14" spans="2:18" ht="16.5" x14ac:dyDescent="0.3">
      <c r="B14" s="28" t="s">
        <v>9</v>
      </c>
      <c r="C14" s="69">
        <f t="shared" si="0"/>
        <v>0</v>
      </c>
      <c r="D14" s="30"/>
      <c r="E14" s="75"/>
      <c r="F14" s="76"/>
      <c r="G14" s="51"/>
      <c r="H14" s="39"/>
      <c r="I14" s="39"/>
      <c r="J14" s="30"/>
      <c r="K14" s="22" t="s">
        <v>22</v>
      </c>
      <c r="L14" s="23" t="s">
        <v>23</v>
      </c>
      <c r="M14" s="24" t="s">
        <v>24</v>
      </c>
      <c r="R14" s="1">
        <f>IF(vend19[[#This Row],[Nº Venda]]&gt;1,1,0)</f>
        <v>0</v>
      </c>
    </row>
    <row r="15" spans="2:18" ht="16.5" x14ac:dyDescent="0.3">
      <c r="B15" s="28" t="s">
        <v>10</v>
      </c>
      <c r="C15" s="69">
        <f t="shared" si="0"/>
        <v>0</v>
      </c>
      <c r="D15" s="30"/>
      <c r="E15" s="75"/>
      <c r="F15" s="76"/>
      <c r="G15" s="51"/>
      <c r="H15" s="39"/>
      <c r="I15" s="39"/>
      <c r="J15" s="30"/>
      <c r="K15" s="75"/>
      <c r="L15" s="89"/>
      <c r="M15" s="44"/>
      <c r="R15" s="1">
        <f>IF(vend19[[#This Row],[Nº Venda]]&gt;1,1,0)</f>
        <v>0</v>
      </c>
    </row>
    <row r="16" spans="2:18" ht="16.5" x14ac:dyDescent="0.3">
      <c r="B16" s="31" t="s">
        <v>11</v>
      </c>
      <c r="C16" s="70">
        <f>SUM(C11:C15)</f>
        <v>0</v>
      </c>
      <c r="D16" s="30"/>
      <c r="E16" s="75"/>
      <c r="F16" s="76"/>
      <c r="G16" s="51"/>
      <c r="H16" s="39"/>
      <c r="I16" s="39"/>
      <c r="J16" s="30"/>
      <c r="K16" s="75"/>
      <c r="L16" s="89"/>
      <c r="M16" s="44"/>
      <c r="R16" s="1">
        <f>IF(vend19[[#This Row],[Nº Venda]]&gt;1,1,0)</f>
        <v>0</v>
      </c>
    </row>
    <row r="17" spans="2:22" ht="16.5" x14ac:dyDescent="0.3">
      <c r="B17" s="27"/>
      <c r="C17" s="27"/>
      <c r="D17" s="30"/>
      <c r="E17" s="75"/>
      <c r="F17" s="76"/>
      <c r="G17" s="51"/>
      <c r="H17" s="39"/>
      <c r="I17" s="39"/>
      <c r="J17" s="30"/>
      <c r="K17" s="75"/>
      <c r="L17" s="89"/>
      <c r="M17" s="44"/>
      <c r="R17" s="1">
        <f>IF(vend19[[#This Row],[Nº Venda]]&gt;1,1,0)</f>
        <v>0</v>
      </c>
    </row>
    <row r="18" spans="2:22" ht="16.5" x14ac:dyDescent="0.3">
      <c r="B18" s="109" t="s">
        <v>12</v>
      </c>
      <c r="C18" s="110"/>
      <c r="D18" s="30"/>
      <c r="E18" s="75"/>
      <c r="F18" s="76"/>
      <c r="G18" s="51"/>
      <c r="H18" s="39"/>
      <c r="I18" s="39"/>
      <c r="J18" s="30"/>
      <c r="K18" s="75"/>
      <c r="L18" s="89"/>
      <c r="M18" s="44"/>
      <c r="R18" s="1">
        <f>IF(vend19[[#This Row],[Nº Venda]]&gt;1,1,0)</f>
        <v>0</v>
      </c>
    </row>
    <row r="19" spans="2:22" ht="16.5" x14ac:dyDescent="0.3">
      <c r="B19" s="28">
        <f>COUNT(entr_carn19[OS])</f>
        <v>0</v>
      </c>
      <c r="C19" s="69">
        <f>SUM(entr_carn19[Valor Total])</f>
        <v>0</v>
      </c>
      <c r="D19" s="30"/>
      <c r="E19" s="75"/>
      <c r="F19" s="76"/>
      <c r="G19" s="51"/>
      <c r="H19" s="39"/>
      <c r="I19" s="39"/>
      <c r="J19" s="30"/>
      <c r="K19" s="75"/>
      <c r="L19" s="89"/>
      <c r="M19" s="44"/>
      <c r="R19" s="1">
        <f>IF(vend19[[#This Row],[Nº Venda]]&gt;1,1,0)</f>
        <v>0</v>
      </c>
    </row>
    <row r="20" spans="2:22" ht="16.5" x14ac:dyDescent="0.3">
      <c r="B20" s="31" t="s">
        <v>11</v>
      </c>
      <c r="C20" s="70">
        <f>SUM(C19:C19)</f>
        <v>0</v>
      </c>
      <c r="D20" s="30"/>
      <c r="E20" s="75"/>
      <c r="F20" s="51"/>
      <c r="G20" s="51"/>
      <c r="H20" s="39"/>
      <c r="I20" s="39"/>
      <c r="J20" s="30"/>
      <c r="K20" s="75"/>
      <c r="L20" s="89"/>
      <c r="M20" s="44"/>
      <c r="R20" s="1">
        <f>IF(vend19[[#This Row],[Nº Venda]]&gt;1,1,0)</f>
        <v>0</v>
      </c>
      <c r="V20" s="1" t="s">
        <v>54</v>
      </c>
    </row>
    <row r="21" spans="2:22" ht="16.5" x14ac:dyDescent="0.3">
      <c r="B21" s="27"/>
      <c r="C21" s="27"/>
      <c r="D21" s="30"/>
      <c r="E21" s="75"/>
      <c r="F21" s="76"/>
      <c r="G21" s="51"/>
      <c r="H21" s="39"/>
      <c r="I21" s="39"/>
      <c r="J21" s="30"/>
      <c r="K21" s="75"/>
      <c r="L21" s="89"/>
      <c r="M21" s="44"/>
    </row>
    <row r="22" spans="2:22" ht="16.5" x14ac:dyDescent="0.3">
      <c r="B22" s="31" t="s">
        <v>25</v>
      </c>
      <c r="C22" s="34">
        <f>C5</f>
        <v>0</v>
      </c>
      <c r="D22" s="30"/>
      <c r="E22" s="77"/>
      <c r="F22" s="76"/>
      <c r="G22" s="51"/>
      <c r="H22" s="39"/>
      <c r="I22" s="39"/>
      <c r="J22" s="30"/>
      <c r="K22" s="75"/>
      <c r="L22" s="89"/>
      <c r="M22" s="44"/>
    </row>
    <row r="23" spans="2:22" ht="16.5" x14ac:dyDescent="0.3">
      <c r="B23" s="30"/>
      <c r="C23" s="30"/>
      <c r="D23" s="30"/>
      <c r="E23" s="35"/>
      <c r="F23" s="35"/>
      <c r="G23" s="35"/>
      <c r="H23" s="36"/>
      <c r="I23" s="37"/>
      <c r="J23" s="30"/>
      <c r="K23" s="75"/>
      <c r="L23" s="89"/>
      <c r="M23" s="44"/>
    </row>
    <row r="24" spans="2:22" ht="16.5" x14ac:dyDescent="0.3">
      <c r="B24" s="30"/>
      <c r="C24" s="30"/>
      <c r="D24" s="30"/>
      <c r="E24" s="100" t="s">
        <v>138</v>
      </c>
      <c r="F24" s="101"/>
      <c r="G24" s="101"/>
      <c r="H24" s="101"/>
      <c r="I24" s="101"/>
      <c r="J24" s="30"/>
      <c r="K24" s="75"/>
      <c r="L24" s="89"/>
      <c r="M24" s="44"/>
    </row>
    <row r="25" spans="2:22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5"/>
      <c r="L25" s="89"/>
      <c r="M25" s="44"/>
    </row>
    <row r="26" spans="2:22" ht="16.5" x14ac:dyDescent="0.3">
      <c r="B26" s="30"/>
      <c r="C26" s="30"/>
      <c r="D26" s="30"/>
      <c r="E26" s="75"/>
      <c r="F26" s="51"/>
      <c r="G26" s="51"/>
      <c r="H26" s="39"/>
      <c r="I26" s="39"/>
      <c r="J26" s="30"/>
      <c r="K26" s="75"/>
      <c r="L26" s="89"/>
      <c r="M26" s="44"/>
    </row>
    <row r="27" spans="2:22" ht="16.5" x14ac:dyDescent="0.3">
      <c r="B27" s="30"/>
      <c r="C27" s="30"/>
      <c r="D27" s="30"/>
      <c r="E27" s="75"/>
      <c r="F27" s="76"/>
      <c r="G27" s="51"/>
      <c r="H27" s="39"/>
      <c r="I27" s="39"/>
      <c r="J27" s="30"/>
      <c r="K27" s="75"/>
      <c r="L27" s="89"/>
      <c r="M27" s="44"/>
    </row>
    <row r="28" spans="2:22" ht="16.5" x14ac:dyDescent="0.3">
      <c r="B28" s="30"/>
      <c r="C28" s="30"/>
      <c r="D28" s="30"/>
      <c r="E28" s="75"/>
      <c r="F28" s="76"/>
      <c r="G28" s="51"/>
      <c r="H28" s="39"/>
      <c r="I28" s="39"/>
      <c r="J28" s="30"/>
      <c r="K28" s="75"/>
      <c r="L28" s="89"/>
      <c r="M28" s="44"/>
    </row>
    <row r="29" spans="2:22" ht="16.5" x14ac:dyDescent="0.3">
      <c r="B29" s="30"/>
      <c r="C29" s="30"/>
      <c r="D29" s="30"/>
      <c r="E29" s="75"/>
      <c r="F29" s="76"/>
      <c r="G29" s="51"/>
      <c r="H29" s="51"/>
      <c r="I29" s="39"/>
      <c r="J29" s="30"/>
      <c r="K29" s="75"/>
      <c r="L29" s="89"/>
      <c r="M29" s="44"/>
    </row>
    <row r="30" spans="2:22" ht="16.5" x14ac:dyDescent="0.3">
      <c r="B30" s="30"/>
      <c r="C30" s="30"/>
      <c r="D30" s="30"/>
      <c r="E30" s="75"/>
      <c r="F30" s="76"/>
      <c r="G30" s="51"/>
      <c r="H30" s="39"/>
      <c r="I30" s="39"/>
      <c r="J30" s="30"/>
      <c r="K30" s="75"/>
      <c r="L30" s="89"/>
      <c r="M30" s="44"/>
    </row>
    <row r="31" spans="2:22" ht="16.5" x14ac:dyDescent="0.3">
      <c r="B31" s="30"/>
      <c r="C31" s="30"/>
      <c r="D31" s="30"/>
      <c r="E31" s="77"/>
      <c r="F31" s="78"/>
      <c r="G31" s="42"/>
      <c r="H31" s="43"/>
      <c r="I31" s="43"/>
      <c r="J31" s="30"/>
      <c r="K31" s="75"/>
      <c r="L31" s="89"/>
      <c r="M31" s="44"/>
    </row>
    <row r="32" spans="2:22" ht="16.5" x14ac:dyDescent="0.3">
      <c r="B32" s="30"/>
      <c r="C32" s="30"/>
      <c r="D32" s="38"/>
      <c r="E32" s="35"/>
      <c r="F32" s="35"/>
      <c r="G32" s="35"/>
      <c r="H32" s="37"/>
      <c r="I32" s="37"/>
      <c r="J32" s="38"/>
      <c r="K32" s="33"/>
      <c r="L32" s="33"/>
      <c r="M32" s="33"/>
    </row>
    <row r="33" spans="2:18" ht="16.5" x14ac:dyDescent="0.3">
      <c r="B33" s="30"/>
      <c r="C33" s="30"/>
      <c r="D33" s="38"/>
      <c r="E33" s="100" t="s">
        <v>139</v>
      </c>
      <c r="F33" s="101"/>
      <c r="G33" s="101"/>
      <c r="H33" s="101"/>
      <c r="I33" s="101"/>
      <c r="J33" s="38"/>
      <c r="K33" s="102" t="s">
        <v>140</v>
      </c>
      <c r="L33" s="103"/>
      <c r="M33" s="104"/>
    </row>
    <row r="34" spans="2:18" ht="16.5" x14ac:dyDescent="0.3">
      <c r="B34" s="38"/>
      <c r="C34" s="38"/>
      <c r="D34" s="38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75"/>
      <c r="F35" s="76"/>
      <c r="G35" s="51"/>
      <c r="H35" s="39"/>
      <c r="I35" s="39"/>
      <c r="J35" s="38"/>
      <c r="K35" s="75"/>
      <c r="L35" s="75"/>
      <c r="M35" s="89"/>
    </row>
    <row r="36" spans="2:18" ht="16.5" customHeight="1" x14ac:dyDescent="0.25">
      <c r="B36" s="38"/>
      <c r="C36" s="38"/>
      <c r="D36" s="38"/>
      <c r="E36" s="81"/>
      <c r="F36" s="76"/>
      <c r="G36" s="51"/>
      <c r="H36" s="39"/>
      <c r="I36" s="39"/>
      <c r="J36" s="38"/>
      <c r="K36" s="75"/>
      <c r="L36" s="75"/>
      <c r="M36" s="89"/>
    </row>
    <row r="37" spans="2:18" ht="16.5" customHeight="1" x14ac:dyDescent="0.25">
      <c r="B37" s="38"/>
      <c r="C37" s="38"/>
      <c r="D37" s="38"/>
      <c r="E37" s="75"/>
      <c r="F37" s="76"/>
      <c r="G37" s="51"/>
      <c r="H37" s="39"/>
      <c r="I37" s="39"/>
      <c r="J37" s="38"/>
      <c r="K37" s="75"/>
      <c r="L37" s="75"/>
      <c r="M37" s="89"/>
    </row>
    <row r="38" spans="2:18" ht="16.5" customHeight="1" x14ac:dyDescent="0.25">
      <c r="B38" s="38"/>
      <c r="C38" s="38"/>
      <c r="D38" s="38"/>
      <c r="E38" s="75"/>
      <c r="F38" s="76"/>
      <c r="G38" s="51"/>
      <c r="H38" s="39"/>
      <c r="I38" s="39"/>
      <c r="J38" s="38"/>
      <c r="K38" s="75"/>
      <c r="L38" s="75"/>
      <c r="M38" s="89"/>
    </row>
    <row r="39" spans="2:18" ht="16.5" customHeight="1" x14ac:dyDescent="0.25">
      <c r="B39" s="38"/>
      <c r="C39" s="38"/>
      <c r="D39" s="38"/>
      <c r="E39" s="75"/>
      <c r="F39" s="51"/>
      <c r="G39" s="51"/>
      <c r="H39" s="39"/>
      <c r="I39" s="39"/>
      <c r="J39" s="38"/>
      <c r="K39" s="75"/>
      <c r="L39" s="75"/>
      <c r="M39" s="89"/>
    </row>
    <row r="40" spans="2:18" ht="16.5" customHeight="1" x14ac:dyDescent="0.25">
      <c r="B40" s="38"/>
      <c r="C40" s="38"/>
      <c r="D40" s="38"/>
      <c r="E40" s="77"/>
      <c r="F40" s="78"/>
      <c r="G40" s="42"/>
      <c r="H40" s="43"/>
      <c r="I40" s="39"/>
      <c r="J40" s="38"/>
      <c r="K40" s="77"/>
      <c r="L40" s="77"/>
      <c r="M40" s="90"/>
      <c r="Q40" s="1" t="s">
        <v>33</v>
      </c>
      <c r="R40" s="1">
        <f>SUM(R6:R21)</f>
        <v>0</v>
      </c>
    </row>
    <row r="41" spans="2:18" ht="16.5" customHeight="1" x14ac:dyDescent="0.25">
      <c r="B41" s="38"/>
      <c r="C41" s="38"/>
      <c r="D41" s="38"/>
      <c r="E41" s="80"/>
      <c r="F41" s="51"/>
      <c r="G41" s="51"/>
      <c r="H41" s="39"/>
      <c r="I41" s="39"/>
      <c r="J41" s="38"/>
      <c r="K41" s="75"/>
      <c r="L41" s="75"/>
      <c r="M41" s="90"/>
    </row>
    <row r="42" spans="2:18" ht="13.5" x14ac:dyDescent="0.25">
      <c r="B42" s="38"/>
      <c r="C42" s="38"/>
      <c r="D42" s="38"/>
      <c r="E42" s="35"/>
      <c r="F42" s="35"/>
      <c r="G42" s="35"/>
      <c r="H42" s="37"/>
      <c r="I42" s="37"/>
      <c r="J42" s="38"/>
      <c r="K42" s="33"/>
      <c r="L42" s="33"/>
      <c r="M42" s="33"/>
    </row>
    <row r="43" spans="2:18" ht="13.5" x14ac:dyDescent="0.25">
      <c r="B43" s="38"/>
      <c r="C43" s="38"/>
      <c r="D43" s="38"/>
      <c r="E43" s="35"/>
      <c r="F43" s="35"/>
      <c r="G43" s="35"/>
      <c r="H43" s="37"/>
      <c r="I43" s="37"/>
      <c r="J43" s="38"/>
      <c r="K43" s="33"/>
      <c r="L43" s="33"/>
      <c r="M43" s="33"/>
    </row>
    <row r="44" spans="2:18" ht="13.5" x14ac:dyDescent="0.25">
      <c r="B44" s="38"/>
      <c r="C44" s="38"/>
      <c r="D44" s="38"/>
      <c r="E44" s="35"/>
      <c r="F44" s="35"/>
      <c r="G44" s="35"/>
      <c r="H44" s="37"/>
      <c r="I44" s="37"/>
      <c r="J44" s="38"/>
      <c r="K44" s="33"/>
      <c r="L44" s="33"/>
      <c r="M44" s="33"/>
    </row>
    <row r="45" spans="2:18" ht="13.5" x14ac:dyDescent="0.25">
      <c r="B45" s="38"/>
      <c r="C45" s="38"/>
      <c r="D45" s="38"/>
      <c r="E45" s="35"/>
      <c r="F45" s="35"/>
      <c r="G45" s="35"/>
      <c r="H45" s="37"/>
      <c r="I45" s="37"/>
      <c r="J45" s="38"/>
      <c r="K45" s="33"/>
      <c r="L45" s="33"/>
      <c r="M45" s="33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8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  <x14:dataValidation type="list" allowBlank="1" showInputMessage="1" showErrorMessage="1" xr:uid="{A8ECB4BC-7BB5-40B4-A410-6559EC63526E}">
          <x14:formula1>
            <xm:f>resumo_cx!$P$2:$P$18</xm:f>
          </x14:formula1>
          <xm:sqref>L15:L31</xm:sqref>
        </x14:dataValidation>
        <x14:dataValidation type="list" allowBlank="1" showInputMessage="1" showErrorMessage="1" xr:uid="{4DF32D9C-ABDB-47AE-9A53-9DB800CC8075}">
          <x14:formula1>
            <xm:f>base_OS!$A$2:$A$15000</xm:f>
          </x14:formula1>
          <xm:sqref>E6:E22 E26:E31 E35:E41 K35:K41 K15:K31</xm:sqref>
        </x14:dataValidation>
        <x14:dataValidation type="list" allowBlank="1" showInputMessage="1" showErrorMessage="1" xr:uid="{E55B2DC7-1842-4C90-945B-7820B2C63E70}">
          <x14:formula1>
            <xm:f>base!$A$2:$A$5</xm:f>
          </x14:formula1>
          <xm:sqref>G35:G41 G30:G31 G26:G28 H29</xm:sqref>
        </x14:dataValidation>
        <x14:dataValidation type="list" allowBlank="1" showInputMessage="1" showErrorMessage="1" xr:uid="{E8E38C9D-005E-41B9-810F-BB230AC9AE3C}">
          <x14:formula1>
            <xm:f>base!$A$2:$A$8</xm:f>
          </x14:formula1>
          <xm:sqref>G6:G22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5"/>
  <sheetViews>
    <sheetView showGridLines="0" view="pageBreakPreview" topLeftCell="A6" zoomScale="60" zoomScaleNormal="90" workbookViewId="0">
      <selection activeCell="I18" sqref="I18"/>
    </sheetView>
  </sheetViews>
  <sheetFormatPr defaultColWidth="9.140625" defaultRowHeight="12.75" x14ac:dyDescent="0.2"/>
  <cols>
    <col min="1" max="1" width="3.7109375" style="1" customWidth="1"/>
    <col min="2" max="2" width="28.710937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43.4257812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7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11">
        <f>'19'!B1+1</f>
        <v>45828</v>
      </c>
      <c r="C1" s="111"/>
      <c r="L1" s="99" t="s">
        <v>143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5" t="s">
        <v>0</v>
      </c>
      <c r="C4" s="26">
        <v>0</v>
      </c>
      <c r="D4" s="58"/>
      <c r="E4" s="108" t="s">
        <v>136</v>
      </c>
      <c r="F4" s="108"/>
      <c r="G4" s="108"/>
      <c r="H4" s="108"/>
      <c r="I4" s="108"/>
      <c r="J4" s="30"/>
      <c r="K4" s="102" t="s">
        <v>137</v>
      </c>
      <c r="L4" s="103"/>
      <c r="M4" s="104"/>
    </row>
    <row r="5" spans="2:18" ht="16.5" x14ac:dyDescent="0.3">
      <c r="B5" s="28" t="s">
        <v>1</v>
      </c>
      <c r="C5" s="29">
        <f>SUMIF(I6:I31,"&gt;0",H6:H31)</f>
        <v>6622.65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18" ht="16.5" x14ac:dyDescent="0.3">
      <c r="B6" s="28" t="s">
        <v>2</v>
      </c>
      <c r="C6" s="29">
        <f>C16</f>
        <v>6264.3099999999995</v>
      </c>
      <c r="D6" s="30"/>
      <c r="E6" s="75">
        <v>11240</v>
      </c>
      <c r="F6" s="76" t="s">
        <v>293</v>
      </c>
      <c r="G6" s="51" t="s">
        <v>10</v>
      </c>
      <c r="H6" s="39">
        <v>120</v>
      </c>
      <c r="I6" s="39">
        <v>120</v>
      </c>
      <c r="J6" s="30"/>
      <c r="K6" s="76" t="s">
        <v>161</v>
      </c>
      <c r="L6" s="89" t="s">
        <v>10</v>
      </c>
      <c r="M6" s="44">
        <v>3.56</v>
      </c>
      <c r="R6" s="1">
        <f>IF(vend20[[#This Row],[Nº Venda]]&gt;1,1,0)</f>
        <v>1</v>
      </c>
    </row>
    <row r="7" spans="2:18" ht="16.5" x14ac:dyDescent="0.3">
      <c r="B7" s="28" t="s">
        <v>3</v>
      </c>
      <c r="C7" s="29">
        <f>SUM(M6:M11)</f>
        <v>3.56</v>
      </c>
      <c r="D7" s="30"/>
      <c r="E7" s="75">
        <v>11241</v>
      </c>
      <c r="F7" s="76" t="s">
        <v>294</v>
      </c>
      <c r="G7" s="51" t="s">
        <v>10</v>
      </c>
      <c r="H7" s="39">
        <v>1350</v>
      </c>
      <c r="I7" s="39">
        <v>1350</v>
      </c>
      <c r="J7" s="30"/>
      <c r="K7" s="76"/>
      <c r="L7" s="89"/>
      <c r="M7" s="44" t="s">
        <v>297</v>
      </c>
      <c r="R7" s="1">
        <f>IF(vend20[[#This Row],[Nº Venda]]&gt;1,1,0)</f>
        <v>1</v>
      </c>
    </row>
    <row r="8" spans="2:18" ht="16.5" x14ac:dyDescent="0.3">
      <c r="B8" s="31" t="s">
        <v>21</v>
      </c>
      <c r="C8" s="32">
        <f>SUM(C6:C7)</f>
        <v>6267.87</v>
      </c>
      <c r="D8" s="30"/>
      <c r="E8" s="75">
        <v>11242</v>
      </c>
      <c r="F8" s="76" t="s">
        <v>294</v>
      </c>
      <c r="G8" s="51" t="s">
        <v>10</v>
      </c>
      <c r="H8" s="39">
        <v>150</v>
      </c>
      <c r="I8" s="39">
        <v>150</v>
      </c>
      <c r="J8" s="30"/>
      <c r="K8" s="76"/>
      <c r="L8" s="89"/>
      <c r="M8" s="44"/>
      <c r="R8" s="1">
        <f>IF(vend20[[#This Row],[Nº Venda]]&gt;1,1,0)</f>
        <v>1</v>
      </c>
    </row>
    <row r="9" spans="2:18" ht="16.5" x14ac:dyDescent="0.3">
      <c r="B9" s="27"/>
      <c r="C9" s="27"/>
      <c r="D9" s="30"/>
      <c r="E9" s="75">
        <v>11243</v>
      </c>
      <c r="F9" s="76" t="s">
        <v>295</v>
      </c>
      <c r="G9" s="51" t="s">
        <v>8</v>
      </c>
      <c r="H9" s="39">
        <v>190</v>
      </c>
      <c r="I9" s="39">
        <v>190</v>
      </c>
      <c r="J9" s="30"/>
      <c r="K9" s="76"/>
      <c r="L9" s="89"/>
      <c r="M9" s="44"/>
      <c r="R9" s="1">
        <f>IF(vend20[[#This Row],[Nº Venda]]&gt;1,1,0)</f>
        <v>1</v>
      </c>
    </row>
    <row r="10" spans="2:18" ht="16.5" x14ac:dyDescent="0.3">
      <c r="B10" s="109" t="s">
        <v>5</v>
      </c>
      <c r="C10" s="110"/>
      <c r="D10" s="30"/>
      <c r="E10" s="75">
        <v>11244</v>
      </c>
      <c r="F10" s="76" t="s">
        <v>296</v>
      </c>
      <c r="G10" s="51" t="s">
        <v>7</v>
      </c>
      <c r="H10" s="39">
        <v>196.65</v>
      </c>
      <c r="I10" s="39">
        <v>196.65</v>
      </c>
      <c r="J10" s="30"/>
      <c r="K10" s="76"/>
      <c r="L10" s="89"/>
      <c r="M10" s="44"/>
      <c r="R10" s="1">
        <f>IF(vend20[[#This Row],[Nº Venda]]&gt;1,1,0)</f>
        <v>1</v>
      </c>
    </row>
    <row r="11" spans="2:18" ht="16.5" x14ac:dyDescent="0.3">
      <c r="B11" s="28" t="s">
        <v>6</v>
      </c>
      <c r="C11" s="69">
        <f>(SUMIF($G$2:$G$31,B11,$I$2:$I$31))+(SUMIF($G$35:$G$41,B11,$H$35:$H$41))</f>
        <v>0</v>
      </c>
      <c r="D11" s="30"/>
      <c r="E11" s="75">
        <v>11245</v>
      </c>
      <c r="F11" s="76" t="s">
        <v>300</v>
      </c>
      <c r="G11" s="51" t="s">
        <v>10</v>
      </c>
      <c r="H11" s="39">
        <v>799</v>
      </c>
      <c r="I11" s="39">
        <v>50</v>
      </c>
      <c r="J11" s="30"/>
      <c r="K11" s="38"/>
      <c r="L11" s="89"/>
      <c r="M11" s="44"/>
      <c r="O11" s="1">
        <f>IF(C16=0,0,1)</f>
        <v>1</v>
      </c>
      <c r="R11" s="1">
        <f>IF(vend20[[#This Row],[Nº Venda]]&gt;1,1,0)</f>
        <v>1</v>
      </c>
    </row>
    <row r="12" spans="2:18" ht="16.5" x14ac:dyDescent="0.3">
      <c r="B12" s="28" t="s">
        <v>7</v>
      </c>
      <c r="C12" s="69">
        <f t="shared" ref="C12:C15" si="0">(SUMIF($G$2:$G$31,B12,$I$2:$I$31))+(SUMIF($G$35:$G$41,B12,$H$35:$H$41))</f>
        <v>790.65</v>
      </c>
      <c r="D12" s="30"/>
      <c r="E12" s="75">
        <v>11246</v>
      </c>
      <c r="F12" s="76" t="s">
        <v>301</v>
      </c>
      <c r="G12" s="51" t="s">
        <v>8</v>
      </c>
      <c r="H12" s="39">
        <v>900</v>
      </c>
      <c r="I12" s="39">
        <v>900</v>
      </c>
      <c r="J12" s="30"/>
      <c r="K12" s="33"/>
      <c r="L12" s="33"/>
      <c r="M12" s="33"/>
      <c r="R12" s="1">
        <f>IF(vend20[[#This Row],[Nº Venda]]&gt;1,1,0)</f>
        <v>1</v>
      </c>
    </row>
    <row r="13" spans="2:18" ht="16.5" x14ac:dyDescent="0.3">
      <c r="B13" s="28" t="s">
        <v>8</v>
      </c>
      <c r="C13" s="69">
        <f t="shared" si="0"/>
        <v>3009</v>
      </c>
      <c r="D13" s="30"/>
      <c r="E13" s="75">
        <v>11247</v>
      </c>
      <c r="F13" s="76" t="s">
        <v>302</v>
      </c>
      <c r="G13" s="51" t="s">
        <v>10</v>
      </c>
      <c r="H13" s="39">
        <v>698</v>
      </c>
      <c r="I13" s="39">
        <v>698</v>
      </c>
      <c r="J13" s="30"/>
      <c r="K13" s="102" t="s">
        <v>141</v>
      </c>
      <c r="L13" s="103"/>
      <c r="M13" s="104"/>
      <c r="R13" s="1">
        <f>IF(vend20[[#This Row],[Nº Venda]]&gt;1,1,0)</f>
        <v>1</v>
      </c>
    </row>
    <row r="14" spans="2:18" ht="16.5" x14ac:dyDescent="0.3">
      <c r="B14" s="28" t="s">
        <v>9</v>
      </c>
      <c r="C14" s="69">
        <f t="shared" si="0"/>
        <v>0</v>
      </c>
      <c r="D14" s="30"/>
      <c r="E14" s="75">
        <v>11248</v>
      </c>
      <c r="F14" s="76" t="s">
        <v>305</v>
      </c>
      <c r="G14" s="51" t="s">
        <v>8</v>
      </c>
      <c r="H14" s="39">
        <v>290</v>
      </c>
      <c r="I14" s="39">
        <v>290</v>
      </c>
      <c r="J14" s="30"/>
      <c r="K14" s="22" t="s">
        <v>22</v>
      </c>
      <c r="L14" s="23" t="s">
        <v>23</v>
      </c>
      <c r="M14" s="24" t="s">
        <v>24</v>
      </c>
      <c r="R14" s="1">
        <f>IF(vend20[[#This Row],[Nº Venda]]&gt;1,1,0)</f>
        <v>1</v>
      </c>
    </row>
    <row r="15" spans="2:18" ht="16.5" x14ac:dyDescent="0.3">
      <c r="B15" s="28" t="s">
        <v>10</v>
      </c>
      <c r="C15" s="69">
        <f t="shared" si="0"/>
        <v>2464.66</v>
      </c>
      <c r="D15" s="30"/>
      <c r="E15" s="75">
        <v>11249</v>
      </c>
      <c r="F15" s="76" t="s">
        <v>303</v>
      </c>
      <c r="G15" s="51" t="s">
        <v>8</v>
      </c>
      <c r="H15" s="39">
        <v>1929</v>
      </c>
      <c r="I15" s="39">
        <v>1629</v>
      </c>
      <c r="J15" s="30"/>
      <c r="K15" s="75">
        <v>11005</v>
      </c>
      <c r="L15" s="89" t="s">
        <v>130</v>
      </c>
      <c r="M15" s="44" t="s">
        <v>146</v>
      </c>
      <c r="R15" s="1">
        <f>IF(vend20[[#This Row],[Nº Venda]]&gt;1,1,0)</f>
        <v>1</v>
      </c>
    </row>
    <row r="16" spans="2:18" ht="16.5" x14ac:dyDescent="0.3">
      <c r="B16" s="31" t="s">
        <v>11</v>
      </c>
      <c r="C16" s="70">
        <f>SUM(C11:C15)</f>
        <v>6264.3099999999995</v>
      </c>
      <c r="D16" s="30"/>
      <c r="E16" s="75">
        <v>11249</v>
      </c>
      <c r="F16" s="76" t="s">
        <v>303</v>
      </c>
      <c r="G16" s="51" t="s">
        <v>7</v>
      </c>
      <c r="H16" s="39">
        <v>0</v>
      </c>
      <c r="I16" s="39">
        <v>300</v>
      </c>
      <c r="J16" s="30"/>
      <c r="K16" s="75">
        <v>11105</v>
      </c>
      <c r="L16" s="89" t="s">
        <v>130</v>
      </c>
      <c r="M16" s="44" t="s">
        <v>146</v>
      </c>
      <c r="R16" s="1">
        <f>IF(vend20[[#This Row],[Nº Venda]]&gt;1,1,0)</f>
        <v>1</v>
      </c>
    </row>
    <row r="17" spans="2:18" ht="16.5" x14ac:dyDescent="0.3">
      <c r="B17" s="27"/>
      <c r="C17" s="27"/>
      <c r="D17" s="30"/>
      <c r="E17" s="75">
        <v>11250</v>
      </c>
      <c r="F17" s="76" t="s">
        <v>303</v>
      </c>
      <c r="G17" s="51" t="s">
        <v>46</v>
      </c>
      <c r="H17" s="39">
        <v>0</v>
      </c>
      <c r="I17" s="39">
        <v>0</v>
      </c>
      <c r="J17" s="30"/>
      <c r="K17" s="75">
        <v>11116</v>
      </c>
      <c r="L17" s="89" t="s">
        <v>130</v>
      </c>
      <c r="M17" s="44" t="s">
        <v>146</v>
      </c>
      <c r="R17" s="1">
        <f>IF(vend20[[#This Row],[Nº Venda]]&gt;1,1,0)</f>
        <v>1</v>
      </c>
    </row>
    <row r="18" spans="2:18" ht="16.5" x14ac:dyDescent="0.3">
      <c r="B18" s="109" t="s">
        <v>12</v>
      </c>
      <c r="C18" s="110"/>
      <c r="D18" s="30"/>
      <c r="E18" s="75"/>
      <c r="F18" s="76"/>
      <c r="G18" s="51"/>
      <c r="H18" s="39"/>
      <c r="I18" s="39"/>
      <c r="J18" s="30"/>
      <c r="K18" s="75">
        <v>11151</v>
      </c>
      <c r="L18" s="89" t="s">
        <v>130</v>
      </c>
      <c r="M18" s="44" t="s">
        <v>162</v>
      </c>
      <c r="R18" s="1">
        <f>IF(vend20[[#This Row],[Nº Venda]]&gt;1,1,0)</f>
        <v>0</v>
      </c>
    </row>
    <row r="19" spans="2:18" ht="16.5" x14ac:dyDescent="0.3">
      <c r="B19" s="28">
        <f>COUNT(entr_carn20[OS])</f>
        <v>1</v>
      </c>
      <c r="C19" s="69">
        <f>SUM(entr_carn20[Valor Total])</f>
        <v>750</v>
      </c>
      <c r="D19" s="30"/>
      <c r="E19" s="75"/>
      <c r="F19" s="76"/>
      <c r="G19" s="51"/>
      <c r="H19" s="39"/>
      <c r="I19" s="39"/>
      <c r="J19" s="30"/>
      <c r="K19" s="75">
        <v>11191</v>
      </c>
      <c r="L19" s="89" t="s">
        <v>128</v>
      </c>
      <c r="M19" s="44" t="s">
        <v>146</v>
      </c>
      <c r="R19" s="1">
        <f>IF(vend20[[#This Row],[Nº Venda]]&gt;1,1,0)</f>
        <v>0</v>
      </c>
    </row>
    <row r="20" spans="2:18" ht="16.5" x14ac:dyDescent="0.3">
      <c r="B20" s="31" t="s">
        <v>11</v>
      </c>
      <c r="C20" s="70">
        <f>SUM(C19:C19)</f>
        <v>750</v>
      </c>
      <c r="D20" s="30"/>
      <c r="E20" s="75"/>
      <c r="F20" s="51"/>
      <c r="G20" s="51"/>
      <c r="H20" s="39"/>
      <c r="I20" s="39"/>
      <c r="J20" s="30"/>
      <c r="K20" s="75">
        <v>11217</v>
      </c>
      <c r="L20" s="89" t="s">
        <v>130</v>
      </c>
      <c r="M20" s="44" t="s">
        <v>146</v>
      </c>
      <c r="R20" s="1">
        <f>IF(vend20[[#This Row],[Nº Venda]]&gt;1,1,0)</f>
        <v>0</v>
      </c>
    </row>
    <row r="21" spans="2:18" ht="16.5" x14ac:dyDescent="0.3">
      <c r="B21" s="27"/>
      <c r="C21" s="27"/>
      <c r="D21" s="30"/>
      <c r="E21" s="75"/>
      <c r="F21" s="76"/>
      <c r="G21" s="51"/>
      <c r="H21" s="39"/>
      <c r="I21" s="39"/>
      <c r="J21" s="30"/>
      <c r="K21" s="75">
        <v>11240</v>
      </c>
      <c r="L21" s="89" t="s">
        <v>130</v>
      </c>
      <c r="M21" s="44" t="s">
        <v>146</v>
      </c>
    </row>
    <row r="22" spans="2:18" ht="16.5" x14ac:dyDescent="0.3">
      <c r="B22" s="31" t="s">
        <v>25</v>
      </c>
      <c r="C22" s="34">
        <f>C5</f>
        <v>6622.65</v>
      </c>
      <c r="D22" s="30"/>
      <c r="E22" s="77"/>
      <c r="F22" s="76"/>
      <c r="G22" s="51"/>
      <c r="H22" s="39"/>
      <c r="I22" s="39"/>
      <c r="J22" s="30"/>
      <c r="K22" s="75">
        <v>11244</v>
      </c>
      <c r="L22" s="89" t="s">
        <v>130</v>
      </c>
      <c r="M22" s="44" t="s">
        <v>146</v>
      </c>
    </row>
    <row r="23" spans="2:18" ht="16.5" x14ac:dyDescent="0.3">
      <c r="B23" s="30"/>
      <c r="C23" s="30"/>
      <c r="D23" s="30"/>
      <c r="E23" s="35"/>
      <c r="F23" s="35"/>
      <c r="G23" s="35"/>
      <c r="H23" s="36"/>
      <c r="I23" s="37"/>
      <c r="J23" s="30"/>
      <c r="K23" s="75"/>
      <c r="L23" s="89"/>
      <c r="M23" s="44"/>
    </row>
    <row r="24" spans="2:18" ht="16.5" x14ac:dyDescent="0.3">
      <c r="B24" s="30"/>
      <c r="C24" s="30"/>
      <c r="D24" s="30"/>
      <c r="E24" s="100" t="s">
        <v>138</v>
      </c>
      <c r="F24" s="101"/>
      <c r="G24" s="101"/>
      <c r="H24" s="101"/>
      <c r="I24" s="101"/>
      <c r="J24" s="30"/>
      <c r="K24" s="75"/>
      <c r="L24" s="89"/>
      <c r="M24" s="44"/>
    </row>
    <row r="25" spans="2:18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5"/>
      <c r="L25" s="89"/>
      <c r="M25" s="44"/>
    </row>
    <row r="26" spans="2:18" ht="16.5" x14ac:dyDescent="0.3">
      <c r="B26" s="30"/>
      <c r="C26" s="30"/>
      <c r="D26" s="30"/>
      <c r="E26" s="75">
        <v>11151</v>
      </c>
      <c r="F26" s="76" t="s">
        <v>304</v>
      </c>
      <c r="G26" s="51" t="s">
        <v>7</v>
      </c>
      <c r="H26" s="39"/>
      <c r="I26" s="39">
        <v>130</v>
      </c>
      <c r="J26" s="30"/>
      <c r="K26" s="75"/>
      <c r="L26" s="89"/>
      <c r="M26" s="44"/>
    </row>
    <row r="27" spans="2:18" ht="16.5" x14ac:dyDescent="0.3">
      <c r="B27" s="30"/>
      <c r="C27" s="30"/>
      <c r="D27" s="30"/>
      <c r="E27" s="75">
        <v>11217</v>
      </c>
      <c r="F27" s="76" t="s">
        <v>272</v>
      </c>
      <c r="G27" s="51" t="s">
        <v>7</v>
      </c>
      <c r="H27" s="39"/>
      <c r="I27" s="39">
        <v>80</v>
      </c>
      <c r="J27" s="30"/>
      <c r="K27" s="75"/>
      <c r="L27" s="89"/>
      <c r="M27" s="44"/>
    </row>
    <row r="28" spans="2:18" ht="16.5" x14ac:dyDescent="0.3">
      <c r="B28" s="30"/>
      <c r="C28" s="30"/>
      <c r="D28" s="30"/>
      <c r="E28" s="75"/>
      <c r="F28" s="76"/>
      <c r="G28" s="51"/>
      <c r="H28" s="39"/>
      <c r="I28" s="39"/>
      <c r="J28" s="30"/>
      <c r="K28" s="75"/>
      <c r="L28" s="89"/>
      <c r="M28" s="44"/>
    </row>
    <row r="29" spans="2:18" ht="16.5" x14ac:dyDescent="0.3">
      <c r="B29" s="30"/>
      <c r="C29" s="30"/>
      <c r="D29" s="30"/>
      <c r="E29" s="75"/>
      <c r="F29" s="76"/>
      <c r="G29" s="51"/>
      <c r="H29" s="39"/>
      <c r="I29" s="39"/>
      <c r="J29" s="30"/>
      <c r="K29" s="75"/>
      <c r="L29" s="89"/>
      <c r="M29" s="44"/>
    </row>
    <row r="30" spans="2:18" ht="16.5" x14ac:dyDescent="0.3">
      <c r="B30" s="30"/>
      <c r="C30" s="30"/>
      <c r="D30" s="30"/>
      <c r="E30" s="75"/>
      <c r="F30" s="51"/>
      <c r="G30" s="51"/>
      <c r="H30" s="39"/>
      <c r="I30" s="39"/>
      <c r="J30" s="30"/>
      <c r="K30" s="75"/>
      <c r="L30" s="89"/>
      <c r="M30" s="44"/>
    </row>
    <row r="31" spans="2:18" ht="16.5" x14ac:dyDescent="0.3">
      <c r="B31" s="30"/>
      <c r="C31" s="30"/>
      <c r="D31" s="30"/>
      <c r="E31" s="77"/>
      <c r="F31" s="78"/>
      <c r="G31" s="42"/>
      <c r="H31" s="43"/>
      <c r="I31" s="43"/>
      <c r="J31" s="30"/>
      <c r="K31" s="75"/>
      <c r="L31" s="89"/>
      <c r="M31" s="44"/>
    </row>
    <row r="32" spans="2:18" ht="16.5" x14ac:dyDescent="0.3">
      <c r="B32" s="30"/>
      <c r="C32" s="30"/>
      <c r="D32" s="38"/>
      <c r="E32" s="35"/>
      <c r="F32" s="35"/>
      <c r="G32" s="35"/>
      <c r="H32" s="37"/>
      <c r="I32" s="37"/>
      <c r="J32" s="38"/>
      <c r="K32" s="33"/>
      <c r="L32" s="33"/>
      <c r="M32" s="33"/>
    </row>
    <row r="33" spans="2:18" ht="16.5" x14ac:dyDescent="0.3">
      <c r="B33" s="30"/>
      <c r="C33" s="30"/>
      <c r="D33" s="38"/>
      <c r="E33" s="100" t="s">
        <v>139</v>
      </c>
      <c r="F33" s="101"/>
      <c r="G33" s="101"/>
      <c r="H33" s="101"/>
      <c r="I33" s="101"/>
      <c r="J33" s="38"/>
      <c r="K33" s="102" t="s">
        <v>140</v>
      </c>
      <c r="L33" s="103"/>
      <c r="M33" s="104"/>
    </row>
    <row r="34" spans="2:18" ht="16.5" x14ac:dyDescent="0.3">
      <c r="B34" s="38"/>
      <c r="C34" s="38"/>
      <c r="D34" s="38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75">
        <v>10559</v>
      </c>
      <c r="F35" s="76" t="s">
        <v>298</v>
      </c>
      <c r="G35" s="51" t="s">
        <v>10</v>
      </c>
      <c r="H35" s="39">
        <v>96.66</v>
      </c>
      <c r="I35" s="39" t="s">
        <v>75</v>
      </c>
      <c r="J35" s="38"/>
      <c r="K35" s="75">
        <v>11151</v>
      </c>
      <c r="L35" s="75">
        <v>8</v>
      </c>
      <c r="M35" s="89">
        <v>750</v>
      </c>
    </row>
    <row r="36" spans="2:18" ht="16.5" customHeight="1" x14ac:dyDescent="0.25">
      <c r="B36" s="38"/>
      <c r="C36" s="38"/>
      <c r="D36" s="38"/>
      <c r="E36" s="81">
        <v>10360</v>
      </c>
      <c r="F36" s="76" t="s">
        <v>299</v>
      </c>
      <c r="G36" s="51" t="s">
        <v>7</v>
      </c>
      <c r="H36" s="39">
        <v>84</v>
      </c>
      <c r="I36" s="39" t="s">
        <v>44</v>
      </c>
      <c r="J36" s="38"/>
      <c r="K36" s="75"/>
      <c r="L36" s="75"/>
      <c r="M36" s="89"/>
    </row>
    <row r="37" spans="2:18" ht="16.5" customHeight="1" x14ac:dyDescent="0.25">
      <c r="B37" s="38"/>
      <c r="C37" s="38"/>
      <c r="D37" s="38"/>
      <c r="E37" s="75"/>
      <c r="F37" s="76"/>
      <c r="G37" s="51"/>
      <c r="H37" s="39"/>
      <c r="I37" s="39"/>
      <c r="J37" s="38"/>
      <c r="K37" s="75"/>
      <c r="L37" s="75"/>
      <c r="M37" s="89"/>
    </row>
    <row r="38" spans="2:18" ht="16.5" customHeight="1" x14ac:dyDescent="0.25">
      <c r="B38" s="38"/>
      <c r="C38" s="38"/>
      <c r="D38" s="38"/>
      <c r="E38" s="75"/>
      <c r="F38" s="76"/>
      <c r="G38" s="51"/>
      <c r="H38" s="39"/>
      <c r="I38" s="39"/>
      <c r="J38" s="38"/>
      <c r="K38" s="75"/>
      <c r="L38" s="75"/>
      <c r="M38" s="89"/>
    </row>
    <row r="39" spans="2:18" ht="16.5" customHeight="1" x14ac:dyDescent="0.25">
      <c r="B39" s="38"/>
      <c r="C39" s="38"/>
      <c r="D39" s="38"/>
      <c r="E39" s="75"/>
      <c r="F39" s="51"/>
      <c r="G39" s="51"/>
      <c r="H39" s="39"/>
      <c r="I39" s="39"/>
      <c r="J39" s="38"/>
      <c r="K39" s="75"/>
      <c r="L39" s="75"/>
      <c r="M39" s="89"/>
    </row>
    <row r="40" spans="2:18" ht="16.5" customHeight="1" x14ac:dyDescent="0.25">
      <c r="B40" s="38"/>
      <c r="C40" s="38"/>
      <c r="D40" s="38"/>
      <c r="E40" s="77"/>
      <c r="F40" s="78"/>
      <c r="G40" s="42"/>
      <c r="H40" s="43"/>
      <c r="I40" s="39"/>
      <c r="J40" s="38"/>
      <c r="K40" s="77"/>
      <c r="L40" s="77"/>
      <c r="M40" s="90"/>
      <c r="Q40" s="1" t="s">
        <v>33</v>
      </c>
      <c r="R40" s="1">
        <f>SUM(R6:R21)</f>
        <v>12</v>
      </c>
    </row>
    <row r="41" spans="2:18" ht="16.5" customHeight="1" x14ac:dyDescent="0.25">
      <c r="B41" s="38"/>
      <c r="C41" s="38"/>
      <c r="D41" s="38"/>
      <c r="E41" s="80"/>
      <c r="F41" s="51"/>
      <c r="G41" s="51"/>
      <c r="H41" s="39"/>
      <c r="I41" s="39"/>
      <c r="J41" s="38"/>
      <c r="K41" s="75"/>
      <c r="L41" s="75"/>
      <c r="M41" s="90"/>
    </row>
    <row r="42" spans="2:18" ht="13.5" x14ac:dyDescent="0.25">
      <c r="B42" s="38"/>
      <c r="C42" s="38"/>
      <c r="D42" s="38"/>
      <c r="E42" s="35"/>
      <c r="F42" s="35"/>
      <c r="G42" s="35"/>
      <c r="H42" s="37"/>
      <c r="I42" s="37"/>
      <c r="J42" s="38"/>
      <c r="K42" s="33"/>
      <c r="L42" s="33"/>
      <c r="M42" s="33"/>
    </row>
    <row r="43" spans="2:18" ht="13.5" x14ac:dyDescent="0.25">
      <c r="B43" s="38"/>
      <c r="C43" s="38"/>
      <c r="D43" s="38"/>
      <c r="E43" s="35"/>
      <c r="F43" s="35"/>
      <c r="G43" s="35"/>
      <c r="H43" s="37"/>
      <c r="I43" s="37"/>
      <c r="J43" s="38"/>
      <c r="K43" s="33"/>
      <c r="L43" s="33"/>
      <c r="M43" s="33"/>
    </row>
    <row r="44" spans="2:18" ht="13.5" x14ac:dyDescent="0.25">
      <c r="B44" s="38"/>
      <c r="C44" s="38"/>
      <c r="D44" s="38"/>
      <c r="E44" s="35"/>
      <c r="F44" s="35"/>
      <c r="G44" s="35"/>
      <c r="H44" s="37"/>
      <c r="I44" s="37"/>
      <c r="J44" s="38"/>
      <c r="K44" s="33"/>
      <c r="L44" s="33"/>
      <c r="M44" s="33"/>
    </row>
    <row r="45" spans="2:18" ht="13.5" x14ac:dyDescent="0.25">
      <c r="B45" s="38"/>
      <c r="C45" s="38"/>
      <c r="D45" s="38"/>
      <c r="E45" s="35"/>
      <c r="F45" s="35"/>
      <c r="G45" s="35"/>
      <c r="H45" s="37"/>
      <c r="I45" s="37"/>
      <c r="J45" s="38"/>
      <c r="K45" s="33"/>
      <c r="L45" s="33"/>
      <c r="M45" s="33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4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  <x14:dataValidation type="list" allowBlank="1" showInputMessage="1" showErrorMessage="1" xr:uid="{E42357DA-3FB1-4F50-A006-28D0F8223D14}">
          <x14:formula1>
            <xm:f>resumo_cx!$P$2:$P$18</xm:f>
          </x14:formula1>
          <xm:sqref>L15:L31</xm:sqref>
        </x14:dataValidation>
        <x14:dataValidation type="list" allowBlank="1" showInputMessage="1" showErrorMessage="1" xr:uid="{B2D77057-589B-41EA-929F-BCB9F79D0831}">
          <x14:formula1>
            <xm:f>base_OS!$A$2:$A$15000</xm:f>
          </x14:formula1>
          <xm:sqref>E6:E22 E26:E31 E35:E41 K35:K41 K15:K31</xm:sqref>
        </x14:dataValidation>
        <x14:dataValidation type="list" allowBlank="1" showInputMessage="1" showErrorMessage="1" xr:uid="{2C4842A4-1C90-4E23-9C1F-C83AC9F81898}">
          <x14:formula1>
            <xm:f>base!$A$2:$A$5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base!$A$2:$A$8</xm:f>
          </x14:formula1>
          <xm:sqref>G6:G22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5"/>
  <sheetViews>
    <sheetView showGridLines="0" topLeftCell="A18" zoomScale="90" zoomScaleNormal="90" workbookViewId="0">
      <selection activeCell="F9" sqref="F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6.28515625" style="12" bestFit="1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'20'!B1+1</f>
        <v>45829</v>
      </c>
      <c r="C1" s="98"/>
      <c r="L1" s="99" t="s">
        <v>143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5" t="s">
        <v>0</v>
      </c>
      <c r="C4" s="26">
        <v>0</v>
      </c>
      <c r="D4" s="58"/>
      <c r="E4" s="108" t="s">
        <v>136</v>
      </c>
      <c r="F4" s="108"/>
      <c r="G4" s="108"/>
      <c r="H4" s="108"/>
      <c r="I4" s="108"/>
      <c r="J4" s="30"/>
      <c r="K4" s="102" t="s">
        <v>137</v>
      </c>
      <c r="L4" s="103"/>
      <c r="M4" s="104"/>
    </row>
    <row r="5" spans="2:18" ht="16.5" x14ac:dyDescent="0.3">
      <c r="B5" s="28" t="s">
        <v>1</v>
      </c>
      <c r="C5" s="29">
        <f>SUMIF(I6:I31,"&gt;0",H6:H31)</f>
        <v>3856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18" ht="16.5" x14ac:dyDescent="0.3">
      <c r="B6" s="28" t="s">
        <v>2</v>
      </c>
      <c r="C6" s="29">
        <f>C16</f>
        <v>1055.5</v>
      </c>
      <c r="D6" s="30"/>
      <c r="E6" s="75">
        <v>11251</v>
      </c>
      <c r="F6" s="76" t="s">
        <v>307</v>
      </c>
      <c r="G6" s="51" t="s">
        <v>6</v>
      </c>
      <c r="H6" s="39">
        <v>1190</v>
      </c>
      <c r="I6" s="39">
        <v>120</v>
      </c>
      <c r="J6" s="30"/>
      <c r="K6" s="76" t="s">
        <v>161</v>
      </c>
      <c r="L6" s="89" t="s">
        <v>10</v>
      </c>
      <c r="M6" s="44">
        <v>4.7</v>
      </c>
      <c r="R6" s="1">
        <f>IF(vend21[[#This Row],[Nº Venda]]&gt;1,1,0)</f>
        <v>1</v>
      </c>
    </row>
    <row r="7" spans="2:18" ht="16.5" x14ac:dyDescent="0.3">
      <c r="B7" s="28" t="s">
        <v>3</v>
      </c>
      <c r="C7" s="29">
        <f>SUM(M6:M11)</f>
        <v>194.7</v>
      </c>
      <c r="D7" s="30"/>
      <c r="E7" s="75">
        <v>11252</v>
      </c>
      <c r="F7" s="76" t="s">
        <v>308</v>
      </c>
      <c r="G7" s="51" t="s">
        <v>46</v>
      </c>
      <c r="H7" s="39"/>
      <c r="I7" s="39"/>
      <c r="J7" s="30"/>
      <c r="K7" s="76" t="s">
        <v>209</v>
      </c>
      <c r="L7" s="89" t="s">
        <v>6</v>
      </c>
      <c r="M7" s="44">
        <v>190</v>
      </c>
      <c r="R7" s="1">
        <f>IF(vend21[[#This Row],[Nº Venda]]&gt;1,1,0)</f>
        <v>1</v>
      </c>
    </row>
    <row r="8" spans="2:18" ht="16.5" x14ac:dyDescent="0.3">
      <c r="B8" s="31" t="s">
        <v>21</v>
      </c>
      <c r="C8" s="32">
        <f>SUM(C6:C7)</f>
        <v>1250.2</v>
      </c>
      <c r="D8" s="30"/>
      <c r="E8" s="75">
        <v>11253</v>
      </c>
      <c r="F8" s="76" t="s">
        <v>309</v>
      </c>
      <c r="G8" s="51" t="s">
        <v>8</v>
      </c>
      <c r="H8" s="39">
        <v>650</v>
      </c>
      <c r="I8" s="39">
        <v>300</v>
      </c>
      <c r="J8" s="30"/>
      <c r="K8" s="76"/>
      <c r="L8" s="89"/>
      <c r="M8" s="44"/>
      <c r="R8" s="1">
        <f>IF(vend21[[#This Row],[Nº Venda]]&gt;1,1,0)</f>
        <v>1</v>
      </c>
    </row>
    <row r="9" spans="2:18" ht="16.5" x14ac:dyDescent="0.3">
      <c r="B9" s="27"/>
      <c r="C9" s="27"/>
      <c r="D9" s="30"/>
      <c r="E9" s="75">
        <v>11254</v>
      </c>
      <c r="F9" s="76" t="s">
        <v>311</v>
      </c>
      <c r="G9" s="51" t="s">
        <v>6</v>
      </c>
      <c r="H9" s="39">
        <v>1216</v>
      </c>
      <c r="I9" s="39">
        <v>5</v>
      </c>
      <c r="J9" s="30"/>
      <c r="K9" s="76"/>
      <c r="L9" s="89"/>
      <c r="M9" s="44"/>
      <c r="R9" s="1">
        <f>IF(vend21[[#This Row],[Nº Venda]]&gt;1,1,0)</f>
        <v>1</v>
      </c>
    </row>
    <row r="10" spans="2:18" ht="16.5" x14ac:dyDescent="0.3">
      <c r="B10" s="109" t="s">
        <v>5</v>
      </c>
      <c r="C10" s="110"/>
      <c r="D10" s="30"/>
      <c r="E10" s="75">
        <v>11255</v>
      </c>
      <c r="F10" s="76" t="s">
        <v>311</v>
      </c>
      <c r="G10" s="51" t="s">
        <v>46</v>
      </c>
      <c r="H10" s="39"/>
      <c r="I10" s="39"/>
      <c r="J10" s="30"/>
      <c r="K10" s="76"/>
      <c r="L10" s="89"/>
      <c r="M10" s="44"/>
      <c r="R10" s="1">
        <f>IF(vend21[[#This Row],[Nº Venda]]&gt;1,1,0)</f>
        <v>1</v>
      </c>
    </row>
    <row r="11" spans="2:18" ht="16.5" x14ac:dyDescent="0.3">
      <c r="B11" s="28" t="s">
        <v>6</v>
      </c>
      <c r="C11" s="69">
        <f>(SUMIF($G$2:$G$31,B11,$I$2:$I$31))+(SUMIF($G$35:$G$41,B11,$H$35:$H$41))</f>
        <v>190</v>
      </c>
      <c r="D11" s="30"/>
      <c r="E11" s="75">
        <v>11256</v>
      </c>
      <c r="F11" s="76" t="s">
        <v>311</v>
      </c>
      <c r="G11" s="51" t="s">
        <v>6</v>
      </c>
      <c r="H11" s="39">
        <v>800</v>
      </c>
      <c r="I11" s="39">
        <v>5</v>
      </c>
      <c r="J11" s="30"/>
      <c r="K11" s="38"/>
      <c r="L11" s="89"/>
      <c r="M11" s="44"/>
      <c r="O11" s="1">
        <f>IF(C16=0,0,1)</f>
        <v>1</v>
      </c>
      <c r="R11" s="1">
        <f>IF(vend21[[#This Row],[Nº Venda]]&gt;1,1,0)</f>
        <v>1</v>
      </c>
    </row>
    <row r="12" spans="2:18" ht="16.5" x14ac:dyDescent="0.3">
      <c r="B12" s="28" t="s">
        <v>7</v>
      </c>
      <c r="C12" s="69">
        <f t="shared" ref="C12:C15" si="0">(SUMIF($G$2:$G$31,B12,$I$2:$I$31))+(SUMIF($G$35:$G$41,B12,$H$35:$H$41))</f>
        <v>0</v>
      </c>
      <c r="D12" s="30"/>
      <c r="E12" s="75"/>
      <c r="F12" s="76"/>
      <c r="G12" s="51"/>
      <c r="H12" s="39"/>
      <c r="I12" s="39"/>
      <c r="J12" s="30"/>
      <c r="K12" s="33"/>
      <c r="L12" s="33"/>
      <c r="M12" s="33"/>
      <c r="R12" s="1">
        <f>IF(vend21[[#This Row],[Nº Venda]]&gt;1,1,0)</f>
        <v>0</v>
      </c>
    </row>
    <row r="13" spans="2:18" ht="16.5" x14ac:dyDescent="0.3">
      <c r="B13" s="28" t="s">
        <v>8</v>
      </c>
      <c r="C13" s="69">
        <f t="shared" si="0"/>
        <v>300</v>
      </c>
      <c r="D13" s="30"/>
      <c r="E13" s="75"/>
      <c r="F13" s="76"/>
      <c r="G13" s="51"/>
      <c r="H13" s="39"/>
      <c r="I13" s="39"/>
      <c r="J13" s="30"/>
      <c r="K13" s="102" t="s">
        <v>141</v>
      </c>
      <c r="L13" s="103"/>
      <c r="M13" s="104"/>
      <c r="R13" s="1">
        <f>IF(vend21[[#This Row],[Nº Venda]]&gt;1,1,0)</f>
        <v>0</v>
      </c>
    </row>
    <row r="14" spans="2:18" ht="16.5" x14ac:dyDescent="0.3">
      <c r="B14" s="28" t="s">
        <v>9</v>
      </c>
      <c r="C14" s="69">
        <f t="shared" si="0"/>
        <v>0</v>
      </c>
      <c r="D14" s="30"/>
      <c r="E14" s="75"/>
      <c r="F14" s="76"/>
      <c r="G14" s="51"/>
      <c r="H14" s="39"/>
      <c r="I14" s="39"/>
      <c r="J14" s="30"/>
      <c r="K14" s="22" t="s">
        <v>22</v>
      </c>
      <c r="L14" s="23" t="s">
        <v>23</v>
      </c>
      <c r="M14" s="24" t="s">
        <v>24</v>
      </c>
      <c r="R14" s="1">
        <f>IF(vend21[[#This Row],[Nº Venda]]&gt;1,1,0)</f>
        <v>0</v>
      </c>
    </row>
    <row r="15" spans="2:18" ht="16.5" x14ac:dyDescent="0.3">
      <c r="B15" s="28" t="s">
        <v>10</v>
      </c>
      <c r="C15" s="69">
        <f t="shared" si="0"/>
        <v>565.5</v>
      </c>
      <c r="D15" s="30"/>
      <c r="E15" s="75"/>
      <c r="F15" s="76"/>
      <c r="G15" s="51"/>
      <c r="H15" s="39"/>
      <c r="I15" s="39"/>
      <c r="J15" s="30"/>
      <c r="K15" s="75">
        <v>11075</v>
      </c>
      <c r="L15" s="89" t="s">
        <v>130</v>
      </c>
      <c r="M15" s="44" t="s">
        <v>162</v>
      </c>
      <c r="R15" s="1">
        <f>IF(vend21[[#This Row],[Nº Venda]]&gt;1,1,0)</f>
        <v>0</v>
      </c>
    </row>
    <row r="16" spans="2:18" ht="16.5" x14ac:dyDescent="0.3">
      <c r="B16" s="31" t="s">
        <v>11</v>
      </c>
      <c r="C16" s="70">
        <f>SUM(C11:C15)</f>
        <v>1055.5</v>
      </c>
      <c r="D16" s="30"/>
      <c r="E16" s="75"/>
      <c r="F16" s="76"/>
      <c r="G16" s="51"/>
      <c r="H16" s="39"/>
      <c r="I16" s="39"/>
      <c r="J16" s="30"/>
      <c r="K16" s="75">
        <v>11079</v>
      </c>
      <c r="L16" s="89" t="s">
        <v>128</v>
      </c>
      <c r="M16" s="44" t="s">
        <v>146</v>
      </c>
      <c r="R16" s="1">
        <f>IF(vend21[[#This Row],[Nº Venda]]&gt;1,1,0)</f>
        <v>0</v>
      </c>
    </row>
    <row r="17" spans="2:18" ht="16.5" x14ac:dyDescent="0.3">
      <c r="B17" s="27"/>
      <c r="C17" s="27"/>
      <c r="D17" s="30"/>
      <c r="E17" s="75"/>
      <c r="F17" s="76"/>
      <c r="G17" s="51"/>
      <c r="H17" s="39"/>
      <c r="I17" s="39"/>
      <c r="J17" s="30"/>
      <c r="K17" s="75">
        <v>11012</v>
      </c>
      <c r="L17" s="89" t="s">
        <v>130</v>
      </c>
      <c r="M17" s="44" t="s">
        <v>146</v>
      </c>
      <c r="R17" s="1">
        <f>IF(vend21[[#This Row],[Nº Venda]]&gt;1,1,0)</f>
        <v>0</v>
      </c>
    </row>
    <row r="18" spans="2:18" ht="16.5" x14ac:dyDescent="0.3">
      <c r="B18" s="109" t="s">
        <v>12</v>
      </c>
      <c r="C18" s="110"/>
      <c r="D18" s="30"/>
      <c r="E18" s="75"/>
      <c r="F18" s="76"/>
      <c r="G18" s="51"/>
      <c r="H18" s="39"/>
      <c r="I18" s="39"/>
      <c r="J18" s="30"/>
      <c r="K18" s="75">
        <v>11207</v>
      </c>
      <c r="L18" s="89" t="s">
        <v>128</v>
      </c>
      <c r="M18" s="44" t="s">
        <v>162</v>
      </c>
      <c r="R18" s="1">
        <f>IF(vend21[[#This Row],[Nº Venda]]&gt;1,1,0)</f>
        <v>0</v>
      </c>
    </row>
    <row r="19" spans="2:18" ht="16.5" x14ac:dyDescent="0.3">
      <c r="B19" s="28">
        <f>COUNT(entr_carn21[OS])</f>
        <v>1</v>
      </c>
      <c r="C19" s="69">
        <f>SUM(entr_carn21[Valor Total])</f>
        <v>1849</v>
      </c>
      <c r="D19" s="30"/>
      <c r="E19" s="75"/>
      <c r="F19" s="76"/>
      <c r="G19" s="51"/>
      <c r="H19" s="39"/>
      <c r="I19" s="39"/>
      <c r="J19" s="30"/>
      <c r="K19" s="75"/>
      <c r="L19" s="89"/>
      <c r="M19" s="44"/>
      <c r="R19" s="1">
        <f>IF(vend21[[#This Row],[Nº Venda]]&gt;1,1,0)</f>
        <v>0</v>
      </c>
    </row>
    <row r="20" spans="2:18" ht="16.5" x14ac:dyDescent="0.3">
      <c r="B20" s="31" t="s">
        <v>11</v>
      </c>
      <c r="C20" s="70">
        <f>SUM(C19:C19)</f>
        <v>1849</v>
      </c>
      <c r="D20" s="30"/>
      <c r="E20" s="75"/>
      <c r="F20" s="51"/>
      <c r="G20" s="51"/>
      <c r="H20" s="39"/>
      <c r="I20" s="39"/>
      <c r="J20" s="30"/>
      <c r="K20" s="75"/>
      <c r="L20" s="89"/>
      <c r="M20" s="44"/>
      <c r="R20" s="1">
        <f>IF(vend21[[#This Row],[Nº Venda]]&gt;1,1,0)</f>
        <v>0</v>
      </c>
    </row>
    <row r="21" spans="2:18" ht="16.5" x14ac:dyDescent="0.3">
      <c r="B21" s="27"/>
      <c r="C21" s="27"/>
      <c r="D21" s="30"/>
      <c r="E21" s="75"/>
      <c r="F21" s="76"/>
      <c r="G21" s="51"/>
      <c r="H21" s="39"/>
      <c r="I21" s="39"/>
      <c r="J21" s="30"/>
      <c r="K21" s="75"/>
      <c r="L21" s="89"/>
      <c r="M21" s="44"/>
    </row>
    <row r="22" spans="2:18" ht="16.5" x14ac:dyDescent="0.3">
      <c r="B22" s="31" t="s">
        <v>25</v>
      </c>
      <c r="C22" s="34">
        <f>C5</f>
        <v>3856</v>
      </c>
      <c r="D22" s="30"/>
      <c r="E22" s="77"/>
      <c r="F22" s="76"/>
      <c r="G22" s="51"/>
      <c r="H22" s="39"/>
      <c r="I22" s="39"/>
      <c r="J22" s="30"/>
      <c r="K22" s="75"/>
      <c r="L22" s="89"/>
      <c r="M22" s="44"/>
    </row>
    <row r="23" spans="2:18" ht="16.5" x14ac:dyDescent="0.3">
      <c r="B23" s="30"/>
      <c r="C23" s="30"/>
      <c r="D23" s="30"/>
      <c r="E23" s="35"/>
      <c r="F23" s="35"/>
      <c r="G23" s="35"/>
      <c r="H23" s="36"/>
      <c r="I23" s="37"/>
      <c r="J23" s="30"/>
      <c r="K23" s="75"/>
      <c r="L23" s="89"/>
      <c r="M23" s="44"/>
    </row>
    <row r="24" spans="2:18" ht="16.5" x14ac:dyDescent="0.3">
      <c r="B24" s="30"/>
      <c r="C24" s="30"/>
      <c r="D24" s="30"/>
      <c r="E24" s="100" t="s">
        <v>138</v>
      </c>
      <c r="F24" s="101"/>
      <c r="G24" s="101"/>
      <c r="H24" s="101"/>
      <c r="I24" s="101"/>
      <c r="J24" s="30"/>
      <c r="K24" s="75"/>
      <c r="L24" s="89"/>
      <c r="M24" s="44"/>
    </row>
    <row r="25" spans="2:18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5"/>
      <c r="L25" s="89"/>
      <c r="M25" s="44"/>
    </row>
    <row r="26" spans="2:18" ht="16.5" x14ac:dyDescent="0.3">
      <c r="B26" s="30"/>
      <c r="C26" s="30"/>
      <c r="D26" s="30"/>
      <c r="E26" s="75">
        <v>11079</v>
      </c>
      <c r="F26" s="76" t="s">
        <v>310</v>
      </c>
      <c r="G26" s="51" t="s">
        <v>10</v>
      </c>
      <c r="H26" s="39"/>
      <c r="I26" s="39">
        <v>280</v>
      </c>
      <c r="J26" s="30"/>
      <c r="K26" s="75"/>
      <c r="L26" s="89"/>
      <c r="M26" s="44"/>
    </row>
    <row r="27" spans="2:18" ht="16.5" x14ac:dyDescent="0.3">
      <c r="B27" s="30"/>
      <c r="C27" s="30"/>
      <c r="D27" s="30"/>
      <c r="E27" s="75"/>
      <c r="F27" s="76"/>
      <c r="G27" s="51"/>
      <c r="H27" s="39"/>
      <c r="I27" s="39"/>
      <c r="J27" s="30"/>
      <c r="K27" s="75"/>
      <c r="L27" s="89"/>
      <c r="M27" s="44"/>
    </row>
    <row r="28" spans="2:18" ht="16.5" x14ac:dyDescent="0.3">
      <c r="B28" s="30"/>
      <c r="C28" s="30"/>
      <c r="D28" s="30"/>
      <c r="E28" s="75"/>
      <c r="F28" s="76"/>
      <c r="G28" s="51"/>
      <c r="H28" s="39"/>
      <c r="I28" s="39"/>
      <c r="J28" s="30"/>
      <c r="K28" s="75"/>
      <c r="L28" s="89"/>
      <c r="M28" s="44"/>
    </row>
    <row r="29" spans="2:18" ht="16.5" x14ac:dyDescent="0.3">
      <c r="B29" s="30"/>
      <c r="C29" s="30"/>
      <c r="D29" s="30"/>
      <c r="E29" s="75"/>
      <c r="F29" s="76"/>
      <c r="G29" s="51"/>
      <c r="H29" s="39"/>
      <c r="I29" s="39"/>
      <c r="J29" s="30"/>
      <c r="K29" s="75"/>
      <c r="L29" s="89"/>
      <c r="M29" s="44"/>
    </row>
    <row r="30" spans="2:18" ht="16.5" x14ac:dyDescent="0.3">
      <c r="B30" s="30"/>
      <c r="C30" s="30"/>
      <c r="D30" s="30"/>
      <c r="E30" s="75"/>
      <c r="F30" s="51"/>
      <c r="G30" s="51"/>
      <c r="H30" s="39"/>
      <c r="I30" s="39"/>
      <c r="J30" s="30"/>
      <c r="K30" s="75"/>
      <c r="L30" s="89"/>
      <c r="M30" s="44"/>
    </row>
    <row r="31" spans="2:18" ht="16.5" x14ac:dyDescent="0.3">
      <c r="B31" s="30"/>
      <c r="C31" s="30"/>
      <c r="D31" s="30"/>
      <c r="E31" s="77"/>
      <c r="F31" s="78"/>
      <c r="G31" s="42"/>
      <c r="H31" s="43"/>
      <c r="I31" s="43"/>
      <c r="J31" s="30"/>
      <c r="K31" s="75"/>
      <c r="L31" s="89"/>
      <c r="M31" s="44"/>
    </row>
    <row r="32" spans="2:18" ht="16.5" x14ac:dyDescent="0.3">
      <c r="B32" s="30"/>
      <c r="C32" s="30"/>
      <c r="D32" s="38"/>
      <c r="E32" s="35"/>
      <c r="F32" s="35"/>
      <c r="G32" s="35"/>
      <c r="H32" s="37"/>
      <c r="I32" s="37"/>
      <c r="J32" s="38"/>
      <c r="K32" s="33"/>
      <c r="L32" s="33"/>
      <c r="M32" s="33"/>
    </row>
    <row r="33" spans="2:18" ht="16.5" x14ac:dyDescent="0.3">
      <c r="B33" s="30"/>
      <c r="C33" s="30"/>
      <c r="D33" s="38"/>
      <c r="E33" s="100" t="s">
        <v>139</v>
      </c>
      <c r="F33" s="101"/>
      <c r="G33" s="101"/>
      <c r="H33" s="101"/>
      <c r="I33" s="101"/>
      <c r="J33" s="38"/>
      <c r="K33" s="102" t="s">
        <v>140</v>
      </c>
      <c r="L33" s="103"/>
      <c r="M33" s="104"/>
    </row>
    <row r="34" spans="2:18" ht="16.5" x14ac:dyDescent="0.3">
      <c r="B34" s="38"/>
      <c r="C34" s="38"/>
      <c r="D34" s="38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75">
        <v>10956</v>
      </c>
      <c r="F35" s="76" t="s">
        <v>306</v>
      </c>
      <c r="G35" s="51" t="s">
        <v>10</v>
      </c>
      <c r="H35" s="39">
        <v>149.38</v>
      </c>
      <c r="I35" s="39" t="s">
        <v>35</v>
      </c>
      <c r="J35" s="38"/>
      <c r="K35" s="75">
        <v>11207</v>
      </c>
      <c r="L35" s="75">
        <v>8</v>
      </c>
      <c r="M35" s="89">
        <v>1849</v>
      </c>
    </row>
    <row r="36" spans="2:18" ht="16.5" customHeight="1" x14ac:dyDescent="0.25">
      <c r="B36" s="38"/>
      <c r="C36" s="38"/>
      <c r="D36" s="38"/>
      <c r="E36" s="81">
        <v>10337</v>
      </c>
      <c r="F36" s="76" t="s">
        <v>191</v>
      </c>
      <c r="G36" s="51" t="s">
        <v>10</v>
      </c>
      <c r="H36" s="39">
        <v>136.12</v>
      </c>
      <c r="I36" s="39" t="s">
        <v>34</v>
      </c>
      <c r="J36" s="38"/>
      <c r="K36" s="75"/>
      <c r="L36" s="75"/>
      <c r="M36" s="89"/>
    </row>
    <row r="37" spans="2:18" ht="16.5" customHeight="1" x14ac:dyDescent="0.25">
      <c r="B37" s="38"/>
      <c r="C37" s="38"/>
      <c r="D37" s="38"/>
      <c r="E37" s="75">
        <v>11221</v>
      </c>
      <c r="F37" s="76" t="s">
        <v>312</v>
      </c>
      <c r="G37" s="51" t="s">
        <v>6</v>
      </c>
      <c r="H37" s="39">
        <v>60</v>
      </c>
      <c r="I37" s="39" t="s">
        <v>42</v>
      </c>
      <c r="J37" s="38"/>
      <c r="K37" s="75"/>
      <c r="L37" s="75"/>
      <c r="M37" s="89"/>
    </row>
    <row r="38" spans="2:18" ht="16.5" customHeight="1" x14ac:dyDescent="0.25">
      <c r="B38" s="38"/>
      <c r="C38" s="38"/>
      <c r="D38" s="38"/>
      <c r="E38" s="75"/>
      <c r="F38" s="76"/>
      <c r="G38" s="51"/>
      <c r="H38" s="39"/>
      <c r="I38" s="39"/>
      <c r="J38" s="38"/>
      <c r="K38" s="75"/>
      <c r="L38" s="75"/>
      <c r="M38" s="89"/>
    </row>
    <row r="39" spans="2:18" ht="16.5" customHeight="1" x14ac:dyDescent="0.25">
      <c r="B39" s="38"/>
      <c r="C39" s="38"/>
      <c r="D39" s="38"/>
      <c r="E39" s="75"/>
      <c r="F39" s="51"/>
      <c r="G39" s="51"/>
      <c r="H39" s="39"/>
      <c r="I39" s="39"/>
      <c r="J39" s="38"/>
      <c r="K39" s="75"/>
      <c r="L39" s="75"/>
      <c r="M39" s="89"/>
    </row>
    <row r="40" spans="2:18" ht="16.5" customHeight="1" x14ac:dyDescent="0.25">
      <c r="B40" s="38"/>
      <c r="C40" s="38"/>
      <c r="D40" s="38"/>
      <c r="E40" s="77"/>
      <c r="F40" s="78"/>
      <c r="G40" s="42"/>
      <c r="H40" s="43"/>
      <c r="I40" s="39"/>
      <c r="J40" s="38"/>
      <c r="K40" s="77"/>
      <c r="L40" s="77"/>
      <c r="M40" s="90"/>
      <c r="Q40" s="1" t="s">
        <v>33</v>
      </c>
      <c r="R40" s="1">
        <f>SUM(R6:R21)</f>
        <v>6</v>
      </c>
    </row>
    <row r="41" spans="2:18" ht="16.5" customHeight="1" x14ac:dyDescent="0.25">
      <c r="B41" s="38"/>
      <c r="C41" s="38"/>
      <c r="D41" s="38"/>
      <c r="E41" s="80"/>
      <c r="F41" s="51"/>
      <c r="G41" s="51"/>
      <c r="H41" s="39"/>
      <c r="I41" s="39"/>
      <c r="J41" s="38"/>
      <c r="K41" s="75"/>
      <c r="L41" s="75"/>
      <c r="M41" s="90"/>
    </row>
    <row r="42" spans="2:18" ht="13.5" x14ac:dyDescent="0.25">
      <c r="B42" s="38"/>
      <c r="C42" s="38"/>
      <c r="D42" s="38"/>
      <c r="E42" s="35"/>
      <c r="F42" s="35"/>
      <c r="G42" s="35"/>
      <c r="H42" s="37"/>
      <c r="I42" s="37"/>
      <c r="J42" s="38"/>
      <c r="K42" s="33"/>
      <c r="L42" s="33"/>
      <c r="M42" s="33"/>
    </row>
    <row r="43" spans="2:18" ht="13.5" x14ac:dyDescent="0.25">
      <c r="B43" s="38"/>
      <c r="C43" s="38"/>
      <c r="D43" s="38"/>
      <c r="E43" s="35"/>
      <c r="F43" s="35"/>
      <c r="G43" s="35"/>
      <c r="H43" s="37"/>
      <c r="I43" s="37"/>
      <c r="J43" s="38"/>
      <c r="K43" s="33"/>
      <c r="L43" s="33"/>
      <c r="M43" s="33"/>
    </row>
    <row r="44" spans="2:18" ht="13.5" x14ac:dyDescent="0.25">
      <c r="B44" s="38"/>
      <c r="C44" s="38"/>
      <c r="D44" s="38"/>
      <c r="E44" s="35"/>
      <c r="F44" s="35"/>
      <c r="G44" s="35"/>
      <c r="H44" s="37"/>
      <c r="I44" s="37"/>
      <c r="J44" s="38"/>
      <c r="K44" s="33"/>
      <c r="L44" s="33"/>
      <c r="M44" s="33"/>
    </row>
    <row r="45" spans="2:18" ht="13.5" x14ac:dyDescent="0.25">
      <c r="B45" s="38"/>
      <c r="C45" s="38"/>
      <c r="D45" s="38"/>
      <c r="E45" s="35"/>
      <c r="F45" s="35"/>
      <c r="G45" s="35"/>
      <c r="H45" s="37"/>
      <c r="I45" s="37"/>
      <c r="J45" s="38"/>
      <c r="K45" s="33"/>
      <c r="L45" s="33"/>
      <c r="M45" s="33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  <x14:dataValidation type="list" allowBlank="1" showInputMessage="1" showErrorMessage="1" xr:uid="{2E097CBF-40BB-42C1-A337-D8C1F5ABD216}">
          <x14:formula1>
            <xm:f>resumo_cx!$P$2:$P$18</xm:f>
          </x14:formula1>
          <xm:sqref>L15:L31</xm:sqref>
        </x14:dataValidation>
        <x14:dataValidation type="list" allowBlank="1" showInputMessage="1" showErrorMessage="1" xr:uid="{1058D2B6-0061-4875-AFC9-819934FA07FF}">
          <x14:formula1>
            <xm:f>base_OS!$A$2:$A$15000</xm:f>
          </x14:formula1>
          <xm:sqref>E6:E22 E26:E31 E35:E41 K35:K41 K15:K31</xm:sqref>
        </x14:dataValidation>
        <x14:dataValidation type="list" allowBlank="1" showInputMessage="1" showErrorMessage="1" xr:uid="{112AC7CD-ADD6-4750-8A3B-76F63CB62447}">
          <x14:formula1>
            <xm:f>base!$A$2:$A$8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base!$A$2:$A$5</xm:f>
          </x14:formula1>
          <xm:sqref>G26:G31 G35:G41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5"/>
  <sheetViews>
    <sheetView showGridLines="0" topLeftCell="A19" zoomScale="90" zoomScaleNormal="90" workbookViewId="0">
      <selection activeCell="L1" sqref="L1:M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'21'!B1+1</f>
        <v>45830</v>
      </c>
      <c r="C1" s="98"/>
      <c r="L1" s="99" t="s">
        <v>143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5" t="s">
        <v>0</v>
      </c>
      <c r="C4" s="26">
        <v>0</v>
      </c>
      <c r="D4" s="58"/>
      <c r="E4" s="108" t="s">
        <v>136</v>
      </c>
      <c r="F4" s="108"/>
      <c r="G4" s="108"/>
      <c r="H4" s="108"/>
      <c r="I4" s="108"/>
      <c r="J4" s="30"/>
      <c r="K4" s="102" t="s">
        <v>137</v>
      </c>
      <c r="L4" s="103"/>
      <c r="M4" s="104"/>
    </row>
    <row r="5" spans="2:18" ht="16.5" x14ac:dyDescent="0.3">
      <c r="B5" s="28" t="s">
        <v>1</v>
      </c>
      <c r="C5" s="29">
        <f>SUMIF(I6:I31,"&gt;0",H6:H31)</f>
        <v>0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18" ht="16.5" x14ac:dyDescent="0.3">
      <c r="B6" s="28" t="s">
        <v>2</v>
      </c>
      <c r="C6" s="29">
        <f>C16</f>
        <v>0</v>
      </c>
      <c r="D6" s="30"/>
      <c r="E6" s="75"/>
      <c r="F6" s="76"/>
      <c r="G6" s="51"/>
      <c r="H6" s="39"/>
      <c r="I6" s="39"/>
      <c r="J6" s="30"/>
      <c r="K6" s="76"/>
      <c r="L6" s="89"/>
      <c r="M6" s="44"/>
      <c r="R6" s="1">
        <f>IF(vend22[[#This Row],[Nº Venda]]&gt;1,1,0)</f>
        <v>0</v>
      </c>
    </row>
    <row r="7" spans="2:18" ht="16.5" x14ac:dyDescent="0.3">
      <c r="B7" s="28" t="s">
        <v>3</v>
      </c>
      <c r="C7" s="29">
        <f>SUM(M6:M11)</f>
        <v>0</v>
      </c>
      <c r="D7" s="30"/>
      <c r="E7" s="75"/>
      <c r="F7" s="76"/>
      <c r="G7" s="51"/>
      <c r="H7" s="39"/>
      <c r="I7" s="39"/>
      <c r="J7" s="30"/>
      <c r="K7" s="76"/>
      <c r="L7" s="89"/>
      <c r="M7" s="44"/>
      <c r="R7" s="1">
        <f>IF(vend22[[#This Row],[Nº Venda]]&gt;1,1,0)</f>
        <v>0</v>
      </c>
    </row>
    <row r="8" spans="2:18" ht="16.5" x14ac:dyDescent="0.3">
      <c r="B8" s="31" t="s">
        <v>21</v>
      </c>
      <c r="C8" s="32">
        <f>SUM(C6:C7)</f>
        <v>0</v>
      </c>
      <c r="D8" s="30"/>
      <c r="E8" s="75"/>
      <c r="F8" s="76"/>
      <c r="G8" s="51"/>
      <c r="H8" s="39"/>
      <c r="I8" s="39"/>
      <c r="J8" s="30"/>
      <c r="K8" s="76"/>
      <c r="L8" s="89"/>
      <c r="M8" s="44"/>
      <c r="R8" s="1">
        <f>IF(vend22[[#This Row],[Nº Venda]]&gt;1,1,0)</f>
        <v>0</v>
      </c>
    </row>
    <row r="9" spans="2:18" ht="16.5" x14ac:dyDescent="0.3">
      <c r="B9" s="27"/>
      <c r="C9" s="27"/>
      <c r="D9" s="30"/>
      <c r="E9" s="75"/>
      <c r="F9" s="76"/>
      <c r="G9" s="51"/>
      <c r="H9" s="39"/>
      <c r="I9" s="39"/>
      <c r="J9" s="30"/>
      <c r="K9" s="76"/>
      <c r="L9" s="89"/>
      <c r="M9" s="44"/>
      <c r="R9" s="1">
        <f>IF(vend22[[#This Row],[Nº Venda]]&gt;1,1,0)</f>
        <v>0</v>
      </c>
    </row>
    <row r="10" spans="2:18" ht="16.5" x14ac:dyDescent="0.3">
      <c r="B10" s="109" t="s">
        <v>5</v>
      </c>
      <c r="C10" s="110"/>
      <c r="D10" s="30"/>
      <c r="E10" s="75"/>
      <c r="F10" s="76"/>
      <c r="G10" s="51"/>
      <c r="H10" s="39"/>
      <c r="I10" s="39"/>
      <c r="J10" s="30"/>
      <c r="K10" s="76"/>
      <c r="L10" s="89"/>
      <c r="M10" s="44"/>
      <c r="R10" s="1">
        <f>IF(vend22[[#This Row],[Nº Venda]]&gt;1,1,0)</f>
        <v>0</v>
      </c>
    </row>
    <row r="11" spans="2:18" ht="16.5" x14ac:dyDescent="0.3">
      <c r="B11" s="28" t="s">
        <v>6</v>
      </c>
      <c r="C11" s="69">
        <f>(SUMIF($G$2:$G$31,B11,$I$2:$I$31))+(SUMIF($G$35:$G$41,B11,$H$35:$H$41))</f>
        <v>0</v>
      </c>
      <c r="D11" s="30"/>
      <c r="E11" s="75"/>
      <c r="F11" s="76"/>
      <c r="G11" s="51"/>
      <c r="H11" s="39"/>
      <c r="I11" s="39"/>
      <c r="J11" s="30"/>
      <c r="K11" s="38"/>
      <c r="L11" s="89"/>
      <c r="M11" s="44"/>
      <c r="O11" s="1">
        <f>IF(C16=0,0,1)</f>
        <v>0</v>
      </c>
      <c r="R11" s="1">
        <f>IF(vend22[[#This Row],[Nº Venda]]&gt;1,1,0)</f>
        <v>0</v>
      </c>
    </row>
    <row r="12" spans="2:18" ht="16.5" x14ac:dyDescent="0.3">
      <c r="B12" s="28" t="s">
        <v>7</v>
      </c>
      <c r="C12" s="69">
        <f t="shared" ref="C12:C15" si="0">(SUMIF($G$2:$G$31,B12,$I$2:$I$31))+(SUMIF($G$35:$G$41,B12,$H$35:$H$41))</f>
        <v>0</v>
      </c>
      <c r="D12" s="30"/>
      <c r="E12" s="75"/>
      <c r="F12" s="76"/>
      <c r="G12" s="51"/>
      <c r="H12" s="39"/>
      <c r="I12" s="39"/>
      <c r="J12" s="30"/>
      <c r="K12" s="33"/>
      <c r="L12" s="33"/>
      <c r="M12" s="33"/>
      <c r="R12" s="1">
        <f>IF(vend22[[#This Row],[Nº Venda]]&gt;1,1,0)</f>
        <v>0</v>
      </c>
    </row>
    <row r="13" spans="2:18" ht="16.5" x14ac:dyDescent="0.3">
      <c r="B13" s="28" t="s">
        <v>8</v>
      </c>
      <c r="C13" s="69">
        <f t="shared" si="0"/>
        <v>0</v>
      </c>
      <c r="D13" s="30"/>
      <c r="E13" s="75"/>
      <c r="F13" s="76"/>
      <c r="G13" s="51"/>
      <c r="H13" s="39"/>
      <c r="I13" s="39"/>
      <c r="J13" s="30"/>
      <c r="K13" s="102" t="s">
        <v>141</v>
      </c>
      <c r="L13" s="103"/>
      <c r="M13" s="104"/>
      <c r="R13" s="1">
        <f>IF(vend22[[#This Row],[Nº Venda]]&gt;1,1,0)</f>
        <v>0</v>
      </c>
    </row>
    <row r="14" spans="2:18" ht="16.5" x14ac:dyDescent="0.3">
      <c r="B14" s="28" t="s">
        <v>9</v>
      </c>
      <c r="C14" s="69">
        <f t="shared" si="0"/>
        <v>0</v>
      </c>
      <c r="D14" s="30"/>
      <c r="E14" s="75"/>
      <c r="F14" s="76"/>
      <c r="G14" s="51"/>
      <c r="H14" s="39"/>
      <c r="I14" s="39"/>
      <c r="J14" s="30"/>
      <c r="K14" s="22" t="s">
        <v>22</v>
      </c>
      <c r="L14" s="23" t="s">
        <v>23</v>
      </c>
      <c r="M14" s="24" t="s">
        <v>24</v>
      </c>
      <c r="R14" s="1">
        <f>IF(vend22[[#This Row],[Nº Venda]]&gt;1,1,0)</f>
        <v>0</v>
      </c>
    </row>
    <row r="15" spans="2:18" ht="16.5" x14ac:dyDescent="0.3">
      <c r="B15" s="28" t="s">
        <v>10</v>
      </c>
      <c r="C15" s="69">
        <f t="shared" si="0"/>
        <v>0</v>
      </c>
      <c r="D15" s="30"/>
      <c r="E15" s="75"/>
      <c r="F15" s="76"/>
      <c r="G15" s="51"/>
      <c r="H15" s="39"/>
      <c r="I15" s="39"/>
      <c r="J15" s="30"/>
      <c r="K15" s="75"/>
      <c r="L15" s="89"/>
      <c r="M15" s="44"/>
      <c r="R15" s="1">
        <f>IF(vend22[[#This Row],[Nº Venda]]&gt;1,1,0)</f>
        <v>0</v>
      </c>
    </row>
    <row r="16" spans="2:18" ht="16.5" x14ac:dyDescent="0.3">
      <c r="B16" s="31" t="s">
        <v>11</v>
      </c>
      <c r="C16" s="70">
        <f>SUM(C11:C15)</f>
        <v>0</v>
      </c>
      <c r="D16" s="30"/>
      <c r="E16" s="75"/>
      <c r="F16" s="76"/>
      <c r="G16" s="51"/>
      <c r="H16" s="39"/>
      <c r="I16" s="39"/>
      <c r="J16" s="30"/>
      <c r="K16" s="75"/>
      <c r="L16" s="89"/>
      <c r="M16" s="44"/>
      <c r="R16" s="1">
        <f>IF(vend22[[#This Row],[Nº Venda]]&gt;1,1,0)</f>
        <v>0</v>
      </c>
    </row>
    <row r="17" spans="2:18" ht="16.5" x14ac:dyDescent="0.3">
      <c r="B17" s="27"/>
      <c r="C17" s="27"/>
      <c r="D17" s="30"/>
      <c r="E17" s="75"/>
      <c r="F17" s="76"/>
      <c r="G17" s="51"/>
      <c r="H17" s="39"/>
      <c r="I17" s="39"/>
      <c r="J17" s="30"/>
      <c r="K17" s="75"/>
      <c r="L17" s="89"/>
      <c r="M17" s="44"/>
      <c r="R17" s="1">
        <f>IF(vend22[[#This Row],[Nº Venda]]&gt;1,1,0)</f>
        <v>0</v>
      </c>
    </row>
    <row r="18" spans="2:18" ht="16.5" x14ac:dyDescent="0.3">
      <c r="B18" s="109" t="s">
        <v>12</v>
      </c>
      <c r="C18" s="110"/>
      <c r="D18" s="30"/>
      <c r="E18" s="75"/>
      <c r="F18" s="76"/>
      <c r="G18" s="51"/>
      <c r="H18" s="39"/>
      <c r="I18" s="39"/>
      <c r="J18" s="30"/>
      <c r="K18" s="75"/>
      <c r="L18" s="89"/>
      <c r="M18" s="44"/>
      <c r="R18" s="1">
        <f>IF(vend22[[#This Row],[Nº Venda]]&gt;1,1,0)</f>
        <v>0</v>
      </c>
    </row>
    <row r="19" spans="2:18" ht="16.5" x14ac:dyDescent="0.3">
      <c r="B19" s="28">
        <f>COUNT(entr_carn22[OS])</f>
        <v>0</v>
      </c>
      <c r="C19" s="69">
        <f>SUM(entr_carn22[Valor Total])</f>
        <v>0</v>
      </c>
      <c r="D19" s="30"/>
      <c r="E19" s="75"/>
      <c r="F19" s="76"/>
      <c r="G19" s="51"/>
      <c r="H19" s="39"/>
      <c r="I19" s="39"/>
      <c r="J19" s="30"/>
      <c r="K19" s="75"/>
      <c r="L19" s="89"/>
      <c r="M19" s="44"/>
      <c r="R19" s="1">
        <f>IF(vend22[[#This Row],[Nº Venda]]&gt;1,1,0)</f>
        <v>0</v>
      </c>
    </row>
    <row r="20" spans="2:18" ht="16.5" x14ac:dyDescent="0.3">
      <c r="B20" s="31" t="s">
        <v>11</v>
      </c>
      <c r="C20" s="70">
        <f>SUM(C19:C19)</f>
        <v>0</v>
      </c>
      <c r="D20" s="30"/>
      <c r="E20" s="75"/>
      <c r="F20" s="51"/>
      <c r="G20" s="51"/>
      <c r="H20" s="39"/>
      <c r="I20" s="39"/>
      <c r="J20" s="30"/>
      <c r="K20" s="75"/>
      <c r="L20" s="89"/>
      <c r="M20" s="44"/>
      <c r="R20" s="1">
        <f>IF(vend22[[#This Row],[Nº Venda]]&gt;1,1,0)</f>
        <v>0</v>
      </c>
    </row>
    <row r="21" spans="2:18" ht="16.5" x14ac:dyDescent="0.3">
      <c r="B21" s="27"/>
      <c r="C21" s="27"/>
      <c r="D21" s="30"/>
      <c r="E21" s="75"/>
      <c r="F21" s="76"/>
      <c r="G21" s="51"/>
      <c r="H21" s="39"/>
      <c r="I21" s="39"/>
      <c r="J21" s="30"/>
      <c r="K21" s="75"/>
      <c r="L21" s="89"/>
      <c r="M21" s="44"/>
    </row>
    <row r="22" spans="2:18" ht="16.5" x14ac:dyDescent="0.3">
      <c r="B22" s="31" t="s">
        <v>25</v>
      </c>
      <c r="C22" s="34">
        <f>C5</f>
        <v>0</v>
      </c>
      <c r="D22" s="30"/>
      <c r="E22" s="77"/>
      <c r="F22" s="76"/>
      <c r="G22" s="51"/>
      <c r="H22" s="39"/>
      <c r="I22" s="39"/>
      <c r="J22" s="30"/>
      <c r="K22" s="75"/>
      <c r="L22" s="89"/>
      <c r="M22" s="44"/>
    </row>
    <row r="23" spans="2:18" ht="16.5" x14ac:dyDescent="0.3">
      <c r="B23" s="30"/>
      <c r="C23" s="30"/>
      <c r="D23" s="30"/>
      <c r="E23" s="35"/>
      <c r="F23" s="35"/>
      <c r="G23" s="35"/>
      <c r="H23" s="36"/>
      <c r="I23" s="37"/>
      <c r="J23" s="30"/>
      <c r="K23" s="75"/>
      <c r="L23" s="89"/>
      <c r="M23" s="44"/>
    </row>
    <row r="24" spans="2:18" ht="16.5" x14ac:dyDescent="0.3">
      <c r="B24" s="30"/>
      <c r="C24" s="30"/>
      <c r="D24" s="30"/>
      <c r="E24" s="100" t="s">
        <v>138</v>
      </c>
      <c r="F24" s="101"/>
      <c r="G24" s="101"/>
      <c r="H24" s="101"/>
      <c r="I24" s="101"/>
      <c r="J24" s="30"/>
      <c r="K24" s="75"/>
      <c r="L24" s="89"/>
      <c r="M24" s="44"/>
    </row>
    <row r="25" spans="2:18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5"/>
      <c r="L25" s="89"/>
      <c r="M25" s="44"/>
    </row>
    <row r="26" spans="2:18" ht="16.5" x14ac:dyDescent="0.3">
      <c r="B26" s="30"/>
      <c r="C26" s="30"/>
      <c r="D26" s="30"/>
      <c r="E26" s="75"/>
      <c r="F26" s="76"/>
      <c r="G26" s="51"/>
      <c r="H26" s="39"/>
      <c r="I26" s="39"/>
      <c r="J26" s="30"/>
      <c r="K26" s="75"/>
      <c r="L26" s="89"/>
      <c r="M26" s="44"/>
    </row>
    <row r="27" spans="2:18" ht="16.5" x14ac:dyDescent="0.3">
      <c r="B27" s="30"/>
      <c r="C27" s="30"/>
      <c r="D27" s="30"/>
      <c r="E27" s="75"/>
      <c r="F27" s="76"/>
      <c r="G27" s="51"/>
      <c r="H27" s="39"/>
      <c r="I27" s="39"/>
      <c r="J27" s="30"/>
      <c r="K27" s="75"/>
      <c r="L27" s="89"/>
      <c r="M27" s="44"/>
    </row>
    <row r="28" spans="2:18" ht="16.5" x14ac:dyDescent="0.3">
      <c r="B28" s="30"/>
      <c r="C28" s="30"/>
      <c r="D28" s="30"/>
      <c r="E28" s="75"/>
      <c r="F28" s="76"/>
      <c r="G28" s="51"/>
      <c r="H28" s="39"/>
      <c r="I28" s="39"/>
      <c r="J28" s="30"/>
      <c r="K28" s="75"/>
      <c r="L28" s="89"/>
      <c r="M28" s="44"/>
    </row>
    <row r="29" spans="2:18" ht="16.5" x14ac:dyDescent="0.3">
      <c r="B29" s="30"/>
      <c r="C29" s="30"/>
      <c r="D29" s="30"/>
      <c r="E29" s="75"/>
      <c r="F29" s="76"/>
      <c r="G29" s="51"/>
      <c r="H29" s="39"/>
      <c r="I29" s="39"/>
      <c r="J29" s="30"/>
      <c r="K29" s="75"/>
      <c r="L29" s="89"/>
      <c r="M29" s="44"/>
    </row>
    <row r="30" spans="2:18" ht="16.5" x14ac:dyDescent="0.3">
      <c r="B30" s="30"/>
      <c r="C30" s="30"/>
      <c r="D30" s="30"/>
      <c r="E30" s="75"/>
      <c r="F30" s="51"/>
      <c r="G30" s="51"/>
      <c r="H30" s="39"/>
      <c r="I30" s="39"/>
      <c r="J30" s="30"/>
      <c r="K30" s="75"/>
      <c r="L30" s="89"/>
      <c r="M30" s="44"/>
    </row>
    <row r="31" spans="2:18" ht="16.5" x14ac:dyDescent="0.3">
      <c r="B31" s="30"/>
      <c r="C31" s="30"/>
      <c r="D31" s="30"/>
      <c r="E31" s="77"/>
      <c r="F31" s="78"/>
      <c r="G31" s="42"/>
      <c r="H31" s="43"/>
      <c r="I31" s="43"/>
      <c r="J31" s="30"/>
      <c r="K31" s="75"/>
      <c r="L31" s="89"/>
      <c r="M31" s="44"/>
    </row>
    <row r="32" spans="2:18" ht="16.5" x14ac:dyDescent="0.3">
      <c r="B32" s="30"/>
      <c r="C32" s="30"/>
      <c r="D32" s="38"/>
      <c r="E32" s="35"/>
      <c r="F32" s="35"/>
      <c r="G32" s="35"/>
      <c r="H32" s="37"/>
      <c r="I32" s="37"/>
      <c r="J32" s="38"/>
      <c r="K32" s="33"/>
      <c r="L32" s="33"/>
      <c r="M32" s="33"/>
    </row>
    <row r="33" spans="2:18" ht="16.5" x14ac:dyDescent="0.3">
      <c r="B33" s="30"/>
      <c r="C33" s="30"/>
      <c r="D33" s="38"/>
      <c r="E33" s="100" t="s">
        <v>139</v>
      </c>
      <c r="F33" s="101"/>
      <c r="G33" s="101"/>
      <c r="H33" s="101"/>
      <c r="I33" s="101"/>
      <c r="J33" s="38"/>
      <c r="K33" s="102" t="s">
        <v>140</v>
      </c>
      <c r="L33" s="103"/>
      <c r="M33" s="104"/>
    </row>
    <row r="34" spans="2:18" ht="16.5" x14ac:dyDescent="0.3">
      <c r="B34" s="38"/>
      <c r="C34" s="38"/>
      <c r="D34" s="38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75"/>
      <c r="F35" s="76"/>
      <c r="G35" s="51"/>
      <c r="H35" s="39"/>
      <c r="I35" s="39"/>
      <c r="J35" s="38"/>
      <c r="K35" s="75"/>
      <c r="L35" s="75"/>
      <c r="M35" s="89"/>
    </row>
    <row r="36" spans="2:18" ht="16.5" customHeight="1" x14ac:dyDescent="0.25">
      <c r="B36" s="38"/>
      <c r="C36" s="38"/>
      <c r="D36" s="38"/>
      <c r="E36" s="81"/>
      <c r="F36" s="76"/>
      <c r="G36" s="51"/>
      <c r="H36" s="39"/>
      <c r="I36" s="39"/>
      <c r="J36" s="38"/>
      <c r="K36" s="75"/>
      <c r="L36" s="75"/>
      <c r="M36" s="89"/>
    </row>
    <row r="37" spans="2:18" ht="16.5" customHeight="1" x14ac:dyDescent="0.25">
      <c r="B37" s="38"/>
      <c r="C37" s="38"/>
      <c r="D37" s="38"/>
      <c r="E37" s="75"/>
      <c r="F37" s="76"/>
      <c r="G37" s="51"/>
      <c r="H37" s="39"/>
      <c r="I37" s="39"/>
      <c r="J37" s="38"/>
      <c r="K37" s="75"/>
      <c r="L37" s="75"/>
      <c r="M37" s="89"/>
    </row>
    <row r="38" spans="2:18" ht="16.5" customHeight="1" x14ac:dyDescent="0.25">
      <c r="B38" s="38"/>
      <c r="C38" s="38"/>
      <c r="D38" s="38"/>
      <c r="E38" s="75"/>
      <c r="F38" s="76"/>
      <c r="G38" s="51"/>
      <c r="H38" s="39"/>
      <c r="I38" s="39"/>
      <c r="J38" s="38"/>
      <c r="K38" s="75"/>
      <c r="L38" s="75"/>
      <c r="M38" s="89"/>
    </row>
    <row r="39" spans="2:18" ht="16.5" customHeight="1" x14ac:dyDescent="0.25">
      <c r="B39" s="38"/>
      <c r="C39" s="38"/>
      <c r="D39" s="38"/>
      <c r="E39" s="75"/>
      <c r="F39" s="51"/>
      <c r="G39" s="51"/>
      <c r="H39" s="39"/>
      <c r="I39" s="39"/>
      <c r="J39" s="38"/>
      <c r="K39" s="75"/>
      <c r="L39" s="75"/>
      <c r="M39" s="89"/>
    </row>
    <row r="40" spans="2:18" ht="16.5" customHeight="1" x14ac:dyDescent="0.25">
      <c r="B40" s="38"/>
      <c r="C40" s="38"/>
      <c r="D40" s="38"/>
      <c r="E40" s="77"/>
      <c r="F40" s="78"/>
      <c r="G40" s="42"/>
      <c r="H40" s="43"/>
      <c r="I40" s="39"/>
      <c r="J40" s="38"/>
      <c r="K40" s="77"/>
      <c r="L40" s="77"/>
      <c r="M40" s="90"/>
      <c r="Q40" s="1" t="s">
        <v>33</v>
      </c>
      <c r="R40" s="1">
        <f>SUM(R6:R21)</f>
        <v>0</v>
      </c>
    </row>
    <row r="41" spans="2:18" ht="16.5" customHeight="1" x14ac:dyDescent="0.25">
      <c r="B41" s="38"/>
      <c r="C41" s="38"/>
      <c r="D41" s="38"/>
      <c r="E41" s="80"/>
      <c r="F41" s="51"/>
      <c r="G41" s="51"/>
      <c r="H41" s="39"/>
      <c r="I41" s="39"/>
      <c r="J41" s="38"/>
      <c r="K41" s="75"/>
      <c r="L41" s="75"/>
      <c r="M41" s="90"/>
    </row>
    <row r="42" spans="2:18" ht="13.5" x14ac:dyDescent="0.25">
      <c r="B42" s="38"/>
      <c r="C42" s="38"/>
      <c r="D42" s="38"/>
      <c r="E42" s="35"/>
      <c r="F42" s="35"/>
      <c r="G42" s="35"/>
      <c r="H42" s="37"/>
      <c r="I42" s="37"/>
      <c r="J42" s="38"/>
      <c r="K42" s="33"/>
      <c r="L42" s="33"/>
      <c r="M42" s="33"/>
    </row>
    <row r="43" spans="2:18" ht="13.5" x14ac:dyDescent="0.25">
      <c r="B43" s="38"/>
      <c r="C43" s="38"/>
      <c r="D43" s="38"/>
      <c r="E43" s="35"/>
      <c r="F43" s="35"/>
      <c r="G43" s="35"/>
      <c r="H43" s="37"/>
      <c r="I43" s="37"/>
      <c r="J43" s="38"/>
      <c r="K43" s="33"/>
      <c r="L43" s="33"/>
      <c r="M43" s="33"/>
    </row>
    <row r="44" spans="2:18" ht="13.5" x14ac:dyDescent="0.25">
      <c r="B44" s="38"/>
      <c r="C44" s="38"/>
      <c r="D44" s="38"/>
      <c r="E44" s="35"/>
      <c r="F44" s="35"/>
      <c r="G44" s="35"/>
      <c r="H44" s="37"/>
      <c r="I44" s="37"/>
      <c r="J44" s="38"/>
      <c r="K44" s="33"/>
      <c r="L44" s="33"/>
      <c r="M44" s="33"/>
    </row>
    <row r="45" spans="2:18" ht="13.5" x14ac:dyDescent="0.25">
      <c r="B45" s="38"/>
      <c r="C45" s="38"/>
      <c r="D45" s="38"/>
      <c r="E45" s="35"/>
      <c r="F45" s="35"/>
      <c r="G45" s="35"/>
      <c r="H45" s="37"/>
      <c r="I45" s="37"/>
      <c r="J45" s="38"/>
      <c r="K45" s="33"/>
      <c r="L45" s="33"/>
      <c r="M45" s="33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  <x14:dataValidation type="list" allowBlank="1" showInputMessage="1" showErrorMessage="1" xr:uid="{94579440-21C1-4EC6-84B0-E63772959071}">
          <x14:formula1>
            <xm:f>resumo_cx!$P$2:$P$18</xm:f>
          </x14:formula1>
          <xm:sqref>L15:L31</xm:sqref>
        </x14:dataValidation>
        <x14:dataValidation type="list" allowBlank="1" showInputMessage="1" showErrorMessage="1" xr:uid="{80C321F0-F521-4674-B3B7-253692B686DF}">
          <x14:formula1>
            <xm:f>base_OS!$A$2:$A$15000</xm:f>
          </x14:formula1>
          <xm:sqref>E6:E22 E26:E31 E35:E41 K35:K41 K15:K31</xm:sqref>
        </x14:dataValidation>
        <x14:dataValidation type="list" allowBlank="1" showInputMessage="1" showErrorMessage="1" xr:uid="{8A269FE1-C817-46B6-91D2-B2E7EC645BEF}">
          <x14:formula1>
            <xm:f>base!$A$2:$A$5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base!$A$2:$A$8</xm:f>
          </x14:formula1>
          <xm:sqref>G6:G22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2"/>
  <sheetViews>
    <sheetView showGridLines="0" topLeftCell="A20" zoomScale="90" zoomScaleNormal="90" workbookViewId="0">
      <selection activeCell="F7" sqref="F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'22'!B1+1</f>
        <v>45831</v>
      </c>
      <c r="C1" s="98"/>
      <c r="L1" s="99" t="s">
        <v>143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5" t="s">
        <v>0</v>
      </c>
      <c r="C4" s="26">
        <v>0</v>
      </c>
      <c r="D4" s="58"/>
      <c r="E4" s="108" t="s">
        <v>136</v>
      </c>
      <c r="F4" s="108"/>
      <c r="G4" s="108"/>
      <c r="H4" s="108"/>
      <c r="I4" s="108"/>
      <c r="J4" s="30"/>
      <c r="K4" s="102" t="s">
        <v>137</v>
      </c>
      <c r="L4" s="103"/>
      <c r="M4" s="104"/>
    </row>
    <row r="5" spans="2:18" ht="16.5" x14ac:dyDescent="0.3">
      <c r="B5" s="28" t="s">
        <v>1</v>
      </c>
      <c r="C5" s="29">
        <f>SUMIF(I6:I31,"&gt;0",H6:H31)</f>
        <v>0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18" ht="16.5" x14ac:dyDescent="0.3">
      <c r="B6" s="28" t="s">
        <v>2</v>
      </c>
      <c r="C6" s="29">
        <f>C16</f>
        <v>300</v>
      </c>
      <c r="D6" s="30"/>
      <c r="E6" s="75">
        <v>11257</v>
      </c>
      <c r="F6" s="76" t="s">
        <v>219</v>
      </c>
      <c r="G6" s="51" t="s">
        <v>36</v>
      </c>
      <c r="H6" s="39">
        <v>0</v>
      </c>
      <c r="I6" s="39">
        <v>0</v>
      </c>
      <c r="J6" s="30"/>
      <c r="K6" s="76" t="s">
        <v>161</v>
      </c>
      <c r="L6" s="89" t="s">
        <v>315</v>
      </c>
      <c r="M6" s="44">
        <v>2.86</v>
      </c>
      <c r="R6" s="1">
        <f>IF(vend23[[#This Row],[Nº Venda]]&gt;1,1,0)</f>
        <v>1</v>
      </c>
    </row>
    <row r="7" spans="2:18" ht="16.5" x14ac:dyDescent="0.3">
      <c r="B7" s="28" t="s">
        <v>3</v>
      </c>
      <c r="C7" s="29">
        <f>SUM(M6:M11)</f>
        <v>2.86</v>
      </c>
      <c r="D7" s="30"/>
      <c r="E7" s="75">
        <v>11258</v>
      </c>
      <c r="F7" s="76" t="s">
        <v>314</v>
      </c>
      <c r="G7" s="51" t="s">
        <v>46</v>
      </c>
      <c r="H7" s="39">
        <v>60</v>
      </c>
      <c r="I7" s="39">
        <v>0</v>
      </c>
      <c r="J7" s="30"/>
      <c r="K7" s="76"/>
      <c r="L7" s="89"/>
      <c r="M7" s="44"/>
      <c r="R7" s="1">
        <f>IF(vend23[[#This Row],[Nº Venda]]&gt;1,1,0)</f>
        <v>1</v>
      </c>
    </row>
    <row r="8" spans="2:18" ht="16.5" x14ac:dyDescent="0.3">
      <c r="B8" s="31" t="s">
        <v>21</v>
      </c>
      <c r="C8" s="32">
        <f>SUM(C6:C7)</f>
        <v>302.86</v>
      </c>
      <c r="D8" s="30"/>
      <c r="E8" s="75">
        <v>11259</v>
      </c>
      <c r="F8" s="76"/>
      <c r="G8" s="51"/>
      <c r="H8" s="39"/>
      <c r="I8" s="39"/>
      <c r="J8" s="30"/>
      <c r="K8" s="76"/>
      <c r="L8" s="89"/>
      <c r="M8" s="44"/>
      <c r="R8" s="1">
        <f>IF(vend23[[#This Row],[Nº Venda]]&gt;1,1,0)</f>
        <v>1</v>
      </c>
    </row>
    <row r="9" spans="2:18" ht="16.5" x14ac:dyDescent="0.3">
      <c r="B9" s="27"/>
      <c r="C9" s="27"/>
      <c r="D9" s="30"/>
      <c r="E9" s="75"/>
      <c r="F9" s="76"/>
      <c r="G9" s="51"/>
      <c r="H9" s="39"/>
      <c r="I9" s="39"/>
      <c r="J9" s="30"/>
      <c r="K9" s="76"/>
      <c r="L9" s="89"/>
      <c r="M9" s="44"/>
      <c r="R9" s="1">
        <f>IF(vend23[[#This Row],[Nº Venda]]&gt;1,1,0)</f>
        <v>0</v>
      </c>
    </row>
    <row r="10" spans="2:18" ht="16.5" x14ac:dyDescent="0.3">
      <c r="B10" s="109" t="s">
        <v>5</v>
      </c>
      <c r="C10" s="110"/>
      <c r="D10" s="30"/>
      <c r="E10" s="75"/>
      <c r="F10" s="76"/>
      <c r="G10" s="51"/>
      <c r="H10" s="39"/>
      <c r="I10" s="39"/>
      <c r="J10" s="30"/>
      <c r="K10" s="76"/>
      <c r="L10" s="89"/>
      <c r="M10" s="44"/>
      <c r="R10" s="1">
        <f>IF(vend23[[#This Row],[Nº Venda]]&gt;1,1,0)</f>
        <v>0</v>
      </c>
    </row>
    <row r="11" spans="2:18" ht="16.5" x14ac:dyDescent="0.3">
      <c r="B11" s="28" t="s">
        <v>6</v>
      </c>
      <c r="C11" s="71">
        <f>(SUMIF($G$2:$G$31,B11,$I$2:$I$31))+(SUMIF($G$35:$G$41,B11,$H$35:$H$41))</f>
        <v>300</v>
      </c>
      <c r="D11" s="30"/>
      <c r="E11" s="75"/>
      <c r="F11" s="76"/>
      <c r="G11" s="51"/>
      <c r="H11" s="39"/>
      <c r="I11" s="39"/>
      <c r="J11" s="30"/>
      <c r="K11" s="38"/>
      <c r="L11" s="89"/>
      <c r="M11" s="44"/>
      <c r="O11" s="1">
        <f>IF(C16=0,0,1)</f>
        <v>1</v>
      </c>
      <c r="R11" s="1">
        <f>IF(vend23[[#This Row],[Nº Venda]]&gt;1,1,0)</f>
        <v>0</v>
      </c>
    </row>
    <row r="12" spans="2:18" ht="16.5" x14ac:dyDescent="0.3">
      <c r="B12" s="28" t="s">
        <v>7</v>
      </c>
      <c r="C12" s="71">
        <f>(SUMIF($G$2:$G$31,B12,$I$2:$I$31))+(SUMIF($G$35:$G$41,B12,$H$35:$H$41))</f>
        <v>0</v>
      </c>
      <c r="D12" s="30"/>
      <c r="E12" s="75"/>
      <c r="F12" s="76"/>
      <c r="G12" s="51"/>
      <c r="H12" s="39"/>
      <c r="I12" s="39"/>
      <c r="J12" s="30"/>
      <c r="K12" s="33"/>
      <c r="L12" s="33"/>
      <c r="M12" s="33"/>
      <c r="R12" s="1">
        <f>IF(vend23[[#This Row],[Nº Venda]]&gt;1,1,0)</f>
        <v>0</v>
      </c>
    </row>
    <row r="13" spans="2:18" ht="16.5" x14ac:dyDescent="0.3">
      <c r="B13" s="28" t="s">
        <v>8</v>
      </c>
      <c r="C13" s="71">
        <f>(SUMIF($G$2:$G$31,B13,$I$2:$I$31))+(SUMIF($G$35:$G$41,B13,$H$35:$H$41))</f>
        <v>0</v>
      </c>
      <c r="D13" s="30"/>
      <c r="E13" s="75"/>
      <c r="F13" s="76"/>
      <c r="G13" s="51"/>
      <c r="H13" s="39"/>
      <c r="I13" s="39"/>
      <c r="J13" s="30"/>
      <c r="K13" s="102" t="s">
        <v>141</v>
      </c>
      <c r="L13" s="103"/>
      <c r="M13" s="104"/>
      <c r="R13" s="1">
        <f>IF(vend23[[#This Row],[Nº Venda]]&gt;1,1,0)</f>
        <v>0</v>
      </c>
    </row>
    <row r="14" spans="2:18" ht="16.5" x14ac:dyDescent="0.3">
      <c r="B14" s="28" t="s">
        <v>9</v>
      </c>
      <c r="C14" s="71">
        <f>(SUMIF($G$2:$G$31,B14,$I$2:$I$31))+(SUMIF($G$35:$G$41,B14,$H$35:$H$41))</f>
        <v>0</v>
      </c>
      <c r="D14" s="30"/>
      <c r="E14" s="75"/>
      <c r="F14" s="76"/>
      <c r="G14" s="51"/>
      <c r="H14" s="39"/>
      <c r="I14" s="39"/>
      <c r="J14" s="30"/>
      <c r="K14" s="22" t="s">
        <v>22</v>
      </c>
      <c r="L14" s="23" t="s">
        <v>23</v>
      </c>
      <c r="M14" s="24" t="s">
        <v>24</v>
      </c>
      <c r="R14" s="1">
        <f>IF(vend23[[#This Row],[Nº Venda]]&gt;1,1,0)</f>
        <v>0</v>
      </c>
    </row>
    <row r="15" spans="2:18" ht="16.5" x14ac:dyDescent="0.3">
      <c r="B15" s="28" t="s">
        <v>10</v>
      </c>
      <c r="C15" s="71">
        <f>(SUMIF($G$2:$G$31,B15,$I$2:$I$31))+(SUMIF($G$35:$G$41,B15,$H$35:$H$41))</f>
        <v>0</v>
      </c>
      <c r="D15" s="30"/>
      <c r="E15" s="75"/>
      <c r="F15" s="76"/>
      <c r="G15" s="51"/>
      <c r="H15" s="39"/>
      <c r="I15" s="39"/>
      <c r="J15" s="30"/>
      <c r="K15" s="75">
        <v>10985</v>
      </c>
      <c r="L15" s="89" t="s">
        <v>130</v>
      </c>
      <c r="M15" s="44" t="s">
        <v>162</v>
      </c>
      <c r="R15" s="1">
        <f>IF(vend23[[#This Row],[Nº Venda]]&gt;1,1,0)</f>
        <v>0</v>
      </c>
    </row>
    <row r="16" spans="2:18" ht="16.5" x14ac:dyDescent="0.3">
      <c r="B16" s="31" t="s">
        <v>11</v>
      </c>
      <c r="C16" s="70">
        <f>SUM(C11:C15)</f>
        <v>300</v>
      </c>
      <c r="D16" s="30"/>
      <c r="E16" s="75"/>
      <c r="F16" s="76"/>
      <c r="G16" s="51"/>
      <c r="H16" s="39"/>
      <c r="I16" s="39"/>
      <c r="J16" s="30"/>
      <c r="K16" s="75"/>
      <c r="L16" s="89"/>
      <c r="M16" s="44"/>
      <c r="R16" s="1">
        <f>IF(vend23[[#This Row],[Nº Venda]]&gt;1,1,0)</f>
        <v>0</v>
      </c>
    </row>
    <row r="17" spans="2:18" ht="16.5" x14ac:dyDescent="0.3">
      <c r="B17" s="27"/>
      <c r="C17" s="27"/>
      <c r="D17" s="30"/>
      <c r="E17" s="75"/>
      <c r="F17" s="76"/>
      <c r="G17" s="51"/>
      <c r="H17" s="39"/>
      <c r="I17" s="39"/>
      <c r="J17" s="30"/>
      <c r="K17" s="75"/>
      <c r="L17" s="89"/>
      <c r="M17" s="44"/>
      <c r="R17" s="1">
        <f>IF(vend23[[#This Row],[Nº Venda]]&gt;1,1,0)</f>
        <v>0</v>
      </c>
    </row>
    <row r="18" spans="2:18" ht="16.5" x14ac:dyDescent="0.3">
      <c r="B18" s="109" t="s">
        <v>12</v>
      </c>
      <c r="C18" s="110"/>
      <c r="D18" s="30"/>
      <c r="E18" s="75"/>
      <c r="F18" s="76"/>
      <c r="G18" s="51"/>
      <c r="H18" s="39"/>
      <c r="I18" s="39"/>
      <c r="J18" s="30"/>
      <c r="K18" s="75"/>
      <c r="L18" s="89"/>
      <c r="M18" s="44"/>
      <c r="R18" s="1">
        <f>IF(vend23[[#This Row],[Nº Venda]]&gt;1,1,0)</f>
        <v>0</v>
      </c>
    </row>
    <row r="19" spans="2:18" ht="16.5" x14ac:dyDescent="0.3">
      <c r="B19" s="28">
        <f>COUNT(entr_carn23[OS])</f>
        <v>1</v>
      </c>
      <c r="C19" s="69">
        <f>SUM(entr_carn23[Valor Total])</f>
        <v>1249</v>
      </c>
      <c r="D19" s="30"/>
      <c r="E19" s="75"/>
      <c r="F19" s="76"/>
      <c r="G19" s="51"/>
      <c r="H19" s="39"/>
      <c r="I19" s="39"/>
      <c r="J19" s="30"/>
      <c r="K19" s="75"/>
      <c r="L19" s="89"/>
      <c r="M19" s="44"/>
      <c r="R19" s="1">
        <f>IF(vend23[[#This Row],[Nº Venda]]&gt;1,1,0)</f>
        <v>0</v>
      </c>
    </row>
    <row r="20" spans="2:18" ht="16.5" x14ac:dyDescent="0.3">
      <c r="B20" s="31" t="s">
        <v>11</v>
      </c>
      <c r="C20" s="70">
        <f>SUM(C19:C19)</f>
        <v>1249</v>
      </c>
      <c r="D20" s="30"/>
      <c r="E20" s="75"/>
      <c r="F20" s="51"/>
      <c r="G20" s="51"/>
      <c r="H20" s="39"/>
      <c r="I20" s="39"/>
      <c r="J20" s="30"/>
      <c r="K20" s="75"/>
      <c r="L20" s="89"/>
      <c r="M20" s="44"/>
      <c r="R20" s="1">
        <f>IF(vend23[[#This Row],[Nº Venda]]&gt;1,1,0)</f>
        <v>0</v>
      </c>
    </row>
    <row r="21" spans="2:18" ht="16.5" x14ac:dyDescent="0.3">
      <c r="B21" s="27"/>
      <c r="C21" s="27"/>
      <c r="D21" s="30"/>
      <c r="E21" s="75"/>
      <c r="F21" s="76"/>
      <c r="G21" s="51"/>
      <c r="H21" s="39"/>
      <c r="I21" s="39"/>
      <c r="J21" s="30"/>
      <c r="K21" s="75"/>
      <c r="L21" s="89"/>
      <c r="M21" s="44"/>
    </row>
    <row r="22" spans="2:18" ht="16.5" x14ac:dyDescent="0.3">
      <c r="B22" s="31" t="s">
        <v>25</v>
      </c>
      <c r="C22" s="34">
        <f>C5</f>
        <v>0</v>
      </c>
      <c r="D22" s="30"/>
      <c r="E22" s="77"/>
      <c r="F22" s="76"/>
      <c r="G22" s="51"/>
      <c r="H22" s="39"/>
      <c r="I22" s="39"/>
      <c r="J22" s="30"/>
      <c r="K22" s="75"/>
      <c r="L22" s="89"/>
      <c r="M22" s="44"/>
    </row>
    <row r="23" spans="2:18" ht="16.5" x14ac:dyDescent="0.3">
      <c r="B23" s="30"/>
      <c r="C23" s="30"/>
      <c r="D23" s="30"/>
      <c r="E23" s="35"/>
      <c r="F23" s="35"/>
      <c r="G23" s="35"/>
      <c r="H23" s="36"/>
      <c r="I23" s="37"/>
      <c r="J23" s="30"/>
      <c r="K23" s="75"/>
      <c r="L23" s="89"/>
      <c r="M23" s="44"/>
    </row>
    <row r="24" spans="2:18" ht="16.5" x14ac:dyDescent="0.3">
      <c r="B24" s="30"/>
      <c r="C24" s="30"/>
      <c r="D24" s="30"/>
      <c r="E24" s="100" t="s">
        <v>138</v>
      </c>
      <c r="F24" s="101"/>
      <c r="G24" s="101"/>
      <c r="H24" s="101"/>
      <c r="I24" s="101"/>
      <c r="J24" s="30"/>
      <c r="K24" s="75"/>
      <c r="L24" s="89"/>
      <c r="M24" s="44"/>
    </row>
    <row r="25" spans="2:18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5"/>
      <c r="L25" s="89"/>
      <c r="M25" s="44"/>
    </row>
    <row r="26" spans="2:18" ht="16.5" x14ac:dyDescent="0.3">
      <c r="B26" s="30"/>
      <c r="C26" s="30"/>
      <c r="D26" s="30"/>
      <c r="E26" s="75">
        <v>10985</v>
      </c>
      <c r="F26" s="76" t="s">
        <v>316</v>
      </c>
      <c r="G26" s="51" t="s">
        <v>6</v>
      </c>
      <c r="H26" s="39"/>
      <c r="I26" s="39">
        <v>200</v>
      </c>
      <c r="J26" s="30"/>
      <c r="K26" s="75"/>
      <c r="L26" s="89"/>
      <c r="M26" s="44"/>
    </row>
    <row r="27" spans="2:18" ht="16.5" x14ac:dyDescent="0.3">
      <c r="B27" s="30"/>
      <c r="C27" s="30"/>
      <c r="D27" s="30"/>
      <c r="E27" s="75"/>
      <c r="F27" s="76"/>
      <c r="G27" s="51"/>
      <c r="H27" s="39"/>
      <c r="I27" s="39"/>
      <c r="J27" s="30"/>
      <c r="K27" s="75"/>
      <c r="L27" s="89"/>
      <c r="M27" s="44"/>
    </row>
    <row r="28" spans="2:18" ht="16.5" x14ac:dyDescent="0.3">
      <c r="B28" s="30"/>
      <c r="C28" s="30"/>
      <c r="D28" s="30"/>
      <c r="E28" s="75"/>
      <c r="F28" s="76"/>
      <c r="G28" s="51"/>
      <c r="H28" s="39"/>
      <c r="I28" s="39"/>
      <c r="J28" s="30"/>
      <c r="K28" s="75"/>
      <c r="L28" s="89"/>
      <c r="M28" s="44"/>
    </row>
    <row r="29" spans="2:18" ht="16.5" x14ac:dyDescent="0.3">
      <c r="B29" s="30"/>
      <c r="C29" s="30"/>
      <c r="D29" s="30"/>
      <c r="E29" s="75"/>
      <c r="F29" s="76"/>
      <c r="G29" s="51"/>
      <c r="H29" s="39"/>
      <c r="I29" s="39"/>
      <c r="J29" s="30"/>
      <c r="K29" s="75"/>
      <c r="L29" s="89"/>
      <c r="M29" s="44"/>
    </row>
    <row r="30" spans="2:18" ht="16.5" x14ac:dyDescent="0.3">
      <c r="B30" s="30"/>
      <c r="C30" s="30"/>
      <c r="D30" s="30"/>
      <c r="E30" s="75"/>
      <c r="F30" s="51"/>
      <c r="G30" s="51"/>
      <c r="H30" s="39"/>
      <c r="I30" s="39"/>
      <c r="J30" s="30"/>
      <c r="K30" s="75"/>
      <c r="L30" s="89"/>
      <c r="M30" s="44"/>
    </row>
    <row r="31" spans="2:18" ht="16.5" x14ac:dyDescent="0.3">
      <c r="B31" s="30"/>
      <c r="C31" s="30"/>
      <c r="D31" s="30"/>
      <c r="E31" s="77"/>
      <c r="F31" s="78"/>
      <c r="G31" s="42"/>
      <c r="H31" s="43"/>
      <c r="I31" s="43"/>
      <c r="J31" s="30"/>
      <c r="K31" s="75"/>
      <c r="L31" s="89"/>
      <c r="M31" s="44"/>
    </row>
    <row r="32" spans="2:18" ht="16.5" x14ac:dyDescent="0.3">
      <c r="B32" s="30"/>
      <c r="C32" s="30"/>
      <c r="D32" s="38"/>
      <c r="E32" s="35"/>
      <c r="F32" s="35"/>
      <c r="G32" s="35"/>
      <c r="H32" s="37"/>
      <c r="I32" s="37"/>
      <c r="J32" s="38"/>
      <c r="K32" s="33"/>
      <c r="L32" s="33"/>
      <c r="M32" s="33"/>
    </row>
    <row r="33" spans="2:18" ht="16.5" x14ac:dyDescent="0.3">
      <c r="B33" s="30"/>
      <c r="C33" s="30"/>
      <c r="D33" s="38"/>
      <c r="E33" s="100" t="s">
        <v>139</v>
      </c>
      <c r="F33" s="101"/>
      <c r="G33" s="101"/>
      <c r="H33" s="101"/>
      <c r="I33" s="101"/>
      <c r="J33" s="38"/>
      <c r="K33" s="102" t="s">
        <v>140</v>
      </c>
      <c r="L33" s="103"/>
      <c r="M33" s="104"/>
    </row>
    <row r="34" spans="2:18" ht="16.5" x14ac:dyDescent="0.3">
      <c r="B34" s="38"/>
      <c r="C34" s="38"/>
      <c r="D34" s="38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75">
        <v>11040</v>
      </c>
      <c r="F35" s="76" t="s">
        <v>313</v>
      </c>
      <c r="G35" s="51" t="s">
        <v>6</v>
      </c>
      <c r="H35" s="39">
        <v>86</v>
      </c>
      <c r="I35" s="39" t="s">
        <v>77</v>
      </c>
      <c r="J35" s="38"/>
      <c r="K35" s="75">
        <v>10985</v>
      </c>
      <c r="L35" s="75">
        <v>7</v>
      </c>
      <c r="M35" s="89">
        <v>1249</v>
      </c>
    </row>
    <row r="36" spans="2:18" ht="16.5" customHeight="1" x14ac:dyDescent="0.25">
      <c r="B36" s="38"/>
      <c r="C36" s="38"/>
      <c r="D36" s="38"/>
      <c r="E36" s="81">
        <v>11040</v>
      </c>
      <c r="F36" s="76" t="s">
        <v>313</v>
      </c>
      <c r="G36" s="51" t="s">
        <v>6</v>
      </c>
      <c r="H36" s="39">
        <v>14</v>
      </c>
      <c r="I36" s="39" t="s">
        <v>31</v>
      </c>
      <c r="J36" s="38"/>
      <c r="K36" s="75"/>
      <c r="L36" s="75"/>
      <c r="M36" s="89"/>
    </row>
    <row r="37" spans="2:18" ht="16.5" customHeight="1" x14ac:dyDescent="0.25">
      <c r="B37" s="38"/>
      <c r="C37" s="38"/>
      <c r="D37" s="38"/>
      <c r="E37" s="75"/>
      <c r="F37" s="76"/>
      <c r="G37" s="51"/>
      <c r="H37" s="39"/>
      <c r="I37" s="39"/>
      <c r="J37" s="38"/>
      <c r="K37" s="75"/>
      <c r="L37" s="75"/>
      <c r="M37" s="89"/>
    </row>
    <row r="38" spans="2:18" ht="16.5" customHeight="1" x14ac:dyDescent="0.25">
      <c r="B38" s="38"/>
      <c r="C38" s="38"/>
      <c r="D38" s="38"/>
      <c r="E38" s="75"/>
      <c r="F38" s="76"/>
      <c r="G38" s="51"/>
      <c r="H38" s="39"/>
      <c r="I38" s="39"/>
      <c r="J38" s="38"/>
      <c r="K38" s="75"/>
      <c r="L38" s="75"/>
      <c r="M38" s="89"/>
    </row>
    <row r="39" spans="2:18" ht="16.5" customHeight="1" x14ac:dyDescent="0.25">
      <c r="B39" s="38"/>
      <c r="C39" s="38"/>
      <c r="D39" s="38"/>
      <c r="E39" s="75"/>
      <c r="F39" s="51"/>
      <c r="G39" s="51"/>
      <c r="H39" s="39"/>
      <c r="I39" s="39"/>
      <c r="J39" s="38"/>
      <c r="K39" s="75"/>
      <c r="L39" s="75"/>
      <c r="M39" s="89"/>
    </row>
    <row r="40" spans="2:18" ht="16.5" customHeight="1" x14ac:dyDescent="0.25">
      <c r="B40" s="38"/>
      <c r="C40" s="38"/>
      <c r="D40" s="38"/>
      <c r="E40" s="77"/>
      <c r="F40" s="78"/>
      <c r="G40" s="42"/>
      <c r="H40" s="43"/>
      <c r="I40" s="39"/>
      <c r="J40" s="38"/>
      <c r="K40" s="77"/>
      <c r="L40" s="77"/>
      <c r="M40" s="90"/>
      <c r="Q40" s="1" t="s">
        <v>33</v>
      </c>
      <c r="R40" s="1">
        <f>SUM(R6:R21)</f>
        <v>3</v>
      </c>
    </row>
    <row r="41" spans="2:18" ht="16.5" customHeight="1" x14ac:dyDescent="0.25">
      <c r="B41" s="38"/>
      <c r="C41" s="38"/>
      <c r="D41" s="38"/>
      <c r="E41" s="82"/>
      <c r="F41" s="51"/>
      <c r="G41" s="51"/>
      <c r="H41" s="39"/>
      <c r="I41" s="39"/>
      <c r="J41" s="38"/>
      <c r="K41" s="75"/>
      <c r="L41" s="75"/>
      <c r="M41" s="90"/>
    </row>
    <row r="42" spans="2:18" ht="13.5" x14ac:dyDescent="0.25">
      <c r="B42" s="38"/>
      <c r="C42" s="38"/>
      <c r="D42" s="38"/>
      <c r="E42" s="35"/>
      <c r="F42" s="35"/>
      <c r="G42" s="35"/>
      <c r="H42" s="37"/>
      <c r="I42" s="37"/>
      <c r="J42" s="38"/>
      <c r="K42" s="33"/>
      <c r="L42" s="33"/>
      <c r="M42" s="33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52016EB-B3F3-4E72-938F-B715086C6EB1}">
          <x14:formula1>
            <xm:f>base!$E$2:$E$79</xm:f>
          </x14:formula1>
          <xm:sqref>I35:I41</xm:sqref>
        </x14:dataValidation>
        <x14:dataValidation type="list" allowBlank="1" showInputMessage="1" showErrorMessage="1" xr:uid="{FC79B766-307F-4133-952C-17BC6AEB1E91}">
          <x14:formula1>
            <xm:f>resumo_cx!$P$2:$P$18</xm:f>
          </x14:formula1>
          <xm:sqref>L15:L31</xm:sqref>
        </x14:dataValidation>
        <x14:dataValidation type="list" allowBlank="1" showInputMessage="1" showErrorMessage="1" xr:uid="{6FD962C1-E69D-4546-91FF-8769245EAF24}">
          <x14:formula1>
            <xm:f>base_OS!$A$2:$A$15000</xm:f>
          </x14:formula1>
          <xm:sqref>E6:E22 E26:E31 E35:E41 K35:K41 K15:K28 K30:K31</xm:sqref>
        </x14:dataValidation>
        <x14:dataValidation type="list" allowBlank="1" showInputMessage="1" showErrorMessage="1" xr:uid="{C91A013F-B5AB-4066-9C5C-FC038E017C5E}">
          <x14:formula1>
            <xm:f>base!$A$2:$A$8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base!$A$2:$A$5</xm:f>
          </x14:formula1>
          <xm:sqref>G26:G31 G35:G41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5"/>
  <sheetViews>
    <sheetView showGridLines="0" view="pageBreakPreview" topLeftCell="A4" zoomScale="60" zoomScaleNormal="9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'23'!B1+1</f>
        <v>45832</v>
      </c>
      <c r="C1" s="98"/>
      <c r="L1" s="99" t="s">
        <v>143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5" t="s">
        <v>0</v>
      </c>
      <c r="C4" s="26">
        <v>0</v>
      </c>
      <c r="D4" s="58"/>
      <c r="E4" s="108" t="s">
        <v>136</v>
      </c>
      <c r="F4" s="108"/>
      <c r="G4" s="108"/>
      <c r="H4" s="108"/>
      <c r="I4" s="108"/>
      <c r="J4" s="30"/>
      <c r="K4" s="102" t="s">
        <v>137</v>
      </c>
      <c r="L4" s="103"/>
      <c r="M4" s="104"/>
    </row>
    <row r="5" spans="2:18" ht="16.5" x14ac:dyDescent="0.3">
      <c r="B5" s="28" t="s">
        <v>1</v>
      </c>
      <c r="C5" s="29">
        <f>SUMIF(I6:I31,"&gt;0",H6:H31)</f>
        <v>2405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18" ht="16.5" x14ac:dyDescent="0.3">
      <c r="B6" s="28" t="s">
        <v>2</v>
      </c>
      <c r="C6" s="29">
        <f>C16</f>
        <v>2698.32</v>
      </c>
      <c r="D6" s="30"/>
      <c r="E6" s="75">
        <v>11262</v>
      </c>
      <c r="F6" s="76" t="s">
        <v>317</v>
      </c>
      <c r="G6" s="51" t="s">
        <v>8</v>
      </c>
      <c r="H6" s="39">
        <v>990</v>
      </c>
      <c r="I6" s="39">
        <v>990</v>
      </c>
      <c r="J6" s="30"/>
      <c r="K6" s="76" t="s">
        <v>145</v>
      </c>
      <c r="L6" s="89" t="s">
        <v>10</v>
      </c>
      <c r="M6" s="44">
        <v>2.56</v>
      </c>
      <c r="R6" s="1">
        <f>IF(vend24[[#This Row],[Nº Venda]]&gt;1,1,0)</f>
        <v>1</v>
      </c>
    </row>
    <row r="7" spans="2:18" ht="16.5" x14ac:dyDescent="0.3">
      <c r="B7" s="28" t="s">
        <v>3</v>
      </c>
      <c r="C7" s="29">
        <f>SUM(M6:M11)</f>
        <v>2.56</v>
      </c>
      <c r="D7" s="30"/>
      <c r="E7" s="75">
        <v>11263</v>
      </c>
      <c r="F7" s="76" t="s">
        <v>228</v>
      </c>
      <c r="G7" s="51" t="s">
        <v>46</v>
      </c>
      <c r="H7" s="39">
        <v>1290</v>
      </c>
      <c r="I7" s="39">
        <v>0</v>
      </c>
      <c r="J7" s="30"/>
      <c r="K7" s="76"/>
      <c r="L7" s="89"/>
      <c r="M7" s="44"/>
      <c r="R7" s="1">
        <f>IF(vend24[[#This Row],[Nº Venda]]&gt;1,1,0)</f>
        <v>1</v>
      </c>
    </row>
    <row r="8" spans="2:18" ht="16.5" x14ac:dyDescent="0.3">
      <c r="B8" s="31" t="s">
        <v>21</v>
      </c>
      <c r="C8" s="32">
        <f>SUM(C6:C7)</f>
        <v>2700.88</v>
      </c>
      <c r="D8" s="30"/>
      <c r="E8" s="75">
        <v>11264</v>
      </c>
      <c r="F8" s="76" t="s">
        <v>318</v>
      </c>
      <c r="G8" s="51" t="s">
        <v>6</v>
      </c>
      <c r="H8" s="39">
        <v>1415</v>
      </c>
      <c r="I8" s="39">
        <v>500</v>
      </c>
      <c r="J8" s="30"/>
      <c r="K8" s="76"/>
      <c r="L8" s="89"/>
      <c r="M8" s="44"/>
      <c r="R8" s="1">
        <f>IF(vend24[[#This Row],[Nº Venda]]&gt;1,1,0)</f>
        <v>1</v>
      </c>
    </row>
    <row r="9" spans="2:18" ht="16.5" x14ac:dyDescent="0.3">
      <c r="B9" s="27"/>
      <c r="C9" s="27"/>
      <c r="D9" s="30"/>
      <c r="E9" s="75">
        <v>11264</v>
      </c>
      <c r="F9" s="76" t="s">
        <v>318</v>
      </c>
      <c r="G9" s="51" t="s">
        <v>8</v>
      </c>
      <c r="H9" s="39"/>
      <c r="I9" s="39">
        <v>915</v>
      </c>
      <c r="J9" s="30"/>
      <c r="K9" s="76"/>
      <c r="L9" s="89"/>
      <c r="M9" s="44"/>
      <c r="R9" s="1">
        <f>IF(vend24[[#This Row],[Nº Venda]]&gt;1,1,0)</f>
        <v>1</v>
      </c>
    </row>
    <row r="10" spans="2:18" ht="16.5" x14ac:dyDescent="0.3">
      <c r="B10" s="109" t="s">
        <v>5</v>
      </c>
      <c r="C10" s="110"/>
      <c r="D10" s="30"/>
      <c r="E10" s="75"/>
      <c r="F10" s="76"/>
      <c r="G10" s="51"/>
      <c r="H10" s="39"/>
      <c r="I10" s="39"/>
      <c r="J10" s="30"/>
      <c r="K10" s="76"/>
      <c r="L10" s="89"/>
      <c r="M10" s="44"/>
      <c r="R10" s="1">
        <f>IF(vend24[[#This Row],[Nº Venda]]&gt;1,1,0)</f>
        <v>0</v>
      </c>
    </row>
    <row r="11" spans="2:18" ht="16.5" x14ac:dyDescent="0.3">
      <c r="B11" s="28" t="s">
        <v>6</v>
      </c>
      <c r="C11" s="69">
        <f>(SUMIF($G$2:$G$31,B11,$I$2:$I$31))+(SUMIF($G$35:$G$41,B11,$H$35:$H$41))</f>
        <v>500</v>
      </c>
      <c r="D11" s="30"/>
      <c r="E11" s="75"/>
      <c r="F11" s="76"/>
      <c r="G11" s="51"/>
      <c r="H11" s="39"/>
      <c r="I11" s="39"/>
      <c r="J11" s="30"/>
      <c r="K11" s="38"/>
      <c r="L11" s="89"/>
      <c r="M11" s="44"/>
      <c r="O11" s="1">
        <f>IF(C16=0,0,1)</f>
        <v>1</v>
      </c>
      <c r="R11" s="1">
        <f>IF(vend24[[#This Row],[Nº Venda]]&gt;1,1,0)</f>
        <v>0</v>
      </c>
    </row>
    <row r="12" spans="2:18" ht="16.5" x14ac:dyDescent="0.3">
      <c r="B12" s="28" t="s">
        <v>7</v>
      </c>
      <c r="C12" s="69">
        <f t="shared" ref="C12:C15" si="0">(SUMIF($G$2:$G$31,B12,$I$2:$I$31))+(SUMIF($G$35:$G$41,B12,$H$35:$H$41))</f>
        <v>0</v>
      </c>
      <c r="D12" s="30"/>
      <c r="E12" s="75"/>
      <c r="F12" s="76"/>
      <c r="G12" s="51"/>
      <c r="H12" s="39"/>
      <c r="I12" s="39"/>
      <c r="J12" s="30"/>
      <c r="K12" s="33"/>
      <c r="L12" s="33"/>
      <c r="M12" s="33"/>
      <c r="R12" s="1">
        <f>IF(vend24[[#This Row],[Nº Venda]]&gt;1,1,0)</f>
        <v>0</v>
      </c>
    </row>
    <row r="13" spans="2:18" ht="16.5" x14ac:dyDescent="0.3">
      <c r="B13" s="28" t="s">
        <v>8</v>
      </c>
      <c r="C13" s="69">
        <f t="shared" si="0"/>
        <v>1905</v>
      </c>
      <c r="D13" s="30"/>
      <c r="E13" s="75"/>
      <c r="F13" s="76"/>
      <c r="G13" s="51"/>
      <c r="H13" s="39"/>
      <c r="I13" s="39"/>
      <c r="J13" s="30"/>
      <c r="K13" s="102" t="s">
        <v>141</v>
      </c>
      <c r="L13" s="103"/>
      <c r="M13" s="104"/>
      <c r="R13" s="1">
        <f>IF(vend24[[#This Row],[Nº Venda]]&gt;1,1,0)</f>
        <v>0</v>
      </c>
    </row>
    <row r="14" spans="2:18" ht="16.5" x14ac:dyDescent="0.3">
      <c r="B14" s="28" t="s">
        <v>9</v>
      </c>
      <c r="C14" s="69">
        <f t="shared" si="0"/>
        <v>0</v>
      </c>
      <c r="D14" s="30"/>
      <c r="E14" s="75"/>
      <c r="F14" s="76"/>
      <c r="G14" s="51"/>
      <c r="H14" s="39"/>
      <c r="I14" s="39"/>
      <c r="J14" s="30"/>
      <c r="K14" s="22" t="s">
        <v>22</v>
      </c>
      <c r="L14" s="23" t="s">
        <v>23</v>
      </c>
      <c r="M14" s="24" t="s">
        <v>24</v>
      </c>
      <c r="R14" s="1">
        <f>IF(vend24[[#This Row],[Nº Venda]]&gt;1,1,0)</f>
        <v>0</v>
      </c>
    </row>
    <row r="15" spans="2:18" ht="16.5" x14ac:dyDescent="0.3">
      <c r="B15" s="28" t="s">
        <v>10</v>
      </c>
      <c r="C15" s="69">
        <f t="shared" si="0"/>
        <v>293.32</v>
      </c>
      <c r="D15" s="30"/>
      <c r="E15" s="75"/>
      <c r="F15" s="76"/>
      <c r="G15" s="51"/>
      <c r="H15" s="39"/>
      <c r="I15" s="39"/>
      <c r="J15" s="30"/>
      <c r="K15" s="75">
        <v>11122</v>
      </c>
      <c r="L15" s="89" t="s">
        <v>128</v>
      </c>
      <c r="M15" s="44" t="s">
        <v>146</v>
      </c>
      <c r="R15" s="1">
        <f>IF(vend24[[#This Row],[Nº Venda]]&gt;1,1,0)</f>
        <v>0</v>
      </c>
    </row>
    <row r="16" spans="2:18" ht="16.5" x14ac:dyDescent="0.3">
      <c r="B16" s="31" t="s">
        <v>11</v>
      </c>
      <c r="C16" s="70">
        <f>SUM(C11:C15)</f>
        <v>2698.32</v>
      </c>
      <c r="D16" s="30"/>
      <c r="E16" s="75"/>
      <c r="F16" s="76"/>
      <c r="G16" s="51"/>
      <c r="H16" s="39"/>
      <c r="I16" s="39"/>
      <c r="J16" s="30"/>
      <c r="K16" s="75"/>
      <c r="L16" s="89"/>
      <c r="M16" s="44"/>
      <c r="R16" s="1">
        <f>IF(vend24[[#This Row],[Nº Venda]]&gt;1,1,0)</f>
        <v>0</v>
      </c>
    </row>
    <row r="17" spans="2:18" ht="16.5" x14ac:dyDescent="0.3">
      <c r="B17" s="27"/>
      <c r="C17" s="27"/>
      <c r="D17" s="30"/>
      <c r="E17" s="75"/>
      <c r="F17" s="76"/>
      <c r="G17" s="51"/>
      <c r="H17" s="39"/>
      <c r="I17" s="39"/>
      <c r="J17" s="30"/>
      <c r="K17" s="75"/>
      <c r="L17" s="89"/>
      <c r="M17" s="44"/>
      <c r="R17" s="1">
        <f>IF(vend24[[#This Row],[Nº Venda]]&gt;1,1,0)</f>
        <v>0</v>
      </c>
    </row>
    <row r="18" spans="2:18" ht="16.5" x14ac:dyDescent="0.3">
      <c r="B18" s="109" t="s">
        <v>12</v>
      </c>
      <c r="C18" s="110"/>
      <c r="D18" s="30"/>
      <c r="E18" s="75"/>
      <c r="F18" s="76"/>
      <c r="G18" s="51"/>
      <c r="H18" s="39"/>
      <c r="I18" s="39"/>
      <c r="J18" s="30"/>
      <c r="K18" s="75"/>
      <c r="L18" s="89"/>
      <c r="M18" s="44"/>
      <c r="R18" s="1">
        <f>IF(vend24[[#This Row],[Nº Venda]]&gt;1,1,0)</f>
        <v>0</v>
      </c>
    </row>
    <row r="19" spans="2:18" ht="16.5" x14ac:dyDescent="0.3">
      <c r="B19" s="28">
        <f>COUNT(entr_carn24[OS])</f>
        <v>0</v>
      </c>
      <c r="C19" s="69">
        <f>SUM(entr_carn24[Valor Total])</f>
        <v>0</v>
      </c>
      <c r="D19" s="30"/>
      <c r="E19" s="75"/>
      <c r="F19" s="76"/>
      <c r="G19" s="51"/>
      <c r="H19" s="39"/>
      <c r="I19" s="39"/>
      <c r="J19" s="30"/>
      <c r="K19" s="75"/>
      <c r="L19" s="89"/>
      <c r="M19" s="44"/>
      <c r="R19" s="1">
        <f>IF(vend24[[#This Row],[Nº Venda]]&gt;1,1,0)</f>
        <v>0</v>
      </c>
    </row>
    <row r="20" spans="2:18" ht="16.5" x14ac:dyDescent="0.3">
      <c r="B20" s="31" t="s">
        <v>11</v>
      </c>
      <c r="C20" s="70">
        <f>SUM(C19:C19)</f>
        <v>0</v>
      </c>
      <c r="D20" s="30"/>
      <c r="E20" s="75"/>
      <c r="F20" s="51"/>
      <c r="G20" s="51"/>
      <c r="H20" s="39"/>
      <c r="I20" s="39"/>
      <c r="J20" s="30"/>
      <c r="K20" s="75"/>
      <c r="L20" s="89"/>
      <c r="M20" s="44"/>
      <c r="R20" s="1">
        <f>IF(vend24[[#This Row],[Nº Venda]]&gt;1,1,0)</f>
        <v>0</v>
      </c>
    </row>
    <row r="21" spans="2:18" ht="16.5" x14ac:dyDescent="0.3">
      <c r="B21" s="27"/>
      <c r="C21" s="27"/>
      <c r="D21" s="30"/>
      <c r="E21" s="75"/>
      <c r="F21" s="76"/>
      <c r="G21" s="51"/>
      <c r="H21" s="39"/>
      <c r="I21" s="39"/>
      <c r="J21" s="30"/>
      <c r="K21" s="75"/>
      <c r="L21" s="89"/>
      <c r="M21" s="44"/>
    </row>
    <row r="22" spans="2:18" ht="16.5" x14ac:dyDescent="0.3">
      <c r="B22" s="31" t="s">
        <v>25</v>
      </c>
      <c r="C22" s="34">
        <f>C5</f>
        <v>2405</v>
      </c>
      <c r="D22" s="30"/>
      <c r="E22" s="77"/>
      <c r="F22" s="76"/>
      <c r="G22" s="51"/>
      <c r="H22" s="39"/>
      <c r="I22" s="39"/>
      <c r="J22" s="30"/>
      <c r="K22" s="75"/>
      <c r="L22" s="89"/>
      <c r="M22" s="44"/>
    </row>
    <row r="23" spans="2:18" ht="16.5" x14ac:dyDescent="0.3">
      <c r="B23" s="30"/>
      <c r="C23" s="30"/>
      <c r="D23" s="30"/>
      <c r="E23" s="35"/>
      <c r="F23" s="35"/>
      <c r="G23" s="35"/>
      <c r="H23" s="36"/>
      <c r="I23" s="37"/>
      <c r="J23" s="30"/>
      <c r="K23" s="75"/>
      <c r="L23" s="89"/>
      <c r="M23" s="44"/>
    </row>
    <row r="24" spans="2:18" ht="16.5" x14ac:dyDescent="0.3">
      <c r="B24" s="30"/>
      <c r="C24" s="30"/>
      <c r="D24" s="30"/>
      <c r="E24" s="100" t="s">
        <v>138</v>
      </c>
      <c r="F24" s="101"/>
      <c r="G24" s="101"/>
      <c r="H24" s="101"/>
      <c r="I24" s="101"/>
      <c r="J24" s="30"/>
      <c r="K24" s="75"/>
      <c r="L24" s="89"/>
      <c r="M24" s="44"/>
    </row>
    <row r="25" spans="2:18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5"/>
      <c r="L25" s="89"/>
      <c r="M25" s="44"/>
    </row>
    <row r="26" spans="2:18" ht="16.5" x14ac:dyDescent="0.3">
      <c r="B26" s="30"/>
      <c r="C26" s="30"/>
      <c r="D26" s="30"/>
      <c r="E26" s="75"/>
      <c r="F26" s="76"/>
      <c r="G26" s="51"/>
      <c r="H26" s="39"/>
      <c r="I26" s="39"/>
      <c r="J26" s="30"/>
      <c r="K26" s="75"/>
      <c r="L26" s="89"/>
      <c r="M26" s="44"/>
    </row>
    <row r="27" spans="2:18" ht="16.5" x14ac:dyDescent="0.3">
      <c r="B27" s="30"/>
      <c r="C27" s="30"/>
      <c r="D27" s="30"/>
      <c r="E27" s="75"/>
      <c r="F27" s="76"/>
      <c r="G27" s="51"/>
      <c r="H27" s="39"/>
      <c r="I27" s="39"/>
      <c r="J27" s="30"/>
      <c r="K27" s="75"/>
      <c r="L27" s="89"/>
      <c r="M27" s="44"/>
    </row>
    <row r="28" spans="2:18" ht="16.5" x14ac:dyDescent="0.3">
      <c r="B28" s="30"/>
      <c r="C28" s="30"/>
      <c r="D28" s="30"/>
      <c r="E28" s="75"/>
      <c r="F28" s="76"/>
      <c r="G28" s="51"/>
      <c r="H28" s="39"/>
      <c r="I28" s="39"/>
      <c r="J28" s="30"/>
      <c r="K28" s="75"/>
      <c r="L28" s="89"/>
      <c r="M28" s="44"/>
    </row>
    <row r="29" spans="2:18" ht="16.5" x14ac:dyDescent="0.3">
      <c r="B29" s="30"/>
      <c r="C29" s="30"/>
      <c r="D29" s="30"/>
      <c r="E29" s="75"/>
      <c r="F29" s="76"/>
      <c r="G29" s="51"/>
      <c r="H29" s="39"/>
      <c r="I29" s="39"/>
      <c r="J29" s="30"/>
      <c r="K29" s="75"/>
      <c r="L29" s="89"/>
      <c r="M29" s="44"/>
    </row>
    <row r="30" spans="2:18" ht="16.5" x14ac:dyDescent="0.3">
      <c r="B30" s="30"/>
      <c r="C30" s="30"/>
      <c r="D30" s="30"/>
      <c r="E30" s="75"/>
      <c r="F30" s="51"/>
      <c r="G30" s="51"/>
      <c r="H30" s="39"/>
      <c r="I30" s="39"/>
      <c r="J30" s="30"/>
      <c r="K30" s="75"/>
      <c r="L30" s="89"/>
      <c r="M30" s="44"/>
    </row>
    <row r="31" spans="2:18" ht="16.5" x14ac:dyDescent="0.3">
      <c r="B31" s="30"/>
      <c r="C31" s="30"/>
      <c r="D31" s="30"/>
      <c r="E31" s="77"/>
      <c r="F31" s="78"/>
      <c r="G31" s="42"/>
      <c r="H31" s="43"/>
      <c r="I31" s="43"/>
      <c r="J31" s="30"/>
      <c r="K31" s="75"/>
      <c r="L31" s="89"/>
      <c r="M31" s="44"/>
    </row>
    <row r="32" spans="2:18" ht="16.5" x14ac:dyDescent="0.3">
      <c r="B32" s="30"/>
      <c r="C32" s="30"/>
      <c r="D32" s="38"/>
      <c r="E32" s="35"/>
      <c r="F32" s="35"/>
      <c r="G32" s="35"/>
      <c r="H32" s="37"/>
      <c r="I32" s="37"/>
      <c r="J32" s="38"/>
      <c r="K32" s="33"/>
      <c r="L32" s="33"/>
      <c r="M32" s="33"/>
    </row>
    <row r="33" spans="2:18" ht="16.5" x14ac:dyDescent="0.3">
      <c r="B33" s="30"/>
      <c r="C33" s="30"/>
      <c r="D33" s="38"/>
      <c r="E33" s="100" t="s">
        <v>139</v>
      </c>
      <c r="F33" s="101"/>
      <c r="G33" s="101"/>
      <c r="H33" s="101"/>
      <c r="I33" s="101"/>
      <c r="J33" s="38"/>
      <c r="K33" s="102" t="s">
        <v>140</v>
      </c>
      <c r="L33" s="103"/>
      <c r="M33" s="104"/>
    </row>
    <row r="34" spans="2:18" ht="16.5" x14ac:dyDescent="0.3">
      <c r="B34" s="38"/>
      <c r="C34" s="38"/>
      <c r="D34" s="38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75">
        <v>10732</v>
      </c>
      <c r="F35" s="76" t="s">
        <v>319</v>
      </c>
      <c r="G35" s="51" t="s">
        <v>10</v>
      </c>
      <c r="H35" s="39">
        <v>146.66</v>
      </c>
      <c r="I35" s="39" t="s">
        <v>50</v>
      </c>
      <c r="J35" s="38"/>
      <c r="K35" s="75"/>
      <c r="L35" s="75"/>
      <c r="M35" s="89"/>
    </row>
    <row r="36" spans="2:18" ht="16.5" customHeight="1" x14ac:dyDescent="0.25">
      <c r="B36" s="38"/>
      <c r="C36" s="38"/>
      <c r="D36" s="38"/>
      <c r="E36" s="81">
        <v>10732</v>
      </c>
      <c r="F36" s="76" t="s">
        <v>319</v>
      </c>
      <c r="G36" s="51" t="s">
        <v>10</v>
      </c>
      <c r="H36" s="39">
        <v>146.66</v>
      </c>
      <c r="I36" s="39" t="s">
        <v>41</v>
      </c>
      <c r="J36" s="38"/>
      <c r="K36" s="75"/>
      <c r="L36" s="75"/>
      <c r="M36" s="89"/>
    </row>
    <row r="37" spans="2:18" ht="16.5" customHeight="1" x14ac:dyDescent="0.25">
      <c r="B37" s="38"/>
      <c r="C37" s="38"/>
      <c r="D37" s="38"/>
      <c r="E37" s="75"/>
      <c r="F37" s="76"/>
      <c r="G37" s="51"/>
      <c r="H37" s="39"/>
      <c r="I37" s="39"/>
      <c r="J37" s="38"/>
      <c r="K37" s="75"/>
      <c r="L37" s="75"/>
      <c r="M37" s="89"/>
    </row>
    <row r="38" spans="2:18" ht="16.5" customHeight="1" x14ac:dyDescent="0.25">
      <c r="B38" s="38"/>
      <c r="C38" s="38"/>
      <c r="D38" s="38"/>
      <c r="E38" s="75"/>
      <c r="F38" s="76"/>
      <c r="G38" s="51"/>
      <c r="H38" s="39"/>
      <c r="I38" s="39"/>
      <c r="J38" s="38"/>
      <c r="K38" s="75"/>
      <c r="L38" s="75"/>
      <c r="M38" s="89"/>
    </row>
    <row r="39" spans="2:18" ht="16.5" customHeight="1" x14ac:dyDescent="0.25">
      <c r="B39" s="38"/>
      <c r="C39" s="38"/>
      <c r="D39" s="38"/>
      <c r="E39" s="75"/>
      <c r="F39" s="51"/>
      <c r="G39" s="51"/>
      <c r="H39" s="39"/>
      <c r="I39" s="39"/>
      <c r="J39" s="38"/>
      <c r="K39" s="75"/>
      <c r="L39" s="75"/>
      <c r="M39" s="89"/>
    </row>
    <row r="40" spans="2:18" ht="16.5" customHeight="1" x14ac:dyDescent="0.25">
      <c r="B40" s="38"/>
      <c r="C40" s="38"/>
      <c r="D40" s="38"/>
      <c r="E40" s="77"/>
      <c r="F40" s="78"/>
      <c r="G40" s="42"/>
      <c r="H40" s="43"/>
      <c r="I40" s="39"/>
      <c r="J40" s="38"/>
      <c r="K40" s="77"/>
      <c r="L40" s="77"/>
      <c r="M40" s="90"/>
      <c r="Q40" s="1" t="s">
        <v>33</v>
      </c>
      <c r="R40" s="1">
        <f>SUM(R6:R21)</f>
        <v>4</v>
      </c>
    </row>
    <row r="41" spans="2:18" ht="16.5" customHeight="1" x14ac:dyDescent="0.25">
      <c r="B41" s="38"/>
      <c r="C41" s="38"/>
      <c r="D41" s="38"/>
      <c r="E41" s="80"/>
      <c r="F41" s="51"/>
      <c r="G41" s="51"/>
      <c r="H41" s="39"/>
      <c r="I41" s="39"/>
      <c r="J41" s="38"/>
      <c r="K41" s="75"/>
      <c r="L41" s="75"/>
      <c r="M41" s="90"/>
    </row>
    <row r="42" spans="2:18" ht="13.5" x14ac:dyDescent="0.25">
      <c r="B42" s="38"/>
      <c r="C42" s="38"/>
      <c r="D42" s="38"/>
      <c r="E42" s="35"/>
      <c r="F42" s="35"/>
      <c r="G42" s="35"/>
      <c r="H42" s="37"/>
      <c r="I42" s="37"/>
      <c r="J42" s="38"/>
      <c r="K42" s="33"/>
      <c r="L42" s="33"/>
      <c r="M42" s="33"/>
    </row>
    <row r="43" spans="2:18" ht="13.5" x14ac:dyDescent="0.25">
      <c r="B43" s="38"/>
      <c r="C43" s="38"/>
      <c r="D43" s="38"/>
      <c r="E43" s="35"/>
      <c r="F43" s="35"/>
      <c r="G43" s="35"/>
      <c r="H43" s="37"/>
      <c r="I43" s="37"/>
      <c r="J43" s="38"/>
      <c r="K43" s="33"/>
      <c r="L43" s="33"/>
      <c r="M43" s="33"/>
    </row>
    <row r="44" spans="2:18" ht="13.5" x14ac:dyDescent="0.25">
      <c r="B44" s="38"/>
      <c r="C44" s="38"/>
      <c r="D44" s="38"/>
      <c r="E44" s="35"/>
      <c r="F44" s="35"/>
      <c r="G44" s="35"/>
      <c r="H44" s="37"/>
      <c r="I44" s="37"/>
      <c r="J44" s="38"/>
      <c r="K44" s="33"/>
      <c r="L44" s="33"/>
      <c r="M44" s="33"/>
    </row>
    <row r="45" spans="2:18" ht="13.5" x14ac:dyDescent="0.25">
      <c r="B45" s="38"/>
      <c r="C45" s="38"/>
      <c r="D45" s="38"/>
      <c r="E45" s="35"/>
      <c r="F45" s="35"/>
      <c r="G45" s="35"/>
      <c r="H45" s="37"/>
      <c r="I45" s="37"/>
      <c r="J45" s="38"/>
      <c r="K45" s="33"/>
      <c r="L45" s="33"/>
      <c r="M45" s="33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  <x14:dataValidation type="list" allowBlank="1" showInputMessage="1" showErrorMessage="1" xr:uid="{DAA287A3-0D27-4578-B91B-0AF40F6C31BB}">
          <x14:formula1>
            <xm:f>resumo_cx!$P$2:$P$18</xm:f>
          </x14:formula1>
          <xm:sqref>L15:L31</xm:sqref>
        </x14:dataValidation>
        <x14:dataValidation type="list" allowBlank="1" showInputMessage="1" showErrorMessage="1" xr:uid="{CAF88509-F9A3-4488-8204-3FF359426D6C}">
          <x14:formula1>
            <xm:f>base_OS!$A$2:$A$15000</xm:f>
          </x14:formula1>
          <xm:sqref>E6:E22 E26:E31 E35:E41 K35:K41 K15:K31</xm:sqref>
        </x14:dataValidation>
        <x14:dataValidation type="list" allowBlank="1" showInputMessage="1" showErrorMessage="1" xr:uid="{18A6F7EE-195C-4324-9E05-F5B94E183D0C}">
          <x14:formula1>
            <xm:f>base!$A$2:$A$8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base!$A$2:$A$5</xm:f>
          </x14:formula1>
          <xm:sqref>G26:G31 G35:G41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R45"/>
  <sheetViews>
    <sheetView showGridLines="0" view="pageBreakPreview" topLeftCell="A4" zoomScale="60" zoomScaleNormal="90" workbookViewId="0">
      <selection activeCell="H31" sqref="H3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'24'!B1+1</f>
        <v>45833</v>
      </c>
      <c r="C1" s="98"/>
      <c r="L1" s="99" t="s">
        <v>143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5" t="s">
        <v>0</v>
      </c>
      <c r="C4" s="26">
        <v>0</v>
      </c>
      <c r="D4" s="58"/>
      <c r="E4" s="108" t="s">
        <v>136</v>
      </c>
      <c r="F4" s="108"/>
      <c r="G4" s="108"/>
      <c r="H4" s="108"/>
      <c r="I4" s="108"/>
      <c r="J4" s="30"/>
      <c r="K4" s="102" t="s">
        <v>137</v>
      </c>
      <c r="L4" s="103"/>
      <c r="M4" s="104"/>
    </row>
    <row r="5" spans="2:18" ht="16.5" x14ac:dyDescent="0.3">
      <c r="B5" s="28" t="s">
        <v>1</v>
      </c>
      <c r="C5" s="29">
        <f>SUMIF(I6:I31,"&gt;0",H6:H31)</f>
        <v>1440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18" ht="16.5" x14ac:dyDescent="0.3">
      <c r="B6" s="28" t="s">
        <v>2</v>
      </c>
      <c r="C6" s="29">
        <f ca="1">C16</f>
        <v>2990</v>
      </c>
      <c r="D6" s="30"/>
      <c r="E6" s="75">
        <v>11265</v>
      </c>
      <c r="F6" s="76" t="s">
        <v>320</v>
      </c>
      <c r="G6" s="51" t="s">
        <v>10</v>
      </c>
      <c r="H6" s="39">
        <v>40</v>
      </c>
      <c r="I6" s="39">
        <v>40</v>
      </c>
      <c r="J6" s="30"/>
      <c r="K6" s="76" t="s">
        <v>161</v>
      </c>
      <c r="L6" s="89" t="s">
        <v>322</v>
      </c>
      <c r="M6" s="44">
        <v>3.98</v>
      </c>
      <c r="R6" s="1">
        <f>IF(vend25[[#This Row],[Nº Venda]]&gt;1,1,0)</f>
        <v>1</v>
      </c>
    </row>
    <row r="7" spans="2:18" ht="16.5" x14ac:dyDescent="0.3">
      <c r="B7" s="28" t="s">
        <v>3</v>
      </c>
      <c r="C7" s="29">
        <f>SUM(M6:M11)</f>
        <v>53.98</v>
      </c>
      <c r="D7" s="30"/>
      <c r="E7" s="75">
        <v>11266</v>
      </c>
      <c r="F7" s="76" t="s">
        <v>323</v>
      </c>
      <c r="G7" s="51" t="s">
        <v>8</v>
      </c>
      <c r="H7" s="39">
        <v>370</v>
      </c>
      <c r="I7" s="39">
        <v>370</v>
      </c>
      <c r="J7" s="30"/>
      <c r="K7" s="76" t="s">
        <v>335</v>
      </c>
      <c r="L7" s="89" t="s">
        <v>6</v>
      </c>
      <c r="M7" s="44">
        <v>50</v>
      </c>
      <c r="R7" s="1">
        <f>IF(vend25[[#This Row],[Nº Venda]]&gt;1,1,0)</f>
        <v>1</v>
      </c>
    </row>
    <row r="8" spans="2:18" ht="16.5" x14ac:dyDescent="0.3">
      <c r="B8" s="31" t="s">
        <v>21</v>
      </c>
      <c r="C8" s="32">
        <f ca="1">SUM(C6:C7)</f>
        <v>3043.98</v>
      </c>
      <c r="D8" s="30"/>
      <c r="E8" s="75">
        <v>11267</v>
      </c>
      <c r="F8" s="76" t="s">
        <v>324</v>
      </c>
      <c r="G8" s="51" t="s">
        <v>10</v>
      </c>
      <c r="H8" s="39">
        <v>690</v>
      </c>
      <c r="I8" s="39">
        <v>690</v>
      </c>
      <c r="J8" s="30"/>
      <c r="K8" s="76"/>
      <c r="L8" s="89"/>
      <c r="M8" s="44"/>
      <c r="R8" s="1">
        <f>IF(vend25[[#This Row],[Nº Venda]]&gt;1,1,0)</f>
        <v>1</v>
      </c>
    </row>
    <row r="9" spans="2:18" ht="16.5" x14ac:dyDescent="0.3">
      <c r="B9" s="27"/>
      <c r="C9" s="27"/>
      <c r="D9" s="30"/>
      <c r="E9" s="75">
        <v>11268</v>
      </c>
      <c r="F9" s="76" t="s">
        <v>318</v>
      </c>
      <c r="G9" s="51" t="s">
        <v>46</v>
      </c>
      <c r="H9" s="39">
        <v>0</v>
      </c>
      <c r="I9" s="39">
        <v>0</v>
      </c>
      <c r="J9" s="30"/>
      <c r="K9" s="76"/>
      <c r="L9" s="89"/>
      <c r="M9" s="44"/>
      <c r="R9" s="1">
        <f>IF(vend25[[#This Row],[Nº Venda]]&gt;1,1,0)</f>
        <v>1</v>
      </c>
    </row>
    <row r="10" spans="2:18" ht="16.5" x14ac:dyDescent="0.3">
      <c r="B10" s="109" t="s">
        <v>5</v>
      </c>
      <c r="C10" s="110"/>
      <c r="D10" s="30"/>
      <c r="E10" s="75">
        <v>11269</v>
      </c>
      <c r="F10" s="76" t="s">
        <v>318</v>
      </c>
      <c r="G10" s="51" t="s">
        <v>6</v>
      </c>
      <c r="H10" s="39">
        <v>40</v>
      </c>
      <c r="I10" s="39">
        <v>40</v>
      </c>
      <c r="J10" s="30"/>
      <c r="K10" s="76"/>
      <c r="L10" s="89"/>
      <c r="M10" s="44"/>
      <c r="R10" s="1">
        <f>IF(vend25[[#This Row],[Nº Venda]]&gt;1,1,0)</f>
        <v>1</v>
      </c>
    </row>
    <row r="11" spans="2:18" ht="16.5" x14ac:dyDescent="0.3">
      <c r="B11" s="28" t="s">
        <v>6</v>
      </c>
      <c r="C11" s="69">
        <f ca="1">(SUMIF($G$2:$G$31,B11,$I$2:$I$31))+(SUMIF($G$35:$G$41,B11,$H$36:$H$41))</f>
        <v>40</v>
      </c>
      <c r="D11" s="30"/>
      <c r="E11" s="75">
        <v>11270</v>
      </c>
      <c r="F11" s="76" t="s">
        <v>325</v>
      </c>
      <c r="G11" s="51" t="s">
        <v>46</v>
      </c>
      <c r="H11" s="39">
        <v>1149</v>
      </c>
      <c r="I11" s="39">
        <v>0</v>
      </c>
      <c r="J11" s="30"/>
      <c r="K11" s="38"/>
      <c r="L11" s="89"/>
      <c r="M11" s="44"/>
      <c r="O11" s="1">
        <f ca="1">IF(C16=0,0,1)</f>
        <v>1</v>
      </c>
      <c r="R11" s="1">
        <f>IF(vend25[[#This Row],[Nº Venda]]&gt;1,1,0)</f>
        <v>1</v>
      </c>
    </row>
    <row r="12" spans="2:18" ht="16.5" x14ac:dyDescent="0.3">
      <c r="B12" s="28" t="s">
        <v>7</v>
      </c>
      <c r="C12" s="69">
        <f ca="1">(SUMIF($G$2:$G$31,B12,$I$2:$I$31))+(SUMIF($G$35:$G$41,B12,$H$36:$H$41))</f>
        <v>0</v>
      </c>
      <c r="D12" s="30"/>
      <c r="E12" s="75">
        <v>11271</v>
      </c>
      <c r="F12" s="76" t="s">
        <v>325</v>
      </c>
      <c r="G12" s="51" t="s">
        <v>46</v>
      </c>
      <c r="H12" s="39">
        <v>299</v>
      </c>
      <c r="I12" s="39">
        <v>0</v>
      </c>
      <c r="J12" s="30"/>
      <c r="K12" s="33"/>
      <c r="L12" s="33"/>
      <c r="M12" s="33"/>
      <c r="R12" s="1">
        <f>IF(vend25[[#This Row],[Nº Venda]]&gt;1,1,0)</f>
        <v>1</v>
      </c>
    </row>
    <row r="13" spans="2:18" ht="16.5" x14ac:dyDescent="0.3">
      <c r="B13" s="28" t="s">
        <v>8</v>
      </c>
      <c r="C13" s="69">
        <f ca="1">(SUMIF($G$2:$G$31,B13,$I$2:$I$31))+(SUMIF($G$35:$G$41,B13,$H$36:$H$41))</f>
        <v>370</v>
      </c>
      <c r="D13" s="30"/>
      <c r="E13" s="75">
        <v>11272</v>
      </c>
      <c r="F13" s="76" t="s">
        <v>325</v>
      </c>
      <c r="G13" s="51" t="s">
        <v>46</v>
      </c>
      <c r="H13" s="39">
        <v>602</v>
      </c>
      <c r="I13" s="39">
        <v>0</v>
      </c>
      <c r="J13" s="30"/>
      <c r="K13" s="102" t="s">
        <v>141</v>
      </c>
      <c r="L13" s="103"/>
      <c r="M13" s="104"/>
      <c r="R13" s="1">
        <f>IF(vend25[[#This Row],[Nº Venda]]&gt;1,1,0)</f>
        <v>1</v>
      </c>
    </row>
    <row r="14" spans="2:18" ht="16.5" x14ac:dyDescent="0.3">
      <c r="B14" s="28" t="s">
        <v>9</v>
      </c>
      <c r="C14" s="69">
        <f ca="1">(SUMIF($G$2:$G$31,B14,$I$2:$I$31))+(SUMIF($G$35:$G$41,B14,$H$36:$H$41))</f>
        <v>0</v>
      </c>
      <c r="D14" s="30"/>
      <c r="E14" s="75">
        <v>11273</v>
      </c>
      <c r="F14" s="76" t="s">
        <v>325</v>
      </c>
      <c r="G14" s="51" t="s">
        <v>46</v>
      </c>
      <c r="H14" s="39">
        <v>0</v>
      </c>
      <c r="I14" s="39">
        <v>0</v>
      </c>
      <c r="J14" s="30"/>
      <c r="K14" s="22" t="s">
        <v>22</v>
      </c>
      <c r="L14" s="23" t="s">
        <v>23</v>
      </c>
      <c r="M14" s="24" t="s">
        <v>24</v>
      </c>
      <c r="R14" s="1">
        <f>IF(vend25[[#This Row],[Nº Venda]]&gt;1,1,0)</f>
        <v>1</v>
      </c>
    </row>
    <row r="15" spans="2:18" ht="16.5" x14ac:dyDescent="0.3">
      <c r="B15" s="28" t="s">
        <v>10</v>
      </c>
      <c r="C15" s="69">
        <f ca="1">(SUMIF($G$2:$G$31,B15,$I$2:$I$31))+(SUMIF($G$35:$G$41,B15,$H$36:$H$41))</f>
        <v>2580</v>
      </c>
      <c r="D15" s="30"/>
      <c r="E15" s="75"/>
      <c r="F15" s="76"/>
      <c r="G15" s="51"/>
      <c r="H15" s="39"/>
      <c r="I15" s="39"/>
      <c r="J15" s="30"/>
      <c r="K15" s="75">
        <v>10754</v>
      </c>
      <c r="L15" s="89" t="s">
        <v>130</v>
      </c>
      <c r="M15" s="44" t="s">
        <v>146</v>
      </c>
      <c r="R15" s="1">
        <f>IF(vend25[[#This Row],[Nº Venda]]&gt;1,1,0)</f>
        <v>0</v>
      </c>
    </row>
    <row r="16" spans="2:18" ht="16.5" x14ac:dyDescent="0.3">
      <c r="B16" s="31" t="s">
        <v>11</v>
      </c>
      <c r="C16" s="70">
        <f ca="1">SUM(C11:C15)</f>
        <v>2990</v>
      </c>
      <c r="D16" s="30"/>
      <c r="E16" s="75"/>
      <c r="F16" s="76"/>
      <c r="G16" s="51"/>
      <c r="H16" s="39"/>
      <c r="I16" s="39"/>
      <c r="J16" s="30"/>
      <c r="K16" s="75">
        <v>10755</v>
      </c>
      <c r="L16" s="89" t="s">
        <v>130</v>
      </c>
      <c r="M16" s="44" t="s">
        <v>146</v>
      </c>
      <c r="R16" s="1">
        <f>IF(vend25[[#This Row],[Nº Venda]]&gt;1,1,0)</f>
        <v>0</v>
      </c>
    </row>
    <row r="17" spans="2:18" ht="16.5" x14ac:dyDescent="0.3">
      <c r="B17" s="27"/>
      <c r="C17" s="27"/>
      <c r="D17" s="30"/>
      <c r="E17" s="75"/>
      <c r="F17" s="76"/>
      <c r="G17" s="51"/>
      <c r="H17" s="39"/>
      <c r="I17" s="39"/>
      <c r="J17" s="30"/>
      <c r="K17" s="75">
        <v>10888</v>
      </c>
      <c r="L17" s="89" t="s">
        <v>130</v>
      </c>
      <c r="M17" s="44" t="s">
        <v>146</v>
      </c>
      <c r="R17" s="1">
        <f>IF(vend25[[#This Row],[Nº Venda]]&gt;1,1,0)</f>
        <v>0</v>
      </c>
    </row>
    <row r="18" spans="2:18" ht="16.5" x14ac:dyDescent="0.3">
      <c r="B18" s="109" t="s">
        <v>12</v>
      </c>
      <c r="C18" s="110"/>
      <c r="D18" s="30"/>
      <c r="E18" s="75"/>
      <c r="F18" s="76"/>
      <c r="G18" s="51"/>
      <c r="H18" s="39"/>
      <c r="I18" s="39"/>
      <c r="J18" s="30"/>
      <c r="K18" s="75">
        <v>11052</v>
      </c>
      <c r="L18" s="89" t="s">
        <v>130</v>
      </c>
      <c r="M18" s="44" t="s">
        <v>146</v>
      </c>
      <c r="R18" s="1">
        <f>IF(vend25[[#This Row],[Nº Venda]]&gt;1,1,0)</f>
        <v>0</v>
      </c>
    </row>
    <row r="19" spans="2:18" ht="16.5" x14ac:dyDescent="0.3">
      <c r="B19" s="28">
        <f>COUNT(entr_carn25[OS])</f>
        <v>0</v>
      </c>
      <c r="C19" s="69">
        <f>SUM(entr_carn25[Valor Total])</f>
        <v>0</v>
      </c>
      <c r="D19" s="30"/>
      <c r="E19" s="75"/>
      <c r="F19" s="76"/>
      <c r="G19" s="51"/>
      <c r="H19" s="39"/>
      <c r="I19" s="39"/>
      <c r="J19" s="30"/>
      <c r="K19" s="75">
        <v>11110</v>
      </c>
      <c r="L19" s="89" t="s">
        <v>130</v>
      </c>
      <c r="M19" s="44" t="s">
        <v>146</v>
      </c>
      <c r="R19" s="1">
        <f>IF(vend25[[#This Row],[Nº Venda]]&gt;1,1,0)</f>
        <v>0</v>
      </c>
    </row>
    <row r="20" spans="2:18" ht="16.5" x14ac:dyDescent="0.3">
      <c r="B20" s="31" t="s">
        <v>11</v>
      </c>
      <c r="C20" s="70">
        <f>SUM(C19:C19)</f>
        <v>0</v>
      </c>
      <c r="D20" s="30"/>
      <c r="E20" s="75"/>
      <c r="F20" s="51"/>
      <c r="G20" s="51"/>
      <c r="H20" s="39"/>
      <c r="I20" s="39"/>
      <c r="J20" s="30"/>
      <c r="K20" s="75">
        <v>11190</v>
      </c>
      <c r="L20" s="89" t="s">
        <v>128</v>
      </c>
      <c r="M20" s="44" t="s">
        <v>146</v>
      </c>
      <c r="R20" s="1">
        <f>IF(vend25[[#This Row],[Nº Venda]]&gt;1,1,0)</f>
        <v>0</v>
      </c>
    </row>
    <row r="21" spans="2:18" ht="16.5" x14ac:dyDescent="0.3">
      <c r="B21" s="27"/>
      <c r="C21" s="27"/>
      <c r="D21" s="30"/>
      <c r="E21" s="75"/>
      <c r="F21" s="76"/>
      <c r="G21" s="51"/>
      <c r="H21" s="39"/>
      <c r="I21" s="39"/>
      <c r="J21" s="30"/>
      <c r="K21" s="75">
        <v>11222</v>
      </c>
      <c r="L21" s="89" t="s">
        <v>130</v>
      </c>
      <c r="M21" s="44" t="s">
        <v>146</v>
      </c>
    </row>
    <row r="22" spans="2:18" ht="16.5" x14ac:dyDescent="0.3">
      <c r="B22" s="31" t="s">
        <v>25</v>
      </c>
      <c r="C22" s="34">
        <f>C5</f>
        <v>1440</v>
      </c>
      <c r="D22" s="30"/>
      <c r="E22" s="77"/>
      <c r="F22" s="76"/>
      <c r="G22" s="51"/>
      <c r="H22" s="39"/>
      <c r="I22" s="39"/>
      <c r="J22" s="30"/>
      <c r="K22" s="75">
        <v>11257</v>
      </c>
      <c r="L22" s="89" t="s">
        <v>128</v>
      </c>
      <c r="M22" s="44" t="s">
        <v>146</v>
      </c>
    </row>
    <row r="23" spans="2:18" ht="16.5" x14ac:dyDescent="0.3">
      <c r="B23" s="30"/>
      <c r="C23" s="30"/>
      <c r="D23" s="30"/>
      <c r="E23" s="35"/>
      <c r="F23" s="35"/>
      <c r="G23" s="35"/>
      <c r="H23" s="36"/>
      <c r="I23" s="37"/>
      <c r="J23" s="30"/>
      <c r="K23" s="75"/>
      <c r="L23" s="89"/>
      <c r="M23" s="44"/>
    </row>
    <row r="24" spans="2:18" ht="16.5" x14ac:dyDescent="0.3">
      <c r="B24" s="30"/>
      <c r="C24" s="30"/>
      <c r="D24" s="30"/>
      <c r="E24" s="100" t="s">
        <v>138</v>
      </c>
      <c r="F24" s="101"/>
      <c r="G24" s="101"/>
      <c r="H24" s="101"/>
      <c r="I24" s="101"/>
      <c r="J24" s="30"/>
      <c r="K24" s="75"/>
      <c r="L24" s="89"/>
      <c r="M24" s="44"/>
    </row>
    <row r="25" spans="2:18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5"/>
      <c r="L25" s="89"/>
      <c r="M25" s="44"/>
    </row>
    <row r="26" spans="2:18" ht="16.5" x14ac:dyDescent="0.3">
      <c r="B26" s="30"/>
      <c r="C26" s="30"/>
      <c r="D26" s="30"/>
      <c r="E26" s="75">
        <v>10754</v>
      </c>
      <c r="F26" s="76" t="s">
        <v>326</v>
      </c>
      <c r="G26" s="51" t="s">
        <v>10</v>
      </c>
      <c r="H26" s="39">
        <v>0</v>
      </c>
      <c r="I26" s="39">
        <v>700</v>
      </c>
      <c r="J26" s="30"/>
      <c r="K26" s="75"/>
      <c r="L26" s="89"/>
      <c r="M26" s="44"/>
    </row>
    <row r="27" spans="2:18" ht="16.5" x14ac:dyDescent="0.3">
      <c r="B27" s="30"/>
      <c r="C27" s="30"/>
      <c r="D27" s="30"/>
      <c r="E27" s="75">
        <v>10888</v>
      </c>
      <c r="F27" s="76" t="s">
        <v>326</v>
      </c>
      <c r="G27" s="51" t="s">
        <v>10</v>
      </c>
      <c r="H27" s="39">
        <v>300</v>
      </c>
      <c r="I27" s="39">
        <v>300</v>
      </c>
      <c r="J27" s="30"/>
      <c r="K27" s="75"/>
      <c r="L27" s="89"/>
      <c r="M27" s="44"/>
    </row>
    <row r="28" spans="2:18" ht="16.5" x14ac:dyDescent="0.3">
      <c r="B28" s="30"/>
      <c r="C28" s="30"/>
      <c r="D28" s="30"/>
      <c r="E28" s="75">
        <v>11095</v>
      </c>
      <c r="F28" s="76" t="s">
        <v>321</v>
      </c>
      <c r="G28" s="51" t="s">
        <v>10</v>
      </c>
      <c r="H28" s="39">
        <v>0</v>
      </c>
      <c r="I28" s="39">
        <v>65</v>
      </c>
      <c r="J28" s="30"/>
      <c r="K28" s="75"/>
      <c r="L28" s="89"/>
      <c r="M28" s="44"/>
    </row>
    <row r="29" spans="2:18" ht="16.5" x14ac:dyDescent="0.3">
      <c r="B29" s="30"/>
      <c r="C29" s="30"/>
      <c r="D29" s="30"/>
      <c r="E29" s="75">
        <v>11222</v>
      </c>
      <c r="F29" s="76" t="s">
        <v>281</v>
      </c>
      <c r="G29" s="51" t="s">
        <v>10</v>
      </c>
      <c r="H29" s="39">
        <v>0</v>
      </c>
      <c r="I29" s="39">
        <v>290</v>
      </c>
      <c r="J29" s="30"/>
      <c r="K29" s="75"/>
      <c r="L29" s="89"/>
      <c r="M29" s="44"/>
    </row>
    <row r="30" spans="2:18" ht="16.5" x14ac:dyDescent="0.3">
      <c r="B30" s="30"/>
      <c r="C30" s="30"/>
      <c r="D30" s="30"/>
      <c r="E30" s="75">
        <v>11224</v>
      </c>
      <c r="F30" s="51" t="s">
        <v>281</v>
      </c>
      <c r="G30" s="51" t="s">
        <v>10</v>
      </c>
      <c r="H30" s="39">
        <v>0</v>
      </c>
      <c r="I30" s="39">
        <v>495</v>
      </c>
      <c r="J30" s="30"/>
      <c r="K30" s="75"/>
      <c r="L30" s="89"/>
      <c r="M30" s="44"/>
    </row>
    <row r="31" spans="2:18" ht="16.5" x14ac:dyDescent="0.3">
      <c r="B31" s="30"/>
      <c r="C31" s="30"/>
      <c r="D31" s="30"/>
      <c r="E31" s="77"/>
      <c r="F31" s="78"/>
      <c r="G31" s="42"/>
      <c r="H31" s="43"/>
      <c r="I31" s="43"/>
      <c r="J31" s="30"/>
      <c r="K31" s="75"/>
      <c r="L31" s="89"/>
      <c r="M31" s="44"/>
    </row>
    <row r="32" spans="2:18" ht="16.5" x14ac:dyDescent="0.3">
      <c r="B32" s="30"/>
      <c r="C32" s="30"/>
      <c r="D32" s="38"/>
      <c r="E32" s="35"/>
      <c r="F32" s="35"/>
      <c r="G32" s="35"/>
      <c r="H32" s="37"/>
      <c r="I32" s="37"/>
      <c r="J32" s="38"/>
      <c r="K32" s="33"/>
      <c r="L32" s="33"/>
      <c r="M32" s="33"/>
    </row>
    <row r="33" spans="2:18" ht="16.5" x14ac:dyDescent="0.3">
      <c r="B33" s="30"/>
      <c r="C33" s="30"/>
      <c r="D33" s="38"/>
      <c r="E33" s="100" t="s">
        <v>139</v>
      </c>
      <c r="F33" s="101"/>
      <c r="G33" s="101"/>
      <c r="H33" s="101"/>
      <c r="I33" s="101"/>
      <c r="J33" s="38"/>
      <c r="K33" s="102" t="s">
        <v>140</v>
      </c>
      <c r="L33" s="103"/>
      <c r="M33" s="104"/>
    </row>
    <row r="34" spans="2:18" ht="16.5" x14ac:dyDescent="0.3">
      <c r="B34" s="38"/>
      <c r="C34" s="38"/>
      <c r="D34" s="38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75"/>
      <c r="F35" s="76"/>
      <c r="G35" s="51"/>
      <c r="H35" s="49"/>
      <c r="I35" s="39"/>
      <c r="J35" s="38"/>
      <c r="K35" s="75"/>
      <c r="L35" s="75"/>
      <c r="M35" s="89"/>
    </row>
    <row r="36" spans="2:18" ht="16.5" customHeight="1" x14ac:dyDescent="0.25">
      <c r="B36" s="38"/>
      <c r="C36" s="38"/>
      <c r="D36" s="38"/>
      <c r="E36" s="81"/>
      <c r="F36" s="76"/>
      <c r="G36" s="51"/>
      <c r="H36" s="39"/>
      <c r="I36" s="39"/>
      <c r="J36" s="38"/>
      <c r="K36" s="75"/>
      <c r="L36" s="75"/>
      <c r="M36" s="89"/>
    </row>
    <row r="37" spans="2:18" ht="16.5" customHeight="1" x14ac:dyDescent="0.25">
      <c r="B37" s="38"/>
      <c r="C37" s="38"/>
      <c r="D37" s="38"/>
      <c r="E37" s="75"/>
      <c r="F37" s="76"/>
      <c r="G37" s="51"/>
      <c r="H37" s="39"/>
      <c r="I37" s="39"/>
      <c r="J37" s="38"/>
      <c r="K37" s="75"/>
      <c r="L37" s="75"/>
      <c r="M37" s="89"/>
    </row>
    <row r="38" spans="2:18" ht="16.5" customHeight="1" x14ac:dyDescent="0.25">
      <c r="B38" s="38"/>
      <c r="C38" s="38"/>
      <c r="D38" s="38"/>
      <c r="E38" s="75"/>
      <c r="F38" s="76"/>
      <c r="G38" s="51"/>
      <c r="H38" s="39"/>
      <c r="I38" s="39"/>
      <c r="J38" s="38"/>
      <c r="K38" s="75"/>
      <c r="L38" s="75"/>
      <c r="M38" s="89"/>
    </row>
    <row r="39" spans="2:18" ht="16.5" customHeight="1" x14ac:dyDescent="0.25">
      <c r="B39" s="38"/>
      <c r="C39" s="38"/>
      <c r="D39" s="38"/>
      <c r="E39" s="75"/>
      <c r="F39" s="51"/>
      <c r="G39" s="51"/>
      <c r="H39" s="39"/>
      <c r="I39" s="39"/>
      <c r="J39" s="38"/>
      <c r="K39" s="75"/>
      <c r="L39" s="75"/>
      <c r="M39" s="89"/>
    </row>
    <row r="40" spans="2:18" ht="16.5" customHeight="1" x14ac:dyDescent="0.25">
      <c r="B40" s="38"/>
      <c r="C40" s="38"/>
      <c r="D40" s="38"/>
      <c r="E40" s="77"/>
      <c r="F40" s="78"/>
      <c r="G40" s="42"/>
      <c r="H40" s="43"/>
      <c r="I40" s="39"/>
      <c r="J40" s="38"/>
      <c r="K40" s="77"/>
      <c r="L40" s="77"/>
      <c r="M40" s="90"/>
      <c r="Q40" s="1" t="s">
        <v>33</v>
      </c>
      <c r="R40" s="1">
        <f>SUM(R6:R21)</f>
        <v>9</v>
      </c>
    </row>
    <row r="41" spans="2:18" ht="16.5" customHeight="1" x14ac:dyDescent="0.25">
      <c r="B41" s="38"/>
      <c r="C41" s="38"/>
      <c r="D41" s="38"/>
      <c r="E41" s="80"/>
      <c r="F41" s="51"/>
      <c r="G41" s="51"/>
      <c r="H41" s="39"/>
      <c r="I41" s="39"/>
      <c r="J41" s="38"/>
      <c r="K41" s="75"/>
      <c r="L41" s="75"/>
      <c r="M41" s="90"/>
    </row>
    <row r="42" spans="2:18" ht="13.5" x14ac:dyDescent="0.25">
      <c r="B42" s="38"/>
      <c r="C42" s="38"/>
      <c r="D42" s="38"/>
      <c r="E42" s="35"/>
      <c r="F42" s="35"/>
      <c r="G42" s="35"/>
      <c r="H42" s="37"/>
      <c r="I42" s="37"/>
      <c r="J42" s="38"/>
      <c r="K42" s="33"/>
      <c r="L42" s="33"/>
      <c r="M42" s="33"/>
    </row>
    <row r="43" spans="2:18" ht="13.5" x14ac:dyDescent="0.25">
      <c r="B43" s="38"/>
      <c r="C43" s="38"/>
      <c r="D43" s="38"/>
      <c r="E43" s="35"/>
      <c r="F43" s="35"/>
      <c r="G43" s="35"/>
      <c r="H43" s="37"/>
      <c r="I43" s="37"/>
      <c r="J43" s="38"/>
      <c r="K43" s="33"/>
      <c r="L43" s="33"/>
      <c r="M43" s="33"/>
    </row>
    <row r="44" spans="2:18" ht="13.5" x14ac:dyDescent="0.25">
      <c r="B44" s="38"/>
      <c r="C44" s="38"/>
      <c r="D44" s="38"/>
      <c r="E44" s="35"/>
      <c r="F44" s="35"/>
      <c r="G44" s="35"/>
      <c r="H44" s="37"/>
      <c r="I44" s="37"/>
      <c r="J44" s="38"/>
      <c r="K44" s="33"/>
      <c r="L44" s="33"/>
      <c r="M44" s="33"/>
    </row>
    <row r="45" spans="2:18" ht="13.5" x14ac:dyDescent="0.25">
      <c r="B45" s="38"/>
      <c r="C45" s="38"/>
      <c r="D45" s="38"/>
      <c r="E45" s="35"/>
      <c r="F45" s="35"/>
      <c r="G45" s="35"/>
      <c r="H45" s="37"/>
      <c r="I45" s="37"/>
      <c r="J45" s="38"/>
      <c r="K45" s="33"/>
      <c r="L45" s="33"/>
      <c r="M45" s="33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  <x14:dataValidation type="list" allowBlank="1" showInputMessage="1" showErrorMessage="1" xr:uid="{67CB2160-875A-40E7-A300-AE3E32BC7FAF}">
          <x14:formula1>
            <xm:f>resumo_cx!$P$2:$P$18</xm:f>
          </x14:formula1>
          <xm:sqref>L15:L31</xm:sqref>
        </x14:dataValidation>
        <x14:dataValidation type="list" allowBlank="1" showInputMessage="1" showErrorMessage="1" xr:uid="{625EF61B-1942-425C-A233-2FAA144A481D}">
          <x14:formula1>
            <xm:f>base_OS!$A$2:$A$15000</xm:f>
          </x14:formula1>
          <xm:sqref>E6:E22 E26:E31 E35:E41 K35:K41 K15:K31</xm:sqref>
        </x14:dataValidation>
        <x14:dataValidation type="list" allowBlank="1" showInputMessage="1" showErrorMessage="1" xr:uid="{53CC645E-DE03-4B8F-AE0F-BD5DB3BEFCE4}">
          <x14:formula1>
            <xm:f>base!$A$2:$A$8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base!$A$2:$A$5</xm:f>
          </x14:formula1>
          <xm:sqref>G26:G31 G35:G41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5"/>
  <sheetViews>
    <sheetView showGridLines="0" topLeftCell="A15" zoomScale="90" zoomScaleNormal="90" workbookViewId="0">
      <selection activeCell="G15" sqref="G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'25'!B1+1</f>
        <v>45834</v>
      </c>
      <c r="C1" s="98"/>
      <c r="L1" s="99" t="s">
        <v>143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5" t="s">
        <v>0</v>
      </c>
      <c r="C4" s="26">
        <v>0</v>
      </c>
      <c r="D4" s="58"/>
      <c r="E4" s="108" t="s">
        <v>136</v>
      </c>
      <c r="F4" s="108"/>
      <c r="G4" s="108"/>
      <c r="H4" s="108"/>
      <c r="I4" s="108"/>
      <c r="J4" s="30"/>
      <c r="K4" s="102" t="s">
        <v>137</v>
      </c>
      <c r="L4" s="103"/>
      <c r="M4" s="104"/>
    </row>
    <row r="5" spans="2:18" ht="16.5" x14ac:dyDescent="0.3">
      <c r="B5" s="28" t="s">
        <v>1</v>
      </c>
      <c r="C5" s="29">
        <f>SUMIF(I6:I31,"&gt;0",H6:H31)</f>
        <v>2178.9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18" ht="16.5" x14ac:dyDescent="0.3">
      <c r="B6" s="28" t="s">
        <v>2</v>
      </c>
      <c r="C6" s="29">
        <f>C16</f>
        <v>2759.9</v>
      </c>
      <c r="D6" s="30"/>
      <c r="E6" s="75">
        <v>11274</v>
      </c>
      <c r="F6" s="76" t="s">
        <v>329</v>
      </c>
      <c r="G6" s="51" t="s">
        <v>8</v>
      </c>
      <c r="H6" s="39">
        <v>249</v>
      </c>
      <c r="I6" s="39">
        <v>249</v>
      </c>
      <c r="J6" s="30"/>
      <c r="K6" s="76" t="s">
        <v>161</v>
      </c>
      <c r="L6" s="89" t="s">
        <v>10</v>
      </c>
      <c r="M6" s="44">
        <v>3.73</v>
      </c>
      <c r="R6" s="1">
        <f>IF(vend26[[#This Row],[Nº Venda]]&gt;1,1,0)</f>
        <v>1</v>
      </c>
    </row>
    <row r="7" spans="2:18" ht="16.5" x14ac:dyDescent="0.3">
      <c r="B7" s="28" t="s">
        <v>3</v>
      </c>
      <c r="C7" s="29">
        <f>SUM(M6:M11)</f>
        <v>3.73</v>
      </c>
      <c r="D7" s="30"/>
      <c r="E7" s="75">
        <v>11275</v>
      </c>
      <c r="F7" s="76" t="s">
        <v>330</v>
      </c>
      <c r="G7" s="51" t="s">
        <v>8</v>
      </c>
      <c r="H7" s="39">
        <v>1790</v>
      </c>
      <c r="I7" s="39">
        <v>1790</v>
      </c>
      <c r="J7" s="30"/>
      <c r="K7" s="76"/>
      <c r="L7" s="89"/>
      <c r="M7" s="44"/>
      <c r="R7" s="1">
        <f>IF(vend26[[#This Row],[Nº Venda]]&gt;1,1,0)</f>
        <v>1</v>
      </c>
    </row>
    <row r="8" spans="2:18" ht="16.5" x14ac:dyDescent="0.3">
      <c r="B8" s="31" t="s">
        <v>21</v>
      </c>
      <c r="C8" s="32">
        <f>SUM(C6:C7)</f>
        <v>2763.63</v>
      </c>
      <c r="D8" s="30"/>
      <c r="E8" s="75">
        <v>11276</v>
      </c>
      <c r="F8" s="76" t="s">
        <v>331</v>
      </c>
      <c r="G8" s="51" t="s">
        <v>10</v>
      </c>
      <c r="H8" s="39">
        <v>50</v>
      </c>
      <c r="I8" s="39">
        <v>50</v>
      </c>
      <c r="J8" s="30"/>
      <c r="K8" s="76"/>
      <c r="L8" s="89"/>
      <c r="M8" s="44"/>
      <c r="R8" s="1">
        <f>IF(vend26[[#This Row],[Nº Venda]]&gt;1,1,0)</f>
        <v>1</v>
      </c>
    </row>
    <row r="9" spans="2:18" ht="16.5" x14ac:dyDescent="0.3">
      <c r="B9" s="27"/>
      <c r="C9" s="27"/>
      <c r="D9" s="30"/>
      <c r="E9" s="75">
        <v>11277</v>
      </c>
      <c r="F9" s="76" t="s">
        <v>332</v>
      </c>
      <c r="G9" s="51" t="s">
        <v>8</v>
      </c>
      <c r="H9" s="39">
        <v>89.9</v>
      </c>
      <c r="I9" s="39">
        <v>89.9</v>
      </c>
      <c r="J9" s="30"/>
      <c r="K9" s="76"/>
      <c r="L9" s="89"/>
      <c r="M9" s="44"/>
      <c r="R9" s="1">
        <f>IF(vend26[[#This Row],[Nº Venda]]&gt;1,1,0)</f>
        <v>1</v>
      </c>
    </row>
    <row r="10" spans="2:18" ht="16.5" x14ac:dyDescent="0.3">
      <c r="B10" s="109" t="s">
        <v>5</v>
      </c>
      <c r="C10" s="110"/>
      <c r="D10" s="30"/>
      <c r="E10" s="75">
        <v>11278</v>
      </c>
      <c r="F10" s="76" t="s">
        <v>334</v>
      </c>
      <c r="G10" s="51" t="s">
        <v>36</v>
      </c>
      <c r="H10" s="39">
        <v>0</v>
      </c>
      <c r="I10" s="39">
        <v>0</v>
      </c>
      <c r="J10" s="30"/>
      <c r="K10" s="76"/>
      <c r="L10" s="89"/>
      <c r="M10" s="44"/>
      <c r="R10" s="1">
        <f>IF(vend26[[#This Row],[Nº Venda]]&gt;1,1,0)</f>
        <v>1</v>
      </c>
    </row>
    <row r="11" spans="2:18" ht="16.5" x14ac:dyDescent="0.3">
      <c r="B11" s="28" t="s">
        <v>6</v>
      </c>
      <c r="C11" s="69">
        <f>(SUMIF($G$2:$G$31,B11,$I$2:$I$31))+(SUMIF($G$35:$G$41,B11,$H$35:$H$41))</f>
        <v>495</v>
      </c>
      <c r="D11" s="30"/>
      <c r="E11" s="75"/>
      <c r="F11" s="76"/>
      <c r="G11" s="51"/>
      <c r="H11" s="39"/>
      <c r="I11" s="39"/>
      <c r="J11" s="30"/>
      <c r="K11" s="38"/>
      <c r="L11" s="89"/>
      <c r="M11" s="44"/>
      <c r="O11" s="1">
        <f>IF(C16=0,0,1)</f>
        <v>1</v>
      </c>
      <c r="R11" s="1">
        <f>IF(vend26[[#This Row],[Nº Venda]]&gt;1,1,0)</f>
        <v>0</v>
      </c>
    </row>
    <row r="12" spans="2:18" ht="16.5" x14ac:dyDescent="0.3">
      <c r="B12" s="28" t="s">
        <v>7</v>
      </c>
      <c r="C12" s="69">
        <f t="shared" ref="C12:C15" si="0">(SUMIF($G$2:$G$31,B12,$I$2:$I$31))+(SUMIF($G$35:$G$41,B12,$H$35:$H$41))</f>
        <v>0</v>
      </c>
      <c r="D12" s="30"/>
      <c r="E12" s="75"/>
      <c r="F12" s="76"/>
      <c r="G12" s="51"/>
      <c r="H12" s="39"/>
      <c r="I12" s="39"/>
      <c r="J12" s="30"/>
      <c r="K12" s="33"/>
      <c r="L12" s="33"/>
      <c r="M12" s="33"/>
      <c r="R12" s="1">
        <f>IF(vend26[[#This Row],[Nº Venda]]&gt;1,1,0)</f>
        <v>0</v>
      </c>
    </row>
    <row r="13" spans="2:18" ht="16.5" x14ac:dyDescent="0.3">
      <c r="B13" s="28" t="s">
        <v>8</v>
      </c>
      <c r="C13" s="69">
        <f t="shared" si="0"/>
        <v>2128.9</v>
      </c>
      <c r="D13" s="30"/>
      <c r="E13" s="75"/>
      <c r="F13" s="76"/>
      <c r="G13" s="51"/>
      <c r="H13" s="39"/>
      <c r="I13" s="39"/>
      <c r="J13" s="30"/>
      <c r="K13" s="102" t="s">
        <v>141</v>
      </c>
      <c r="L13" s="103"/>
      <c r="M13" s="104"/>
      <c r="R13" s="1">
        <f>IF(vend26[[#This Row],[Nº Venda]]&gt;1,1,0)</f>
        <v>0</v>
      </c>
    </row>
    <row r="14" spans="2:18" ht="16.5" x14ac:dyDescent="0.3">
      <c r="B14" s="28" t="s">
        <v>9</v>
      </c>
      <c r="C14" s="69">
        <f t="shared" si="0"/>
        <v>0</v>
      </c>
      <c r="D14" s="30"/>
      <c r="E14" s="75"/>
      <c r="F14" s="76"/>
      <c r="G14" s="51"/>
      <c r="H14" s="39"/>
      <c r="I14" s="39"/>
      <c r="J14" s="30"/>
      <c r="K14" s="22" t="s">
        <v>22</v>
      </c>
      <c r="L14" s="23" t="s">
        <v>23</v>
      </c>
      <c r="M14" s="24" t="s">
        <v>24</v>
      </c>
      <c r="R14" s="1">
        <f>IF(vend26[[#This Row],[Nº Venda]]&gt;1,1,0)</f>
        <v>0</v>
      </c>
    </row>
    <row r="15" spans="2:18" ht="16.5" x14ac:dyDescent="0.3">
      <c r="B15" s="28" t="s">
        <v>10</v>
      </c>
      <c r="C15" s="69">
        <f t="shared" si="0"/>
        <v>136</v>
      </c>
      <c r="D15" s="30"/>
      <c r="E15" s="75"/>
      <c r="F15" s="76"/>
      <c r="G15" s="51"/>
      <c r="H15" s="39"/>
      <c r="I15" s="39"/>
      <c r="J15" s="30"/>
      <c r="K15" s="75">
        <v>11211</v>
      </c>
      <c r="L15" s="89" t="s">
        <v>128</v>
      </c>
      <c r="M15" s="44" t="s">
        <v>146</v>
      </c>
      <c r="R15" s="1">
        <f>IF(vend26[[#This Row],[Nº Venda]]&gt;1,1,0)</f>
        <v>0</v>
      </c>
    </row>
    <row r="16" spans="2:18" ht="16.5" x14ac:dyDescent="0.3">
      <c r="B16" s="31" t="s">
        <v>11</v>
      </c>
      <c r="C16" s="70">
        <f>SUM(C11:C15)</f>
        <v>2759.9</v>
      </c>
      <c r="D16" s="30"/>
      <c r="E16" s="75"/>
      <c r="F16" s="76"/>
      <c r="G16" s="51"/>
      <c r="H16" s="39"/>
      <c r="I16" s="39"/>
      <c r="J16" s="30"/>
      <c r="K16" s="75">
        <v>11148</v>
      </c>
      <c r="L16" s="89" t="s">
        <v>128</v>
      </c>
      <c r="M16" s="44" t="s">
        <v>146</v>
      </c>
      <c r="R16" s="1">
        <f>IF(vend26[[#This Row],[Nº Venda]]&gt;1,1,0)</f>
        <v>0</v>
      </c>
    </row>
    <row r="17" spans="2:18" ht="16.5" x14ac:dyDescent="0.3">
      <c r="B17" s="27"/>
      <c r="C17" s="27"/>
      <c r="D17" s="30"/>
      <c r="E17" s="75"/>
      <c r="F17" s="76"/>
      <c r="G17" s="51"/>
      <c r="H17" s="39"/>
      <c r="I17" s="39"/>
      <c r="J17" s="30"/>
      <c r="K17" s="75">
        <v>11228</v>
      </c>
      <c r="L17" s="89" t="s">
        <v>128</v>
      </c>
      <c r="M17" s="44" t="s">
        <v>146</v>
      </c>
      <c r="R17" s="1">
        <f>IF(vend26[[#This Row],[Nº Venda]]&gt;1,1,0)</f>
        <v>0</v>
      </c>
    </row>
    <row r="18" spans="2:18" ht="16.5" x14ac:dyDescent="0.3">
      <c r="B18" s="109" t="s">
        <v>12</v>
      </c>
      <c r="C18" s="110"/>
      <c r="D18" s="30"/>
      <c r="E18" s="75"/>
      <c r="F18" s="76"/>
      <c r="G18" s="51"/>
      <c r="H18" s="39"/>
      <c r="I18" s="39"/>
      <c r="J18" s="30"/>
      <c r="K18" s="75"/>
      <c r="L18" s="89"/>
      <c r="M18" s="44"/>
      <c r="R18" s="1">
        <f>IF(vend26[[#This Row],[Nº Venda]]&gt;1,1,0)</f>
        <v>0</v>
      </c>
    </row>
    <row r="19" spans="2:18" ht="16.5" x14ac:dyDescent="0.3">
      <c r="B19" s="28">
        <f>COUNT(entr_carn26[OS])</f>
        <v>0</v>
      </c>
      <c r="C19" s="69">
        <f>SUM(entr_carn26[Valor Total])</f>
        <v>0</v>
      </c>
      <c r="D19" s="30"/>
      <c r="E19" s="75"/>
      <c r="F19" s="76"/>
      <c r="G19" s="51"/>
      <c r="H19" s="39"/>
      <c r="I19" s="39"/>
      <c r="J19" s="30"/>
      <c r="K19" s="75"/>
      <c r="L19" s="89"/>
      <c r="M19" s="44"/>
      <c r="R19" s="1">
        <f>IF(vend26[[#This Row],[Nº Venda]]&gt;1,1,0)</f>
        <v>0</v>
      </c>
    </row>
    <row r="20" spans="2:18" ht="16.5" x14ac:dyDescent="0.3">
      <c r="B20" s="31" t="s">
        <v>11</v>
      </c>
      <c r="C20" s="70">
        <f>SUM(C19:C19)</f>
        <v>0</v>
      </c>
      <c r="D20" s="30"/>
      <c r="E20" s="75"/>
      <c r="F20" s="51"/>
      <c r="G20" s="51"/>
      <c r="H20" s="39"/>
      <c r="I20" s="39"/>
      <c r="J20" s="30"/>
      <c r="K20" s="75"/>
      <c r="L20" s="89"/>
      <c r="M20" s="44"/>
      <c r="R20" s="1">
        <f>IF(vend26[[#This Row],[Nº Venda]]&gt;1,1,0)</f>
        <v>0</v>
      </c>
    </row>
    <row r="21" spans="2:18" ht="16.5" x14ac:dyDescent="0.3">
      <c r="B21" s="27"/>
      <c r="C21" s="27"/>
      <c r="D21" s="30"/>
      <c r="E21" s="75"/>
      <c r="F21" s="76"/>
      <c r="G21" s="51"/>
      <c r="H21" s="39"/>
      <c r="I21" s="39"/>
      <c r="J21" s="30"/>
      <c r="K21" s="75"/>
      <c r="L21" s="89"/>
      <c r="M21" s="44"/>
    </row>
    <row r="22" spans="2:18" ht="16.5" x14ac:dyDescent="0.3">
      <c r="B22" s="31" t="s">
        <v>25</v>
      </c>
      <c r="C22" s="34">
        <f>C5</f>
        <v>2178.9</v>
      </c>
      <c r="D22" s="30"/>
      <c r="E22" s="77"/>
      <c r="F22" s="76"/>
      <c r="G22" s="51"/>
      <c r="H22" s="39"/>
      <c r="I22" s="39"/>
      <c r="J22" s="30"/>
      <c r="K22" s="75"/>
      <c r="L22" s="89"/>
      <c r="M22" s="44"/>
    </row>
    <row r="23" spans="2:18" ht="16.5" x14ac:dyDescent="0.3">
      <c r="B23" s="30"/>
      <c r="C23" s="30"/>
      <c r="D23" s="30"/>
      <c r="E23" s="35"/>
      <c r="F23" s="35"/>
      <c r="G23" s="35"/>
      <c r="H23" s="36"/>
      <c r="I23" s="37"/>
      <c r="J23" s="30"/>
      <c r="K23" s="75"/>
      <c r="L23" s="89"/>
      <c r="M23" s="44"/>
    </row>
    <row r="24" spans="2:18" ht="16.5" x14ac:dyDescent="0.3">
      <c r="B24" s="30"/>
      <c r="C24" s="30"/>
      <c r="D24" s="30"/>
      <c r="E24" s="100" t="s">
        <v>138</v>
      </c>
      <c r="F24" s="101"/>
      <c r="G24" s="101"/>
      <c r="H24" s="101"/>
      <c r="I24" s="101"/>
      <c r="J24" s="30"/>
      <c r="K24" s="75"/>
      <c r="L24" s="89"/>
      <c r="M24" s="44"/>
    </row>
    <row r="25" spans="2:18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5"/>
      <c r="L25" s="89"/>
      <c r="M25" s="44"/>
    </row>
    <row r="26" spans="2:18" ht="16.5" x14ac:dyDescent="0.3">
      <c r="B26" s="30"/>
      <c r="C26" s="30"/>
      <c r="D26" s="30"/>
      <c r="E26" s="75">
        <v>11251</v>
      </c>
      <c r="F26" s="76" t="s">
        <v>327</v>
      </c>
      <c r="G26" s="51" t="s">
        <v>6</v>
      </c>
      <c r="H26" s="39"/>
      <c r="I26" s="39">
        <v>380</v>
      </c>
      <c r="J26" s="30"/>
      <c r="K26" s="75"/>
      <c r="L26" s="89"/>
      <c r="M26" s="44"/>
    </row>
    <row r="27" spans="2:18" ht="16.5" x14ac:dyDescent="0.3">
      <c r="B27" s="30"/>
      <c r="C27" s="30"/>
      <c r="D27" s="30"/>
      <c r="E27" s="75"/>
      <c r="F27" s="76"/>
      <c r="G27" s="51"/>
      <c r="H27" s="39"/>
      <c r="I27" s="39"/>
      <c r="J27" s="30"/>
      <c r="K27" s="75"/>
      <c r="L27" s="89"/>
      <c r="M27" s="44"/>
    </row>
    <row r="28" spans="2:18" ht="16.5" x14ac:dyDescent="0.3">
      <c r="B28" s="30"/>
      <c r="C28" s="30"/>
      <c r="D28" s="30"/>
      <c r="E28" s="75"/>
      <c r="F28" s="76"/>
      <c r="G28" s="51"/>
      <c r="H28" s="39"/>
      <c r="I28" s="39"/>
      <c r="J28" s="30"/>
      <c r="K28" s="75"/>
      <c r="L28" s="89"/>
      <c r="M28" s="44"/>
    </row>
    <row r="29" spans="2:18" ht="16.5" x14ac:dyDescent="0.3">
      <c r="B29" s="30"/>
      <c r="C29" s="30"/>
      <c r="D29" s="30"/>
      <c r="E29" s="75"/>
      <c r="F29" s="76"/>
      <c r="G29" s="51"/>
      <c r="H29" s="39"/>
      <c r="I29" s="39"/>
      <c r="J29" s="30"/>
      <c r="K29" s="75"/>
      <c r="L29" s="89"/>
      <c r="M29" s="44"/>
    </row>
    <row r="30" spans="2:18" ht="16.5" x14ac:dyDescent="0.3">
      <c r="B30" s="30"/>
      <c r="C30" s="30"/>
      <c r="D30" s="30"/>
      <c r="E30" s="75"/>
      <c r="F30" s="51"/>
      <c r="G30" s="51"/>
      <c r="H30" s="39"/>
      <c r="I30" s="39"/>
      <c r="J30" s="30"/>
      <c r="K30" s="75"/>
      <c r="L30" s="89"/>
      <c r="M30" s="44"/>
    </row>
    <row r="31" spans="2:18" ht="16.5" x14ac:dyDescent="0.3">
      <c r="B31" s="30"/>
      <c r="C31" s="30"/>
      <c r="D31" s="30"/>
      <c r="E31" s="77"/>
      <c r="F31" s="78"/>
      <c r="G31" s="42"/>
      <c r="H31" s="43"/>
      <c r="I31" s="43"/>
      <c r="J31" s="30"/>
      <c r="K31" s="75"/>
      <c r="L31" s="89"/>
      <c r="M31" s="44"/>
    </row>
    <row r="32" spans="2:18" ht="16.5" x14ac:dyDescent="0.3">
      <c r="B32" s="30"/>
      <c r="C32" s="30"/>
      <c r="D32" s="38"/>
      <c r="E32" s="35"/>
      <c r="F32" s="35"/>
      <c r="G32" s="35"/>
      <c r="H32" s="37"/>
      <c r="I32" s="37"/>
      <c r="J32" s="38"/>
      <c r="K32" s="33"/>
      <c r="L32" s="33"/>
      <c r="M32" s="33"/>
    </row>
    <row r="33" spans="2:18" ht="16.5" x14ac:dyDescent="0.3">
      <c r="B33" s="30"/>
      <c r="C33" s="30"/>
      <c r="D33" s="38"/>
      <c r="E33" s="100" t="s">
        <v>139</v>
      </c>
      <c r="F33" s="101"/>
      <c r="G33" s="101"/>
      <c r="H33" s="101"/>
      <c r="I33" s="101"/>
      <c r="J33" s="38"/>
      <c r="K33" s="102" t="s">
        <v>140</v>
      </c>
      <c r="L33" s="103"/>
      <c r="M33" s="104"/>
    </row>
    <row r="34" spans="2:18" ht="16.5" x14ac:dyDescent="0.3">
      <c r="B34" s="38"/>
      <c r="C34" s="38"/>
      <c r="D34" s="38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75">
        <v>10890</v>
      </c>
      <c r="F35" s="76" t="s">
        <v>328</v>
      </c>
      <c r="G35" s="51" t="s">
        <v>6</v>
      </c>
      <c r="H35" s="39">
        <v>115</v>
      </c>
      <c r="I35" s="39" t="s">
        <v>51</v>
      </c>
      <c r="J35" s="38"/>
      <c r="K35" s="75"/>
      <c r="L35" s="75"/>
      <c r="M35" s="89"/>
    </row>
    <row r="36" spans="2:18" ht="16.5" customHeight="1" x14ac:dyDescent="0.25">
      <c r="B36" s="38"/>
      <c r="C36" s="38"/>
      <c r="D36" s="38"/>
      <c r="E36" s="81">
        <v>10902</v>
      </c>
      <c r="F36" s="76" t="s">
        <v>333</v>
      </c>
      <c r="G36" s="51" t="s">
        <v>10</v>
      </c>
      <c r="H36" s="39">
        <v>86</v>
      </c>
      <c r="I36" s="39" t="s">
        <v>32</v>
      </c>
      <c r="J36" s="38"/>
      <c r="K36" s="75"/>
      <c r="L36" s="75"/>
      <c r="M36" s="89"/>
    </row>
    <row r="37" spans="2:18" ht="16.5" customHeight="1" x14ac:dyDescent="0.25">
      <c r="B37" s="38"/>
      <c r="C37" s="38"/>
      <c r="D37" s="38"/>
      <c r="E37" s="75"/>
      <c r="F37" s="76"/>
      <c r="G37" s="51"/>
      <c r="H37" s="39"/>
      <c r="I37" s="39"/>
      <c r="J37" s="38"/>
      <c r="K37" s="75"/>
      <c r="L37" s="75"/>
      <c r="M37" s="89"/>
    </row>
    <row r="38" spans="2:18" ht="16.5" customHeight="1" x14ac:dyDescent="0.25">
      <c r="B38" s="38"/>
      <c r="C38" s="38"/>
      <c r="D38" s="38"/>
      <c r="E38" s="75"/>
      <c r="F38" s="76"/>
      <c r="G38" s="51"/>
      <c r="H38" s="39"/>
      <c r="I38" s="39"/>
      <c r="J38" s="38"/>
      <c r="K38" s="75"/>
      <c r="L38" s="75"/>
      <c r="M38" s="89"/>
    </row>
    <row r="39" spans="2:18" ht="16.5" customHeight="1" x14ac:dyDescent="0.25">
      <c r="B39" s="38"/>
      <c r="C39" s="38"/>
      <c r="D39" s="38"/>
      <c r="E39" s="75"/>
      <c r="F39" s="51"/>
      <c r="G39" s="51"/>
      <c r="H39" s="39"/>
      <c r="I39" s="39"/>
      <c r="J39" s="38"/>
      <c r="K39" s="75"/>
      <c r="L39" s="75"/>
      <c r="M39" s="89"/>
    </row>
    <row r="40" spans="2:18" ht="16.5" customHeight="1" x14ac:dyDescent="0.25">
      <c r="B40" s="38"/>
      <c r="C40" s="38"/>
      <c r="D40" s="38"/>
      <c r="E40" s="77"/>
      <c r="F40" s="78"/>
      <c r="G40" s="42"/>
      <c r="H40" s="43"/>
      <c r="I40" s="39"/>
      <c r="J40" s="38"/>
      <c r="K40" s="77"/>
      <c r="L40" s="77"/>
      <c r="M40" s="90"/>
      <c r="Q40" s="1" t="s">
        <v>33</v>
      </c>
      <c r="R40" s="1">
        <f>SUM(R6:R21)</f>
        <v>5</v>
      </c>
    </row>
    <row r="41" spans="2:18" ht="16.5" customHeight="1" x14ac:dyDescent="0.25">
      <c r="B41" s="38"/>
      <c r="C41" s="38"/>
      <c r="D41" s="38"/>
      <c r="E41" s="80"/>
      <c r="F41" s="51"/>
      <c r="G41" s="51"/>
      <c r="H41" s="39"/>
      <c r="I41" s="39"/>
      <c r="J41" s="38"/>
      <c r="K41" s="75"/>
      <c r="L41" s="75"/>
      <c r="M41" s="90"/>
    </row>
    <row r="42" spans="2:18" ht="13.5" x14ac:dyDescent="0.25">
      <c r="B42" s="38"/>
      <c r="C42" s="38"/>
      <c r="D42" s="38"/>
      <c r="E42" s="35"/>
      <c r="F42" s="35"/>
      <c r="G42" s="35"/>
      <c r="H42" s="37"/>
      <c r="I42" s="37"/>
      <c r="J42" s="38"/>
      <c r="K42" s="33"/>
      <c r="L42" s="33"/>
      <c r="M42" s="33"/>
    </row>
    <row r="43" spans="2:18" ht="13.5" x14ac:dyDescent="0.25">
      <c r="B43" s="38"/>
      <c r="C43" s="38"/>
      <c r="D43" s="38"/>
      <c r="E43" s="35"/>
      <c r="F43" s="35"/>
      <c r="G43" s="35"/>
      <c r="H43" s="37"/>
      <c r="I43" s="37"/>
      <c r="J43" s="38"/>
      <c r="K43" s="33"/>
      <c r="L43" s="33"/>
      <c r="M43" s="33"/>
    </row>
    <row r="44" spans="2:18" ht="13.5" x14ac:dyDescent="0.25">
      <c r="B44" s="38"/>
      <c r="C44" s="38"/>
      <c r="D44" s="38"/>
      <c r="E44" s="35"/>
      <c r="F44" s="35"/>
      <c r="G44" s="35"/>
      <c r="H44" s="37"/>
      <c r="I44" s="37"/>
      <c r="J44" s="38"/>
      <c r="K44" s="33"/>
      <c r="L44" s="33"/>
      <c r="M44" s="33"/>
    </row>
    <row r="45" spans="2:18" ht="13.5" x14ac:dyDescent="0.25">
      <c r="B45" s="38"/>
      <c r="C45" s="38"/>
      <c r="D45" s="38"/>
      <c r="E45" s="35"/>
      <c r="F45" s="35"/>
      <c r="G45" s="35"/>
      <c r="H45" s="37"/>
      <c r="I45" s="37"/>
      <c r="J45" s="38"/>
      <c r="K45" s="33"/>
      <c r="L45" s="33"/>
      <c r="M45" s="33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  <x14:dataValidation type="list" allowBlank="1" showInputMessage="1" showErrorMessage="1" xr:uid="{4C779888-BC21-4BA7-8880-04D9D3FC1118}">
          <x14:formula1>
            <xm:f>resumo_cx!$P$2:$P$18</xm:f>
          </x14:formula1>
          <xm:sqref>L15:L31</xm:sqref>
        </x14:dataValidation>
        <x14:dataValidation type="list" allowBlank="1" showInputMessage="1" showErrorMessage="1" xr:uid="{817715BA-EE53-4115-986D-7C10D4395DBA}">
          <x14:formula1>
            <xm:f>base_OS!$A$2:$A$15000</xm:f>
          </x14:formula1>
          <xm:sqref>E6:E22 E26:E31 E35:E41 K35:K41 K15:K31</xm:sqref>
        </x14:dataValidation>
        <x14:dataValidation type="list" allowBlank="1" showInputMessage="1" showErrorMessage="1" xr:uid="{F25EF7E0-5BB3-4CF1-9B17-26FA036353B2}">
          <x14:formula1>
            <xm:f>base!$A$2:$A$5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base!$A$2:$A$8</xm:f>
          </x14:formula1>
          <xm:sqref>G6:G22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5"/>
  <sheetViews>
    <sheetView showGridLines="0" view="pageBreakPreview" topLeftCell="B4" zoomScale="60" zoomScaleNormal="90" workbookViewId="0">
      <selection activeCell="M8" sqref="M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8.7109375" style="12" bestFit="1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'26'!B1+1</f>
        <v>45835</v>
      </c>
      <c r="C1" s="98"/>
      <c r="L1" s="99" t="s">
        <v>143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5" t="s">
        <v>0</v>
      </c>
      <c r="C4" s="26">
        <v>0</v>
      </c>
      <c r="D4" s="58"/>
      <c r="E4" s="108" t="s">
        <v>136</v>
      </c>
      <c r="F4" s="108"/>
      <c r="G4" s="108"/>
      <c r="H4" s="108"/>
      <c r="I4" s="108"/>
      <c r="J4" s="30"/>
      <c r="K4" s="102" t="s">
        <v>137</v>
      </c>
      <c r="L4" s="103"/>
      <c r="M4" s="104"/>
    </row>
    <row r="5" spans="2:18" ht="16.5" x14ac:dyDescent="0.3">
      <c r="B5" s="28" t="s">
        <v>1</v>
      </c>
      <c r="C5" s="29">
        <f>SUMIF(I6:I31,"&gt;0",H6:H31)</f>
        <v>7971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18" ht="16.5" x14ac:dyDescent="0.3">
      <c r="B6" s="28" t="s">
        <v>2</v>
      </c>
      <c r="C6" s="29">
        <f>C16</f>
        <v>6922</v>
      </c>
      <c r="D6" s="30"/>
      <c r="E6" s="75">
        <v>11279</v>
      </c>
      <c r="F6" s="76" t="s">
        <v>336</v>
      </c>
      <c r="G6" s="51" t="s">
        <v>6</v>
      </c>
      <c r="H6" s="39">
        <v>180</v>
      </c>
      <c r="I6" s="39">
        <v>180</v>
      </c>
      <c r="J6" s="30"/>
      <c r="K6" s="76" t="s">
        <v>161</v>
      </c>
      <c r="L6" s="89" t="s">
        <v>10</v>
      </c>
      <c r="M6" s="44">
        <v>3.75</v>
      </c>
      <c r="R6" s="1">
        <f>IF(vend27[[#This Row],[Nº Venda]]&gt;1,1,0)</f>
        <v>1</v>
      </c>
    </row>
    <row r="7" spans="2:18" ht="16.5" x14ac:dyDescent="0.3">
      <c r="B7" s="28" t="s">
        <v>3</v>
      </c>
      <c r="C7" s="29">
        <f>SUM(M6:M11)</f>
        <v>303.75</v>
      </c>
      <c r="D7" s="30"/>
      <c r="E7" s="75">
        <v>11280</v>
      </c>
      <c r="F7" s="76" t="s">
        <v>337</v>
      </c>
      <c r="G7" s="51" t="s">
        <v>6</v>
      </c>
      <c r="H7" s="39">
        <v>799</v>
      </c>
      <c r="I7" s="39">
        <v>10</v>
      </c>
      <c r="J7" s="30"/>
      <c r="K7" s="76" t="s">
        <v>209</v>
      </c>
      <c r="L7" s="89" t="s">
        <v>338</v>
      </c>
      <c r="M7" s="44">
        <v>300</v>
      </c>
      <c r="R7" s="1">
        <f>IF(vend27[[#This Row],[Nº Venda]]&gt;1,1,0)</f>
        <v>1</v>
      </c>
    </row>
    <row r="8" spans="2:18" ht="16.5" x14ac:dyDescent="0.3">
      <c r="B8" s="31" t="s">
        <v>21</v>
      </c>
      <c r="C8" s="32">
        <f>SUM(C6:C7)</f>
        <v>7225.75</v>
      </c>
      <c r="D8" s="30"/>
      <c r="E8" s="75">
        <v>11281</v>
      </c>
      <c r="F8" s="76" t="s">
        <v>337</v>
      </c>
      <c r="G8" s="51" t="s">
        <v>6</v>
      </c>
      <c r="H8" s="39">
        <v>412</v>
      </c>
      <c r="I8" s="39">
        <v>10</v>
      </c>
      <c r="J8" s="30"/>
      <c r="K8" s="76"/>
      <c r="L8" s="89"/>
      <c r="M8" s="44"/>
      <c r="R8" s="1">
        <f>IF(vend27[[#This Row],[Nº Venda]]&gt;1,1,0)</f>
        <v>1</v>
      </c>
    </row>
    <row r="9" spans="2:18" ht="16.5" x14ac:dyDescent="0.3">
      <c r="B9" s="27"/>
      <c r="C9" s="27"/>
      <c r="D9" s="30"/>
      <c r="E9" s="75">
        <v>11282</v>
      </c>
      <c r="F9" s="76" t="s">
        <v>340</v>
      </c>
      <c r="G9" s="51" t="s">
        <v>10</v>
      </c>
      <c r="H9" s="39">
        <v>1411</v>
      </c>
      <c r="I9" s="39">
        <v>1411</v>
      </c>
      <c r="J9" s="30"/>
      <c r="K9" s="76"/>
      <c r="L9" s="89"/>
      <c r="M9" s="44"/>
      <c r="R9" s="1">
        <f>IF(vend27[[#This Row],[Nº Venda]]&gt;1,1,0)</f>
        <v>1</v>
      </c>
    </row>
    <row r="10" spans="2:18" ht="16.5" x14ac:dyDescent="0.3">
      <c r="B10" s="109" t="s">
        <v>5</v>
      </c>
      <c r="C10" s="110"/>
      <c r="D10" s="30"/>
      <c r="E10" s="75">
        <v>11283</v>
      </c>
      <c r="F10" s="76" t="s">
        <v>340</v>
      </c>
      <c r="G10" s="51" t="s">
        <v>10</v>
      </c>
      <c r="H10" s="39">
        <v>279</v>
      </c>
      <c r="I10" s="39">
        <v>279</v>
      </c>
      <c r="J10" s="30"/>
      <c r="K10" s="76"/>
      <c r="L10" s="89"/>
      <c r="M10" s="44"/>
      <c r="R10" s="1">
        <f>IF(vend27[[#This Row],[Nº Venda]]&gt;1,1,0)</f>
        <v>1</v>
      </c>
    </row>
    <row r="11" spans="2:18" ht="16.5" x14ac:dyDescent="0.3">
      <c r="B11" s="28" t="s">
        <v>6</v>
      </c>
      <c r="C11" s="69">
        <f>(SUMIF($G$2:$G$31,B11,$I$2:$I$31))+(SUMIF($G$35:$G$41,B11,$H$35:$H$41))</f>
        <v>300</v>
      </c>
      <c r="D11" s="30"/>
      <c r="E11" s="75">
        <v>11284</v>
      </c>
      <c r="F11" s="76" t="s">
        <v>340</v>
      </c>
      <c r="G11" s="51" t="s">
        <v>10</v>
      </c>
      <c r="H11" s="39">
        <v>150</v>
      </c>
      <c r="I11" s="39">
        <v>150</v>
      </c>
      <c r="J11" s="30"/>
      <c r="K11" s="38"/>
      <c r="L11" s="89"/>
      <c r="M11" s="44"/>
      <c r="O11" s="1">
        <f>IF(C16=0,0,1)</f>
        <v>1</v>
      </c>
      <c r="R11" s="1">
        <f>IF(vend27[[#This Row],[Nº Venda]]&gt;1,1,0)</f>
        <v>1</v>
      </c>
    </row>
    <row r="12" spans="2:18" ht="16.5" x14ac:dyDescent="0.3">
      <c r="B12" s="28" t="s">
        <v>7</v>
      </c>
      <c r="C12" s="69">
        <f t="shared" ref="C12:C15" si="0">(SUMIF($G$2:$G$31,B12,$I$2:$I$31))+(SUMIF($G$35:$G$41,B12,$H$35:$H$41))</f>
        <v>0</v>
      </c>
      <c r="D12" s="30"/>
      <c r="E12" s="75">
        <v>11285</v>
      </c>
      <c r="F12" s="76" t="s">
        <v>341</v>
      </c>
      <c r="G12" s="51" t="s">
        <v>8</v>
      </c>
      <c r="H12" s="39">
        <v>990</v>
      </c>
      <c r="I12" s="39">
        <v>990</v>
      </c>
      <c r="J12" s="30"/>
      <c r="K12" s="33"/>
      <c r="L12" s="33"/>
      <c r="M12" s="33"/>
      <c r="R12" s="1">
        <f>IF(vend27[[#This Row],[Nº Venda]]&gt;1,1,0)</f>
        <v>1</v>
      </c>
    </row>
    <row r="13" spans="2:18" ht="16.5" x14ac:dyDescent="0.3">
      <c r="B13" s="28" t="s">
        <v>8</v>
      </c>
      <c r="C13" s="69">
        <f t="shared" si="0"/>
        <v>2190</v>
      </c>
      <c r="D13" s="30"/>
      <c r="E13" s="75">
        <v>11286</v>
      </c>
      <c r="F13" s="76" t="s">
        <v>342</v>
      </c>
      <c r="G13" s="51" t="s">
        <v>10</v>
      </c>
      <c r="H13" s="39">
        <v>1550</v>
      </c>
      <c r="I13" s="39">
        <v>1550</v>
      </c>
      <c r="J13" s="30"/>
      <c r="K13" s="102" t="s">
        <v>141</v>
      </c>
      <c r="L13" s="103"/>
      <c r="M13" s="104"/>
      <c r="R13" s="1">
        <f>IF(vend27[[#This Row],[Nº Venda]]&gt;1,1,0)</f>
        <v>1</v>
      </c>
    </row>
    <row r="14" spans="2:18" ht="16.5" x14ac:dyDescent="0.3">
      <c r="B14" s="28" t="s">
        <v>9</v>
      </c>
      <c r="C14" s="69">
        <f t="shared" si="0"/>
        <v>0</v>
      </c>
      <c r="D14" s="30"/>
      <c r="E14" s="75">
        <v>11287</v>
      </c>
      <c r="F14" s="76" t="s">
        <v>194</v>
      </c>
      <c r="G14" s="51" t="s">
        <v>10</v>
      </c>
      <c r="H14" s="39">
        <v>150</v>
      </c>
      <c r="I14" s="39">
        <v>50</v>
      </c>
      <c r="J14" s="30"/>
      <c r="K14" s="22" t="s">
        <v>22</v>
      </c>
      <c r="L14" s="23" t="s">
        <v>23</v>
      </c>
      <c r="M14" s="24" t="s">
        <v>24</v>
      </c>
      <c r="R14" s="1">
        <f>IF(vend27[[#This Row],[Nº Venda]]&gt;1,1,0)</f>
        <v>1</v>
      </c>
    </row>
    <row r="15" spans="2:18" ht="16.5" x14ac:dyDescent="0.3">
      <c r="B15" s="28" t="s">
        <v>10</v>
      </c>
      <c r="C15" s="69">
        <f t="shared" si="0"/>
        <v>4432</v>
      </c>
      <c r="D15" s="30"/>
      <c r="E15" s="75"/>
      <c r="F15" s="76"/>
      <c r="G15" s="51"/>
      <c r="H15" s="39"/>
      <c r="I15" s="39"/>
      <c r="J15" s="30"/>
      <c r="K15" s="75">
        <v>11182</v>
      </c>
      <c r="L15" s="89" t="s">
        <v>128</v>
      </c>
      <c r="M15" s="44" t="s">
        <v>146</v>
      </c>
      <c r="R15" s="1">
        <f>IF(vend27[[#This Row],[Nº Venda]]&gt;1,1,0)</f>
        <v>0</v>
      </c>
    </row>
    <row r="16" spans="2:18" ht="16.5" x14ac:dyDescent="0.3">
      <c r="B16" s="31" t="s">
        <v>11</v>
      </c>
      <c r="C16" s="70">
        <f>SUM(C11:C15)</f>
        <v>6922</v>
      </c>
      <c r="D16" s="30"/>
      <c r="E16" s="75"/>
      <c r="F16" s="76"/>
      <c r="G16" s="51"/>
      <c r="H16" s="39"/>
      <c r="I16" s="39"/>
      <c r="J16" s="30"/>
      <c r="K16" s="75">
        <v>11183</v>
      </c>
      <c r="L16" s="89" t="s">
        <v>128</v>
      </c>
      <c r="M16" s="44" t="s">
        <v>146</v>
      </c>
      <c r="R16" s="1">
        <f>IF(vend27[[#This Row],[Nº Venda]]&gt;1,1,0)</f>
        <v>0</v>
      </c>
    </row>
    <row r="17" spans="2:18" ht="16.5" x14ac:dyDescent="0.3">
      <c r="B17" s="27"/>
      <c r="C17" s="27"/>
      <c r="D17" s="30"/>
      <c r="E17" s="75"/>
      <c r="F17" s="76"/>
      <c r="G17" s="51"/>
      <c r="H17" s="39"/>
      <c r="I17" s="39"/>
      <c r="J17" s="30"/>
      <c r="K17" s="75">
        <v>11184</v>
      </c>
      <c r="L17" s="89" t="s">
        <v>128</v>
      </c>
      <c r="M17" s="44" t="s">
        <v>146</v>
      </c>
      <c r="R17" s="1">
        <f>IF(vend27[[#This Row],[Nº Venda]]&gt;1,1,0)</f>
        <v>0</v>
      </c>
    </row>
    <row r="18" spans="2:18" ht="16.5" x14ac:dyDescent="0.3">
      <c r="B18" s="109" t="s">
        <v>12</v>
      </c>
      <c r="C18" s="110"/>
      <c r="D18" s="30"/>
      <c r="E18" s="75"/>
      <c r="F18" s="76"/>
      <c r="G18" s="51"/>
      <c r="H18" s="39"/>
      <c r="I18" s="39"/>
      <c r="J18" s="30"/>
      <c r="K18" s="75">
        <v>11209</v>
      </c>
      <c r="L18" s="89" t="s">
        <v>130</v>
      </c>
      <c r="M18" s="44" t="s">
        <v>146</v>
      </c>
      <c r="R18" s="1">
        <f>IF(vend27[[#This Row],[Nº Venda]]&gt;1,1,0)</f>
        <v>0</v>
      </c>
    </row>
    <row r="19" spans="2:18" ht="16.5" x14ac:dyDescent="0.3">
      <c r="B19" s="28">
        <f>COUNT(entr_carn27[OS])</f>
        <v>0</v>
      </c>
      <c r="C19" s="69">
        <f>SUM(entr_carn27[Valor Total])</f>
        <v>0</v>
      </c>
      <c r="D19" s="30"/>
      <c r="E19" s="75"/>
      <c r="F19" s="76"/>
      <c r="G19" s="51"/>
      <c r="H19" s="39"/>
      <c r="I19" s="39"/>
      <c r="J19" s="30"/>
      <c r="K19" s="75">
        <v>11218</v>
      </c>
      <c r="L19" s="89" t="s">
        <v>130</v>
      </c>
      <c r="M19" s="44" t="s">
        <v>146</v>
      </c>
      <c r="R19" s="1">
        <f>IF(vend27[[#This Row],[Nº Venda]]&gt;1,1,0)</f>
        <v>0</v>
      </c>
    </row>
    <row r="20" spans="2:18" ht="16.5" x14ac:dyDescent="0.3">
      <c r="B20" s="31" t="s">
        <v>11</v>
      </c>
      <c r="C20" s="70">
        <f>SUM(C19:C19)</f>
        <v>0</v>
      </c>
      <c r="D20" s="30"/>
      <c r="E20" s="75"/>
      <c r="F20" s="51"/>
      <c r="G20" s="51"/>
      <c r="H20" s="39"/>
      <c r="I20" s="39"/>
      <c r="J20" s="30"/>
      <c r="K20" s="75">
        <v>11228</v>
      </c>
      <c r="L20" s="89" t="s">
        <v>128</v>
      </c>
      <c r="M20" s="44" t="s">
        <v>146</v>
      </c>
      <c r="R20" s="1">
        <f>IF(vend27[[#This Row],[Nº Venda]]&gt;1,1,0)</f>
        <v>0</v>
      </c>
    </row>
    <row r="21" spans="2:18" ht="16.5" x14ac:dyDescent="0.3">
      <c r="B21" s="27"/>
      <c r="C21" s="27"/>
      <c r="D21" s="30"/>
      <c r="E21" s="75"/>
      <c r="F21" s="76"/>
      <c r="G21" s="51"/>
      <c r="H21" s="39"/>
      <c r="I21" s="39"/>
      <c r="J21" s="30"/>
      <c r="K21" s="75">
        <v>11247</v>
      </c>
      <c r="L21" s="89" t="s">
        <v>130</v>
      </c>
      <c r="M21" s="44" t="s">
        <v>146</v>
      </c>
    </row>
    <row r="22" spans="2:18" ht="16.5" x14ac:dyDescent="0.3">
      <c r="B22" s="31" t="s">
        <v>25</v>
      </c>
      <c r="C22" s="34">
        <f>C5</f>
        <v>7971</v>
      </c>
      <c r="D22" s="30"/>
      <c r="E22" s="77"/>
      <c r="F22" s="76"/>
      <c r="G22" s="51"/>
      <c r="H22" s="39"/>
      <c r="I22" s="39"/>
      <c r="J22" s="30"/>
      <c r="K22" s="75"/>
      <c r="L22" s="89"/>
      <c r="M22" s="44"/>
    </row>
    <row r="23" spans="2:18" ht="16.5" x14ac:dyDescent="0.3">
      <c r="B23" s="30"/>
      <c r="C23" s="30"/>
      <c r="D23" s="30"/>
      <c r="E23" s="35"/>
      <c r="F23" s="35"/>
      <c r="G23" s="35"/>
      <c r="H23" s="36"/>
      <c r="I23" s="37"/>
      <c r="J23" s="30"/>
      <c r="K23" s="75"/>
      <c r="L23" s="89"/>
      <c r="M23" s="44"/>
    </row>
    <row r="24" spans="2:18" ht="16.5" x14ac:dyDescent="0.3">
      <c r="B24" s="30"/>
      <c r="C24" s="30"/>
      <c r="D24" s="30"/>
      <c r="E24" s="100" t="s">
        <v>138</v>
      </c>
      <c r="F24" s="101"/>
      <c r="G24" s="101"/>
      <c r="H24" s="101"/>
      <c r="I24" s="101"/>
      <c r="J24" s="30"/>
      <c r="K24" s="75"/>
      <c r="L24" s="89"/>
      <c r="M24" s="44"/>
    </row>
    <row r="25" spans="2:18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5"/>
      <c r="L25" s="89"/>
      <c r="M25" s="44"/>
    </row>
    <row r="26" spans="2:18" ht="16.5" x14ac:dyDescent="0.3">
      <c r="B26" s="30"/>
      <c r="C26" s="30"/>
      <c r="D26" s="30"/>
      <c r="E26" s="75">
        <v>11209</v>
      </c>
      <c r="F26" s="51" t="s">
        <v>262</v>
      </c>
      <c r="G26" s="51" t="s">
        <v>8</v>
      </c>
      <c r="H26" s="39">
        <v>0</v>
      </c>
      <c r="I26" s="39">
        <v>299</v>
      </c>
      <c r="J26" s="30"/>
      <c r="K26" s="75"/>
      <c r="L26" s="89"/>
      <c r="M26" s="44"/>
    </row>
    <row r="27" spans="2:18" ht="16.5" x14ac:dyDescent="0.3">
      <c r="B27" s="30"/>
      <c r="C27" s="30"/>
      <c r="D27" s="30"/>
      <c r="E27" s="75">
        <v>11209</v>
      </c>
      <c r="F27" s="76" t="s">
        <v>262</v>
      </c>
      <c r="G27" s="51" t="s">
        <v>10</v>
      </c>
      <c r="H27" s="39">
        <v>0</v>
      </c>
      <c r="I27" s="39">
        <v>400</v>
      </c>
      <c r="J27" s="30"/>
      <c r="K27" s="75"/>
      <c r="L27" s="89"/>
      <c r="M27" s="44"/>
    </row>
    <row r="28" spans="2:18" ht="16.5" x14ac:dyDescent="0.3">
      <c r="B28" s="30"/>
      <c r="C28" s="30"/>
      <c r="D28" s="30"/>
      <c r="E28" s="75">
        <v>11218</v>
      </c>
      <c r="F28" s="76" t="s">
        <v>345</v>
      </c>
      <c r="G28" s="51" t="s">
        <v>10</v>
      </c>
      <c r="H28" s="39">
        <v>0</v>
      </c>
      <c r="I28" s="39">
        <v>450</v>
      </c>
      <c r="J28" s="30"/>
      <c r="K28" s="75"/>
      <c r="L28" s="89"/>
      <c r="M28" s="44"/>
    </row>
    <row r="29" spans="2:18" ht="16.5" x14ac:dyDescent="0.3">
      <c r="B29" s="30"/>
      <c r="C29" s="30"/>
      <c r="D29" s="30"/>
      <c r="E29" s="75">
        <v>11270</v>
      </c>
      <c r="F29" s="76" t="s">
        <v>344</v>
      </c>
      <c r="G29" s="51" t="s">
        <v>8</v>
      </c>
      <c r="H29" s="39">
        <v>1149</v>
      </c>
      <c r="I29" s="39">
        <v>9</v>
      </c>
      <c r="J29" s="30"/>
      <c r="K29" s="75"/>
      <c r="L29" s="89"/>
      <c r="M29" s="44"/>
    </row>
    <row r="30" spans="2:18" ht="16.5" x14ac:dyDescent="0.3">
      <c r="B30" s="30"/>
      <c r="C30" s="30"/>
      <c r="D30" s="30"/>
      <c r="E30" s="75">
        <v>11271</v>
      </c>
      <c r="F30" s="76" t="s">
        <v>344</v>
      </c>
      <c r="G30" s="51" t="s">
        <v>8</v>
      </c>
      <c r="H30" s="39">
        <v>299</v>
      </c>
      <c r="I30" s="39">
        <v>290</v>
      </c>
      <c r="J30" s="30"/>
      <c r="K30" s="75"/>
      <c r="L30" s="89"/>
      <c r="M30" s="44"/>
    </row>
    <row r="31" spans="2:18" ht="16.5" x14ac:dyDescent="0.3">
      <c r="B31" s="30"/>
      <c r="C31" s="30"/>
      <c r="D31" s="30"/>
      <c r="E31" s="77">
        <v>11272</v>
      </c>
      <c r="F31" s="78" t="s">
        <v>344</v>
      </c>
      <c r="G31" s="42" t="s">
        <v>8</v>
      </c>
      <c r="H31" s="43">
        <v>602</v>
      </c>
      <c r="I31" s="43">
        <v>602</v>
      </c>
      <c r="J31" s="30"/>
      <c r="K31" s="75"/>
      <c r="L31" s="89"/>
      <c r="M31" s="44"/>
    </row>
    <row r="32" spans="2:18" ht="16.5" x14ac:dyDescent="0.3">
      <c r="B32" s="30"/>
      <c r="C32" s="30"/>
      <c r="D32" s="38"/>
      <c r="E32" s="35"/>
      <c r="F32" s="35"/>
      <c r="G32" s="35"/>
      <c r="H32" s="37"/>
      <c r="I32" s="37"/>
      <c r="J32" s="38"/>
      <c r="K32" s="33"/>
      <c r="L32" s="33"/>
      <c r="M32" s="33"/>
    </row>
    <row r="33" spans="2:18" ht="16.5" x14ac:dyDescent="0.3">
      <c r="B33" s="30"/>
      <c r="C33" s="30"/>
      <c r="D33" s="38"/>
      <c r="E33" s="100" t="s">
        <v>139</v>
      </c>
      <c r="F33" s="101"/>
      <c r="G33" s="101"/>
      <c r="H33" s="101"/>
      <c r="I33" s="101"/>
      <c r="J33" s="38"/>
      <c r="K33" s="102" t="s">
        <v>140</v>
      </c>
      <c r="L33" s="103"/>
      <c r="M33" s="104"/>
    </row>
    <row r="34" spans="2:18" ht="16.5" x14ac:dyDescent="0.3">
      <c r="B34" s="38"/>
      <c r="C34" s="38"/>
      <c r="D34" s="38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75">
        <v>9942</v>
      </c>
      <c r="F35" s="76" t="s">
        <v>339</v>
      </c>
      <c r="G35" s="51" t="s">
        <v>6</v>
      </c>
      <c r="H35" s="39">
        <v>100</v>
      </c>
      <c r="I35" s="39" t="s">
        <v>57</v>
      </c>
      <c r="J35" s="38"/>
      <c r="K35" s="75"/>
      <c r="L35" s="75"/>
      <c r="M35" s="89"/>
    </row>
    <row r="36" spans="2:18" ht="16.5" customHeight="1" x14ac:dyDescent="0.25">
      <c r="B36" s="38"/>
      <c r="C36" s="38"/>
      <c r="D36" s="38"/>
      <c r="E36" s="77">
        <v>11024</v>
      </c>
      <c r="F36" s="76" t="s">
        <v>343</v>
      </c>
      <c r="G36" s="51" t="s">
        <v>10</v>
      </c>
      <c r="H36" s="39">
        <v>41</v>
      </c>
      <c r="I36" s="39" t="s">
        <v>48</v>
      </c>
      <c r="J36" s="38"/>
      <c r="K36" s="75"/>
      <c r="L36" s="75"/>
      <c r="M36" s="89"/>
    </row>
    <row r="37" spans="2:18" ht="16.5" customHeight="1" x14ac:dyDescent="0.25">
      <c r="B37" s="38"/>
      <c r="C37" s="38"/>
      <c r="D37" s="38"/>
      <c r="E37" s="82">
        <v>11032</v>
      </c>
      <c r="F37" s="76" t="s">
        <v>343</v>
      </c>
      <c r="G37" s="51" t="s">
        <v>10</v>
      </c>
      <c r="H37" s="39">
        <v>101</v>
      </c>
      <c r="I37" s="39" t="s">
        <v>32</v>
      </c>
      <c r="J37" s="38"/>
      <c r="K37" s="75"/>
      <c r="L37" s="75"/>
      <c r="M37" s="89"/>
    </row>
    <row r="38" spans="2:18" ht="16.5" customHeight="1" x14ac:dyDescent="0.25">
      <c r="B38" s="38"/>
      <c r="C38" s="38"/>
      <c r="D38" s="38"/>
      <c r="E38" s="75"/>
      <c r="F38" s="76"/>
      <c r="G38" s="51"/>
      <c r="H38" s="39"/>
      <c r="I38" s="39"/>
      <c r="J38" s="38"/>
      <c r="K38" s="75"/>
      <c r="L38" s="75"/>
      <c r="M38" s="89"/>
    </row>
    <row r="39" spans="2:18" ht="16.5" customHeight="1" x14ac:dyDescent="0.25">
      <c r="B39" s="38"/>
      <c r="C39" s="38"/>
      <c r="D39" s="38"/>
      <c r="E39" s="75"/>
      <c r="F39" s="51"/>
      <c r="G39" s="51"/>
      <c r="H39" s="39"/>
      <c r="I39" s="39"/>
      <c r="J39" s="38"/>
      <c r="K39" s="75"/>
      <c r="L39" s="75"/>
      <c r="M39" s="89"/>
    </row>
    <row r="40" spans="2:18" ht="16.5" customHeight="1" x14ac:dyDescent="0.25">
      <c r="B40" s="38"/>
      <c r="C40" s="38"/>
      <c r="D40" s="38"/>
      <c r="E40" s="77"/>
      <c r="F40" s="78"/>
      <c r="G40" s="42"/>
      <c r="H40" s="43"/>
      <c r="I40" s="39"/>
      <c r="J40" s="38"/>
      <c r="K40" s="77"/>
      <c r="L40" s="77"/>
      <c r="M40" s="90"/>
      <c r="Q40" s="1" t="s">
        <v>33</v>
      </c>
      <c r="R40" s="1">
        <f>SUM(R6:R21)</f>
        <v>9</v>
      </c>
    </row>
    <row r="41" spans="2:18" ht="16.5" customHeight="1" x14ac:dyDescent="0.25">
      <c r="B41" s="38"/>
      <c r="C41" s="38"/>
      <c r="D41" s="38"/>
      <c r="E41" s="80"/>
      <c r="F41" s="51"/>
      <c r="G41" s="51"/>
      <c r="H41" s="39"/>
      <c r="I41" s="39"/>
      <c r="J41" s="38"/>
      <c r="K41" s="75"/>
      <c r="L41" s="75"/>
      <c r="M41" s="90"/>
    </row>
    <row r="42" spans="2:18" ht="13.5" x14ac:dyDescent="0.25">
      <c r="B42" s="38"/>
      <c r="C42" s="38"/>
      <c r="D42" s="38"/>
      <c r="E42" s="35"/>
      <c r="F42" s="35"/>
      <c r="G42" s="35"/>
      <c r="H42" s="37"/>
      <c r="I42" s="37"/>
      <c r="J42" s="38"/>
      <c r="K42" s="33"/>
      <c r="L42" s="33"/>
      <c r="M42" s="33"/>
    </row>
    <row r="43" spans="2:18" ht="13.5" x14ac:dyDescent="0.25">
      <c r="B43" s="38"/>
      <c r="C43" s="38"/>
      <c r="D43" s="38"/>
      <c r="E43" s="35"/>
      <c r="F43" s="35"/>
      <c r="G43" s="35"/>
      <c r="H43" s="37"/>
      <c r="I43" s="37"/>
      <c r="J43" s="38"/>
      <c r="K43" s="33"/>
      <c r="L43" s="33"/>
      <c r="M43" s="33"/>
    </row>
    <row r="44" spans="2:18" ht="13.5" x14ac:dyDescent="0.25">
      <c r="B44" s="38"/>
      <c r="C44" s="38"/>
      <c r="D44" s="38"/>
      <c r="E44" s="35"/>
      <c r="F44" s="35"/>
      <c r="G44" s="35"/>
      <c r="H44" s="37"/>
      <c r="I44" s="37"/>
      <c r="J44" s="38"/>
      <c r="K44" s="33"/>
      <c r="L44" s="33"/>
      <c r="M44" s="33"/>
    </row>
    <row r="45" spans="2:18" ht="13.5" x14ac:dyDescent="0.25">
      <c r="B45" s="38"/>
      <c r="C45" s="38"/>
      <c r="D45" s="38"/>
      <c r="E45" s="35"/>
      <c r="F45" s="35"/>
      <c r="G45" s="35"/>
      <c r="H45" s="37"/>
      <c r="I45" s="37"/>
      <c r="J45" s="38"/>
      <c r="K45" s="33"/>
      <c r="L45" s="33"/>
      <c r="M45" s="33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  <x14:dataValidation type="list" allowBlank="1" showInputMessage="1" showErrorMessage="1" xr:uid="{58734A9E-DE9A-4CDC-A284-098703B16D56}">
          <x14:formula1>
            <xm:f>resumo_cx!$P$2:$P$18</xm:f>
          </x14:formula1>
          <xm:sqref>L15:L31</xm:sqref>
        </x14:dataValidation>
        <x14:dataValidation type="list" allowBlank="1" showInputMessage="1" showErrorMessage="1" xr:uid="{18E209DF-FFCB-4DE9-B9C0-9767B4133DD9}">
          <x14:formula1>
            <xm:f>base_OS!$A$2:$A$15000</xm:f>
          </x14:formula1>
          <xm:sqref>E6:E22 E26:E31 E35:E41 K35:K41 K15:K31</xm:sqref>
        </x14:dataValidation>
        <x14:dataValidation type="list" allowBlank="1" showInputMessage="1" showErrorMessage="1" xr:uid="{C98E5996-9497-4006-B937-DD7511465A6E}">
          <x14:formula1>
            <xm:f>base!$A$2:$A$5</xm:f>
          </x14:formula1>
          <xm:sqref>G35:G41 G26:G27 G29:G31</xm:sqref>
        </x14:dataValidation>
        <x14:dataValidation type="list" allowBlank="1" showInputMessage="1" showErrorMessage="1" xr:uid="{279E54C8-7C93-429D-89A5-A79D36951357}">
          <x14:formula1>
            <xm:f>base!$A$2:$A$8</xm:f>
          </x14:formula1>
          <xm:sqref>G6:G22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5"/>
  <sheetViews>
    <sheetView showGridLines="0" view="pageBreakPreview" topLeftCell="C6" zoomScale="60" zoomScaleNormal="90" workbookViewId="0">
      <selection activeCell="Z15" sqref="Z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'27'!B1+1</f>
        <v>45836</v>
      </c>
      <c r="C1" s="98"/>
      <c r="L1" s="99" t="s">
        <v>143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5" t="s">
        <v>0</v>
      </c>
      <c r="C4" s="26">
        <v>0</v>
      </c>
      <c r="D4" s="58"/>
      <c r="E4" s="108" t="s">
        <v>136</v>
      </c>
      <c r="F4" s="108"/>
      <c r="G4" s="108"/>
      <c r="H4" s="108"/>
      <c r="I4" s="108"/>
      <c r="J4" s="30"/>
      <c r="K4" s="102" t="s">
        <v>137</v>
      </c>
      <c r="L4" s="103"/>
      <c r="M4" s="104"/>
    </row>
    <row r="5" spans="2:18" ht="16.5" x14ac:dyDescent="0.3">
      <c r="B5" s="28" t="s">
        <v>1</v>
      </c>
      <c r="C5" s="29">
        <f>SUMIF(I6:I31,"&gt;0",H6:H31)</f>
        <v>4697.8999999999996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18" ht="16.5" x14ac:dyDescent="0.3">
      <c r="B6" s="28" t="s">
        <v>2</v>
      </c>
      <c r="C6" s="29">
        <f>C16</f>
        <v>4587.9799999999996</v>
      </c>
      <c r="D6" s="30"/>
      <c r="E6" s="75">
        <v>11288</v>
      </c>
      <c r="F6" s="76" t="s">
        <v>346</v>
      </c>
      <c r="G6" s="51" t="s">
        <v>10</v>
      </c>
      <c r="H6" s="39">
        <v>590</v>
      </c>
      <c r="I6" s="39">
        <v>390</v>
      </c>
      <c r="J6" s="30"/>
      <c r="K6" s="76" t="s">
        <v>335</v>
      </c>
      <c r="L6" s="89" t="s">
        <v>6</v>
      </c>
      <c r="M6" s="44">
        <v>20</v>
      </c>
      <c r="R6" s="1">
        <f>IF(vend28[[#This Row],[Nº Venda]]&gt;1,1,0)</f>
        <v>1</v>
      </c>
    </row>
    <row r="7" spans="2:18" ht="16.5" x14ac:dyDescent="0.3">
      <c r="B7" s="28" t="s">
        <v>3</v>
      </c>
      <c r="C7" s="29">
        <f>SUM(M6:M11)</f>
        <v>20</v>
      </c>
      <c r="D7" s="30"/>
      <c r="E7" s="75">
        <v>11288</v>
      </c>
      <c r="F7" s="76" t="s">
        <v>346</v>
      </c>
      <c r="G7" s="51" t="s">
        <v>8</v>
      </c>
      <c r="H7" s="39">
        <v>0</v>
      </c>
      <c r="I7" s="39">
        <v>200</v>
      </c>
      <c r="J7" s="30"/>
      <c r="K7" s="76"/>
      <c r="L7" s="89"/>
      <c r="M7" s="44"/>
      <c r="R7" s="1">
        <f>IF(vend28[[#This Row],[Nº Venda]]&gt;1,1,0)</f>
        <v>1</v>
      </c>
    </row>
    <row r="8" spans="2:18" ht="16.5" x14ac:dyDescent="0.3">
      <c r="B8" s="31" t="s">
        <v>21</v>
      </c>
      <c r="C8" s="32">
        <f>SUM(C6:C7)</f>
        <v>4607.9799999999996</v>
      </c>
      <c r="D8" s="30"/>
      <c r="E8" s="75">
        <v>11289</v>
      </c>
      <c r="F8" s="76" t="s">
        <v>347</v>
      </c>
      <c r="G8" s="51" t="s">
        <v>36</v>
      </c>
      <c r="H8" s="39">
        <v>0</v>
      </c>
      <c r="I8" s="39">
        <v>0</v>
      </c>
      <c r="J8" s="30"/>
      <c r="K8" s="76"/>
      <c r="L8" s="89"/>
      <c r="M8" s="44"/>
      <c r="R8" s="1">
        <f>IF(vend28[[#This Row],[Nº Venda]]&gt;1,1,0)</f>
        <v>1</v>
      </c>
    </row>
    <row r="9" spans="2:18" ht="16.5" x14ac:dyDescent="0.3">
      <c r="B9" s="27"/>
      <c r="C9" s="27"/>
      <c r="D9" s="30"/>
      <c r="E9" s="75">
        <v>11290</v>
      </c>
      <c r="F9" s="76" t="s">
        <v>348</v>
      </c>
      <c r="G9" s="51" t="s">
        <v>6</v>
      </c>
      <c r="H9" s="39">
        <v>200</v>
      </c>
      <c r="I9" s="39">
        <v>20</v>
      </c>
      <c r="J9" s="30"/>
      <c r="K9" s="76"/>
      <c r="L9" s="89"/>
      <c r="M9" s="44"/>
      <c r="R9" s="1">
        <f>IF(vend28[[#This Row],[Nº Venda]]&gt;1,1,0)</f>
        <v>1</v>
      </c>
    </row>
    <row r="10" spans="2:18" ht="16.5" x14ac:dyDescent="0.3">
      <c r="B10" s="109" t="s">
        <v>5</v>
      </c>
      <c r="C10" s="110"/>
      <c r="D10" s="30"/>
      <c r="E10" s="75">
        <v>11291</v>
      </c>
      <c r="F10" s="76" t="s">
        <v>349</v>
      </c>
      <c r="G10" s="51" t="s">
        <v>10</v>
      </c>
      <c r="H10" s="39">
        <v>49.9</v>
      </c>
      <c r="I10" s="39">
        <v>49.9</v>
      </c>
      <c r="J10" s="30"/>
      <c r="K10" s="76"/>
      <c r="L10" s="89"/>
      <c r="M10" s="44"/>
      <c r="R10" s="1">
        <f>IF(vend28[[#This Row],[Nº Venda]]&gt;1,1,0)</f>
        <v>1</v>
      </c>
    </row>
    <row r="11" spans="2:18" ht="16.5" x14ac:dyDescent="0.3">
      <c r="B11" s="28" t="s">
        <v>6</v>
      </c>
      <c r="C11" s="69">
        <f>(SUMIF($G$2:$G$31,B11,$I$2:$I$31))+(SUMIF($G$35:$G$41,B11,$H$35:$H$41))</f>
        <v>20</v>
      </c>
      <c r="D11" s="30"/>
      <c r="E11" s="75">
        <v>11292</v>
      </c>
      <c r="F11" s="76" t="s">
        <v>350</v>
      </c>
      <c r="G11" s="51" t="s">
        <v>8</v>
      </c>
      <c r="H11" s="39">
        <v>1188</v>
      </c>
      <c r="I11" s="39">
        <v>1188</v>
      </c>
      <c r="J11" s="30"/>
      <c r="K11" s="38"/>
      <c r="L11" s="89"/>
      <c r="M11" s="44"/>
      <c r="O11" s="1">
        <f>IF(C16=0,0,1)</f>
        <v>1</v>
      </c>
      <c r="R11" s="1">
        <f>IF(vend28[[#This Row],[Nº Venda]]&gt;1,1,0)</f>
        <v>1</v>
      </c>
    </row>
    <row r="12" spans="2:18" ht="16.5" x14ac:dyDescent="0.3">
      <c r="B12" s="28" t="s">
        <v>7</v>
      </c>
      <c r="C12" s="69">
        <f t="shared" ref="C12:C15" si="0">(SUMIF($G$2:$G$31,B12,$I$2:$I$31))+(SUMIF($G$35:$G$41,B12,$H$35:$H$41))</f>
        <v>20</v>
      </c>
      <c r="D12" s="30"/>
      <c r="E12" s="75">
        <v>11293</v>
      </c>
      <c r="F12" s="76" t="s">
        <v>350</v>
      </c>
      <c r="G12" s="51" t="s">
        <v>8</v>
      </c>
      <c r="H12" s="39">
        <v>291</v>
      </c>
      <c r="I12" s="39">
        <v>291</v>
      </c>
      <c r="J12" s="30"/>
      <c r="K12" s="33"/>
      <c r="L12" s="33"/>
      <c r="M12" s="33"/>
      <c r="R12" s="1">
        <f>IF(vend28[[#This Row],[Nº Venda]]&gt;1,1,0)</f>
        <v>1</v>
      </c>
    </row>
    <row r="13" spans="2:18" ht="16.5" x14ac:dyDescent="0.3">
      <c r="B13" s="28" t="s">
        <v>8</v>
      </c>
      <c r="C13" s="69">
        <f t="shared" si="0"/>
        <v>3460</v>
      </c>
      <c r="D13" s="30"/>
      <c r="E13" s="75">
        <v>11294</v>
      </c>
      <c r="F13" s="76" t="s">
        <v>350</v>
      </c>
      <c r="G13" s="51" t="s">
        <v>8</v>
      </c>
      <c r="H13" s="39">
        <v>590</v>
      </c>
      <c r="I13" s="39">
        <v>590</v>
      </c>
      <c r="J13" s="30"/>
      <c r="K13" s="102" t="s">
        <v>141</v>
      </c>
      <c r="L13" s="103"/>
      <c r="M13" s="104"/>
      <c r="R13" s="1">
        <f>IF(vend28[[#This Row],[Nº Venda]]&gt;1,1,0)</f>
        <v>1</v>
      </c>
    </row>
    <row r="14" spans="2:18" ht="16.5" x14ac:dyDescent="0.3">
      <c r="B14" s="28" t="s">
        <v>9</v>
      </c>
      <c r="C14" s="69">
        <f t="shared" si="0"/>
        <v>0</v>
      </c>
      <c r="D14" s="30"/>
      <c r="E14" s="75">
        <v>11295</v>
      </c>
      <c r="F14" s="76" t="s">
        <v>351</v>
      </c>
      <c r="G14" s="51" t="s">
        <v>36</v>
      </c>
      <c r="H14" s="39">
        <v>0</v>
      </c>
      <c r="I14" s="39">
        <v>0</v>
      </c>
      <c r="J14" s="30"/>
      <c r="K14" s="22" t="s">
        <v>22</v>
      </c>
      <c r="L14" s="23" t="s">
        <v>23</v>
      </c>
      <c r="M14" s="24" t="s">
        <v>24</v>
      </c>
      <c r="R14" s="1">
        <f>IF(vend28[[#This Row],[Nº Venda]]&gt;1,1,0)</f>
        <v>1</v>
      </c>
    </row>
    <row r="15" spans="2:18" ht="16.5" x14ac:dyDescent="0.3">
      <c r="B15" s="28" t="s">
        <v>10</v>
      </c>
      <c r="C15" s="69">
        <f t="shared" si="0"/>
        <v>1087.98</v>
      </c>
      <c r="D15" s="30"/>
      <c r="E15" s="75">
        <v>11296</v>
      </c>
      <c r="F15" s="76" t="s">
        <v>352</v>
      </c>
      <c r="G15" s="51" t="s">
        <v>10</v>
      </c>
      <c r="H15" s="39">
        <v>449.5</v>
      </c>
      <c r="I15" s="39">
        <v>150</v>
      </c>
      <c r="J15" s="30"/>
      <c r="K15" s="75">
        <v>11194</v>
      </c>
      <c r="L15" s="89" t="s">
        <v>130</v>
      </c>
      <c r="M15" s="44" t="s">
        <v>146</v>
      </c>
      <c r="R15" s="1">
        <f>IF(vend28[[#This Row],[Nº Venda]]&gt;1,1,0)</f>
        <v>1</v>
      </c>
    </row>
    <row r="16" spans="2:18" ht="16.5" x14ac:dyDescent="0.3">
      <c r="B16" s="31" t="s">
        <v>11</v>
      </c>
      <c r="C16" s="70">
        <f>SUM(C11:C15)</f>
        <v>4587.9799999999996</v>
      </c>
      <c r="D16" s="30"/>
      <c r="E16" s="75">
        <v>11297</v>
      </c>
      <c r="F16" s="76" t="s">
        <v>352</v>
      </c>
      <c r="G16" s="51" t="s">
        <v>10</v>
      </c>
      <c r="H16" s="39">
        <v>449.5</v>
      </c>
      <c r="I16" s="39">
        <v>150</v>
      </c>
      <c r="J16" s="30"/>
      <c r="K16" s="75">
        <v>11295</v>
      </c>
      <c r="L16" s="89" t="s">
        <v>128</v>
      </c>
      <c r="M16" s="44" t="s">
        <v>146</v>
      </c>
      <c r="R16" s="1">
        <f>IF(vend28[[#This Row],[Nº Venda]]&gt;1,1,0)</f>
        <v>1</v>
      </c>
    </row>
    <row r="17" spans="2:18" ht="16.5" x14ac:dyDescent="0.3">
      <c r="B17" s="27"/>
      <c r="C17" s="27"/>
      <c r="D17" s="30"/>
      <c r="E17" s="75">
        <v>11298</v>
      </c>
      <c r="F17" s="76" t="s">
        <v>353</v>
      </c>
      <c r="G17" s="51" t="s">
        <v>7</v>
      </c>
      <c r="H17" s="39">
        <v>890</v>
      </c>
      <c r="I17" s="39">
        <v>20</v>
      </c>
      <c r="J17" s="30"/>
      <c r="K17" s="75"/>
      <c r="L17" s="89"/>
      <c r="M17" s="44"/>
      <c r="R17" s="1">
        <f>IF(vend28[[#This Row],[Nº Venda]]&gt;1,1,0)</f>
        <v>1</v>
      </c>
    </row>
    <row r="18" spans="2:18" ht="16.5" x14ac:dyDescent="0.3">
      <c r="B18" s="109" t="s">
        <v>12</v>
      </c>
      <c r="C18" s="110"/>
      <c r="D18" s="30"/>
      <c r="E18" s="75"/>
      <c r="F18" s="76"/>
      <c r="G18" s="51"/>
      <c r="H18" s="39"/>
      <c r="I18" s="39"/>
      <c r="J18" s="30"/>
      <c r="K18" s="75"/>
      <c r="L18" s="89"/>
      <c r="M18" s="44"/>
      <c r="R18" s="1">
        <f>IF(vend28[[#This Row],[Nº Venda]]&gt;1,1,0)</f>
        <v>0</v>
      </c>
    </row>
    <row r="19" spans="2:18" ht="16.5" x14ac:dyDescent="0.3">
      <c r="B19" s="28">
        <f>COUNT(entr_carn28[OS])</f>
        <v>0</v>
      </c>
      <c r="C19" s="69">
        <f>SUM(entr_carn28[Valor Total])</f>
        <v>0</v>
      </c>
      <c r="D19" s="30"/>
      <c r="E19" s="75"/>
      <c r="F19" s="76"/>
      <c r="G19" s="51"/>
      <c r="H19" s="39"/>
      <c r="I19" s="39"/>
      <c r="J19" s="30"/>
      <c r="K19" s="75"/>
      <c r="L19" s="89"/>
      <c r="M19" s="44"/>
      <c r="R19" s="1">
        <f>IF(vend28[[#This Row],[Nº Venda]]&gt;1,1,0)</f>
        <v>0</v>
      </c>
    </row>
    <row r="20" spans="2:18" ht="16.5" x14ac:dyDescent="0.3">
      <c r="B20" s="31" t="s">
        <v>11</v>
      </c>
      <c r="C20" s="70">
        <f>SUM(C19:C19)</f>
        <v>0</v>
      </c>
      <c r="D20" s="30"/>
      <c r="E20" s="75"/>
      <c r="F20" s="51"/>
      <c r="G20" s="51"/>
      <c r="H20" s="39"/>
      <c r="I20" s="39"/>
      <c r="J20" s="30"/>
      <c r="K20" s="75"/>
      <c r="L20" s="89"/>
      <c r="M20" s="44"/>
      <c r="R20" s="1">
        <f>IF(vend28[[#This Row],[Nº Venda]]&gt;1,1,0)</f>
        <v>0</v>
      </c>
    </row>
    <row r="21" spans="2:18" ht="16.5" x14ac:dyDescent="0.3">
      <c r="B21" s="27"/>
      <c r="C21" s="27"/>
      <c r="D21" s="30"/>
      <c r="E21" s="75"/>
      <c r="F21" s="76"/>
      <c r="G21" s="51"/>
      <c r="H21" s="39"/>
      <c r="I21" s="39"/>
      <c r="J21" s="30"/>
      <c r="K21" s="75"/>
      <c r="L21" s="89"/>
      <c r="M21" s="44"/>
    </row>
    <row r="22" spans="2:18" ht="16.5" x14ac:dyDescent="0.3">
      <c r="B22" s="31" t="s">
        <v>25</v>
      </c>
      <c r="C22" s="34">
        <f>C5</f>
        <v>4697.8999999999996</v>
      </c>
      <c r="D22" s="30"/>
      <c r="E22" s="77"/>
      <c r="F22" s="76"/>
      <c r="G22" s="51"/>
      <c r="H22" s="39"/>
      <c r="I22" s="39"/>
      <c r="J22" s="30"/>
      <c r="K22" s="75"/>
      <c r="L22" s="89"/>
      <c r="M22" s="44"/>
    </row>
    <row r="23" spans="2:18" ht="16.5" x14ac:dyDescent="0.3">
      <c r="B23" s="30"/>
      <c r="C23" s="30"/>
      <c r="D23" s="30"/>
      <c r="E23" s="35"/>
      <c r="F23" s="35"/>
      <c r="G23" s="35"/>
      <c r="H23" s="36"/>
      <c r="I23" s="37"/>
      <c r="J23" s="30"/>
      <c r="K23" s="75"/>
      <c r="L23" s="89"/>
      <c r="M23" s="44"/>
    </row>
    <row r="24" spans="2:18" ht="16.5" x14ac:dyDescent="0.3">
      <c r="B24" s="30"/>
      <c r="C24" s="30"/>
      <c r="D24" s="30"/>
      <c r="E24" s="100" t="s">
        <v>138</v>
      </c>
      <c r="F24" s="101"/>
      <c r="G24" s="101"/>
      <c r="H24" s="101"/>
      <c r="I24" s="101"/>
      <c r="J24" s="30"/>
      <c r="K24" s="75"/>
      <c r="L24" s="89"/>
      <c r="M24" s="44"/>
    </row>
    <row r="25" spans="2:18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5"/>
      <c r="L25" s="89"/>
      <c r="M25" s="44"/>
    </row>
    <row r="26" spans="2:18" ht="16.5" x14ac:dyDescent="0.3">
      <c r="B26" s="30"/>
      <c r="C26" s="30"/>
      <c r="D26" s="30"/>
      <c r="E26" s="75">
        <v>11280</v>
      </c>
      <c r="F26" s="76" t="s">
        <v>355</v>
      </c>
      <c r="G26" s="51" t="s">
        <v>8</v>
      </c>
      <c r="H26" s="39"/>
      <c r="I26" s="39">
        <v>789</v>
      </c>
      <c r="J26" s="30"/>
      <c r="K26" s="75"/>
      <c r="L26" s="89"/>
      <c r="M26" s="44"/>
    </row>
    <row r="27" spans="2:18" ht="16.5" x14ac:dyDescent="0.3">
      <c r="B27" s="30"/>
      <c r="C27" s="30"/>
      <c r="D27" s="30"/>
      <c r="E27" s="75">
        <v>11281</v>
      </c>
      <c r="F27" s="76" t="s">
        <v>355</v>
      </c>
      <c r="G27" s="51" t="s">
        <v>8</v>
      </c>
      <c r="H27" s="39"/>
      <c r="I27" s="39">
        <v>402</v>
      </c>
      <c r="J27" s="30"/>
      <c r="K27" s="75"/>
      <c r="L27" s="89"/>
      <c r="M27" s="44"/>
    </row>
    <row r="28" spans="2:18" ht="16.5" x14ac:dyDescent="0.3">
      <c r="B28" s="30"/>
      <c r="C28" s="30"/>
      <c r="D28" s="30"/>
      <c r="E28" s="75"/>
      <c r="F28" s="76"/>
      <c r="G28" s="51"/>
      <c r="H28" s="39"/>
      <c r="I28" s="39"/>
      <c r="J28" s="30"/>
      <c r="K28" s="75"/>
      <c r="L28" s="89"/>
      <c r="M28" s="44"/>
    </row>
    <row r="29" spans="2:18" ht="16.5" x14ac:dyDescent="0.3">
      <c r="B29" s="30"/>
      <c r="C29" s="30"/>
      <c r="D29" s="30"/>
      <c r="E29" s="75"/>
      <c r="F29" s="76"/>
      <c r="G29" s="51"/>
      <c r="H29" s="39"/>
      <c r="I29" s="39"/>
      <c r="J29" s="30"/>
      <c r="K29" s="75"/>
      <c r="L29" s="89"/>
      <c r="M29" s="44"/>
    </row>
    <row r="30" spans="2:18" ht="16.5" x14ac:dyDescent="0.3">
      <c r="B30" s="30"/>
      <c r="C30" s="30"/>
      <c r="D30" s="30"/>
      <c r="E30" s="75"/>
      <c r="F30" s="51"/>
      <c r="G30" s="51"/>
      <c r="H30" s="39"/>
      <c r="I30" s="39"/>
      <c r="J30" s="30"/>
      <c r="K30" s="75"/>
      <c r="L30" s="89"/>
      <c r="M30" s="44"/>
    </row>
    <row r="31" spans="2:18" ht="16.5" x14ac:dyDescent="0.3">
      <c r="B31" s="30"/>
      <c r="C31" s="30"/>
      <c r="D31" s="30"/>
      <c r="E31" s="77"/>
      <c r="F31" s="78"/>
      <c r="G31" s="42"/>
      <c r="H31" s="43"/>
      <c r="I31" s="43"/>
      <c r="J31" s="30"/>
      <c r="K31" s="75"/>
      <c r="L31" s="89"/>
      <c r="M31" s="44"/>
    </row>
    <row r="32" spans="2:18" ht="16.5" x14ac:dyDescent="0.3">
      <c r="B32" s="30"/>
      <c r="C32" s="30"/>
      <c r="D32" s="38"/>
      <c r="E32" s="35"/>
      <c r="F32" s="35"/>
      <c r="G32" s="35"/>
      <c r="H32" s="37"/>
      <c r="I32" s="37"/>
      <c r="J32" s="38"/>
      <c r="K32" s="33"/>
      <c r="L32" s="33"/>
      <c r="M32" s="33"/>
    </row>
    <row r="33" spans="2:18" ht="16.5" x14ac:dyDescent="0.3">
      <c r="B33" s="30"/>
      <c r="C33" s="30"/>
      <c r="D33" s="38"/>
      <c r="E33" s="100" t="s">
        <v>139</v>
      </c>
      <c r="F33" s="101"/>
      <c r="G33" s="101"/>
      <c r="H33" s="101"/>
      <c r="I33" s="101"/>
      <c r="J33" s="38"/>
      <c r="K33" s="102" t="s">
        <v>140</v>
      </c>
      <c r="L33" s="103"/>
      <c r="M33" s="104"/>
    </row>
    <row r="34" spans="2:18" ht="16.5" x14ac:dyDescent="0.3">
      <c r="B34" s="38"/>
      <c r="C34" s="38"/>
      <c r="D34" s="38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82">
        <v>10966</v>
      </c>
      <c r="F35" s="76" t="s">
        <v>356</v>
      </c>
      <c r="G35" s="51" t="s">
        <v>10</v>
      </c>
      <c r="H35" s="39">
        <v>127.14</v>
      </c>
      <c r="I35" s="39" t="s">
        <v>32</v>
      </c>
      <c r="J35" s="38"/>
      <c r="K35" s="75"/>
      <c r="L35" s="75"/>
      <c r="M35" s="89"/>
    </row>
    <row r="36" spans="2:18" ht="16.5" customHeight="1" x14ac:dyDescent="0.25">
      <c r="B36" s="38"/>
      <c r="C36" s="38"/>
      <c r="D36" s="38"/>
      <c r="E36" s="77">
        <v>10966</v>
      </c>
      <c r="F36" s="76" t="s">
        <v>356</v>
      </c>
      <c r="G36" s="51" t="s">
        <v>10</v>
      </c>
      <c r="H36" s="39">
        <v>127.14</v>
      </c>
      <c r="I36" s="39" t="s">
        <v>51</v>
      </c>
      <c r="J36" s="38"/>
      <c r="K36" s="75"/>
      <c r="L36" s="75"/>
      <c r="M36" s="89"/>
    </row>
    <row r="37" spans="2:18" ht="16.5" customHeight="1" x14ac:dyDescent="0.25">
      <c r="B37" s="38"/>
      <c r="C37" s="38"/>
      <c r="D37" s="38"/>
      <c r="E37" s="75">
        <v>10979</v>
      </c>
      <c r="F37" s="76" t="s">
        <v>354</v>
      </c>
      <c r="G37" s="51" t="s">
        <v>10</v>
      </c>
      <c r="H37" s="39">
        <v>93.8</v>
      </c>
      <c r="I37" s="39" t="s">
        <v>35</v>
      </c>
      <c r="J37" s="38"/>
      <c r="K37" s="75"/>
      <c r="L37" s="75"/>
      <c r="M37" s="89"/>
    </row>
    <row r="38" spans="2:18" ht="16.5" customHeight="1" x14ac:dyDescent="0.25">
      <c r="B38" s="38"/>
      <c r="C38" s="38"/>
      <c r="D38" s="38"/>
      <c r="E38" s="75"/>
      <c r="F38" s="76"/>
      <c r="G38" s="51"/>
      <c r="H38" s="39"/>
      <c r="I38" s="39"/>
      <c r="J38" s="38"/>
      <c r="K38" s="75"/>
      <c r="L38" s="75"/>
      <c r="M38" s="89"/>
    </row>
    <row r="39" spans="2:18" ht="16.5" customHeight="1" x14ac:dyDescent="0.25">
      <c r="B39" s="38"/>
      <c r="C39" s="38"/>
      <c r="D39" s="38"/>
      <c r="E39" s="75"/>
      <c r="F39" s="51"/>
      <c r="G39" s="51"/>
      <c r="H39" s="39"/>
      <c r="I39" s="39"/>
      <c r="J39" s="38"/>
      <c r="K39" s="75"/>
      <c r="L39" s="75"/>
      <c r="M39" s="89"/>
    </row>
    <row r="40" spans="2:18" ht="16.5" customHeight="1" x14ac:dyDescent="0.25">
      <c r="B40" s="38"/>
      <c r="C40" s="38"/>
      <c r="D40" s="38"/>
      <c r="E40" s="77"/>
      <c r="F40" s="78"/>
      <c r="G40" s="42"/>
      <c r="H40" s="43"/>
      <c r="I40" s="39"/>
      <c r="J40" s="38"/>
      <c r="K40" s="77"/>
      <c r="L40" s="77"/>
      <c r="M40" s="90"/>
      <c r="Q40" s="1" t="s">
        <v>33</v>
      </c>
      <c r="R40" s="1">
        <f>SUM(R6:R21)</f>
        <v>12</v>
      </c>
    </row>
    <row r="41" spans="2:18" ht="16.5" customHeight="1" x14ac:dyDescent="0.25">
      <c r="B41" s="38"/>
      <c r="C41" s="38"/>
      <c r="D41" s="38"/>
      <c r="E41" s="80"/>
      <c r="F41" s="51"/>
      <c r="G41" s="51"/>
      <c r="H41" s="39"/>
      <c r="I41" s="39"/>
      <c r="J41" s="38"/>
      <c r="K41" s="75"/>
      <c r="L41" s="75"/>
      <c r="M41" s="90"/>
    </row>
    <row r="42" spans="2:18" ht="13.5" x14ac:dyDescent="0.25">
      <c r="B42" s="38"/>
      <c r="C42" s="38"/>
      <c r="D42" s="38"/>
      <c r="E42" s="35"/>
      <c r="F42" s="35"/>
      <c r="G42" s="35"/>
      <c r="H42" s="37"/>
      <c r="I42" s="37"/>
      <c r="J42" s="38"/>
      <c r="K42" s="33"/>
      <c r="L42" s="33"/>
      <c r="M42" s="33"/>
    </row>
    <row r="43" spans="2:18" ht="13.5" x14ac:dyDescent="0.25">
      <c r="B43" s="38"/>
      <c r="C43" s="38"/>
      <c r="D43" s="38"/>
      <c r="E43" s="35"/>
      <c r="F43" s="35"/>
      <c r="G43" s="35"/>
      <c r="H43" s="37"/>
      <c r="I43" s="37"/>
      <c r="J43" s="38"/>
      <c r="K43" s="33"/>
      <c r="L43" s="33"/>
      <c r="M43" s="33"/>
    </row>
    <row r="44" spans="2:18" ht="13.5" x14ac:dyDescent="0.25">
      <c r="B44" s="38"/>
      <c r="C44" s="38"/>
      <c r="D44" s="38"/>
      <c r="E44" s="35"/>
      <c r="F44" s="35"/>
      <c r="G44" s="35"/>
      <c r="H44" s="37"/>
      <c r="I44" s="37"/>
      <c r="J44" s="38"/>
      <c r="K44" s="33"/>
      <c r="L44" s="33"/>
      <c r="M44" s="33"/>
    </row>
    <row r="45" spans="2:18" ht="13.5" x14ac:dyDescent="0.25">
      <c r="B45" s="38"/>
      <c r="C45" s="38"/>
      <c r="D45" s="38"/>
      <c r="E45" s="35"/>
      <c r="F45" s="35"/>
      <c r="G45" s="35"/>
      <c r="H45" s="37"/>
      <c r="I45" s="37"/>
      <c r="J45" s="38"/>
      <c r="K45" s="33"/>
      <c r="L45" s="33"/>
      <c r="M45" s="33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  <x14:dataValidation type="list" allowBlank="1" showInputMessage="1" showErrorMessage="1" xr:uid="{DB000DBC-CF6D-4966-80CD-166AEE6407CD}">
          <x14:formula1>
            <xm:f>resumo_cx!$P$2:$P$18</xm:f>
          </x14:formula1>
          <xm:sqref>L15:L31</xm:sqref>
        </x14:dataValidation>
        <x14:dataValidation type="list" allowBlank="1" showInputMessage="1" showErrorMessage="1" xr:uid="{7AB0A2F8-D1B4-4F4B-8B77-E1EB43EE6B7F}">
          <x14:formula1>
            <xm:f>base_OS!$A$2:$A$15000</xm:f>
          </x14:formula1>
          <xm:sqref>E6:E22 E26:E31 E35:E41 K35:K41 K15:K31</xm:sqref>
        </x14:dataValidation>
        <x14:dataValidation type="list" allowBlank="1" showInputMessage="1" showErrorMessage="1" xr:uid="{04CC2420-F7B8-4106-A4AD-F26F4A00FCE6}">
          <x14:formula1>
            <xm:f>base!$A$2:$A$8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base!$A$2:$A$5</xm:f>
          </x14:formula1>
          <xm:sqref>G26:G31 G35:G41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5"/>
  <sheetViews>
    <sheetView showGridLines="0" topLeftCell="A20" zoomScale="90" zoomScaleNormal="90" workbookViewId="0">
      <selection activeCell="L1" sqref="L1:M1"/>
    </sheetView>
  </sheetViews>
  <sheetFormatPr defaultColWidth="9.140625" defaultRowHeight="12.75" x14ac:dyDescent="0.2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'28'!B1+1</f>
        <v>45837</v>
      </c>
      <c r="C1" s="98"/>
      <c r="L1" s="99" t="s">
        <v>143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5" t="s">
        <v>0</v>
      </c>
      <c r="C4" s="26">
        <v>0</v>
      </c>
      <c r="D4" s="58"/>
      <c r="E4" s="108" t="s">
        <v>136</v>
      </c>
      <c r="F4" s="108"/>
      <c r="G4" s="108"/>
      <c r="H4" s="108"/>
      <c r="I4" s="108"/>
      <c r="J4" s="30"/>
      <c r="K4" s="102" t="s">
        <v>137</v>
      </c>
      <c r="L4" s="103"/>
      <c r="M4" s="104"/>
    </row>
    <row r="5" spans="2:18" ht="16.5" x14ac:dyDescent="0.3">
      <c r="B5" s="28" t="s">
        <v>1</v>
      </c>
      <c r="C5" s="29">
        <f>SUMIF(I6:I31,"&gt;0",H6:H31)</f>
        <v>0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18" ht="16.5" x14ac:dyDescent="0.3">
      <c r="B6" s="28" t="s">
        <v>2</v>
      </c>
      <c r="C6" s="29">
        <f>C16</f>
        <v>0</v>
      </c>
      <c r="D6" s="30"/>
      <c r="E6" s="75"/>
      <c r="F6" s="76"/>
      <c r="G6" s="51"/>
      <c r="H6" s="39"/>
      <c r="I6" s="39"/>
      <c r="J6" s="30"/>
      <c r="K6" s="76"/>
      <c r="L6" s="89"/>
      <c r="M6" s="44"/>
      <c r="R6" s="1">
        <f>IF(vend29[[#This Row],[Nº Venda]]&gt;1,1,0)</f>
        <v>0</v>
      </c>
    </row>
    <row r="7" spans="2:18" ht="16.5" x14ac:dyDescent="0.3">
      <c r="B7" s="28" t="s">
        <v>3</v>
      </c>
      <c r="C7" s="29">
        <f>SUM(M6:M11)</f>
        <v>0</v>
      </c>
      <c r="D7" s="30"/>
      <c r="E7" s="75"/>
      <c r="F7" s="76"/>
      <c r="G7" s="51"/>
      <c r="H7" s="39"/>
      <c r="I7" s="39"/>
      <c r="J7" s="30"/>
      <c r="K7" s="76"/>
      <c r="L7" s="89"/>
      <c r="M7" s="44"/>
      <c r="R7" s="1">
        <f>IF(vend29[[#This Row],[Nº Venda]]&gt;1,1,0)</f>
        <v>0</v>
      </c>
    </row>
    <row r="8" spans="2:18" ht="16.5" x14ac:dyDescent="0.3">
      <c r="B8" s="31" t="s">
        <v>21</v>
      </c>
      <c r="C8" s="32">
        <f>SUM(C6:C7)</f>
        <v>0</v>
      </c>
      <c r="D8" s="30"/>
      <c r="E8" s="75"/>
      <c r="F8" s="76"/>
      <c r="G8" s="51"/>
      <c r="H8" s="39"/>
      <c r="I8" s="39"/>
      <c r="J8" s="30"/>
      <c r="K8" s="76"/>
      <c r="L8" s="89"/>
      <c r="M8" s="44"/>
      <c r="R8" s="1">
        <f>IF(vend29[[#This Row],[Nº Venda]]&gt;1,1,0)</f>
        <v>0</v>
      </c>
    </row>
    <row r="9" spans="2:18" ht="16.5" x14ac:dyDescent="0.3">
      <c r="B9" s="27"/>
      <c r="C9" s="27"/>
      <c r="D9" s="30"/>
      <c r="E9" s="75"/>
      <c r="F9" s="76"/>
      <c r="G9" s="51"/>
      <c r="H9" s="39"/>
      <c r="I9" s="39"/>
      <c r="J9" s="30"/>
      <c r="K9" s="76"/>
      <c r="L9" s="89"/>
      <c r="M9" s="44"/>
      <c r="R9" s="1">
        <f>IF(vend29[[#This Row],[Nº Venda]]&gt;1,1,0)</f>
        <v>0</v>
      </c>
    </row>
    <row r="10" spans="2:18" ht="16.5" x14ac:dyDescent="0.3">
      <c r="B10" s="109" t="s">
        <v>5</v>
      </c>
      <c r="C10" s="110"/>
      <c r="D10" s="30"/>
      <c r="E10" s="75"/>
      <c r="F10" s="76"/>
      <c r="G10" s="51"/>
      <c r="H10" s="39"/>
      <c r="I10" s="39"/>
      <c r="J10" s="30"/>
      <c r="K10" s="76"/>
      <c r="L10" s="89"/>
      <c r="M10" s="44"/>
      <c r="R10" s="1">
        <f>IF(vend29[[#This Row],[Nº Venda]]&gt;1,1,0)</f>
        <v>0</v>
      </c>
    </row>
    <row r="11" spans="2:18" ht="16.5" x14ac:dyDescent="0.3">
      <c r="B11" s="28" t="s">
        <v>6</v>
      </c>
      <c r="C11" s="69">
        <f>(SUMIF($G$2:$G$31,B11,$I$2:$I$31))+(SUMIF($G$35:$G$41,B11,$H$35:$H$41))</f>
        <v>0</v>
      </c>
      <c r="D11" s="30"/>
      <c r="E11" s="75"/>
      <c r="F11" s="76"/>
      <c r="G11" s="51"/>
      <c r="H11" s="39"/>
      <c r="I11" s="39"/>
      <c r="J11" s="30"/>
      <c r="K11" s="38"/>
      <c r="L11" s="89"/>
      <c r="M11" s="44"/>
      <c r="O11" s="1">
        <f>IF(C16=0,0,1)</f>
        <v>0</v>
      </c>
      <c r="R11" s="1">
        <f>IF(vend29[[#This Row],[Nº Venda]]&gt;1,1,0)</f>
        <v>0</v>
      </c>
    </row>
    <row r="12" spans="2:18" ht="16.5" x14ac:dyDescent="0.3">
      <c r="B12" s="28" t="s">
        <v>7</v>
      </c>
      <c r="C12" s="69">
        <f t="shared" ref="C12:C15" si="0">(SUMIF($G$2:$G$31,B12,$I$2:$I$31))+(SUMIF($G$35:$G$41,B12,$H$35:$H$41))</f>
        <v>0</v>
      </c>
      <c r="D12" s="30"/>
      <c r="E12" s="75"/>
      <c r="F12" s="76"/>
      <c r="G12" s="51"/>
      <c r="H12" s="39"/>
      <c r="I12" s="39"/>
      <c r="J12" s="30"/>
      <c r="K12" s="33"/>
      <c r="L12" s="33"/>
      <c r="M12" s="33"/>
      <c r="R12" s="1">
        <f>IF(vend29[[#This Row],[Nº Venda]]&gt;1,1,0)</f>
        <v>0</v>
      </c>
    </row>
    <row r="13" spans="2:18" ht="16.5" x14ac:dyDescent="0.3">
      <c r="B13" s="28" t="s">
        <v>8</v>
      </c>
      <c r="C13" s="69">
        <f t="shared" si="0"/>
        <v>0</v>
      </c>
      <c r="D13" s="30"/>
      <c r="E13" s="75"/>
      <c r="F13" s="76"/>
      <c r="G13" s="51"/>
      <c r="H13" s="39"/>
      <c r="I13" s="39"/>
      <c r="J13" s="30"/>
      <c r="K13" s="102" t="s">
        <v>141</v>
      </c>
      <c r="L13" s="103"/>
      <c r="M13" s="104"/>
      <c r="R13" s="1">
        <f>IF(vend29[[#This Row],[Nº Venda]]&gt;1,1,0)</f>
        <v>0</v>
      </c>
    </row>
    <row r="14" spans="2:18" ht="16.5" x14ac:dyDescent="0.3">
      <c r="B14" s="28" t="s">
        <v>9</v>
      </c>
      <c r="C14" s="69">
        <f t="shared" si="0"/>
        <v>0</v>
      </c>
      <c r="D14" s="30"/>
      <c r="E14" s="75"/>
      <c r="F14" s="76"/>
      <c r="G14" s="51"/>
      <c r="H14" s="39"/>
      <c r="I14" s="39"/>
      <c r="J14" s="30"/>
      <c r="K14" s="22" t="s">
        <v>22</v>
      </c>
      <c r="L14" s="23" t="s">
        <v>23</v>
      </c>
      <c r="M14" s="24" t="s">
        <v>24</v>
      </c>
      <c r="R14" s="1">
        <f>IF(vend29[[#This Row],[Nº Venda]]&gt;1,1,0)</f>
        <v>0</v>
      </c>
    </row>
    <row r="15" spans="2:18" ht="16.5" x14ac:dyDescent="0.3">
      <c r="B15" s="28" t="s">
        <v>10</v>
      </c>
      <c r="C15" s="69">
        <f t="shared" si="0"/>
        <v>0</v>
      </c>
      <c r="D15" s="30"/>
      <c r="E15" s="75"/>
      <c r="F15" s="76"/>
      <c r="G15" s="51"/>
      <c r="H15" s="39"/>
      <c r="I15" s="39"/>
      <c r="J15" s="30"/>
      <c r="K15" s="75"/>
      <c r="L15" s="89"/>
      <c r="M15" s="44"/>
      <c r="R15" s="1">
        <f>IF(vend29[[#This Row],[Nº Venda]]&gt;1,1,0)</f>
        <v>0</v>
      </c>
    </row>
    <row r="16" spans="2:18" ht="16.5" x14ac:dyDescent="0.3">
      <c r="B16" s="31" t="s">
        <v>11</v>
      </c>
      <c r="C16" s="70">
        <f>SUM(C11:C15)</f>
        <v>0</v>
      </c>
      <c r="D16" s="30"/>
      <c r="E16" s="75"/>
      <c r="F16" s="76"/>
      <c r="G16" s="51"/>
      <c r="H16" s="39"/>
      <c r="I16" s="39"/>
      <c r="J16" s="30"/>
      <c r="K16" s="75"/>
      <c r="L16" s="89"/>
      <c r="M16" s="44"/>
      <c r="R16" s="1">
        <f>IF(vend29[[#This Row],[Nº Venda]]&gt;1,1,0)</f>
        <v>0</v>
      </c>
    </row>
    <row r="17" spans="2:18" ht="16.5" x14ac:dyDescent="0.3">
      <c r="B17" s="27"/>
      <c r="C17" s="27"/>
      <c r="D17" s="30"/>
      <c r="E17" s="75"/>
      <c r="F17" s="76"/>
      <c r="G17" s="51"/>
      <c r="H17" s="39"/>
      <c r="I17" s="39"/>
      <c r="J17" s="30"/>
      <c r="K17" s="75"/>
      <c r="L17" s="89"/>
      <c r="M17" s="44"/>
      <c r="R17" s="1">
        <f>IF(vend29[[#This Row],[Nº Venda]]&gt;1,1,0)</f>
        <v>0</v>
      </c>
    </row>
    <row r="18" spans="2:18" ht="16.5" x14ac:dyDescent="0.3">
      <c r="B18" s="109" t="s">
        <v>12</v>
      </c>
      <c r="C18" s="110"/>
      <c r="D18" s="30"/>
      <c r="E18" s="75"/>
      <c r="F18" s="76"/>
      <c r="G18" s="51"/>
      <c r="H18" s="39"/>
      <c r="I18" s="39"/>
      <c r="J18" s="30"/>
      <c r="K18" s="75"/>
      <c r="L18" s="89"/>
      <c r="M18" s="44"/>
      <c r="R18" s="1">
        <f>IF(vend29[[#This Row],[Nº Venda]]&gt;1,1,0)</f>
        <v>0</v>
      </c>
    </row>
    <row r="19" spans="2:18" ht="16.5" x14ac:dyDescent="0.3">
      <c r="B19" s="28">
        <f>COUNT(entr_carn29[OS])</f>
        <v>0</v>
      </c>
      <c r="C19" s="69">
        <f>SUM(entr_carn29[Valor Total])</f>
        <v>0</v>
      </c>
      <c r="D19" s="30"/>
      <c r="E19" s="75"/>
      <c r="F19" s="76"/>
      <c r="G19" s="51"/>
      <c r="H19" s="39"/>
      <c r="I19" s="39"/>
      <c r="J19" s="30"/>
      <c r="K19" s="75"/>
      <c r="L19" s="89"/>
      <c r="M19" s="44"/>
      <c r="R19" s="1">
        <f>IF(vend29[[#This Row],[Nº Venda]]&gt;1,1,0)</f>
        <v>0</v>
      </c>
    </row>
    <row r="20" spans="2:18" ht="16.5" x14ac:dyDescent="0.3">
      <c r="B20" s="31" t="s">
        <v>11</v>
      </c>
      <c r="C20" s="70">
        <f>SUM(C19:C19)</f>
        <v>0</v>
      </c>
      <c r="D20" s="30"/>
      <c r="E20" s="75"/>
      <c r="F20" s="51"/>
      <c r="G20" s="51"/>
      <c r="H20" s="39"/>
      <c r="I20" s="39"/>
      <c r="J20" s="30"/>
      <c r="K20" s="75"/>
      <c r="L20" s="89"/>
      <c r="M20" s="44"/>
      <c r="R20" s="1">
        <f>IF(vend29[[#This Row],[Nº Venda]]&gt;1,1,0)</f>
        <v>0</v>
      </c>
    </row>
    <row r="21" spans="2:18" ht="16.5" x14ac:dyDescent="0.3">
      <c r="B21" s="27"/>
      <c r="C21" s="27"/>
      <c r="D21" s="30"/>
      <c r="E21" s="75"/>
      <c r="F21" s="76"/>
      <c r="G21" s="51"/>
      <c r="H21" s="39"/>
      <c r="I21" s="39"/>
      <c r="J21" s="30"/>
      <c r="K21" s="75"/>
      <c r="L21" s="89"/>
      <c r="M21" s="44"/>
    </row>
    <row r="22" spans="2:18" ht="16.5" x14ac:dyDescent="0.3">
      <c r="B22" s="31" t="s">
        <v>25</v>
      </c>
      <c r="C22" s="34">
        <f>C5</f>
        <v>0</v>
      </c>
      <c r="D22" s="30"/>
      <c r="E22" s="77"/>
      <c r="F22" s="76"/>
      <c r="G22" s="51"/>
      <c r="H22" s="39"/>
      <c r="I22" s="39"/>
      <c r="J22" s="30"/>
      <c r="K22" s="75"/>
      <c r="L22" s="89"/>
      <c r="M22" s="44"/>
    </row>
    <row r="23" spans="2:18" ht="16.5" x14ac:dyDescent="0.3">
      <c r="B23" s="30"/>
      <c r="C23" s="30"/>
      <c r="D23" s="30"/>
      <c r="E23" s="35"/>
      <c r="F23" s="35"/>
      <c r="G23" s="35"/>
      <c r="H23" s="36"/>
      <c r="I23" s="37"/>
      <c r="J23" s="30"/>
      <c r="K23" s="75"/>
      <c r="L23" s="89"/>
      <c r="M23" s="44"/>
    </row>
    <row r="24" spans="2:18" ht="16.5" x14ac:dyDescent="0.3">
      <c r="B24" s="30"/>
      <c r="C24" s="30"/>
      <c r="D24" s="30"/>
      <c r="E24" s="100" t="s">
        <v>138</v>
      </c>
      <c r="F24" s="101"/>
      <c r="G24" s="101"/>
      <c r="H24" s="101"/>
      <c r="I24" s="101"/>
      <c r="J24" s="30"/>
      <c r="K24" s="75"/>
      <c r="L24" s="89"/>
      <c r="M24" s="44"/>
    </row>
    <row r="25" spans="2:18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5"/>
      <c r="L25" s="89"/>
      <c r="M25" s="44"/>
    </row>
    <row r="26" spans="2:18" ht="16.5" x14ac:dyDescent="0.3">
      <c r="B26" s="30"/>
      <c r="C26" s="30"/>
      <c r="D26" s="30"/>
      <c r="E26" s="75"/>
      <c r="F26" s="76"/>
      <c r="G26" s="51"/>
      <c r="H26" s="39"/>
      <c r="I26" s="39"/>
      <c r="J26" s="30"/>
      <c r="K26" s="75"/>
      <c r="L26" s="89"/>
      <c r="M26" s="44"/>
    </row>
    <row r="27" spans="2:18" ht="16.5" x14ac:dyDescent="0.3">
      <c r="B27" s="30"/>
      <c r="C27" s="30"/>
      <c r="D27" s="30"/>
      <c r="E27" s="75"/>
      <c r="F27" s="76"/>
      <c r="G27" s="51"/>
      <c r="H27" s="39"/>
      <c r="I27" s="39"/>
      <c r="J27" s="30"/>
      <c r="K27" s="75"/>
      <c r="L27" s="89"/>
      <c r="M27" s="44"/>
    </row>
    <row r="28" spans="2:18" ht="16.5" x14ac:dyDescent="0.3">
      <c r="B28" s="30"/>
      <c r="C28" s="30"/>
      <c r="D28" s="30"/>
      <c r="E28" s="75"/>
      <c r="F28" s="76"/>
      <c r="G28" s="51"/>
      <c r="H28" s="39"/>
      <c r="I28" s="39"/>
      <c r="J28" s="30"/>
      <c r="K28" s="75"/>
      <c r="L28" s="89"/>
      <c r="M28" s="44"/>
    </row>
    <row r="29" spans="2:18" ht="16.5" x14ac:dyDescent="0.3">
      <c r="B29" s="30"/>
      <c r="C29" s="30"/>
      <c r="D29" s="30"/>
      <c r="E29" s="75"/>
      <c r="F29" s="76"/>
      <c r="G29" s="51"/>
      <c r="H29" s="39"/>
      <c r="I29" s="39"/>
      <c r="J29" s="30"/>
      <c r="K29" s="75"/>
      <c r="L29" s="89"/>
      <c r="M29" s="44"/>
    </row>
    <row r="30" spans="2:18" ht="16.5" x14ac:dyDescent="0.3">
      <c r="B30" s="30"/>
      <c r="C30" s="30"/>
      <c r="D30" s="30"/>
      <c r="E30" s="75"/>
      <c r="F30" s="51"/>
      <c r="G30" s="51"/>
      <c r="H30" s="39"/>
      <c r="I30" s="39"/>
      <c r="J30" s="30"/>
      <c r="K30" s="75"/>
      <c r="L30" s="89"/>
      <c r="M30" s="44"/>
    </row>
    <row r="31" spans="2:18" ht="16.5" x14ac:dyDescent="0.3">
      <c r="B31" s="30"/>
      <c r="C31" s="30"/>
      <c r="D31" s="30"/>
      <c r="E31" s="77"/>
      <c r="F31" s="78"/>
      <c r="G31" s="42"/>
      <c r="H31" s="43"/>
      <c r="I31" s="43"/>
      <c r="J31" s="30"/>
      <c r="K31" s="75"/>
      <c r="L31" s="89"/>
      <c r="M31" s="44"/>
    </row>
    <row r="32" spans="2:18" ht="16.5" x14ac:dyDescent="0.3">
      <c r="B32" s="30"/>
      <c r="C32" s="30"/>
      <c r="D32" s="38"/>
      <c r="E32" s="35"/>
      <c r="F32" s="35"/>
      <c r="G32" s="35"/>
      <c r="H32" s="37"/>
      <c r="I32" s="37"/>
      <c r="J32" s="38"/>
      <c r="K32" s="33"/>
      <c r="L32" s="33"/>
      <c r="M32" s="33"/>
    </row>
    <row r="33" spans="2:18" ht="16.5" x14ac:dyDescent="0.3">
      <c r="B33" s="30"/>
      <c r="C33" s="30"/>
      <c r="D33" s="38"/>
      <c r="E33" s="100" t="s">
        <v>139</v>
      </c>
      <c r="F33" s="101"/>
      <c r="G33" s="101"/>
      <c r="H33" s="101"/>
      <c r="I33" s="101"/>
      <c r="J33" s="38"/>
      <c r="K33" s="102" t="s">
        <v>140</v>
      </c>
      <c r="L33" s="103"/>
      <c r="M33" s="104"/>
    </row>
    <row r="34" spans="2:18" ht="16.5" x14ac:dyDescent="0.3">
      <c r="B34" s="38"/>
      <c r="C34" s="38"/>
      <c r="D34" s="38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75"/>
      <c r="F35" s="76"/>
      <c r="G35" s="51"/>
      <c r="H35" s="39"/>
      <c r="I35" s="39"/>
      <c r="J35" s="38"/>
      <c r="K35" s="75"/>
      <c r="L35" s="75"/>
      <c r="M35" s="89"/>
    </row>
    <row r="36" spans="2:18" ht="16.5" customHeight="1" x14ac:dyDescent="0.25">
      <c r="B36" s="38"/>
      <c r="C36" s="38"/>
      <c r="D36" s="38"/>
      <c r="E36" s="81"/>
      <c r="F36" s="76"/>
      <c r="G36" s="51"/>
      <c r="H36" s="39"/>
      <c r="I36" s="39"/>
      <c r="J36" s="38"/>
      <c r="K36" s="75"/>
      <c r="L36" s="75"/>
      <c r="M36" s="89"/>
    </row>
    <row r="37" spans="2:18" ht="16.5" customHeight="1" x14ac:dyDescent="0.25">
      <c r="B37" s="38"/>
      <c r="C37" s="38"/>
      <c r="D37" s="38"/>
      <c r="E37" s="75"/>
      <c r="F37" s="76"/>
      <c r="G37" s="51"/>
      <c r="H37" s="39"/>
      <c r="I37" s="39"/>
      <c r="J37" s="38"/>
      <c r="K37" s="75"/>
      <c r="L37" s="75"/>
      <c r="M37" s="89"/>
    </row>
    <row r="38" spans="2:18" ht="16.5" customHeight="1" x14ac:dyDescent="0.25">
      <c r="B38" s="38"/>
      <c r="C38" s="38"/>
      <c r="D38" s="38"/>
      <c r="E38" s="75"/>
      <c r="F38" s="76"/>
      <c r="G38" s="51"/>
      <c r="H38" s="39"/>
      <c r="I38" s="39"/>
      <c r="J38" s="38"/>
      <c r="K38" s="75"/>
      <c r="L38" s="75"/>
      <c r="M38" s="89"/>
    </row>
    <row r="39" spans="2:18" ht="16.5" customHeight="1" x14ac:dyDescent="0.25">
      <c r="B39" s="38"/>
      <c r="C39" s="38"/>
      <c r="D39" s="38"/>
      <c r="E39" s="75"/>
      <c r="F39" s="51"/>
      <c r="G39" s="51"/>
      <c r="H39" s="39"/>
      <c r="I39" s="39"/>
      <c r="J39" s="38"/>
      <c r="K39" s="75"/>
      <c r="L39" s="75"/>
      <c r="M39" s="89"/>
    </row>
    <row r="40" spans="2:18" ht="16.5" customHeight="1" x14ac:dyDescent="0.25">
      <c r="B40" s="38"/>
      <c r="C40" s="38"/>
      <c r="D40" s="38"/>
      <c r="E40" s="77"/>
      <c r="F40" s="78"/>
      <c r="G40" s="42"/>
      <c r="H40" s="43"/>
      <c r="I40" s="39"/>
      <c r="J40" s="38"/>
      <c r="K40" s="77"/>
      <c r="L40" s="77"/>
      <c r="M40" s="90"/>
      <c r="Q40" s="1" t="s">
        <v>33</v>
      </c>
      <c r="R40" s="1">
        <f>SUM(R6:R21)</f>
        <v>0</v>
      </c>
    </row>
    <row r="41" spans="2:18" ht="16.5" customHeight="1" x14ac:dyDescent="0.25">
      <c r="B41" s="38"/>
      <c r="C41" s="38"/>
      <c r="D41" s="38"/>
      <c r="E41" s="80"/>
      <c r="F41" s="51"/>
      <c r="G41" s="51"/>
      <c r="H41" s="39"/>
      <c r="I41" s="39"/>
      <c r="J41" s="38"/>
      <c r="K41" s="75"/>
      <c r="L41" s="75"/>
      <c r="M41" s="90"/>
    </row>
    <row r="42" spans="2:18" ht="13.5" x14ac:dyDescent="0.25">
      <c r="B42" s="38"/>
      <c r="C42" s="38"/>
      <c r="D42" s="38"/>
      <c r="E42" s="35"/>
      <c r="F42" s="35"/>
      <c r="G42" s="35"/>
      <c r="H42" s="37"/>
      <c r="I42" s="37"/>
      <c r="J42" s="38"/>
      <c r="K42" s="33"/>
      <c r="L42" s="33"/>
      <c r="M42" s="33"/>
    </row>
    <row r="43" spans="2:18" ht="13.5" x14ac:dyDescent="0.25">
      <c r="B43" s="38"/>
      <c r="C43" s="38"/>
      <c r="D43" s="38"/>
      <c r="E43" s="35"/>
      <c r="F43" s="35"/>
      <c r="G43" s="35"/>
      <c r="H43" s="37"/>
      <c r="I43" s="37"/>
      <c r="J43" s="38"/>
      <c r="K43" s="33"/>
      <c r="L43" s="33"/>
      <c r="M43" s="33"/>
    </row>
    <row r="44" spans="2:18" ht="13.5" x14ac:dyDescent="0.25">
      <c r="B44" s="38"/>
      <c r="C44" s="38"/>
      <c r="D44" s="38"/>
      <c r="E44" s="35"/>
      <c r="F44" s="35"/>
      <c r="G44" s="35"/>
      <c r="H44" s="37"/>
      <c r="I44" s="37"/>
      <c r="J44" s="38"/>
      <c r="K44" s="33"/>
      <c r="L44" s="33"/>
      <c r="M44" s="33"/>
    </row>
    <row r="45" spans="2:18" ht="13.5" x14ac:dyDescent="0.25">
      <c r="B45" s="38"/>
      <c r="C45" s="38"/>
      <c r="D45" s="38"/>
      <c r="E45" s="35"/>
      <c r="F45" s="35"/>
      <c r="G45" s="35"/>
      <c r="H45" s="37"/>
      <c r="I45" s="37"/>
      <c r="J45" s="38"/>
      <c r="K45" s="33"/>
      <c r="L45" s="33"/>
      <c r="M45" s="33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  <x14:dataValidation type="list" allowBlank="1" showInputMessage="1" showErrorMessage="1" xr:uid="{008D7259-4926-4317-B04D-605810170BB6}">
          <x14:formula1>
            <xm:f>resumo_cx!$P$2:$P$18</xm:f>
          </x14:formula1>
          <xm:sqref>L15:L31</xm:sqref>
        </x14:dataValidation>
        <x14:dataValidation type="list" allowBlank="1" showInputMessage="1" showErrorMessage="1" xr:uid="{7859C470-1F37-454A-9393-F2627D44D856}">
          <x14:formula1>
            <xm:f>base_OS!$A$2:$A$15000</xm:f>
          </x14:formula1>
          <xm:sqref>E6:E22 E26:E31 E35:E41 K35:K41 K15:K31</xm:sqref>
        </x14:dataValidation>
        <x14:dataValidation type="list" allowBlank="1" showInputMessage="1" showErrorMessage="1" xr:uid="{882420CE-1467-422A-964B-18F1EC928A68}">
          <x14:formula1>
            <xm:f>base!$A$2:$A$5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base!$A$2:$A$8</xm:f>
          </x14:formula1>
          <xm:sqref>G6:G22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V45"/>
  <sheetViews>
    <sheetView showGridLines="0" topLeftCell="C6" zoomScale="90" zoomScaleNormal="90" workbookViewId="0">
      <selection activeCell="F16" sqref="F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'29'!B1+1</f>
        <v>45838</v>
      </c>
      <c r="C1" s="98"/>
      <c r="L1" s="99" t="s">
        <v>143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5" t="s">
        <v>0</v>
      </c>
      <c r="C4" s="26">
        <v>0</v>
      </c>
      <c r="D4" s="58"/>
      <c r="E4" s="108" t="s">
        <v>136</v>
      </c>
      <c r="F4" s="108"/>
      <c r="G4" s="108"/>
      <c r="H4" s="108"/>
      <c r="I4" s="108"/>
      <c r="J4" s="30"/>
      <c r="K4" s="102" t="s">
        <v>137</v>
      </c>
      <c r="L4" s="103"/>
      <c r="M4" s="104"/>
    </row>
    <row r="5" spans="2:18" ht="16.5" x14ac:dyDescent="0.3">
      <c r="B5" s="28" t="s">
        <v>1</v>
      </c>
      <c r="C5" s="29">
        <f>SUMIF(I6:I31,"&gt;0",H6:H31)</f>
        <v>2992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18" ht="16.5" x14ac:dyDescent="0.3">
      <c r="B6" s="28" t="s">
        <v>2</v>
      </c>
      <c r="C6" s="29">
        <f>C16</f>
        <v>3538.08</v>
      </c>
      <c r="D6" s="30"/>
      <c r="E6" s="75">
        <v>11299</v>
      </c>
      <c r="F6" s="76" t="s">
        <v>359</v>
      </c>
      <c r="G6" s="51" t="s">
        <v>36</v>
      </c>
      <c r="H6" s="39">
        <v>0</v>
      </c>
      <c r="I6" s="39">
        <v>0</v>
      </c>
      <c r="J6" s="30"/>
      <c r="K6" s="76" t="s">
        <v>357</v>
      </c>
      <c r="L6" s="89" t="s">
        <v>10</v>
      </c>
      <c r="M6" s="44">
        <v>11.91</v>
      </c>
      <c r="R6" s="1">
        <f>IF(vend30[[#This Row],[Nº Venda]]&gt;1,1,0)</f>
        <v>1</v>
      </c>
    </row>
    <row r="7" spans="2:18" ht="16.5" x14ac:dyDescent="0.3">
      <c r="B7" s="28" t="s">
        <v>3</v>
      </c>
      <c r="C7" s="29">
        <f>SUM(M6:M11)</f>
        <v>815.41</v>
      </c>
      <c r="D7" s="30"/>
      <c r="E7" s="75">
        <v>11300</v>
      </c>
      <c r="F7" s="76" t="s">
        <v>360</v>
      </c>
      <c r="G7" s="51" t="s">
        <v>6</v>
      </c>
      <c r="H7" s="39">
        <v>563</v>
      </c>
      <c r="I7" s="39">
        <v>563</v>
      </c>
      <c r="J7" s="30"/>
      <c r="K7" s="76" t="s">
        <v>335</v>
      </c>
      <c r="L7" s="89" t="s">
        <v>6</v>
      </c>
      <c r="M7" s="44">
        <v>803.5</v>
      </c>
      <c r="R7" s="1">
        <f>IF(vend30[[#This Row],[Nº Venda]]&gt;1,1,0)</f>
        <v>1</v>
      </c>
    </row>
    <row r="8" spans="2:18" ht="16.5" x14ac:dyDescent="0.3">
      <c r="B8" s="31" t="s">
        <v>21</v>
      </c>
      <c r="C8" s="32">
        <f>SUM(C6:C7)</f>
        <v>4353.49</v>
      </c>
      <c r="D8" s="30"/>
      <c r="E8" s="75">
        <v>11301</v>
      </c>
      <c r="F8" s="76" t="s">
        <v>361</v>
      </c>
      <c r="G8" s="51" t="s">
        <v>36</v>
      </c>
      <c r="H8" s="39">
        <v>0</v>
      </c>
      <c r="I8" s="39">
        <v>0</v>
      </c>
      <c r="J8" s="30"/>
      <c r="K8" s="76"/>
      <c r="L8" s="89"/>
      <c r="M8" s="44"/>
      <c r="R8" s="1">
        <f>IF(vend30[[#This Row],[Nº Venda]]&gt;1,1,0)</f>
        <v>1</v>
      </c>
    </row>
    <row r="9" spans="2:18" ht="16.5" x14ac:dyDescent="0.3">
      <c r="B9" s="27"/>
      <c r="C9" s="27"/>
      <c r="D9" s="30"/>
      <c r="E9" s="80">
        <v>11302</v>
      </c>
      <c r="F9" s="51" t="s">
        <v>365</v>
      </c>
      <c r="G9" s="51" t="s">
        <v>10</v>
      </c>
      <c r="H9" s="39">
        <v>490</v>
      </c>
      <c r="I9" s="39">
        <v>290</v>
      </c>
      <c r="J9" s="30"/>
      <c r="K9" s="76"/>
      <c r="L9" s="89"/>
      <c r="M9" s="44"/>
      <c r="R9" s="1">
        <f>IF(vend30[[#This Row],[Nº Venda]]&gt;1,1,0)</f>
        <v>1</v>
      </c>
    </row>
    <row r="10" spans="2:18" ht="16.5" x14ac:dyDescent="0.3">
      <c r="B10" s="109" t="s">
        <v>5</v>
      </c>
      <c r="C10" s="110"/>
      <c r="D10" s="30"/>
      <c r="E10" s="75">
        <v>11302</v>
      </c>
      <c r="F10" s="76" t="s">
        <v>365</v>
      </c>
      <c r="G10" s="51" t="s">
        <v>8</v>
      </c>
      <c r="H10" s="39">
        <v>0</v>
      </c>
      <c r="I10" s="39">
        <v>200</v>
      </c>
      <c r="J10" s="30"/>
      <c r="K10" s="76"/>
      <c r="L10" s="89"/>
      <c r="M10" s="44"/>
      <c r="R10" s="1">
        <f>IF(vend30[[#This Row],[Nº Venda]]&gt;1,1,0)</f>
        <v>1</v>
      </c>
    </row>
    <row r="11" spans="2:18" ht="16.5" x14ac:dyDescent="0.3">
      <c r="B11" s="28" t="s">
        <v>6</v>
      </c>
      <c r="C11" s="69">
        <f>(SUMIF($G$2:$G$31,B11,$I$2:$I$31))+(SUMIF($G$35:$G$41,B11,$H$35:$H$41))</f>
        <v>803.5</v>
      </c>
      <c r="D11" s="30"/>
      <c r="E11" s="75">
        <v>11303</v>
      </c>
      <c r="F11" s="76" t="s">
        <v>362</v>
      </c>
      <c r="G11" s="51" t="s">
        <v>7</v>
      </c>
      <c r="H11" s="39">
        <v>150</v>
      </c>
      <c r="I11" s="39">
        <v>150</v>
      </c>
      <c r="J11" s="30"/>
      <c r="K11" s="38"/>
      <c r="L11" s="89"/>
      <c r="M11" s="44"/>
      <c r="O11" s="1">
        <f>IF(C16=0,0,1)</f>
        <v>1</v>
      </c>
      <c r="R11" s="1">
        <f>IF(vend30[[#This Row],[Nº Venda]]&gt;1,1,0)</f>
        <v>1</v>
      </c>
    </row>
    <row r="12" spans="2:18" ht="16.5" x14ac:dyDescent="0.3">
      <c r="B12" s="28" t="s">
        <v>7</v>
      </c>
      <c r="C12" s="69">
        <f>(SUMIF($G$2:$G$31,B12,$I$2:$I$31))+(SUMIF($G$35:$G$41,B12,$H$35:$H$41))</f>
        <v>264.27999999999997</v>
      </c>
      <c r="D12" s="30"/>
      <c r="E12" s="75">
        <v>11304</v>
      </c>
      <c r="F12" s="76" t="s">
        <v>363</v>
      </c>
      <c r="G12" s="51" t="s">
        <v>8</v>
      </c>
      <c r="H12" s="39">
        <v>1600</v>
      </c>
      <c r="I12" s="39">
        <v>1600</v>
      </c>
      <c r="J12" s="30"/>
      <c r="K12" s="33"/>
      <c r="L12" s="33"/>
      <c r="M12" s="33"/>
      <c r="R12" s="1">
        <f>IF(vend30[[#This Row],[Nº Venda]]&gt;1,1,0)</f>
        <v>1</v>
      </c>
    </row>
    <row r="13" spans="2:18" ht="16.5" x14ac:dyDescent="0.3">
      <c r="B13" s="28" t="s">
        <v>8</v>
      </c>
      <c r="C13" s="69">
        <f>(SUMIF($G$2:$G$31,B13,$I$2:$I$31))+(SUMIF($G$35:$G$41,B13,$H$35:$H$41))</f>
        <v>1800</v>
      </c>
      <c r="D13" s="30"/>
      <c r="E13" s="75">
        <v>11305</v>
      </c>
      <c r="F13" s="76" t="s">
        <v>364</v>
      </c>
      <c r="G13" s="51" t="s">
        <v>6</v>
      </c>
      <c r="H13" s="39">
        <v>189</v>
      </c>
      <c r="I13" s="39">
        <v>189</v>
      </c>
      <c r="J13" s="30"/>
      <c r="K13" s="102" t="s">
        <v>141</v>
      </c>
      <c r="L13" s="103"/>
      <c r="M13" s="104"/>
      <c r="R13" s="1">
        <f>IF(vend30[[#This Row],[Nº Venda]]&gt;1,1,0)</f>
        <v>1</v>
      </c>
    </row>
    <row r="14" spans="2:18" ht="16.5" x14ac:dyDescent="0.3">
      <c r="B14" s="28" t="s">
        <v>9</v>
      </c>
      <c r="C14" s="69">
        <f>(SUMIF($G$2:$G$31,B14,$I$2:$I$31))+(SUMIF($G$35:$G$41,B14,$H$35:$H$41))</f>
        <v>0</v>
      </c>
      <c r="D14" s="30"/>
      <c r="E14" s="75"/>
      <c r="F14" s="76"/>
      <c r="G14" s="51"/>
      <c r="H14" s="39"/>
      <c r="I14" s="39"/>
      <c r="J14" s="30"/>
      <c r="K14" s="22" t="s">
        <v>22</v>
      </c>
      <c r="L14" s="23" t="s">
        <v>23</v>
      </c>
      <c r="M14" s="24" t="s">
        <v>24</v>
      </c>
      <c r="R14" s="1">
        <f>IF(vend30[[#This Row],[Nº Venda]]&gt;1,1,0)</f>
        <v>0</v>
      </c>
    </row>
    <row r="15" spans="2:18" ht="16.5" x14ac:dyDescent="0.3">
      <c r="B15" s="28" t="s">
        <v>10</v>
      </c>
      <c r="C15" s="69">
        <f>(SUMIF($G$2:$G$31,B15,$I$2:$I$31))+(SUMIF($G$35:$G$41,B15,$H$35:$H$41))</f>
        <v>670.3</v>
      </c>
      <c r="D15" s="30"/>
      <c r="E15" s="75"/>
      <c r="F15" s="76"/>
      <c r="G15" s="51"/>
      <c r="H15" s="39"/>
      <c r="I15" s="39"/>
      <c r="J15" s="30"/>
      <c r="K15" s="75">
        <v>11243</v>
      </c>
      <c r="L15" s="89" t="s">
        <v>130</v>
      </c>
      <c r="M15" s="44" t="s">
        <v>146</v>
      </c>
      <c r="R15" s="1">
        <f>IF(vend30[[#This Row],[Nº Venda]]&gt;1,1,0)</f>
        <v>0</v>
      </c>
    </row>
    <row r="16" spans="2:18" ht="16.5" x14ac:dyDescent="0.3">
      <c r="B16" s="31" t="s">
        <v>11</v>
      </c>
      <c r="C16" s="70">
        <f>SUM(C11:C15)</f>
        <v>3538.08</v>
      </c>
      <c r="D16" s="30"/>
      <c r="E16" s="75"/>
      <c r="F16" s="76"/>
      <c r="G16" s="51"/>
      <c r="H16" s="39"/>
      <c r="I16" s="39"/>
      <c r="J16" s="30"/>
      <c r="K16" s="75">
        <v>11266</v>
      </c>
      <c r="L16" s="89" t="s">
        <v>130</v>
      </c>
      <c r="M16" s="44" t="s">
        <v>146</v>
      </c>
      <c r="R16" s="1">
        <f>IF(vend30[[#This Row],[Nº Venda]]&gt;1,1,0)</f>
        <v>0</v>
      </c>
    </row>
    <row r="17" spans="2:22" ht="16.5" x14ac:dyDescent="0.3">
      <c r="B17" s="27"/>
      <c r="C17" s="27"/>
      <c r="D17" s="30"/>
      <c r="E17" s="75"/>
      <c r="F17" s="76"/>
      <c r="G17" s="51"/>
      <c r="H17" s="39"/>
      <c r="I17" s="39"/>
      <c r="J17" s="30"/>
      <c r="K17" s="75">
        <v>11271</v>
      </c>
      <c r="L17" s="89" t="s">
        <v>130</v>
      </c>
      <c r="M17" s="44" t="s">
        <v>146</v>
      </c>
      <c r="R17" s="1">
        <f>IF(vend30[[#This Row],[Nº Venda]]&gt;1,1,0)</f>
        <v>0</v>
      </c>
    </row>
    <row r="18" spans="2:22" ht="16.5" x14ac:dyDescent="0.3">
      <c r="B18" s="109" t="s">
        <v>12</v>
      </c>
      <c r="C18" s="110"/>
      <c r="D18" s="30"/>
      <c r="E18" s="75"/>
      <c r="F18" s="76"/>
      <c r="G18" s="51"/>
      <c r="H18" s="39"/>
      <c r="I18" s="39"/>
      <c r="J18" s="30"/>
      <c r="K18" s="75">
        <v>11272</v>
      </c>
      <c r="L18" s="89" t="s">
        <v>130</v>
      </c>
      <c r="M18" s="44" t="s">
        <v>146</v>
      </c>
      <c r="R18" s="1">
        <f>IF(vend30[[#This Row],[Nº Venda]]&gt;1,1,0)</f>
        <v>0</v>
      </c>
    </row>
    <row r="19" spans="2:22" ht="16.5" x14ac:dyDescent="0.3">
      <c r="B19" s="28">
        <f>COUNT(entr_carn30[OS])</f>
        <v>0</v>
      </c>
      <c r="C19" s="69">
        <f>SUM(entr_carn30[Valor Total])</f>
        <v>0</v>
      </c>
      <c r="D19" s="30"/>
      <c r="E19" s="75"/>
      <c r="F19" s="76"/>
      <c r="G19" s="51"/>
      <c r="H19" s="39"/>
      <c r="I19" s="39"/>
      <c r="J19" s="30"/>
      <c r="K19" s="75">
        <v>11279</v>
      </c>
      <c r="L19" s="89" t="s">
        <v>128</v>
      </c>
      <c r="M19" s="44" t="s">
        <v>146</v>
      </c>
      <c r="R19" s="1">
        <f>IF(vend30[[#This Row],[Nº Venda]]&gt;1,1,0)</f>
        <v>0</v>
      </c>
    </row>
    <row r="20" spans="2:22" ht="16.5" x14ac:dyDescent="0.3">
      <c r="B20" s="31" t="s">
        <v>11</v>
      </c>
      <c r="C20" s="70">
        <f>SUM(C19:C19)</f>
        <v>0</v>
      </c>
      <c r="D20" s="30"/>
      <c r="E20" s="75"/>
      <c r="F20" s="76"/>
      <c r="G20" s="51"/>
      <c r="H20" s="39"/>
      <c r="I20" s="39"/>
      <c r="J20" s="30"/>
      <c r="K20" s="75"/>
      <c r="L20" s="89"/>
      <c r="M20" s="44"/>
      <c r="R20" s="1">
        <f>IF(vend30[[#This Row],[Nº Venda]]&gt;1,1,0)</f>
        <v>0</v>
      </c>
    </row>
    <row r="21" spans="2:22" ht="16.5" x14ac:dyDescent="0.3">
      <c r="B21" s="27"/>
      <c r="C21" s="27"/>
      <c r="D21" s="30"/>
      <c r="E21" s="75"/>
      <c r="F21" s="51"/>
      <c r="G21" s="51"/>
      <c r="H21" s="39"/>
      <c r="I21" s="39"/>
      <c r="J21" s="30"/>
      <c r="K21" s="75"/>
      <c r="L21" s="89"/>
      <c r="M21" s="44"/>
      <c r="V21" s="1" t="s">
        <v>121</v>
      </c>
    </row>
    <row r="22" spans="2:22" ht="16.5" x14ac:dyDescent="0.3">
      <c r="B22" s="31" t="s">
        <v>25</v>
      </c>
      <c r="C22" s="34">
        <f>C5</f>
        <v>2992</v>
      </c>
      <c r="D22" s="30"/>
      <c r="E22" s="75"/>
      <c r="F22" s="76"/>
      <c r="G22" s="51"/>
      <c r="H22" s="39"/>
      <c r="I22" s="39"/>
      <c r="J22" s="30"/>
      <c r="K22" s="75"/>
      <c r="L22" s="89"/>
      <c r="M22" s="44"/>
    </row>
    <row r="23" spans="2:22" ht="16.5" x14ac:dyDescent="0.3">
      <c r="B23" s="30"/>
      <c r="C23" s="30"/>
      <c r="D23" s="30"/>
      <c r="E23" s="35"/>
      <c r="F23" s="35"/>
      <c r="G23" s="35"/>
      <c r="H23" s="36"/>
      <c r="I23" s="37"/>
      <c r="J23" s="30"/>
      <c r="K23" s="75"/>
      <c r="L23" s="89"/>
      <c r="M23" s="44"/>
    </row>
    <row r="24" spans="2:22" ht="16.5" x14ac:dyDescent="0.3">
      <c r="B24" s="30"/>
      <c r="C24" s="30"/>
      <c r="D24" s="30"/>
      <c r="E24" s="100" t="s">
        <v>138</v>
      </c>
      <c r="F24" s="101"/>
      <c r="G24" s="101"/>
      <c r="H24" s="101"/>
      <c r="I24" s="101"/>
      <c r="J24" s="30"/>
      <c r="K24" s="75"/>
      <c r="L24" s="89"/>
      <c r="M24" s="44"/>
    </row>
    <row r="25" spans="2:22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5"/>
      <c r="L25" s="89"/>
      <c r="M25" s="44"/>
    </row>
    <row r="26" spans="2:22" ht="16.5" x14ac:dyDescent="0.3">
      <c r="B26" s="30"/>
      <c r="C26" s="30"/>
      <c r="D26" s="30"/>
      <c r="E26" s="75"/>
      <c r="F26" s="76"/>
      <c r="G26" s="51"/>
      <c r="H26" s="39"/>
      <c r="I26" s="39"/>
      <c r="J26" s="30"/>
      <c r="K26" s="75"/>
      <c r="L26" s="89"/>
      <c r="M26" s="44"/>
    </row>
    <row r="27" spans="2:22" ht="16.5" x14ac:dyDescent="0.3">
      <c r="B27" s="30"/>
      <c r="C27" s="30"/>
      <c r="D27" s="30"/>
      <c r="E27" s="75"/>
      <c r="F27" s="76"/>
      <c r="G27" s="51"/>
      <c r="H27" s="39"/>
      <c r="I27" s="39"/>
      <c r="J27" s="30"/>
      <c r="K27" s="75"/>
      <c r="L27" s="89"/>
      <c r="M27" s="44"/>
    </row>
    <row r="28" spans="2:22" ht="16.5" x14ac:dyDescent="0.3">
      <c r="B28" s="30"/>
      <c r="C28" s="30"/>
      <c r="D28" s="30"/>
      <c r="E28" s="75"/>
      <c r="F28" s="76"/>
      <c r="G28" s="51"/>
      <c r="H28" s="39"/>
      <c r="I28" s="39"/>
      <c r="J28" s="30"/>
      <c r="K28" s="75"/>
      <c r="L28" s="89"/>
      <c r="M28" s="44"/>
    </row>
    <row r="29" spans="2:22" ht="16.5" x14ac:dyDescent="0.3">
      <c r="B29" s="30"/>
      <c r="C29" s="30"/>
      <c r="D29" s="30"/>
      <c r="E29" s="75"/>
      <c r="F29" s="76"/>
      <c r="G29" s="51"/>
      <c r="H29" s="39"/>
      <c r="I29" s="39"/>
      <c r="J29" s="30"/>
      <c r="K29" s="75"/>
      <c r="L29" s="89"/>
      <c r="M29" s="44"/>
    </row>
    <row r="30" spans="2:22" ht="16.5" x14ac:dyDescent="0.3">
      <c r="B30" s="30"/>
      <c r="C30" s="30"/>
      <c r="D30" s="30"/>
      <c r="E30" s="75"/>
      <c r="F30" s="51"/>
      <c r="G30" s="51"/>
      <c r="H30" s="39"/>
      <c r="I30" s="39"/>
      <c r="J30" s="30"/>
      <c r="K30" s="75"/>
      <c r="L30" s="89"/>
      <c r="M30" s="44"/>
    </row>
    <row r="31" spans="2:22" ht="16.5" x14ac:dyDescent="0.3">
      <c r="B31" s="30"/>
      <c r="C31" s="30"/>
      <c r="D31" s="30"/>
      <c r="E31" s="77"/>
      <c r="F31" s="78"/>
      <c r="G31" s="42"/>
      <c r="H31" s="43"/>
      <c r="I31" s="43"/>
      <c r="J31" s="30"/>
      <c r="K31" s="75"/>
      <c r="L31" s="89"/>
      <c r="M31" s="44"/>
    </row>
    <row r="32" spans="2:22" ht="16.5" x14ac:dyDescent="0.3">
      <c r="B32" s="30"/>
      <c r="C32" s="30"/>
      <c r="D32" s="38"/>
      <c r="E32" s="35"/>
      <c r="F32" s="35"/>
      <c r="G32" s="35"/>
      <c r="H32" s="37"/>
      <c r="I32" s="37"/>
      <c r="J32" s="38"/>
      <c r="K32" s="33"/>
      <c r="L32" s="33"/>
      <c r="M32" s="33"/>
    </row>
    <row r="33" spans="2:18" ht="16.5" x14ac:dyDescent="0.3">
      <c r="B33" s="30"/>
      <c r="C33" s="30"/>
      <c r="D33" s="38"/>
      <c r="E33" s="100" t="s">
        <v>139</v>
      </c>
      <c r="F33" s="101"/>
      <c r="G33" s="101"/>
      <c r="H33" s="101"/>
      <c r="I33" s="101"/>
      <c r="J33" s="38"/>
      <c r="K33" s="102" t="s">
        <v>140</v>
      </c>
      <c r="L33" s="103"/>
      <c r="M33" s="104"/>
    </row>
    <row r="34" spans="2:18" ht="16.5" x14ac:dyDescent="0.3">
      <c r="B34" s="38"/>
      <c r="C34" s="38"/>
      <c r="D34" s="38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75">
        <v>9750</v>
      </c>
      <c r="F35" s="51" t="s">
        <v>369</v>
      </c>
      <c r="G35" s="51" t="s">
        <v>10</v>
      </c>
      <c r="H35" s="39">
        <v>189.5</v>
      </c>
      <c r="I35" s="39" t="s">
        <v>96</v>
      </c>
      <c r="J35" s="38"/>
      <c r="K35" s="75"/>
      <c r="L35" s="75"/>
      <c r="M35" s="89"/>
    </row>
    <row r="36" spans="2:18" ht="16.5" customHeight="1" x14ac:dyDescent="0.25">
      <c r="B36" s="38"/>
      <c r="C36" s="38"/>
      <c r="D36" s="38"/>
      <c r="E36" s="77">
        <v>10151</v>
      </c>
      <c r="F36" s="76" t="s">
        <v>368</v>
      </c>
      <c r="G36" s="51" t="s">
        <v>10</v>
      </c>
      <c r="H36" s="39">
        <v>95</v>
      </c>
      <c r="I36" s="39" t="s">
        <v>72</v>
      </c>
      <c r="J36" s="38"/>
      <c r="K36" s="75"/>
      <c r="L36" s="75"/>
      <c r="M36" s="89"/>
    </row>
    <row r="37" spans="2:18" ht="16.5" customHeight="1" x14ac:dyDescent="0.25">
      <c r="B37" s="38"/>
      <c r="C37" s="38"/>
      <c r="D37" s="38"/>
      <c r="E37" s="82">
        <v>10336</v>
      </c>
      <c r="F37" s="76" t="s">
        <v>366</v>
      </c>
      <c r="G37" s="51" t="s">
        <v>7</v>
      </c>
      <c r="H37" s="39">
        <v>114.28</v>
      </c>
      <c r="I37" s="39" t="s">
        <v>40</v>
      </c>
      <c r="J37" s="38"/>
      <c r="K37" s="75"/>
      <c r="L37" s="75"/>
      <c r="M37" s="89"/>
    </row>
    <row r="38" spans="2:18" ht="16.5" customHeight="1" x14ac:dyDescent="0.25">
      <c r="B38" s="38"/>
      <c r="C38" s="38"/>
      <c r="D38" s="38"/>
      <c r="E38" s="75">
        <v>10439</v>
      </c>
      <c r="F38" s="76" t="s">
        <v>358</v>
      </c>
      <c r="G38" s="51" t="s">
        <v>10</v>
      </c>
      <c r="H38" s="39">
        <v>95.8</v>
      </c>
      <c r="I38" s="39" t="s">
        <v>74</v>
      </c>
      <c r="J38" s="38"/>
      <c r="K38" s="75"/>
      <c r="L38" s="75"/>
      <c r="M38" s="89"/>
    </row>
    <row r="39" spans="2:18" ht="16.5" customHeight="1" x14ac:dyDescent="0.25">
      <c r="B39" s="38"/>
      <c r="C39" s="38"/>
      <c r="D39" s="38"/>
      <c r="E39" s="75">
        <v>10620</v>
      </c>
      <c r="F39" s="76" t="s">
        <v>367</v>
      </c>
      <c r="G39" s="51" t="s">
        <v>6</v>
      </c>
      <c r="H39" s="39">
        <v>51.5</v>
      </c>
      <c r="I39" s="39" t="s">
        <v>75</v>
      </c>
      <c r="J39" s="38"/>
      <c r="K39" s="75"/>
      <c r="L39" s="75"/>
      <c r="M39" s="89"/>
    </row>
    <row r="40" spans="2:18" ht="16.5" customHeight="1" x14ac:dyDescent="0.25">
      <c r="B40" s="38"/>
      <c r="C40" s="38"/>
      <c r="D40" s="38"/>
      <c r="E40" s="77"/>
      <c r="F40" s="78"/>
      <c r="G40" s="42"/>
      <c r="H40" s="43"/>
      <c r="I40" s="39"/>
      <c r="J40" s="38"/>
      <c r="K40" s="77"/>
      <c r="L40" s="77"/>
      <c r="M40" s="90"/>
      <c r="Q40" s="1" t="s">
        <v>33</v>
      </c>
      <c r="R40" s="1">
        <f>SUM(R6:R21)</f>
        <v>8</v>
      </c>
    </row>
    <row r="41" spans="2:18" ht="16.5" customHeight="1" x14ac:dyDescent="0.25">
      <c r="B41" s="38"/>
      <c r="C41" s="38"/>
      <c r="D41" s="38"/>
      <c r="E41" s="80"/>
      <c r="F41" s="51"/>
      <c r="G41" s="51"/>
      <c r="H41" s="39"/>
      <c r="I41" s="39"/>
      <c r="J41" s="38"/>
      <c r="K41" s="75"/>
      <c r="L41" s="75"/>
      <c r="M41" s="90"/>
    </row>
    <row r="42" spans="2:18" ht="13.5" x14ac:dyDescent="0.25">
      <c r="B42" s="38"/>
      <c r="C42" s="38"/>
      <c r="D42" s="38"/>
      <c r="E42" s="35"/>
      <c r="F42" s="35"/>
      <c r="G42" s="35"/>
      <c r="H42" s="37"/>
      <c r="I42" s="37"/>
      <c r="J42" s="38"/>
      <c r="K42" s="33"/>
      <c r="L42" s="33"/>
      <c r="M42" s="33"/>
    </row>
    <row r="43" spans="2:18" ht="13.5" x14ac:dyDescent="0.25">
      <c r="B43" s="38"/>
      <c r="C43" s="38"/>
      <c r="D43" s="38"/>
      <c r="E43" s="35"/>
      <c r="F43" s="35"/>
      <c r="G43" s="35"/>
      <c r="H43" s="37"/>
      <c r="I43" s="37"/>
      <c r="J43" s="38"/>
      <c r="K43" s="33"/>
      <c r="L43" s="33"/>
      <c r="M43" s="33"/>
    </row>
    <row r="44" spans="2:18" ht="13.5" x14ac:dyDescent="0.25">
      <c r="B44" s="38"/>
      <c r="C44" s="38"/>
      <c r="D44" s="38"/>
      <c r="E44" s="35"/>
      <c r="F44" s="35"/>
      <c r="G44" s="35"/>
      <c r="H44" s="37"/>
      <c r="I44" s="37"/>
      <c r="J44" s="38"/>
      <c r="K44" s="33"/>
      <c r="L44" s="33"/>
      <c r="M44" s="33"/>
    </row>
    <row r="45" spans="2:18" ht="13.5" x14ac:dyDescent="0.25">
      <c r="B45" s="38"/>
      <c r="C45" s="38"/>
      <c r="D45" s="38"/>
      <c r="E45" s="35"/>
      <c r="F45" s="35"/>
      <c r="G45" s="35"/>
      <c r="H45" s="37"/>
      <c r="I45" s="37"/>
      <c r="J45" s="38"/>
      <c r="K45" s="33"/>
      <c r="L45" s="33"/>
      <c r="M45" s="33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  <x14:dataValidation type="list" allowBlank="1" showInputMessage="1" showErrorMessage="1" xr:uid="{57DC30A3-FD21-4F99-8FE7-91EB4ADC22FB}">
          <x14:formula1>
            <xm:f>resumo_cx!$P$2:$P$18</xm:f>
          </x14:formula1>
          <xm:sqref>L15:L31</xm:sqref>
        </x14:dataValidation>
        <x14:dataValidation type="list" allowBlank="1" showInputMessage="1" showErrorMessage="1" xr:uid="{A615A25F-34E8-44BE-B3F3-85B0ACD4FBFD}">
          <x14:formula1>
            <xm:f>base_OS!$A$2:$A$15000</xm:f>
          </x14:formula1>
          <xm:sqref>E26:E31 E35:E41 K35:K41 K15:K31 E6:E22</xm:sqref>
        </x14:dataValidation>
        <x14:dataValidation type="list" allowBlank="1" showInputMessage="1" showErrorMessage="1" xr:uid="{454549B3-C2F1-4A35-B7FA-A3C6892C967B}">
          <x14:formula1>
            <xm:f>base!$A$2:$A$5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base!$A$2:$A$8</xm:f>
          </x14:formula1>
          <xm:sqref>G6:G22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sheetPr codeName="Planilha32"/>
  <dimension ref="B1:R45"/>
  <sheetViews>
    <sheetView showGridLines="0" zoomScale="90" zoomScaleNormal="90" workbookViewId="0">
      <selection activeCell="L1" sqref="L1:M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'30'!B1+1</f>
        <v>45839</v>
      </c>
      <c r="C1" s="98"/>
      <c r="L1" s="99" t="s">
        <v>143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5" t="s">
        <v>0</v>
      </c>
      <c r="C4" s="26">
        <v>0</v>
      </c>
      <c r="D4" s="58"/>
      <c r="E4" s="108" t="s">
        <v>136</v>
      </c>
      <c r="F4" s="108"/>
      <c r="G4" s="108"/>
      <c r="H4" s="108"/>
      <c r="I4" s="108"/>
      <c r="J4" s="30"/>
      <c r="K4" s="102" t="s">
        <v>137</v>
      </c>
      <c r="L4" s="103"/>
      <c r="M4" s="104"/>
    </row>
    <row r="5" spans="2:18" ht="16.5" x14ac:dyDescent="0.3">
      <c r="B5" s="28" t="s">
        <v>1</v>
      </c>
      <c r="C5" s="29">
        <f>SUMIF(I6:I31,"&gt;0",H6:H31)</f>
        <v>0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18" ht="16.5" x14ac:dyDescent="0.3">
      <c r="B6" s="28" t="s">
        <v>2</v>
      </c>
      <c r="C6" s="29">
        <f>C16</f>
        <v>0</v>
      </c>
      <c r="D6" s="30"/>
      <c r="E6" s="75"/>
      <c r="F6" s="76"/>
      <c r="G6" s="51"/>
      <c r="H6" s="39"/>
      <c r="I6" s="39"/>
      <c r="J6" s="30"/>
      <c r="K6" s="76"/>
      <c r="L6" s="89"/>
      <c r="M6" s="44"/>
      <c r="R6" s="1">
        <f>IF(vend31[[#This Row],[Nº Venda]]&gt;1,1,0)</f>
        <v>0</v>
      </c>
    </row>
    <row r="7" spans="2:18" ht="16.5" x14ac:dyDescent="0.3">
      <c r="B7" s="28" t="s">
        <v>3</v>
      </c>
      <c r="C7" s="29">
        <f>SUM(M6:M11)</f>
        <v>0</v>
      </c>
      <c r="D7" s="30"/>
      <c r="E7" s="75"/>
      <c r="F7" s="76"/>
      <c r="G7" s="51"/>
      <c r="H7" s="39"/>
      <c r="I7" s="39"/>
      <c r="J7" s="30"/>
      <c r="K7" s="76"/>
      <c r="L7" s="89"/>
      <c r="M7" s="44"/>
      <c r="R7" s="1">
        <f>IF(vend31[[#This Row],[Nº Venda]]&gt;1,1,0)</f>
        <v>0</v>
      </c>
    </row>
    <row r="8" spans="2:18" ht="16.5" x14ac:dyDescent="0.3">
      <c r="B8" s="31" t="s">
        <v>21</v>
      </c>
      <c r="C8" s="32">
        <f>SUM(C6:C7)</f>
        <v>0</v>
      </c>
      <c r="D8" s="30"/>
      <c r="E8" s="75"/>
      <c r="F8" s="76"/>
      <c r="G8" s="51"/>
      <c r="H8" s="39"/>
      <c r="I8" s="39"/>
      <c r="J8" s="30"/>
      <c r="K8" s="76"/>
      <c r="L8" s="89"/>
      <c r="M8" s="44"/>
      <c r="R8" s="1">
        <f>IF(vend31[[#This Row],[Nº Venda]]&gt;1,1,0)</f>
        <v>0</v>
      </c>
    </row>
    <row r="9" spans="2:18" ht="16.5" x14ac:dyDescent="0.3">
      <c r="B9" s="27"/>
      <c r="C9" s="27"/>
      <c r="D9" s="30"/>
      <c r="E9" s="75"/>
      <c r="F9" s="76"/>
      <c r="G9" s="51"/>
      <c r="H9" s="39"/>
      <c r="I9" s="39"/>
      <c r="J9" s="30"/>
      <c r="K9" s="76"/>
      <c r="L9" s="89"/>
      <c r="M9" s="44"/>
      <c r="R9" s="1">
        <f>IF(vend31[[#This Row],[Nº Venda]]&gt;1,1,0)</f>
        <v>0</v>
      </c>
    </row>
    <row r="10" spans="2:18" ht="16.5" x14ac:dyDescent="0.3">
      <c r="B10" s="109" t="s">
        <v>5</v>
      </c>
      <c r="C10" s="110"/>
      <c r="D10" s="30"/>
      <c r="E10" s="75"/>
      <c r="F10" s="76"/>
      <c r="G10" s="51"/>
      <c r="H10" s="39"/>
      <c r="I10" s="39"/>
      <c r="J10" s="30"/>
      <c r="K10" s="76"/>
      <c r="L10" s="89"/>
      <c r="M10" s="44"/>
      <c r="R10" s="1">
        <f>IF(vend31[[#This Row],[Nº Venda]]&gt;1,1,0)</f>
        <v>0</v>
      </c>
    </row>
    <row r="11" spans="2:18" ht="16.5" x14ac:dyDescent="0.3">
      <c r="B11" s="28" t="s">
        <v>6</v>
      </c>
      <c r="C11" s="69">
        <f>(SUMIF($G$2:$G$31,B11,$I$2:$I$31))+(SUMIF($G$35:$G$41,B11,$H$35:$H$41))</f>
        <v>0</v>
      </c>
      <c r="D11" s="30"/>
      <c r="E11" s="75"/>
      <c r="F11" s="76"/>
      <c r="G11" s="51"/>
      <c r="H11" s="39"/>
      <c r="I11" s="39"/>
      <c r="J11" s="30"/>
      <c r="K11" s="38"/>
      <c r="L11" s="89"/>
      <c r="M11" s="44"/>
      <c r="O11" s="1">
        <f>IF(C16=0,0,1)</f>
        <v>0</v>
      </c>
      <c r="R11" s="1">
        <f>IF(vend31[[#This Row],[Nº Venda]]&gt;1,1,0)</f>
        <v>0</v>
      </c>
    </row>
    <row r="12" spans="2:18" ht="16.5" x14ac:dyDescent="0.3">
      <c r="B12" s="28" t="s">
        <v>7</v>
      </c>
      <c r="C12" s="69">
        <f t="shared" ref="C12:C15" si="0">(SUMIF($G$2:$G$31,B12,$I$2:$I$31))+(SUMIF($G$35:$G$41,B12,$H$35:$H$41))</f>
        <v>0</v>
      </c>
      <c r="D12" s="30"/>
      <c r="E12" s="75"/>
      <c r="F12" s="76"/>
      <c r="G12" s="51"/>
      <c r="H12" s="39"/>
      <c r="I12" s="39"/>
      <c r="J12" s="30"/>
      <c r="K12" s="33"/>
      <c r="L12" s="33"/>
      <c r="M12" s="33"/>
      <c r="R12" s="1">
        <f>IF(vend31[[#This Row],[Nº Venda]]&gt;1,1,0)</f>
        <v>0</v>
      </c>
    </row>
    <row r="13" spans="2:18" ht="16.5" x14ac:dyDescent="0.3">
      <c r="B13" s="28" t="s">
        <v>8</v>
      </c>
      <c r="C13" s="69">
        <f t="shared" si="0"/>
        <v>0</v>
      </c>
      <c r="D13" s="30"/>
      <c r="E13" s="75"/>
      <c r="F13" s="76"/>
      <c r="G13" s="51"/>
      <c r="H13" s="39"/>
      <c r="I13" s="39"/>
      <c r="J13" s="30"/>
      <c r="K13" s="102" t="s">
        <v>141</v>
      </c>
      <c r="L13" s="103"/>
      <c r="M13" s="104"/>
      <c r="R13" s="1">
        <f>IF(vend31[[#This Row],[Nº Venda]]&gt;1,1,0)</f>
        <v>0</v>
      </c>
    </row>
    <row r="14" spans="2:18" ht="16.5" x14ac:dyDescent="0.3">
      <c r="B14" s="28" t="s">
        <v>9</v>
      </c>
      <c r="C14" s="69">
        <f t="shared" si="0"/>
        <v>0</v>
      </c>
      <c r="D14" s="30"/>
      <c r="E14" s="75"/>
      <c r="F14" s="76"/>
      <c r="G14" s="51"/>
      <c r="H14" s="39"/>
      <c r="I14" s="39"/>
      <c r="J14" s="30"/>
      <c r="K14" s="22" t="s">
        <v>22</v>
      </c>
      <c r="L14" s="23" t="s">
        <v>23</v>
      </c>
      <c r="M14" s="24" t="s">
        <v>24</v>
      </c>
      <c r="R14" s="1">
        <f>IF(vend31[[#This Row],[Nº Venda]]&gt;1,1,0)</f>
        <v>0</v>
      </c>
    </row>
    <row r="15" spans="2:18" ht="16.5" x14ac:dyDescent="0.3">
      <c r="B15" s="28" t="s">
        <v>10</v>
      </c>
      <c r="C15" s="69">
        <f t="shared" si="0"/>
        <v>0</v>
      </c>
      <c r="D15" s="30"/>
      <c r="E15" s="75"/>
      <c r="F15" s="76"/>
      <c r="G15" s="51"/>
      <c r="H15" s="39"/>
      <c r="I15" s="39"/>
      <c r="J15" s="30"/>
      <c r="K15" s="75"/>
      <c r="L15" s="89"/>
      <c r="M15" s="44"/>
      <c r="R15" s="1">
        <f>IF(vend31[[#This Row],[Nº Venda]]&gt;1,1,0)</f>
        <v>0</v>
      </c>
    </row>
    <row r="16" spans="2:18" ht="16.5" x14ac:dyDescent="0.3">
      <c r="B16" s="31" t="s">
        <v>11</v>
      </c>
      <c r="C16" s="70">
        <f>SUM(C11:C15)</f>
        <v>0</v>
      </c>
      <c r="D16" s="30"/>
      <c r="E16" s="75"/>
      <c r="F16" s="76"/>
      <c r="G16" s="51"/>
      <c r="H16" s="39"/>
      <c r="I16" s="39"/>
      <c r="J16" s="30"/>
      <c r="K16" s="75"/>
      <c r="L16" s="89"/>
      <c r="M16" s="44"/>
      <c r="R16" s="1">
        <f>IF(vend31[[#This Row],[Nº Venda]]&gt;1,1,0)</f>
        <v>0</v>
      </c>
    </row>
    <row r="17" spans="2:18" ht="16.5" x14ac:dyDescent="0.3">
      <c r="B17" s="27"/>
      <c r="C17" s="27"/>
      <c r="D17" s="30"/>
      <c r="E17" s="75"/>
      <c r="F17" s="76"/>
      <c r="G17" s="51"/>
      <c r="H17" s="39"/>
      <c r="I17" s="39"/>
      <c r="J17" s="30"/>
      <c r="K17" s="75"/>
      <c r="L17" s="89"/>
      <c r="M17" s="44"/>
      <c r="R17" s="1">
        <f>IF(vend31[[#This Row],[Nº Venda]]&gt;1,1,0)</f>
        <v>0</v>
      </c>
    </row>
    <row r="18" spans="2:18" ht="16.5" x14ac:dyDescent="0.3">
      <c r="B18" s="109" t="s">
        <v>12</v>
      </c>
      <c r="C18" s="110"/>
      <c r="D18" s="30"/>
      <c r="E18" s="75"/>
      <c r="F18" s="76"/>
      <c r="G18" s="51"/>
      <c r="H18" s="39"/>
      <c r="I18" s="39"/>
      <c r="J18" s="30"/>
      <c r="K18" s="75"/>
      <c r="L18" s="89"/>
      <c r="M18" s="44"/>
      <c r="R18" s="1">
        <f>IF(vend31[[#This Row],[Nº Venda]]&gt;1,1,0)</f>
        <v>0</v>
      </c>
    </row>
    <row r="19" spans="2:18" ht="16.5" x14ac:dyDescent="0.3">
      <c r="B19" s="28">
        <f>COUNT(entr_carn31[OS])</f>
        <v>0</v>
      </c>
      <c r="C19" s="69">
        <f>SUM(entr_carn31[Valor Total])</f>
        <v>0</v>
      </c>
      <c r="D19" s="30"/>
      <c r="E19" s="75"/>
      <c r="F19" s="76"/>
      <c r="G19" s="51"/>
      <c r="H19" s="39"/>
      <c r="I19" s="39"/>
      <c r="J19" s="30"/>
      <c r="K19" s="75"/>
      <c r="L19" s="89"/>
      <c r="M19" s="44"/>
      <c r="R19" s="1">
        <f>IF(vend31[[#This Row],[Nº Venda]]&gt;1,1,0)</f>
        <v>0</v>
      </c>
    </row>
    <row r="20" spans="2:18" ht="16.5" x14ac:dyDescent="0.3">
      <c r="B20" s="31" t="s">
        <v>11</v>
      </c>
      <c r="C20" s="70">
        <f>SUM(C19:C19)</f>
        <v>0</v>
      </c>
      <c r="D20" s="30"/>
      <c r="E20" s="75"/>
      <c r="F20" s="51"/>
      <c r="G20" s="51"/>
      <c r="H20" s="39"/>
      <c r="I20" s="39"/>
      <c r="J20" s="30"/>
      <c r="K20" s="75"/>
      <c r="L20" s="89"/>
      <c r="M20" s="44"/>
      <c r="R20" s="1">
        <f>IF(vend31[[#This Row],[Nº Venda]]&gt;1,1,0)</f>
        <v>0</v>
      </c>
    </row>
    <row r="21" spans="2:18" ht="16.5" x14ac:dyDescent="0.3">
      <c r="B21" s="27"/>
      <c r="C21" s="27"/>
      <c r="D21" s="30"/>
      <c r="E21" s="75"/>
      <c r="F21" s="76"/>
      <c r="G21" s="51"/>
      <c r="H21" s="39"/>
      <c r="I21" s="39"/>
      <c r="J21" s="30"/>
      <c r="K21" s="75"/>
      <c r="L21" s="89"/>
      <c r="M21" s="44"/>
    </row>
    <row r="22" spans="2:18" ht="16.5" x14ac:dyDescent="0.3">
      <c r="B22" s="31" t="s">
        <v>25</v>
      </c>
      <c r="C22" s="34">
        <f>C5</f>
        <v>0</v>
      </c>
      <c r="D22" s="30"/>
      <c r="E22" s="77"/>
      <c r="F22" s="76"/>
      <c r="G22" s="51"/>
      <c r="H22" s="39"/>
      <c r="I22" s="39"/>
      <c r="J22" s="30"/>
      <c r="K22" s="75"/>
      <c r="L22" s="89"/>
      <c r="M22" s="44"/>
    </row>
    <row r="23" spans="2:18" ht="16.5" x14ac:dyDescent="0.3">
      <c r="B23" s="30"/>
      <c r="C23" s="30"/>
      <c r="D23" s="30"/>
      <c r="E23" s="35"/>
      <c r="F23" s="35"/>
      <c r="G23" s="35"/>
      <c r="H23" s="36"/>
      <c r="I23" s="37"/>
      <c r="J23" s="30"/>
      <c r="K23" s="75"/>
      <c r="L23" s="89"/>
      <c r="M23" s="44"/>
    </row>
    <row r="24" spans="2:18" ht="16.5" x14ac:dyDescent="0.3">
      <c r="B24" s="30"/>
      <c r="C24" s="30"/>
      <c r="D24" s="30"/>
      <c r="E24" s="100" t="s">
        <v>138</v>
      </c>
      <c r="F24" s="101"/>
      <c r="G24" s="101"/>
      <c r="H24" s="101"/>
      <c r="I24" s="101"/>
      <c r="J24" s="30"/>
      <c r="K24" s="75"/>
      <c r="L24" s="89"/>
      <c r="M24" s="44"/>
    </row>
    <row r="25" spans="2:18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5"/>
      <c r="L25" s="89"/>
      <c r="M25" s="44"/>
    </row>
    <row r="26" spans="2:18" ht="16.5" x14ac:dyDescent="0.3">
      <c r="B26" s="30"/>
      <c r="C26" s="30"/>
      <c r="D26" s="30"/>
      <c r="E26" s="75"/>
      <c r="F26" s="76"/>
      <c r="G26" s="51"/>
      <c r="H26" s="39"/>
      <c r="I26" s="39"/>
      <c r="J26" s="30"/>
      <c r="K26" s="75"/>
      <c r="L26" s="89"/>
      <c r="M26" s="44"/>
    </row>
    <row r="27" spans="2:18" ht="16.5" x14ac:dyDescent="0.3">
      <c r="B27" s="30"/>
      <c r="C27" s="30"/>
      <c r="D27" s="30"/>
      <c r="E27" s="75"/>
      <c r="F27" s="76"/>
      <c r="G27" s="51"/>
      <c r="H27" s="39"/>
      <c r="I27" s="39"/>
      <c r="J27" s="30"/>
      <c r="K27" s="75"/>
      <c r="L27" s="89"/>
      <c r="M27" s="44"/>
    </row>
    <row r="28" spans="2:18" ht="16.5" x14ac:dyDescent="0.3">
      <c r="B28" s="30"/>
      <c r="C28" s="30"/>
      <c r="D28" s="30"/>
      <c r="E28" s="75"/>
      <c r="F28" s="76"/>
      <c r="G28" s="51"/>
      <c r="H28" s="39"/>
      <c r="I28" s="39"/>
      <c r="J28" s="30"/>
      <c r="K28" s="75"/>
      <c r="L28" s="89"/>
      <c r="M28" s="44"/>
    </row>
    <row r="29" spans="2:18" ht="16.5" x14ac:dyDescent="0.3">
      <c r="B29" s="30"/>
      <c r="C29" s="30"/>
      <c r="D29" s="30"/>
      <c r="E29" s="75"/>
      <c r="F29" s="76"/>
      <c r="G29" s="51"/>
      <c r="H29" s="39"/>
      <c r="I29" s="39"/>
      <c r="J29" s="30"/>
      <c r="K29" s="75"/>
      <c r="L29" s="89"/>
      <c r="M29" s="44"/>
    </row>
    <row r="30" spans="2:18" ht="16.5" x14ac:dyDescent="0.3">
      <c r="B30" s="30"/>
      <c r="C30" s="30"/>
      <c r="D30" s="30"/>
      <c r="E30" s="75"/>
      <c r="F30" s="51"/>
      <c r="G30" s="51"/>
      <c r="H30" s="39"/>
      <c r="I30" s="39"/>
      <c r="J30" s="30"/>
      <c r="K30" s="75"/>
      <c r="L30" s="89"/>
      <c r="M30" s="44"/>
    </row>
    <row r="31" spans="2:18" ht="16.5" x14ac:dyDescent="0.3">
      <c r="B31" s="30"/>
      <c r="C31" s="30"/>
      <c r="D31" s="30"/>
      <c r="E31" s="77"/>
      <c r="F31" s="78"/>
      <c r="G31" s="42"/>
      <c r="H31" s="43"/>
      <c r="I31" s="43"/>
      <c r="J31" s="30"/>
      <c r="K31" s="75"/>
      <c r="L31" s="89"/>
      <c r="M31" s="44"/>
    </row>
    <row r="32" spans="2:18" ht="16.5" x14ac:dyDescent="0.3">
      <c r="B32" s="30"/>
      <c r="C32" s="30"/>
      <c r="D32" s="38"/>
      <c r="E32" s="35"/>
      <c r="F32" s="35"/>
      <c r="G32" s="35"/>
      <c r="H32" s="37"/>
      <c r="I32" s="37"/>
      <c r="J32" s="38"/>
      <c r="K32" s="33"/>
      <c r="L32" s="33"/>
      <c r="M32" s="33"/>
    </row>
    <row r="33" spans="2:18" ht="16.5" x14ac:dyDescent="0.3">
      <c r="B33" s="30"/>
      <c r="C33" s="30"/>
      <c r="D33" s="38"/>
      <c r="E33" s="100" t="s">
        <v>139</v>
      </c>
      <c r="F33" s="101"/>
      <c r="G33" s="101"/>
      <c r="H33" s="101"/>
      <c r="I33" s="101"/>
      <c r="J33" s="38"/>
      <c r="K33" s="102" t="s">
        <v>140</v>
      </c>
      <c r="L33" s="103"/>
      <c r="M33" s="104"/>
    </row>
    <row r="34" spans="2:18" ht="16.5" x14ac:dyDescent="0.3">
      <c r="B34" s="38"/>
      <c r="C34" s="38"/>
      <c r="D34" s="38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75"/>
      <c r="F35" s="76"/>
      <c r="G35" s="51"/>
      <c r="H35" s="39"/>
      <c r="I35" s="39"/>
      <c r="J35" s="38"/>
      <c r="K35" s="75"/>
      <c r="L35" s="75"/>
      <c r="M35" s="89"/>
    </row>
    <row r="36" spans="2:18" ht="16.5" customHeight="1" x14ac:dyDescent="0.25">
      <c r="B36" s="38"/>
      <c r="C36" s="38"/>
      <c r="D36" s="38"/>
      <c r="E36" s="81"/>
      <c r="F36" s="76"/>
      <c r="G36" s="51"/>
      <c r="H36" s="39"/>
      <c r="I36" s="39"/>
      <c r="J36" s="38"/>
      <c r="K36" s="75"/>
      <c r="L36" s="75"/>
      <c r="M36" s="89"/>
    </row>
    <row r="37" spans="2:18" ht="16.5" customHeight="1" x14ac:dyDescent="0.25">
      <c r="B37" s="38"/>
      <c r="C37" s="38"/>
      <c r="D37" s="38"/>
      <c r="E37" s="75"/>
      <c r="F37" s="76"/>
      <c r="G37" s="51"/>
      <c r="H37" s="39"/>
      <c r="I37" s="39"/>
      <c r="J37" s="38"/>
      <c r="K37" s="75"/>
      <c r="L37" s="75"/>
      <c r="M37" s="89"/>
    </row>
    <row r="38" spans="2:18" ht="16.5" customHeight="1" x14ac:dyDescent="0.25">
      <c r="B38" s="38"/>
      <c r="C38" s="38"/>
      <c r="D38" s="38"/>
      <c r="E38" s="75"/>
      <c r="F38" s="76"/>
      <c r="G38" s="51"/>
      <c r="H38" s="39"/>
      <c r="I38" s="39"/>
      <c r="J38" s="38"/>
      <c r="K38" s="75"/>
      <c r="L38" s="75"/>
      <c r="M38" s="89"/>
    </row>
    <row r="39" spans="2:18" ht="16.5" customHeight="1" x14ac:dyDescent="0.25">
      <c r="B39" s="38"/>
      <c r="C39" s="38"/>
      <c r="D39" s="38"/>
      <c r="E39" s="75"/>
      <c r="F39" s="51"/>
      <c r="G39" s="51"/>
      <c r="H39" s="39"/>
      <c r="I39" s="39"/>
      <c r="J39" s="38"/>
      <c r="K39" s="75"/>
      <c r="L39" s="75"/>
      <c r="M39" s="89"/>
    </row>
    <row r="40" spans="2:18" ht="16.5" customHeight="1" x14ac:dyDescent="0.25">
      <c r="B40" s="38"/>
      <c r="C40" s="38"/>
      <c r="D40" s="38"/>
      <c r="E40" s="77"/>
      <c r="F40" s="78"/>
      <c r="G40" s="42"/>
      <c r="H40" s="43"/>
      <c r="I40" s="39"/>
      <c r="J40" s="38"/>
      <c r="K40" s="77"/>
      <c r="L40" s="77"/>
      <c r="M40" s="90"/>
      <c r="Q40" s="1" t="s">
        <v>33</v>
      </c>
      <c r="R40" s="1">
        <f>SUM(R6:R21)</f>
        <v>0</v>
      </c>
    </row>
    <row r="41" spans="2:18" ht="16.5" customHeight="1" x14ac:dyDescent="0.25">
      <c r="B41" s="38"/>
      <c r="C41" s="38"/>
      <c r="D41" s="38"/>
      <c r="E41" s="80"/>
      <c r="F41" s="51"/>
      <c r="G41" s="51"/>
      <c r="H41" s="39"/>
      <c r="I41" s="39"/>
      <c r="J41" s="38"/>
      <c r="K41" s="75"/>
      <c r="L41" s="75"/>
      <c r="M41" s="90"/>
    </row>
    <row r="42" spans="2:18" ht="13.5" x14ac:dyDescent="0.25">
      <c r="B42" s="38"/>
      <c r="C42" s="38"/>
      <c r="D42" s="38"/>
      <c r="E42" s="35"/>
      <c r="F42" s="35"/>
      <c r="G42" s="35"/>
      <c r="H42" s="37"/>
      <c r="I42" s="37"/>
      <c r="J42" s="38"/>
      <c r="K42" s="33"/>
      <c r="L42" s="33"/>
      <c r="M42" s="33"/>
    </row>
    <row r="43" spans="2:18" ht="13.5" x14ac:dyDescent="0.25">
      <c r="B43" s="38"/>
      <c r="C43" s="38"/>
      <c r="D43" s="38"/>
      <c r="E43" s="35"/>
      <c r="F43" s="35"/>
      <c r="G43" s="35"/>
      <c r="H43" s="37"/>
      <c r="I43" s="37"/>
      <c r="J43" s="38"/>
      <c r="K43" s="33"/>
      <c r="L43" s="33"/>
      <c r="M43" s="33"/>
    </row>
    <row r="44" spans="2:18" ht="13.5" x14ac:dyDescent="0.25">
      <c r="B44" s="38"/>
      <c r="C44" s="38"/>
      <c r="D44" s="38"/>
      <c r="E44" s="35"/>
      <c r="F44" s="35"/>
      <c r="G44" s="35"/>
      <c r="H44" s="37"/>
      <c r="I44" s="37"/>
      <c r="J44" s="38"/>
      <c r="K44" s="33"/>
      <c r="L44" s="33"/>
      <c r="M44" s="33"/>
    </row>
    <row r="45" spans="2:18" ht="13.5" x14ac:dyDescent="0.25">
      <c r="B45" s="38"/>
      <c r="C45" s="38"/>
      <c r="D45" s="38"/>
      <c r="E45" s="35"/>
      <c r="F45" s="35"/>
      <c r="G45" s="35"/>
      <c r="H45" s="37"/>
      <c r="I45" s="37"/>
      <c r="J45" s="38"/>
      <c r="K45" s="33"/>
      <c r="L45" s="33"/>
      <c r="M45" s="33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disablePrompts="1"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  <x14:dataValidation type="list" allowBlank="1" showInputMessage="1" showErrorMessage="1" xr:uid="{5420F269-1CC3-49E7-8352-1AC0E39190D5}">
          <x14:formula1>
            <xm:f>resumo_cx!$P$2:$P$18</xm:f>
          </x14:formula1>
          <xm:sqref>L15:L31</xm:sqref>
        </x14:dataValidation>
        <x14:dataValidation type="list" allowBlank="1" showInputMessage="1" showErrorMessage="1" xr:uid="{EF699948-486B-41BB-BC3B-EC3D0EEF9F81}">
          <x14:formula1>
            <xm:f>base_OS!$A$2:$A$15000</xm:f>
          </x14:formula1>
          <xm:sqref>E6:E22 E26:E31 E35:E41 K35:K41 K15:K31</xm:sqref>
        </x14:dataValidation>
        <x14:dataValidation type="list" allowBlank="1" showInputMessage="1" showErrorMessage="1" xr:uid="{48896A60-CF65-4297-AD79-D88F13BF7A80}">
          <x14:formula1>
            <xm:f>base!$A$2:$A$8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base!$A$2:$A$5</xm:f>
          </x14:formula1>
          <xm:sqref>G26:G31 G35:G41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73DA2-8BAD-4F63-B1D9-AC62B543168B}">
  <dimension ref="A1:A13000"/>
  <sheetViews>
    <sheetView workbookViewId="0"/>
  </sheetViews>
  <sheetFormatPr defaultRowHeight="12.75" x14ac:dyDescent="0.2"/>
  <cols>
    <col min="1" max="1" width="12.42578125" bestFit="1" customWidth="1"/>
  </cols>
  <sheetData>
    <row r="1" spans="1:1" x14ac:dyDescent="0.2">
      <c r="A1" t="s">
        <v>135</v>
      </c>
    </row>
    <row r="2" spans="1:1" x14ac:dyDescent="0.2">
      <c r="A2">
        <v>190</v>
      </c>
    </row>
    <row r="3" spans="1:1" x14ac:dyDescent="0.2">
      <c r="A3">
        <v>191</v>
      </c>
    </row>
    <row r="4" spans="1:1" x14ac:dyDescent="0.2">
      <c r="A4">
        <v>192</v>
      </c>
    </row>
    <row r="5" spans="1:1" x14ac:dyDescent="0.2">
      <c r="A5">
        <v>193</v>
      </c>
    </row>
    <row r="6" spans="1:1" x14ac:dyDescent="0.2">
      <c r="A6">
        <v>194</v>
      </c>
    </row>
    <row r="7" spans="1:1" x14ac:dyDescent="0.2">
      <c r="A7">
        <v>195</v>
      </c>
    </row>
    <row r="8" spans="1:1" x14ac:dyDescent="0.2">
      <c r="A8">
        <v>196</v>
      </c>
    </row>
    <row r="9" spans="1:1" x14ac:dyDescent="0.2">
      <c r="A9">
        <v>197</v>
      </c>
    </row>
    <row r="10" spans="1:1" x14ac:dyDescent="0.2">
      <c r="A10">
        <v>198</v>
      </c>
    </row>
    <row r="11" spans="1:1" x14ac:dyDescent="0.2">
      <c r="A11">
        <v>199</v>
      </c>
    </row>
    <row r="12" spans="1:1" x14ac:dyDescent="0.2">
      <c r="A12">
        <v>200</v>
      </c>
    </row>
    <row r="13" spans="1:1" x14ac:dyDescent="0.2">
      <c r="A13">
        <v>201</v>
      </c>
    </row>
    <row r="14" spans="1:1" x14ac:dyDescent="0.2">
      <c r="A14">
        <v>202</v>
      </c>
    </row>
    <row r="15" spans="1:1" x14ac:dyDescent="0.2">
      <c r="A15">
        <v>203</v>
      </c>
    </row>
    <row r="16" spans="1:1" x14ac:dyDescent="0.2">
      <c r="A16">
        <v>204</v>
      </c>
    </row>
    <row r="17" spans="1:1" x14ac:dyDescent="0.2">
      <c r="A17">
        <v>205</v>
      </c>
    </row>
    <row r="18" spans="1:1" x14ac:dyDescent="0.2">
      <c r="A18">
        <v>206</v>
      </c>
    </row>
    <row r="19" spans="1:1" x14ac:dyDescent="0.2">
      <c r="A19">
        <v>207</v>
      </c>
    </row>
    <row r="20" spans="1:1" x14ac:dyDescent="0.2">
      <c r="A20">
        <v>208</v>
      </c>
    </row>
    <row r="21" spans="1:1" x14ac:dyDescent="0.2">
      <c r="A21">
        <v>209</v>
      </c>
    </row>
    <row r="22" spans="1:1" x14ac:dyDescent="0.2">
      <c r="A22">
        <v>210</v>
      </c>
    </row>
    <row r="23" spans="1:1" x14ac:dyDescent="0.2">
      <c r="A23">
        <v>211</v>
      </c>
    </row>
    <row r="24" spans="1:1" x14ac:dyDescent="0.2">
      <c r="A24">
        <v>212</v>
      </c>
    </row>
    <row r="25" spans="1:1" x14ac:dyDescent="0.2">
      <c r="A25">
        <v>213</v>
      </c>
    </row>
    <row r="26" spans="1:1" x14ac:dyDescent="0.2">
      <c r="A26">
        <v>214</v>
      </c>
    </row>
    <row r="27" spans="1:1" x14ac:dyDescent="0.2">
      <c r="A27">
        <v>215</v>
      </c>
    </row>
    <row r="28" spans="1:1" x14ac:dyDescent="0.2">
      <c r="A28">
        <v>216</v>
      </c>
    </row>
    <row r="29" spans="1:1" x14ac:dyDescent="0.2">
      <c r="A29">
        <v>217</v>
      </c>
    </row>
    <row r="30" spans="1:1" x14ac:dyDescent="0.2">
      <c r="A30">
        <v>218</v>
      </c>
    </row>
    <row r="31" spans="1:1" x14ac:dyDescent="0.2">
      <c r="A31">
        <v>219</v>
      </c>
    </row>
    <row r="32" spans="1:1" x14ac:dyDescent="0.2">
      <c r="A32">
        <v>220</v>
      </c>
    </row>
    <row r="33" spans="1:1" x14ac:dyDescent="0.2">
      <c r="A33">
        <v>221</v>
      </c>
    </row>
    <row r="34" spans="1:1" x14ac:dyDescent="0.2">
      <c r="A34">
        <v>222</v>
      </c>
    </row>
    <row r="35" spans="1:1" x14ac:dyDescent="0.2">
      <c r="A35">
        <v>223</v>
      </c>
    </row>
    <row r="36" spans="1:1" x14ac:dyDescent="0.2">
      <c r="A36">
        <v>224</v>
      </c>
    </row>
    <row r="37" spans="1:1" x14ac:dyDescent="0.2">
      <c r="A37">
        <v>225</v>
      </c>
    </row>
    <row r="38" spans="1:1" x14ac:dyDescent="0.2">
      <c r="A38">
        <v>226</v>
      </c>
    </row>
    <row r="39" spans="1:1" x14ac:dyDescent="0.2">
      <c r="A39">
        <v>227</v>
      </c>
    </row>
    <row r="40" spans="1:1" x14ac:dyDescent="0.2">
      <c r="A40">
        <v>228</v>
      </c>
    </row>
    <row r="41" spans="1:1" x14ac:dyDescent="0.2">
      <c r="A41">
        <v>229</v>
      </c>
    </row>
    <row r="42" spans="1:1" x14ac:dyDescent="0.2">
      <c r="A42">
        <v>230</v>
      </c>
    </row>
    <row r="43" spans="1:1" x14ac:dyDescent="0.2">
      <c r="A43">
        <v>231</v>
      </c>
    </row>
    <row r="44" spans="1:1" x14ac:dyDescent="0.2">
      <c r="A44">
        <v>232</v>
      </c>
    </row>
    <row r="45" spans="1:1" x14ac:dyDescent="0.2">
      <c r="A45">
        <v>233</v>
      </c>
    </row>
    <row r="46" spans="1:1" x14ac:dyDescent="0.2">
      <c r="A46">
        <v>234</v>
      </c>
    </row>
    <row r="47" spans="1:1" x14ac:dyDescent="0.2">
      <c r="A47">
        <v>235</v>
      </c>
    </row>
    <row r="48" spans="1:1" x14ac:dyDescent="0.2">
      <c r="A48">
        <v>236</v>
      </c>
    </row>
    <row r="49" spans="1:1" x14ac:dyDescent="0.2">
      <c r="A49">
        <v>237</v>
      </c>
    </row>
    <row r="50" spans="1:1" x14ac:dyDescent="0.2">
      <c r="A50">
        <v>238</v>
      </c>
    </row>
    <row r="51" spans="1:1" x14ac:dyDescent="0.2">
      <c r="A51">
        <v>239</v>
      </c>
    </row>
    <row r="52" spans="1:1" x14ac:dyDescent="0.2">
      <c r="A52">
        <v>240</v>
      </c>
    </row>
    <row r="53" spans="1:1" x14ac:dyDescent="0.2">
      <c r="A53">
        <v>241</v>
      </c>
    </row>
    <row r="54" spans="1:1" x14ac:dyDescent="0.2">
      <c r="A54">
        <v>242</v>
      </c>
    </row>
    <row r="55" spans="1:1" x14ac:dyDescent="0.2">
      <c r="A55">
        <v>243</v>
      </c>
    </row>
    <row r="56" spans="1:1" x14ac:dyDescent="0.2">
      <c r="A56">
        <v>244</v>
      </c>
    </row>
    <row r="57" spans="1:1" x14ac:dyDescent="0.2">
      <c r="A57">
        <v>245</v>
      </c>
    </row>
    <row r="58" spans="1:1" x14ac:dyDescent="0.2">
      <c r="A58">
        <v>246</v>
      </c>
    </row>
    <row r="59" spans="1:1" x14ac:dyDescent="0.2">
      <c r="A59">
        <v>247</v>
      </c>
    </row>
    <row r="60" spans="1:1" x14ac:dyDescent="0.2">
      <c r="A60">
        <v>248</v>
      </c>
    </row>
    <row r="61" spans="1:1" x14ac:dyDescent="0.2">
      <c r="A61">
        <v>249</v>
      </c>
    </row>
    <row r="62" spans="1:1" x14ac:dyDescent="0.2">
      <c r="A62">
        <v>250</v>
      </c>
    </row>
    <row r="63" spans="1:1" x14ac:dyDescent="0.2">
      <c r="A63">
        <v>251</v>
      </c>
    </row>
    <row r="64" spans="1:1" x14ac:dyDescent="0.2">
      <c r="A64">
        <v>252</v>
      </c>
    </row>
    <row r="65" spans="1:1" x14ac:dyDescent="0.2">
      <c r="A65">
        <v>253</v>
      </c>
    </row>
    <row r="66" spans="1:1" x14ac:dyDescent="0.2">
      <c r="A66">
        <v>254</v>
      </c>
    </row>
    <row r="67" spans="1:1" x14ac:dyDescent="0.2">
      <c r="A67">
        <v>255</v>
      </c>
    </row>
    <row r="68" spans="1:1" x14ac:dyDescent="0.2">
      <c r="A68">
        <v>256</v>
      </c>
    </row>
    <row r="69" spans="1:1" x14ac:dyDescent="0.2">
      <c r="A69">
        <v>257</v>
      </c>
    </row>
    <row r="70" spans="1:1" x14ac:dyDescent="0.2">
      <c r="A70">
        <v>258</v>
      </c>
    </row>
    <row r="71" spans="1:1" x14ac:dyDescent="0.2">
      <c r="A71">
        <v>259</v>
      </c>
    </row>
    <row r="72" spans="1:1" x14ac:dyDescent="0.2">
      <c r="A72">
        <v>260</v>
      </c>
    </row>
    <row r="73" spans="1:1" x14ac:dyDescent="0.2">
      <c r="A73">
        <v>261</v>
      </c>
    </row>
    <row r="74" spans="1:1" x14ac:dyDescent="0.2">
      <c r="A74">
        <v>262</v>
      </c>
    </row>
    <row r="75" spans="1:1" x14ac:dyDescent="0.2">
      <c r="A75">
        <v>263</v>
      </c>
    </row>
    <row r="76" spans="1:1" x14ac:dyDescent="0.2">
      <c r="A76">
        <v>264</v>
      </c>
    </row>
    <row r="77" spans="1:1" x14ac:dyDescent="0.2">
      <c r="A77">
        <v>265</v>
      </c>
    </row>
    <row r="78" spans="1:1" x14ac:dyDescent="0.2">
      <c r="A78">
        <v>266</v>
      </c>
    </row>
    <row r="79" spans="1:1" x14ac:dyDescent="0.2">
      <c r="A79">
        <v>267</v>
      </c>
    </row>
    <row r="80" spans="1:1" x14ac:dyDescent="0.2">
      <c r="A80">
        <v>268</v>
      </c>
    </row>
    <row r="81" spans="1:1" x14ac:dyDescent="0.2">
      <c r="A81">
        <v>269</v>
      </c>
    </row>
    <row r="82" spans="1:1" x14ac:dyDescent="0.2">
      <c r="A82">
        <v>270</v>
      </c>
    </row>
    <row r="83" spans="1:1" x14ac:dyDescent="0.2">
      <c r="A83">
        <v>271</v>
      </c>
    </row>
    <row r="84" spans="1:1" x14ac:dyDescent="0.2">
      <c r="A84">
        <v>272</v>
      </c>
    </row>
    <row r="85" spans="1:1" x14ac:dyDescent="0.2">
      <c r="A85">
        <v>273</v>
      </c>
    </row>
    <row r="86" spans="1:1" x14ac:dyDescent="0.2">
      <c r="A86">
        <v>274</v>
      </c>
    </row>
    <row r="87" spans="1:1" x14ac:dyDescent="0.2">
      <c r="A87">
        <v>275</v>
      </c>
    </row>
    <row r="88" spans="1:1" x14ac:dyDescent="0.2">
      <c r="A88">
        <v>276</v>
      </c>
    </row>
    <row r="89" spans="1:1" x14ac:dyDescent="0.2">
      <c r="A89">
        <v>277</v>
      </c>
    </row>
    <row r="90" spans="1:1" x14ac:dyDescent="0.2">
      <c r="A90">
        <v>278</v>
      </c>
    </row>
    <row r="91" spans="1:1" x14ac:dyDescent="0.2">
      <c r="A91">
        <v>279</v>
      </c>
    </row>
    <row r="92" spans="1:1" x14ac:dyDescent="0.2">
      <c r="A92">
        <v>280</v>
      </c>
    </row>
    <row r="93" spans="1:1" x14ac:dyDescent="0.2">
      <c r="A93">
        <v>281</v>
      </c>
    </row>
    <row r="94" spans="1:1" x14ac:dyDescent="0.2">
      <c r="A94">
        <v>282</v>
      </c>
    </row>
    <row r="95" spans="1:1" x14ac:dyDescent="0.2">
      <c r="A95">
        <v>283</v>
      </c>
    </row>
    <row r="96" spans="1:1" x14ac:dyDescent="0.2">
      <c r="A96">
        <v>284</v>
      </c>
    </row>
    <row r="97" spans="1:1" x14ac:dyDescent="0.2">
      <c r="A97">
        <v>285</v>
      </c>
    </row>
    <row r="98" spans="1:1" x14ac:dyDescent="0.2">
      <c r="A98">
        <v>286</v>
      </c>
    </row>
    <row r="99" spans="1:1" x14ac:dyDescent="0.2">
      <c r="A99">
        <v>287</v>
      </c>
    </row>
    <row r="100" spans="1:1" x14ac:dyDescent="0.2">
      <c r="A100">
        <v>288</v>
      </c>
    </row>
    <row r="101" spans="1:1" x14ac:dyDescent="0.2">
      <c r="A101">
        <v>289</v>
      </c>
    </row>
    <row r="102" spans="1:1" x14ac:dyDescent="0.2">
      <c r="A102">
        <v>290</v>
      </c>
    </row>
    <row r="103" spans="1:1" x14ac:dyDescent="0.2">
      <c r="A103">
        <v>291</v>
      </c>
    </row>
    <row r="104" spans="1:1" x14ac:dyDescent="0.2">
      <c r="A104">
        <v>292</v>
      </c>
    </row>
    <row r="105" spans="1:1" x14ac:dyDescent="0.2">
      <c r="A105">
        <v>293</v>
      </c>
    </row>
    <row r="106" spans="1:1" x14ac:dyDescent="0.2">
      <c r="A106">
        <v>294</v>
      </c>
    </row>
    <row r="107" spans="1:1" x14ac:dyDescent="0.2">
      <c r="A107">
        <v>295</v>
      </c>
    </row>
    <row r="108" spans="1:1" x14ac:dyDescent="0.2">
      <c r="A108">
        <v>296</v>
      </c>
    </row>
    <row r="109" spans="1:1" x14ac:dyDescent="0.2">
      <c r="A109">
        <v>297</v>
      </c>
    </row>
    <row r="110" spans="1:1" x14ac:dyDescent="0.2">
      <c r="A110">
        <v>298</v>
      </c>
    </row>
    <row r="111" spans="1:1" x14ac:dyDescent="0.2">
      <c r="A111">
        <v>299</v>
      </c>
    </row>
    <row r="112" spans="1:1" x14ac:dyDescent="0.2">
      <c r="A112">
        <v>300</v>
      </c>
    </row>
    <row r="113" spans="1:1" x14ac:dyDescent="0.2">
      <c r="A113">
        <v>301</v>
      </c>
    </row>
    <row r="114" spans="1:1" x14ac:dyDescent="0.2">
      <c r="A114">
        <v>302</v>
      </c>
    </row>
    <row r="115" spans="1:1" x14ac:dyDescent="0.2">
      <c r="A115">
        <v>303</v>
      </c>
    </row>
    <row r="116" spans="1:1" x14ac:dyDescent="0.2">
      <c r="A116">
        <v>304</v>
      </c>
    </row>
    <row r="117" spans="1:1" x14ac:dyDescent="0.2">
      <c r="A117">
        <v>305</v>
      </c>
    </row>
    <row r="118" spans="1:1" x14ac:dyDescent="0.2">
      <c r="A118">
        <v>306</v>
      </c>
    </row>
    <row r="119" spans="1:1" x14ac:dyDescent="0.2">
      <c r="A119">
        <v>307</v>
      </c>
    </row>
    <row r="120" spans="1:1" x14ac:dyDescent="0.2">
      <c r="A120">
        <v>308</v>
      </c>
    </row>
    <row r="121" spans="1:1" x14ac:dyDescent="0.2">
      <c r="A121">
        <v>309</v>
      </c>
    </row>
    <row r="122" spans="1:1" x14ac:dyDescent="0.2">
      <c r="A122">
        <v>310</v>
      </c>
    </row>
    <row r="123" spans="1:1" x14ac:dyDescent="0.2">
      <c r="A123">
        <v>311</v>
      </c>
    </row>
    <row r="124" spans="1:1" x14ac:dyDescent="0.2">
      <c r="A124">
        <v>312</v>
      </c>
    </row>
    <row r="125" spans="1:1" x14ac:dyDescent="0.2">
      <c r="A125">
        <v>313</v>
      </c>
    </row>
    <row r="126" spans="1:1" x14ac:dyDescent="0.2">
      <c r="A126">
        <v>314</v>
      </c>
    </row>
    <row r="127" spans="1:1" x14ac:dyDescent="0.2">
      <c r="A127">
        <v>315</v>
      </c>
    </row>
    <row r="128" spans="1:1" x14ac:dyDescent="0.2">
      <c r="A128">
        <v>316</v>
      </c>
    </row>
    <row r="129" spans="1:1" x14ac:dyDescent="0.2">
      <c r="A129">
        <v>317</v>
      </c>
    </row>
    <row r="130" spans="1:1" x14ac:dyDescent="0.2">
      <c r="A130">
        <v>318</v>
      </c>
    </row>
    <row r="131" spans="1:1" x14ac:dyDescent="0.2">
      <c r="A131">
        <v>319</v>
      </c>
    </row>
    <row r="132" spans="1:1" x14ac:dyDescent="0.2">
      <c r="A132">
        <v>320</v>
      </c>
    </row>
    <row r="133" spans="1:1" x14ac:dyDescent="0.2">
      <c r="A133">
        <v>321</v>
      </c>
    </row>
    <row r="134" spans="1:1" x14ac:dyDescent="0.2">
      <c r="A134">
        <v>322</v>
      </c>
    </row>
    <row r="135" spans="1:1" x14ac:dyDescent="0.2">
      <c r="A135">
        <v>323</v>
      </c>
    </row>
    <row r="136" spans="1:1" x14ac:dyDescent="0.2">
      <c r="A136">
        <v>324</v>
      </c>
    </row>
    <row r="137" spans="1:1" x14ac:dyDescent="0.2">
      <c r="A137">
        <v>325</v>
      </c>
    </row>
    <row r="138" spans="1:1" x14ac:dyDescent="0.2">
      <c r="A138">
        <v>326</v>
      </c>
    </row>
    <row r="139" spans="1:1" x14ac:dyDescent="0.2">
      <c r="A139">
        <v>327</v>
      </c>
    </row>
    <row r="140" spans="1:1" x14ac:dyDescent="0.2">
      <c r="A140">
        <v>328</v>
      </c>
    </row>
    <row r="141" spans="1:1" x14ac:dyDescent="0.2">
      <c r="A141">
        <v>329</v>
      </c>
    </row>
    <row r="142" spans="1:1" x14ac:dyDescent="0.2">
      <c r="A142">
        <v>330</v>
      </c>
    </row>
    <row r="143" spans="1:1" x14ac:dyDescent="0.2">
      <c r="A143">
        <v>331</v>
      </c>
    </row>
    <row r="144" spans="1:1" x14ac:dyDescent="0.2">
      <c r="A144">
        <v>332</v>
      </c>
    </row>
    <row r="145" spans="1:1" x14ac:dyDescent="0.2">
      <c r="A145">
        <v>333</v>
      </c>
    </row>
    <row r="146" spans="1:1" x14ac:dyDescent="0.2">
      <c r="A146">
        <v>334</v>
      </c>
    </row>
    <row r="147" spans="1:1" x14ac:dyDescent="0.2">
      <c r="A147">
        <v>335</v>
      </c>
    </row>
    <row r="148" spans="1:1" x14ac:dyDescent="0.2">
      <c r="A148">
        <v>336</v>
      </c>
    </row>
    <row r="149" spans="1:1" x14ac:dyDescent="0.2">
      <c r="A149">
        <v>337</v>
      </c>
    </row>
    <row r="150" spans="1:1" x14ac:dyDescent="0.2">
      <c r="A150">
        <v>338</v>
      </c>
    </row>
    <row r="151" spans="1:1" x14ac:dyDescent="0.2">
      <c r="A151">
        <v>339</v>
      </c>
    </row>
    <row r="152" spans="1:1" x14ac:dyDescent="0.2">
      <c r="A152">
        <v>340</v>
      </c>
    </row>
    <row r="153" spans="1:1" x14ac:dyDescent="0.2">
      <c r="A153">
        <v>341</v>
      </c>
    </row>
    <row r="154" spans="1:1" x14ac:dyDescent="0.2">
      <c r="A154">
        <v>342</v>
      </c>
    </row>
    <row r="155" spans="1:1" x14ac:dyDescent="0.2">
      <c r="A155">
        <v>343</v>
      </c>
    </row>
    <row r="156" spans="1:1" x14ac:dyDescent="0.2">
      <c r="A156">
        <v>344</v>
      </c>
    </row>
    <row r="157" spans="1:1" x14ac:dyDescent="0.2">
      <c r="A157">
        <v>345</v>
      </c>
    </row>
    <row r="158" spans="1:1" x14ac:dyDescent="0.2">
      <c r="A158">
        <v>346</v>
      </c>
    </row>
    <row r="159" spans="1:1" x14ac:dyDescent="0.2">
      <c r="A159">
        <v>347</v>
      </c>
    </row>
    <row r="160" spans="1:1" x14ac:dyDescent="0.2">
      <c r="A160">
        <v>348</v>
      </c>
    </row>
    <row r="161" spans="1:1" x14ac:dyDescent="0.2">
      <c r="A161">
        <v>349</v>
      </c>
    </row>
    <row r="162" spans="1:1" x14ac:dyDescent="0.2">
      <c r="A162">
        <v>350</v>
      </c>
    </row>
    <row r="163" spans="1:1" x14ac:dyDescent="0.2">
      <c r="A163">
        <v>351</v>
      </c>
    </row>
    <row r="164" spans="1:1" x14ac:dyDescent="0.2">
      <c r="A164">
        <v>352</v>
      </c>
    </row>
    <row r="165" spans="1:1" x14ac:dyDescent="0.2">
      <c r="A165">
        <v>353</v>
      </c>
    </row>
    <row r="166" spans="1:1" x14ac:dyDescent="0.2">
      <c r="A166">
        <v>354</v>
      </c>
    </row>
    <row r="167" spans="1:1" x14ac:dyDescent="0.2">
      <c r="A167">
        <v>355</v>
      </c>
    </row>
    <row r="168" spans="1:1" x14ac:dyDescent="0.2">
      <c r="A168">
        <v>356</v>
      </c>
    </row>
    <row r="169" spans="1:1" x14ac:dyDescent="0.2">
      <c r="A169">
        <v>357</v>
      </c>
    </row>
    <row r="170" spans="1:1" x14ac:dyDescent="0.2">
      <c r="A170">
        <v>358</v>
      </c>
    </row>
    <row r="171" spans="1:1" x14ac:dyDescent="0.2">
      <c r="A171">
        <v>359</v>
      </c>
    </row>
    <row r="172" spans="1:1" x14ac:dyDescent="0.2">
      <c r="A172">
        <v>360</v>
      </c>
    </row>
    <row r="173" spans="1:1" x14ac:dyDescent="0.2">
      <c r="A173">
        <v>361</v>
      </c>
    </row>
    <row r="174" spans="1:1" x14ac:dyDescent="0.2">
      <c r="A174">
        <v>362</v>
      </c>
    </row>
    <row r="175" spans="1:1" x14ac:dyDescent="0.2">
      <c r="A175">
        <v>363</v>
      </c>
    </row>
    <row r="176" spans="1:1" x14ac:dyDescent="0.2">
      <c r="A176">
        <v>364</v>
      </c>
    </row>
    <row r="177" spans="1:1" x14ac:dyDescent="0.2">
      <c r="A177">
        <v>365</v>
      </c>
    </row>
    <row r="178" spans="1:1" x14ac:dyDescent="0.2">
      <c r="A178">
        <v>366</v>
      </c>
    </row>
    <row r="179" spans="1:1" x14ac:dyDescent="0.2">
      <c r="A179">
        <v>367</v>
      </c>
    </row>
    <row r="180" spans="1:1" x14ac:dyDescent="0.2">
      <c r="A180">
        <v>368</v>
      </c>
    </row>
    <row r="181" spans="1:1" x14ac:dyDescent="0.2">
      <c r="A181">
        <v>369</v>
      </c>
    </row>
    <row r="182" spans="1:1" x14ac:dyDescent="0.2">
      <c r="A182">
        <v>370</v>
      </c>
    </row>
    <row r="183" spans="1:1" x14ac:dyDescent="0.2">
      <c r="A183">
        <v>371</v>
      </c>
    </row>
    <row r="184" spans="1:1" x14ac:dyDescent="0.2">
      <c r="A184">
        <v>372</v>
      </c>
    </row>
    <row r="185" spans="1:1" x14ac:dyDescent="0.2">
      <c r="A185">
        <v>373</v>
      </c>
    </row>
    <row r="186" spans="1:1" x14ac:dyDescent="0.2">
      <c r="A186">
        <v>374</v>
      </c>
    </row>
    <row r="187" spans="1:1" x14ac:dyDescent="0.2">
      <c r="A187">
        <v>375</v>
      </c>
    </row>
    <row r="188" spans="1:1" x14ac:dyDescent="0.2">
      <c r="A188">
        <v>376</v>
      </c>
    </row>
    <row r="189" spans="1:1" x14ac:dyDescent="0.2">
      <c r="A189">
        <v>377</v>
      </c>
    </row>
    <row r="190" spans="1:1" x14ac:dyDescent="0.2">
      <c r="A190">
        <v>378</v>
      </c>
    </row>
    <row r="191" spans="1:1" x14ac:dyDescent="0.2">
      <c r="A191">
        <v>379</v>
      </c>
    </row>
    <row r="192" spans="1:1" x14ac:dyDescent="0.2">
      <c r="A192">
        <v>380</v>
      </c>
    </row>
    <row r="193" spans="1:1" x14ac:dyDescent="0.2">
      <c r="A193">
        <v>381</v>
      </c>
    </row>
    <row r="194" spans="1:1" x14ac:dyDescent="0.2">
      <c r="A194">
        <v>382</v>
      </c>
    </row>
    <row r="195" spans="1:1" x14ac:dyDescent="0.2">
      <c r="A195">
        <v>383</v>
      </c>
    </row>
    <row r="196" spans="1:1" x14ac:dyDescent="0.2">
      <c r="A196">
        <v>384</v>
      </c>
    </row>
    <row r="197" spans="1:1" x14ac:dyDescent="0.2">
      <c r="A197">
        <v>385</v>
      </c>
    </row>
    <row r="198" spans="1:1" x14ac:dyDescent="0.2">
      <c r="A198">
        <v>386</v>
      </c>
    </row>
    <row r="199" spans="1:1" x14ac:dyDescent="0.2">
      <c r="A199">
        <v>387</v>
      </c>
    </row>
    <row r="200" spans="1:1" x14ac:dyDescent="0.2">
      <c r="A200">
        <v>388</v>
      </c>
    </row>
    <row r="201" spans="1:1" x14ac:dyDescent="0.2">
      <c r="A201">
        <v>389</v>
      </c>
    </row>
    <row r="202" spans="1:1" x14ac:dyDescent="0.2">
      <c r="A202">
        <v>390</v>
      </c>
    </row>
    <row r="203" spans="1:1" x14ac:dyDescent="0.2">
      <c r="A203">
        <v>391</v>
      </c>
    </row>
    <row r="204" spans="1:1" x14ac:dyDescent="0.2">
      <c r="A204">
        <v>392</v>
      </c>
    </row>
    <row r="205" spans="1:1" x14ac:dyDescent="0.2">
      <c r="A205">
        <v>393</v>
      </c>
    </row>
    <row r="206" spans="1:1" x14ac:dyDescent="0.2">
      <c r="A206">
        <v>394</v>
      </c>
    </row>
    <row r="207" spans="1:1" x14ac:dyDescent="0.2">
      <c r="A207">
        <v>395</v>
      </c>
    </row>
    <row r="208" spans="1:1" x14ac:dyDescent="0.2">
      <c r="A208">
        <v>396</v>
      </c>
    </row>
    <row r="209" spans="1:1" x14ac:dyDescent="0.2">
      <c r="A209">
        <v>397</v>
      </c>
    </row>
    <row r="210" spans="1:1" x14ac:dyDescent="0.2">
      <c r="A210">
        <v>398</v>
      </c>
    </row>
    <row r="211" spans="1:1" x14ac:dyDescent="0.2">
      <c r="A211">
        <v>399</v>
      </c>
    </row>
    <row r="212" spans="1:1" x14ac:dyDescent="0.2">
      <c r="A212">
        <v>400</v>
      </c>
    </row>
    <row r="213" spans="1:1" x14ac:dyDescent="0.2">
      <c r="A213">
        <v>401</v>
      </c>
    </row>
    <row r="214" spans="1:1" x14ac:dyDescent="0.2">
      <c r="A214">
        <v>402</v>
      </c>
    </row>
    <row r="215" spans="1:1" x14ac:dyDescent="0.2">
      <c r="A215">
        <v>403</v>
      </c>
    </row>
    <row r="216" spans="1:1" x14ac:dyDescent="0.2">
      <c r="A216">
        <v>404</v>
      </c>
    </row>
    <row r="217" spans="1:1" x14ac:dyDescent="0.2">
      <c r="A217">
        <v>405</v>
      </c>
    </row>
    <row r="218" spans="1:1" x14ac:dyDescent="0.2">
      <c r="A218">
        <v>406</v>
      </c>
    </row>
    <row r="219" spans="1:1" x14ac:dyDescent="0.2">
      <c r="A219">
        <v>407</v>
      </c>
    </row>
    <row r="220" spans="1:1" x14ac:dyDescent="0.2">
      <c r="A220">
        <v>408</v>
      </c>
    </row>
    <row r="221" spans="1:1" x14ac:dyDescent="0.2">
      <c r="A221">
        <v>409</v>
      </c>
    </row>
    <row r="222" spans="1:1" x14ac:dyDescent="0.2">
      <c r="A222">
        <v>410</v>
      </c>
    </row>
    <row r="223" spans="1:1" x14ac:dyDescent="0.2">
      <c r="A223">
        <v>411</v>
      </c>
    </row>
    <row r="224" spans="1:1" x14ac:dyDescent="0.2">
      <c r="A224">
        <v>412</v>
      </c>
    </row>
    <row r="225" spans="1:1" x14ac:dyDescent="0.2">
      <c r="A225">
        <v>413</v>
      </c>
    </row>
    <row r="226" spans="1:1" x14ac:dyDescent="0.2">
      <c r="A226">
        <v>414</v>
      </c>
    </row>
    <row r="227" spans="1:1" x14ac:dyDescent="0.2">
      <c r="A227">
        <v>415</v>
      </c>
    </row>
    <row r="228" spans="1:1" x14ac:dyDescent="0.2">
      <c r="A228">
        <v>416</v>
      </c>
    </row>
    <row r="229" spans="1:1" x14ac:dyDescent="0.2">
      <c r="A229">
        <v>417</v>
      </c>
    </row>
    <row r="230" spans="1:1" x14ac:dyDescent="0.2">
      <c r="A230">
        <v>418</v>
      </c>
    </row>
    <row r="231" spans="1:1" x14ac:dyDescent="0.2">
      <c r="A231">
        <v>419</v>
      </c>
    </row>
    <row r="232" spans="1:1" x14ac:dyDescent="0.2">
      <c r="A232">
        <v>420</v>
      </c>
    </row>
    <row r="233" spans="1:1" x14ac:dyDescent="0.2">
      <c r="A233">
        <v>421</v>
      </c>
    </row>
    <row r="234" spans="1:1" x14ac:dyDescent="0.2">
      <c r="A234">
        <v>422</v>
      </c>
    </row>
    <row r="235" spans="1:1" x14ac:dyDescent="0.2">
      <c r="A235">
        <v>423</v>
      </c>
    </row>
    <row r="236" spans="1:1" x14ac:dyDescent="0.2">
      <c r="A236">
        <v>424</v>
      </c>
    </row>
    <row r="237" spans="1:1" x14ac:dyDescent="0.2">
      <c r="A237">
        <v>425</v>
      </c>
    </row>
    <row r="238" spans="1:1" x14ac:dyDescent="0.2">
      <c r="A238">
        <v>426</v>
      </c>
    </row>
    <row r="239" spans="1:1" x14ac:dyDescent="0.2">
      <c r="A239">
        <v>427</v>
      </c>
    </row>
    <row r="240" spans="1:1" x14ac:dyDescent="0.2">
      <c r="A240">
        <v>428</v>
      </c>
    </row>
    <row r="241" spans="1:1" x14ac:dyDescent="0.2">
      <c r="A241">
        <v>429</v>
      </c>
    </row>
    <row r="242" spans="1:1" x14ac:dyDescent="0.2">
      <c r="A242">
        <v>430</v>
      </c>
    </row>
    <row r="243" spans="1:1" x14ac:dyDescent="0.2">
      <c r="A243">
        <v>431</v>
      </c>
    </row>
    <row r="244" spans="1:1" x14ac:dyDescent="0.2">
      <c r="A244">
        <v>432</v>
      </c>
    </row>
    <row r="245" spans="1:1" x14ac:dyDescent="0.2">
      <c r="A245">
        <v>433</v>
      </c>
    </row>
    <row r="246" spans="1:1" x14ac:dyDescent="0.2">
      <c r="A246">
        <v>434</v>
      </c>
    </row>
    <row r="247" spans="1:1" x14ac:dyDescent="0.2">
      <c r="A247">
        <v>435</v>
      </c>
    </row>
    <row r="248" spans="1:1" x14ac:dyDescent="0.2">
      <c r="A248">
        <v>436</v>
      </c>
    </row>
    <row r="249" spans="1:1" x14ac:dyDescent="0.2">
      <c r="A249">
        <v>437</v>
      </c>
    </row>
    <row r="250" spans="1:1" x14ac:dyDescent="0.2">
      <c r="A250">
        <v>438</v>
      </c>
    </row>
    <row r="251" spans="1:1" x14ac:dyDescent="0.2">
      <c r="A251">
        <v>439</v>
      </c>
    </row>
    <row r="252" spans="1:1" x14ac:dyDescent="0.2">
      <c r="A252">
        <v>440</v>
      </c>
    </row>
    <row r="253" spans="1:1" x14ac:dyDescent="0.2">
      <c r="A253">
        <v>441</v>
      </c>
    </row>
    <row r="254" spans="1:1" x14ac:dyDescent="0.2">
      <c r="A254">
        <v>442</v>
      </c>
    </row>
    <row r="255" spans="1:1" x14ac:dyDescent="0.2">
      <c r="A255">
        <v>443</v>
      </c>
    </row>
    <row r="256" spans="1:1" x14ac:dyDescent="0.2">
      <c r="A256">
        <v>444</v>
      </c>
    </row>
    <row r="257" spans="1:1" x14ac:dyDescent="0.2">
      <c r="A257">
        <v>445</v>
      </c>
    </row>
    <row r="258" spans="1:1" x14ac:dyDescent="0.2">
      <c r="A258">
        <v>446</v>
      </c>
    </row>
    <row r="259" spans="1:1" x14ac:dyDescent="0.2">
      <c r="A259">
        <v>447</v>
      </c>
    </row>
    <row r="260" spans="1:1" x14ac:dyDescent="0.2">
      <c r="A260">
        <v>448</v>
      </c>
    </row>
    <row r="261" spans="1:1" x14ac:dyDescent="0.2">
      <c r="A261">
        <v>449</v>
      </c>
    </row>
    <row r="262" spans="1:1" x14ac:dyDescent="0.2">
      <c r="A262">
        <v>450</v>
      </c>
    </row>
    <row r="263" spans="1:1" x14ac:dyDescent="0.2">
      <c r="A263">
        <v>451</v>
      </c>
    </row>
    <row r="264" spans="1:1" x14ac:dyDescent="0.2">
      <c r="A264">
        <v>452</v>
      </c>
    </row>
    <row r="265" spans="1:1" x14ac:dyDescent="0.2">
      <c r="A265">
        <v>453</v>
      </c>
    </row>
    <row r="266" spans="1:1" x14ac:dyDescent="0.2">
      <c r="A266">
        <v>454</v>
      </c>
    </row>
    <row r="267" spans="1:1" x14ac:dyDescent="0.2">
      <c r="A267">
        <v>455</v>
      </c>
    </row>
    <row r="268" spans="1:1" x14ac:dyDescent="0.2">
      <c r="A268">
        <v>456</v>
      </c>
    </row>
    <row r="269" spans="1:1" x14ac:dyDescent="0.2">
      <c r="A269">
        <v>457</v>
      </c>
    </row>
    <row r="270" spans="1:1" x14ac:dyDescent="0.2">
      <c r="A270">
        <v>458</v>
      </c>
    </row>
    <row r="271" spans="1:1" x14ac:dyDescent="0.2">
      <c r="A271">
        <v>459</v>
      </c>
    </row>
    <row r="272" spans="1:1" x14ac:dyDescent="0.2">
      <c r="A272">
        <v>460</v>
      </c>
    </row>
    <row r="273" spans="1:1" x14ac:dyDescent="0.2">
      <c r="A273">
        <v>461</v>
      </c>
    </row>
    <row r="274" spans="1:1" x14ac:dyDescent="0.2">
      <c r="A274">
        <v>462</v>
      </c>
    </row>
    <row r="275" spans="1:1" x14ac:dyDescent="0.2">
      <c r="A275">
        <v>463</v>
      </c>
    </row>
    <row r="276" spans="1:1" x14ac:dyDescent="0.2">
      <c r="A276">
        <v>464</v>
      </c>
    </row>
    <row r="277" spans="1:1" x14ac:dyDescent="0.2">
      <c r="A277">
        <v>465</v>
      </c>
    </row>
    <row r="278" spans="1:1" x14ac:dyDescent="0.2">
      <c r="A278">
        <v>466</v>
      </c>
    </row>
    <row r="279" spans="1:1" x14ac:dyDescent="0.2">
      <c r="A279">
        <v>467</v>
      </c>
    </row>
    <row r="280" spans="1:1" x14ac:dyDescent="0.2">
      <c r="A280">
        <v>468</v>
      </c>
    </row>
    <row r="281" spans="1:1" x14ac:dyDescent="0.2">
      <c r="A281">
        <v>469</v>
      </c>
    </row>
    <row r="282" spans="1:1" x14ac:dyDescent="0.2">
      <c r="A282">
        <v>470</v>
      </c>
    </row>
    <row r="283" spans="1:1" x14ac:dyDescent="0.2">
      <c r="A283">
        <v>471</v>
      </c>
    </row>
    <row r="284" spans="1:1" x14ac:dyDescent="0.2">
      <c r="A284">
        <v>472</v>
      </c>
    </row>
    <row r="285" spans="1:1" x14ac:dyDescent="0.2">
      <c r="A285">
        <v>473</v>
      </c>
    </row>
    <row r="286" spans="1:1" x14ac:dyDescent="0.2">
      <c r="A286">
        <v>474</v>
      </c>
    </row>
    <row r="287" spans="1:1" x14ac:dyDescent="0.2">
      <c r="A287">
        <v>475</v>
      </c>
    </row>
    <row r="288" spans="1:1" x14ac:dyDescent="0.2">
      <c r="A288">
        <v>476</v>
      </c>
    </row>
    <row r="289" spans="1:1" x14ac:dyDescent="0.2">
      <c r="A289">
        <v>477</v>
      </c>
    </row>
    <row r="290" spans="1:1" x14ac:dyDescent="0.2">
      <c r="A290">
        <v>478</v>
      </c>
    </row>
    <row r="291" spans="1:1" x14ac:dyDescent="0.2">
      <c r="A291">
        <v>479</v>
      </c>
    </row>
    <row r="292" spans="1:1" x14ac:dyDescent="0.2">
      <c r="A292">
        <v>480</v>
      </c>
    </row>
    <row r="293" spans="1:1" x14ac:dyDescent="0.2">
      <c r="A293">
        <v>481</v>
      </c>
    </row>
    <row r="294" spans="1:1" x14ac:dyDescent="0.2">
      <c r="A294">
        <v>482</v>
      </c>
    </row>
    <row r="295" spans="1:1" x14ac:dyDescent="0.2">
      <c r="A295">
        <v>483</v>
      </c>
    </row>
    <row r="296" spans="1:1" x14ac:dyDescent="0.2">
      <c r="A296">
        <v>484</v>
      </c>
    </row>
    <row r="297" spans="1:1" x14ac:dyDescent="0.2">
      <c r="A297">
        <v>485</v>
      </c>
    </row>
    <row r="298" spans="1:1" x14ac:dyDescent="0.2">
      <c r="A298">
        <v>486</v>
      </c>
    </row>
    <row r="299" spans="1:1" x14ac:dyDescent="0.2">
      <c r="A299">
        <v>487</v>
      </c>
    </row>
    <row r="300" spans="1:1" x14ac:dyDescent="0.2">
      <c r="A300">
        <v>488</v>
      </c>
    </row>
    <row r="301" spans="1:1" x14ac:dyDescent="0.2">
      <c r="A301">
        <v>489</v>
      </c>
    </row>
    <row r="302" spans="1:1" x14ac:dyDescent="0.2">
      <c r="A302">
        <v>490</v>
      </c>
    </row>
    <row r="303" spans="1:1" x14ac:dyDescent="0.2">
      <c r="A303">
        <v>491</v>
      </c>
    </row>
    <row r="304" spans="1:1" x14ac:dyDescent="0.2">
      <c r="A304">
        <v>492</v>
      </c>
    </row>
    <row r="305" spans="1:1" x14ac:dyDescent="0.2">
      <c r="A305">
        <v>493</v>
      </c>
    </row>
    <row r="306" spans="1:1" x14ac:dyDescent="0.2">
      <c r="A306">
        <v>494</v>
      </c>
    </row>
    <row r="307" spans="1:1" x14ac:dyDescent="0.2">
      <c r="A307">
        <v>495</v>
      </c>
    </row>
    <row r="308" spans="1:1" x14ac:dyDescent="0.2">
      <c r="A308">
        <v>496</v>
      </c>
    </row>
    <row r="309" spans="1:1" x14ac:dyDescent="0.2">
      <c r="A309">
        <v>497</v>
      </c>
    </row>
    <row r="310" spans="1:1" x14ac:dyDescent="0.2">
      <c r="A310">
        <v>498</v>
      </c>
    </row>
    <row r="311" spans="1:1" x14ac:dyDescent="0.2">
      <c r="A311">
        <v>499</v>
      </c>
    </row>
    <row r="312" spans="1:1" x14ac:dyDescent="0.2">
      <c r="A312">
        <v>500</v>
      </c>
    </row>
    <row r="313" spans="1:1" x14ac:dyDescent="0.2">
      <c r="A313">
        <v>501</v>
      </c>
    </row>
    <row r="314" spans="1:1" x14ac:dyDescent="0.2">
      <c r="A314">
        <v>502</v>
      </c>
    </row>
    <row r="315" spans="1:1" x14ac:dyDescent="0.2">
      <c r="A315">
        <v>503</v>
      </c>
    </row>
    <row r="316" spans="1:1" x14ac:dyDescent="0.2">
      <c r="A316">
        <v>504</v>
      </c>
    </row>
    <row r="317" spans="1:1" x14ac:dyDescent="0.2">
      <c r="A317">
        <v>505</v>
      </c>
    </row>
    <row r="318" spans="1:1" x14ac:dyDescent="0.2">
      <c r="A318">
        <v>506</v>
      </c>
    </row>
    <row r="319" spans="1:1" x14ac:dyDescent="0.2">
      <c r="A319">
        <v>507</v>
      </c>
    </row>
    <row r="320" spans="1:1" x14ac:dyDescent="0.2">
      <c r="A320">
        <v>508</v>
      </c>
    </row>
    <row r="321" spans="1:1" x14ac:dyDescent="0.2">
      <c r="A321">
        <v>509</v>
      </c>
    </row>
    <row r="322" spans="1:1" x14ac:dyDescent="0.2">
      <c r="A322">
        <v>510</v>
      </c>
    </row>
    <row r="323" spans="1:1" x14ac:dyDescent="0.2">
      <c r="A323">
        <v>511</v>
      </c>
    </row>
    <row r="324" spans="1:1" x14ac:dyDescent="0.2">
      <c r="A324">
        <v>512</v>
      </c>
    </row>
    <row r="325" spans="1:1" x14ac:dyDescent="0.2">
      <c r="A325">
        <v>513</v>
      </c>
    </row>
    <row r="326" spans="1:1" x14ac:dyDescent="0.2">
      <c r="A326">
        <v>514</v>
      </c>
    </row>
    <row r="327" spans="1:1" x14ac:dyDescent="0.2">
      <c r="A327">
        <v>515</v>
      </c>
    </row>
    <row r="328" spans="1:1" x14ac:dyDescent="0.2">
      <c r="A328">
        <v>516</v>
      </c>
    </row>
    <row r="329" spans="1:1" x14ac:dyDescent="0.2">
      <c r="A329">
        <v>517</v>
      </c>
    </row>
    <row r="330" spans="1:1" x14ac:dyDescent="0.2">
      <c r="A330">
        <v>518</v>
      </c>
    </row>
    <row r="331" spans="1:1" x14ac:dyDescent="0.2">
      <c r="A331">
        <v>519</v>
      </c>
    </row>
    <row r="332" spans="1:1" x14ac:dyDescent="0.2">
      <c r="A332">
        <v>520</v>
      </c>
    </row>
    <row r="333" spans="1:1" x14ac:dyDescent="0.2">
      <c r="A333">
        <v>521</v>
      </c>
    </row>
    <row r="334" spans="1:1" x14ac:dyDescent="0.2">
      <c r="A334">
        <v>522</v>
      </c>
    </row>
    <row r="335" spans="1:1" x14ac:dyDescent="0.2">
      <c r="A335">
        <v>523</v>
      </c>
    </row>
    <row r="336" spans="1:1" x14ac:dyDescent="0.2">
      <c r="A336">
        <v>524</v>
      </c>
    </row>
    <row r="337" spans="1:1" x14ac:dyDescent="0.2">
      <c r="A337">
        <v>525</v>
      </c>
    </row>
    <row r="338" spans="1:1" x14ac:dyDescent="0.2">
      <c r="A338">
        <v>526</v>
      </c>
    </row>
    <row r="339" spans="1:1" x14ac:dyDescent="0.2">
      <c r="A339">
        <v>527</v>
      </c>
    </row>
    <row r="340" spans="1:1" x14ac:dyDescent="0.2">
      <c r="A340">
        <v>528</v>
      </c>
    </row>
    <row r="341" spans="1:1" x14ac:dyDescent="0.2">
      <c r="A341">
        <v>529</v>
      </c>
    </row>
    <row r="342" spans="1:1" x14ac:dyDescent="0.2">
      <c r="A342">
        <v>530</v>
      </c>
    </row>
    <row r="343" spans="1:1" x14ac:dyDescent="0.2">
      <c r="A343">
        <v>531</v>
      </c>
    </row>
    <row r="344" spans="1:1" x14ac:dyDescent="0.2">
      <c r="A344">
        <v>532</v>
      </c>
    </row>
    <row r="345" spans="1:1" x14ac:dyDescent="0.2">
      <c r="A345">
        <v>533</v>
      </c>
    </row>
    <row r="346" spans="1:1" x14ac:dyDescent="0.2">
      <c r="A346">
        <v>534</v>
      </c>
    </row>
    <row r="347" spans="1:1" x14ac:dyDescent="0.2">
      <c r="A347">
        <v>535</v>
      </c>
    </row>
    <row r="348" spans="1:1" x14ac:dyDescent="0.2">
      <c r="A348">
        <v>536</v>
      </c>
    </row>
    <row r="349" spans="1:1" x14ac:dyDescent="0.2">
      <c r="A349">
        <v>537</v>
      </c>
    </row>
    <row r="350" spans="1:1" x14ac:dyDescent="0.2">
      <c r="A350">
        <v>538</v>
      </c>
    </row>
    <row r="351" spans="1:1" x14ac:dyDescent="0.2">
      <c r="A351">
        <v>539</v>
      </c>
    </row>
    <row r="352" spans="1:1" x14ac:dyDescent="0.2">
      <c r="A352">
        <v>540</v>
      </c>
    </row>
    <row r="353" spans="1:1" x14ac:dyDescent="0.2">
      <c r="A353">
        <v>541</v>
      </c>
    </row>
    <row r="354" spans="1:1" x14ac:dyDescent="0.2">
      <c r="A354">
        <v>542</v>
      </c>
    </row>
    <row r="355" spans="1:1" x14ac:dyDescent="0.2">
      <c r="A355">
        <v>543</v>
      </c>
    </row>
    <row r="356" spans="1:1" x14ac:dyDescent="0.2">
      <c r="A356">
        <v>544</v>
      </c>
    </row>
    <row r="357" spans="1:1" x14ac:dyDescent="0.2">
      <c r="A357">
        <v>545</v>
      </c>
    </row>
    <row r="358" spans="1:1" x14ac:dyDescent="0.2">
      <c r="A358">
        <v>546</v>
      </c>
    </row>
    <row r="359" spans="1:1" x14ac:dyDescent="0.2">
      <c r="A359">
        <v>547</v>
      </c>
    </row>
    <row r="360" spans="1:1" x14ac:dyDescent="0.2">
      <c r="A360">
        <v>548</v>
      </c>
    </row>
    <row r="361" spans="1:1" x14ac:dyDescent="0.2">
      <c r="A361">
        <v>549</v>
      </c>
    </row>
    <row r="362" spans="1:1" x14ac:dyDescent="0.2">
      <c r="A362">
        <v>550</v>
      </c>
    </row>
    <row r="363" spans="1:1" x14ac:dyDescent="0.2">
      <c r="A363">
        <v>551</v>
      </c>
    </row>
    <row r="364" spans="1:1" x14ac:dyDescent="0.2">
      <c r="A364">
        <v>552</v>
      </c>
    </row>
    <row r="365" spans="1:1" x14ac:dyDescent="0.2">
      <c r="A365">
        <v>553</v>
      </c>
    </row>
    <row r="366" spans="1:1" x14ac:dyDescent="0.2">
      <c r="A366">
        <v>554</v>
      </c>
    </row>
    <row r="367" spans="1:1" x14ac:dyDescent="0.2">
      <c r="A367">
        <v>555</v>
      </c>
    </row>
    <row r="368" spans="1:1" x14ac:dyDescent="0.2">
      <c r="A368">
        <v>556</v>
      </c>
    </row>
    <row r="369" spans="1:1" x14ac:dyDescent="0.2">
      <c r="A369">
        <v>557</v>
      </c>
    </row>
    <row r="370" spans="1:1" x14ac:dyDescent="0.2">
      <c r="A370">
        <v>558</v>
      </c>
    </row>
    <row r="371" spans="1:1" x14ac:dyDescent="0.2">
      <c r="A371">
        <v>559</v>
      </c>
    </row>
    <row r="372" spans="1:1" x14ac:dyDescent="0.2">
      <c r="A372">
        <v>560</v>
      </c>
    </row>
    <row r="373" spans="1:1" x14ac:dyDescent="0.2">
      <c r="A373">
        <v>561</v>
      </c>
    </row>
    <row r="374" spans="1:1" x14ac:dyDescent="0.2">
      <c r="A374">
        <v>562</v>
      </c>
    </row>
    <row r="375" spans="1:1" x14ac:dyDescent="0.2">
      <c r="A375">
        <v>563</v>
      </c>
    </row>
    <row r="376" spans="1:1" x14ac:dyDescent="0.2">
      <c r="A376">
        <v>564</v>
      </c>
    </row>
    <row r="377" spans="1:1" x14ac:dyDescent="0.2">
      <c r="A377">
        <v>565</v>
      </c>
    </row>
    <row r="378" spans="1:1" x14ac:dyDescent="0.2">
      <c r="A378">
        <v>566</v>
      </c>
    </row>
    <row r="379" spans="1:1" x14ac:dyDescent="0.2">
      <c r="A379">
        <v>567</v>
      </c>
    </row>
    <row r="380" spans="1:1" x14ac:dyDescent="0.2">
      <c r="A380">
        <v>568</v>
      </c>
    </row>
    <row r="381" spans="1:1" x14ac:dyDescent="0.2">
      <c r="A381">
        <v>569</v>
      </c>
    </row>
    <row r="382" spans="1:1" x14ac:dyDescent="0.2">
      <c r="A382">
        <v>570</v>
      </c>
    </row>
    <row r="383" spans="1:1" x14ac:dyDescent="0.2">
      <c r="A383">
        <v>571</v>
      </c>
    </row>
    <row r="384" spans="1:1" x14ac:dyDescent="0.2">
      <c r="A384">
        <v>572</v>
      </c>
    </row>
    <row r="385" spans="1:1" x14ac:dyDescent="0.2">
      <c r="A385">
        <v>573</v>
      </c>
    </row>
    <row r="386" spans="1:1" x14ac:dyDescent="0.2">
      <c r="A386">
        <v>574</v>
      </c>
    </row>
    <row r="387" spans="1:1" x14ac:dyDescent="0.2">
      <c r="A387">
        <v>575</v>
      </c>
    </row>
    <row r="388" spans="1:1" x14ac:dyDescent="0.2">
      <c r="A388">
        <v>576</v>
      </c>
    </row>
    <row r="389" spans="1:1" x14ac:dyDescent="0.2">
      <c r="A389">
        <v>577</v>
      </c>
    </row>
    <row r="390" spans="1:1" x14ac:dyDescent="0.2">
      <c r="A390">
        <v>578</v>
      </c>
    </row>
    <row r="391" spans="1:1" x14ac:dyDescent="0.2">
      <c r="A391">
        <v>579</v>
      </c>
    </row>
    <row r="392" spans="1:1" x14ac:dyDescent="0.2">
      <c r="A392">
        <v>580</v>
      </c>
    </row>
    <row r="393" spans="1:1" x14ac:dyDescent="0.2">
      <c r="A393">
        <v>581</v>
      </c>
    </row>
    <row r="394" spans="1:1" x14ac:dyDescent="0.2">
      <c r="A394">
        <v>582</v>
      </c>
    </row>
    <row r="395" spans="1:1" x14ac:dyDescent="0.2">
      <c r="A395">
        <v>583</v>
      </c>
    </row>
    <row r="396" spans="1:1" x14ac:dyDescent="0.2">
      <c r="A396">
        <v>584</v>
      </c>
    </row>
    <row r="397" spans="1:1" x14ac:dyDescent="0.2">
      <c r="A397">
        <v>585</v>
      </c>
    </row>
    <row r="398" spans="1:1" x14ac:dyDescent="0.2">
      <c r="A398">
        <v>586</v>
      </c>
    </row>
    <row r="399" spans="1:1" x14ac:dyDescent="0.2">
      <c r="A399">
        <v>587</v>
      </c>
    </row>
    <row r="400" spans="1:1" x14ac:dyDescent="0.2">
      <c r="A400">
        <v>588</v>
      </c>
    </row>
    <row r="401" spans="1:1" x14ac:dyDescent="0.2">
      <c r="A401">
        <v>589</v>
      </c>
    </row>
    <row r="402" spans="1:1" x14ac:dyDescent="0.2">
      <c r="A402">
        <v>590</v>
      </c>
    </row>
    <row r="403" spans="1:1" x14ac:dyDescent="0.2">
      <c r="A403">
        <v>591</v>
      </c>
    </row>
    <row r="404" spans="1:1" x14ac:dyDescent="0.2">
      <c r="A404">
        <v>592</v>
      </c>
    </row>
    <row r="405" spans="1:1" x14ac:dyDescent="0.2">
      <c r="A405">
        <v>593</v>
      </c>
    </row>
    <row r="406" spans="1:1" x14ac:dyDescent="0.2">
      <c r="A406">
        <v>594</v>
      </c>
    </row>
    <row r="407" spans="1:1" x14ac:dyDescent="0.2">
      <c r="A407">
        <v>595</v>
      </c>
    </row>
    <row r="408" spans="1:1" x14ac:dyDescent="0.2">
      <c r="A408">
        <v>596</v>
      </c>
    </row>
    <row r="409" spans="1:1" x14ac:dyDescent="0.2">
      <c r="A409">
        <v>597</v>
      </c>
    </row>
    <row r="410" spans="1:1" x14ac:dyDescent="0.2">
      <c r="A410">
        <v>598</v>
      </c>
    </row>
    <row r="411" spans="1:1" x14ac:dyDescent="0.2">
      <c r="A411">
        <v>599</v>
      </c>
    </row>
    <row r="412" spans="1:1" x14ac:dyDescent="0.2">
      <c r="A412">
        <v>600</v>
      </c>
    </row>
    <row r="413" spans="1:1" x14ac:dyDescent="0.2">
      <c r="A413">
        <v>601</v>
      </c>
    </row>
    <row r="414" spans="1:1" x14ac:dyDescent="0.2">
      <c r="A414">
        <v>602</v>
      </c>
    </row>
    <row r="415" spans="1:1" x14ac:dyDescent="0.2">
      <c r="A415">
        <v>603</v>
      </c>
    </row>
    <row r="416" spans="1:1" x14ac:dyDescent="0.2">
      <c r="A416">
        <v>604</v>
      </c>
    </row>
    <row r="417" spans="1:1" x14ac:dyDescent="0.2">
      <c r="A417">
        <v>605</v>
      </c>
    </row>
    <row r="418" spans="1:1" x14ac:dyDescent="0.2">
      <c r="A418">
        <v>606</v>
      </c>
    </row>
    <row r="419" spans="1:1" x14ac:dyDescent="0.2">
      <c r="A419">
        <v>607</v>
      </c>
    </row>
    <row r="420" spans="1:1" x14ac:dyDescent="0.2">
      <c r="A420">
        <v>608</v>
      </c>
    </row>
    <row r="421" spans="1:1" x14ac:dyDescent="0.2">
      <c r="A421">
        <v>609</v>
      </c>
    </row>
    <row r="422" spans="1:1" x14ac:dyDescent="0.2">
      <c r="A422">
        <v>610</v>
      </c>
    </row>
    <row r="423" spans="1:1" x14ac:dyDescent="0.2">
      <c r="A423">
        <v>611</v>
      </c>
    </row>
    <row r="424" spans="1:1" x14ac:dyDescent="0.2">
      <c r="A424">
        <v>612</v>
      </c>
    </row>
    <row r="425" spans="1:1" x14ac:dyDescent="0.2">
      <c r="A425">
        <v>613</v>
      </c>
    </row>
    <row r="426" spans="1:1" x14ac:dyDescent="0.2">
      <c r="A426">
        <v>614</v>
      </c>
    </row>
    <row r="427" spans="1:1" x14ac:dyDescent="0.2">
      <c r="A427">
        <v>615</v>
      </c>
    </row>
    <row r="428" spans="1:1" x14ac:dyDescent="0.2">
      <c r="A428">
        <v>616</v>
      </c>
    </row>
    <row r="429" spans="1:1" x14ac:dyDescent="0.2">
      <c r="A429">
        <v>617</v>
      </c>
    </row>
    <row r="430" spans="1:1" x14ac:dyDescent="0.2">
      <c r="A430">
        <v>618</v>
      </c>
    </row>
    <row r="431" spans="1:1" x14ac:dyDescent="0.2">
      <c r="A431">
        <v>619</v>
      </c>
    </row>
    <row r="432" spans="1:1" x14ac:dyDescent="0.2">
      <c r="A432">
        <v>620</v>
      </c>
    </row>
    <row r="433" spans="1:1" x14ac:dyDescent="0.2">
      <c r="A433">
        <v>621</v>
      </c>
    </row>
    <row r="434" spans="1:1" x14ac:dyDescent="0.2">
      <c r="A434">
        <v>622</v>
      </c>
    </row>
    <row r="435" spans="1:1" x14ac:dyDescent="0.2">
      <c r="A435">
        <v>623</v>
      </c>
    </row>
    <row r="436" spans="1:1" x14ac:dyDescent="0.2">
      <c r="A436">
        <v>624</v>
      </c>
    </row>
    <row r="437" spans="1:1" x14ac:dyDescent="0.2">
      <c r="A437">
        <v>625</v>
      </c>
    </row>
    <row r="438" spans="1:1" x14ac:dyDescent="0.2">
      <c r="A438">
        <v>626</v>
      </c>
    </row>
    <row r="439" spans="1:1" x14ac:dyDescent="0.2">
      <c r="A439">
        <v>627</v>
      </c>
    </row>
    <row r="440" spans="1:1" x14ac:dyDescent="0.2">
      <c r="A440">
        <v>628</v>
      </c>
    </row>
    <row r="441" spans="1:1" x14ac:dyDescent="0.2">
      <c r="A441">
        <v>629</v>
      </c>
    </row>
    <row r="442" spans="1:1" x14ac:dyDescent="0.2">
      <c r="A442">
        <v>630</v>
      </c>
    </row>
    <row r="443" spans="1:1" x14ac:dyDescent="0.2">
      <c r="A443">
        <v>631</v>
      </c>
    </row>
    <row r="444" spans="1:1" x14ac:dyDescent="0.2">
      <c r="A444">
        <v>632</v>
      </c>
    </row>
    <row r="445" spans="1:1" x14ac:dyDescent="0.2">
      <c r="A445">
        <v>633</v>
      </c>
    </row>
    <row r="446" spans="1:1" x14ac:dyDescent="0.2">
      <c r="A446">
        <v>634</v>
      </c>
    </row>
    <row r="447" spans="1:1" x14ac:dyDescent="0.2">
      <c r="A447">
        <v>635</v>
      </c>
    </row>
    <row r="448" spans="1:1" x14ac:dyDescent="0.2">
      <c r="A448">
        <v>636</v>
      </c>
    </row>
    <row r="449" spans="1:1" x14ac:dyDescent="0.2">
      <c r="A449">
        <v>637</v>
      </c>
    </row>
    <row r="450" spans="1:1" x14ac:dyDescent="0.2">
      <c r="A450">
        <v>638</v>
      </c>
    </row>
    <row r="451" spans="1:1" x14ac:dyDescent="0.2">
      <c r="A451">
        <v>639</v>
      </c>
    </row>
    <row r="452" spans="1:1" x14ac:dyDescent="0.2">
      <c r="A452">
        <v>640</v>
      </c>
    </row>
    <row r="453" spans="1:1" x14ac:dyDescent="0.2">
      <c r="A453">
        <v>641</v>
      </c>
    </row>
    <row r="454" spans="1:1" x14ac:dyDescent="0.2">
      <c r="A454">
        <v>642</v>
      </c>
    </row>
    <row r="455" spans="1:1" x14ac:dyDescent="0.2">
      <c r="A455">
        <v>643</v>
      </c>
    </row>
    <row r="456" spans="1:1" x14ac:dyDescent="0.2">
      <c r="A456">
        <v>644</v>
      </c>
    </row>
    <row r="457" spans="1:1" x14ac:dyDescent="0.2">
      <c r="A457">
        <v>645</v>
      </c>
    </row>
    <row r="458" spans="1:1" x14ac:dyDescent="0.2">
      <c r="A458">
        <v>646</v>
      </c>
    </row>
    <row r="459" spans="1:1" x14ac:dyDescent="0.2">
      <c r="A459">
        <v>647</v>
      </c>
    </row>
    <row r="460" spans="1:1" x14ac:dyDescent="0.2">
      <c r="A460">
        <v>648</v>
      </c>
    </row>
    <row r="461" spans="1:1" x14ac:dyDescent="0.2">
      <c r="A461">
        <v>649</v>
      </c>
    </row>
    <row r="462" spans="1:1" x14ac:dyDescent="0.2">
      <c r="A462">
        <v>650</v>
      </c>
    </row>
    <row r="463" spans="1:1" x14ac:dyDescent="0.2">
      <c r="A463">
        <v>651</v>
      </c>
    </row>
    <row r="464" spans="1:1" x14ac:dyDescent="0.2">
      <c r="A464">
        <v>652</v>
      </c>
    </row>
    <row r="465" spans="1:1" x14ac:dyDescent="0.2">
      <c r="A465">
        <v>653</v>
      </c>
    </row>
    <row r="466" spans="1:1" x14ac:dyDescent="0.2">
      <c r="A466">
        <v>654</v>
      </c>
    </row>
    <row r="467" spans="1:1" x14ac:dyDescent="0.2">
      <c r="A467">
        <v>655</v>
      </c>
    </row>
    <row r="468" spans="1:1" x14ac:dyDescent="0.2">
      <c r="A468">
        <v>656</v>
      </c>
    </row>
    <row r="469" spans="1:1" x14ac:dyDescent="0.2">
      <c r="A469">
        <v>657</v>
      </c>
    </row>
    <row r="470" spans="1:1" x14ac:dyDescent="0.2">
      <c r="A470">
        <v>658</v>
      </c>
    </row>
    <row r="471" spans="1:1" x14ac:dyDescent="0.2">
      <c r="A471">
        <v>659</v>
      </c>
    </row>
    <row r="472" spans="1:1" x14ac:dyDescent="0.2">
      <c r="A472">
        <v>660</v>
      </c>
    </row>
    <row r="473" spans="1:1" x14ac:dyDescent="0.2">
      <c r="A473">
        <v>661</v>
      </c>
    </row>
    <row r="474" spans="1:1" x14ac:dyDescent="0.2">
      <c r="A474">
        <v>662</v>
      </c>
    </row>
    <row r="475" spans="1:1" x14ac:dyDescent="0.2">
      <c r="A475">
        <v>663</v>
      </c>
    </row>
    <row r="476" spans="1:1" x14ac:dyDescent="0.2">
      <c r="A476">
        <v>664</v>
      </c>
    </row>
    <row r="477" spans="1:1" x14ac:dyDescent="0.2">
      <c r="A477">
        <v>665</v>
      </c>
    </row>
    <row r="478" spans="1:1" x14ac:dyDescent="0.2">
      <c r="A478">
        <v>666</v>
      </c>
    </row>
    <row r="479" spans="1:1" x14ac:dyDescent="0.2">
      <c r="A479">
        <v>667</v>
      </c>
    </row>
    <row r="480" spans="1:1" x14ac:dyDescent="0.2">
      <c r="A480">
        <v>668</v>
      </c>
    </row>
    <row r="481" spans="1:1" x14ac:dyDescent="0.2">
      <c r="A481">
        <v>669</v>
      </c>
    </row>
    <row r="482" spans="1:1" x14ac:dyDescent="0.2">
      <c r="A482">
        <v>670</v>
      </c>
    </row>
    <row r="483" spans="1:1" x14ac:dyDescent="0.2">
      <c r="A483">
        <v>671</v>
      </c>
    </row>
    <row r="484" spans="1:1" x14ac:dyDescent="0.2">
      <c r="A484">
        <v>672</v>
      </c>
    </row>
    <row r="485" spans="1:1" x14ac:dyDescent="0.2">
      <c r="A485">
        <v>673</v>
      </c>
    </row>
    <row r="486" spans="1:1" x14ac:dyDescent="0.2">
      <c r="A486">
        <v>674</v>
      </c>
    </row>
    <row r="487" spans="1:1" x14ac:dyDescent="0.2">
      <c r="A487">
        <v>675</v>
      </c>
    </row>
    <row r="488" spans="1:1" x14ac:dyDescent="0.2">
      <c r="A488">
        <v>676</v>
      </c>
    </row>
    <row r="489" spans="1:1" x14ac:dyDescent="0.2">
      <c r="A489">
        <v>677</v>
      </c>
    </row>
    <row r="490" spans="1:1" x14ac:dyDescent="0.2">
      <c r="A490">
        <v>678</v>
      </c>
    </row>
    <row r="491" spans="1:1" x14ac:dyDescent="0.2">
      <c r="A491">
        <v>679</v>
      </c>
    </row>
    <row r="492" spans="1:1" x14ac:dyDescent="0.2">
      <c r="A492">
        <v>680</v>
      </c>
    </row>
    <row r="493" spans="1:1" x14ac:dyDescent="0.2">
      <c r="A493">
        <v>681</v>
      </c>
    </row>
    <row r="494" spans="1:1" x14ac:dyDescent="0.2">
      <c r="A494">
        <v>682</v>
      </c>
    </row>
    <row r="495" spans="1:1" x14ac:dyDescent="0.2">
      <c r="A495">
        <v>683</v>
      </c>
    </row>
    <row r="496" spans="1:1" x14ac:dyDescent="0.2">
      <c r="A496">
        <v>684</v>
      </c>
    </row>
    <row r="497" spans="1:1" x14ac:dyDescent="0.2">
      <c r="A497">
        <v>685</v>
      </c>
    </row>
    <row r="498" spans="1:1" x14ac:dyDescent="0.2">
      <c r="A498">
        <v>686</v>
      </c>
    </row>
    <row r="499" spans="1:1" x14ac:dyDescent="0.2">
      <c r="A499">
        <v>687</v>
      </c>
    </row>
    <row r="500" spans="1:1" x14ac:dyDescent="0.2">
      <c r="A500">
        <v>688</v>
      </c>
    </row>
    <row r="501" spans="1:1" x14ac:dyDescent="0.2">
      <c r="A501">
        <v>689</v>
      </c>
    </row>
    <row r="502" spans="1:1" x14ac:dyDescent="0.2">
      <c r="A502">
        <v>690</v>
      </c>
    </row>
    <row r="503" spans="1:1" x14ac:dyDescent="0.2">
      <c r="A503">
        <v>691</v>
      </c>
    </row>
    <row r="504" spans="1:1" x14ac:dyDescent="0.2">
      <c r="A504">
        <v>692</v>
      </c>
    </row>
    <row r="505" spans="1:1" x14ac:dyDescent="0.2">
      <c r="A505">
        <v>693</v>
      </c>
    </row>
    <row r="506" spans="1:1" x14ac:dyDescent="0.2">
      <c r="A506">
        <v>694</v>
      </c>
    </row>
    <row r="507" spans="1:1" x14ac:dyDescent="0.2">
      <c r="A507">
        <v>695</v>
      </c>
    </row>
    <row r="508" spans="1:1" x14ac:dyDescent="0.2">
      <c r="A508">
        <v>696</v>
      </c>
    </row>
    <row r="509" spans="1:1" x14ac:dyDescent="0.2">
      <c r="A509">
        <v>697</v>
      </c>
    </row>
    <row r="510" spans="1:1" x14ac:dyDescent="0.2">
      <c r="A510">
        <v>698</v>
      </c>
    </row>
    <row r="511" spans="1:1" x14ac:dyDescent="0.2">
      <c r="A511">
        <v>699</v>
      </c>
    </row>
    <row r="512" spans="1:1" x14ac:dyDescent="0.2">
      <c r="A512">
        <v>700</v>
      </c>
    </row>
    <row r="513" spans="1:1" x14ac:dyDescent="0.2">
      <c r="A513">
        <v>701</v>
      </c>
    </row>
    <row r="514" spans="1:1" x14ac:dyDescent="0.2">
      <c r="A514">
        <v>702</v>
      </c>
    </row>
    <row r="515" spans="1:1" x14ac:dyDescent="0.2">
      <c r="A515">
        <v>703</v>
      </c>
    </row>
    <row r="516" spans="1:1" x14ac:dyDescent="0.2">
      <c r="A516">
        <v>704</v>
      </c>
    </row>
    <row r="517" spans="1:1" x14ac:dyDescent="0.2">
      <c r="A517">
        <v>705</v>
      </c>
    </row>
    <row r="518" spans="1:1" x14ac:dyDescent="0.2">
      <c r="A518">
        <v>706</v>
      </c>
    </row>
    <row r="519" spans="1:1" x14ac:dyDescent="0.2">
      <c r="A519">
        <v>707</v>
      </c>
    </row>
    <row r="520" spans="1:1" x14ac:dyDescent="0.2">
      <c r="A520">
        <v>708</v>
      </c>
    </row>
    <row r="521" spans="1:1" x14ac:dyDescent="0.2">
      <c r="A521">
        <v>709</v>
      </c>
    </row>
    <row r="522" spans="1:1" x14ac:dyDescent="0.2">
      <c r="A522">
        <v>710</v>
      </c>
    </row>
    <row r="523" spans="1:1" x14ac:dyDescent="0.2">
      <c r="A523">
        <v>711</v>
      </c>
    </row>
    <row r="524" spans="1:1" x14ac:dyDescent="0.2">
      <c r="A524">
        <v>712</v>
      </c>
    </row>
    <row r="525" spans="1:1" x14ac:dyDescent="0.2">
      <c r="A525">
        <v>713</v>
      </c>
    </row>
    <row r="526" spans="1:1" x14ac:dyDescent="0.2">
      <c r="A526">
        <v>714</v>
      </c>
    </row>
    <row r="527" spans="1:1" x14ac:dyDescent="0.2">
      <c r="A527">
        <v>715</v>
      </c>
    </row>
    <row r="528" spans="1:1" x14ac:dyDescent="0.2">
      <c r="A528">
        <v>716</v>
      </c>
    </row>
    <row r="529" spans="1:1" x14ac:dyDescent="0.2">
      <c r="A529">
        <v>717</v>
      </c>
    </row>
    <row r="530" spans="1:1" x14ac:dyDescent="0.2">
      <c r="A530">
        <v>718</v>
      </c>
    </row>
    <row r="531" spans="1:1" x14ac:dyDescent="0.2">
      <c r="A531">
        <v>719</v>
      </c>
    </row>
    <row r="532" spans="1:1" x14ac:dyDescent="0.2">
      <c r="A532">
        <v>720</v>
      </c>
    </row>
    <row r="533" spans="1:1" x14ac:dyDescent="0.2">
      <c r="A533">
        <v>721</v>
      </c>
    </row>
    <row r="534" spans="1:1" x14ac:dyDescent="0.2">
      <c r="A534">
        <v>722</v>
      </c>
    </row>
    <row r="535" spans="1:1" x14ac:dyDescent="0.2">
      <c r="A535">
        <v>723</v>
      </c>
    </row>
    <row r="536" spans="1:1" x14ac:dyDescent="0.2">
      <c r="A536">
        <v>724</v>
      </c>
    </row>
    <row r="537" spans="1:1" x14ac:dyDescent="0.2">
      <c r="A537">
        <v>725</v>
      </c>
    </row>
    <row r="538" spans="1:1" x14ac:dyDescent="0.2">
      <c r="A538">
        <v>726</v>
      </c>
    </row>
    <row r="539" spans="1:1" x14ac:dyDescent="0.2">
      <c r="A539">
        <v>727</v>
      </c>
    </row>
    <row r="540" spans="1:1" x14ac:dyDescent="0.2">
      <c r="A540">
        <v>728</v>
      </c>
    </row>
    <row r="541" spans="1:1" x14ac:dyDescent="0.2">
      <c r="A541">
        <v>729</v>
      </c>
    </row>
    <row r="542" spans="1:1" x14ac:dyDescent="0.2">
      <c r="A542">
        <v>730</v>
      </c>
    </row>
    <row r="543" spans="1:1" x14ac:dyDescent="0.2">
      <c r="A543">
        <v>731</v>
      </c>
    </row>
    <row r="544" spans="1:1" x14ac:dyDescent="0.2">
      <c r="A544">
        <v>732</v>
      </c>
    </row>
    <row r="545" spans="1:1" x14ac:dyDescent="0.2">
      <c r="A545">
        <v>733</v>
      </c>
    </row>
    <row r="546" spans="1:1" x14ac:dyDescent="0.2">
      <c r="A546">
        <v>734</v>
      </c>
    </row>
    <row r="547" spans="1:1" x14ac:dyDescent="0.2">
      <c r="A547">
        <v>735</v>
      </c>
    </row>
    <row r="548" spans="1:1" x14ac:dyDescent="0.2">
      <c r="A548">
        <v>736</v>
      </c>
    </row>
    <row r="549" spans="1:1" x14ac:dyDescent="0.2">
      <c r="A549">
        <v>737</v>
      </c>
    </row>
    <row r="550" spans="1:1" x14ac:dyDescent="0.2">
      <c r="A550">
        <v>738</v>
      </c>
    </row>
    <row r="551" spans="1:1" x14ac:dyDescent="0.2">
      <c r="A551">
        <v>739</v>
      </c>
    </row>
    <row r="552" spans="1:1" x14ac:dyDescent="0.2">
      <c r="A552">
        <v>740</v>
      </c>
    </row>
    <row r="553" spans="1:1" x14ac:dyDescent="0.2">
      <c r="A553">
        <v>741</v>
      </c>
    </row>
    <row r="554" spans="1:1" x14ac:dyDescent="0.2">
      <c r="A554">
        <v>742</v>
      </c>
    </row>
    <row r="555" spans="1:1" x14ac:dyDescent="0.2">
      <c r="A555">
        <v>743</v>
      </c>
    </row>
    <row r="556" spans="1:1" x14ac:dyDescent="0.2">
      <c r="A556">
        <v>744</v>
      </c>
    </row>
    <row r="557" spans="1:1" x14ac:dyDescent="0.2">
      <c r="A557">
        <v>745</v>
      </c>
    </row>
    <row r="558" spans="1:1" x14ac:dyDescent="0.2">
      <c r="A558">
        <v>746</v>
      </c>
    </row>
    <row r="559" spans="1:1" x14ac:dyDescent="0.2">
      <c r="A559">
        <v>747</v>
      </c>
    </row>
    <row r="560" spans="1:1" x14ac:dyDescent="0.2">
      <c r="A560">
        <v>748</v>
      </c>
    </row>
    <row r="561" spans="1:1" x14ac:dyDescent="0.2">
      <c r="A561">
        <v>749</v>
      </c>
    </row>
    <row r="562" spans="1:1" x14ac:dyDescent="0.2">
      <c r="A562">
        <v>750</v>
      </c>
    </row>
    <row r="563" spans="1:1" x14ac:dyDescent="0.2">
      <c r="A563">
        <v>751</v>
      </c>
    </row>
    <row r="564" spans="1:1" x14ac:dyDescent="0.2">
      <c r="A564">
        <v>752</v>
      </c>
    </row>
    <row r="565" spans="1:1" x14ac:dyDescent="0.2">
      <c r="A565">
        <v>753</v>
      </c>
    </row>
    <row r="566" spans="1:1" x14ac:dyDescent="0.2">
      <c r="A566">
        <v>754</v>
      </c>
    </row>
    <row r="567" spans="1:1" x14ac:dyDescent="0.2">
      <c r="A567">
        <v>755</v>
      </c>
    </row>
    <row r="568" spans="1:1" x14ac:dyDescent="0.2">
      <c r="A568">
        <v>756</v>
      </c>
    </row>
    <row r="569" spans="1:1" x14ac:dyDescent="0.2">
      <c r="A569">
        <v>757</v>
      </c>
    </row>
    <row r="570" spans="1:1" x14ac:dyDescent="0.2">
      <c r="A570">
        <v>758</v>
      </c>
    </row>
    <row r="571" spans="1:1" x14ac:dyDescent="0.2">
      <c r="A571">
        <v>759</v>
      </c>
    </row>
    <row r="572" spans="1:1" x14ac:dyDescent="0.2">
      <c r="A572">
        <v>760</v>
      </c>
    </row>
    <row r="573" spans="1:1" x14ac:dyDescent="0.2">
      <c r="A573">
        <v>761</v>
      </c>
    </row>
    <row r="574" spans="1:1" x14ac:dyDescent="0.2">
      <c r="A574">
        <v>762</v>
      </c>
    </row>
    <row r="575" spans="1:1" x14ac:dyDescent="0.2">
      <c r="A575">
        <v>763</v>
      </c>
    </row>
    <row r="576" spans="1:1" x14ac:dyDescent="0.2">
      <c r="A576">
        <v>764</v>
      </c>
    </row>
    <row r="577" spans="1:1" x14ac:dyDescent="0.2">
      <c r="A577">
        <v>765</v>
      </c>
    </row>
    <row r="578" spans="1:1" x14ac:dyDescent="0.2">
      <c r="A578">
        <v>766</v>
      </c>
    </row>
    <row r="579" spans="1:1" x14ac:dyDescent="0.2">
      <c r="A579">
        <v>767</v>
      </c>
    </row>
    <row r="580" spans="1:1" x14ac:dyDescent="0.2">
      <c r="A580">
        <v>768</v>
      </c>
    </row>
    <row r="581" spans="1:1" x14ac:dyDescent="0.2">
      <c r="A581">
        <v>769</v>
      </c>
    </row>
    <row r="582" spans="1:1" x14ac:dyDescent="0.2">
      <c r="A582">
        <v>770</v>
      </c>
    </row>
    <row r="583" spans="1:1" x14ac:dyDescent="0.2">
      <c r="A583">
        <v>771</v>
      </c>
    </row>
    <row r="584" spans="1:1" x14ac:dyDescent="0.2">
      <c r="A584">
        <v>772</v>
      </c>
    </row>
    <row r="585" spans="1:1" x14ac:dyDescent="0.2">
      <c r="A585">
        <v>773</v>
      </c>
    </row>
    <row r="586" spans="1:1" x14ac:dyDescent="0.2">
      <c r="A586">
        <v>774</v>
      </c>
    </row>
    <row r="587" spans="1:1" x14ac:dyDescent="0.2">
      <c r="A587">
        <v>775</v>
      </c>
    </row>
    <row r="588" spans="1:1" x14ac:dyDescent="0.2">
      <c r="A588">
        <v>776</v>
      </c>
    </row>
    <row r="589" spans="1:1" x14ac:dyDescent="0.2">
      <c r="A589">
        <v>777</v>
      </c>
    </row>
    <row r="590" spans="1:1" x14ac:dyDescent="0.2">
      <c r="A590">
        <v>778</v>
      </c>
    </row>
    <row r="591" spans="1:1" x14ac:dyDescent="0.2">
      <c r="A591">
        <v>779</v>
      </c>
    </row>
    <row r="592" spans="1:1" x14ac:dyDescent="0.2">
      <c r="A592">
        <v>780</v>
      </c>
    </row>
    <row r="593" spans="1:1" x14ac:dyDescent="0.2">
      <c r="A593">
        <v>781</v>
      </c>
    </row>
    <row r="594" spans="1:1" x14ac:dyDescent="0.2">
      <c r="A594">
        <v>782</v>
      </c>
    </row>
    <row r="595" spans="1:1" x14ac:dyDescent="0.2">
      <c r="A595">
        <v>783</v>
      </c>
    </row>
    <row r="596" spans="1:1" x14ac:dyDescent="0.2">
      <c r="A596">
        <v>784</v>
      </c>
    </row>
    <row r="597" spans="1:1" x14ac:dyDescent="0.2">
      <c r="A597">
        <v>785</v>
      </c>
    </row>
    <row r="598" spans="1:1" x14ac:dyDescent="0.2">
      <c r="A598">
        <v>786</v>
      </c>
    </row>
    <row r="599" spans="1:1" x14ac:dyDescent="0.2">
      <c r="A599">
        <v>787</v>
      </c>
    </row>
    <row r="600" spans="1:1" x14ac:dyDescent="0.2">
      <c r="A600">
        <v>788</v>
      </c>
    </row>
    <row r="601" spans="1:1" x14ac:dyDescent="0.2">
      <c r="A601">
        <v>789</v>
      </c>
    </row>
    <row r="602" spans="1:1" x14ac:dyDescent="0.2">
      <c r="A602">
        <v>790</v>
      </c>
    </row>
    <row r="603" spans="1:1" x14ac:dyDescent="0.2">
      <c r="A603">
        <v>791</v>
      </c>
    </row>
    <row r="604" spans="1:1" x14ac:dyDescent="0.2">
      <c r="A604">
        <v>792</v>
      </c>
    </row>
    <row r="605" spans="1:1" x14ac:dyDescent="0.2">
      <c r="A605">
        <v>793</v>
      </c>
    </row>
    <row r="606" spans="1:1" x14ac:dyDescent="0.2">
      <c r="A606">
        <v>794</v>
      </c>
    </row>
    <row r="607" spans="1:1" x14ac:dyDescent="0.2">
      <c r="A607">
        <v>795</v>
      </c>
    </row>
    <row r="608" spans="1:1" x14ac:dyDescent="0.2">
      <c r="A608">
        <v>796</v>
      </c>
    </row>
    <row r="609" spans="1:1" x14ac:dyDescent="0.2">
      <c r="A609">
        <v>797</v>
      </c>
    </row>
    <row r="610" spans="1:1" x14ac:dyDescent="0.2">
      <c r="A610">
        <v>798</v>
      </c>
    </row>
    <row r="611" spans="1:1" x14ac:dyDescent="0.2">
      <c r="A611">
        <v>799</v>
      </c>
    </row>
    <row r="612" spans="1:1" x14ac:dyDescent="0.2">
      <c r="A612">
        <v>800</v>
      </c>
    </row>
    <row r="613" spans="1:1" x14ac:dyDescent="0.2">
      <c r="A613">
        <v>801</v>
      </c>
    </row>
    <row r="614" spans="1:1" x14ac:dyDescent="0.2">
      <c r="A614">
        <v>802</v>
      </c>
    </row>
    <row r="615" spans="1:1" x14ac:dyDescent="0.2">
      <c r="A615">
        <v>803</v>
      </c>
    </row>
    <row r="616" spans="1:1" x14ac:dyDescent="0.2">
      <c r="A616">
        <v>804</v>
      </c>
    </row>
    <row r="617" spans="1:1" x14ac:dyDescent="0.2">
      <c r="A617">
        <v>805</v>
      </c>
    </row>
    <row r="618" spans="1:1" x14ac:dyDescent="0.2">
      <c r="A618">
        <v>806</v>
      </c>
    </row>
    <row r="619" spans="1:1" x14ac:dyDescent="0.2">
      <c r="A619">
        <v>807</v>
      </c>
    </row>
    <row r="620" spans="1:1" x14ac:dyDescent="0.2">
      <c r="A620">
        <v>808</v>
      </c>
    </row>
    <row r="621" spans="1:1" x14ac:dyDescent="0.2">
      <c r="A621">
        <v>809</v>
      </c>
    </row>
    <row r="622" spans="1:1" x14ac:dyDescent="0.2">
      <c r="A622">
        <v>810</v>
      </c>
    </row>
    <row r="623" spans="1:1" x14ac:dyDescent="0.2">
      <c r="A623">
        <v>811</v>
      </c>
    </row>
    <row r="624" spans="1:1" x14ac:dyDescent="0.2">
      <c r="A624">
        <v>812</v>
      </c>
    </row>
    <row r="625" spans="1:1" x14ac:dyDescent="0.2">
      <c r="A625">
        <v>813</v>
      </c>
    </row>
    <row r="626" spans="1:1" x14ac:dyDescent="0.2">
      <c r="A626">
        <v>814</v>
      </c>
    </row>
    <row r="627" spans="1:1" x14ac:dyDescent="0.2">
      <c r="A627">
        <v>815</v>
      </c>
    </row>
    <row r="628" spans="1:1" x14ac:dyDescent="0.2">
      <c r="A628">
        <v>816</v>
      </c>
    </row>
    <row r="629" spans="1:1" x14ac:dyDescent="0.2">
      <c r="A629">
        <v>817</v>
      </c>
    </row>
    <row r="630" spans="1:1" x14ac:dyDescent="0.2">
      <c r="A630">
        <v>818</v>
      </c>
    </row>
    <row r="631" spans="1:1" x14ac:dyDescent="0.2">
      <c r="A631">
        <v>819</v>
      </c>
    </row>
    <row r="632" spans="1:1" x14ac:dyDescent="0.2">
      <c r="A632">
        <v>820</v>
      </c>
    </row>
    <row r="633" spans="1:1" x14ac:dyDescent="0.2">
      <c r="A633">
        <v>821</v>
      </c>
    </row>
    <row r="634" spans="1:1" x14ac:dyDescent="0.2">
      <c r="A634">
        <v>822</v>
      </c>
    </row>
    <row r="635" spans="1:1" x14ac:dyDescent="0.2">
      <c r="A635">
        <v>823</v>
      </c>
    </row>
    <row r="636" spans="1:1" x14ac:dyDescent="0.2">
      <c r="A636">
        <v>824</v>
      </c>
    </row>
    <row r="637" spans="1:1" x14ac:dyDescent="0.2">
      <c r="A637">
        <v>825</v>
      </c>
    </row>
    <row r="638" spans="1:1" x14ac:dyDescent="0.2">
      <c r="A638">
        <v>826</v>
      </c>
    </row>
    <row r="639" spans="1:1" x14ac:dyDescent="0.2">
      <c r="A639">
        <v>827</v>
      </c>
    </row>
    <row r="640" spans="1:1" x14ac:dyDescent="0.2">
      <c r="A640">
        <v>828</v>
      </c>
    </row>
    <row r="641" spans="1:1" x14ac:dyDescent="0.2">
      <c r="A641">
        <v>829</v>
      </c>
    </row>
    <row r="642" spans="1:1" x14ac:dyDescent="0.2">
      <c r="A642">
        <v>830</v>
      </c>
    </row>
    <row r="643" spans="1:1" x14ac:dyDescent="0.2">
      <c r="A643">
        <v>831</v>
      </c>
    </row>
    <row r="644" spans="1:1" x14ac:dyDescent="0.2">
      <c r="A644">
        <v>832</v>
      </c>
    </row>
    <row r="645" spans="1:1" x14ac:dyDescent="0.2">
      <c r="A645">
        <v>833</v>
      </c>
    </row>
    <row r="646" spans="1:1" x14ac:dyDescent="0.2">
      <c r="A646">
        <v>834</v>
      </c>
    </row>
    <row r="647" spans="1:1" x14ac:dyDescent="0.2">
      <c r="A647">
        <v>835</v>
      </c>
    </row>
    <row r="648" spans="1:1" x14ac:dyDescent="0.2">
      <c r="A648">
        <v>836</v>
      </c>
    </row>
    <row r="649" spans="1:1" x14ac:dyDescent="0.2">
      <c r="A649">
        <v>837</v>
      </c>
    </row>
    <row r="650" spans="1:1" x14ac:dyDescent="0.2">
      <c r="A650">
        <v>838</v>
      </c>
    </row>
    <row r="651" spans="1:1" x14ac:dyDescent="0.2">
      <c r="A651">
        <v>839</v>
      </c>
    </row>
    <row r="652" spans="1:1" x14ac:dyDescent="0.2">
      <c r="A652">
        <v>840</v>
      </c>
    </row>
    <row r="653" spans="1:1" x14ac:dyDescent="0.2">
      <c r="A653">
        <v>841</v>
      </c>
    </row>
    <row r="654" spans="1:1" x14ac:dyDescent="0.2">
      <c r="A654">
        <v>842</v>
      </c>
    </row>
    <row r="655" spans="1:1" x14ac:dyDescent="0.2">
      <c r="A655">
        <v>843</v>
      </c>
    </row>
    <row r="656" spans="1:1" x14ac:dyDescent="0.2">
      <c r="A656">
        <v>844</v>
      </c>
    </row>
    <row r="657" spans="1:1" x14ac:dyDescent="0.2">
      <c r="A657">
        <v>845</v>
      </c>
    </row>
    <row r="658" spans="1:1" x14ac:dyDescent="0.2">
      <c r="A658">
        <v>846</v>
      </c>
    </row>
    <row r="659" spans="1:1" x14ac:dyDescent="0.2">
      <c r="A659">
        <v>847</v>
      </c>
    </row>
    <row r="660" spans="1:1" x14ac:dyDescent="0.2">
      <c r="A660">
        <v>848</v>
      </c>
    </row>
    <row r="661" spans="1:1" x14ac:dyDescent="0.2">
      <c r="A661">
        <v>849</v>
      </c>
    </row>
    <row r="662" spans="1:1" x14ac:dyDescent="0.2">
      <c r="A662">
        <v>850</v>
      </c>
    </row>
    <row r="663" spans="1:1" x14ac:dyDescent="0.2">
      <c r="A663">
        <v>851</v>
      </c>
    </row>
    <row r="664" spans="1:1" x14ac:dyDescent="0.2">
      <c r="A664">
        <v>852</v>
      </c>
    </row>
    <row r="665" spans="1:1" x14ac:dyDescent="0.2">
      <c r="A665">
        <v>853</v>
      </c>
    </row>
    <row r="666" spans="1:1" x14ac:dyDescent="0.2">
      <c r="A666">
        <v>854</v>
      </c>
    </row>
    <row r="667" spans="1:1" x14ac:dyDescent="0.2">
      <c r="A667">
        <v>855</v>
      </c>
    </row>
    <row r="668" spans="1:1" x14ac:dyDescent="0.2">
      <c r="A668">
        <v>856</v>
      </c>
    </row>
    <row r="669" spans="1:1" x14ac:dyDescent="0.2">
      <c r="A669">
        <v>857</v>
      </c>
    </row>
    <row r="670" spans="1:1" x14ac:dyDescent="0.2">
      <c r="A670">
        <v>858</v>
      </c>
    </row>
    <row r="671" spans="1:1" x14ac:dyDescent="0.2">
      <c r="A671">
        <v>859</v>
      </c>
    </row>
    <row r="672" spans="1:1" x14ac:dyDescent="0.2">
      <c r="A672">
        <v>860</v>
      </c>
    </row>
    <row r="673" spans="1:1" x14ac:dyDescent="0.2">
      <c r="A673">
        <v>861</v>
      </c>
    </row>
    <row r="674" spans="1:1" x14ac:dyDescent="0.2">
      <c r="A674">
        <v>862</v>
      </c>
    </row>
    <row r="675" spans="1:1" x14ac:dyDescent="0.2">
      <c r="A675">
        <v>863</v>
      </c>
    </row>
    <row r="676" spans="1:1" x14ac:dyDescent="0.2">
      <c r="A676">
        <v>864</v>
      </c>
    </row>
    <row r="677" spans="1:1" x14ac:dyDescent="0.2">
      <c r="A677">
        <v>865</v>
      </c>
    </row>
    <row r="678" spans="1:1" x14ac:dyDescent="0.2">
      <c r="A678">
        <v>866</v>
      </c>
    </row>
    <row r="679" spans="1:1" x14ac:dyDescent="0.2">
      <c r="A679">
        <v>867</v>
      </c>
    </row>
    <row r="680" spans="1:1" x14ac:dyDescent="0.2">
      <c r="A680">
        <v>868</v>
      </c>
    </row>
    <row r="681" spans="1:1" x14ac:dyDescent="0.2">
      <c r="A681">
        <v>869</v>
      </c>
    </row>
    <row r="682" spans="1:1" x14ac:dyDescent="0.2">
      <c r="A682">
        <v>870</v>
      </c>
    </row>
    <row r="683" spans="1:1" x14ac:dyDescent="0.2">
      <c r="A683">
        <v>871</v>
      </c>
    </row>
    <row r="684" spans="1:1" x14ac:dyDescent="0.2">
      <c r="A684">
        <v>872</v>
      </c>
    </row>
    <row r="685" spans="1:1" x14ac:dyDescent="0.2">
      <c r="A685">
        <v>873</v>
      </c>
    </row>
    <row r="686" spans="1:1" x14ac:dyDescent="0.2">
      <c r="A686">
        <v>874</v>
      </c>
    </row>
    <row r="687" spans="1:1" x14ac:dyDescent="0.2">
      <c r="A687">
        <v>875</v>
      </c>
    </row>
    <row r="688" spans="1:1" x14ac:dyDescent="0.2">
      <c r="A688">
        <v>876</v>
      </c>
    </row>
    <row r="689" spans="1:1" x14ac:dyDescent="0.2">
      <c r="A689">
        <v>877</v>
      </c>
    </row>
    <row r="690" spans="1:1" x14ac:dyDescent="0.2">
      <c r="A690">
        <v>878</v>
      </c>
    </row>
    <row r="691" spans="1:1" x14ac:dyDescent="0.2">
      <c r="A691">
        <v>879</v>
      </c>
    </row>
    <row r="692" spans="1:1" x14ac:dyDescent="0.2">
      <c r="A692">
        <v>880</v>
      </c>
    </row>
    <row r="693" spans="1:1" x14ac:dyDescent="0.2">
      <c r="A693">
        <v>881</v>
      </c>
    </row>
    <row r="694" spans="1:1" x14ac:dyDescent="0.2">
      <c r="A694">
        <v>882</v>
      </c>
    </row>
    <row r="695" spans="1:1" x14ac:dyDescent="0.2">
      <c r="A695">
        <v>883</v>
      </c>
    </row>
    <row r="696" spans="1:1" x14ac:dyDescent="0.2">
      <c r="A696">
        <v>884</v>
      </c>
    </row>
    <row r="697" spans="1:1" x14ac:dyDescent="0.2">
      <c r="A697">
        <v>885</v>
      </c>
    </row>
    <row r="698" spans="1:1" x14ac:dyDescent="0.2">
      <c r="A698">
        <v>886</v>
      </c>
    </row>
    <row r="699" spans="1:1" x14ac:dyDescent="0.2">
      <c r="A699">
        <v>887</v>
      </c>
    </row>
    <row r="700" spans="1:1" x14ac:dyDescent="0.2">
      <c r="A700">
        <v>888</v>
      </c>
    </row>
    <row r="701" spans="1:1" x14ac:dyDescent="0.2">
      <c r="A701">
        <v>889</v>
      </c>
    </row>
    <row r="702" spans="1:1" x14ac:dyDescent="0.2">
      <c r="A702">
        <v>890</v>
      </c>
    </row>
    <row r="703" spans="1:1" x14ac:dyDescent="0.2">
      <c r="A703">
        <v>891</v>
      </c>
    </row>
    <row r="704" spans="1:1" x14ac:dyDescent="0.2">
      <c r="A704">
        <v>892</v>
      </c>
    </row>
    <row r="705" spans="1:1" x14ac:dyDescent="0.2">
      <c r="A705">
        <v>893</v>
      </c>
    </row>
    <row r="706" spans="1:1" x14ac:dyDescent="0.2">
      <c r="A706">
        <v>894</v>
      </c>
    </row>
    <row r="707" spans="1:1" x14ac:dyDescent="0.2">
      <c r="A707">
        <v>895</v>
      </c>
    </row>
    <row r="708" spans="1:1" x14ac:dyDescent="0.2">
      <c r="A708">
        <v>896</v>
      </c>
    </row>
    <row r="709" spans="1:1" x14ac:dyDescent="0.2">
      <c r="A709">
        <v>897</v>
      </c>
    </row>
    <row r="710" spans="1:1" x14ac:dyDescent="0.2">
      <c r="A710">
        <v>898</v>
      </c>
    </row>
    <row r="711" spans="1:1" x14ac:dyDescent="0.2">
      <c r="A711">
        <v>899</v>
      </c>
    </row>
    <row r="712" spans="1:1" x14ac:dyDescent="0.2">
      <c r="A712">
        <v>900</v>
      </c>
    </row>
    <row r="713" spans="1:1" x14ac:dyDescent="0.2">
      <c r="A713">
        <v>901</v>
      </c>
    </row>
    <row r="714" spans="1:1" x14ac:dyDescent="0.2">
      <c r="A714">
        <v>902</v>
      </c>
    </row>
    <row r="715" spans="1:1" x14ac:dyDescent="0.2">
      <c r="A715">
        <v>903</v>
      </c>
    </row>
    <row r="716" spans="1:1" x14ac:dyDescent="0.2">
      <c r="A716">
        <v>904</v>
      </c>
    </row>
    <row r="717" spans="1:1" x14ac:dyDescent="0.2">
      <c r="A717">
        <v>905</v>
      </c>
    </row>
    <row r="718" spans="1:1" x14ac:dyDescent="0.2">
      <c r="A718">
        <v>906</v>
      </c>
    </row>
    <row r="719" spans="1:1" x14ac:dyDescent="0.2">
      <c r="A719">
        <v>907</v>
      </c>
    </row>
    <row r="720" spans="1:1" x14ac:dyDescent="0.2">
      <c r="A720">
        <v>908</v>
      </c>
    </row>
    <row r="721" spans="1:1" x14ac:dyDescent="0.2">
      <c r="A721">
        <v>909</v>
      </c>
    </row>
    <row r="722" spans="1:1" x14ac:dyDescent="0.2">
      <c r="A722">
        <v>910</v>
      </c>
    </row>
    <row r="723" spans="1:1" x14ac:dyDescent="0.2">
      <c r="A723">
        <v>911</v>
      </c>
    </row>
    <row r="724" spans="1:1" x14ac:dyDescent="0.2">
      <c r="A724">
        <v>912</v>
      </c>
    </row>
    <row r="725" spans="1:1" x14ac:dyDescent="0.2">
      <c r="A725">
        <v>913</v>
      </c>
    </row>
    <row r="726" spans="1:1" x14ac:dyDescent="0.2">
      <c r="A726">
        <v>914</v>
      </c>
    </row>
    <row r="727" spans="1:1" x14ac:dyDescent="0.2">
      <c r="A727">
        <v>915</v>
      </c>
    </row>
    <row r="728" spans="1:1" x14ac:dyDescent="0.2">
      <c r="A728">
        <v>916</v>
      </c>
    </row>
    <row r="729" spans="1:1" x14ac:dyDescent="0.2">
      <c r="A729">
        <v>917</v>
      </c>
    </row>
    <row r="730" spans="1:1" x14ac:dyDescent="0.2">
      <c r="A730">
        <v>918</v>
      </c>
    </row>
    <row r="731" spans="1:1" x14ac:dyDescent="0.2">
      <c r="A731">
        <v>919</v>
      </c>
    </row>
    <row r="732" spans="1:1" x14ac:dyDescent="0.2">
      <c r="A732">
        <v>920</v>
      </c>
    </row>
    <row r="733" spans="1:1" x14ac:dyDescent="0.2">
      <c r="A733">
        <v>921</v>
      </c>
    </row>
    <row r="734" spans="1:1" x14ac:dyDescent="0.2">
      <c r="A734">
        <v>922</v>
      </c>
    </row>
    <row r="735" spans="1:1" x14ac:dyDescent="0.2">
      <c r="A735">
        <v>923</v>
      </c>
    </row>
    <row r="736" spans="1:1" x14ac:dyDescent="0.2">
      <c r="A736">
        <v>924</v>
      </c>
    </row>
    <row r="737" spans="1:1" x14ac:dyDescent="0.2">
      <c r="A737">
        <v>925</v>
      </c>
    </row>
    <row r="738" spans="1:1" x14ac:dyDescent="0.2">
      <c r="A738">
        <v>926</v>
      </c>
    </row>
    <row r="739" spans="1:1" x14ac:dyDescent="0.2">
      <c r="A739">
        <v>927</v>
      </c>
    </row>
    <row r="740" spans="1:1" x14ac:dyDescent="0.2">
      <c r="A740">
        <v>928</v>
      </c>
    </row>
    <row r="741" spans="1:1" x14ac:dyDescent="0.2">
      <c r="A741">
        <v>929</v>
      </c>
    </row>
    <row r="742" spans="1:1" x14ac:dyDescent="0.2">
      <c r="A742">
        <v>930</v>
      </c>
    </row>
    <row r="743" spans="1:1" x14ac:dyDescent="0.2">
      <c r="A743">
        <v>931</v>
      </c>
    </row>
    <row r="744" spans="1:1" x14ac:dyDescent="0.2">
      <c r="A744">
        <v>932</v>
      </c>
    </row>
    <row r="745" spans="1:1" x14ac:dyDescent="0.2">
      <c r="A745">
        <v>933</v>
      </c>
    </row>
    <row r="746" spans="1:1" x14ac:dyDescent="0.2">
      <c r="A746">
        <v>934</v>
      </c>
    </row>
    <row r="747" spans="1:1" x14ac:dyDescent="0.2">
      <c r="A747">
        <v>935</v>
      </c>
    </row>
    <row r="748" spans="1:1" x14ac:dyDescent="0.2">
      <c r="A748">
        <v>936</v>
      </c>
    </row>
    <row r="749" spans="1:1" x14ac:dyDescent="0.2">
      <c r="A749">
        <v>937</v>
      </c>
    </row>
    <row r="750" spans="1:1" x14ac:dyDescent="0.2">
      <c r="A750">
        <v>938</v>
      </c>
    </row>
    <row r="751" spans="1:1" x14ac:dyDescent="0.2">
      <c r="A751">
        <v>939</v>
      </c>
    </row>
    <row r="752" spans="1:1" x14ac:dyDescent="0.2">
      <c r="A752">
        <v>940</v>
      </c>
    </row>
    <row r="753" spans="1:1" x14ac:dyDescent="0.2">
      <c r="A753">
        <v>941</v>
      </c>
    </row>
    <row r="754" spans="1:1" x14ac:dyDescent="0.2">
      <c r="A754">
        <v>942</v>
      </c>
    </row>
    <row r="755" spans="1:1" x14ac:dyDescent="0.2">
      <c r="A755">
        <v>943</v>
      </c>
    </row>
    <row r="756" spans="1:1" x14ac:dyDescent="0.2">
      <c r="A756">
        <v>944</v>
      </c>
    </row>
    <row r="757" spans="1:1" x14ac:dyDescent="0.2">
      <c r="A757">
        <v>945</v>
      </c>
    </row>
    <row r="758" spans="1:1" x14ac:dyDescent="0.2">
      <c r="A758">
        <v>946</v>
      </c>
    </row>
    <row r="759" spans="1:1" x14ac:dyDescent="0.2">
      <c r="A759">
        <v>947</v>
      </c>
    </row>
    <row r="760" spans="1:1" x14ac:dyDescent="0.2">
      <c r="A760">
        <v>948</v>
      </c>
    </row>
    <row r="761" spans="1:1" x14ac:dyDescent="0.2">
      <c r="A761">
        <v>949</v>
      </c>
    </row>
    <row r="762" spans="1:1" x14ac:dyDescent="0.2">
      <c r="A762">
        <v>950</v>
      </c>
    </row>
    <row r="763" spans="1:1" x14ac:dyDescent="0.2">
      <c r="A763">
        <v>951</v>
      </c>
    </row>
    <row r="764" spans="1:1" x14ac:dyDescent="0.2">
      <c r="A764">
        <v>952</v>
      </c>
    </row>
    <row r="765" spans="1:1" x14ac:dyDescent="0.2">
      <c r="A765">
        <v>953</v>
      </c>
    </row>
    <row r="766" spans="1:1" x14ac:dyDescent="0.2">
      <c r="A766">
        <v>954</v>
      </c>
    </row>
    <row r="767" spans="1:1" x14ac:dyDescent="0.2">
      <c r="A767">
        <v>955</v>
      </c>
    </row>
    <row r="768" spans="1:1" x14ac:dyDescent="0.2">
      <c r="A768">
        <v>956</v>
      </c>
    </row>
    <row r="769" spans="1:1" x14ac:dyDescent="0.2">
      <c r="A769">
        <v>957</v>
      </c>
    </row>
    <row r="770" spans="1:1" x14ac:dyDescent="0.2">
      <c r="A770">
        <v>958</v>
      </c>
    </row>
    <row r="771" spans="1:1" x14ac:dyDescent="0.2">
      <c r="A771">
        <v>959</v>
      </c>
    </row>
    <row r="772" spans="1:1" x14ac:dyDescent="0.2">
      <c r="A772">
        <v>960</v>
      </c>
    </row>
    <row r="773" spans="1:1" x14ac:dyDescent="0.2">
      <c r="A773">
        <v>961</v>
      </c>
    </row>
    <row r="774" spans="1:1" x14ac:dyDescent="0.2">
      <c r="A774">
        <v>962</v>
      </c>
    </row>
    <row r="775" spans="1:1" x14ac:dyDescent="0.2">
      <c r="A775">
        <v>963</v>
      </c>
    </row>
    <row r="776" spans="1:1" x14ac:dyDescent="0.2">
      <c r="A776">
        <v>964</v>
      </c>
    </row>
    <row r="777" spans="1:1" x14ac:dyDescent="0.2">
      <c r="A777">
        <v>965</v>
      </c>
    </row>
    <row r="778" spans="1:1" x14ac:dyDescent="0.2">
      <c r="A778">
        <v>966</v>
      </c>
    </row>
    <row r="779" spans="1:1" x14ac:dyDescent="0.2">
      <c r="A779">
        <v>967</v>
      </c>
    </row>
    <row r="780" spans="1:1" x14ac:dyDescent="0.2">
      <c r="A780">
        <v>968</v>
      </c>
    </row>
    <row r="781" spans="1:1" x14ac:dyDescent="0.2">
      <c r="A781">
        <v>969</v>
      </c>
    </row>
    <row r="782" spans="1:1" x14ac:dyDescent="0.2">
      <c r="A782">
        <v>970</v>
      </c>
    </row>
    <row r="783" spans="1:1" x14ac:dyDescent="0.2">
      <c r="A783">
        <v>971</v>
      </c>
    </row>
    <row r="784" spans="1:1" x14ac:dyDescent="0.2">
      <c r="A784">
        <v>972</v>
      </c>
    </row>
    <row r="785" spans="1:1" x14ac:dyDescent="0.2">
      <c r="A785">
        <v>973</v>
      </c>
    </row>
    <row r="786" spans="1:1" x14ac:dyDescent="0.2">
      <c r="A786">
        <v>974</v>
      </c>
    </row>
    <row r="787" spans="1:1" x14ac:dyDescent="0.2">
      <c r="A787">
        <v>975</v>
      </c>
    </row>
    <row r="788" spans="1:1" x14ac:dyDescent="0.2">
      <c r="A788">
        <v>976</v>
      </c>
    </row>
    <row r="789" spans="1:1" x14ac:dyDescent="0.2">
      <c r="A789">
        <v>977</v>
      </c>
    </row>
    <row r="790" spans="1:1" x14ac:dyDescent="0.2">
      <c r="A790">
        <v>978</v>
      </c>
    </row>
    <row r="791" spans="1:1" x14ac:dyDescent="0.2">
      <c r="A791">
        <v>979</v>
      </c>
    </row>
    <row r="792" spans="1:1" x14ac:dyDescent="0.2">
      <c r="A792">
        <v>980</v>
      </c>
    </row>
    <row r="793" spans="1:1" x14ac:dyDescent="0.2">
      <c r="A793">
        <v>981</v>
      </c>
    </row>
    <row r="794" spans="1:1" x14ac:dyDescent="0.2">
      <c r="A794">
        <v>982</v>
      </c>
    </row>
    <row r="795" spans="1:1" x14ac:dyDescent="0.2">
      <c r="A795">
        <v>983</v>
      </c>
    </row>
    <row r="796" spans="1:1" x14ac:dyDescent="0.2">
      <c r="A796">
        <v>984</v>
      </c>
    </row>
    <row r="797" spans="1:1" x14ac:dyDescent="0.2">
      <c r="A797">
        <v>985</v>
      </c>
    </row>
    <row r="798" spans="1:1" x14ac:dyDescent="0.2">
      <c r="A798">
        <v>986</v>
      </c>
    </row>
    <row r="799" spans="1:1" x14ac:dyDescent="0.2">
      <c r="A799">
        <v>987</v>
      </c>
    </row>
    <row r="800" spans="1:1" x14ac:dyDescent="0.2">
      <c r="A800">
        <v>988</v>
      </c>
    </row>
    <row r="801" spans="1:1" x14ac:dyDescent="0.2">
      <c r="A801">
        <v>989</v>
      </c>
    </row>
    <row r="802" spans="1:1" x14ac:dyDescent="0.2">
      <c r="A802">
        <v>990</v>
      </c>
    </row>
    <row r="803" spans="1:1" x14ac:dyDescent="0.2">
      <c r="A803">
        <v>991</v>
      </c>
    </row>
    <row r="804" spans="1:1" x14ac:dyDescent="0.2">
      <c r="A804">
        <v>992</v>
      </c>
    </row>
    <row r="805" spans="1:1" x14ac:dyDescent="0.2">
      <c r="A805">
        <v>993</v>
      </c>
    </row>
    <row r="806" spans="1:1" x14ac:dyDescent="0.2">
      <c r="A806">
        <v>994</v>
      </c>
    </row>
    <row r="807" spans="1:1" x14ac:dyDescent="0.2">
      <c r="A807">
        <v>995</v>
      </c>
    </row>
    <row r="808" spans="1:1" x14ac:dyDescent="0.2">
      <c r="A808">
        <v>996</v>
      </c>
    </row>
    <row r="809" spans="1:1" x14ac:dyDescent="0.2">
      <c r="A809">
        <v>997</v>
      </c>
    </row>
    <row r="810" spans="1:1" x14ac:dyDescent="0.2">
      <c r="A810">
        <v>998</v>
      </c>
    </row>
    <row r="811" spans="1:1" x14ac:dyDescent="0.2">
      <c r="A811">
        <v>999</v>
      </c>
    </row>
    <row r="812" spans="1:1" x14ac:dyDescent="0.2">
      <c r="A812">
        <v>1000</v>
      </c>
    </row>
    <row r="813" spans="1:1" x14ac:dyDescent="0.2">
      <c r="A813">
        <v>1001</v>
      </c>
    </row>
    <row r="814" spans="1:1" x14ac:dyDescent="0.2">
      <c r="A814">
        <v>1002</v>
      </c>
    </row>
    <row r="815" spans="1:1" x14ac:dyDescent="0.2">
      <c r="A815">
        <v>1003</v>
      </c>
    </row>
    <row r="816" spans="1:1" x14ac:dyDescent="0.2">
      <c r="A816">
        <v>1004</v>
      </c>
    </row>
    <row r="817" spans="1:1" x14ac:dyDescent="0.2">
      <c r="A817">
        <v>1005</v>
      </c>
    </row>
    <row r="818" spans="1:1" x14ac:dyDescent="0.2">
      <c r="A818">
        <v>1006</v>
      </c>
    </row>
    <row r="819" spans="1:1" x14ac:dyDescent="0.2">
      <c r="A819">
        <v>1007</v>
      </c>
    </row>
    <row r="820" spans="1:1" x14ac:dyDescent="0.2">
      <c r="A820">
        <v>1008</v>
      </c>
    </row>
    <row r="821" spans="1:1" x14ac:dyDescent="0.2">
      <c r="A821">
        <v>1009</v>
      </c>
    </row>
    <row r="822" spans="1:1" x14ac:dyDescent="0.2">
      <c r="A822">
        <v>1010</v>
      </c>
    </row>
    <row r="823" spans="1:1" x14ac:dyDescent="0.2">
      <c r="A823">
        <v>1011</v>
      </c>
    </row>
    <row r="824" spans="1:1" x14ac:dyDescent="0.2">
      <c r="A824">
        <v>1012</v>
      </c>
    </row>
    <row r="825" spans="1:1" x14ac:dyDescent="0.2">
      <c r="A825">
        <v>1013</v>
      </c>
    </row>
    <row r="826" spans="1:1" x14ac:dyDescent="0.2">
      <c r="A826">
        <v>1014</v>
      </c>
    </row>
    <row r="827" spans="1:1" x14ac:dyDescent="0.2">
      <c r="A827">
        <v>1015</v>
      </c>
    </row>
    <row r="828" spans="1:1" x14ac:dyDescent="0.2">
      <c r="A828">
        <v>1016</v>
      </c>
    </row>
    <row r="829" spans="1:1" x14ac:dyDescent="0.2">
      <c r="A829">
        <v>1017</v>
      </c>
    </row>
    <row r="830" spans="1:1" x14ac:dyDescent="0.2">
      <c r="A830">
        <v>1018</v>
      </c>
    </row>
    <row r="831" spans="1:1" x14ac:dyDescent="0.2">
      <c r="A831">
        <v>1019</v>
      </c>
    </row>
    <row r="832" spans="1:1" x14ac:dyDescent="0.2">
      <c r="A832">
        <v>1020</v>
      </c>
    </row>
    <row r="833" spans="1:1" x14ac:dyDescent="0.2">
      <c r="A833">
        <v>1021</v>
      </c>
    </row>
    <row r="834" spans="1:1" x14ac:dyDescent="0.2">
      <c r="A834">
        <v>1022</v>
      </c>
    </row>
    <row r="835" spans="1:1" x14ac:dyDescent="0.2">
      <c r="A835">
        <v>1023</v>
      </c>
    </row>
    <row r="836" spans="1:1" x14ac:dyDescent="0.2">
      <c r="A836">
        <v>1024</v>
      </c>
    </row>
    <row r="837" spans="1:1" x14ac:dyDescent="0.2">
      <c r="A837">
        <v>1025</v>
      </c>
    </row>
    <row r="838" spans="1:1" x14ac:dyDescent="0.2">
      <c r="A838">
        <v>1026</v>
      </c>
    </row>
    <row r="839" spans="1:1" x14ac:dyDescent="0.2">
      <c r="A839">
        <v>1027</v>
      </c>
    </row>
    <row r="840" spans="1:1" x14ac:dyDescent="0.2">
      <c r="A840">
        <v>1028</v>
      </c>
    </row>
    <row r="841" spans="1:1" x14ac:dyDescent="0.2">
      <c r="A841">
        <v>1029</v>
      </c>
    </row>
    <row r="842" spans="1:1" x14ac:dyDescent="0.2">
      <c r="A842">
        <v>1030</v>
      </c>
    </row>
    <row r="843" spans="1:1" x14ac:dyDescent="0.2">
      <c r="A843">
        <v>1031</v>
      </c>
    </row>
    <row r="844" spans="1:1" x14ac:dyDescent="0.2">
      <c r="A844">
        <v>1032</v>
      </c>
    </row>
    <row r="845" spans="1:1" x14ac:dyDescent="0.2">
      <c r="A845">
        <v>1033</v>
      </c>
    </row>
    <row r="846" spans="1:1" x14ac:dyDescent="0.2">
      <c r="A846">
        <v>1034</v>
      </c>
    </row>
    <row r="847" spans="1:1" x14ac:dyDescent="0.2">
      <c r="A847">
        <v>1035</v>
      </c>
    </row>
    <row r="848" spans="1:1" x14ac:dyDescent="0.2">
      <c r="A848">
        <v>1036</v>
      </c>
    </row>
    <row r="849" spans="1:1" x14ac:dyDescent="0.2">
      <c r="A849">
        <v>1037</v>
      </c>
    </row>
    <row r="850" spans="1:1" x14ac:dyDescent="0.2">
      <c r="A850">
        <v>1038</v>
      </c>
    </row>
    <row r="851" spans="1:1" x14ac:dyDescent="0.2">
      <c r="A851">
        <v>1039</v>
      </c>
    </row>
    <row r="852" spans="1:1" x14ac:dyDescent="0.2">
      <c r="A852">
        <v>1040</v>
      </c>
    </row>
    <row r="853" spans="1:1" x14ac:dyDescent="0.2">
      <c r="A853">
        <v>1041</v>
      </c>
    </row>
    <row r="854" spans="1:1" x14ac:dyDescent="0.2">
      <c r="A854">
        <v>1042</v>
      </c>
    </row>
    <row r="855" spans="1:1" x14ac:dyDescent="0.2">
      <c r="A855">
        <v>1043</v>
      </c>
    </row>
    <row r="856" spans="1:1" x14ac:dyDescent="0.2">
      <c r="A856">
        <v>1044</v>
      </c>
    </row>
    <row r="857" spans="1:1" x14ac:dyDescent="0.2">
      <c r="A857">
        <v>1045</v>
      </c>
    </row>
    <row r="858" spans="1:1" x14ac:dyDescent="0.2">
      <c r="A858">
        <v>1046</v>
      </c>
    </row>
    <row r="859" spans="1:1" x14ac:dyDescent="0.2">
      <c r="A859">
        <v>1047</v>
      </c>
    </row>
    <row r="860" spans="1:1" x14ac:dyDescent="0.2">
      <c r="A860">
        <v>1048</v>
      </c>
    </row>
    <row r="861" spans="1:1" x14ac:dyDescent="0.2">
      <c r="A861">
        <v>1049</v>
      </c>
    </row>
    <row r="862" spans="1:1" x14ac:dyDescent="0.2">
      <c r="A862">
        <v>1050</v>
      </c>
    </row>
    <row r="863" spans="1:1" x14ac:dyDescent="0.2">
      <c r="A863">
        <v>1051</v>
      </c>
    </row>
    <row r="864" spans="1:1" x14ac:dyDescent="0.2">
      <c r="A864">
        <v>1052</v>
      </c>
    </row>
    <row r="865" spans="1:1" x14ac:dyDescent="0.2">
      <c r="A865">
        <v>1053</v>
      </c>
    </row>
    <row r="866" spans="1:1" x14ac:dyDescent="0.2">
      <c r="A866">
        <v>1054</v>
      </c>
    </row>
    <row r="867" spans="1:1" x14ac:dyDescent="0.2">
      <c r="A867">
        <v>1055</v>
      </c>
    </row>
    <row r="868" spans="1:1" x14ac:dyDescent="0.2">
      <c r="A868">
        <v>1056</v>
      </c>
    </row>
    <row r="869" spans="1:1" x14ac:dyDescent="0.2">
      <c r="A869">
        <v>1057</v>
      </c>
    </row>
    <row r="870" spans="1:1" x14ac:dyDescent="0.2">
      <c r="A870">
        <v>1058</v>
      </c>
    </row>
    <row r="871" spans="1:1" x14ac:dyDescent="0.2">
      <c r="A871">
        <v>1059</v>
      </c>
    </row>
    <row r="872" spans="1:1" x14ac:dyDescent="0.2">
      <c r="A872">
        <v>1060</v>
      </c>
    </row>
    <row r="873" spans="1:1" x14ac:dyDescent="0.2">
      <c r="A873">
        <v>1061</v>
      </c>
    </row>
    <row r="874" spans="1:1" x14ac:dyDescent="0.2">
      <c r="A874">
        <v>1062</v>
      </c>
    </row>
    <row r="875" spans="1:1" x14ac:dyDescent="0.2">
      <c r="A875">
        <v>1063</v>
      </c>
    </row>
    <row r="876" spans="1:1" x14ac:dyDescent="0.2">
      <c r="A876">
        <v>1064</v>
      </c>
    </row>
    <row r="877" spans="1:1" x14ac:dyDescent="0.2">
      <c r="A877">
        <v>1065</v>
      </c>
    </row>
    <row r="878" spans="1:1" x14ac:dyDescent="0.2">
      <c r="A878">
        <v>1066</v>
      </c>
    </row>
    <row r="879" spans="1:1" x14ac:dyDescent="0.2">
      <c r="A879">
        <v>1067</v>
      </c>
    </row>
    <row r="880" spans="1:1" x14ac:dyDescent="0.2">
      <c r="A880">
        <v>1068</v>
      </c>
    </row>
    <row r="881" spans="1:1" x14ac:dyDescent="0.2">
      <c r="A881">
        <v>1069</v>
      </c>
    </row>
    <row r="882" spans="1:1" x14ac:dyDescent="0.2">
      <c r="A882">
        <v>1070</v>
      </c>
    </row>
    <row r="883" spans="1:1" x14ac:dyDescent="0.2">
      <c r="A883">
        <v>1071</v>
      </c>
    </row>
    <row r="884" spans="1:1" x14ac:dyDescent="0.2">
      <c r="A884">
        <v>1072</v>
      </c>
    </row>
    <row r="885" spans="1:1" x14ac:dyDescent="0.2">
      <c r="A885">
        <v>1073</v>
      </c>
    </row>
    <row r="886" spans="1:1" x14ac:dyDescent="0.2">
      <c r="A886">
        <v>1074</v>
      </c>
    </row>
    <row r="887" spans="1:1" x14ac:dyDescent="0.2">
      <c r="A887">
        <v>1075</v>
      </c>
    </row>
    <row r="888" spans="1:1" x14ac:dyDescent="0.2">
      <c r="A888">
        <v>1076</v>
      </c>
    </row>
    <row r="889" spans="1:1" x14ac:dyDescent="0.2">
      <c r="A889">
        <v>1077</v>
      </c>
    </row>
    <row r="890" spans="1:1" x14ac:dyDescent="0.2">
      <c r="A890">
        <v>1078</v>
      </c>
    </row>
    <row r="891" spans="1:1" x14ac:dyDescent="0.2">
      <c r="A891">
        <v>1079</v>
      </c>
    </row>
    <row r="892" spans="1:1" x14ac:dyDescent="0.2">
      <c r="A892">
        <v>1080</v>
      </c>
    </row>
    <row r="893" spans="1:1" x14ac:dyDescent="0.2">
      <c r="A893">
        <v>1081</v>
      </c>
    </row>
    <row r="894" spans="1:1" x14ac:dyDescent="0.2">
      <c r="A894">
        <v>1082</v>
      </c>
    </row>
    <row r="895" spans="1:1" x14ac:dyDescent="0.2">
      <c r="A895">
        <v>1083</v>
      </c>
    </row>
    <row r="896" spans="1:1" x14ac:dyDescent="0.2">
      <c r="A896">
        <v>1084</v>
      </c>
    </row>
    <row r="897" spans="1:1" x14ac:dyDescent="0.2">
      <c r="A897">
        <v>1085</v>
      </c>
    </row>
    <row r="898" spans="1:1" x14ac:dyDescent="0.2">
      <c r="A898">
        <v>1086</v>
      </c>
    </row>
    <row r="899" spans="1:1" x14ac:dyDescent="0.2">
      <c r="A899">
        <v>1087</v>
      </c>
    </row>
    <row r="900" spans="1:1" x14ac:dyDescent="0.2">
      <c r="A900">
        <v>1088</v>
      </c>
    </row>
    <row r="901" spans="1:1" x14ac:dyDescent="0.2">
      <c r="A901">
        <v>1089</v>
      </c>
    </row>
    <row r="902" spans="1:1" x14ac:dyDescent="0.2">
      <c r="A902">
        <v>1090</v>
      </c>
    </row>
    <row r="903" spans="1:1" x14ac:dyDescent="0.2">
      <c r="A903">
        <v>1091</v>
      </c>
    </row>
    <row r="904" spans="1:1" x14ac:dyDescent="0.2">
      <c r="A904">
        <v>1092</v>
      </c>
    </row>
    <row r="905" spans="1:1" x14ac:dyDescent="0.2">
      <c r="A905">
        <v>1093</v>
      </c>
    </row>
    <row r="906" spans="1:1" x14ac:dyDescent="0.2">
      <c r="A906">
        <v>1094</v>
      </c>
    </row>
    <row r="907" spans="1:1" x14ac:dyDescent="0.2">
      <c r="A907">
        <v>1095</v>
      </c>
    </row>
    <row r="908" spans="1:1" x14ac:dyDescent="0.2">
      <c r="A908">
        <v>1096</v>
      </c>
    </row>
    <row r="909" spans="1:1" x14ac:dyDescent="0.2">
      <c r="A909">
        <v>1097</v>
      </c>
    </row>
    <row r="910" spans="1:1" x14ac:dyDescent="0.2">
      <c r="A910">
        <v>1098</v>
      </c>
    </row>
    <row r="911" spans="1:1" x14ac:dyDescent="0.2">
      <c r="A911">
        <v>1099</v>
      </c>
    </row>
    <row r="912" spans="1:1" x14ac:dyDescent="0.2">
      <c r="A912">
        <v>1100</v>
      </c>
    </row>
    <row r="913" spans="1:1" x14ac:dyDescent="0.2">
      <c r="A913">
        <v>1101</v>
      </c>
    </row>
    <row r="914" spans="1:1" x14ac:dyDescent="0.2">
      <c r="A914">
        <v>1102</v>
      </c>
    </row>
    <row r="915" spans="1:1" x14ac:dyDescent="0.2">
      <c r="A915">
        <v>1103</v>
      </c>
    </row>
    <row r="916" spans="1:1" x14ac:dyDescent="0.2">
      <c r="A916">
        <v>1104</v>
      </c>
    </row>
    <row r="917" spans="1:1" x14ac:dyDescent="0.2">
      <c r="A917">
        <v>1105</v>
      </c>
    </row>
    <row r="918" spans="1:1" x14ac:dyDescent="0.2">
      <c r="A918">
        <v>1106</v>
      </c>
    </row>
    <row r="919" spans="1:1" x14ac:dyDescent="0.2">
      <c r="A919">
        <v>1107</v>
      </c>
    </row>
    <row r="920" spans="1:1" x14ac:dyDescent="0.2">
      <c r="A920">
        <v>1108</v>
      </c>
    </row>
    <row r="921" spans="1:1" x14ac:dyDescent="0.2">
      <c r="A921">
        <v>1109</v>
      </c>
    </row>
    <row r="922" spans="1:1" x14ac:dyDescent="0.2">
      <c r="A922">
        <v>1110</v>
      </c>
    </row>
    <row r="923" spans="1:1" x14ac:dyDescent="0.2">
      <c r="A923">
        <v>1111</v>
      </c>
    </row>
    <row r="924" spans="1:1" x14ac:dyDescent="0.2">
      <c r="A924">
        <v>1112</v>
      </c>
    </row>
    <row r="925" spans="1:1" x14ac:dyDescent="0.2">
      <c r="A925">
        <v>1113</v>
      </c>
    </row>
    <row r="926" spans="1:1" x14ac:dyDescent="0.2">
      <c r="A926">
        <v>1114</v>
      </c>
    </row>
    <row r="927" spans="1:1" x14ac:dyDescent="0.2">
      <c r="A927">
        <v>1115</v>
      </c>
    </row>
    <row r="928" spans="1:1" x14ac:dyDescent="0.2">
      <c r="A928">
        <v>1116</v>
      </c>
    </row>
    <row r="929" spans="1:1" x14ac:dyDescent="0.2">
      <c r="A929">
        <v>1117</v>
      </c>
    </row>
    <row r="930" spans="1:1" x14ac:dyDescent="0.2">
      <c r="A930">
        <v>1118</v>
      </c>
    </row>
    <row r="931" spans="1:1" x14ac:dyDescent="0.2">
      <c r="A931">
        <v>1119</v>
      </c>
    </row>
    <row r="932" spans="1:1" x14ac:dyDescent="0.2">
      <c r="A932">
        <v>1120</v>
      </c>
    </row>
    <row r="933" spans="1:1" x14ac:dyDescent="0.2">
      <c r="A933">
        <v>1121</v>
      </c>
    </row>
    <row r="934" spans="1:1" x14ac:dyDescent="0.2">
      <c r="A934">
        <v>1122</v>
      </c>
    </row>
    <row r="935" spans="1:1" x14ac:dyDescent="0.2">
      <c r="A935">
        <v>1123</v>
      </c>
    </row>
    <row r="936" spans="1:1" x14ac:dyDescent="0.2">
      <c r="A936">
        <v>1124</v>
      </c>
    </row>
    <row r="937" spans="1:1" x14ac:dyDescent="0.2">
      <c r="A937">
        <v>1125</v>
      </c>
    </row>
    <row r="938" spans="1:1" x14ac:dyDescent="0.2">
      <c r="A938">
        <v>1126</v>
      </c>
    </row>
    <row r="939" spans="1:1" x14ac:dyDescent="0.2">
      <c r="A939">
        <v>1127</v>
      </c>
    </row>
    <row r="940" spans="1:1" x14ac:dyDescent="0.2">
      <c r="A940">
        <v>1128</v>
      </c>
    </row>
    <row r="941" spans="1:1" x14ac:dyDescent="0.2">
      <c r="A941">
        <v>1129</v>
      </c>
    </row>
    <row r="942" spans="1:1" x14ac:dyDescent="0.2">
      <c r="A942">
        <v>1130</v>
      </c>
    </row>
    <row r="943" spans="1:1" x14ac:dyDescent="0.2">
      <c r="A943">
        <v>1131</v>
      </c>
    </row>
    <row r="944" spans="1:1" x14ac:dyDescent="0.2">
      <c r="A944">
        <v>1132</v>
      </c>
    </row>
    <row r="945" spans="1:1" x14ac:dyDescent="0.2">
      <c r="A945">
        <v>1133</v>
      </c>
    </row>
    <row r="946" spans="1:1" x14ac:dyDescent="0.2">
      <c r="A946">
        <v>1134</v>
      </c>
    </row>
    <row r="947" spans="1:1" x14ac:dyDescent="0.2">
      <c r="A947">
        <v>1135</v>
      </c>
    </row>
    <row r="948" spans="1:1" x14ac:dyDescent="0.2">
      <c r="A948">
        <v>1136</v>
      </c>
    </row>
    <row r="949" spans="1:1" x14ac:dyDescent="0.2">
      <c r="A949">
        <v>1137</v>
      </c>
    </row>
    <row r="950" spans="1:1" x14ac:dyDescent="0.2">
      <c r="A950">
        <v>1138</v>
      </c>
    </row>
    <row r="951" spans="1:1" x14ac:dyDescent="0.2">
      <c r="A951">
        <v>1139</v>
      </c>
    </row>
    <row r="952" spans="1:1" x14ac:dyDescent="0.2">
      <c r="A952">
        <v>1140</v>
      </c>
    </row>
    <row r="953" spans="1:1" x14ac:dyDescent="0.2">
      <c r="A953">
        <v>1141</v>
      </c>
    </row>
    <row r="954" spans="1:1" x14ac:dyDescent="0.2">
      <c r="A954">
        <v>1142</v>
      </c>
    </row>
    <row r="955" spans="1:1" x14ac:dyDescent="0.2">
      <c r="A955">
        <v>1143</v>
      </c>
    </row>
    <row r="956" spans="1:1" x14ac:dyDescent="0.2">
      <c r="A956">
        <v>1144</v>
      </c>
    </row>
    <row r="957" spans="1:1" x14ac:dyDescent="0.2">
      <c r="A957">
        <v>1145</v>
      </c>
    </row>
    <row r="958" spans="1:1" x14ac:dyDescent="0.2">
      <c r="A958">
        <v>1146</v>
      </c>
    </row>
    <row r="959" spans="1:1" x14ac:dyDescent="0.2">
      <c r="A959">
        <v>1147</v>
      </c>
    </row>
    <row r="960" spans="1:1" x14ac:dyDescent="0.2">
      <c r="A960">
        <v>1148</v>
      </c>
    </row>
    <row r="961" spans="1:1" x14ac:dyDescent="0.2">
      <c r="A961">
        <v>1149</v>
      </c>
    </row>
    <row r="962" spans="1:1" x14ac:dyDescent="0.2">
      <c r="A962">
        <v>1150</v>
      </c>
    </row>
    <row r="963" spans="1:1" x14ac:dyDescent="0.2">
      <c r="A963">
        <v>1151</v>
      </c>
    </row>
    <row r="964" spans="1:1" x14ac:dyDescent="0.2">
      <c r="A964">
        <v>1152</v>
      </c>
    </row>
    <row r="965" spans="1:1" x14ac:dyDescent="0.2">
      <c r="A965">
        <v>1153</v>
      </c>
    </row>
    <row r="966" spans="1:1" x14ac:dyDescent="0.2">
      <c r="A966">
        <v>1154</v>
      </c>
    </row>
    <row r="967" spans="1:1" x14ac:dyDescent="0.2">
      <c r="A967">
        <v>1155</v>
      </c>
    </row>
    <row r="968" spans="1:1" x14ac:dyDescent="0.2">
      <c r="A968">
        <v>1156</v>
      </c>
    </row>
    <row r="969" spans="1:1" x14ac:dyDescent="0.2">
      <c r="A969">
        <v>1157</v>
      </c>
    </row>
    <row r="970" spans="1:1" x14ac:dyDescent="0.2">
      <c r="A970">
        <v>1158</v>
      </c>
    </row>
    <row r="971" spans="1:1" x14ac:dyDescent="0.2">
      <c r="A971">
        <v>1159</v>
      </c>
    </row>
    <row r="972" spans="1:1" x14ac:dyDescent="0.2">
      <c r="A972">
        <v>1160</v>
      </c>
    </row>
    <row r="973" spans="1:1" x14ac:dyDescent="0.2">
      <c r="A973">
        <v>1161</v>
      </c>
    </row>
    <row r="974" spans="1:1" x14ac:dyDescent="0.2">
      <c r="A974">
        <v>1162</v>
      </c>
    </row>
    <row r="975" spans="1:1" x14ac:dyDescent="0.2">
      <c r="A975">
        <v>1163</v>
      </c>
    </row>
    <row r="976" spans="1:1" x14ac:dyDescent="0.2">
      <c r="A976">
        <v>1164</v>
      </c>
    </row>
    <row r="977" spans="1:1" x14ac:dyDescent="0.2">
      <c r="A977">
        <v>1165</v>
      </c>
    </row>
    <row r="978" spans="1:1" x14ac:dyDescent="0.2">
      <c r="A978">
        <v>1166</v>
      </c>
    </row>
    <row r="979" spans="1:1" x14ac:dyDescent="0.2">
      <c r="A979">
        <v>1167</v>
      </c>
    </row>
    <row r="980" spans="1:1" x14ac:dyDescent="0.2">
      <c r="A980">
        <v>1168</v>
      </c>
    </row>
    <row r="981" spans="1:1" x14ac:dyDescent="0.2">
      <c r="A981">
        <v>1169</v>
      </c>
    </row>
    <row r="982" spans="1:1" x14ac:dyDescent="0.2">
      <c r="A982">
        <v>1170</v>
      </c>
    </row>
    <row r="983" spans="1:1" x14ac:dyDescent="0.2">
      <c r="A983">
        <v>1171</v>
      </c>
    </row>
    <row r="984" spans="1:1" x14ac:dyDescent="0.2">
      <c r="A984">
        <v>1172</v>
      </c>
    </row>
    <row r="985" spans="1:1" x14ac:dyDescent="0.2">
      <c r="A985">
        <v>1173</v>
      </c>
    </row>
    <row r="986" spans="1:1" x14ac:dyDescent="0.2">
      <c r="A986">
        <v>1174</v>
      </c>
    </row>
    <row r="987" spans="1:1" x14ac:dyDescent="0.2">
      <c r="A987">
        <v>1175</v>
      </c>
    </row>
    <row r="988" spans="1:1" x14ac:dyDescent="0.2">
      <c r="A988">
        <v>1176</v>
      </c>
    </row>
    <row r="989" spans="1:1" x14ac:dyDescent="0.2">
      <c r="A989">
        <v>1177</v>
      </c>
    </row>
    <row r="990" spans="1:1" x14ac:dyDescent="0.2">
      <c r="A990">
        <v>1178</v>
      </c>
    </row>
    <row r="991" spans="1:1" x14ac:dyDescent="0.2">
      <c r="A991">
        <v>1179</v>
      </c>
    </row>
    <row r="992" spans="1:1" x14ac:dyDescent="0.2">
      <c r="A992">
        <v>1180</v>
      </c>
    </row>
    <row r="993" spans="1:1" x14ac:dyDescent="0.2">
      <c r="A993">
        <v>1181</v>
      </c>
    </row>
    <row r="994" spans="1:1" x14ac:dyDescent="0.2">
      <c r="A994">
        <v>1182</v>
      </c>
    </row>
    <row r="995" spans="1:1" x14ac:dyDescent="0.2">
      <c r="A995">
        <v>1183</v>
      </c>
    </row>
    <row r="996" spans="1:1" x14ac:dyDescent="0.2">
      <c r="A996">
        <v>1184</v>
      </c>
    </row>
    <row r="997" spans="1:1" x14ac:dyDescent="0.2">
      <c r="A997">
        <v>1185</v>
      </c>
    </row>
    <row r="998" spans="1:1" x14ac:dyDescent="0.2">
      <c r="A998">
        <v>1186</v>
      </c>
    </row>
    <row r="999" spans="1:1" x14ac:dyDescent="0.2">
      <c r="A999">
        <v>1187</v>
      </c>
    </row>
    <row r="1000" spans="1:1" x14ac:dyDescent="0.2">
      <c r="A1000">
        <v>1188</v>
      </c>
    </row>
    <row r="1001" spans="1:1" x14ac:dyDescent="0.2">
      <c r="A1001">
        <v>1189</v>
      </c>
    </row>
    <row r="1002" spans="1:1" x14ac:dyDescent="0.2">
      <c r="A1002">
        <v>1190</v>
      </c>
    </row>
    <row r="1003" spans="1:1" x14ac:dyDescent="0.2">
      <c r="A1003">
        <v>1191</v>
      </c>
    </row>
    <row r="1004" spans="1:1" x14ac:dyDescent="0.2">
      <c r="A1004">
        <v>1192</v>
      </c>
    </row>
    <row r="1005" spans="1:1" x14ac:dyDescent="0.2">
      <c r="A1005">
        <v>1193</v>
      </c>
    </row>
    <row r="1006" spans="1:1" x14ac:dyDescent="0.2">
      <c r="A1006">
        <v>1194</v>
      </c>
    </row>
    <row r="1007" spans="1:1" x14ac:dyDescent="0.2">
      <c r="A1007">
        <v>1195</v>
      </c>
    </row>
    <row r="1008" spans="1:1" x14ac:dyDescent="0.2">
      <c r="A1008">
        <v>1196</v>
      </c>
    </row>
    <row r="1009" spans="1:1" x14ac:dyDescent="0.2">
      <c r="A1009">
        <v>1197</v>
      </c>
    </row>
    <row r="1010" spans="1:1" x14ac:dyDescent="0.2">
      <c r="A1010">
        <v>1198</v>
      </c>
    </row>
    <row r="1011" spans="1:1" x14ac:dyDescent="0.2">
      <c r="A1011">
        <v>1199</v>
      </c>
    </row>
    <row r="1012" spans="1:1" x14ac:dyDescent="0.2">
      <c r="A1012">
        <v>1200</v>
      </c>
    </row>
    <row r="1013" spans="1:1" x14ac:dyDescent="0.2">
      <c r="A1013">
        <v>1201</v>
      </c>
    </row>
    <row r="1014" spans="1:1" x14ac:dyDescent="0.2">
      <c r="A1014">
        <v>1202</v>
      </c>
    </row>
    <row r="1015" spans="1:1" x14ac:dyDescent="0.2">
      <c r="A1015">
        <v>1203</v>
      </c>
    </row>
    <row r="1016" spans="1:1" x14ac:dyDescent="0.2">
      <c r="A1016">
        <v>1204</v>
      </c>
    </row>
    <row r="1017" spans="1:1" x14ac:dyDescent="0.2">
      <c r="A1017">
        <v>1205</v>
      </c>
    </row>
    <row r="1018" spans="1:1" x14ac:dyDescent="0.2">
      <c r="A1018">
        <v>1206</v>
      </c>
    </row>
    <row r="1019" spans="1:1" x14ac:dyDescent="0.2">
      <c r="A1019">
        <v>1207</v>
      </c>
    </row>
    <row r="1020" spans="1:1" x14ac:dyDescent="0.2">
      <c r="A1020">
        <v>1208</v>
      </c>
    </row>
    <row r="1021" spans="1:1" x14ac:dyDescent="0.2">
      <c r="A1021">
        <v>1209</v>
      </c>
    </row>
    <row r="1022" spans="1:1" x14ac:dyDescent="0.2">
      <c r="A1022">
        <v>1210</v>
      </c>
    </row>
    <row r="1023" spans="1:1" x14ac:dyDescent="0.2">
      <c r="A1023">
        <v>1211</v>
      </c>
    </row>
    <row r="1024" spans="1:1" x14ac:dyDescent="0.2">
      <c r="A1024">
        <v>1212</v>
      </c>
    </row>
    <row r="1025" spans="1:1" x14ac:dyDescent="0.2">
      <c r="A1025">
        <v>1213</v>
      </c>
    </row>
    <row r="1026" spans="1:1" x14ac:dyDescent="0.2">
      <c r="A1026">
        <v>1214</v>
      </c>
    </row>
    <row r="1027" spans="1:1" x14ac:dyDescent="0.2">
      <c r="A1027">
        <v>1215</v>
      </c>
    </row>
    <row r="1028" spans="1:1" x14ac:dyDescent="0.2">
      <c r="A1028">
        <v>1216</v>
      </c>
    </row>
    <row r="1029" spans="1:1" x14ac:dyDescent="0.2">
      <c r="A1029">
        <v>1217</v>
      </c>
    </row>
    <row r="1030" spans="1:1" x14ac:dyDescent="0.2">
      <c r="A1030">
        <v>1218</v>
      </c>
    </row>
    <row r="1031" spans="1:1" x14ac:dyDescent="0.2">
      <c r="A1031">
        <v>1219</v>
      </c>
    </row>
    <row r="1032" spans="1:1" x14ac:dyDescent="0.2">
      <c r="A1032">
        <v>1220</v>
      </c>
    </row>
    <row r="1033" spans="1:1" x14ac:dyDescent="0.2">
      <c r="A1033">
        <v>1221</v>
      </c>
    </row>
    <row r="1034" spans="1:1" x14ac:dyDescent="0.2">
      <c r="A1034">
        <v>1222</v>
      </c>
    </row>
    <row r="1035" spans="1:1" x14ac:dyDescent="0.2">
      <c r="A1035">
        <v>1223</v>
      </c>
    </row>
    <row r="1036" spans="1:1" x14ac:dyDescent="0.2">
      <c r="A1036">
        <v>1224</v>
      </c>
    </row>
    <row r="1037" spans="1:1" x14ac:dyDescent="0.2">
      <c r="A1037">
        <v>1225</v>
      </c>
    </row>
    <row r="1038" spans="1:1" x14ac:dyDescent="0.2">
      <c r="A1038">
        <v>1226</v>
      </c>
    </row>
    <row r="1039" spans="1:1" x14ac:dyDescent="0.2">
      <c r="A1039">
        <v>1227</v>
      </c>
    </row>
    <row r="1040" spans="1:1" x14ac:dyDescent="0.2">
      <c r="A1040">
        <v>1228</v>
      </c>
    </row>
    <row r="1041" spans="1:1" x14ac:dyDescent="0.2">
      <c r="A1041">
        <v>1229</v>
      </c>
    </row>
    <row r="1042" spans="1:1" x14ac:dyDescent="0.2">
      <c r="A1042">
        <v>1230</v>
      </c>
    </row>
    <row r="1043" spans="1:1" x14ac:dyDescent="0.2">
      <c r="A1043">
        <v>1231</v>
      </c>
    </row>
    <row r="1044" spans="1:1" x14ac:dyDescent="0.2">
      <c r="A1044">
        <v>1232</v>
      </c>
    </row>
    <row r="1045" spans="1:1" x14ac:dyDescent="0.2">
      <c r="A1045">
        <v>1233</v>
      </c>
    </row>
    <row r="1046" spans="1:1" x14ac:dyDescent="0.2">
      <c r="A1046">
        <v>1234</v>
      </c>
    </row>
    <row r="1047" spans="1:1" x14ac:dyDescent="0.2">
      <c r="A1047">
        <v>1235</v>
      </c>
    </row>
    <row r="1048" spans="1:1" x14ac:dyDescent="0.2">
      <c r="A1048">
        <v>1236</v>
      </c>
    </row>
    <row r="1049" spans="1:1" x14ac:dyDescent="0.2">
      <c r="A1049">
        <v>1237</v>
      </c>
    </row>
    <row r="1050" spans="1:1" x14ac:dyDescent="0.2">
      <c r="A1050">
        <v>1238</v>
      </c>
    </row>
    <row r="1051" spans="1:1" x14ac:dyDescent="0.2">
      <c r="A1051">
        <v>1239</v>
      </c>
    </row>
    <row r="1052" spans="1:1" x14ac:dyDescent="0.2">
      <c r="A1052">
        <v>1240</v>
      </c>
    </row>
    <row r="1053" spans="1:1" x14ac:dyDescent="0.2">
      <c r="A1053">
        <v>1241</v>
      </c>
    </row>
    <row r="1054" spans="1:1" x14ac:dyDescent="0.2">
      <c r="A1054">
        <v>1242</v>
      </c>
    </row>
    <row r="1055" spans="1:1" x14ac:dyDescent="0.2">
      <c r="A1055">
        <v>1243</v>
      </c>
    </row>
    <row r="1056" spans="1:1" x14ac:dyDescent="0.2">
      <c r="A1056">
        <v>1244</v>
      </c>
    </row>
    <row r="1057" spans="1:1" x14ac:dyDescent="0.2">
      <c r="A1057">
        <v>1245</v>
      </c>
    </row>
    <row r="1058" spans="1:1" x14ac:dyDescent="0.2">
      <c r="A1058">
        <v>1246</v>
      </c>
    </row>
    <row r="1059" spans="1:1" x14ac:dyDescent="0.2">
      <c r="A1059">
        <v>1247</v>
      </c>
    </row>
    <row r="1060" spans="1:1" x14ac:dyDescent="0.2">
      <c r="A1060">
        <v>1248</v>
      </c>
    </row>
    <row r="1061" spans="1:1" x14ac:dyDescent="0.2">
      <c r="A1061">
        <v>1249</v>
      </c>
    </row>
    <row r="1062" spans="1:1" x14ac:dyDescent="0.2">
      <c r="A1062">
        <v>1250</v>
      </c>
    </row>
    <row r="1063" spans="1:1" x14ac:dyDescent="0.2">
      <c r="A1063">
        <v>1251</v>
      </c>
    </row>
    <row r="1064" spans="1:1" x14ac:dyDescent="0.2">
      <c r="A1064">
        <v>1252</v>
      </c>
    </row>
    <row r="1065" spans="1:1" x14ac:dyDescent="0.2">
      <c r="A1065">
        <v>1253</v>
      </c>
    </row>
    <row r="1066" spans="1:1" x14ac:dyDescent="0.2">
      <c r="A1066">
        <v>1254</v>
      </c>
    </row>
    <row r="1067" spans="1:1" x14ac:dyDescent="0.2">
      <c r="A1067">
        <v>1255</v>
      </c>
    </row>
    <row r="1068" spans="1:1" x14ac:dyDescent="0.2">
      <c r="A1068">
        <v>1256</v>
      </c>
    </row>
    <row r="1069" spans="1:1" x14ac:dyDescent="0.2">
      <c r="A1069">
        <v>1257</v>
      </c>
    </row>
    <row r="1070" spans="1:1" x14ac:dyDescent="0.2">
      <c r="A1070">
        <v>1258</v>
      </c>
    </row>
    <row r="1071" spans="1:1" x14ac:dyDescent="0.2">
      <c r="A1071">
        <v>1259</v>
      </c>
    </row>
    <row r="1072" spans="1:1" x14ac:dyDescent="0.2">
      <c r="A1072">
        <v>1260</v>
      </c>
    </row>
    <row r="1073" spans="1:1" x14ac:dyDescent="0.2">
      <c r="A1073">
        <v>1261</v>
      </c>
    </row>
    <row r="1074" spans="1:1" x14ac:dyDescent="0.2">
      <c r="A1074">
        <v>1262</v>
      </c>
    </row>
    <row r="1075" spans="1:1" x14ac:dyDescent="0.2">
      <c r="A1075">
        <v>1263</v>
      </c>
    </row>
    <row r="1076" spans="1:1" x14ac:dyDescent="0.2">
      <c r="A1076">
        <v>1264</v>
      </c>
    </row>
    <row r="1077" spans="1:1" x14ac:dyDescent="0.2">
      <c r="A1077">
        <v>1265</v>
      </c>
    </row>
    <row r="1078" spans="1:1" x14ac:dyDescent="0.2">
      <c r="A1078">
        <v>1266</v>
      </c>
    </row>
    <row r="1079" spans="1:1" x14ac:dyDescent="0.2">
      <c r="A1079">
        <v>1267</v>
      </c>
    </row>
    <row r="1080" spans="1:1" x14ac:dyDescent="0.2">
      <c r="A1080">
        <v>1268</v>
      </c>
    </row>
    <row r="1081" spans="1:1" x14ac:dyDescent="0.2">
      <c r="A1081">
        <v>1269</v>
      </c>
    </row>
    <row r="1082" spans="1:1" x14ac:dyDescent="0.2">
      <c r="A1082">
        <v>1270</v>
      </c>
    </row>
    <row r="1083" spans="1:1" x14ac:dyDescent="0.2">
      <c r="A1083">
        <v>1271</v>
      </c>
    </row>
    <row r="1084" spans="1:1" x14ac:dyDescent="0.2">
      <c r="A1084">
        <v>1272</v>
      </c>
    </row>
    <row r="1085" spans="1:1" x14ac:dyDescent="0.2">
      <c r="A1085">
        <v>1273</v>
      </c>
    </row>
    <row r="1086" spans="1:1" x14ac:dyDescent="0.2">
      <c r="A1086">
        <v>1274</v>
      </c>
    </row>
    <row r="1087" spans="1:1" x14ac:dyDescent="0.2">
      <c r="A1087">
        <v>1275</v>
      </c>
    </row>
    <row r="1088" spans="1:1" x14ac:dyDescent="0.2">
      <c r="A1088">
        <v>1276</v>
      </c>
    </row>
    <row r="1089" spans="1:1" x14ac:dyDescent="0.2">
      <c r="A1089">
        <v>1277</v>
      </c>
    </row>
    <row r="1090" spans="1:1" x14ac:dyDescent="0.2">
      <c r="A1090">
        <v>1278</v>
      </c>
    </row>
    <row r="1091" spans="1:1" x14ac:dyDescent="0.2">
      <c r="A1091">
        <v>1279</v>
      </c>
    </row>
    <row r="1092" spans="1:1" x14ac:dyDescent="0.2">
      <c r="A1092">
        <v>1280</v>
      </c>
    </row>
    <row r="1093" spans="1:1" x14ac:dyDescent="0.2">
      <c r="A1093">
        <v>1281</v>
      </c>
    </row>
    <row r="1094" spans="1:1" x14ac:dyDescent="0.2">
      <c r="A1094">
        <v>1282</v>
      </c>
    </row>
    <row r="1095" spans="1:1" x14ac:dyDescent="0.2">
      <c r="A1095">
        <v>1283</v>
      </c>
    </row>
    <row r="1096" spans="1:1" x14ac:dyDescent="0.2">
      <c r="A1096">
        <v>1284</v>
      </c>
    </row>
    <row r="1097" spans="1:1" x14ac:dyDescent="0.2">
      <c r="A1097">
        <v>1285</v>
      </c>
    </row>
    <row r="1098" spans="1:1" x14ac:dyDescent="0.2">
      <c r="A1098">
        <v>1286</v>
      </c>
    </row>
    <row r="1099" spans="1:1" x14ac:dyDescent="0.2">
      <c r="A1099">
        <v>1287</v>
      </c>
    </row>
    <row r="1100" spans="1:1" x14ac:dyDescent="0.2">
      <c r="A1100">
        <v>1288</v>
      </c>
    </row>
    <row r="1101" spans="1:1" x14ac:dyDescent="0.2">
      <c r="A1101">
        <v>1289</v>
      </c>
    </row>
    <row r="1102" spans="1:1" x14ac:dyDescent="0.2">
      <c r="A1102">
        <v>1290</v>
      </c>
    </row>
    <row r="1103" spans="1:1" x14ac:dyDescent="0.2">
      <c r="A1103">
        <v>1291</v>
      </c>
    </row>
    <row r="1104" spans="1:1" x14ac:dyDescent="0.2">
      <c r="A1104">
        <v>1292</v>
      </c>
    </row>
    <row r="1105" spans="1:1" x14ac:dyDescent="0.2">
      <c r="A1105">
        <v>1293</v>
      </c>
    </row>
    <row r="1106" spans="1:1" x14ac:dyDescent="0.2">
      <c r="A1106">
        <v>1294</v>
      </c>
    </row>
    <row r="1107" spans="1:1" x14ac:dyDescent="0.2">
      <c r="A1107">
        <v>1295</v>
      </c>
    </row>
    <row r="1108" spans="1:1" x14ac:dyDescent="0.2">
      <c r="A1108">
        <v>1296</v>
      </c>
    </row>
    <row r="1109" spans="1:1" x14ac:dyDescent="0.2">
      <c r="A1109">
        <v>1297</v>
      </c>
    </row>
    <row r="1110" spans="1:1" x14ac:dyDescent="0.2">
      <c r="A1110">
        <v>1298</v>
      </c>
    </row>
    <row r="1111" spans="1:1" x14ac:dyDescent="0.2">
      <c r="A1111">
        <v>1299</v>
      </c>
    </row>
    <row r="1112" spans="1:1" x14ac:dyDescent="0.2">
      <c r="A1112">
        <v>1300</v>
      </c>
    </row>
    <row r="1113" spans="1:1" x14ac:dyDescent="0.2">
      <c r="A1113">
        <v>1301</v>
      </c>
    </row>
    <row r="1114" spans="1:1" x14ac:dyDescent="0.2">
      <c r="A1114">
        <v>1302</v>
      </c>
    </row>
    <row r="1115" spans="1:1" x14ac:dyDescent="0.2">
      <c r="A1115">
        <v>1303</v>
      </c>
    </row>
    <row r="1116" spans="1:1" x14ac:dyDescent="0.2">
      <c r="A1116">
        <v>1304</v>
      </c>
    </row>
    <row r="1117" spans="1:1" x14ac:dyDescent="0.2">
      <c r="A1117">
        <v>1305</v>
      </c>
    </row>
    <row r="1118" spans="1:1" x14ac:dyDescent="0.2">
      <c r="A1118">
        <v>1306</v>
      </c>
    </row>
    <row r="1119" spans="1:1" x14ac:dyDescent="0.2">
      <c r="A1119">
        <v>1307</v>
      </c>
    </row>
    <row r="1120" spans="1:1" x14ac:dyDescent="0.2">
      <c r="A1120">
        <v>1308</v>
      </c>
    </row>
    <row r="1121" spans="1:1" x14ac:dyDescent="0.2">
      <c r="A1121">
        <v>1309</v>
      </c>
    </row>
    <row r="1122" spans="1:1" x14ac:dyDescent="0.2">
      <c r="A1122">
        <v>1310</v>
      </c>
    </row>
    <row r="1123" spans="1:1" x14ac:dyDescent="0.2">
      <c r="A1123">
        <v>1311</v>
      </c>
    </row>
    <row r="1124" spans="1:1" x14ac:dyDescent="0.2">
      <c r="A1124">
        <v>1312</v>
      </c>
    </row>
    <row r="1125" spans="1:1" x14ac:dyDescent="0.2">
      <c r="A1125">
        <v>1313</v>
      </c>
    </row>
    <row r="1126" spans="1:1" x14ac:dyDescent="0.2">
      <c r="A1126">
        <v>1314</v>
      </c>
    </row>
    <row r="1127" spans="1:1" x14ac:dyDescent="0.2">
      <c r="A1127">
        <v>1315</v>
      </c>
    </row>
    <row r="1128" spans="1:1" x14ac:dyDescent="0.2">
      <c r="A1128">
        <v>1316</v>
      </c>
    </row>
    <row r="1129" spans="1:1" x14ac:dyDescent="0.2">
      <c r="A1129">
        <v>1317</v>
      </c>
    </row>
    <row r="1130" spans="1:1" x14ac:dyDescent="0.2">
      <c r="A1130">
        <v>1318</v>
      </c>
    </row>
    <row r="1131" spans="1:1" x14ac:dyDescent="0.2">
      <c r="A1131">
        <v>1319</v>
      </c>
    </row>
    <row r="1132" spans="1:1" x14ac:dyDescent="0.2">
      <c r="A1132">
        <v>1320</v>
      </c>
    </row>
    <row r="1133" spans="1:1" x14ac:dyDescent="0.2">
      <c r="A1133">
        <v>1321</v>
      </c>
    </row>
    <row r="1134" spans="1:1" x14ac:dyDescent="0.2">
      <c r="A1134">
        <v>1322</v>
      </c>
    </row>
    <row r="1135" spans="1:1" x14ac:dyDescent="0.2">
      <c r="A1135">
        <v>1323</v>
      </c>
    </row>
    <row r="1136" spans="1:1" x14ac:dyDescent="0.2">
      <c r="A1136">
        <v>1324</v>
      </c>
    </row>
    <row r="1137" spans="1:1" x14ac:dyDescent="0.2">
      <c r="A1137">
        <v>1325</v>
      </c>
    </row>
    <row r="1138" spans="1:1" x14ac:dyDescent="0.2">
      <c r="A1138">
        <v>1326</v>
      </c>
    </row>
    <row r="1139" spans="1:1" x14ac:dyDescent="0.2">
      <c r="A1139">
        <v>1327</v>
      </c>
    </row>
    <row r="1140" spans="1:1" x14ac:dyDescent="0.2">
      <c r="A1140">
        <v>1328</v>
      </c>
    </row>
    <row r="1141" spans="1:1" x14ac:dyDescent="0.2">
      <c r="A1141">
        <v>1329</v>
      </c>
    </row>
    <row r="1142" spans="1:1" x14ac:dyDescent="0.2">
      <c r="A1142">
        <v>1330</v>
      </c>
    </row>
    <row r="1143" spans="1:1" x14ac:dyDescent="0.2">
      <c r="A1143">
        <v>1331</v>
      </c>
    </row>
    <row r="1144" spans="1:1" x14ac:dyDescent="0.2">
      <c r="A1144">
        <v>1332</v>
      </c>
    </row>
    <row r="1145" spans="1:1" x14ac:dyDescent="0.2">
      <c r="A1145">
        <v>1333</v>
      </c>
    </row>
    <row r="1146" spans="1:1" x14ac:dyDescent="0.2">
      <c r="A1146">
        <v>1334</v>
      </c>
    </row>
    <row r="1147" spans="1:1" x14ac:dyDescent="0.2">
      <c r="A1147">
        <v>1335</v>
      </c>
    </row>
    <row r="1148" spans="1:1" x14ac:dyDescent="0.2">
      <c r="A1148">
        <v>1336</v>
      </c>
    </row>
    <row r="1149" spans="1:1" x14ac:dyDescent="0.2">
      <c r="A1149">
        <v>1337</v>
      </c>
    </row>
    <row r="1150" spans="1:1" x14ac:dyDescent="0.2">
      <c r="A1150">
        <v>1338</v>
      </c>
    </row>
    <row r="1151" spans="1:1" x14ac:dyDescent="0.2">
      <c r="A1151">
        <v>1339</v>
      </c>
    </row>
    <row r="1152" spans="1:1" x14ac:dyDescent="0.2">
      <c r="A1152">
        <v>1340</v>
      </c>
    </row>
    <row r="1153" spans="1:1" x14ac:dyDescent="0.2">
      <c r="A1153">
        <v>1341</v>
      </c>
    </row>
    <row r="1154" spans="1:1" x14ac:dyDescent="0.2">
      <c r="A1154">
        <v>1342</v>
      </c>
    </row>
    <row r="1155" spans="1:1" x14ac:dyDescent="0.2">
      <c r="A1155">
        <v>1343</v>
      </c>
    </row>
    <row r="1156" spans="1:1" x14ac:dyDescent="0.2">
      <c r="A1156">
        <v>1344</v>
      </c>
    </row>
    <row r="1157" spans="1:1" x14ac:dyDescent="0.2">
      <c r="A1157">
        <v>1345</v>
      </c>
    </row>
    <row r="1158" spans="1:1" x14ac:dyDescent="0.2">
      <c r="A1158">
        <v>1346</v>
      </c>
    </row>
    <row r="1159" spans="1:1" x14ac:dyDescent="0.2">
      <c r="A1159">
        <v>1347</v>
      </c>
    </row>
    <row r="1160" spans="1:1" x14ac:dyDescent="0.2">
      <c r="A1160">
        <v>1348</v>
      </c>
    </row>
    <row r="1161" spans="1:1" x14ac:dyDescent="0.2">
      <c r="A1161">
        <v>1349</v>
      </c>
    </row>
    <row r="1162" spans="1:1" x14ac:dyDescent="0.2">
      <c r="A1162">
        <v>1350</v>
      </c>
    </row>
    <row r="1163" spans="1:1" x14ac:dyDescent="0.2">
      <c r="A1163">
        <v>1351</v>
      </c>
    </row>
    <row r="1164" spans="1:1" x14ac:dyDescent="0.2">
      <c r="A1164">
        <v>1352</v>
      </c>
    </row>
    <row r="1165" spans="1:1" x14ac:dyDescent="0.2">
      <c r="A1165">
        <v>1353</v>
      </c>
    </row>
    <row r="1166" spans="1:1" x14ac:dyDescent="0.2">
      <c r="A1166">
        <v>1354</v>
      </c>
    </row>
    <row r="1167" spans="1:1" x14ac:dyDescent="0.2">
      <c r="A1167">
        <v>1355</v>
      </c>
    </row>
    <row r="1168" spans="1:1" x14ac:dyDescent="0.2">
      <c r="A1168">
        <v>1356</v>
      </c>
    </row>
    <row r="1169" spans="1:1" x14ac:dyDescent="0.2">
      <c r="A1169">
        <v>1357</v>
      </c>
    </row>
    <row r="1170" spans="1:1" x14ac:dyDescent="0.2">
      <c r="A1170">
        <v>1358</v>
      </c>
    </row>
    <row r="1171" spans="1:1" x14ac:dyDescent="0.2">
      <c r="A1171">
        <v>1359</v>
      </c>
    </row>
    <row r="1172" spans="1:1" x14ac:dyDescent="0.2">
      <c r="A1172">
        <v>1360</v>
      </c>
    </row>
    <row r="1173" spans="1:1" x14ac:dyDescent="0.2">
      <c r="A1173">
        <v>1361</v>
      </c>
    </row>
    <row r="1174" spans="1:1" x14ac:dyDescent="0.2">
      <c r="A1174">
        <v>1362</v>
      </c>
    </row>
    <row r="1175" spans="1:1" x14ac:dyDescent="0.2">
      <c r="A1175">
        <v>1363</v>
      </c>
    </row>
    <row r="1176" spans="1:1" x14ac:dyDescent="0.2">
      <c r="A1176">
        <v>1364</v>
      </c>
    </row>
    <row r="1177" spans="1:1" x14ac:dyDescent="0.2">
      <c r="A1177">
        <v>1365</v>
      </c>
    </row>
    <row r="1178" spans="1:1" x14ac:dyDescent="0.2">
      <c r="A1178">
        <v>1366</v>
      </c>
    </row>
    <row r="1179" spans="1:1" x14ac:dyDescent="0.2">
      <c r="A1179">
        <v>1367</v>
      </c>
    </row>
    <row r="1180" spans="1:1" x14ac:dyDescent="0.2">
      <c r="A1180">
        <v>1368</v>
      </c>
    </row>
    <row r="1181" spans="1:1" x14ac:dyDescent="0.2">
      <c r="A1181">
        <v>1369</v>
      </c>
    </row>
    <row r="1182" spans="1:1" x14ac:dyDescent="0.2">
      <c r="A1182">
        <v>1370</v>
      </c>
    </row>
    <row r="1183" spans="1:1" x14ac:dyDescent="0.2">
      <c r="A1183">
        <v>1371</v>
      </c>
    </row>
    <row r="1184" spans="1:1" x14ac:dyDescent="0.2">
      <c r="A1184">
        <v>1372</v>
      </c>
    </row>
    <row r="1185" spans="1:1" x14ac:dyDescent="0.2">
      <c r="A1185">
        <v>1373</v>
      </c>
    </row>
    <row r="1186" spans="1:1" x14ac:dyDescent="0.2">
      <c r="A1186">
        <v>1374</v>
      </c>
    </row>
    <row r="1187" spans="1:1" x14ac:dyDescent="0.2">
      <c r="A1187">
        <v>1375</v>
      </c>
    </row>
    <row r="1188" spans="1:1" x14ac:dyDescent="0.2">
      <c r="A1188">
        <v>1376</v>
      </c>
    </row>
    <row r="1189" spans="1:1" x14ac:dyDescent="0.2">
      <c r="A1189">
        <v>1377</v>
      </c>
    </row>
    <row r="1190" spans="1:1" x14ac:dyDescent="0.2">
      <c r="A1190">
        <v>1378</v>
      </c>
    </row>
    <row r="1191" spans="1:1" x14ac:dyDescent="0.2">
      <c r="A1191">
        <v>1379</v>
      </c>
    </row>
    <row r="1192" spans="1:1" x14ac:dyDescent="0.2">
      <c r="A1192">
        <v>1380</v>
      </c>
    </row>
    <row r="1193" spans="1:1" x14ac:dyDescent="0.2">
      <c r="A1193">
        <v>1381</v>
      </c>
    </row>
    <row r="1194" spans="1:1" x14ac:dyDescent="0.2">
      <c r="A1194">
        <v>1382</v>
      </c>
    </row>
    <row r="1195" spans="1:1" x14ac:dyDescent="0.2">
      <c r="A1195">
        <v>1383</v>
      </c>
    </row>
    <row r="1196" spans="1:1" x14ac:dyDescent="0.2">
      <c r="A1196">
        <v>1384</v>
      </c>
    </row>
    <row r="1197" spans="1:1" x14ac:dyDescent="0.2">
      <c r="A1197">
        <v>1385</v>
      </c>
    </row>
    <row r="1198" spans="1:1" x14ac:dyDescent="0.2">
      <c r="A1198">
        <v>1386</v>
      </c>
    </row>
    <row r="1199" spans="1:1" x14ac:dyDescent="0.2">
      <c r="A1199">
        <v>1387</v>
      </c>
    </row>
    <row r="1200" spans="1:1" x14ac:dyDescent="0.2">
      <c r="A1200">
        <v>1388</v>
      </c>
    </row>
    <row r="1201" spans="1:1" x14ac:dyDescent="0.2">
      <c r="A1201">
        <v>1389</v>
      </c>
    </row>
    <row r="1202" spans="1:1" x14ac:dyDescent="0.2">
      <c r="A1202">
        <v>1390</v>
      </c>
    </row>
    <row r="1203" spans="1:1" x14ac:dyDescent="0.2">
      <c r="A1203">
        <v>1391</v>
      </c>
    </row>
    <row r="1204" spans="1:1" x14ac:dyDescent="0.2">
      <c r="A1204">
        <v>1392</v>
      </c>
    </row>
    <row r="1205" spans="1:1" x14ac:dyDescent="0.2">
      <c r="A1205">
        <v>1393</v>
      </c>
    </row>
    <row r="1206" spans="1:1" x14ac:dyDescent="0.2">
      <c r="A1206">
        <v>1394</v>
      </c>
    </row>
    <row r="1207" spans="1:1" x14ac:dyDescent="0.2">
      <c r="A1207">
        <v>1395</v>
      </c>
    </row>
    <row r="1208" spans="1:1" x14ac:dyDescent="0.2">
      <c r="A1208">
        <v>1396</v>
      </c>
    </row>
    <row r="1209" spans="1:1" x14ac:dyDescent="0.2">
      <c r="A1209">
        <v>1397</v>
      </c>
    </row>
    <row r="1210" spans="1:1" x14ac:dyDescent="0.2">
      <c r="A1210">
        <v>1398</v>
      </c>
    </row>
    <row r="1211" spans="1:1" x14ac:dyDescent="0.2">
      <c r="A1211">
        <v>1399</v>
      </c>
    </row>
    <row r="1212" spans="1:1" x14ac:dyDescent="0.2">
      <c r="A1212">
        <v>1400</v>
      </c>
    </row>
    <row r="1213" spans="1:1" x14ac:dyDescent="0.2">
      <c r="A1213">
        <v>1401</v>
      </c>
    </row>
    <row r="1214" spans="1:1" x14ac:dyDescent="0.2">
      <c r="A1214">
        <v>1402</v>
      </c>
    </row>
    <row r="1215" spans="1:1" x14ac:dyDescent="0.2">
      <c r="A1215">
        <v>1403</v>
      </c>
    </row>
    <row r="1216" spans="1:1" x14ac:dyDescent="0.2">
      <c r="A1216">
        <v>1404</v>
      </c>
    </row>
    <row r="1217" spans="1:1" x14ac:dyDescent="0.2">
      <c r="A1217">
        <v>1405</v>
      </c>
    </row>
    <row r="1218" spans="1:1" x14ac:dyDescent="0.2">
      <c r="A1218">
        <v>1406</v>
      </c>
    </row>
    <row r="1219" spans="1:1" x14ac:dyDescent="0.2">
      <c r="A1219">
        <v>1407</v>
      </c>
    </row>
    <row r="1220" spans="1:1" x14ac:dyDescent="0.2">
      <c r="A1220">
        <v>1408</v>
      </c>
    </row>
    <row r="1221" spans="1:1" x14ac:dyDescent="0.2">
      <c r="A1221">
        <v>1409</v>
      </c>
    </row>
    <row r="1222" spans="1:1" x14ac:dyDescent="0.2">
      <c r="A1222">
        <v>1410</v>
      </c>
    </row>
    <row r="1223" spans="1:1" x14ac:dyDescent="0.2">
      <c r="A1223">
        <v>1411</v>
      </c>
    </row>
    <row r="1224" spans="1:1" x14ac:dyDescent="0.2">
      <c r="A1224">
        <v>1412</v>
      </c>
    </row>
    <row r="1225" spans="1:1" x14ac:dyDescent="0.2">
      <c r="A1225">
        <v>1413</v>
      </c>
    </row>
    <row r="1226" spans="1:1" x14ac:dyDescent="0.2">
      <c r="A1226">
        <v>1414</v>
      </c>
    </row>
    <row r="1227" spans="1:1" x14ac:dyDescent="0.2">
      <c r="A1227">
        <v>1415</v>
      </c>
    </row>
    <row r="1228" spans="1:1" x14ac:dyDescent="0.2">
      <c r="A1228">
        <v>1416</v>
      </c>
    </row>
    <row r="1229" spans="1:1" x14ac:dyDescent="0.2">
      <c r="A1229">
        <v>1417</v>
      </c>
    </row>
    <row r="1230" spans="1:1" x14ac:dyDescent="0.2">
      <c r="A1230">
        <v>1418</v>
      </c>
    </row>
    <row r="1231" spans="1:1" x14ac:dyDescent="0.2">
      <c r="A1231">
        <v>1419</v>
      </c>
    </row>
    <row r="1232" spans="1:1" x14ac:dyDescent="0.2">
      <c r="A1232">
        <v>1420</v>
      </c>
    </row>
    <row r="1233" spans="1:1" x14ac:dyDescent="0.2">
      <c r="A1233">
        <v>1421</v>
      </c>
    </row>
    <row r="1234" spans="1:1" x14ac:dyDescent="0.2">
      <c r="A1234">
        <v>1422</v>
      </c>
    </row>
    <row r="1235" spans="1:1" x14ac:dyDescent="0.2">
      <c r="A1235">
        <v>1423</v>
      </c>
    </row>
    <row r="1236" spans="1:1" x14ac:dyDescent="0.2">
      <c r="A1236">
        <v>1424</v>
      </c>
    </row>
    <row r="1237" spans="1:1" x14ac:dyDescent="0.2">
      <c r="A1237">
        <v>1425</v>
      </c>
    </row>
    <row r="1238" spans="1:1" x14ac:dyDescent="0.2">
      <c r="A1238">
        <v>1426</v>
      </c>
    </row>
    <row r="1239" spans="1:1" x14ac:dyDescent="0.2">
      <c r="A1239">
        <v>1427</v>
      </c>
    </row>
    <row r="1240" spans="1:1" x14ac:dyDescent="0.2">
      <c r="A1240">
        <v>1428</v>
      </c>
    </row>
    <row r="1241" spans="1:1" x14ac:dyDescent="0.2">
      <c r="A1241">
        <v>1429</v>
      </c>
    </row>
    <row r="1242" spans="1:1" x14ac:dyDescent="0.2">
      <c r="A1242">
        <v>1430</v>
      </c>
    </row>
    <row r="1243" spans="1:1" x14ac:dyDescent="0.2">
      <c r="A1243">
        <v>1431</v>
      </c>
    </row>
    <row r="1244" spans="1:1" x14ac:dyDescent="0.2">
      <c r="A1244">
        <v>1432</v>
      </c>
    </row>
    <row r="1245" spans="1:1" x14ac:dyDescent="0.2">
      <c r="A1245">
        <v>1433</v>
      </c>
    </row>
    <row r="1246" spans="1:1" x14ac:dyDescent="0.2">
      <c r="A1246">
        <v>1434</v>
      </c>
    </row>
    <row r="1247" spans="1:1" x14ac:dyDescent="0.2">
      <c r="A1247">
        <v>1435</v>
      </c>
    </row>
    <row r="1248" spans="1:1" x14ac:dyDescent="0.2">
      <c r="A1248">
        <v>1436</v>
      </c>
    </row>
    <row r="1249" spans="1:1" x14ac:dyDescent="0.2">
      <c r="A1249">
        <v>1437</v>
      </c>
    </row>
    <row r="1250" spans="1:1" x14ac:dyDescent="0.2">
      <c r="A1250">
        <v>1438</v>
      </c>
    </row>
    <row r="1251" spans="1:1" x14ac:dyDescent="0.2">
      <c r="A1251">
        <v>1439</v>
      </c>
    </row>
    <row r="1252" spans="1:1" x14ac:dyDescent="0.2">
      <c r="A1252">
        <v>1440</v>
      </c>
    </row>
    <row r="1253" spans="1:1" x14ac:dyDescent="0.2">
      <c r="A1253">
        <v>1441</v>
      </c>
    </row>
    <row r="1254" spans="1:1" x14ac:dyDescent="0.2">
      <c r="A1254">
        <v>1442</v>
      </c>
    </row>
    <row r="1255" spans="1:1" x14ac:dyDescent="0.2">
      <c r="A1255">
        <v>1443</v>
      </c>
    </row>
    <row r="1256" spans="1:1" x14ac:dyDescent="0.2">
      <c r="A1256">
        <v>1444</v>
      </c>
    </row>
    <row r="1257" spans="1:1" x14ac:dyDescent="0.2">
      <c r="A1257">
        <v>1445</v>
      </c>
    </row>
    <row r="1258" spans="1:1" x14ac:dyDescent="0.2">
      <c r="A1258">
        <v>1446</v>
      </c>
    </row>
    <row r="1259" spans="1:1" x14ac:dyDescent="0.2">
      <c r="A1259">
        <v>1447</v>
      </c>
    </row>
    <row r="1260" spans="1:1" x14ac:dyDescent="0.2">
      <c r="A1260">
        <v>1448</v>
      </c>
    </row>
    <row r="1261" spans="1:1" x14ac:dyDescent="0.2">
      <c r="A1261">
        <v>1449</v>
      </c>
    </row>
    <row r="1262" spans="1:1" x14ac:dyDescent="0.2">
      <c r="A1262">
        <v>1450</v>
      </c>
    </row>
    <row r="1263" spans="1:1" x14ac:dyDescent="0.2">
      <c r="A1263">
        <v>1451</v>
      </c>
    </row>
    <row r="1264" spans="1:1" x14ac:dyDescent="0.2">
      <c r="A1264">
        <v>1452</v>
      </c>
    </row>
    <row r="1265" spans="1:1" x14ac:dyDescent="0.2">
      <c r="A1265">
        <v>1453</v>
      </c>
    </row>
    <row r="1266" spans="1:1" x14ac:dyDescent="0.2">
      <c r="A1266">
        <v>1454</v>
      </c>
    </row>
    <row r="1267" spans="1:1" x14ac:dyDescent="0.2">
      <c r="A1267">
        <v>1455</v>
      </c>
    </row>
    <row r="1268" spans="1:1" x14ac:dyDescent="0.2">
      <c r="A1268">
        <v>1456</v>
      </c>
    </row>
    <row r="1269" spans="1:1" x14ac:dyDescent="0.2">
      <c r="A1269">
        <v>1457</v>
      </c>
    </row>
    <row r="1270" spans="1:1" x14ac:dyDescent="0.2">
      <c r="A1270">
        <v>1458</v>
      </c>
    </row>
    <row r="1271" spans="1:1" x14ac:dyDescent="0.2">
      <c r="A1271">
        <v>1459</v>
      </c>
    </row>
    <row r="1272" spans="1:1" x14ac:dyDescent="0.2">
      <c r="A1272">
        <v>1460</v>
      </c>
    </row>
    <row r="1273" spans="1:1" x14ac:dyDescent="0.2">
      <c r="A1273">
        <v>1461</v>
      </c>
    </row>
    <row r="1274" spans="1:1" x14ac:dyDescent="0.2">
      <c r="A1274">
        <v>1462</v>
      </c>
    </row>
    <row r="1275" spans="1:1" x14ac:dyDescent="0.2">
      <c r="A1275">
        <v>1463</v>
      </c>
    </row>
    <row r="1276" spans="1:1" x14ac:dyDescent="0.2">
      <c r="A1276">
        <v>1464</v>
      </c>
    </row>
    <row r="1277" spans="1:1" x14ac:dyDescent="0.2">
      <c r="A1277">
        <v>1465</v>
      </c>
    </row>
    <row r="1278" spans="1:1" x14ac:dyDescent="0.2">
      <c r="A1278">
        <v>1466</v>
      </c>
    </row>
    <row r="1279" spans="1:1" x14ac:dyDescent="0.2">
      <c r="A1279">
        <v>1467</v>
      </c>
    </row>
    <row r="1280" spans="1:1" x14ac:dyDescent="0.2">
      <c r="A1280">
        <v>1468</v>
      </c>
    </row>
    <row r="1281" spans="1:1" x14ac:dyDescent="0.2">
      <c r="A1281">
        <v>1469</v>
      </c>
    </row>
    <row r="1282" spans="1:1" x14ac:dyDescent="0.2">
      <c r="A1282">
        <v>1470</v>
      </c>
    </row>
    <row r="1283" spans="1:1" x14ac:dyDescent="0.2">
      <c r="A1283">
        <v>1471</v>
      </c>
    </row>
    <row r="1284" spans="1:1" x14ac:dyDescent="0.2">
      <c r="A1284">
        <v>1472</v>
      </c>
    </row>
    <row r="1285" spans="1:1" x14ac:dyDescent="0.2">
      <c r="A1285">
        <v>1473</v>
      </c>
    </row>
    <row r="1286" spans="1:1" x14ac:dyDescent="0.2">
      <c r="A1286">
        <v>1474</v>
      </c>
    </row>
    <row r="1287" spans="1:1" x14ac:dyDescent="0.2">
      <c r="A1287">
        <v>1475</v>
      </c>
    </row>
    <row r="1288" spans="1:1" x14ac:dyDescent="0.2">
      <c r="A1288">
        <v>1476</v>
      </c>
    </row>
    <row r="1289" spans="1:1" x14ac:dyDescent="0.2">
      <c r="A1289">
        <v>1477</v>
      </c>
    </row>
    <row r="1290" spans="1:1" x14ac:dyDescent="0.2">
      <c r="A1290">
        <v>1478</v>
      </c>
    </row>
    <row r="1291" spans="1:1" x14ac:dyDescent="0.2">
      <c r="A1291">
        <v>1479</v>
      </c>
    </row>
    <row r="1292" spans="1:1" x14ac:dyDescent="0.2">
      <c r="A1292">
        <v>1480</v>
      </c>
    </row>
    <row r="1293" spans="1:1" x14ac:dyDescent="0.2">
      <c r="A1293">
        <v>1481</v>
      </c>
    </row>
    <row r="1294" spans="1:1" x14ac:dyDescent="0.2">
      <c r="A1294">
        <v>1482</v>
      </c>
    </row>
    <row r="1295" spans="1:1" x14ac:dyDescent="0.2">
      <c r="A1295">
        <v>1483</v>
      </c>
    </row>
    <row r="1296" spans="1:1" x14ac:dyDescent="0.2">
      <c r="A1296">
        <v>1484</v>
      </c>
    </row>
    <row r="1297" spans="1:1" x14ac:dyDescent="0.2">
      <c r="A1297">
        <v>1485</v>
      </c>
    </row>
    <row r="1298" spans="1:1" x14ac:dyDescent="0.2">
      <c r="A1298">
        <v>1486</v>
      </c>
    </row>
    <row r="1299" spans="1:1" x14ac:dyDescent="0.2">
      <c r="A1299">
        <v>1487</v>
      </c>
    </row>
    <row r="1300" spans="1:1" x14ac:dyDescent="0.2">
      <c r="A1300">
        <v>1488</v>
      </c>
    </row>
    <row r="1301" spans="1:1" x14ac:dyDescent="0.2">
      <c r="A1301">
        <v>1489</v>
      </c>
    </row>
    <row r="1302" spans="1:1" x14ac:dyDescent="0.2">
      <c r="A1302">
        <v>1490</v>
      </c>
    </row>
    <row r="1303" spans="1:1" x14ac:dyDescent="0.2">
      <c r="A1303">
        <v>1491</v>
      </c>
    </row>
    <row r="1304" spans="1:1" x14ac:dyDescent="0.2">
      <c r="A1304">
        <v>1492</v>
      </c>
    </row>
    <row r="1305" spans="1:1" x14ac:dyDescent="0.2">
      <c r="A1305">
        <v>1493</v>
      </c>
    </row>
    <row r="1306" spans="1:1" x14ac:dyDescent="0.2">
      <c r="A1306">
        <v>1494</v>
      </c>
    </row>
    <row r="1307" spans="1:1" x14ac:dyDescent="0.2">
      <c r="A1307">
        <v>1495</v>
      </c>
    </row>
    <row r="1308" spans="1:1" x14ac:dyDescent="0.2">
      <c r="A1308">
        <v>1496</v>
      </c>
    </row>
    <row r="1309" spans="1:1" x14ac:dyDescent="0.2">
      <c r="A1309">
        <v>1497</v>
      </c>
    </row>
    <row r="1310" spans="1:1" x14ac:dyDescent="0.2">
      <c r="A1310">
        <v>1498</v>
      </c>
    </row>
    <row r="1311" spans="1:1" x14ac:dyDescent="0.2">
      <c r="A1311">
        <v>1499</v>
      </c>
    </row>
    <row r="1312" spans="1:1" x14ac:dyDescent="0.2">
      <c r="A1312">
        <v>1500</v>
      </c>
    </row>
    <row r="1313" spans="1:1" x14ac:dyDescent="0.2">
      <c r="A1313">
        <v>1501</v>
      </c>
    </row>
    <row r="1314" spans="1:1" x14ac:dyDescent="0.2">
      <c r="A1314">
        <v>1502</v>
      </c>
    </row>
    <row r="1315" spans="1:1" x14ac:dyDescent="0.2">
      <c r="A1315">
        <v>1503</v>
      </c>
    </row>
    <row r="1316" spans="1:1" x14ac:dyDescent="0.2">
      <c r="A1316">
        <v>1504</v>
      </c>
    </row>
    <row r="1317" spans="1:1" x14ac:dyDescent="0.2">
      <c r="A1317">
        <v>1505</v>
      </c>
    </row>
    <row r="1318" spans="1:1" x14ac:dyDescent="0.2">
      <c r="A1318">
        <v>1506</v>
      </c>
    </row>
    <row r="1319" spans="1:1" x14ac:dyDescent="0.2">
      <c r="A1319">
        <v>1507</v>
      </c>
    </row>
    <row r="1320" spans="1:1" x14ac:dyDescent="0.2">
      <c r="A1320">
        <v>1508</v>
      </c>
    </row>
    <row r="1321" spans="1:1" x14ac:dyDescent="0.2">
      <c r="A1321">
        <v>1509</v>
      </c>
    </row>
    <row r="1322" spans="1:1" x14ac:dyDescent="0.2">
      <c r="A1322">
        <v>1510</v>
      </c>
    </row>
    <row r="1323" spans="1:1" x14ac:dyDescent="0.2">
      <c r="A1323">
        <v>1511</v>
      </c>
    </row>
    <row r="1324" spans="1:1" x14ac:dyDescent="0.2">
      <c r="A1324">
        <v>1512</v>
      </c>
    </row>
    <row r="1325" spans="1:1" x14ac:dyDescent="0.2">
      <c r="A1325">
        <v>1513</v>
      </c>
    </row>
    <row r="1326" spans="1:1" x14ac:dyDescent="0.2">
      <c r="A1326">
        <v>1514</v>
      </c>
    </row>
    <row r="1327" spans="1:1" x14ac:dyDescent="0.2">
      <c r="A1327">
        <v>1515</v>
      </c>
    </row>
    <row r="1328" spans="1:1" x14ac:dyDescent="0.2">
      <c r="A1328">
        <v>1516</v>
      </c>
    </row>
    <row r="1329" spans="1:1" x14ac:dyDescent="0.2">
      <c r="A1329">
        <v>1517</v>
      </c>
    </row>
    <row r="1330" spans="1:1" x14ac:dyDescent="0.2">
      <c r="A1330">
        <v>1518</v>
      </c>
    </row>
    <row r="1331" spans="1:1" x14ac:dyDescent="0.2">
      <c r="A1331">
        <v>1519</v>
      </c>
    </row>
    <row r="1332" spans="1:1" x14ac:dyDescent="0.2">
      <c r="A1332">
        <v>1520</v>
      </c>
    </row>
    <row r="1333" spans="1:1" x14ac:dyDescent="0.2">
      <c r="A1333">
        <v>1521</v>
      </c>
    </row>
    <row r="1334" spans="1:1" x14ac:dyDescent="0.2">
      <c r="A1334">
        <v>1522</v>
      </c>
    </row>
    <row r="1335" spans="1:1" x14ac:dyDescent="0.2">
      <c r="A1335">
        <v>1523</v>
      </c>
    </row>
    <row r="1336" spans="1:1" x14ac:dyDescent="0.2">
      <c r="A1336">
        <v>1524</v>
      </c>
    </row>
    <row r="1337" spans="1:1" x14ac:dyDescent="0.2">
      <c r="A1337">
        <v>1525</v>
      </c>
    </row>
    <row r="1338" spans="1:1" x14ac:dyDescent="0.2">
      <c r="A1338">
        <v>1526</v>
      </c>
    </row>
    <row r="1339" spans="1:1" x14ac:dyDescent="0.2">
      <c r="A1339">
        <v>1527</v>
      </c>
    </row>
    <row r="1340" spans="1:1" x14ac:dyDescent="0.2">
      <c r="A1340">
        <v>1528</v>
      </c>
    </row>
    <row r="1341" spans="1:1" x14ac:dyDescent="0.2">
      <c r="A1341">
        <v>1529</v>
      </c>
    </row>
    <row r="1342" spans="1:1" x14ac:dyDescent="0.2">
      <c r="A1342">
        <v>1530</v>
      </c>
    </row>
    <row r="1343" spans="1:1" x14ac:dyDescent="0.2">
      <c r="A1343">
        <v>1531</v>
      </c>
    </row>
    <row r="1344" spans="1:1" x14ac:dyDescent="0.2">
      <c r="A1344">
        <v>1532</v>
      </c>
    </row>
    <row r="1345" spans="1:1" x14ac:dyDescent="0.2">
      <c r="A1345">
        <v>1533</v>
      </c>
    </row>
    <row r="1346" spans="1:1" x14ac:dyDescent="0.2">
      <c r="A1346">
        <v>1534</v>
      </c>
    </row>
    <row r="1347" spans="1:1" x14ac:dyDescent="0.2">
      <c r="A1347">
        <v>1535</v>
      </c>
    </row>
    <row r="1348" spans="1:1" x14ac:dyDescent="0.2">
      <c r="A1348">
        <v>1536</v>
      </c>
    </row>
    <row r="1349" spans="1:1" x14ac:dyDescent="0.2">
      <c r="A1349">
        <v>1537</v>
      </c>
    </row>
    <row r="1350" spans="1:1" x14ac:dyDescent="0.2">
      <c r="A1350">
        <v>1538</v>
      </c>
    </row>
    <row r="1351" spans="1:1" x14ac:dyDescent="0.2">
      <c r="A1351">
        <v>1539</v>
      </c>
    </row>
    <row r="1352" spans="1:1" x14ac:dyDescent="0.2">
      <c r="A1352">
        <v>1540</v>
      </c>
    </row>
    <row r="1353" spans="1:1" x14ac:dyDescent="0.2">
      <c r="A1353">
        <v>1541</v>
      </c>
    </row>
    <row r="1354" spans="1:1" x14ac:dyDescent="0.2">
      <c r="A1354">
        <v>1542</v>
      </c>
    </row>
    <row r="1355" spans="1:1" x14ac:dyDescent="0.2">
      <c r="A1355">
        <v>1543</v>
      </c>
    </row>
    <row r="1356" spans="1:1" x14ac:dyDescent="0.2">
      <c r="A1356">
        <v>1544</v>
      </c>
    </row>
    <row r="1357" spans="1:1" x14ac:dyDescent="0.2">
      <c r="A1357">
        <v>1545</v>
      </c>
    </row>
    <row r="1358" spans="1:1" x14ac:dyDescent="0.2">
      <c r="A1358">
        <v>1546</v>
      </c>
    </row>
    <row r="1359" spans="1:1" x14ac:dyDescent="0.2">
      <c r="A1359">
        <v>1547</v>
      </c>
    </row>
    <row r="1360" spans="1:1" x14ac:dyDescent="0.2">
      <c r="A1360">
        <v>1548</v>
      </c>
    </row>
    <row r="1361" spans="1:1" x14ac:dyDescent="0.2">
      <c r="A1361">
        <v>1549</v>
      </c>
    </row>
    <row r="1362" spans="1:1" x14ac:dyDescent="0.2">
      <c r="A1362">
        <v>1550</v>
      </c>
    </row>
    <row r="1363" spans="1:1" x14ac:dyDescent="0.2">
      <c r="A1363">
        <v>1551</v>
      </c>
    </row>
    <row r="1364" spans="1:1" x14ac:dyDescent="0.2">
      <c r="A1364">
        <v>1552</v>
      </c>
    </row>
    <row r="1365" spans="1:1" x14ac:dyDescent="0.2">
      <c r="A1365">
        <v>1553</v>
      </c>
    </row>
    <row r="1366" spans="1:1" x14ac:dyDescent="0.2">
      <c r="A1366">
        <v>1554</v>
      </c>
    </row>
    <row r="1367" spans="1:1" x14ac:dyDescent="0.2">
      <c r="A1367">
        <v>1555</v>
      </c>
    </row>
    <row r="1368" spans="1:1" x14ac:dyDescent="0.2">
      <c r="A1368">
        <v>1556</v>
      </c>
    </row>
    <row r="1369" spans="1:1" x14ac:dyDescent="0.2">
      <c r="A1369">
        <v>1557</v>
      </c>
    </row>
    <row r="1370" spans="1:1" x14ac:dyDescent="0.2">
      <c r="A1370">
        <v>1558</v>
      </c>
    </row>
    <row r="1371" spans="1:1" x14ac:dyDescent="0.2">
      <c r="A1371">
        <v>1559</v>
      </c>
    </row>
    <row r="1372" spans="1:1" x14ac:dyDescent="0.2">
      <c r="A1372">
        <v>1560</v>
      </c>
    </row>
    <row r="1373" spans="1:1" x14ac:dyDescent="0.2">
      <c r="A1373">
        <v>1561</v>
      </c>
    </row>
    <row r="1374" spans="1:1" x14ac:dyDescent="0.2">
      <c r="A1374">
        <v>1562</v>
      </c>
    </row>
    <row r="1375" spans="1:1" x14ac:dyDescent="0.2">
      <c r="A1375">
        <v>1563</v>
      </c>
    </row>
    <row r="1376" spans="1:1" x14ac:dyDescent="0.2">
      <c r="A1376">
        <v>1564</v>
      </c>
    </row>
    <row r="1377" spans="1:1" x14ac:dyDescent="0.2">
      <c r="A1377">
        <v>1565</v>
      </c>
    </row>
    <row r="1378" spans="1:1" x14ac:dyDescent="0.2">
      <c r="A1378">
        <v>1566</v>
      </c>
    </row>
    <row r="1379" spans="1:1" x14ac:dyDescent="0.2">
      <c r="A1379">
        <v>1567</v>
      </c>
    </row>
    <row r="1380" spans="1:1" x14ac:dyDescent="0.2">
      <c r="A1380">
        <v>1568</v>
      </c>
    </row>
    <row r="1381" spans="1:1" x14ac:dyDescent="0.2">
      <c r="A1381">
        <v>1569</v>
      </c>
    </row>
    <row r="1382" spans="1:1" x14ac:dyDescent="0.2">
      <c r="A1382">
        <v>1570</v>
      </c>
    </row>
    <row r="1383" spans="1:1" x14ac:dyDescent="0.2">
      <c r="A1383">
        <v>1571</v>
      </c>
    </row>
    <row r="1384" spans="1:1" x14ac:dyDescent="0.2">
      <c r="A1384">
        <v>1572</v>
      </c>
    </row>
    <row r="1385" spans="1:1" x14ac:dyDescent="0.2">
      <c r="A1385">
        <v>1573</v>
      </c>
    </row>
    <row r="1386" spans="1:1" x14ac:dyDescent="0.2">
      <c r="A1386">
        <v>1574</v>
      </c>
    </row>
    <row r="1387" spans="1:1" x14ac:dyDescent="0.2">
      <c r="A1387">
        <v>1575</v>
      </c>
    </row>
    <row r="1388" spans="1:1" x14ac:dyDescent="0.2">
      <c r="A1388">
        <v>1576</v>
      </c>
    </row>
    <row r="1389" spans="1:1" x14ac:dyDescent="0.2">
      <c r="A1389">
        <v>1577</v>
      </c>
    </row>
    <row r="1390" spans="1:1" x14ac:dyDescent="0.2">
      <c r="A1390">
        <v>1578</v>
      </c>
    </row>
    <row r="1391" spans="1:1" x14ac:dyDescent="0.2">
      <c r="A1391">
        <v>1579</v>
      </c>
    </row>
    <row r="1392" spans="1:1" x14ac:dyDescent="0.2">
      <c r="A1392">
        <v>1580</v>
      </c>
    </row>
    <row r="1393" spans="1:1" x14ac:dyDescent="0.2">
      <c r="A1393">
        <v>1581</v>
      </c>
    </row>
    <row r="1394" spans="1:1" x14ac:dyDescent="0.2">
      <c r="A1394">
        <v>1582</v>
      </c>
    </row>
    <row r="1395" spans="1:1" x14ac:dyDescent="0.2">
      <c r="A1395">
        <v>1583</v>
      </c>
    </row>
    <row r="1396" spans="1:1" x14ac:dyDescent="0.2">
      <c r="A1396">
        <v>1584</v>
      </c>
    </row>
    <row r="1397" spans="1:1" x14ac:dyDescent="0.2">
      <c r="A1397">
        <v>1585</v>
      </c>
    </row>
    <row r="1398" spans="1:1" x14ac:dyDescent="0.2">
      <c r="A1398">
        <v>1586</v>
      </c>
    </row>
    <row r="1399" spans="1:1" x14ac:dyDescent="0.2">
      <c r="A1399">
        <v>1587</v>
      </c>
    </row>
    <row r="1400" spans="1:1" x14ac:dyDescent="0.2">
      <c r="A1400">
        <v>1588</v>
      </c>
    </row>
    <row r="1401" spans="1:1" x14ac:dyDescent="0.2">
      <c r="A1401">
        <v>1589</v>
      </c>
    </row>
    <row r="1402" spans="1:1" x14ac:dyDescent="0.2">
      <c r="A1402">
        <v>1590</v>
      </c>
    </row>
    <row r="1403" spans="1:1" x14ac:dyDescent="0.2">
      <c r="A1403">
        <v>1591</v>
      </c>
    </row>
    <row r="1404" spans="1:1" x14ac:dyDescent="0.2">
      <c r="A1404">
        <v>1592</v>
      </c>
    </row>
    <row r="1405" spans="1:1" x14ac:dyDescent="0.2">
      <c r="A1405">
        <v>1593</v>
      </c>
    </row>
    <row r="1406" spans="1:1" x14ac:dyDescent="0.2">
      <c r="A1406">
        <v>1594</v>
      </c>
    </row>
    <row r="1407" spans="1:1" x14ac:dyDescent="0.2">
      <c r="A1407">
        <v>1595</v>
      </c>
    </row>
    <row r="1408" spans="1:1" x14ac:dyDescent="0.2">
      <c r="A1408">
        <v>1596</v>
      </c>
    </row>
    <row r="1409" spans="1:1" x14ac:dyDescent="0.2">
      <c r="A1409">
        <v>1597</v>
      </c>
    </row>
    <row r="1410" spans="1:1" x14ac:dyDescent="0.2">
      <c r="A1410">
        <v>1598</v>
      </c>
    </row>
    <row r="1411" spans="1:1" x14ac:dyDescent="0.2">
      <c r="A1411">
        <v>1599</v>
      </c>
    </row>
    <row r="1412" spans="1:1" x14ac:dyDescent="0.2">
      <c r="A1412">
        <v>1600</v>
      </c>
    </row>
    <row r="1413" spans="1:1" x14ac:dyDescent="0.2">
      <c r="A1413">
        <v>1601</v>
      </c>
    </row>
    <row r="1414" spans="1:1" x14ac:dyDescent="0.2">
      <c r="A1414">
        <v>1602</v>
      </c>
    </row>
    <row r="1415" spans="1:1" x14ac:dyDescent="0.2">
      <c r="A1415">
        <v>1603</v>
      </c>
    </row>
    <row r="1416" spans="1:1" x14ac:dyDescent="0.2">
      <c r="A1416">
        <v>1604</v>
      </c>
    </row>
    <row r="1417" spans="1:1" x14ac:dyDescent="0.2">
      <c r="A1417">
        <v>1605</v>
      </c>
    </row>
    <row r="1418" spans="1:1" x14ac:dyDescent="0.2">
      <c r="A1418">
        <v>1606</v>
      </c>
    </row>
    <row r="1419" spans="1:1" x14ac:dyDescent="0.2">
      <c r="A1419">
        <v>1607</v>
      </c>
    </row>
    <row r="1420" spans="1:1" x14ac:dyDescent="0.2">
      <c r="A1420">
        <v>1608</v>
      </c>
    </row>
    <row r="1421" spans="1:1" x14ac:dyDescent="0.2">
      <c r="A1421">
        <v>1609</v>
      </c>
    </row>
    <row r="1422" spans="1:1" x14ac:dyDescent="0.2">
      <c r="A1422">
        <v>1610</v>
      </c>
    </row>
    <row r="1423" spans="1:1" x14ac:dyDescent="0.2">
      <c r="A1423">
        <v>1611</v>
      </c>
    </row>
    <row r="1424" spans="1:1" x14ac:dyDescent="0.2">
      <c r="A1424">
        <v>1612</v>
      </c>
    </row>
    <row r="1425" spans="1:1" x14ac:dyDescent="0.2">
      <c r="A1425">
        <v>1613</v>
      </c>
    </row>
    <row r="1426" spans="1:1" x14ac:dyDescent="0.2">
      <c r="A1426">
        <v>1614</v>
      </c>
    </row>
    <row r="1427" spans="1:1" x14ac:dyDescent="0.2">
      <c r="A1427">
        <v>1615</v>
      </c>
    </row>
    <row r="1428" spans="1:1" x14ac:dyDescent="0.2">
      <c r="A1428">
        <v>1616</v>
      </c>
    </row>
    <row r="1429" spans="1:1" x14ac:dyDescent="0.2">
      <c r="A1429">
        <v>1617</v>
      </c>
    </row>
    <row r="1430" spans="1:1" x14ac:dyDescent="0.2">
      <c r="A1430">
        <v>1618</v>
      </c>
    </row>
    <row r="1431" spans="1:1" x14ac:dyDescent="0.2">
      <c r="A1431">
        <v>1619</v>
      </c>
    </row>
    <row r="1432" spans="1:1" x14ac:dyDescent="0.2">
      <c r="A1432">
        <v>1620</v>
      </c>
    </row>
    <row r="1433" spans="1:1" x14ac:dyDescent="0.2">
      <c r="A1433">
        <v>1621</v>
      </c>
    </row>
    <row r="1434" spans="1:1" x14ac:dyDescent="0.2">
      <c r="A1434">
        <v>1622</v>
      </c>
    </row>
    <row r="1435" spans="1:1" x14ac:dyDescent="0.2">
      <c r="A1435">
        <v>1623</v>
      </c>
    </row>
    <row r="1436" spans="1:1" x14ac:dyDescent="0.2">
      <c r="A1436">
        <v>1624</v>
      </c>
    </row>
    <row r="1437" spans="1:1" x14ac:dyDescent="0.2">
      <c r="A1437">
        <v>1625</v>
      </c>
    </row>
    <row r="1438" spans="1:1" x14ac:dyDescent="0.2">
      <c r="A1438">
        <v>1626</v>
      </c>
    </row>
    <row r="1439" spans="1:1" x14ac:dyDescent="0.2">
      <c r="A1439">
        <v>1627</v>
      </c>
    </row>
    <row r="1440" spans="1:1" x14ac:dyDescent="0.2">
      <c r="A1440">
        <v>1628</v>
      </c>
    </row>
    <row r="1441" spans="1:1" x14ac:dyDescent="0.2">
      <c r="A1441">
        <v>1629</v>
      </c>
    </row>
    <row r="1442" spans="1:1" x14ac:dyDescent="0.2">
      <c r="A1442">
        <v>1630</v>
      </c>
    </row>
    <row r="1443" spans="1:1" x14ac:dyDescent="0.2">
      <c r="A1443">
        <v>1631</v>
      </c>
    </row>
    <row r="1444" spans="1:1" x14ac:dyDescent="0.2">
      <c r="A1444">
        <v>1632</v>
      </c>
    </row>
    <row r="1445" spans="1:1" x14ac:dyDescent="0.2">
      <c r="A1445">
        <v>1633</v>
      </c>
    </row>
    <row r="1446" spans="1:1" x14ac:dyDescent="0.2">
      <c r="A1446">
        <v>1634</v>
      </c>
    </row>
    <row r="1447" spans="1:1" x14ac:dyDescent="0.2">
      <c r="A1447">
        <v>1635</v>
      </c>
    </row>
    <row r="1448" spans="1:1" x14ac:dyDescent="0.2">
      <c r="A1448">
        <v>1636</v>
      </c>
    </row>
    <row r="1449" spans="1:1" x14ac:dyDescent="0.2">
      <c r="A1449">
        <v>1637</v>
      </c>
    </row>
    <row r="1450" spans="1:1" x14ac:dyDescent="0.2">
      <c r="A1450">
        <v>1638</v>
      </c>
    </row>
    <row r="1451" spans="1:1" x14ac:dyDescent="0.2">
      <c r="A1451">
        <v>1639</v>
      </c>
    </row>
    <row r="1452" spans="1:1" x14ac:dyDescent="0.2">
      <c r="A1452">
        <v>1640</v>
      </c>
    </row>
    <row r="1453" spans="1:1" x14ac:dyDescent="0.2">
      <c r="A1453">
        <v>1641</v>
      </c>
    </row>
    <row r="1454" spans="1:1" x14ac:dyDescent="0.2">
      <c r="A1454">
        <v>1642</v>
      </c>
    </row>
    <row r="1455" spans="1:1" x14ac:dyDescent="0.2">
      <c r="A1455">
        <v>1643</v>
      </c>
    </row>
    <row r="1456" spans="1:1" x14ac:dyDescent="0.2">
      <c r="A1456">
        <v>1644</v>
      </c>
    </row>
    <row r="1457" spans="1:1" x14ac:dyDescent="0.2">
      <c r="A1457">
        <v>1645</v>
      </c>
    </row>
    <row r="1458" spans="1:1" x14ac:dyDescent="0.2">
      <c r="A1458">
        <v>1646</v>
      </c>
    </row>
    <row r="1459" spans="1:1" x14ac:dyDescent="0.2">
      <c r="A1459">
        <v>1647</v>
      </c>
    </row>
    <row r="1460" spans="1:1" x14ac:dyDescent="0.2">
      <c r="A1460">
        <v>1648</v>
      </c>
    </row>
    <row r="1461" spans="1:1" x14ac:dyDescent="0.2">
      <c r="A1461">
        <v>1649</v>
      </c>
    </row>
    <row r="1462" spans="1:1" x14ac:dyDescent="0.2">
      <c r="A1462">
        <v>1650</v>
      </c>
    </row>
    <row r="1463" spans="1:1" x14ac:dyDescent="0.2">
      <c r="A1463">
        <v>1651</v>
      </c>
    </row>
    <row r="1464" spans="1:1" x14ac:dyDescent="0.2">
      <c r="A1464">
        <v>1652</v>
      </c>
    </row>
    <row r="1465" spans="1:1" x14ac:dyDescent="0.2">
      <c r="A1465">
        <v>1653</v>
      </c>
    </row>
    <row r="1466" spans="1:1" x14ac:dyDescent="0.2">
      <c r="A1466">
        <v>1654</v>
      </c>
    </row>
    <row r="1467" spans="1:1" x14ac:dyDescent="0.2">
      <c r="A1467">
        <v>1655</v>
      </c>
    </row>
    <row r="1468" spans="1:1" x14ac:dyDescent="0.2">
      <c r="A1468">
        <v>1656</v>
      </c>
    </row>
    <row r="1469" spans="1:1" x14ac:dyDescent="0.2">
      <c r="A1469">
        <v>1657</v>
      </c>
    </row>
    <row r="1470" spans="1:1" x14ac:dyDescent="0.2">
      <c r="A1470">
        <v>1658</v>
      </c>
    </row>
    <row r="1471" spans="1:1" x14ac:dyDescent="0.2">
      <c r="A1471">
        <v>1659</v>
      </c>
    </row>
    <row r="1472" spans="1:1" x14ac:dyDescent="0.2">
      <c r="A1472">
        <v>1660</v>
      </c>
    </row>
    <row r="1473" spans="1:1" x14ac:dyDescent="0.2">
      <c r="A1473">
        <v>1661</v>
      </c>
    </row>
    <row r="1474" spans="1:1" x14ac:dyDescent="0.2">
      <c r="A1474">
        <v>1662</v>
      </c>
    </row>
    <row r="1475" spans="1:1" x14ac:dyDescent="0.2">
      <c r="A1475">
        <v>1663</v>
      </c>
    </row>
    <row r="1476" spans="1:1" x14ac:dyDescent="0.2">
      <c r="A1476">
        <v>1664</v>
      </c>
    </row>
    <row r="1477" spans="1:1" x14ac:dyDescent="0.2">
      <c r="A1477">
        <v>1665</v>
      </c>
    </row>
    <row r="1478" spans="1:1" x14ac:dyDescent="0.2">
      <c r="A1478">
        <v>1666</v>
      </c>
    </row>
    <row r="1479" spans="1:1" x14ac:dyDescent="0.2">
      <c r="A1479">
        <v>1667</v>
      </c>
    </row>
    <row r="1480" spans="1:1" x14ac:dyDescent="0.2">
      <c r="A1480">
        <v>1668</v>
      </c>
    </row>
    <row r="1481" spans="1:1" x14ac:dyDescent="0.2">
      <c r="A1481">
        <v>1669</v>
      </c>
    </row>
    <row r="1482" spans="1:1" x14ac:dyDescent="0.2">
      <c r="A1482">
        <v>1670</v>
      </c>
    </row>
    <row r="1483" spans="1:1" x14ac:dyDescent="0.2">
      <c r="A1483">
        <v>1671</v>
      </c>
    </row>
    <row r="1484" spans="1:1" x14ac:dyDescent="0.2">
      <c r="A1484">
        <v>1672</v>
      </c>
    </row>
    <row r="1485" spans="1:1" x14ac:dyDescent="0.2">
      <c r="A1485">
        <v>1673</v>
      </c>
    </row>
    <row r="1486" spans="1:1" x14ac:dyDescent="0.2">
      <c r="A1486">
        <v>1674</v>
      </c>
    </row>
    <row r="1487" spans="1:1" x14ac:dyDescent="0.2">
      <c r="A1487">
        <v>1675</v>
      </c>
    </row>
    <row r="1488" spans="1:1" x14ac:dyDescent="0.2">
      <c r="A1488">
        <v>1676</v>
      </c>
    </row>
    <row r="1489" spans="1:1" x14ac:dyDescent="0.2">
      <c r="A1489">
        <v>1677</v>
      </c>
    </row>
    <row r="1490" spans="1:1" x14ac:dyDescent="0.2">
      <c r="A1490">
        <v>1678</v>
      </c>
    </row>
    <row r="1491" spans="1:1" x14ac:dyDescent="0.2">
      <c r="A1491">
        <v>1679</v>
      </c>
    </row>
    <row r="1492" spans="1:1" x14ac:dyDescent="0.2">
      <c r="A1492">
        <v>1680</v>
      </c>
    </row>
    <row r="1493" spans="1:1" x14ac:dyDescent="0.2">
      <c r="A1493">
        <v>1681</v>
      </c>
    </row>
    <row r="1494" spans="1:1" x14ac:dyDescent="0.2">
      <c r="A1494">
        <v>1682</v>
      </c>
    </row>
    <row r="1495" spans="1:1" x14ac:dyDescent="0.2">
      <c r="A1495">
        <v>1683</v>
      </c>
    </row>
    <row r="1496" spans="1:1" x14ac:dyDescent="0.2">
      <c r="A1496">
        <v>1684</v>
      </c>
    </row>
    <row r="1497" spans="1:1" x14ac:dyDescent="0.2">
      <c r="A1497">
        <v>1685</v>
      </c>
    </row>
    <row r="1498" spans="1:1" x14ac:dyDescent="0.2">
      <c r="A1498">
        <v>1686</v>
      </c>
    </row>
    <row r="1499" spans="1:1" x14ac:dyDescent="0.2">
      <c r="A1499">
        <v>1687</v>
      </c>
    </row>
    <row r="1500" spans="1:1" x14ac:dyDescent="0.2">
      <c r="A1500">
        <v>1688</v>
      </c>
    </row>
    <row r="1501" spans="1:1" x14ac:dyDescent="0.2">
      <c r="A1501">
        <v>1689</v>
      </c>
    </row>
    <row r="1502" spans="1:1" x14ac:dyDescent="0.2">
      <c r="A1502">
        <v>1690</v>
      </c>
    </row>
    <row r="1503" spans="1:1" x14ac:dyDescent="0.2">
      <c r="A1503">
        <v>1691</v>
      </c>
    </row>
    <row r="1504" spans="1:1" x14ac:dyDescent="0.2">
      <c r="A1504">
        <v>1692</v>
      </c>
    </row>
    <row r="1505" spans="1:1" x14ac:dyDescent="0.2">
      <c r="A1505">
        <v>1693</v>
      </c>
    </row>
    <row r="1506" spans="1:1" x14ac:dyDescent="0.2">
      <c r="A1506">
        <v>1694</v>
      </c>
    </row>
    <row r="1507" spans="1:1" x14ac:dyDescent="0.2">
      <c r="A1507">
        <v>1695</v>
      </c>
    </row>
    <row r="1508" spans="1:1" x14ac:dyDescent="0.2">
      <c r="A1508">
        <v>1696</v>
      </c>
    </row>
    <row r="1509" spans="1:1" x14ac:dyDescent="0.2">
      <c r="A1509">
        <v>1697</v>
      </c>
    </row>
    <row r="1510" spans="1:1" x14ac:dyDescent="0.2">
      <c r="A1510">
        <v>1698</v>
      </c>
    </row>
    <row r="1511" spans="1:1" x14ac:dyDescent="0.2">
      <c r="A1511">
        <v>1699</v>
      </c>
    </row>
    <row r="1512" spans="1:1" x14ac:dyDescent="0.2">
      <c r="A1512">
        <v>1700</v>
      </c>
    </row>
    <row r="1513" spans="1:1" x14ac:dyDescent="0.2">
      <c r="A1513">
        <v>1701</v>
      </c>
    </row>
    <row r="1514" spans="1:1" x14ac:dyDescent="0.2">
      <c r="A1514">
        <v>1702</v>
      </c>
    </row>
    <row r="1515" spans="1:1" x14ac:dyDescent="0.2">
      <c r="A1515">
        <v>1703</v>
      </c>
    </row>
    <row r="1516" spans="1:1" x14ac:dyDescent="0.2">
      <c r="A1516">
        <v>1704</v>
      </c>
    </row>
    <row r="1517" spans="1:1" x14ac:dyDescent="0.2">
      <c r="A1517">
        <v>1705</v>
      </c>
    </row>
    <row r="1518" spans="1:1" x14ac:dyDescent="0.2">
      <c r="A1518">
        <v>1706</v>
      </c>
    </row>
    <row r="1519" spans="1:1" x14ac:dyDescent="0.2">
      <c r="A1519">
        <v>1707</v>
      </c>
    </row>
    <row r="1520" spans="1:1" x14ac:dyDescent="0.2">
      <c r="A1520">
        <v>1708</v>
      </c>
    </row>
    <row r="1521" spans="1:1" x14ac:dyDescent="0.2">
      <c r="A1521">
        <v>1709</v>
      </c>
    </row>
    <row r="1522" spans="1:1" x14ac:dyDescent="0.2">
      <c r="A1522">
        <v>1710</v>
      </c>
    </row>
    <row r="1523" spans="1:1" x14ac:dyDescent="0.2">
      <c r="A1523">
        <v>1711</v>
      </c>
    </row>
    <row r="1524" spans="1:1" x14ac:dyDescent="0.2">
      <c r="A1524">
        <v>1712</v>
      </c>
    </row>
    <row r="1525" spans="1:1" x14ac:dyDescent="0.2">
      <c r="A1525">
        <v>1713</v>
      </c>
    </row>
    <row r="1526" spans="1:1" x14ac:dyDescent="0.2">
      <c r="A1526">
        <v>1714</v>
      </c>
    </row>
    <row r="1527" spans="1:1" x14ac:dyDescent="0.2">
      <c r="A1527">
        <v>1715</v>
      </c>
    </row>
    <row r="1528" spans="1:1" x14ac:dyDescent="0.2">
      <c r="A1528">
        <v>1716</v>
      </c>
    </row>
    <row r="1529" spans="1:1" x14ac:dyDescent="0.2">
      <c r="A1529">
        <v>1717</v>
      </c>
    </row>
    <row r="1530" spans="1:1" x14ac:dyDescent="0.2">
      <c r="A1530">
        <v>1718</v>
      </c>
    </row>
    <row r="1531" spans="1:1" x14ac:dyDescent="0.2">
      <c r="A1531">
        <v>1719</v>
      </c>
    </row>
    <row r="1532" spans="1:1" x14ac:dyDescent="0.2">
      <c r="A1532">
        <v>1720</v>
      </c>
    </row>
    <row r="1533" spans="1:1" x14ac:dyDescent="0.2">
      <c r="A1533">
        <v>1721</v>
      </c>
    </row>
    <row r="1534" spans="1:1" x14ac:dyDescent="0.2">
      <c r="A1534">
        <v>1722</v>
      </c>
    </row>
    <row r="1535" spans="1:1" x14ac:dyDescent="0.2">
      <c r="A1535">
        <v>1723</v>
      </c>
    </row>
    <row r="1536" spans="1:1" x14ac:dyDescent="0.2">
      <c r="A1536">
        <v>1724</v>
      </c>
    </row>
    <row r="1537" spans="1:1" x14ac:dyDescent="0.2">
      <c r="A1537">
        <v>1725</v>
      </c>
    </row>
    <row r="1538" spans="1:1" x14ac:dyDescent="0.2">
      <c r="A1538">
        <v>1726</v>
      </c>
    </row>
    <row r="1539" spans="1:1" x14ac:dyDescent="0.2">
      <c r="A1539">
        <v>1727</v>
      </c>
    </row>
    <row r="1540" spans="1:1" x14ac:dyDescent="0.2">
      <c r="A1540">
        <v>1728</v>
      </c>
    </row>
    <row r="1541" spans="1:1" x14ac:dyDescent="0.2">
      <c r="A1541">
        <v>1729</v>
      </c>
    </row>
    <row r="1542" spans="1:1" x14ac:dyDescent="0.2">
      <c r="A1542">
        <v>1730</v>
      </c>
    </row>
    <row r="1543" spans="1:1" x14ac:dyDescent="0.2">
      <c r="A1543">
        <v>1731</v>
      </c>
    </row>
    <row r="1544" spans="1:1" x14ac:dyDescent="0.2">
      <c r="A1544">
        <v>1732</v>
      </c>
    </row>
    <row r="1545" spans="1:1" x14ac:dyDescent="0.2">
      <c r="A1545">
        <v>1733</v>
      </c>
    </row>
    <row r="1546" spans="1:1" x14ac:dyDescent="0.2">
      <c r="A1546">
        <v>1734</v>
      </c>
    </row>
    <row r="1547" spans="1:1" x14ac:dyDescent="0.2">
      <c r="A1547">
        <v>1735</v>
      </c>
    </row>
    <row r="1548" spans="1:1" x14ac:dyDescent="0.2">
      <c r="A1548">
        <v>1736</v>
      </c>
    </row>
    <row r="1549" spans="1:1" x14ac:dyDescent="0.2">
      <c r="A1549">
        <v>1737</v>
      </c>
    </row>
    <row r="1550" spans="1:1" x14ac:dyDescent="0.2">
      <c r="A1550">
        <v>1738</v>
      </c>
    </row>
    <row r="1551" spans="1:1" x14ac:dyDescent="0.2">
      <c r="A1551">
        <v>1739</v>
      </c>
    </row>
    <row r="1552" spans="1:1" x14ac:dyDescent="0.2">
      <c r="A1552">
        <v>1740</v>
      </c>
    </row>
    <row r="1553" spans="1:1" x14ac:dyDescent="0.2">
      <c r="A1553">
        <v>1741</v>
      </c>
    </row>
    <row r="1554" spans="1:1" x14ac:dyDescent="0.2">
      <c r="A1554">
        <v>1742</v>
      </c>
    </row>
    <row r="1555" spans="1:1" x14ac:dyDescent="0.2">
      <c r="A1555">
        <v>1743</v>
      </c>
    </row>
    <row r="1556" spans="1:1" x14ac:dyDescent="0.2">
      <c r="A1556">
        <v>1744</v>
      </c>
    </row>
    <row r="1557" spans="1:1" x14ac:dyDescent="0.2">
      <c r="A1557">
        <v>1745</v>
      </c>
    </row>
    <row r="1558" spans="1:1" x14ac:dyDescent="0.2">
      <c r="A1558">
        <v>1746</v>
      </c>
    </row>
    <row r="1559" spans="1:1" x14ac:dyDescent="0.2">
      <c r="A1559">
        <v>1747</v>
      </c>
    </row>
    <row r="1560" spans="1:1" x14ac:dyDescent="0.2">
      <c r="A1560">
        <v>1748</v>
      </c>
    </row>
    <row r="1561" spans="1:1" x14ac:dyDescent="0.2">
      <c r="A1561">
        <v>1749</v>
      </c>
    </row>
    <row r="1562" spans="1:1" x14ac:dyDescent="0.2">
      <c r="A1562">
        <v>1750</v>
      </c>
    </row>
    <row r="1563" spans="1:1" x14ac:dyDescent="0.2">
      <c r="A1563">
        <v>1751</v>
      </c>
    </row>
    <row r="1564" spans="1:1" x14ac:dyDescent="0.2">
      <c r="A1564">
        <v>1752</v>
      </c>
    </row>
    <row r="1565" spans="1:1" x14ac:dyDescent="0.2">
      <c r="A1565">
        <v>1753</v>
      </c>
    </row>
    <row r="1566" spans="1:1" x14ac:dyDescent="0.2">
      <c r="A1566">
        <v>1754</v>
      </c>
    </row>
    <row r="1567" spans="1:1" x14ac:dyDescent="0.2">
      <c r="A1567">
        <v>1755</v>
      </c>
    </row>
    <row r="1568" spans="1:1" x14ac:dyDescent="0.2">
      <c r="A1568">
        <v>1756</v>
      </c>
    </row>
    <row r="1569" spans="1:1" x14ac:dyDescent="0.2">
      <c r="A1569">
        <v>1757</v>
      </c>
    </row>
    <row r="1570" spans="1:1" x14ac:dyDescent="0.2">
      <c r="A1570">
        <v>1758</v>
      </c>
    </row>
    <row r="1571" spans="1:1" x14ac:dyDescent="0.2">
      <c r="A1571">
        <v>1759</v>
      </c>
    </row>
    <row r="1572" spans="1:1" x14ac:dyDescent="0.2">
      <c r="A1572">
        <v>1760</v>
      </c>
    </row>
    <row r="1573" spans="1:1" x14ac:dyDescent="0.2">
      <c r="A1573">
        <v>1761</v>
      </c>
    </row>
    <row r="1574" spans="1:1" x14ac:dyDescent="0.2">
      <c r="A1574">
        <v>1762</v>
      </c>
    </row>
    <row r="1575" spans="1:1" x14ac:dyDescent="0.2">
      <c r="A1575">
        <v>1763</v>
      </c>
    </row>
    <row r="1576" spans="1:1" x14ac:dyDescent="0.2">
      <c r="A1576">
        <v>1764</v>
      </c>
    </row>
    <row r="1577" spans="1:1" x14ac:dyDescent="0.2">
      <c r="A1577">
        <v>1765</v>
      </c>
    </row>
    <row r="1578" spans="1:1" x14ac:dyDescent="0.2">
      <c r="A1578">
        <v>1766</v>
      </c>
    </row>
    <row r="1579" spans="1:1" x14ac:dyDescent="0.2">
      <c r="A1579">
        <v>1767</v>
      </c>
    </row>
    <row r="1580" spans="1:1" x14ac:dyDescent="0.2">
      <c r="A1580">
        <v>1768</v>
      </c>
    </row>
    <row r="1581" spans="1:1" x14ac:dyDescent="0.2">
      <c r="A1581">
        <v>1769</v>
      </c>
    </row>
    <row r="1582" spans="1:1" x14ac:dyDescent="0.2">
      <c r="A1582">
        <v>1770</v>
      </c>
    </row>
    <row r="1583" spans="1:1" x14ac:dyDescent="0.2">
      <c r="A1583">
        <v>1771</v>
      </c>
    </row>
    <row r="1584" spans="1:1" x14ac:dyDescent="0.2">
      <c r="A1584">
        <v>1772</v>
      </c>
    </row>
    <row r="1585" spans="1:1" x14ac:dyDescent="0.2">
      <c r="A1585">
        <v>1773</v>
      </c>
    </row>
    <row r="1586" spans="1:1" x14ac:dyDescent="0.2">
      <c r="A1586">
        <v>1774</v>
      </c>
    </row>
    <row r="1587" spans="1:1" x14ac:dyDescent="0.2">
      <c r="A1587">
        <v>1775</v>
      </c>
    </row>
    <row r="1588" spans="1:1" x14ac:dyDescent="0.2">
      <c r="A1588">
        <v>1776</v>
      </c>
    </row>
    <row r="1589" spans="1:1" x14ac:dyDescent="0.2">
      <c r="A1589">
        <v>1777</v>
      </c>
    </row>
    <row r="1590" spans="1:1" x14ac:dyDescent="0.2">
      <c r="A1590">
        <v>1778</v>
      </c>
    </row>
    <row r="1591" spans="1:1" x14ac:dyDescent="0.2">
      <c r="A1591">
        <v>1779</v>
      </c>
    </row>
    <row r="1592" spans="1:1" x14ac:dyDescent="0.2">
      <c r="A1592">
        <v>1780</v>
      </c>
    </row>
    <row r="1593" spans="1:1" x14ac:dyDescent="0.2">
      <c r="A1593">
        <v>1781</v>
      </c>
    </row>
    <row r="1594" spans="1:1" x14ac:dyDescent="0.2">
      <c r="A1594">
        <v>1782</v>
      </c>
    </row>
    <row r="1595" spans="1:1" x14ac:dyDescent="0.2">
      <c r="A1595">
        <v>1783</v>
      </c>
    </row>
    <row r="1596" spans="1:1" x14ac:dyDescent="0.2">
      <c r="A1596">
        <v>1784</v>
      </c>
    </row>
    <row r="1597" spans="1:1" x14ac:dyDescent="0.2">
      <c r="A1597">
        <v>1785</v>
      </c>
    </row>
    <row r="1598" spans="1:1" x14ac:dyDescent="0.2">
      <c r="A1598">
        <v>1786</v>
      </c>
    </row>
    <row r="1599" spans="1:1" x14ac:dyDescent="0.2">
      <c r="A1599">
        <v>1787</v>
      </c>
    </row>
    <row r="1600" spans="1:1" x14ac:dyDescent="0.2">
      <c r="A1600">
        <v>1788</v>
      </c>
    </row>
    <row r="1601" spans="1:1" x14ac:dyDescent="0.2">
      <c r="A1601">
        <v>1789</v>
      </c>
    </row>
    <row r="1602" spans="1:1" x14ac:dyDescent="0.2">
      <c r="A1602">
        <v>1790</v>
      </c>
    </row>
    <row r="1603" spans="1:1" x14ac:dyDescent="0.2">
      <c r="A1603">
        <v>1791</v>
      </c>
    </row>
    <row r="1604" spans="1:1" x14ac:dyDescent="0.2">
      <c r="A1604">
        <v>1792</v>
      </c>
    </row>
    <row r="1605" spans="1:1" x14ac:dyDescent="0.2">
      <c r="A1605">
        <v>1793</v>
      </c>
    </row>
    <row r="1606" spans="1:1" x14ac:dyDescent="0.2">
      <c r="A1606">
        <v>1794</v>
      </c>
    </row>
    <row r="1607" spans="1:1" x14ac:dyDescent="0.2">
      <c r="A1607">
        <v>1795</v>
      </c>
    </row>
    <row r="1608" spans="1:1" x14ac:dyDescent="0.2">
      <c r="A1608">
        <v>1796</v>
      </c>
    </row>
    <row r="1609" spans="1:1" x14ac:dyDescent="0.2">
      <c r="A1609">
        <v>1797</v>
      </c>
    </row>
    <row r="1610" spans="1:1" x14ac:dyDescent="0.2">
      <c r="A1610">
        <v>1798</v>
      </c>
    </row>
    <row r="1611" spans="1:1" x14ac:dyDescent="0.2">
      <c r="A1611">
        <v>1799</v>
      </c>
    </row>
    <row r="1612" spans="1:1" x14ac:dyDescent="0.2">
      <c r="A1612">
        <v>1800</v>
      </c>
    </row>
    <row r="1613" spans="1:1" x14ac:dyDescent="0.2">
      <c r="A1613">
        <v>1801</v>
      </c>
    </row>
    <row r="1614" spans="1:1" x14ac:dyDescent="0.2">
      <c r="A1614">
        <v>1802</v>
      </c>
    </row>
    <row r="1615" spans="1:1" x14ac:dyDescent="0.2">
      <c r="A1615">
        <v>1803</v>
      </c>
    </row>
    <row r="1616" spans="1:1" x14ac:dyDescent="0.2">
      <c r="A1616">
        <v>1804</v>
      </c>
    </row>
    <row r="1617" spans="1:1" x14ac:dyDescent="0.2">
      <c r="A1617">
        <v>1805</v>
      </c>
    </row>
    <row r="1618" spans="1:1" x14ac:dyDescent="0.2">
      <c r="A1618">
        <v>1806</v>
      </c>
    </row>
    <row r="1619" spans="1:1" x14ac:dyDescent="0.2">
      <c r="A1619">
        <v>1807</v>
      </c>
    </row>
    <row r="1620" spans="1:1" x14ac:dyDescent="0.2">
      <c r="A1620">
        <v>1808</v>
      </c>
    </row>
    <row r="1621" spans="1:1" x14ac:dyDescent="0.2">
      <c r="A1621">
        <v>1809</v>
      </c>
    </row>
    <row r="1622" spans="1:1" x14ac:dyDescent="0.2">
      <c r="A1622">
        <v>1810</v>
      </c>
    </row>
    <row r="1623" spans="1:1" x14ac:dyDescent="0.2">
      <c r="A1623">
        <v>1811</v>
      </c>
    </row>
    <row r="1624" spans="1:1" x14ac:dyDescent="0.2">
      <c r="A1624">
        <v>1812</v>
      </c>
    </row>
    <row r="1625" spans="1:1" x14ac:dyDescent="0.2">
      <c r="A1625">
        <v>1813</v>
      </c>
    </row>
    <row r="1626" spans="1:1" x14ac:dyDescent="0.2">
      <c r="A1626">
        <v>1814</v>
      </c>
    </row>
    <row r="1627" spans="1:1" x14ac:dyDescent="0.2">
      <c r="A1627">
        <v>1815</v>
      </c>
    </row>
    <row r="1628" spans="1:1" x14ac:dyDescent="0.2">
      <c r="A1628">
        <v>1816</v>
      </c>
    </row>
    <row r="1629" spans="1:1" x14ac:dyDescent="0.2">
      <c r="A1629">
        <v>1817</v>
      </c>
    </row>
    <row r="1630" spans="1:1" x14ac:dyDescent="0.2">
      <c r="A1630">
        <v>1818</v>
      </c>
    </row>
    <row r="1631" spans="1:1" x14ac:dyDescent="0.2">
      <c r="A1631">
        <v>1819</v>
      </c>
    </row>
    <row r="1632" spans="1:1" x14ac:dyDescent="0.2">
      <c r="A1632">
        <v>1820</v>
      </c>
    </row>
    <row r="1633" spans="1:1" x14ac:dyDescent="0.2">
      <c r="A1633">
        <v>1821</v>
      </c>
    </row>
    <row r="1634" spans="1:1" x14ac:dyDescent="0.2">
      <c r="A1634">
        <v>1822</v>
      </c>
    </row>
    <row r="1635" spans="1:1" x14ac:dyDescent="0.2">
      <c r="A1635">
        <v>1823</v>
      </c>
    </row>
    <row r="1636" spans="1:1" x14ac:dyDescent="0.2">
      <c r="A1636">
        <v>1824</v>
      </c>
    </row>
    <row r="1637" spans="1:1" x14ac:dyDescent="0.2">
      <c r="A1637">
        <v>1825</v>
      </c>
    </row>
    <row r="1638" spans="1:1" x14ac:dyDescent="0.2">
      <c r="A1638">
        <v>1826</v>
      </c>
    </row>
    <row r="1639" spans="1:1" x14ac:dyDescent="0.2">
      <c r="A1639">
        <v>1827</v>
      </c>
    </row>
    <row r="1640" spans="1:1" x14ac:dyDescent="0.2">
      <c r="A1640">
        <v>1828</v>
      </c>
    </row>
    <row r="1641" spans="1:1" x14ac:dyDescent="0.2">
      <c r="A1641">
        <v>1829</v>
      </c>
    </row>
    <row r="1642" spans="1:1" x14ac:dyDescent="0.2">
      <c r="A1642">
        <v>1830</v>
      </c>
    </row>
    <row r="1643" spans="1:1" x14ac:dyDescent="0.2">
      <c r="A1643">
        <v>1831</v>
      </c>
    </row>
    <row r="1644" spans="1:1" x14ac:dyDescent="0.2">
      <c r="A1644">
        <v>1832</v>
      </c>
    </row>
    <row r="1645" spans="1:1" x14ac:dyDescent="0.2">
      <c r="A1645">
        <v>1833</v>
      </c>
    </row>
    <row r="1646" spans="1:1" x14ac:dyDescent="0.2">
      <c r="A1646">
        <v>1834</v>
      </c>
    </row>
    <row r="1647" spans="1:1" x14ac:dyDescent="0.2">
      <c r="A1647">
        <v>1835</v>
      </c>
    </row>
    <row r="1648" spans="1:1" x14ac:dyDescent="0.2">
      <c r="A1648">
        <v>1836</v>
      </c>
    </row>
    <row r="1649" spans="1:1" x14ac:dyDescent="0.2">
      <c r="A1649">
        <v>1837</v>
      </c>
    </row>
    <row r="1650" spans="1:1" x14ac:dyDescent="0.2">
      <c r="A1650">
        <v>1838</v>
      </c>
    </row>
    <row r="1651" spans="1:1" x14ac:dyDescent="0.2">
      <c r="A1651">
        <v>1839</v>
      </c>
    </row>
    <row r="1652" spans="1:1" x14ac:dyDescent="0.2">
      <c r="A1652">
        <v>1840</v>
      </c>
    </row>
    <row r="1653" spans="1:1" x14ac:dyDescent="0.2">
      <c r="A1653">
        <v>1841</v>
      </c>
    </row>
    <row r="1654" spans="1:1" x14ac:dyDescent="0.2">
      <c r="A1654">
        <v>1842</v>
      </c>
    </row>
    <row r="1655" spans="1:1" x14ac:dyDescent="0.2">
      <c r="A1655">
        <v>1843</v>
      </c>
    </row>
    <row r="1656" spans="1:1" x14ac:dyDescent="0.2">
      <c r="A1656">
        <v>1844</v>
      </c>
    </row>
    <row r="1657" spans="1:1" x14ac:dyDescent="0.2">
      <c r="A1657">
        <v>1845</v>
      </c>
    </row>
    <row r="1658" spans="1:1" x14ac:dyDescent="0.2">
      <c r="A1658">
        <v>1846</v>
      </c>
    </row>
    <row r="1659" spans="1:1" x14ac:dyDescent="0.2">
      <c r="A1659">
        <v>1847</v>
      </c>
    </row>
    <row r="1660" spans="1:1" x14ac:dyDescent="0.2">
      <c r="A1660">
        <v>1848</v>
      </c>
    </row>
    <row r="1661" spans="1:1" x14ac:dyDescent="0.2">
      <c r="A1661">
        <v>1849</v>
      </c>
    </row>
    <row r="1662" spans="1:1" x14ac:dyDescent="0.2">
      <c r="A1662">
        <v>1850</v>
      </c>
    </row>
    <row r="1663" spans="1:1" x14ac:dyDescent="0.2">
      <c r="A1663">
        <v>1851</v>
      </c>
    </row>
    <row r="1664" spans="1:1" x14ac:dyDescent="0.2">
      <c r="A1664">
        <v>1852</v>
      </c>
    </row>
    <row r="1665" spans="1:1" x14ac:dyDescent="0.2">
      <c r="A1665">
        <v>1853</v>
      </c>
    </row>
    <row r="1666" spans="1:1" x14ac:dyDescent="0.2">
      <c r="A1666">
        <v>1854</v>
      </c>
    </row>
    <row r="1667" spans="1:1" x14ac:dyDescent="0.2">
      <c r="A1667">
        <v>1855</v>
      </c>
    </row>
    <row r="1668" spans="1:1" x14ac:dyDescent="0.2">
      <c r="A1668">
        <v>1856</v>
      </c>
    </row>
    <row r="1669" spans="1:1" x14ac:dyDescent="0.2">
      <c r="A1669">
        <v>1857</v>
      </c>
    </row>
    <row r="1670" spans="1:1" x14ac:dyDescent="0.2">
      <c r="A1670">
        <v>1858</v>
      </c>
    </row>
    <row r="1671" spans="1:1" x14ac:dyDescent="0.2">
      <c r="A1671">
        <v>1859</v>
      </c>
    </row>
    <row r="1672" spans="1:1" x14ac:dyDescent="0.2">
      <c r="A1672">
        <v>1860</v>
      </c>
    </row>
    <row r="1673" spans="1:1" x14ac:dyDescent="0.2">
      <c r="A1673">
        <v>1861</v>
      </c>
    </row>
    <row r="1674" spans="1:1" x14ac:dyDescent="0.2">
      <c r="A1674">
        <v>1862</v>
      </c>
    </row>
    <row r="1675" spans="1:1" x14ac:dyDescent="0.2">
      <c r="A1675">
        <v>1863</v>
      </c>
    </row>
    <row r="1676" spans="1:1" x14ac:dyDescent="0.2">
      <c r="A1676">
        <v>1864</v>
      </c>
    </row>
    <row r="1677" spans="1:1" x14ac:dyDescent="0.2">
      <c r="A1677">
        <v>1865</v>
      </c>
    </row>
    <row r="1678" spans="1:1" x14ac:dyDescent="0.2">
      <c r="A1678">
        <v>1866</v>
      </c>
    </row>
    <row r="1679" spans="1:1" x14ac:dyDescent="0.2">
      <c r="A1679">
        <v>1867</v>
      </c>
    </row>
    <row r="1680" spans="1:1" x14ac:dyDescent="0.2">
      <c r="A1680">
        <v>1868</v>
      </c>
    </row>
    <row r="1681" spans="1:1" x14ac:dyDescent="0.2">
      <c r="A1681">
        <v>1869</v>
      </c>
    </row>
    <row r="1682" spans="1:1" x14ac:dyDescent="0.2">
      <c r="A1682">
        <v>1870</v>
      </c>
    </row>
    <row r="1683" spans="1:1" x14ac:dyDescent="0.2">
      <c r="A1683">
        <v>1871</v>
      </c>
    </row>
    <row r="1684" spans="1:1" x14ac:dyDescent="0.2">
      <c r="A1684">
        <v>1872</v>
      </c>
    </row>
    <row r="1685" spans="1:1" x14ac:dyDescent="0.2">
      <c r="A1685">
        <v>1873</v>
      </c>
    </row>
    <row r="1686" spans="1:1" x14ac:dyDescent="0.2">
      <c r="A1686">
        <v>1874</v>
      </c>
    </row>
    <row r="1687" spans="1:1" x14ac:dyDescent="0.2">
      <c r="A1687">
        <v>1875</v>
      </c>
    </row>
    <row r="1688" spans="1:1" x14ac:dyDescent="0.2">
      <c r="A1688">
        <v>1876</v>
      </c>
    </row>
    <row r="1689" spans="1:1" x14ac:dyDescent="0.2">
      <c r="A1689">
        <v>1877</v>
      </c>
    </row>
    <row r="1690" spans="1:1" x14ac:dyDescent="0.2">
      <c r="A1690">
        <v>1878</v>
      </c>
    </row>
    <row r="1691" spans="1:1" x14ac:dyDescent="0.2">
      <c r="A1691">
        <v>1879</v>
      </c>
    </row>
    <row r="1692" spans="1:1" x14ac:dyDescent="0.2">
      <c r="A1692">
        <v>1880</v>
      </c>
    </row>
    <row r="1693" spans="1:1" x14ac:dyDescent="0.2">
      <c r="A1693">
        <v>1881</v>
      </c>
    </row>
    <row r="1694" spans="1:1" x14ac:dyDescent="0.2">
      <c r="A1694">
        <v>1882</v>
      </c>
    </row>
    <row r="1695" spans="1:1" x14ac:dyDescent="0.2">
      <c r="A1695">
        <v>1883</v>
      </c>
    </row>
    <row r="1696" spans="1:1" x14ac:dyDescent="0.2">
      <c r="A1696">
        <v>1884</v>
      </c>
    </row>
    <row r="1697" spans="1:1" x14ac:dyDescent="0.2">
      <c r="A1697">
        <v>1885</v>
      </c>
    </row>
    <row r="1698" spans="1:1" x14ac:dyDescent="0.2">
      <c r="A1698">
        <v>1886</v>
      </c>
    </row>
    <row r="1699" spans="1:1" x14ac:dyDescent="0.2">
      <c r="A1699">
        <v>1887</v>
      </c>
    </row>
    <row r="1700" spans="1:1" x14ac:dyDescent="0.2">
      <c r="A1700">
        <v>1888</v>
      </c>
    </row>
    <row r="1701" spans="1:1" x14ac:dyDescent="0.2">
      <c r="A1701">
        <v>1889</v>
      </c>
    </row>
    <row r="1702" spans="1:1" x14ac:dyDescent="0.2">
      <c r="A1702">
        <v>1890</v>
      </c>
    </row>
    <row r="1703" spans="1:1" x14ac:dyDescent="0.2">
      <c r="A1703">
        <v>1891</v>
      </c>
    </row>
    <row r="1704" spans="1:1" x14ac:dyDescent="0.2">
      <c r="A1704">
        <v>1892</v>
      </c>
    </row>
    <row r="1705" spans="1:1" x14ac:dyDescent="0.2">
      <c r="A1705">
        <v>1893</v>
      </c>
    </row>
    <row r="1706" spans="1:1" x14ac:dyDescent="0.2">
      <c r="A1706">
        <v>1894</v>
      </c>
    </row>
    <row r="1707" spans="1:1" x14ac:dyDescent="0.2">
      <c r="A1707">
        <v>1895</v>
      </c>
    </row>
    <row r="1708" spans="1:1" x14ac:dyDescent="0.2">
      <c r="A1708">
        <v>1896</v>
      </c>
    </row>
    <row r="1709" spans="1:1" x14ac:dyDescent="0.2">
      <c r="A1709">
        <v>1897</v>
      </c>
    </row>
    <row r="1710" spans="1:1" x14ac:dyDescent="0.2">
      <c r="A1710">
        <v>1898</v>
      </c>
    </row>
    <row r="1711" spans="1:1" x14ac:dyDescent="0.2">
      <c r="A1711">
        <v>1899</v>
      </c>
    </row>
    <row r="1712" spans="1:1" x14ac:dyDescent="0.2">
      <c r="A1712">
        <v>1900</v>
      </c>
    </row>
    <row r="1713" spans="1:1" x14ac:dyDescent="0.2">
      <c r="A1713">
        <v>1901</v>
      </c>
    </row>
    <row r="1714" spans="1:1" x14ac:dyDescent="0.2">
      <c r="A1714">
        <v>1902</v>
      </c>
    </row>
    <row r="1715" spans="1:1" x14ac:dyDescent="0.2">
      <c r="A1715">
        <v>1903</v>
      </c>
    </row>
    <row r="1716" spans="1:1" x14ac:dyDescent="0.2">
      <c r="A1716">
        <v>1904</v>
      </c>
    </row>
    <row r="1717" spans="1:1" x14ac:dyDescent="0.2">
      <c r="A1717">
        <v>1905</v>
      </c>
    </row>
    <row r="1718" spans="1:1" x14ac:dyDescent="0.2">
      <c r="A1718">
        <v>1906</v>
      </c>
    </row>
    <row r="1719" spans="1:1" x14ac:dyDescent="0.2">
      <c r="A1719">
        <v>1907</v>
      </c>
    </row>
    <row r="1720" spans="1:1" x14ac:dyDescent="0.2">
      <c r="A1720">
        <v>1908</v>
      </c>
    </row>
    <row r="1721" spans="1:1" x14ac:dyDescent="0.2">
      <c r="A1721">
        <v>1909</v>
      </c>
    </row>
    <row r="1722" spans="1:1" x14ac:dyDescent="0.2">
      <c r="A1722">
        <v>1910</v>
      </c>
    </row>
    <row r="1723" spans="1:1" x14ac:dyDescent="0.2">
      <c r="A1723">
        <v>1911</v>
      </c>
    </row>
    <row r="1724" spans="1:1" x14ac:dyDescent="0.2">
      <c r="A1724">
        <v>1912</v>
      </c>
    </row>
    <row r="1725" spans="1:1" x14ac:dyDescent="0.2">
      <c r="A1725">
        <v>1913</v>
      </c>
    </row>
    <row r="1726" spans="1:1" x14ac:dyDescent="0.2">
      <c r="A1726">
        <v>1914</v>
      </c>
    </row>
    <row r="1727" spans="1:1" x14ac:dyDescent="0.2">
      <c r="A1727">
        <v>1915</v>
      </c>
    </row>
    <row r="1728" spans="1:1" x14ac:dyDescent="0.2">
      <c r="A1728">
        <v>1916</v>
      </c>
    </row>
    <row r="1729" spans="1:1" x14ac:dyDescent="0.2">
      <c r="A1729">
        <v>1917</v>
      </c>
    </row>
    <row r="1730" spans="1:1" x14ac:dyDescent="0.2">
      <c r="A1730">
        <v>1918</v>
      </c>
    </row>
    <row r="1731" spans="1:1" x14ac:dyDescent="0.2">
      <c r="A1731">
        <v>1919</v>
      </c>
    </row>
    <row r="1732" spans="1:1" x14ac:dyDescent="0.2">
      <c r="A1732">
        <v>1920</v>
      </c>
    </row>
    <row r="1733" spans="1:1" x14ac:dyDescent="0.2">
      <c r="A1733">
        <v>1921</v>
      </c>
    </row>
    <row r="1734" spans="1:1" x14ac:dyDescent="0.2">
      <c r="A1734">
        <v>1922</v>
      </c>
    </row>
    <row r="1735" spans="1:1" x14ac:dyDescent="0.2">
      <c r="A1735">
        <v>1923</v>
      </c>
    </row>
    <row r="1736" spans="1:1" x14ac:dyDescent="0.2">
      <c r="A1736">
        <v>1924</v>
      </c>
    </row>
    <row r="1737" spans="1:1" x14ac:dyDescent="0.2">
      <c r="A1737">
        <v>1925</v>
      </c>
    </row>
    <row r="1738" spans="1:1" x14ac:dyDescent="0.2">
      <c r="A1738">
        <v>1926</v>
      </c>
    </row>
    <row r="1739" spans="1:1" x14ac:dyDescent="0.2">
      <c r="A1739">
        <v>1927</v>
      </c>
    </row>
    <row r="1740" spans="1:1" x14ac:dyDescent="0.2">
      <c r="A1740">
        <v>1928</v>
      </c>
    </row>
    <row r="1741" spans="1:1" x14ac:dyDescent="0.2">
      <c r="A1741">
        <v>1929</v>
      </c>
    </row>
    <row r="1742" spans="1:1" x14ac:dyDescent="0.2">
      <c r="A1742">
        <v>1930</v>
      </c>
    </row>
    <row r="1743" spans="1:1" x14ac:dyDescent="0.2">
      <c r="A1743">
        <v>1931</v>
      </c>
    </row>
    <row r="1744" spans="1:1" x14ac:dyDescent="0.2">
      <c r="A1744">
        <v>1932</v>
      </c>
    </row>
    <row r="1745" spans="1:1" x14ac:dyDescent="0.2">
      <c r="A1745">
        <v>1933</v>
      </c>
    </row>
    <row r="1746" spans="1:1" x14ac:dyDescent="0.2">
      <c r="A1746">
        <v>1934</v>
      </c>
    </row>
    <row r="1747" spans="1:1" x14ac:dyDescent="0.2">
      <c r="A1747">
        <v>1935</v>
      </c>
    </row>
    <row r="1748" spans="1:1" x14ac:dyDescent="0.2">
      <c r="A1748">
        <v>1936</v>
      </c>
    </row>
    <row r="1749" spans="1:1" x14ac:dyDescent="0.2">
      <c r="A1749">
        <v>1937</v>
      </c>
    </row>
    <row r="1750" spans="1:1" x14ac:dyDescent="0.2">
      <c r="A1750">
        <v>1938</v>
      </c>
    </row>
    <row r="1751" spans="1:1" x14ac:dyDescent="0.2">
      <c r="A1751">
        <v>1939</v>
      </c>
    </row>
    <row r="1752" spans="1:1" x14ac:dyDescent="0.2">
      <c r="A1752">
        <v>1940</v>
      </c>
    </row>
    <row r="1753" spans="1:1" x14ac:dyDescent="0.2">
      <c r="A1753">
        <v>1941</v>
      </c>
    </row>
    <row r="1754" spans="1:1" x14ac:dyDescent="0.2">
      <c r="A1754">
        <v>1942</v>
      </c>
    </row>
    <row r="1755" spans="1:1" x14ac:dyDescent="0.2">
      <c r="A1755">
        <v>1943</v>
      </c>
    </row>
    <row r="1756" spans="1:1" x14ac:dyDescent="0.2">
      <c r="A1756">
        <v>1944</v>
      </c>
    </row>
    <row r="1757" spans="1:1" x14ac:dyDescent="0.2">
      <c r="A1757">
        <v>1945</v>
      </c>
    </row>
    <row r="1758" spans="1:1" x14ac:dyDescent="0.2">
      <c r="A1758">
        <v>1946</v>
      </c>
    </row>
    <row r="1759" spans="1:1" x14ac:dyDescent="0.2">
      <c r="A1759">
        <v>1947</v>
      </c>
    </row>
    <row r="1760" spans="1:1" x14ac:dyDescent="0.2">
      <c r="A1760">
        <v>1948</v>
      </c>
    </row>
    <row r="1761" spans="1:1" x14ac:dyDescent="0.2">
      <c r="A1761">
        <v>1949</v>
      </c>
    </row>
    <row r="1762" spans="1:1" x14ac:dyDescent="0.2">
      <c r="A1762">
        <v>1950</v>
      </c>
    </row>
    <row r="1763" spans="1:1" x14ac:dyDescent="0.2">
      <c r="A1763">
        <v>1951</v>
      </c>
    </row>
    <row r="1764" spans="1:1" x14ac:dyDescent="0.2">
      <c r="A1764">
        <v>1952</v>
      </c>
    </row>
    <row r="1765" spans="1:1" x14ac:dyDescent="0.2">
      <c r="A1765">
        <v>1953</v>
      </c>
    </row>
    <row r="1766" spans="1:1" x14ac:dyDescent="0.2">
      <c r="A1766">
        <v>1954</v>
      </c>
    </row>
    <row r="1767" spans="1:1" x14ac:dyDescent="0.2">
      <c r="A1767">
        <v>1955</v>
      </c>
    </row>
    <row r="1768" spans="1:1" x14ac:dyDescent="0.2">
      <c r="A1768">
        <v>1956</v>
      </c>
    </row>
    <row r="1769" spans="1:1" x14ac:dyDescent="0.2">
      <c r="A1769">
        <v>1957</v>
      </c>
    </row>
    <row r="1770" spans="1:1" x14ac:dyDescent="0.2">
      <c r="A1770">
        <v>1958</v>
      </c>
    </row>
    <row r="1771" spans="1:1" x14ac:dyDescent="0.2">
      <c r="A1771">
        <v>1959</v>
      </c>
    </row>
    <row r="1772" spans="1:1" x14ac:dyDescent="0.2">
      <c r="A1772">
        <v>1960</v>
      </c>
    </row>
    <row r="1773" spans="1:1" x14ac:dyDescent="0.2">
      <c r="A1773">
        <v>1961</v>
      </c>
    </row>
    <row r="1774" spans="1:1" x14ac:dyDescent="0.2">
      <c r="A1774">
        <v>1962</v>
      </c>
    </row>
    <row r="1775" spans="1:1" x14ac:dyDescent="0.2">
      <c r="A1775">
        <v>1963</v>
      </c>
    </row>
    <row r="1776" spans="1:1" x14ac:dyDescent="0.2">
      <c r="A1776">
        <v>1964</v>
      </c>
    </row>
    <row r="1777" spans="1:1" x14ac:dyDescent="0.2">
      <c r="A1777">
        <v>1965</v>
      </c>
    </row>
    <row r="1778" spans="1:1" x14ac:dyDescent="0.2">
      <c r="A1778">
        <v>1966</v>
      </c>
    </row>
    <row r="1779" spans="1:1" x14ac:dyDescent="0.2">
      <c r="A1779">
        <v>1967</v>
      </c>
    </row>
    <row r="1780" spans="1:1" x14ac:dyDescent="0.2">
      <c r="A1780">
        <v>1968</v>
      </c>
    </row>
    <row r="1781" spans="1:1" x14ac:dyDescent="0.2">
      <c r="A1781">
        <v>1969</v>
      </c>
    </row>
    <row r="1782" spans="1:1" x14ac:dyDescent="0.2">
      <c r="A1782">
        <v>1970</v>
      </c>
    </row>
    <row r="1783" spans="1:1" x14ac:dyDescent="0.2">
      <c r="A1783">
        <v>1971</v>
      </c>
    </row>
    <row r="1784" spans="1:1" x14ac:dyDescent="0.2">
      <c r="A1784">
        <v>1972</v>
      </c>
    </row>
    <row r="1785" spans="1:1" x14ac:dyDescent="0.2">
      <c r="A1785">
        <v>1973</v>
      </c>
    </row>
    <row r="1786" spans="1:1" x14ac:dyDescent="0.2">
      <c r="A1786">
        <v>1974</v>
      </c>
    </row>
    <row r="1787" spans="1:1" x14ac:dyDescent="0.2">
      <c r="A1787">
        <v>1975</v>
      </c>
    </row>
    <row r="1788" spans="1:1" x14ac:dyDescent="0.2">
      <c r="A1788">
        <v>1976</v>
      </c>
    </row>
    <row r="1789" spans="1:1" x14ac:dyDescent="0.2">
      <c r="A1789">
        <v>1977</v>
      </c>
    </row>
    <row r="1790" spans="1:1" x14ac:dyDescent="0.2">
      <c r="A1790">
        <v>1978</v>
      </c>
    </row>
    <row r="1791" spans="1:1" x14ac:dyDescent="0.2">
      <c r="A1791">
        <v>1979</v>
      </c>
    </row>
    <row r="1792" spans="1:1" x14ac:dyDescent="0.2">
      <c r="A1792">
        <v>1980</v>
      </c>
    </row>
    <row r="1793" spans="1:1" x14ac:dyDescent="0.2">
      <c r="A1793">
        <v>1981</v>
      </c>
    </row>
    <row r="1794" spans="1:1" x14ac:dyDescent="0.2">
      <c r="A1794">
        <v>1982</v>
      </c>
    </row>
    <row r="1795" spans="1:1" x14ac:dyDescent="0.2">
      <c r="A1795">
        <v>1983</v>
      </c>
    </row>
    <row r="1796" spans="1:1" x14ac:dyDescent="0.2">
      <c r="A1796">
        <v>1984</v>
      </c>
    </row>
    <row r="1797" spans="1:1" x14ac:dyDescent="0.2">
      <c r="A1797">
        <v>1985</v>
      </c>
    </row>
    <row r="1798" spans="1:1" x14ac:dyDescent="0.2">
      <c r="A1798">
        <v>1986</v>
      </c>
    </row>
    <row r="1799" spans="1:1" x14ac:dyDescent="0.2">
      <c r="A1799">
        <v>1987</v>
      </c>
    </row>
    <row r="1800" spans="1:1" x14ac:dyDescent="0.2">
      <c r="A1800">
        <v>1988</v>
      </c>
    </row>
    <row r="1801" spans="1:1" x14ac:dyDescent="0.2">
      <c r="A1801">
        <v>1989</v>
      </c>
    </row>
    <row r="1802" spans="1:1" x14ac:dyDescent="0.2">
      <c r="A1802">
        <v>1990</v>
      </c>
    </row>
    <row r="1803" spans="1:1" x14ac:dyDescent="0.2">
      <c r="A1803">
        <v>1991</v>
      </c>
    </row>
    <row r="1804" spans="1:1" x14ac:dyDescent="0.2">
      <c r="A1804">
        <v>1992</v>
      </c>
    </row>
    <row r="1805" spans="1:1" x14ac:dyDescent="0.2">
      <c r="A1805">
        <v>1993</v>
      </c>
    </row>
    <row r="1806" spans="1:1" x14ac:dyDescent="0.2">
      <c r="A1806">
        <v>1994</v>
      </c>
    </row>
    <row r="1807" spans="1:1" x14ac:dyDescent="0.2">
      <c r="A1807">
        <v>1995</v>
      </c>
    </row>
    <row r="1808" spans="1:1" x14ac:dyDescent="0.2">
      <c r="A1808">
        <v>1996</v>
      </c>
    </row>
    <row r="1809" spans="1:1" x14ac:dyDescent="0.2">
      <c r="A1809">
        <v>1997</v>
      </c>
    </row>
    <row r="1810" spans="1:1" x14ac:dyDescent="0.2">
      <c r="A1810">
        <v>1998</v>
      </c>
    </row>
    <row r="1811" spans="1:1" x14ac:dyDescent="0.2">
      <c r="A1811">
        <v>1999</v>
      </c>
    </row>
    <row r="1812" spans="1:1" x14ac:dyDescent="0.2">
      <c r="A1812">
        <v>2000</v>
      </c>
    </row>
    <row r="1813" spans="1:1" x14ac:dyDescent="0.2">
      <c r="A1813">
        <v>2001</v>
      </c>
    </row>
    <row r="1814" spans="1:1" x14ac:dyDescent="0.2">
      <c r="A1814">
        <v>2002</v>
      </c>
    </row>
    <row r="1815" spans="1:1" x14ac:dyDescent="0.2">
      <c r="A1815">
        <v>2003</v>
      </c>
    </row>
    <row r="1816" spans="1:1" x14ac:dyDescent="0.2">
      <c r="A1816">
        <v>2004</v>
      </c>
    </row>
    <row r="1817" spans="1:1" x14ac:dyDescent="0.2">
      <c r="A1817">
        <v>2005</v>
      </c>
    </row>
    <row r="1818" spans="1:1" x14ac:dyDescent="0.2">
      <c r="A1818">
        <v>2006</v>
      </c>
    </row>
    <row r="1819" spans="1:1" x14ac:dyDescent="0.2">
      <c r="A1819">
        <v>2007</v>
      </c>
    </row>
    <row r="1820" spans="1:1" x14ac:dyDescent="0.2">
      <c r="A1820">
        <v>2008</v>
      </c>
    </row>
    <row r="1821" spans="1:1" x14ac:dyDescent="0.2">
      <c r="A1821">
        <v>2009</v>
      </c>
    </row>
    <row r="1822" spans="1:1" x14ac:dyDescent="0.2">
      <c r="A1822">
        <v>2010</v>
      </c>
    </row>
    <row r="1823" spans="1:1" x14ac:dyDescent="0.2">
      <c r="A1823">
        <v>2011</v>
      </c>
    </row>
    <row r="1824" spans="1:1" x14ac:dyDescent="0.2">
      <c r="A1824">
        <v>2012</v>
      </c>
    </row>
    <row r="1825" spans="1:1" x14ac:dyDescent="0.2">
      <c r="A1825">
        <v>2013</v>
      </c>
    </row>
    <row r="1826" spans="1:1" x14ac:dyDescent="0.2">
      <c r="A1826">
        <v>2014</v>
      </c>
    </row>
    <row r="1827" spans="1:1" x14ac:dyDescent="0.2">
      <c r="A1827">
        <v>2015</v>
      </c>
    </row>
    <row r="1828" spans="1:1" x14ac:dyDescent="0.2">
      <c r="A1828">
        <v>2016</v>
      </c>
    </row>
    <row r="1829" spans="1:1" x14ac:dyDescent="0.2">
      <c r="A1829">
        <v>2017</v>
      </c>
    </row>
    <row r="1830" spans="1:1" x14ac:dyDescent="0.2">
      <c r="A1830">
        <v>2018</v>
      </c>
    </row>
    <row r="1831" spans="1:1" x14ac:dyDescent="0.2">
      <c r="A1831">
        <v>2019</v>
      </c>
    </row>
    <row r="1832" spans="1:1" x14ac:dyDescent="0.2">
      <c r="A1832">
        <v>2020</v>
      </c>
    </row>
    <row r="1833" spans="1:1" x14ac:dyDescent="0.2">
      <c r="A1833">
        <v>2021</v>
      </c>
    </row>
    <row r="1834" spans="1:1" x14ac:dyDescent="0.2">
      <c r="A1834">
        <v>2022</v>
      </c>
    </row>
    <row r="1835" spans="1:1" x14ac:dyDescent="0.2">
      <c r="A1835">
        <v>2023</v>
      </c>
    </row>
    <row r="1836" spans="1:1" x14ac:dyDescent="0.2">
      <c r="A1836">
        <v>2024</v>
      </c>
    </row>
    <row r="1837" spans="1:1" x14ac:dyDescent="0.2">
      <c r="A1837">
        <v>2025</v>
      </c>
    </row>
    <row r="1838" spans="1:1" x14ac:dyDescent="0.2">
      <c r="A1838">
        <v>2026</v>
      </c>
    </row>
    <row r="1839" spans="1:1" x14ac:dyDescent="0.2">
      <c r="A1839">
        <v>2027</v>
      </c>
    </row>
    <row r="1840" spans="1:1" x14ac:dyDescent="0.2">
      <c r="A1840">
        <v>2028</v>
      </c>
    </row>
    <row r="1841" spans="1:1" x14ac:dyDescent="0.2">
      <c r="A1841">
        <v>2029</v>
      </c>
    </row>
    <row r="1842" spans="1:1" x14ac:dyDescent="0.2">
      <c r="A1842">
        <v>2030</v>
      </c>
    </row>
    <row r="1843" spans="1:1" x14ac:dyDescent="0.2">
      <c r="A1843">
        <v>2031</v>
      </c>
    </row>
    <row r="1844" spans="1:1" x14ac:dyDescent="0.2">
      <c r="A1844">
        <v>2032</v>
      </c>
    </row>
    <row r="1845" spans="1:1" x14ac:dyDescent="0.2">
      <c r="A1845">
        <v>2033</v>
      </c>
    </row>
    <row r="1846" spans="1:1" x14ac:dyDescent="0.2">
      <c r="A1846">
        <v>2034</v>
      </c>
    </row>
    <row r="1847" spans="1:1" x14ac:dyDescent="0.2">
      <c r="A1847">
        <v>2035</v>
      </c>
    </row>
    <row r="1848" spans="1:1" x14ac:dyDescent="0.2">
      <c r="A1848">
        <v>2036</v>
      </c>
    </row>
    <row r="1849" spans="1:1" x14ac:dyDescent="0.2">
      <c r="A1849">
        <v>2037</v>
      </c>
    </row>
    <row r="1850" spans="1:1" x14ac:dyDescent="0.2">
      <c r="A1850">
        <v>2038</v>
      </c>
    </row>
    <row r="1851" spans="1:1" x14ac:dyDescent="0.2">
      <c r="A1851">
        <v>2039</v>
      </c>
    </row>
    <row r="1852" spans="1:1" x14ac:dyDescent="0.2">
      <c r="A1852">
        <v>2040</v>
      </c>
    </row>
    <row r="1853" spans="1:1" x14ac:dyDescent="0.2">
      <c r="A1853">
        <v>2041</v>
      </c>
    </row>
    <row r="1854" spans="1:1" x14ac:dyDescent="0.2">
      <c r="A1854">
        <v>2042</v>
      </c>
    </row>
    <row r="1855" spans="1:1" x14ac:dyDescent="0.2">
      <c r="A1855">
        <v>2043</v>
      </c>
    </row>
    <row r="1856" spans="1:1" x14ac:dyDescent="0.2">
      <c r="A1856">
        <v>2044</v>
      </c>
    </row>
    <row r="1857" spans="1:1" x14ac:dyDescent="0.2">
      <c r="A1857">
        <v>2045</v>
      </c>
    </row>
    <row r="1858" spans="1:1" x14ac:dyDescent="0.2">
      <c r="A1858">
        <v>2046</v>
      </c>
    </row>
    <row r="1859" spans="1:1" x14ac:dyDescent="0.2">
      <c r="A1859">
        <v>2047</v>
      </c>
    </row>
    <row r="1860" spans="1:1" x14ac:dyDescent="0.2">
      <c r="A1860">
        <v>2048</v>
      </c>
    </row>
    <row r="1861" spans="1:1" x14ac:dyDescent="0.2">
      <c r="A1861">
        <v>2049</v>
      </c>
    </row>
    <row r="1862" spans="1:1" x14ac:dyDescent="0.2">
      <c r="A1862">
        <v>2050</v>
      </c>
    </row>
    <row r="1863" spans="1:1" x14ac:dyDescent="0.2">
      <c r="A1863">
        <v>2051</v>
      </c>
    </row>
    <row r="1864" spans="1:1" x14ac:dyDescent="0.2">
      <c r="A1864">
        <v>2052</v>
      </c>
    </row>
    <row r="1865" spans="1:1" x14ac:dyDescent="0.2">
      <c r="A1865">
        <v>2053</v>
      </c>
    </row>
    <row r="1866" spans="1:1" x14ac:dyDescent="0.2">
      <c r="A1866">
        <v>2054</v>
      </c>
    </row>
    <row r="1867" spans="1:1" x14ac:dyDescent="0.2">
      <c r="A1867">
        <v>2055</v>
      </c>
    </row>
    <row r="1868" spans="1:1" x14ac:dyDescent="0.2">
      <c r="A1868">
        <v>2056</v>
      </c>
    </row>
    <row r="1869" spans="1:1" x14ac:dyDescent="0.2">
      <c r="A1869">
        <v>2057</v>
      </c>
    </row>
    <row r="1870" spans="1:1" x14ac:dyDescent="0.2">
      <c r="A1870">
        <v>2058</v>
      </c>
    </row>
    <row r="1871" spans="1:1" x14ac:dyDescent="0.2">
      <c r="A1871">
        <v>2059</v>
      </c>
    </row>
    <row r="1872" spans="1:1" x14ac:dyDescent="0.2">
      <c r="A1872">
        <v>2060</v>
      </c>
    </row>
    <row r="1873" spans="1:1" x14ac:dyDescent="0.2">
      <c r="A1873">
        <v>2061</v>
      </c>
    </row>
    <row r="1874" spans="1:1" x14ac:dyDescent="0.2">
      <c r="A1874">
        <v>2062</v>
      </c>
    </row>
    <row r="1875" spans="1:1" x14ac:dyDescent="0.2">
      <c r="A1875">
        <v>2063</v>
      </c>
    </row>
    <row r="1876" spans="1:1" x14ac:dyDescent="0.2">
      <c r="A1876">
        <v>2064</v>
      </c>
    </row>
    <row r="1877" spans="1:1" x14ac:dyDescent="0.2">
      <c r="A1877">
        <v>2065</v>
      </c>
    </row>
    <row r="1878" spans="1:1" x14ac:dyDescent="0.2">
      <c r="A1878">
        <v>2066</v>
      </c>
    </row>
    <row r="1879" spans="1:1" x14ac:dyDescent="0.2">
      <c r="A1879">
        <v>2067</v>
      </c>
    </row>
    <row r="1880" spans="1:1" x14ac:dyDescent="0.2">
      <c r="A1880">
        <v>2068</v>
      </c>
    </row>
    <row r="1881" spans="1:1" x14ac:dyDescent="0.2">
      <c r="A1881">
        <v>2069</v>
      </c>
    </row>
    <row r="1882" spans="1:1" x14ac:dyDescent="0.2">
      <c r="A1882">
        <v>2070</v>
      </c>
    </row>
    <row r="1883" spans="1:1" x14ac:dyDescent="0.2">
      <c r="A1883">
        <v>2071</v>
      </c>
    </row>
    <row r="1884" spans="1:1" x14ac:dyDescent="0.2">
      <c r="A1884">
        <v>2072</v>
      </c>
    </row>
    <row r="1885" spans="1:1" x14ac:dyDescent="0.2">
      <c r="A1885">
        <v>2073</v>
      </c>
    </row>
    <row r="1886" spans="1:1" x14ac:dyDescent="0.2">
      <c r="A1886">
        <v>2074</v>
      </c>
    </row>
    <row r="1887" spans="1:1" x14ac:dyDescent="0.2">
      <c r="A1887">
        <v>2075</v>
      </c>
    </row>
    <row r="1888" spans="1:1" x14ac:dyDescent="0.2">
      <c r="A1888">
        <v>2076</v>
      </c>
    </row>
    <row r="1889" spans="1:1" x14ac:dyDescent="0.2">
      <c r="A1889">
        <v>2077</v>
      </c>
    </row>
    <row r="1890" spans="1:1" x14ac:dyDescent="0.2">
      <c r="A1890">
        <v>2078</v>
      </c>
    </row>
    <row r="1891" spans="1:1" x14ac:dyDescent="0.2">
      <c r="A1891">
        <v>2079</v>
      </c>
    </row>
    <row r="1892" spans="1:1" x14ac:dyDescent="0.2">
      <c r="A1892">
        <v>2080</v>
      </c>
    </row>
    <row r="1893" spans="1:1" x14ac:dyDescent="0.2">
      <c r="A1893">
        <v>2081</v>
      </c>
    </row>
    <row r="1894" spans="1:1" x14ac:dyDescent="0.2">
      <c r="A1894">
        <v>2082</v>
      </c>
    </row>
    <row r="1895" spans="1:1" x14ac:dyDescent="0.2">
      <c r="A1895">
        <v>2083</v>
      </c>
    </row>
    <row r="1896" spans="1:1" x14ac:dyDescent="0.2">
      <c r="A1896">
        <v>2084</v>
      </c>
    </row>
    <row r="1897" spans="1:1" x14ac:dyDescent="0.2">
      <c r="A1897">
        <v>2085</v>
      </c>
    </row>
    <row r="1898" spans="1:1" x14ac:dyDescent="0.2">
      <c r="A1898">
        <v>2086</v>
      </c>
    </row>
    <row r="1899" spans="1:1" x14ac:dyDescent="0.2">
      <c r="A1899">
        <v>2087</v>
      </c>
    </row>
    <row r="1900" spans="1:1" x14ac:dyDescent="0.2">
      <c r="A1900">
        <v>2088</v>
      </c>
    </row>
    <row r="1901" spans="1:1" x14ac:dyDescent="0.2">
      <c r="A1901">
        <v>2089</v>
      </c>
    </row>
    <row r="1902" spans="1:1" x14ac:dyDescent="0.2">
      <c r="A1902">
        <v>2090</v>
      </c>
    </row>
    <row r="1903" spans="1:1" x14ac:dyDescent="0.2">
      <c r="A1903">
        <v>2091</v>
      </c>
    </row>
    <row r="1904" spans="1:1" x14ac:dyDescent="0.2">
      <c r="A1904">
        <v>2092</v>
      </c>
    </row>
    <row r="1905" spans="1:1" x14ac:dyDescent="0.2">
      <c r="A1905">
        <v>2093</v>
      </c>
    </row>
    <row r="1906" spans="1:1" x14ac:dyDescent="0.2">
      <c r="A1906">
        <v>2094</v>
      </c>
    </row>
    <row r="1907" spans="1:1" x14ac:dyDescent="0.2">
      <c r="A1907">
        <v>2095</v>
      </c>
    </row>
    <row r="1908" spans="1:1" x14ac:dyDescent="0.2">
      <c r="A1908">
        <v>2096</v>
      </c>
    </row>
    <row r="1909" spans="1:1" x14ac:dyDescent="0.2">
      <c r="A1909">
        <v>2097</v>
      </c>
    </row>
    <row r="1910" spans="1:1" x14ac:dyDescent="0.2">
      <c r="A1910">
        <v>2098</v>
      </c>
    </row>
    <row r="1911" spans="1:1" x14ac:dyDescent="0.2">
      <c r="A1911">
        <v>2099</v>
      </c>
    </row>
    <row r="1912" spans="1:1" x14ac:dyDescent="0.2">
      <c r="A1912">
        <v>2100</v>
      </c>
    </row>
    <row r="1913" spans="1:1" x14ac:dyDescent="0.2">
      <c r="A1913">
        <v>2101</v>
      </c>
    </row>
    <row r="1914" spans="1:1" x14ac:dyDescent="0.2">
      <c r="A1914">
        <v>2102</v>
      </c>
    </row>
    <row r="1915" spans="1:1" x14ac:dyDescent="0.2">
      <c r="A1915">
        <v>2103</v>
      </c>
    </row>
    <row r="1916" spans="1:1" x14ac:dyDescent="0.2">
      <c r="A1916">
        <v>2104</v>
      </c>
    </row>
    <row r="1917" spans="1:1" x14ac:dyDescent="0.2">
      <c r="A1917">
        <v>2105</v>
      </c>
    </row>
    <row r="1918" spans="1:1" x14ac:dyDescent="0.2">
      <c r="A1918">
        <v>2106</v>
      </c>
    </row>
    <row r="1919" spans="1:1" x14ac:dyDescent="0.2">
      <c r="A1919">
        <v>2107</v>
      </c>
    </row>
    <row r="1920" spans="1:1" x14ac:dyDescent="0.2">
      <c r="A1920">
        <v>2108</v>
      </c>
    </row>
    <row r="1921" spans="1:1" x14ac:dyDescent="0.2">
      <c r="A1921">
        <v>2109</v>
      </c>
    </row>
    <row r="1922" spans="1:1" x14ac:dyDescent="0.2">
      <c r="A1922">
        <v>2110</v>
      </c>
    </row>
    <row r="1923" spans="1:1" x14ac:dyDescent="0.2">
      <c r="A1923">
        <v>2111</v>
      </c>
    </row>
    <row r="1924" spans="1:1" x14ac:dyDescent="0.2">
      <c r="A1924">
        <v>2112</v>
      </c>
    </row>
    <row r="1925" spans="1:1" x14ac:dyDescent="0.2">
      <c r="A1925">
        <v>2113</v>
      </c>
    </row>
    <row r="1926" spans="1:1" x14ac:dyDescent="0.2">
      <c r="A1926">
        <v>2114</v>
      </c>
    </row>
    <row r="1927" spans="1:1" x14ac:dyDescent="0.2">
      <c r="A1927">
        <v>2115</v>
      </c>
    </row>
    <row r="1928" spans="1:1" x14ac:dyDescent="0.2">
      <c r="A1928">
        <v>2116</v>
      </c>
    </row>
    <row r="1929" spans="1:1" x14ac:dyDescent="0.2">
      <c r="A1929">
        <v>2117</v>
      </c>
    </row>
    <row r="1930" spans="1:1" x14ac:dyDescent="0.2">
      <c r="A1930">
        <v>2118</v>
      </c>
    </row>
    <row r="1931" spans="1:1" x14ac:dyDescent="0.2">
      <c r="A1931">
        <v>2119</v>
      </c>
    </row>
    <row r="1932" spans="1:1" x14ac:dyDescent="0.2">
      <c r="A1932">
        <v>2120</v>
      </c>
    </row>
    <row r="1933" spans="1:1" x14ac:dyDescent="0.2">
      <c r="A1933">
        <v>2121</v>
      </c>
    </row>
    <row r="1934" spans="1:1" x14ac:dyDescent="0.2">
      <c r="A1934">
        <v>2122</v>
      </c>
    </row>
    <row r="1935" spans="1:1" x14ac:dyDescent="0.2">
      <c r="A1935">
        <v>2123</v>
      </c>
    </row>
    <row r="1936" spans="1:1" x14ac:dyDescent="0.2">
      <c r="A1936">
        <v>2124</v>
      </c>
    </row>
    <row r="1937" spans="1:1" x14ac:dyDescent="0.2">
      <c r="A1937">
        <v>2125</v>
      </c>
    </row>
    <row r="1938" spans="1:1" x14ac:dyDescent="0.2">
      <c r="A1938">
        <v>2126</v>
      </c>
    </row>
    <row r="1939" spans="1:1" x14ac:dyDescent="0.2">
      <c r="A1939">
        <v>2127</v>
      </c>
    </row>
    <row r="1940" spans="1:1" x14ac:dyDescent="0.2">
      <c r="A1940">
        <v>2128</v>
      </c>
    </row>
    <row r="1941" spans="1:1" x14ac:dyDescent="0.2">
      <c r="A1941">
        <v>2129</v>
      </c>
    </row>
    <row r="1942" spans="1:1" x14ac:dyDescent="0.2">
      <c r="A1942">
        <v>2130</v>
      </c>
    </row>
    <row r="1943" spans="1:1" x14ac:dyDescent="0.2">
      <c r="A1943">
        <v>2131</v>
      </c>
    </row>
    <row r="1944" spans="1:1" x14ac:dyDescent="0.2">
      <c r="A1944">
        <v>2132</v>
      </c>
    </row>
    <row r="1945" spans="1:1" x14ac:dyDescent="0.2">
      <c r="A1945">
        <v>2133</v>
      </c>
    </row>
    <row r="1946" spans="1:1" x14ac:dyDescent="0.2">
      <c r="A1946">
        <v>2134</v>
      </c>
    </row>
    <row r="1947" spans="1:1" x14ac:dyDescent="0.2">
      <c r="A1947">
        <v>2135</v>
      </c>
    </row>
    <row r="1948" spans="1:1" x14ac:dyDescent="0.2">
      <c r="A1948">
        <v>2136</v>
      </c>
    </row>
    <row r="1949" spans="1:1" x14ac:dyDescent="0.2">
      <c r="A1949">
        <v>2137</v>
      </c>
    </row>
    <row r="1950" spans="1:1" x14ac:dyDescent="0.2">
      <c r="A1950">
        <v>2138</v>
      </c>
    </row>
    <row r="1951" spans="1:1" x14ac:dyDescent="0.2">
      <c r="A1951">
        <v>2139</v>
      </c>
    </row>
    <row r="1952" spans="1:1" x14ac:dyDescent="0.2">
      <c r="A1952">
        <v>2140</v>
      </c>
    </row>
    <row r="1953" spans="1:1" x14ac:dyDescent="0.2">
      <c r="A1953">
        <v>2141</v>
      </c>
    </row>
    <row r="1954" spans="1:1" x14ac:dyDescent="0.2">
      <c r="A1954">
        <v>2142</v>
      </c>
    </row>
    <row r="1955" spans="1:1" x14ac:dyDescent="0.2">
      <c r="A1955">
        <v>2143</v>
      </c>
    </row>
    <row r="1956" spans="1:1" x14ac:dyDescent="0.2">
      <c r="A1956">
        <v>2144</v>
      </c>
    </row>
    <row r="1957" spans="1:1" x14ac:dyDescent="0.2">
      <c r="A1957">
        <v>2145</v>
      </c>
    </row>
    <row r="1958" spans="1:1" x14ac:dyDescent="0.2">
      <c r="A1958">
        <v>2146</v>
      </c>
    </row>
    <row r="1959" spans="1:1" x14ac:dyDescent="0.2">
      <c r="A1959">
        <v>2147</v>
      </c>
    </row>
    <row r="1960" spans="1:1" x14ac:dyDescent="0.2">
      <c r="A1960">
        <v>2148</v>
      </c>
    </row>
    <row r="1961" spans="1:1" x14ac:dyDescent="0.2">
      <c r="A1961">
        <v>2149</v>
      </c>
    </row>
    <row r="1962" spans="1:1" x14ac:dyDescent="0.2">
      <c r="A1962">
        <v>2150</v>
      </c>
    </row>
    <row r="1963" spans="1:1" x14ac:dyDescent="0.2">
      <c r="A1963">
        <v>2151</v>
      </c>
    </row>
    <row r="1964" spans="1:1" x14ac:dyDescent="0.2">
      <c r="A1964">
        <v>2152</v>
      </c>
    </row>
    <row r="1965" spans="1:1" x14ac:dyDescent="0.2">
      <c r="A1965">
        <v>2153</v>
      </c>
    </row>
    <row r="1966" spans="1:1" x14ac:dyDescent="0.2">
      <c r="A1966">
        <v>2154</v>
      </c>
    </row>
    <row r="1967" spans="1:1" x14ac:dyDescent="0.2">
      <c r="A1967">
        <v>2155</v>
      </c>
    </row>
    <row r="1968" spans="1:1" x14ac:dyDescent="0.2">
      <c r="A1968">
        <v>2156</v>
      </c>
    </row>
    <row r="1969" spans="1:1" x14ac:dyDescent="0.2">
      <c r="A1969">
        <v>2157</v>
      </c>
    </row>
    <row r="1970" spans="1:1" x14ac:dyDescent="0.2">
      <c r="A1970">
        <v>2158</v>
      </c>
    </row>
    <row r="1971" spans="1:1" x14ac:dyDescent="0.2">
      <c r="A1971">
        <v>2159</v>
      </c>
    </row>
    <row r="1972" spans="1:1" x14ac:dyDescent="0.2">
      <c r="A1972">
        <v>2160</v>
      </c>
    </row>
    <row r="1973" spans="1:1" x14ac:dyDescent="0.2">
      <c r="A1973">
        <v>2161</v>
      </c>
    </row>
    <row r="1974" spans="1:1" x14ac:dyDescent="0.2">
      <c r="A1974">
        <v>2162</v>
      </c>
    </row>
    <row r="1975" spans="1:1" x14ac:dyDescent="0.2">
      <c r="A1975">
        <v>2163</v>
      </c>
    </row>
    <row r="1976" spans="1:1" x14ac:dyDescent="0.2">
      <c r="A1976">
        <v>2164</v>
      </c>
    </row>
    <row r="1977" spans="1:1" x14ac:dyDescent="0.2">
      <c r="A1977">
        <v>2165</v>
      </c>
    </row>
    <row r="1978" spans="1:1" x14ac:dyDescent="0.2">
      <c r="A1978">
        <v>2166</v>
      </c>
    </row>
    <row r="1979" spans="1:1" x14ac:dyDescent="0.2">
      <c r="A1979">
        <v>2167</v>
      </c>
    </row>
    <row r="1980" spans="1:1" x14ac:dyDescent="0.2">
      <c r="A1980">
        <v>2168</v>
      </c>
    </row>
    <row r="1981" spans="1:1" x14ac:dyDescent="0.2">
      <c r="A1981">
        <v>2169</v>
      </c>
    </row>
    <row r="1982" spans="1:1" x14ac:dyDescent="0.2">
      <c r="A1982">
        <v>2170</v>
      </c>
    </row>
    <row r="1983" spans="1:1" x14ac:dyDescent="0.2">
      <c r="A1983">
        <v>2171</v>
      </c>
    </row>
    <row r="1984" spans="1:1" x14ac:dyDescent="0.2">
      <c r="A1984">
        <v>2172</v>
      </c>
    </row>
    <row r="1985" spans="1:1" x14ac:dyDescent="0.2">
      <c r="A1985">
        <v>2173</v>
      </c>
    </row>
    <row r="1986" spans="1:1" x14ac:dyDescent="0.2">
      <c r="A1986">
        <v>2174</v>
      </c>
    </row>
    <row r="1987" spans="1:1" x14ac:dyDescent="0.2">
      <c r="A1987">
        <v>2175</v>
      </c>
    </row>
    <row r="1988" spans="1:1" x14ac:dyDescent="0.2">
      <c r="A1988">
        <v>2176</v>
      </c>
    </row>
    <row r="1989" spans="1:1" x14ac:dyDescent="0.2">
      <c r="A1989">
        <v>2177</v>
      </c>
    </row>
    <row r="1990" spans="1:1" x14ac:dyDescent="0.2">
      <c r="A1990">
        <v>2178</v>
      </c>
    </row>
    <row r="1991" spans="1:1" x14ac:dyDescent="0.2">
      <c r="A1991">
        <v>2179</v>
      </c>
    </row>
    <row r="1992" spans="1:1" x14ac:dyDescent="0.2">
      <c r="A1992">
        <v>2180</v>
      </c>
    </row>
    <row r="1993" spans="1:1" x14ac:dyDescent="0.2">
      <c r="A1993">
        <v>2181</v>
      </c>
    </row>
    <row r="1994" spans="1:1" x14ac:dyDescent="0.2">
      <c r="A1994">
        <v>2182</v>
      </c>
    </row>
    <row r="1995" spans="1:1" x14ac:dyDescent="0.2">
      <c r="A1995">
        <v>2183</v>
      </c>
    </row>
    <row r="1996" spans="1:1" x14ac:dyDescent="0.2">
      <c r="A1996">
        <v>2184</v>
      </c>
    </row>
    <row r="1997" spans="1:1" x14ac:dyDescent="0.2">
      <c r="A1997">
        <v>2185</v>
      </c>
    </row>
    <row r="1998" spans="1:1" x14ac:dyDescent="0.2">
      <c r="A1998">
        <v>2186</v>
      </c>
    </row>
    <row r="1999" spans="1:1" x14ac:dyDescent="0.2">
      <c r="A1999">
        <v>2187</v>
      </c>
    </row>
    <row r="2000" spans="1:1" x14ac:dyDescent="0.2">
      <c r="A2000">
        <v>2188</v>
      </c>
    </row>
    <row r="2001" spans="1:1" x14ac:dyDescent="0.2">
      <c r="A2001">
        <v>2189</v>
      </c>
    </row>
    <row r="2002" spans="1:1" x14ac:dyDescent="0.2">
      <c r="A2002">
        <v>2190</v>
      </c>
    </row>
    <row r="2003" spans="1:1" x14ac:dyDescent="0.2">
      <c r="A2003">
        <v>2191</v>
      </c>
    </row>
    <row r="2004" spans="1:1" x14ac:dyDescent="0.2">
      <c r="A2004">
        <v>2192</v>
      </c>
    </row>
    <row r="2005" spans="1:1" x14ac:dyDescent="0.2">
      <c r="A2005">
        <v>2193</v>
      </c>
    </row>
    <row r="2006" spans="1:1" x14ac:dyDescent="0.2">
      <c r="A2006">
        <v>2194</v>
      </c>
    </row>
    <row r="2007" spans="1:1" x14ac:dyDescent="0.2">
      <c r="A2007">
        <v>2195</v>
      </c>
    </row>
    <row r="2008" spans="1:1" x14ac:dyDescent="0.2">
      <c r="A2008">
        <v>2196</v>
      </c>
    </row>
    <row r="2009" spans="1:1" x14ac:dyDescent="0.2">
      <c r="A2009">
        <v>2197</v>
      </c>
    </row>
    <row r="2010" spans="1:1" x14ac:dyDescent="0.2">
      <c r="A2010">
        <v>2198</v>
      </c>
    </row>
    <row r="2011" spans="1:1" x14ac:dyDescent="0.2">
      <c r="A2011">
        <v>2199</v>
      </c>
    </row>
    <row r="2012" spans="1:1" x14ac:dyDescent="0.2">
      <c r="A2012">
        <v>2200</v>
      </c>
    </row>
    <row r="2013" spans="1:1" x14ac:dyDescent="0.2">
      <c r="A2013">
        <v>2201</v>
      </c>
    </row>
    <row r="2014" spans="1:1" x14ac:dyDescent="0.2">
      <c r="A2014">
        <v>2202</v>
      </c>
    </row>
    <row r="2015" spans="1:1" x14ac:dyDescent="0.2">
      <c r="A2015">
        <v>2203</v>
      </c>
    </row>
    <row r="2016" spans="1:1" x14ac:dyDescent="0.2">
      <c r="A2016">
        <v>2204</v>
      </c>
    </row>
    <row r="2017" spans="1:1" x14ac:dyDescent="0.2">
      <c r="A2017">
        <v>2205</v>
      </c>
    </row>
    <row r="2018" spans="1:1" x14ac:dyDescent="0.2">
      <c r="A2018">
        <v>2206</v>
      </c>
    </row>
    <row r="2019" spans="1:1" x14ac:dyDescent="0.2">
      <c r="A2019">
        <v>2207</v>
      </c>
    </row>
    <row r="2020" spans="1:1" x14ac:dyDescent="0.2">
      <c r="A2020">
        <v>2208</v>
      </c>
    </row>
    <row r="2021" spans="1:1" x14ac:dyDescent="0.2">
      <c r="A2021">
        <v>2209</v>
      </c>
    </row>
    <row r="2022" spans="1:1" x14ac:dyDescent="0.2">
      <c r="A2022">
        <v>2210</v>
      </c>
    </row>
    <row r="2023" spans="1:1" x14ac:dyDescent="0.2">
      <c r="A2023">
        <v>2211</v>
      </c>
    </row>
    <row r="2024" spans="1:1" x14ac:dyDescent="0.2">
      <c r="A2024">
        <v>2212</v>
      </c>
    </row>
    <row r="2025" spans="1:1" x14ac:dyDescent="0.2">
      <c r="A2025">
        <v>2213</v>
      </c>
    </row>
    <row r="2026" spans="1:1" x14ac:dyDescent="0.2">
      <c r="A2026">
        <v>2214</v>
      </c>
    </row>
    <row r="2027" spans="1:1" x14ac:dyDescent="0.2">
      <c r="A2027">
        <v>2215</v>
      </c>
    </row>
    <row r="2028" spans="1:1" x14ac:dyDescent="0.2">
      <c r="A2028">
        <v>2216</v>
      </c>
    </row>
    <row r="2029" spans="1:1" x14ac:dyDescent="0.2">
      <c r="A2029">
        <v>2217</v>
      </c>
    </row>
    <row r="2030" spans="1:1" x14ac:dyDescent="0.2">
      <c r="A2030">
        <v>2218</v>
      </c>
    </row>
    <row r="2031" spans="1:1" x14ac:dyDescent="0.2">
      <c r="A2031">
        <v>2219</v>
      </c>
    </row>
    <row r="2032" spans="1:1" x14ac:dyDescent="0.2">
      <c r="A2032">
        <v>2220</v>
      </c>
    </row>
    <row r="2033" spans="1:1" x14ac:dyDescent="0.2">
      <c r="A2033">
        <v>2221</v>
      </c>
    </row>
    <row r="2034" spans="1:1" x14ac:dyDescent="0.2">
      <c r="A2034">
        <v>2222</v>
      </c>
    </row>
    <row r="2035" spans="1:1" x14ac:dyDescent="0.2">
      <c r="A2035">
        <v>2223</v>
      </c>
    </row>
    <row r="2036" spans="1:1" x14ac:dyDescent="0.2">
      <c r="A2036">
        <v>2224</v>
      </c>
    </row>
    <row r="2037" spans="1:1" x14ac:dyDescent="0.2">
      <c r="A2037">
        <v>2225</v>
      </c>
    </row>
    <row r="2038" spans="1:1" x14ac:dyDescent="0.2">
      <c r="A2038">
        <v>2226</v>
      </c>
    </row>
    <row r="2039" spans="1:1" x14ac:dyDescent="0.2">
      <c r="A2039">
        <v>2227</v>
      </c>
    </row>
    <row r="2040" spans="1:1" x14ac:dyDescent="0.2">
      <c r="A2040">
        <v>2228</v>
      </c>
    </row>
    <row r="2041" spans="1:1" x14ac:dyDescent="0.2">
      <c r="A2041">
        <v>2229</v>
      </c>
    </row>
    <row r="2042" spans="1:1" x14ac:dyDescent="0.2">
      <c r="A2042">
        <v>2230</v>
      </c>
    </row>
    <row r="2043" spans="1:1" x14ac:dyDescent="0.2">
      <c r="A2043">
        <v>2231</v>
      </c>
    </row>
    <row r="2044" spans="1:1" x14ac:dyDescent="0.2">
      <c r="A2044">
        <v>2232</v>
      </c>
    </row>
    <row r="2045" spans="1:1" x14ac:dyDescent="0.2">
      <c r="A2045">
        <v>2233</v>
      </c>
    </row>
    <row r="2046" spans="1:1" x14ac:dyDescent="0.2">
      <c r="A2046">
        <v>2234</v>
      </c>
    </row>
    <row r="2047" spans="1:1" x14ac:dyDescent="0.2">
      <c r="A2047">
        <v>2235</v>
      </c>
    </row>
    <row r="2048" spans="1:1" x14ac:dyDescent="0.2">
      <c r="A2048">
        <v>2236</v>
      </c>
    </row>
    <row r="2049" spans="1:1" x14ac:dyDescent="0.2">
      <c r="A2049">
        <v>2237</v>
      </c>
    </row>
    <row r="2050" spans="1:1" x14ac:dyDescent="0.2">
      <c r="A2050">
        <v>2238</v>
      </c>
    </row>
    <row r="2051" spans="1:1" x14ac:dyDescent="0.2">
      <c r="A2051">
        <v>2239</v>
      </c>
    </row>
    <row r="2052" spans="1:1" x14ac:dyDescent="0.2">
      <c r="A2052">
        <v>2240</v>
      </c>
    </row>
    <row r="2053" spans="1:1" x14ac:dyDescent="0.2">
      <c r="A2053">
        <v>2241</v>
      </c>
    </row>
    <row r="2054" spans="1:1" x14ac:dyDescent="0.2">
      <c r="A2054">
        <v>2242</v>
      </c>
    </row>
    <row r="2055" spans="1:1" x14ac:dyDescent="0.2">
      <c r="A2055">
        <v>2243</v>
      </c>
    </row>
    <row r="2056" spans="1:1" x14ac:dyDescent="0.2">
      <c r="A2056">
        <v>2244</v>
      </c>
    </row>
    <row r="2057" spans="1:1" x14ac:dyDescent="0.2">
      <c r="A2057">
        <v>2245</v>
      </c>
    </row>
    <row r="2058" spans="1:1" x14ac:dyDescent="0.2">
      <c r="A2058">
        <v>2246</v>
      </c>
    </row>
    <row r="2059" spans="1:1" x14ac:dyDescent="0.2">
      <c r="A2059">
        <v>2247</v>
      </c>
    </row>
    <row r="2060" spans="1:1" x14ac:dyDescent="0.2">
      <c r="A2060">
        <v>2248</v>
      </c>
    </row>
    <row r="2061" spans="1:1" x14ac:dyDescent="0.2">
      <c r="A2061">
        <v>2249</v>
      </c>
    </row>
    <row r="2062" spans="1:1" x14ac:dyDescent="0.2">
      <c r="A2062">
        <v>2250</v>
      </c>
    </row>
    <row r="2063" spans="1:1" x14ac:dyDescent="0.2">
      <c r="A2063">
        <v>2251</v>
      </c>
    </row>
    <row r="2064" spans="1:1" x14ac:dyDescent="0.2">
      <c r="A2064">
        <v>2252</v>
      </c>
    </row>
    <row r="2065" spans="1:1" x14ac:dyDescent="0.2">
      <c r="A2065">
        <v>2253</v>
      </c>
    </row>
    <row r="2066" spans="1:1" x14ac:dyDescent="0.2">
      <c r="A2066">
        <v>2254</v>
      </c>
    </row>
    <row r="2067" spans="1:1" x14ac:dyDescent="0.2">
      <c r="A2067">
        <v>2255</v>
      </c>
    </row>
    <row r="2068" spans="1:1" x14ac:dyDescent="0.2">
      <c r="A2068">
        <v>2256</v>
      </c>
    </row>
    <row r="2069" spans="1:1" x14ac:dyDescent="0.2">
      <c r="A2069">
        <v>2257</v>
      </c>
    </row>
    <row r="2070" spans="1:1" x14ac:dyDescent="0.2">
      <c r="A2070">
        <v>2258</v>
      </c>
    </row>
    <row r="2071" spans="1:1" x14ac:dyDescent="0.2">
      <c r="A2071">
        <v>2259</v>
      </c>
    </row>
    <row r="2072" spans="1:1" x14ac:dyDescent="0.2">
      <c r="A2072">
        <v>2260</v>
      </c>
    </row>
    <row r="2073" spans="1:1" x14ac:dyDescent="0.2">
      <c r="A2073">
        <v>2261</v>
      </c>
    </row>
    <row r="2074" spans="1:1" x14ac:dyDescent="0.2">
      <c r="A2074">
        <v>2262</v>
      </c>
    </row>
    <row r="2075" spans="1:1" x14ac:dyDescent="0.2">
      <c r="A2075">
        <v>2263</v>
      </c>
    </row>
    <row r="2076" spans="1:1" x14ac:dyDescent="0.2">
      <c r="A2076">
        <v>2264</v>
      </c>
    </row>
    <row r="2077" spans="1:1" x14ac:dyDescent="0.2">
      <c r="A2077">
        <v>2265</v>
      </c>
    </row>
    <row r="2078" spans="1:1" x14ac:dyDescent="0.2">
      <c r="A2078">
        <v>2266</v>
      </c>
    </row>
    <row r="2079" spans="1:1" x14ac:dyDescent="0.2">
      <c r="A2079">
        <v>2267</v>
      </c>
    </row>
    <row r="2080" spans="1:1" x14ac:dyDescent="0.2">
      <c r="A2080">
        <v>2268</v>
      </c>
    </row>
    <row r="2081" spans="1:1" x14ac:dyDescent="0.2">
      <c r="A2081">
        <v>2269</v>
      </c>
    </row>
    <row r="2082" spans="1:1" x14ac:dyDescent="0.2">
      <c r="A2082">
        <v>2270</v>
      </c>
    </row>
    <row r="2083" spans="1:1" x14ac:dyDescent="0.2">
      <c r="A2083">
        <v>2271</v>
      </c>
    </row>
    <row r="2084" spans="1:1" x14ac:dyDescent="0.2">
      <c r="A2084">
        <v>2272</v>
      </c>
    </row>
    <row r="2085" spans="1:1" x14ac:dyDescent="0.2">
      <c r="A2085">
        <v>2273</v>
      </c>
    </row>
    <row r="2086" spans="1:1" x14ac:dyDescent="0.2">
      <c r="A2086">
        <v>2274</v>
      </c>
    </row>
    <row r="2087" spans="1:1" x14ac:dyDescent="0.2">
      <c r="A2087">
        <v>2275</v>
      </c>
    </row>
    <row r="2088" spans="1:1" x14ac:dyDescent="0.2">
      <c r="A2088">
        <v>2276</v>
      </c>
    </row>
    <row r="2089" spans="1:1" x14ac:dyDescent="0.2">
      <c r="A2089">
        <v>2277</v>
      </c>
    </row>
    <row r="2090" spans="1:1" x14ac:dyDescent="0.2">
      <c r="A2090">
        <v>2278</v>
      </c>
    </row>
    <row r="2091" spans="1:1" x14ac:dyDescent="0.2">
      <c r="A2091">
        <v>2279</v>
      </c>
    </row>
    <row r="2092" spans="1:1" x14ac:dyDescent="0.2">
      <c r="A2092">
        <v>2280</v>
      </c>
    </row>
    <row r="2093" spans="1:1" x14ac:dyDescent="0.2">
      <c r="A2093">
        <v>2281</v>
      </c>
    </row>
    <row r="2094" spans="1:1" x14ac:dyDescent="0.2">
      <c r="A2094">
        <v>2282</v>
      </c>
    </row>
    <row r="2095" spans="1:1" x14ac:dyDescent="0.2">
      <c r="A2095">
        <v>2283</v>
      </c>
    </row>
    <row r="2096" spans="1:1" x14ac:dyDescent="0.2">
      <c r="A2096">
        <v>2284</v>
      </c>
    </row>
    <row r="2097" spans="1:1" x14ac:dyDescent="0.2">
      <c r="A2097">
        <v>2285</v>
      </c>
    </row>
    <row r="2098" spans="1:1" x14ac:dyDescent="0.2">
      <c r="A2098">
        <v>2286</v>
      </c>
    </row>
    <row r="2099" spans="1:1" x14ac:dyDescent="0.2">
      <c r="A2099">
        <v>2287</v>
      </c>
    </row>
    <row r="2100" spans="1:1" x14ac:dyDescent="0.2">
      <c r="A2100">
        <v>2288</v>
      </c>
    </row>
    <row r="2101" spans="1:1" x14ac:dyDescent="0.2">
      <c r="A2101">
        <v>2289</v>
      </c>
    </row>
    <row r="2102" spans="1:1" x14ac:dyDescent="0.2">
      <c r="A2102">
        <v>2290</v>
      </c>
    </row>
    <row r="2103" spans="1:1" x14ac:dyDescent="0.2">
      <c r="A2103">
        <v>2291</v>
      </c>
    </row>
    <row r="2104" spans="1:1" x14ac:dyDescent="0.2">
      <c r="A2104">
        <v>2292</v>
      </c>
    </row>
    <row r="2105" spans="1:1" x14ac:dyDescent="0.2">
      <c r="A2105">
        <v>2293</v>
      </c>
    </row>
    <row r="2106" spans="1:1" x14ac:dyDescent="0.2">
      <c r="A2106">
        <v>2294</v>
      </c>
    </row>
    <row r="2107" spans="1:1" x14ac:dyDescent="0.2">
      <c r="A2107">
        <v>2295</v>
      </c>
    </row>
    <row r="2108" spans="1:1" x14ac:dyDescent="0.2">
      <c r="A2108">
        <v>2296</v>
      </c>
    </row>
    <row r="2109" spans="1:1" x14ac:dyDescent="0.2">
      <c r="A2109">
        <v>2297</v>
      </c>
    </row>
    <row r="2110" spans="1:1" x14ac:dyDescent="0.2">
      <c r="A2110">
        <v>2298</v>
      </c>
    </row>
    <row r="2111" spans="1:1" x14ac:dyDescent="0.2">
      <c r="A2111">
        <v>2299</v>
      </c>
    </row>
    <row r="2112" spans="1:1" x14ac:dyDescent="0.2">
      <c r="A2112">
        <v>2300</v>
      </c>
    </row>
    <row r="2113" spans="1:1" x14ac:dyDescent="0.2">
      <c r="A2113">
        <v>2301</v>
      </c>
    </row>
    <row r="2114" spans="1:1" x14ac:dyDescent="0.2">
      <c r="A2114">
        <v>2302</v>
      </c>
    </row>
    <row r="2115" spans="1:1" x14ac:dyDescent="0.2">
      <c r="A2115">
        <v>2303</v>
      </c>
    </row>
    <row r="2116" spans="1:1" x14ac:dyDescent="0.2">
      <c r="A2116">
        <v>2304</v>
      </c>
    </row>
    <row r="2117" spans="1:1" x14ac:dyDescent="0.2">
      <c r="A2117">
        <v>2305</v>
      </c>
    </row>
    <row r="2118" spans="1:1" x14ac:dyDescent="0.2">
      <c r="A2118">
        <v>2306</v>
      </c>
    </row>
    <row r="2119" spans="1:1" x14ac:dyDescent="0.2">
      <c r="A2119">
        <v>2307</v>
      </c>
    </row>
    <row r="2120" spans="1:1" x14ac:dyDescent="0.2">
      <c r="A2120">
        <v>2308</v>
      </c>
    </row>
    <row r="2121" spans="1:1" x14ac:dyDescent="0.2">
      <c r="A2121">
        <v>2309</v>
      </c>
    </row>
    <row r="2122" spans="1:1" x14ac:dyDescent="0.2">
      <c r="A2122">
        <v>2310</v>
      </c>
    </row>
    <row r="2123" spans="1:1" x14ac:dyDescent="0.2">
      <c r="A2123">
        <v>2311</v>
      </c>
    </row>
    <row r="2124" spans="1:1" x14ac:dyDescent="0.2">
      <c r="A2124">
        <v>2312</v>
      </c>
    </row>
    <row r="2125" spans="1:1" x14ac:dyDescent="0.2">
      <c r="A2125">
        <v>2313</v>
      </c>
    </row>
    <row r="2126" spans="1:1" x14ac:dyDescent="0.2">
      <c r="A2126">
        <v>2314</v>
      </c>
    </row>
    <row r="2127" spans="1:1" x14ac:dyDescent="0.2">
      <c r="A2127">
        <v>2315</v>
      </c>
    </row>
    <row r="2128" spans="1:1" x14ac:dyDescent="0.2">
      <c r="A2128">
        <v>2316</v>
      </c>
    </row>
    <row r="2129" spans="1:1" x14ac:dyDescent="0.2">
      <c r="A2129">
        <v>2317</v>
      </c>
    </row>
    <row r="2130" spans="1:1" x14ac:dyDescent="0.2">
      <c r="A2130">
        <v>2318</v>
      </c>
    </row>
    <row r="2131" spans="1:1" x14ac:dyDescent="0.2">
      <c r="A2131">
        <v>2319</v>
      </c>
    </row>
    <row r="2132" spans="1:1" x14ac:dyDescent="0.2">
      <c r="A2132">
        <v>2320</v>
      </c>
    </row>
    <row r="2133" spans="1:1" x14ac:dyDescent="0.2">
      <c r="A2133">
        <v>2321</v>
      </c>
    </row>
    <row r="2134" spans="1:1" x14ac:dyDescent="0.2">
      <c r="A2134">
        <v>2322</v>
      </c>
    </row>
    <row r="2135" spans="1:1" x14ac:dyDescent="0.2">
      <c r="A2135">
        <v>2323</v>
      </c>
    </row>
    <row r="2136" spans="1:1" x14ac:dyDescent="0.2">
      <c r="A2136">
        <v>2324</v>
      </c>
    </row>
    <row r="2137" spans="1:1" x14ac:dyDescent="0.2">
      <c r="A2137">
        <v>2325</v>
      </c>
    </row>
    <row r="2138" spans="1:1" x14ac:dyDescent="0.2">
      <c r="A2138">
        <v>2326</v>
      </c>
    </row>
    <row r="2139" spans="1:1" x14ac:dyDescent="0.2">
      <c r="A2139">
        <v>2327</v>
      </c>
    </row>
    <row r="2140" spans="1:1" x14ac:dyDescent="0.2">
      <c r="A2140">
        <v>2328</v>
      </c>
    </row>
    <row r="2141" spans="1:1" x14ac:dyDescent="0.2">
      <c r="A2141">
        <v>2329</v>
      </c>
    </row>
    <row r="2142" spans="1:1" x14ac:dyDescent="0.2">
      <c r="A2142">
        <v>2330</v>
      </c>
    </row>
    <row r="2143" spans="1:1" x14ac:dyDescent="0.2">
      <c r="A2143">
        <v>2331</v>
      </c>
    </row>
    <row r="2144" spans="1:1" x14ac:dyDescent="0.2">
      <c r="A2144">
        <v>2332</v>
      </c>
    </row>
    <row r="2145" spans="1:1" x14ac:dyDescent="0.2">
      <c r="A2145">
        <v>2333</v>
      </c>
    </row>
    <row r="2146" spans="1:1" x14ac:dyDescent="0.2">
      <c r="A2146">
        <v>2334</v>
      </c>
    </row>
    <row r="2147" spans="1:1" x14ac:dyDescent="0.2">
      <c r="A2147">
        <v>2335</v>
      </c>
    </row>
    <row r="2148" spans="1:1" x14ac:dyDescent="0.2">
      <c r="A2148">
        <v>2336</v>
      </c>
    </row>
    <row r="2149" spans="1:1" x14ac:dyDescent="0.2">
      <c r="A2149">
        <v>2337</v>
      </c>
    </row>
    <row r="2150" spans="1:1" x14ac:dyDescent="0.2">
      <c r="A2150">
        <v>2338</v>
      </c>
    </row>
    <row r="2151" spans="1:1" x14ac:dyDescent="0.2">
      <c r="A2151">
        <v>2339</v>
      </c>
    </row>
    <row r="2152" spans="1:1" x14ac:dyDescent="0.2">
      <c r="A2152">
        <v>2340</v>
      </c>
    </row>
    <row r="2153" spans="1:1" x14ac:dyDescent="0.2">
      <c r="A2153">
        <v>2341</v>
      </c>
    </row>
    <row r="2154" spans="1:1" x14ac:dyDescent="0.2">
      <c r="A2154">
        <v>2342</v>
      </c>
    </row>
    <row r="2155" spans="1:1" x14ac:dyDescent="0.2">
      <c r="A2155">
        <v>2343</v>
      </c>
    </row>
    <row r="2156" spans="1:1" x14ac:dyDescent="0.2">
      <c r="A2156">
        <v>2344</v>
      </c>
    </row>
    <row r="2157" spans="1:1" x14ac:dyDescent="0.2">
      <c r="A2157">
        <v>2345</v>
      </c>
    </row>
    <row r="2158" spans="1:1" x14ac:dyDescent="0.2">
      <c r="A2158">
        <v>2346</v>
      </c>
    </row>
    <row r="2159" spans="1:1" x14ac:dyDescent="0.2">
      <c r="A2159">
        <v>2347</v>
      </c>
    </row>
    <row r="2160" spans="1:1" x14ac:dyDescent="0.2">
      <c r="A2160">
        <v>2348</v>
      </c>
    </row>
    <row r="2161" spans="1:1" x14ac:dyDescent="0.2">
      <c r="A2161">
        <v>2349</v>
      </c>
    </row>
    <row r="2162" spans="1:1" x14ac:dyDescent="0.2">
      <c r="A2162">
        <v>2350</v>
      </c>
    </row>
    <row r="2163" spans="1:1" x14ac:dyDescent="0.2">
      <c r="A2163">
        <v>2351</v>
      </c>
    </row>
    <row r="2164" spans="1:1" x14ac:dyDescent="0.2">
      <c r="A2164">
        <v>2352</v>
      </c>
    </row>
    <row r="2165" spans="1:1" x14ac:dyDescent="0.2">
      <c r="A2165">
        <v>2353</v>
      </c>
    </row>
    <row r="2166" spans="1:1" x14ac:dyDescent="0.2">
      <c r="A2166">
        <v>2354</v>
      </c>
    </row>
    <row r="2167" spans="1:1" x14ac:dyDescent="0.2">
      <c r="A2167">
        <v>2355</v>
      </c>
    </row>
    <row r="2168" spans="1:1" x14ac:dyDescent="0.2">
      <c r="A2168">
        <v>2356</v>
      </c>
    </row>
    <row r="2169" spans="1:1" x14ac:dyDescent="0.2">
      <c r="A2169">
        <v>2357</v>
      </c>
    </row>
    <row r="2170" spans="1:1" x14ac:dyDescent="0.2">
      <c r="A2170">
        <v>2358</v>
      </c>
    </row>
    <row r="2171" spans="1:1" x14ac:dyDescent="0.2">
      <c r="A2171">
        <v>2359</v>
      </c>
    </row>
    <row r="2172" spans="1:1" x14ac:dyDescent="0.2">
      <c r="A2172">
        <v>2360</v>
      </c>
    </row>
    <row r="2173" spans="1:1" x14ac:dyDescent="0.2">
      <c r="A2173">
        <v>2361</v>
      </c>
    </row>
    <row r="2174" spans="1:1" x14ac:dyDescent="0.2">
      <c r="A2174">
        <v>2362</v>
      </c>
    </row>
    <row r="2175" spans="1:1" x14ac:dyDescent="0.2">
      <c r="A2175">
        <v>2363</v>
      </c>
    </row>
    <row r="2176" spans="1:1" x14ac:dyDescent="0.2">
      <c r="A2176">
        <v>2364</v>
      </c>
    </row>
    <row r="2177" spans="1:1" x14ac:dyDescent="0.2">
      <c r="A2177">
        <v>2365</v>
      </c>
    </row>
    <row r="2178" spans="1:1" x14ac:dyDescent="0.2">
      <c r="A2178">
        <v>2366</v>
      </c>
    </row>
    <row r="2179" spans="1:1" x14ac:dyDescent="0.2">
      <c r="A2179">
        <v>2367</v>
      </c>
    </row>
    <row r="2180" spans="1:1" x14ac:dyDescent="0.2">
      <c r="A2180">
        <v>2368</v>
      </c>
    </row>
    <row r="2181" spans="1:1" x14ac:dyDescent="0.2">
      <c r="A2181">
        <v>2369</v>
      </c>
    </row>
    <row r="2182" spans="1:1" x14ac:dyDescent="0.2">
      <c r="A2182">
        <v>2370</v>
      </c>
    </row>
    <row r="2183" spans="1:1" x14ac:dyDescent="0.2">
      <c r="A2183">
        <v>2371</v>
      </c>
    </row>
    <row r="2184" spans="1:1" x14ac:dyDescent="0.2">
      <c r="A2184">
        <v>2372</v>
      </c>
    </row>
    <row r="2185" spans="1:1" x14ac:dyDescent="0.2">
      <c r="A2185">
        <v>2373</v>
      </c>
    </row>
    <row r="2186" spans="1:1" x14ac:dyDescent="0.2">
      <c r="A2186">
        <v>2374</v>
      </c>
    </row>
    <row r="2187" spans="1:1" x14ac:dyDescent="0.2">
      <c r="A2187">
        <v>2375</v>
      </c>
    </row>
    <row r="2188" spans="1:1" x14ac:dyDescent="0.2">
      <c r="A2188">
        <v>2376</v>
      </c>
    </row>
    <row r="2189" spans="1:1" x14ac:dyDescent="0.2">
      <c r="A2189">
        <v>2377</v>
      </c>
    </row>
    <row r="2190" spans="1:1" x14ac:dyDescent="0.2">
      <c r="A2190">
        <v>2378</v>
      </c>
    </row>
    <row r="2191" spans="1:1" x14ac:dyDescent="0.2">
      <c r="A2191">
        <v>2379</v>
      </c>
    </row>
    <row r="2192" spans="1:1" x14ac:dyDescent="0.2">
      <c r="A2192">
        <v>2380</v>
      </c>
    </row>
    <row r="2193" spans="1:1" x14ac:dyDescent="0.2">
      <c r="A2193">
        <v>2381</v>
      </c>
    </row>
    <row r="2194" spans="1:1" x14ac:dyDescent="0.2">
      <c r="A2194">
        <v>2382</v>
      </c>
    </row>
    <row r="2195" spans="1:1" x14ac:dyDescent="0.2">
      <c r="A2195">
        <v>2383</v>
      </c>
    </row>
    <row r="2196" spans="1:1" x14ac:dyDescent="0.2">
      <c r="A2196">
        <v>2384</v>
      </c>
    </row>
    <row r="2197" spans="1:1" x14ac:dyDescent="0.2">
      <c r="A2197">
        <v>2385</v>
      </c>
    </row>
    <row r="2198" spans="1:1" x14ac:dyDescent="0.2">
      <c r="A2198">
        <v>2386</v>
      </c>
    </row>
    <row r="2199" spans="1:1" x14ac:dyDescent="0.2">
      <c r="A2199">
        <v>2387</v>
      </c>
    </row>
    <row r="2200" spans="1:1" x14ac:dyDescent="0.2">
      <c r="A2200">
        <v>2388</v>
      </c>
    </row>
    <row r="2201" spans="1:1" x14ac:dyDescent="0.2">
      <c r="A2201">
        <v>2389</v>
      </c>
    </row>
    <row r="2202" spans="1:1" x14ac:dyDescent="0.2">
      <c r="A2202">
        <v>2390</v>
      </c>
    </row>
    <row r="2203" spans="1:1" x14ac:dyDescent="0.2">
      <c r="A2203">
        <v>2391</v>
      </c>
    </row>
    <row r="2204" spans="1:1" x14ac:dyDescent="0.2">
      <c r="A2204">
        <v>2392</v>
      </c>
    </row>
    <row r="2205" spans="1:1" x14ac:dyDescent="0.2">
      <c r="A2205">
        <v>2393</v>
      </c>
    </row>
    <row r="2206" spans="1:1" x14ac:dyDescent="0.2">
      <c r="A2206">
        <v>2394</v>
      </c>
    </row>
    <row r="2207" spans="1:1" x14ac:dyDescent="0.2">
      <c r="A2207">
        <v>2395</v>
      </c>
    </row>
    <row r="2208" spans="1:1" x14ac:dyDescent="0.2">
      <c r="A2208">
        <v>2396</v>
      </c>
    </row>
    <row r="2209" spans="1:1" x14ac:dyDescent="0.2">
      <c r="A2209">
        <v>2397</v>
      </c>
    </row>
    <row r="2210" spans="1:1" x14ac:dyDescent="0.2">
      <c r="A2210">
        <v>2398</v>
      </c>
    </row>
    <row r="2211" spans="1:1" x14ac:dyDescent="0.2">
      <c r="A2211">
        <v>2399</v>
      </c>
    </row>
    <row r="2212" spans="1:1" x14ac:dyDescent="0.2">
      <c r="A2212">
        <v>2400</v>
      </c>
    </row>
    <row r="2213" spans="1:1" x14ac:dyDescent="0.2">
      <c r="A2213">
        <v>2401</v>
      </c>
    </row>
    <row r="2214" spans="1:1" x14ac:dyDescent="0.2">
      <c r="A2214">
        <v>2402</v>
      </c>
    </row>
    <row r="2215" spans="1:1" x14ac:dyDescent="0.2">
      <c r="A2215">
        <v>2403</v>
      </c>
    </row>
    <row r="2216" spans="1:1" x14ac:dyDescent="0.2">
      <c r="A2216">
        <v>2404</v>
      </c>
    </row>
    <row r="2217" spans="1:1" x14ac:dyDescent="0.2">
      <c r="A2217">
        <v>2405</v>
      </c>
    </row>
    <row r="2218" spans="1:1" x14ac:dyDescent="0.2">
      <c r="A2218">
        <v>2406</v>
      </c>
    </row>
    <row r="2219" spans="1:1" x14ac:dyDescent="0.2">
      <c r="A2219">
        <v>2407</v>
      </c>
    </row>
    <row r="2220" spans="1:1" x14ac:dyDescent="0.2">
      <c r="A2220">
        <v>2408</v>
      </c>
    </row>
    <row r="2221" spans="1:1" x14ac:dyDescent="0.2">
      <c r="A2221">
        <v>2409</v>
      </c>
    </row>
    <row r="2222" spans="1:1" x14ac:dyDescent="0.2">
      <c r="A2222">
        <v>2410</v>
      </c>
    </row>
    <row r="2223" spans="1:1" x14ac:dyDescent="0.2">
      <c r="A2223">
        <v>2411</v>
      </c>
    </row>
    <row r="2224" spans="1:1" x14ac:dyDescent="0.2">
      <c r="A2224">
        <v>2412</v>
      </c>
    </row>
    <row r="2225" spans="1:1" x14ac:dyDescent="0.2">
      <c r="A2225">
        <v>2413</v>
      </c>
    </row>
    <row r="2226" spans="1:1" x14ac:dyDescent="0.2">
      <c r="A2226">
        <v>2414</v>
      </c>
    </row>
    <row r="2227" spans="1:1" x14ac:dyDescent="0.2">
      <c r="A2227">
        <v>2415</v>
      </c>
    </row>
    <row r="2228" spans="1:1" x14ac:dyDescent="0.2">
      <c r="A2228">
        <v>2416</v>
      </c>
    </row>
    <row r="2229" spans="1:1" x14ac:dyDescent="0.2">
      <c r="A2229">
        <v>2417</v>
      </c>
    </row>
    <row r="2230" spans="1:1" x14ac:dyDescent="0.2">
      <c r="A2230">
        <v>2418</v>
      </c>
    </row>
    <row r="2231" spans="1:1" x14ac:dyDescent="0.2">
      <c r="A2231">
        <v>2419</v>
      </c>
    </row>
    <row r="2232" spans="1:1" x14ac:dyDescent="0.2">
      <c r="A2232">
        <v>2420</v>
      </c>
    </row>
    <row r="2233" spans="1:1" x14ac:dyDescent="0.2">
      <c r="A2233">
        <v>2421</v>
      </c>
    </row>
    <row r="2234" spans="1:1" x14ac:dyDescent="0.2">
      <c r="A2234">
        <v>2422</v>
      </c>
    </row>
    <row r="2235" spans="1:1" x14ac:dyDescent="0.2">
      <c r="A2235">
        <v>2423</v>
      </c>
    </row>
    <row r="2236" spans="1:1" x14ac:dyDescent="0.2">
      <c r="A2236">
        <v>2424</v>
      </c>
    </row>
    <row r="2237" spans="1:1" x14ac:dyDescent="0.2">
      <c r="A2237">
        <v>2425</v>
      </c>
    </row>
    <row r="2238" spans="1:1" x14ac:dyDescent="0.2">
      <c r="A2238">
        <v>2426</v>
      </c>
    </row>
    <row r="2239" spans="1:1" x14ac:dyDescent="0.2">
      <c r="A2239">
        <v>2427</v>
      </c>
    </row>
    <row r="2240" spans="1:1" x14ac:dyDescent="0.2">
      <c r="A2240">
        <v>2428</v>
      </c>
    </row>
    <row r="2241" spans="1:1" x14ac:dyDescent="0.2">
      <c r="A2241">
        <v>2429</v>
      </c>
    </row>
    <row r="2242" spans="1:1" x14ac:dyDescent="0.2">
      <c r="A2242">
        <v>2430</v>
      </c>
    </row>
    <row r="2243" spans="1:1" x14ac:dyDescent="0.2">
      <c r="A2243">
        <v>2431</v>
      </c>
    </row>
    <row r="2244" spans="1:1" x14ac:dyDescent="0.2">
      <c r="A2244">
        <v>2432</v>
      </c>
    </row>
    <row r="2245" spans="1:1" x14ac:dyDescent="0.2">
      <c r="A2245">
        <v>2433</v>
      </c>
    </row>
    <row r="2246" spans="1:1" x14ac:dyDescent="0.2">
      <c r="A2246">
        <v>2434</v>
      </c>
    </row>
    <row r="2247" spans="1:1" x14ac:dyDescent="0.2">
      <c r="A2247">
        <v>2435</v>
      </c>
    </row>
    <row r="2248" spans="1:1" x14ac:dyDescent="0.2">
      <c r="A2248">
        <v>2436</v>
      </c>
    </row>
    <row r="2249" spans="1:1" x14ac:dyDescent="0.2">
      <c r="A2249">
        <v>2437</v>
      </c>
    </row>
    <row r="2250" spans="1:1" x14ac:dyDescent="0.2">
      <c r="A2250">
        <v>2438</v>
      </c>
    </row>
    <row r="2251" spans="1:1" x14ac:dyDescent="0.2">
      <c r="A2251">
        <v>2439</v>
      </c>
    </row>
    <row r="2252" spans="1:1" x14ac:dyDescent="0.2">
      <c r="A2252">
        <v>2440</v>
      </c>
    </row>
    <row r="2253" spans="1:1" x14ac:dyDescent="0.2">
      <c r="A2253">
        <v>2441</v>
      </c>
    </row>
    <row r="2254" spans="1:1" x14ac:dyDescent="0.2">
      <c r="A2254">
        <v>2442</v>
      </c>
    </row>
    <row r="2255" spans="1:1" x14ac:dyDescent="0.2">
      <c r="A2255">
        <v>2443</v>
      </c>
    </row>
    <row r="2256" spans="1:1" x14ac:dyDescent="0.2">
      <c r="A2256">
        <v>2444</v>
      </c>
    </row>
    <row r="2257" spans="1:1" x14ac:dyDescent="0.2">
      <c r="A2257">
        <v>2445</v>
      </c>
    </row>
    <row r="2258" spans="1:1" x14ac:dyDescent="0.2">
      <c r="A2258">
        <v>2446</v>
      </c>
    </row>
    <row r="2259" spans="1:1" x14ac:dyDescent="0.2">
      <c r="A2259">
        <v>2447</v>
      </c>
    </row>
    <row r="2260" spans="1:1" x14ac:dyDescent="0.2">
      <c r="A2260">
        <v>2448</v>
      </c>
    </row>
    <row r="2261" spans="1:1" x14ac:dyDescent="0.2">
      <c r="A2261">
        <v>2449</v>
      </c>
    </row>
    <row r="2262" spans="1:1" x14ac:dyDescent="0.2">
      <c r="A2262">
        <v>2450</v>
      </c>
    </row>
    <row r="2263" spans="1:1" x14ac:dyDescent="0.2">
      <c r="A2263">
        <v>2451</v>
      </c>
    </row>
    <row r="2264" spans="1:1" x14ac:dyDescent="0.2">
      <c r="A2264">
        <v>2452</v>
      </c>
    </row>
    <row r="2265" spans="1:1" x14ac:dyDescent="0.2">
      <c r="A2265">
        <v>2453</v>
      </c>
    </row>
    <row r="2266" spans="1:1" x14ac:dyDescent="0.2">
      <c r="A2266">
        <v>2454</v>
      </c>
    </row>
    <row r="2267" spans="1:1" x14ac:dyDescent="0.2">
      <c r="A2267">
        <v>2455</v>
      </c>
    </row>
    <row r="2268" spans="1:1" x14ac:dyDescent="0.2">
      <c r="A2268">
        <v>2456</v>
      </c>
    </row>
    <row r="2269" spans="1:1" x14ac:dyDescent="0.2">
      <c r="A2269">
        <v>2457</v>
      </c>
    </row>
    <row r="2270" spans="1:1" x14ac:dyDescent="0.2">
      <c r="A2270">
        <v>2458</v>
      </c>
    </row>
    <row r="2271" spans="1:1" x14ac:dyDescent="0.2">
      <c r="A2271">
        <v>2459</v>
      </c>
    </row>
    <row r="2272" spans="1:1" x14ac:dyDescent="0.2">
      <c r="A2272">
        <v>2460</v>
      </c>
    </row>
    <row r="2273" spans="1:1" x14ac:dyDescent="0.2">
      <c r="A2273">
        <v>2461</v>
      </c>
    </row>
    <row r="2274" spans="1:1" x14ac:dyDescent="0.2">
      <c r="A2274">
        <v>2462</v>
      </c>
    </row>
    <row r="2275" spans="1:1" x14ac:dyDescent="0.2">
      <c r="A2275">
        <v>2463</v>
      </c>
    </row>
    <row r="2276" spans="1:1" x14ac:dyDescent="0.2">
      <c r="A2276">
        <v>2464</v>
      </c>
    </row>
    <row r="2277" spans="1:1" x14ac:dyDescent="0.2">
      <c r="A2277">
        <v>2465</v>
      </c>
    </row>
    <row r="2278" spans="1:1" x14ac:dyDescent="0.2">
      <c r="A2278">
        <v>2466</v>
      </c>
    </row>
    <row r="2279" spans="1:1" x14ac:dyDescent="0.2">
      <c r="A2279">
        <v>2467</v>
      </c>
    </row>
    <row r="2280" spans="1:1" x14ac:dyDescent="0.2">
      <c r="A2280">
        <v>2468</v>
      </c>
    </row>
    <row r="2281" spans="1:1" x14ac:dyDescent="0.2">
      <c r="A2281">
        <v>2469</v>
      </c>
    </row>
    <row r="2282" spans="1:1" x14ac:dyDescent="0.2">
      <c r="A2282">
        <v>2470</v>
      </c>
    </row>
    <row r="2283" spans="1:1" x14ac:dyDescent="0.2">
      <c r="A2283">
        <v>2471</v>
      </c>
    </row>
    <row r="2284" spans="1:1" x14ac:dyDescent="0.2">
      <c r="A2284">
        <v>2472</v>
      </c>
    </row>
    <row r="2285" spans="1:1" x14ac:dyDescent="0.2">
      <c r="A2285">
        <v>2473</v>
      </c>
    </row>
    <row r="2286" spans="1:1" x14ac:dyDescent="0.2">
      <c r="A2286">
        <v>2474</v>
      </c>
    </row>
    <row r="2287" spans="1:1" x14ac:dyDescent="0.2">
      <c r="A2287">
        <v>2475</v>
      </c>
    </row>
    <row r="2288" spans="1:1" x14ac:dyDescent="0.2">
      <c r="A2288">
        <v>2476</v>
      </c>
    </row>
    <row r="2289" spans="1:1" x14ac:dyDescent="0.2">
      <c r="A2289">
        <v>2477</v>
      </c>
    </row>
    <row r="2290" spans="1:1" x14ac:dyDescent="0.2">
      <c r="A2290">
        <v>2478</v>
      </c>
    </row>
    <row r="2291" spans="1:1" x14ac:dyDescent="0.2">
      <c r="A2291">
        <v>2479</v>
      </c>
    </row>
    <row r="2292" spans="1:1" x14ac:dyDescent="0.2">
      <c r="A2292">
        <v>2480</v>
      </c>
    </row>
    <row r="2293" spans="1:1" x14ac:dyDescent="0.2">
      <c r="A2293">
        <v>2481</v>
      </c>
    </row>
    <row r="2294" spans="1:1" x14ac:dyDescent="0.2">
      <c r="A2294">
        <v>2482</v>
      </c>
    </row>
    <row r="2295" spans="1:1" x14ac:dyDescent="0.2">
      <c r="A2295">
        <v>2483</v>
      </c>
    </row>
    <row r="2296" spans="1:1" x14ac:dyDescent="0.2">
      <c r="A2296">
        <v>2484</v>
      </c>
    </row>
    <row r="2297" spans="1:1" x14ac:dyDescent="0.2">
      <c r="A2297">
        <v>2485</v>
      </c>
    </row>
    <row r="2298" spans="1:1" x14ac:dyDescent="0.2">
      <c r="A2298">
        <v>2486</v>
      </c>
    </row>
    <row r="2299" spans="1:1" x14ac:dyDescent="0.2">
      <c r="A2299">
        <v>2487</v>
      </c>
    </row>
    <row r="2300" spans="1:1" x14ac:dyDescent="0.2">
      <c r="A2300">
        <v>2488</v>
      </c>
    </row>
    <row r="2301" spans="1:1" x14ac:dyDescent="0.2">
      <c r="A2301">
        <v>2489</v>
      </c>
    </row>
    <row r="2302" spans="1:1" x14ac:dyDescent="0.2">
      <c r="A2302">
        <v>2490</v>
      </c>
    </row>
    <row r="2303" spans="1:1" x14ac:dyDescent="0.2">
      <c r="A2303">
        <v>2491</v>
      </c>
    </row>
    <row r="2304" spans="1:1" x14ac:dyDescent="0.2">
      <c r="A2304">
        <v>2492</v>
      </c>
    </row>
    <row r="2305" spans="1:1" x14ac:dyDescent="0.2">
      <c r="A2305">
        <v>2493</v>
      </c>
    </row>
    <row r="2306" spans="1:1" x14ac:dyDescent="0.2">
      <c r="A2306">
        <v>2494</v>
      </c>
    </row>
    <row r="2307" spans="1:1" x14ac:dyDescent="0.2">
      <c r="A2307">
        <v>2495</v>
      </c>
    </row>
    <row r="2308" spans="1:1" x14ac:dyDescent="0.2">
      <c r="A2308">
        <v>2496</v>
      </c>
    </row>
    <row r="2309" spans="1:1" x14ac:dyDescent="0.2">
      <c r="A2309">
        <v>2497</v>
      </c>
    </row>
    <row r="2310" spans="1:1" x14ac:dyDescent="0.2">
      <c r="A2310">
        <v>2498</v>
      </c>
    </row>
    <row r="2311" spans="1:1" x14ac:dyDescent="0.2">
      <c r="A2311">
        <v>2499</v>
      </c>
    </row>
    <row r="2312" spans="1:1" x14ac:dyDescent="0.2">
      <c r="A2312">
        <v>2500</v>
      </c>
    </row>
    <row r="2313" spans="1:1" x14ac:dyDescent="0.2">
      <c r="A2313">
        <v>2501</v>
      </c>
    </row>
    <row r="2314" spans="1:1" x14ac:dyDescent="0.2">
      <c r="A2314">
        <v>2502</v>
      </c>
    </row>
    <row r="2315" spans="1:1" x14ac:dyDescent="0.2">
      <c r="A2315">
        <v>2503</v>
      </c>
    </row>
    <row r="2316" spans="1:1" x14ac:dyDescent="0.2">
      <c r="A2316">
        <v>2504</v>
      </c>
    </row>
    <row r="2317" spans="1:1" x14ac:dyDescent="0.2">
      <c r="A2317">
        <v>2505</v>
      </c>
    </row>
    <row r="2318" spans="1:1" x14ac:dyDescent="0.2">
      <c r="A2318">
        <v>2506</v>
      </c>
    </row>
    <row r="2319" spans="1:1" x14ac:dyDescent="0.2">
      <c r="A2319">
        <v>2507</v>
      </c>
    </row>
    <row r="2320" spans="1:1" x14ac:dyDescent="0.2">
      <c r="A2320">
        <v>2508</v>
      </c>
    </row>
    <row r="2321" spans="1:1" x14ac:dyDescent="0.2">
      <c r="A2321">
        <v>2509</v>
      </c>
    </row>
    <row r="2322" spans="1:1" x14ac:dyDescent="0.2">
      <c r="A2322">
        <v>2510</v>
      </c>
    </row>
    <row r="2323" spans="1:1" x14ac:dyDescent="0.2">
      <c r="A2323">
        <v>2511</v>
      </c>
    </row>
    <row r="2324" spans="1:1" x14ac:dyDescent="0.2">
      <c r="A2324">
        <v>2512</v>
      </c>
    </row>
    <row r="2325" spans="1:1" x14ac:dyDescent="0.2">
      <c r="A2325">
        <v>2513</v>
      </c>
    </row>
    <row r="2326" spans="1:1" x14ac:dyDescent="0.2">
      <c r="A2326">
        <v>2514</v>
      </c>
    </row>
    <row r="2327" spans="1:1" x14ac:dyDescent="0.2">
      <c r="A2327">
        <v>2515</v>
      </c>
    </row>
    <row r="2328" spans="1:1" x14ac:dyDescent="0.2">
      <c r="A2328">
        <v>2516</v>
      </c>
    </row>
    <row r="2329" spans="1:1" x14ac:dyDescent="0.2">
      <c r="A2329">
        <v>2517</v>
      </c>
    </row>
    <row r="2330" spans="1:1" x14ac:dyDescent="0.2">
      <c r="A2330">
        <v>2518</v>
      </c>
    </row>
    <row r="2331" spans="1:1" x14ac:dyDescent="0.2">
      <c r="A2331">
        <v>2519</v>
      </c>
    </row>
    <row r="2332" spans="1:1" x14ac:dyDescent="0.2">
      <c r="A2332">
        <v>2520</v>
      </c>
    </row>
    <row r="2333" spans="1:1" x14ac:dyDescent="0.2">
      <c r="A2333">
        <v>2521</v>
      </c>
    </row>
    <row r="2334" spans="1:1" x14ac:dyDescent="0.2">
      <c r="A2334">
        <v>2522</v>
      </c>
    </row>
    <row r="2335" spans="1:1" x14ac:dyDescent="0.2">
      <c r="A2335">
        <v>2523</v>
      </c>
    </row>
    <row r="2336" spans="1:1" x14ac:dyDescent="0.2">
      <c r="A2336">
        <v>2524</v>
      </c>
    </row>
    <row r="2337" spans="1:1" x14ac:dyDescent="0.2">
      <c r="A2337">
        <v>2525</v>
      </c>
    </row>
    <row r="2338" spans="1:1" x14ac:dyDescent="0.2">
      <c r="A2338">
        <v>2526</v>
      </c>
    </row>
    <row r="2339" spans="1:1" x14ac:dyDescent="0.2">
      <c r="A2339">
        <v>2527</v>
      </c>
    </row>
    <row r="2340" spans="1:1" x14ac:dyDescent="0.2">
      <c r="A2340">
        <v>2528</v>
      </c>
    </row>
    <row r="2341" spans="1:1" x14ac:dyDescent="0.2">
      <c r="A2341">
        <v>2529</v>
      </c>
    </row>
    <row r="2342" spans="1:1" x14ac:dyDescent="0.2">
      <c r="A2342">
        <v>2530</v>
      </c>
    </row>
    <row r="2343" spans="1:1" x14ac:dyDescent="0.2">
      <c r="A2343">
        <v>2531</v>
      </c>
    </row>
    <row r="2344" spans="1:1" x14ac:dyDescent="0.2">
      <c r="A2344">
        <v>2532</v>
      </c>
    </row>
    <row r="2345" spans="1:1" x14ac:dyDescent="0.2">
      <c r="A2345">
        <v>2533</v>
      </c>
    </row>
    <row r="2346" spans="1:1" x14ac:dyDescent="0.2">
      <c r="A2346">
        <v>2534</v>
      </c>
    </row>
    <row r="2347" spans="1:1" x14ac:dyDescent="0.2">
      <c r="A2347">
        <v>2535</v>
      </c>
    </row>
    <row r="2348" spans="1:1" x14ac:dyDescent="0.2">
      <c r="A2348">
        <v>2536</v>
      </c>
    </row>
    <row r="2349" spans="1:1" x14ac:dyDescent="0.2">
      <c r="A2349">
        <v>2537</v>
      </c>
    </row>
    <row r="2350" spans="1:1" x14ac:dyDescent="0.2">
      <c r="A2350">
        <v>2538</v>
      </c>
    </row>
    <row r="2351" spans="1:1" x14ac:dyDescent="0.2">
      <c r="A2351">
        <v>2539</v>
      </c>
    </row>
    <row r="2352" spans="1:1" x14ac:dyDescent="0.2">
      <c r="A2352">
        <v>2540</v>
      </c>
    </row>
    <row r="2353" spans="1:1" x14ac:dyDescent="0.2">
      <c r="A2353">
        <v>2541</v>
      </c>
    </row>
    <row r="2354" spans="1:1" x14ac:dyDescent="0.2">
      <c r="A2354">
        <v>2542</v>
      </c>
    </row>
    <row r="2355" spans="1:1" x14ac:dyDescent="0.2">
      <c r="A2355">
        <v>2543</v>
      </c>
    </row>
    <row r="2356" spans="1:1" x14ac:dyDescent="0.2">
      <c r="A2356">
        <v>2544</v>
      </c>
    </row>
    <row r="2357" spans="1:1" x14ac:dyDescent="0.2">
      <c r="A2357">
        <v>2545</v>
      </c>
    </row>
    <row r="2358" spans="1:1" x14ac:dyDescent="0.2">
      <c r="A2358">
        <v>2546</v>
      </c>
    </row>
    <row r="2359" spans="1:1" x14ac:dyDescent="0.2">
      <c r="A2359">
        <v>2547</v>
      </c>
    </row>
    <row r="2360" spans="1:1" x14ac:dyDescent="0.2">
      <c r="A2360">
        <v>2548</v>
      </c>
    </row>
    <row r="2361" spans="1:1" x14ac:dyDescent="0.2">
      <c r="A2361">
        <v>2549</v>
      </c>
    </row>
    <row r="2362" spans="1:1" x14ac:dyDescent="0.2">
      <c r="A2362">
        <v>2550</v>
      </c>
    </row>
    <row r="2363" spans="1:1" x14ac:dyDescent="0.2">
      <c r="A2363">
        <v>2551</v>
      </c>
    </row>
    <row r="2364" spans="1:1" x14ac:dyDescent="0.2">
      <c r="A2364">
        <v>2552</v>
      </c>
    </row>
    <row r="2365" spans="1:1" x14ac:dyDescent="0.2">
      <c r="A2365">
        <v>2553</v>
      </c>
    </row>
    <row r="2366" spans="1:1" x14ac:dyDescent="0.2">
      <c r="A2366">
        <v>2554</v>
      </c>
    </row>
    <row r="2367" spans="1:1" x14ac:dyDescent="0.2">
      <c r="A2367">
        <v>2555</v>
      </c>
    </row>
    <row r="2368" spans="1:1" x14ac:dyDescent="0.2">
      <c r="A2368">
        <v>2556</v>
      </c>
    </row>
    <row r="2369" spans="1:1" x14ac:dyDescent="0.2">
      <c r="A2369">
        <v>2557</v>
      </c>
    </row>
    <row r="2370" spans="1:1" x14ac:dyDescent="0.2">
      <c r="A2370">
        <v>2558</v>
      </c>
    </row>
    <row r="2371" spans="1:1" x14ac:dyDescent="0.2">
      <c r="A2371">
        <v>2559</v>
      </c>
    </row>
    <row r="2372" spans="1:1" x14ac:dyDescent="0.2">
      <c r="A2372">
        <v>2560</v>
      </c>
    </row>
    <row r="2373" spans="1:1" x14ac:dyDescent="0.2">
      <c r="A2373">
        <v>2561</v>
      </c>
    </row>
    <row r="2374" spans="1:1" x14ac:dyDescent="0.2">
      <c r="A2374">
        <v>2562</v>
      </c>
    </row>
    <row r="2375" spans="1:1" x14ac:dyDescent="0.2">
      <c r="A2375">
        <v>2563</v>
      </c>
    </row>
    <row r="2376" spans="1:1" x14ac:dyDescent="0.2">
      <c r="A2376">
        <v>2564</v>
      </c>
    </row>
    <row r="2377" spans="1:1" x14ac:dyDescent="0.2">
      <c r="A2377">
        <v>2565</v>
      </c>
    </row>
    <row r="2378" spans="1:1" x14ac:dyDescent="0.2">
      <c r="A2378">
        <v>2566</v>
      </c>
    </row>
    <row r="2379" spans="1:1" x14ac:dyDescent="0.2">
      <c r="A2379">
        <v>2567</v>
      </c>
    </row>
    <row r="2380" spans="1:1" x14ac:dyDescent="0.2">
      <c r="A2380">
        <v>2568</v>
      </c>
    </row>
    <row r="2381" spans="1:1" x14ac:dyDescent="0.2">
      <c r="A2381">
        <v>2569</v>
      </c>
    </row>
    <row r="2382" spans="1:1" x14ac:dyDescent="0.2">
      <c r="A2382">
        <v>2570</v>
      </c>
    </row>
    <row r="2383" spans="1:1" x14ac:dyDescent="0.2">
      <c r="A2383">
        <v>2571</v>
      </c>
    </row>
    <row r="2384" spans="1:1" x14ac:dyDescent="0.2">
      <c r="A2384">
        <v>2572</v>
      </c>
    </row>
    <row r="2385" spans="1:1" x14ac:dyDescent="0.2">
      <c r="A2385">
        <v>2573</v>
      </c>
    </row>
    <row r="2386" spans="1:1" x14ac:dyDescent="0.2">
      <c r="A2386">
        <v>2574</v>
      </c>
    </row>
    <row r="2387" spans="1:1" x14ac:dyDescent="0.2">
      <c r="A2387">
        <v>2575</v>
      </c>
    </row>
    <row r="2388" spans="1:1" x14ac:dyDescent="0.2">
      <c r="A2388">
        <v>2576</v>
      </c>
    </row>
    <row r="2389" spans="1:1" x14ac:dyDescent="0.2">
      <c r="A2389">
        <v>2577</v>
      </c>
    </row>
    <row r="2390" spans="1:1" x14ac:dyDescent="0.2">
      <c r="A2390">
        <v>2578</v>
      </c>
    </row>
    <row r="2391" spans="1:1" x14ac:dyDescent="0.2">
      <c r="A2391">
        <v>2579</v>
      </c>
    </row>
    <row r="2392" spans="1:1" x14ac:dyDescent="0.2">
      <c r="A2392">
        <v>2580</v>
      </c>
    </row>
    <row r="2393" spans="1:1" x14ac:dyDescent="0.2">
      <c r="A2393">
        <v>2581</v>
      </c>
    </row>
    <row r="2394" spans="1:1" x14ac:dyDescent="0.2">
      <c r="A2394">
        <v>2582</v>
      </c>
    </row>
    <row r="2395" spans="1:1" x14ac:dyDescent="0.2">
      <c r="A2395">
        <v>2583</v>
      </c>
    </row>
    <row r="2396" spans="1:1" x14ac:dyDescent="0.2">
      <c r="A2396">
        <v>2584</v>
      </c>
    </row>
    <row r="2397" spans="1:1" x14ac:dyDescent="0.2">
      <c r="A2397">
        <v>2585</v>
      </c>
    </row>
    <row r="2398" spans="1:1" x14ac:dyDescent="0.2">
      <c r="A2398">
        <v>2586</v>
      </c>
    </row>
    <row r="2399" spans="1:1" x14ac:dyDescent="0.2">
      <c r="A2399">
        <v>2587</v>
      </c>
    </row>
    <row r="2400" spans="1:1" x14ac:dyDescent="0.2">
      <c r="A2400">
        <v>2588</v>
      </c>
    </row>
    <row r="2401" spans="1:1" x14ac:dyDescent="0.2">
      <c r="A2401">
        <v>2589</v>
      </c>
    </row>
    <row r="2402" spans="1:1" x14ac:dyDescent="0.2">
      <c r="A2402">
        <v>2590</v>
      </c>
    </row>
    <row r="2403" spans="1:1" x14ac:dyDescent="0.2">
      <c r="A2403">
        <v>2591</v>
      </c>
    </row>
    <row r="2404" spans="1:1" x14ac:dyDescent="0.2">
      <c r="A2404">
        <v>2592</v>
      </c>
    </row>
    <row r="2405" spans="1:1" x14ac:dyDescent="0.2">
      <c r="A2405">
        <v>2593</v>
      </c>
    </row>
    <row r="2406" spans="1:1" x14ac:dyDescent="0.2">
      <c r="A2406">
        <v>2594</v>
      </c>
    </row>
    <row r="2407" spans="1:1" x14ac:dyDescent="0.2">
      <c r="A2407">
        <v>2595</v>
      </c>
    </row>
    <row r="2408" spans="1:1" x14ac:dyDescent="0.2">
      <c r="A2408">
        <v>2596</v>
      </c>
    </row>
    <row r="2409" spans="1:1" x14ac:dyDescent="0.2">
      <c r="A2409">
        <v>2597</v>
      </c>
    </row>
    <row r="2410" spans="1:1" x14ac:dyDescent="0.2">
      <c r="A2410">
        <v>2598</v>
      </c>
    </row>
    <row r="2411" spans="1:1" x14ac:dyDescent="0.2">
      <c r="A2411">
        <v>2599</v>
      </c>
    </row>
    <row r="2412" spans="1:1" x14ac:dyDescent="0.2">
      <c r="A2412">
        <v>2600</v>
      </c>
    </row>
    <row r="2413" spans="1:1" x14ac:dyDescent="0.2">
      <c r="A2413">
        <v>2601</v>
      </c>
    </row>
    <row r="2414" spans="1:1" x14ac:dyDescent="0.2">
      <c r="A2414">
        <v>2602</v>
      </c>
    </row>
    <row r="2415" spans="1:1" x14ac:dyDescent="0.2">
      <c r="A2415">
        <v>2603</v>
      </c>
    </row>
    <row r="2416" spans="1:1" x14ac:dyDescent="0.2">
      <c r="A2416">
        <v>2604</v>
      </c>
    </row>
    <row r="2417" spans="1:1" x14ac:dyDescent="0.2">
      <c r="A2417">
        <v>2605</v>
      </c>
    </row>
    <row r="2418" spans="1:1" x14ac:dyDescent="0.2">
      <c r="A2418">
        <v>2606</v>
      </c>
    </row>
    <row r="2419" spans="1:1" x14ac:dyDescent="0.2">
      <c r="A2419">
        <v>2607</v>
      </c>
    </row>
    <row r="2420" spans="1:1" x14ac:dyDescent="0.2">
      <c r="A2420">
        <v>2608</v>
      </c>
    </row>
    <row r="2421" spans="1:1" x14ac:dyDescent="0.2">
      <c r="A2421">
        <v>2609</v>
      </c>
    </row>
    <row r="2422" spans="1:1" x14ac:dyDescent="0.2">
      <c r="A2422">
        <v>2610</v>
      </c>
    </row>
    <row r="2423" spans="1:1" x14ac:dyDescent="0.2">
      <c r="A2423">
        <v>2611</v>
      </c>
    </row>
    <row r="2424" spans="1:1" x14ac:dyDescent="0.2">
      <c r="A2424">
        <v>2612</v>
      </c>
    </row>
    <row r="2425" spans="1:1" x14ac:dyDescent="0.2">
      <c r="A2425">
        <v>2613</v>
      </c>
    </row>
    <row r="2426" spans="1:1" x14ac:dyDescent="0.2">
      <c r="A2426">
        <v>2614</v>
      </c>
    </row>
    <row r="2427" spans="1:1" x14ac:dyDescent="0.2">
      <c r="A2427">
        <v>2615</v>
      </c>
    </row>
    <row r="2428" spans="1:1" x14ac:dyDescent="0.2">
      <c r="A2428">
        <v>2616</v>
      </c>
    </row>
    <row r="2429" spans="1:1" x14ac:dyDescent="0.2">
      <c r="A2429">
        <v>2617</v>
      </c>
    </row>
    <row r="2430" spans="1:1" x14ac:dyDescent="0.2">
      <c r="A2430">
        <v>2618</v>
      </c>
    </row>
    <row r="2431" spans="1:1" x14ac:dyDescent="0.2">
      <c r="A2431">
        <v>2619</v>
      </c>
    </row>
    <row r="2432" spans="1:1" x14ac:dyDescent="0.2">
      <c r="A2432">
        <v>2620</v>
      </c>
    </row>
    <row r="2433" spans="1:1" x14ac:dyDescent="0.2">
      <c r="A2433">
        <v>2621</v>
      </c>
    </row>
    <row r="2434" spans="1:1" x14ac:dyDescent="0.2">
      <c r="A2434">
        <v>2622</v>
      </c>
    </row>
    <row r="2435" spans="1:1" x14ac:dyDescent="0.2">
      <c r="A2435">
        <v>2623</v>
      </c>
    </row>
    <row r="2436" spans="1:1" x14ac:dyDescent="0.2">
      <c r="A2436">
        <v>2624</v>
      </c>
    </row>
    <row r="2437" spans="1:1" x14ac:dyDescent="0.2">
      <c r="A2437">
        <v>2625</v>
      </c>
    </row>
    <row r="2438" spans="1:1" x14ac:dyDescent="0.2">
      <c r="A2438">
        <v>2626</v>
      </c>
    </row>
    <row r="2439" spans="1:1" x14ac:dyDescent="0.2">
      <c r="A2439">
        <v>2627</v>
      </c>
    </row>
    <row r="2440" spans="1:1" x14ac:dyDescent="0.2">
      <c r="A2440">
        <v>2628</v>
      </c>
    </row>
    <row r="2441" spans="1:1" x14ac:dyDescent="0.2">
      <c r="A2441">
        <v>2629</v>
      </c>
    </row>
    <row r="2442" spans="1:1" x14ac:dyDescent="0.2">
      <c r="A2442">
        <v>2630</v>
      </c>
    </row>
    <row r="2443" spans="1:1" x14ac:dyDescent="0.2">
      <c r="A2443">
        <v>2631</v>
      </c>
    </row>
    <row r="2444" spans="1:1" x14ac:dyDescent="0.2">
      <c r="A2444">
        <v>2632</v>
      </c>
    </row>
    <row r="2445" spans="1:1" x14ac:dyDescent="0.2">
      <c r="A2445">
        <v>2633</v>
      </c>
    </row>
    <row r="2446" spans="1:1" x14ac:dyDescent="0.2">
      <c r="A2446">
        <v>2634</v>
      </c>
    </row>
    <row r="2447" spans="1:1" x14ac:dyDescent="0.2">
      <c r="A2447">
        <v>2635</v>
      </c>
    </row>
    <row r="2448" spans="1:1" x14ac:dyDescent="0.2">
      <c r="A2448">
        <v>2636</v>
      </c>
    </row>
    <row r="2449" spans="1:1" x14ac:dyDescent="0.2">
      <c r="A2449">
        <v>2637</v>
      </c>
    </row>
    <row r="2450" spans="1:1" x14ac:dyDescent="0.2">
      <c r="A2450">
        <v>2638</v>
      </c>
    </row>
    <row r="2451" spans="1:1" x14ac:dyDescent="0.2">
      <c r="A2451">
        <v>2639</v>
      </c>
    </row>
    <row r="2452" spans="1:1" x14ac:dyDescent="0.2">
      <c r="A2452">
        <v>2640</v>
      </c>
    </row>
    <row r="2453" spans="1:1" x14ac:dyDescent="0.2">
      <c r="A2453">
        <v>2641</v>
      </c>
    </row>
    <row r="2454" spans="1:1" x14ac:dyDescent="0.2">
      <c r="A2454">
        <v>2642</v>
      </c>
    </row>
    <row r="2455" spans="1:1" x14ac:dyDescent="0.2">
      <c r="A2455">
        <v>2643</v>
      </c>
    </row>
    <row r="2456" spans="1:1" x14ac:dyDescent="0.2">
      <c r="A2456">
        <v>2644</v>
      </c>
    </row>
    <row r="2457" spans="1:1" x14ac:dyDescent="0.2">
      <c r="A2457">
        <v>2645</v>
      </c>
    </row>
    <row r="2458" spans="1:1" x14ac:dyDescent="0.2">
      <c r="A2458">
        <v>2646</v>
      </c>
    </row>
    <row r="2459" spans="1:1" x14ac:dyDescent="0.2">
      <c r="A2459">
        <v>2647</v>
      </c>
    </row>
    <row r="2460" spans="1:1" x14ac:dyDescent="0.2">
      <c r="A2460">
        <v>2648</v>
      </c>
    </row>
    <row r="2461" spans="1:1" x14ac:dyDescent="0.2">
      <c r="A2461">
        <v>2649</v>
      </c>
    </row>
    <row r="2462" spans="1:1" x14ac:dyDescent="0.2">
      <c r="A2462">
        <v>2650</v>
      </c>
    </row>
    <row r="2463" spans="1:1" x14ac:dyDescent="0.2">
      <c r="A2463">
        <v>2651</v>
      </c>
    </row>
    <row r="2464" spans="1:1" x14ac:dyDescent="0.2">
      <c r="A2464">
        <v>2652</v>
      </c>
    </row>
    <row r="2465" spans="1:1" x14ac:dyDescent="0.2">
      <c r="A2465">
        <v>2653</v>
      </c>
    </row>
    <row r="2466" spans="1:1" x14ac:dyDescent="0.2">
      <c r="A2466">
        <v>2654</v>
      </c>
    </row>
    <row r="2467" spans="1:1" x14ac:dyDescent="0.2">
      <c r="A2467">
        <v>2655</v>
      </c>
    </row>
    <row r="2468" spans="1:1" x14ac:dyDescent="0.2">
      <c r="A2468">
        <v>2656</v>
      </c>
    </row>
    <row r="2469" spans="1:1" x14ac:dyDescent="0.2">
      <c r="A2469">
        <v>2657</v>
      </c>
    </row>
    <row r="2470" spans="1:1" x14ac:dyDescent="0.2">
      <c r="A2470">
        <v>2658</v>
      </c>
    </row>
    <row r="2471" spans="1:1" x14ac:dyDescent="0.2">
      <c r="A2471">
        <v>2659</v>
      </c>
    </row>
    <row r="2472" spans="1:1" x14ac:dyDescent="0.2">
      <c r="A2472">
        <v>2660</v>
      </c>
    </row>
    <row r="2473" spans="1:1" x14ac:dyDescent="0.2">
      <c r="A2473">
        <v>2661</v>
      </c>
    </row>
    <row r="2474" spans="1:1" x14ac:dyDescent="0.2">
      <c r="A2474">
        <v>2662</v>
      </c>
    </row>
    <row r="2475" spans="1:1" x14ac:dyDescent="0.2">
      <c r="A2475">
        <v>2663</v>
      </c>
    </row>
    <row r="2476" spans="1:1" x14ac:dyDescent="0.2">
      <c r="A2476">
        <v>2664</v>
      </c>
    </row>
    <row r="2477" spans="1:1" x14ac:dyDescent="0.2">
      <c r="A2477">
        <v>2665</v>
      </c>
    </row>
    <row r="2478" spans="1:1" x14ac:dyDescent="0.2">
      <c r="A2478">
        <v>2666</v>
      </c>
    </row>
    <row r="2479" spans="1:1" x14ac:dyDescent="0.2">
      <c r="A2479">
        <v>2667</v>
      </c>
    </row>
    <row r="2480" spans="1:1" x14ac:dyDescent="0.2">
      <c r="A2480">
        <v>2668</v>
      </c>
    </row>
    <row r="2481" spans="1:1" x14ac:dyDescent="0.2">
      <c r="A2481">
        <v>2669</v>
      </c>
    </row>
    <row r="2482" spans="1:1" x14ac:dyDescent="0.2">
      <c r="A2482">
        <v>2670</v>
      </c>
    </row>
    <row r="2483" spans="1:1" x14ac:dyDescent="0.2">
      <c r="A2483">
        <v>2671</v>
      </c>
    </row>
    <row r="2484" spans="1:1" x14ac:dyDescent="0.2">
      <c r="A2484">
        <v>2672</v>
      </c>
    </row>
    <row r="2485" spans="1:1" x14ac:dyDescent="0.2">
      <c r="A2485">
        <v>2673</v>
      </c>
    </row>
    <row r="2486" spans="1:1" x14ac:dyDescent="0.2">
      <c r="A2486">
        <v>2674</v>
      </c>
    </row>
    <row r="2487" spans="1:1" x14ac:dyDescent="0.2">
      <c r="A2487">
        <v>2675</v>
      </c>
    </row>
    <row r="2488" spans="1:1" x14ac:dyDescent="0.2">
      <c r="A2488">
        <v>2676</v>
      </c>
    </row>
    <row r="2489" spans="1:1" x14ac:dyDescent="0.2">
      <c r="A2489">
        <v>2677</v>
      </c>
    </row>
    <row r="2490" spans="1:1" x14ac:dyDescent="0.2">
      <c r="A2490">
        <v>2678</v>
      </c>
    </row>
    <row r="2491" spans="1:1" x14ac:dyDescent="0.2">
      <c r="A2491">
        <v>2679</v>
      </c>
    </row>
    <row r="2492" spans="1:1" x14ac:dyDescent="0.2">
      <c r="A2492">
        <v>2680</v>
      </c>
    </row>
    <row r="2493" spans="1:1" x14ac:dyDescent="0.2">
      <c r="A2493">
        <v>2681</v>
      </c>
    </row>
    <row r="2494" spans="1:1" x14ac:dyDescent="0.2">
      <c r="A2494">
        <v>2682</v>
      </c>
    </row>
    <row r="2495" spans="1:1" x14ac:dyDescent="0.2">
      <c r="A2495">
        <v>2683</v>
      </c>
    </row>
    <row r="2496" spans="1:1" x14ac:dyDescent="0.2">
      <c r="A2496">
        <v>2684</v>
      </c>
    </row>
    <row r="2497" spans="1:1" x14ac:dyDescent="0.2">
      <c r="A2497">
        <v>2685</v>
      </c>
    </row>
    <row r="2498" spans="1:1" x14ac:dyDescent="0.2">
      <c r="A2498">
        <v>2686</v>
      </c>
    </row>
    <row r="2499" spans="1:1" x14ac:dyDescent="0.2">
      <c r="A2499">
        <v>2687</v>
      </c>
    </row>
    <row r="2500" spans="1:1" x14ac:dyDescent="0.2">
      <c r="A2500">
        <v>2688</v>
      </c>
    </row>
    <row r="2501" spans="1:1" x14ac:dyDescent="0.2">
      <c r="A2501">
        <v>2689</v>
      </c>
    </row>
    <row r="2502" spans="1:1" x14ac:dyDescent="0.2">
      <c r="A2502">
        <v>2690</v>
      </c>
    </row>
    <row r="2503" spans="1:1" x14ac:dyDescent="0.2">
      <c r="A2503">
        <v>2691</v>
      </c>
    </row>
    <row r="2504" spans="1:1" x14ac:dyDescent="0.2">
      <c r="A2504">
        <v>2692</v>
      </c>
    </row>
    <row r="2505" spans="1:1" x14ac:dyDescent="0.2">
      <c r="A2505">
        <v>2693</v>
      </c>
    </row>
    <row r="2506" spans="1:1" x14ac:dyDescent="0.2">
      <c r="A2506">
        <v>2694</v>
      </c>
    </row>
    <row r="2507" spans="1:1" x14ac:dyDescent="0.2">
      <c r="A2507">
        <v>2695</v>
      </c>
    </row>
    <row r="2508" spans="1:1" x14ac:dyDescent="0.2">
      <c r="A2508">
        <v>2696</v>
      </c>
    </row>
    <row r="2509" spans="1:1" x14ac:dyDescent="0.2">
      <c r="A2509">
        <v>2697</v>
      </c>
    </row>
    <row r="2510" spans="1:1" x14ac:dyDescent="0.2">
      <c r="A2510">
        <v>2698</v>
      </c>
    </row>
    <row r="2511" spans="1:1" x14ac:dyDescent="0.2">
      <c r="A2511">
        <v>2699</v>
      </c>
    </row>
    <row r="2512" spans="1:1" x14ac:dyDescent="0.2">
      <c r="A2512">
        <v>2700</v>
      </c>
    </row>
    <row r="2513" spans="1:1" x14ac:dyDescent="0.2">
      <c r="A2513">
        <v>2701</v>
      </c>
    </row>
    <row r="2514" spans="1:1" x14ac:dyDescent="0.2">
      <c r="A2514">
        <v>2702</v>
      </c>
    </row>
    <row r="2515" spans="1:1" x14ac:dyDescent="0.2">
      <c r="A2515">
        <v>2703</v>
      </c>
    </row>
    <row r="2516" spans="1:1" x14ac:dyDescent="0.2">
      <c r="A2516">
        <v>2704</v>
      </c>
    </row>
    <row r="2517" spans="1:1" x14ac:dyDescent="0.2">
      <c r="A2517">
        <v>2705</v>
      </c>
    </row>
    <row r="2518" spans="1:1" x14ac:dyDescent="0.2">
      <c r="A2518">
        <v>2706</v>
      </c>
    </row>
    <row r="2519" spans="1:1" x14ac:dyDescent="0.2">
      <c r="A2519">
        <v>2707</v>
      </c>
    </row>
    <row r="2520" spans="1:1" x14ac:dyDescent="0.2">
      <c r="A2520">
        <v>2708</v>
      </c>
    </row>
    <row r="2521" spans="1:1" x14ac:dyDescent="0.2">
      <c r="A2521">
        <v>2709</v>
      </c>
    </row>
    <row r="2522" spans="1:1" x14ac:dyDescent="0.2">
      <c r="A2522">
        <v>2710</v>
      </c>
    </row>
    <row r="2523" spans="1:1" x14ac:dyDescent="0.2">
      <c r="A2523">
        <v>2711</v>
      </c>
    </row>
    <row r="2524" spans="1:1" x14ac:dyDescent="0.2">
      <c r="A2524">
        <v>2712</v>
      </c>
    </row>
    <row r="2525" spans="1:1" x14ac:dyDescent="0.2">
      <c r="A2525">
        <v>2713</v>
      </c>
    </row>
    <row r="2526" spans="1:1" x14ac:dyDescent="0.2">
      <c r="A2526">
        <v>2714</v>
      </c>
    </row>
    <row r="2527" spans="1:1" x14ac:dyDescent="0.2">
      <c r="A2527">
        <v>2715</v>
      </c>
    </row>
    <row r="2528" spans="1:1" x14ac:dyDescent="0.2">
      <c r="A2528">
        <v>2716</v>
      </c>
    </row>
    <row r="2529" spans="1:1" x14ac:dyDescent="0.2">
      <c r="A2529">
        <v>2717</v>
      </c>
    </row>
    <row r="2530" spans="1:1" x14ac:dyDescent="0.2">
      <c r="A2530">
        <v>2718</v>
      </c>
    </row>
    <row r="2531" spans="1:1" x14ac:dyDescent="0.2">
      <c r="A2531">
        <v>2719</v>
      </c>
    </row>
    <row r="2532" spans="1:1" x14ac:dyDescent="0.2">
      <c r="A2532">
        <v>2720</v>
      </c>
    </row>
    <row r="2533" spans="1:1" x14ac:dyDescent="0.2">
      <c r="A2533">
        <v>2721</v>
      </c>
    </row>
    <row r="2534" spans="1:1" x14ac:dyDescent="0.2">
      <c r="A2534">
        <v>2722</v>
      </c>
    </row>
    <row r="2535" spans="1:1" x14ac:dyDescent="0.2">
      <c r="A2535">
        <v>2723</v>
      </c>
    </row>
    <row r="2536" spans="1:1" x14ac:dyDescent="0.2">
      <c r="A2536">
        <v>2724</v>
      </c>
    </row>
    <row r="2537" spans="1:1" x14ac:dyDescent="0.2">
      <c r="A2537">
        <v>2725</v>
      </c>
    </row>
    <row r="2538" spans="1:1" x14ac:dyDescent="0.2">
      <c r="A2538">
        <v>2726</v>
      </c>
    </row>
    <row r="2539" spans="1:1" x14ac:dyDescent="0.2">
      <c r="A2539">
        <v>2727</v>
      </c>
    </row>
    <row r="2540" spans="1:1" x14ac:dyDescent="0.2">
      <c r="A2540">
        <v>2728</v>
      </c>
    </row>
    <row r="2541" spans="1:1" x14ac:dyDescent="0.2">
      <c r="A2541">
        <v>2729</v>
      </c>
    </row>
    <row r="2542" spans="1:1" x14ac:dyDescent="0.2">
      <c r="A2542">
        <v>2730</v>
      </c>
    </row>
    <row r="2543" spans="1:1" x14ac:dyDescent="0.2">
      <c r="A2543">
        <v>2731</v>
      </c>
    </row>
    <row r="2544" spans="1:1" x14ac:dyDescent="0.2">
      <c r="A2544">
        <v>2732</v>
      </c>
    </row>
    <row r="2545" spans="1:1" x14ac:dyDescent="0.2">
      <c r="A2545">
        <v>2733</v>
      </c>
    </row>
    <row r="2546" spans="1:1" x14ac:dyDescent="0.2">
      <c r="A2546">
        <v>2734</v>
      </c>
    </row>
    <row r="2547" spans="1:1" x14ac:dyDescent="0.2">
      <c r="A2547">
        <v>2735</v>
      </c>
    </row>
    <row r="2548" spans="1:1" x14ac:dyDescent="0.2">
      <c r="A2548">
        <v>2736</v>
      </c>
    </row>
    <row r="2549" spans="1:1" x14ac:dyDescent="0.2">
      <c r="A2549">
        <v>2737</v>
      </c>
    </row>
    <row r="2550" spans="1:1" x14ac:dyDescent="0.2">
      <c r="A2550">
        <v>2738</v>
      </c>
    </row>
    <row r="2551" spans="1:1" x14ac:dyDescent="0.2">
      <c r="A2551">
        <v>2739</v>
      </c>
    </row>
    <row r="2552" spans="1:1" x14ac:dyDescent="0.2">
      <c r="A2552">
        <v>2740</v>
      </c>
    </row>
    <row r="2553" spans="1:1" x14ac:dyDescent="0.2">
      <c r="A2553">
        <v>2741</v>
      </c>
    </row>
    <row r="2554" spans="1:1" x14ac:dyDescent="0.2">
      <c r="A2554">
        <v>2742</v>
      </c>
    </row>
    <row r="2555" spans="1:1" x14ac:dyDescent="0.2">
      <c r="A2555">
        <v>2743</v>
      </c>
    </row>
    <row r="2556" spans="1:1" x14ac:dyDescent="0.2">
      <c r="A2556">
        <v>2744</v>
      </c>
    </row>
    <row r="2557" spans="1:1" x14ac:dyDescent="0.2">
      <c r="A2557">
        <v>2745</v>
      </c>
    </row>
    <row r="2558" spans="1:1" x14ac:dyDescent="0.2">
      <c r="A2558">
        <v>2746</v>
      </c>
    </row>
    <row r="2559" spans="1:1" x14ac:dyDescent="0.2">
      <c r="A2559">
        <v>2747</v>
      </c>
    </row>
    <row r="2560" spans="1:1" x14ac:dyDescent="0.2">
      <c r="A2560">
        <v>2748</v>
      </c>
    </row>
    <row r="2561" spans="1:1" x14ac:dyDescent="0.2">
      <c r="A2561">
        <v>2749</v>
      </c>
    </row>
    <row r="2562" spans="1:1" x14ac:dyDescent="0.2">
      <c r="A2562">
        <v>2750</v>
      </c>
    </row>
    <row r="2563" spans="1:1" x14ac:dyDescent="0.2">
      <c r="A2563">
        <v>2751</v>
      </c>
    </row>
    <row r="2564" spans="1:1" x14ac:dyDescent="0.2">
      <c r="A2564">
        <v>2752</v>
      </c>
    </row>
    <row r="2565" spans="1:1" x14ac:dyDescent="0.2">
      <c r="A2565">
        <v>2753</v>
      </c>
    </row>
    <row r="2566" spans="1:1" x14ac:dyDescent="0.2">
      <c r="A2566">
        <v>2754</v>
      </c>
    </row>
    <row r="2567" spans="1:1" x14ac:dyDescent="0.2">
      <c r="A2567">
        <v>2755</v>
      </c>
    </row>
    <row r="2568" spans="1:1" x14ac:dyDescent="0.2">
      <c r="A2568">
        <v>2756</v>
      </c>
    </row>
    <row r="2569" spans="1:1" x14ac:dyDescent="0.2">
      <c r="A2569">
        <v>2757</v>
      </c>
    </row>
    <row r="2570" spans="1:1" x14ac:dyDescent="0.2">
      <c r="A2570">
        <v>2758</v>
      </c>
    </row>
    <row r="2571" spans="1:1" x14ac:dyDescent="0.2">
      <c r="A2571">
        <v>2759</v>
      </c>
    </row>
    <row r="2572" spans="1:1" x14ac:dyDescent="0.2">
      <c r="A2572">
        <v>2760</v>
      </c>
    </row>
    <row r="2573" spans="1:1" x14ac:dyDescent="0.2">
      <c r="A2573">
        <v>2761</v>
      </c>
    </row>
    <row r="2574" spans="1:1" x14ac:dyDescent="0.2">
      <c r="A2574">
        <v>2762</v>
      </c>
    </row>
    <row r="2575" spans="1:1" x14ac:dyDescent="0.2">
      <c r="A2575">
        <v>2763</v>
      </c>
    </row>
    <row r="2576" spans="1:1" x14ac:dyDescent="0.2">
      <c r="A2576">
        <v>2764</v>
      </c>
    </row>
    <row r="2577" spans="1:1" x14ac:dyDescent="0.2">
      <c r="A2577">
        <v>2765</v>
      </c>
    </row>
    <row r="2578" spans="1:1" x14ac:dyDescent="0.2">
      <c r="A2578">
        <v>2766</v>
      </c>
    </row>
    <row r="2579" spans="1:1" x14ac:dyDescent="0.2">
      <c r="A2579">
        <v>2767</v>
      </c>
    </row>
    <row r="2580" spans="1:1" x14ac:dyDescent="0.2">
      <c r="A2580">
        <v>2768</v>
      </c>
    </row>
    <row r="2581" spans="1:1" x14ac:dyDescent="0.2">
      <c r="A2581">
        <v>2769</v>
      </c>
    </row>
    <row r="2582" spans="1:1" x14ac:dyDescent="0.2">
      <c r="A2582">
        <v>2770</v>
      </c>
    </row>
    <row r="2583" spans="1:1" x14ac:dyDescent="0.2">
      <c r="A2583">
        <v>2771</v>
      </c>
    </row>
    <row r="2584" spans="1:1" x14ac:dyDescent="0.2">
      <c r="A2584">
        <v>2772</v>
      </c>
    </row>
    <row r="2585" spans="1:1" x14ac:dyDescent="0.2">
      <c r="A2585">
        <v>2773</v>
      </c>
    </row>
    <row r="2586" spans="1:1" x14ac:dyDescent="0.2">
      <c r="A2586">
        <v>2774</v>
      </c>
    </row>
    <row r="2587" spans="1:1" x14ac:dyDescent="0.2">
      <c r="A2587">
        <v>2775</v>
      </c>
    </row>
    <row r="2588" spans="1:1" x14ac:dyDescent="0.2">
      <c r="A2588">
        <v>2776</v>
      </c>
    </row>
    <row r="2589" spans="1:1" x14ac:dyDescent="0.2">
      <c r="A2589">
        <v>2777</v>
      </c>
    </row>
    <row r="2590" spans="1:1" x14ac:dyDescent="0.2">
      <c r="A2590">
        <v>2778</v>
      </c>
    </row>
    <row r="2591" spans="1:1" x14ac:dyDescent="0.2">
      <c r="A2591">
        <v>2779</v>
      </c>
    </row>
    <row r="2592" spans="1:1" x14ac:dyDescent="0.2">
      <c r="A2592">
        <v>2780</v>
      </c>
    </row>
    <row r="2593" spans="1:1" x14ac:dyDescent="0.2">
      <c r="A2593">
        <v>2781</v>
      </c>
    </row>
    <row r="2594" spans="1:1" x14ac:dyDescent="0.2">
      <c r="A2594">
        <v>2782</v>
      </c>
    </row>
    <row r="2595" spans="1:1" x14ac:dyDescent="0.2">
      <c r="A2595">
        <v>2783</v>
      </c>
    </row>
    <row r="2596" spans="1:1" x14ac:dyDescent="0.2">
      <c r="A2596">
        <v>2784</v>
      </c>
    </row>
    <row r="2597" spans="1:1" x14ac:dyDescent="0.2">
      <c r="A2597">
        <v>2785</v>
      </c>
    </row>
    <row r="2598" spans="1:1" x14ac:dyDescent="0.2">
      <c r="A2598">
        <v>2786</v>
      </c>
    </row>
    <row r="2599" spans="1:1" x14ac:dyDescent="0.2">
      <c r="A2599">
        <v>2787</v>
      </c>
    </row>
    <row r="2600" spans="1:1" x14ac:dyDescent="0.2">
      <c r="A2600">
        <v>2788</v>
      </c>
    </row>
    <row r="2601" spans="1:1" x14ac:dyDescent="0.2">
      <c r="A2601">
        <v>2789</v>
      </c>
    </row>
    <row r="2602" spans="1:1" x14ac:dyDescent="0.2">
      <c r="A2602">
        <v>2790</v>
      </c>
    </row>
    <row r="2603" spans="1:1" x14ac:dyDescent="0.2">
      <c r="A2603">
        <v>2791</v>
      </c>
    </row>
    <row r="2604" spans="1:1" x14ac:dyDescent="0.2">
      <c r="A2604">
        <v>2792</v>
      </c>
    </row>
    <row r="2605" spans="1:1" x14ac:dyDescent="0.2">
      <c r="A2605">
        <v>2793</v>
      </c>
    </row>
    <row r="2606" spans="1:1" x14ac:dyDescent="0.2">
      <c r="A2606">
        <v>2794</v>
      </c>
    </row>
    <row r="2607" spans="1:1" x14ac:dyDescent="0.2">
      <c r="A2607">
        <v>2795</v>
      </c>
    </row>
    <row r="2608" spans="1:1" x14ac:dyDescent="0.2">
      <c r="A2608">
        <v>2796</v>
      </c>
    </row>
    <row r="2609" spans="1:1" x14ac:dyDescent="0.2">
      <c r="A2609">
        <v>2797</v>
      </c>
    </row>
    <row r="2610" spans="1:1" x14ac:dyDescent="0.2">
      <c r="A2610">
        <v>2798</v>
      </c>
    </row>
    <row r="2611" spans="1:1" x14ac:dyDescent="0.2">
      <c r="A2611">
        <v>2799</v>
      </c>
    </row>
    <row r="2612" spans="1:1" x14ac:dyDescent="0.2">
      <c r="A2612">
        <v>2800</v>
      </c>
    </row>
    <row r="2613" spans="1:1" x14ac:dyDescent="0.2">
      <c r="A2613">
        <v>2801</v>
      </c>
    </row>
    <row r="2614" spans="1:1" x14ac:dyDescent="0.2">
      <c r="A2614">
        <v>2802</v>
      </c>
    </row>
    <row r="2615" spans="1:1" x14ac:dyDescent="0.2">
      <c r="A2615">
        <v>2803</v>
      </c>
    </row>
    <row r="2616" spans="1:1" x14ac:dyDescent="0.2">
      <c r="A2616">
        <v>2804</v>
      </c>
    </row>
    <row r="2617" spans="1:1" x14ac:dyDescent="0.2">
      <c r="A2617">
        <v>2805</v>
      </c>
    </row>
    <row r="2618" spans="1:1" x14ac:dyDescent="0.2">
      <c r="A2618">
        <v>2806</v>
      </c>
    </row>
    <row r="2619" spans="1:1" x14ac:dyDescent="0.2">
      <c r="A2619">
        <v>2807</v>
      </c>
    </row>
    <row r="2620" spans="1:1" x14ac:dyDescent="0.2">
      <c r="A2620">
        <v>2808</v>
      </c>
    </row>
    <row r="2621" spans="1:1" x14ac:dyDescent="0.2">
      <c r="A2621">
        <v>2809</v>
      </c>
    </row>
    <row r="2622" spans="1:1" x14ac:dyDescent="0.2">
      <c r="A2622">
        <v>2810</v>
      </c>
    </row>
    <row r="2623" spans="1:1" x14ac:dyDescent="0.2">
      <c r="A2623">
        <v>2811</v>
      </c>
    </row>
    <row r="2624" spans="1:1" x14ac:dyDescent="0.2">
      <c r="A2624">
        <v>2812</v>
      </c>
    </row>
    <row r="2625" spans="1:1" x14ac:dyDescent="0.2">
      <c r="A2625">
        <v>2813</v>
      </c>
    </row>
    <row r="2626" spans="1:1" x14ac:dyDescent="0.2">
      <c r="A2626">
        <v>2814</v>
      </c>
    </row>
    <row r="2627" spans="1:1" x14ac:dyDescent="0.2">
      <c r="A2627">
        <v>2815</v>
      </c>
    </row>
    <row r="2628" spans="1:1" x14ac:dyDescent="0.2">
      <c r="A2628">
        <v>2816</v>
      </c>
    </row>
    <row r="2629" spans="1:1" x14ac:dyDescent="0.2">
      <c r="A2629">
        <v>2817</v>
      </c>
    </row>
    <row r="2630" spans="1:1" x14ac:dyDescent="0.2">
      <c r="A2630">
        <v>2818</v>
      </c>
    </row>
    <row r="2631" spans="1:1" x14ac:dyDescent="0.2">
      <c r="A2631">
        <v>2819</v>
      </c>
    </row>
    <row r="2632" spans="1:1" x14ac:dyDescent="0.2">
      <c r="A2632">
        <v>2820</v>
      </c>
    </row>
    <row r="2633" spans="1:1" x14ac:dyDescent="0.2">
      <c r="A2633">
        <v>2821</v>
      </c>
    </row>
    <row r="2634" spans="1:1" x14ac:dyDescent="0.2">
      <c r="A2634">
        <v>2822</v>
      </c>
    </row>
    <row r="2635" spans="1:1" x14ac:dyDescent="0.2">
      <c r="A2635">
        <v>2823</v>
      </c>
    </row>
    <row r="2636" spans="1:1" x14ac:dyDescent="0.2">
      <c r="A2636">
        <v>2824</v>
      </c>
    </row>
    <row r="2637" spans="1:1" x14ac:dyDescent="0.2">
      <c r="A2637">
        <v>2825</v>
      </c>
    </row>
    <row r="2638" spans="1:1" x14ac:dyDescent="0.2">
      <c r="A2638">
        <v>2826</v>
      </c>
    </row>
    <row r="2639" spans="1:1" x14ac:dyDescent="0.2">
      <c r="A2639">
        <v>2827</v>
      </c>
    </row>
    <row r="2640" spans="1:1" x14ac:dyDescent="0.2">
      <c r="A2640">
        <v>2828</v>
      </c>
    </row>
    <row r="2641" spans="1:1" x14ac:dyDescent="0.2">
      <c r="A2641">
        <v>2829</v>
      </c>
    </row>
    <row r="2642" spans="1:1" x14ac:dyDescent="0.2">
      <c r="A2642">
        <v>2830</v>
      </c>
    </row>
    <row r="2643" spans="1:1" x14ac:dyDescent="0.2">
      <c r="A2643">
        <v>2831</v>
      </c>
    </row>
    <row r="2644" spans="1:1" x14ac:dyDescent="0.2">
      <c r="A2644">
        <v>2832</v>
      </c>
    </row>
    <row r="2645" spans="1:1" x14ac:dyDescent="0.2">
      <c r="A2645">
        <v>2833</v>
      </c>
    </row>
    <row r="2646" spans="1:1" x14ac:dyDescent="0.2">
      <c r="A2646">
        <v>2834</v>
      </c>
    </row>
    <row r="2647" spans="1:1" x14ac:dyDescent="0.2">
      <c r="A2647">
        <v>2835</v>
      </c>
    </row>
    <row r="2648" spans="1:1" x14ac:dyDescent="0.2">
      <c r="A2648">
        <v>2836</v>
      </c>
    </row>
    <row r="2649" spans="1:1" x14ac:dyDescent="0.2">
      <c r="A2649">
        <v>2837</v>
      </c>
    </row>
    <row r="2650" spans="1:1" x14ac:dyDescent="0.2">
      <c r="A2650">
        <v>2838</v>
      </c>
    </row>
    <row r="2651" spans="1:1" x14ac:dyDescent="0.2">
      <c r="A2651">
        <v>2839</v>
      </c>
    </row>
    <row r="2652" spans="1:1" x14ac:dyDescent="0.2">
      <c r="A2652">
        <v>2840</v>
      </c>
    </row>
    <row r="2653" spans="1:1" x14ac:dyDescent="0.2">
      <c r="A2653">
        <v>2841</v>
      </c>
    </row>
    <row r="2654" spans="1:1" x14ac:dyDescent="0.2">
      <c r="A2654">
        <v>2842</v>
      </c>
    </row>
    <row r="2655" spans="1:1" x14ac:dyDescent="0.2">
      <c r="A2655">
        <v>2843</v>
      </c>
    </row>
    <row r="2656" spans="1:1" x14ac:dyDescent="0.2">
      <c r="A2656">
        <v>2844</v>
      </c>
    </row>
    <row r="2657" spans="1:1" x14ac:dyDescent="0.2">
      <c r="A2657">
        <v>2845</v>
      </c>
    </row>
    <row r="2658" spans="1:1" x14ac:dyDescent="0.2">
      <c r="A2658">
        <v>2846</v>
      </c>
    </row>
    <row r="2659" spans="1:1" x14ac:dyDescent="0.2">
      <c r="A2659">
        <v>2847</v>
      </c>
    </row>
    <row r="2660" spans="1:1" x14ac:dyDescent="0.2">
      <c r="A2660">
        <v>2848</v>
      </c>
    </row>
    <row r="2661" spans="1:1" x14ac:dyDescent="0.2">
      <c r="A2661">
        <v>2849</v>
      </c>
    </row>
    <row r="2662" spans="1:1" x14ac:dyDescent="0.2">
      <c r="A2662">
        <v>2850</v>
      </c>
    </row>
    <row r="2663" spans="1:1" x14ac:dyDescent="0.2">
      <c r="A2663">
        <v>2851</v>
      </c>
    </row>
    <row r="2664" spans="1:1" x14ac:dyDescent="0.2">
      <c r="A2664">
        <v>2852</v>
      </c>
    </row>
    <row r="2665" spans="1:1" x14ac:dyDescent="0.2">
      <c r="A2665">
        <v>2853</v>
      </c>
    </row>
    <row r="2666" spans="1:1" x14ac:dyDescent="0.2">
      <c r="A2666">
        <v>2854</v>
      </c>
    </row>
    <row r="2667" spans="1:1" x14ac:dyDescent="0.2">
      <c r="A2667">
        <v>2855</v>
      </c>
    </row>
    <row r="2668" spans="1:1" x14ac:dyDescent="0.2">
      <c r="A2668">
        <v>2856</v>
      </c>
    </row>
    <row r="2669" spans="1:1" x14ac:dyDescent="0.2">
      <c r="A2669">
        <v>2857</v>
      </c>
    </row>
    <row r="2670" spans="1:1" x14ac:dyDescent="0.2">
      <c r="A2670">
        <v>2858</v>
      </c>
    </row>
    <row r="2671" spans="1:1" x14ac:dyDescent="0.2">
      <c r="A2671">
        <v>2859</v>
      </c>
    </row>
    <row r="2672" spans="1:1" x14ac:dyDescent="0.2">
      <c r="A2672">
        <v>2860</v>
      </c>
    </row>
    <row r="2673" spans="1:1" x14ac:dyDescent="0.2">
      <c r="A2673">
        <v>2861</v>
      </c>
    </row>
    <row r="2674" spans="1:1" x14ac:dyDescent="0.2">
      <c r="A2674">
        <v>2862</v>
      </c>
    </row>
    <row r="2675" spans="1:1" x14ac:dyDescent="0.2">
      <c r="A2675">
        <v>2863</v>
      </c>
    </row>
    <row r="2676" spans="1:1" x14ac:dyDescent="0.2">
      <c r="A2676">
        <v>2864</v>
      </c>
    </row>
    <row r="2677" spans="1:1" x14ac:dyDescent="0.2">
      <c r="A2677">
        <v>2865</v>
      </c>
    </row>
    <row r="2678" spans="1:1" x14ac:dyDescent="0.2">
      <c r="A2678">
        <v>2866</v>
      </c>
    </row>
    <row r="2679" spans="1:1" x14ac:dyDescent="0.2">
      <c r="A2679">
        <v>2867</v>
      </c>
    </row>
    <row r="2680" spans="1:1" x14ac:dyDescent="0.2">
      <c r="A2680">
        <v>2868</v>
      </c>
    </row>
    <row r="2681" spans="1:1" x14ac:dyDescent="0.2">
      <c r="A2681">
        <v>2869</v>
      </c>
    </row>
    <row r="2682" spans="1:1" x14ac:dyDescent="0.2">
      <c r="A2682">
        <v>2870</v>
      </c>
    </row>
    <row r="2683" spans="1:1" x14ac:dyDescent="0.2">
      <c r="A2683">
        <v>2871</v>
      </c>
    </row>
    <row r="2684" spans="1:1" x14ac:dyDescent="0.2">
      <c r="A2684">
        <v>2872</v>
      </c>
    </row>
    <row r="2685" spans="1:1" x14ac:dyDescent="0.2">
      <c r="A2685">
        <v>2873</v>
      </c>
    </row>
    <row r="2686" spans="1:1" x14ac:dyDescent="0.2">
      <c r="A2686">
        <v>2874</v>
      </c>
    </row>
    <row r="2687" spans="1:1" x14ac:dyDescent="0.2">
      <c r="A2687">
        <v>2875</v>
      </c>
    </row>
    <row r="2688" spans="1:1" x14ac:dyDescent="0.2">
      <c r="A2688">
        <v>2876</v>
      </c>
    </row>
    <row r="2689" spans="1:1" x14ac:dyDescent="0.2">
      <c r="A2689">
        <v>2877</v>
      </c>
    </row>
    <row r="2690" spans="1:1" x14ac:dyDescent="0.2">
      <c r="A2690">
        <v>2878</v>
      </c>
    </row>
    <row r="2691" spans="1:1" x14ac:dyDescent="0.2">
      <c r="A2691">
        <v>2879</v>
      </c>
    </row>
    <row r="2692" spans="1:1" x14ac:dyDescent="0.2">
      <c r="A2692">
        <v>2880</v>
      </c>
    </row>
    <row r="2693" spans="1:1" x14ac:dyDescent="0.2">
      <c r="A2693">
        <v>2881</v>
      </c>
    </row>
    <row r="2694" spans="1:1" x14ac:dyDescent="0.2">
      <c r="A2694">
        <v>2882</v>
      </c>
    </row>
    <row r="2695" spans="1:1" x14ac:dyDescent="0.2">
      <c r="A2695">
        <v>2883</v>
      </c>
    </row>
    <row r="2696" spans="1:1" x14ac:dyDescent="0.2">
      <c r="A2696">
        <v>2884</v>
      </c>
    </row>
    <row r="2697" spans="1:1" x14ac:dyDescent="0.2">
      <c r="A2697">
        <v>2885</v>
      </c>
    </row>
    <row r="2698" spans="1:1" x14ac:dyDescent="0.2">
      <c r="A2698">
        <v>2886</v>
      </c>
    </row>
    <row r="2699" spans="1:1" x14ac:dyDescent="0.2">
      <c r="A2699">
        <v>2887</v>
      </c>
    </row>
    <row r="2700" spans="1:1" x14ac:dyDescent="0.2">
      <c r="A2700">
        <v>2888</v>
      </c>
    </row>
    <row r="2701" spans="1:1" x14ac:dyDescent="0.2">
      <c r="A2701">
        <v>2889</v>
      </c>
    </row>
    <row r="2702" spans="1:1" x14ac:dyDescent="0.2">
      <c r="A2702">
        <v>2890</v>
      </c>
    </row>
    <row r="2703" spans="1:1" x14ac:dyDescent="0.2">
      <c r="A2703">
        <v>2891</v>
      </c>
    </row>
    <row r="2704" spans="1:1" x14ac:dyDescent="0.2">
      <c r="A2704">
        <v>2892</v>
      </c>
    </row>
    <row r="2705" spans="1:1" x14ac:dyDescent="0.2">
      <c r="A2705">
        <v>2893</v>
      </c>
    </row>
    <row r="2706" spans="1:1" x14ac:dyDescent="0.2">
      <c r="A2706">
        <v>2894</v>
      </c>
    </row>
    <row r="2707" spans="1:1" x14ac:dyDescent="0.2">
      <c r="A2707">
        <v>2895</v>
      </c>
    </row>
    <row r="2708" spans="1:1" x14ac:dyDescent="0.2">
      <c r="A2708">
        <v>2896</v>
      </c>
    </row>
    <row r="2709" spans="1:1" x14ac:dyDescent="0.2">
      <c r="A2709">
        <v>2897</v>
      </c>
    </row>
    <row r="2710" spans="1:1" x14ac:dyDescent="0.2">
      <c r="A2710">
        <v>2898</v>
      </c>
    </row>
    <row r="2711" spans="1:1" x14ac:dyDescent="0.2">
      <c r="A2711">
        <v>2899</v>
      </c>
    </row>
    <row r="2712" spans="1:1" x14ac:dyDescent="0.2">
      <c r="A2712">
        <v>2900</v>
      </c>
    </row>
    <row r="2713" spans="1:1" x14ac:dyDescent="0.2">
      <c r="A2713">
        <v>2901</v>
      </c>
    </row>
    <row r="2714" spans="1:1" x14ac:dyDescent="0.2">
      <c r="A2714">
        <v>2902</v>
      </c>
    </row>
    <row r="2715" spans="1:1" x14ac:dyDescent="0.2">
      <c r="A2715">
        <v>2903</v>
      </c>
    </row>
    <row r="2716" spans="1:1" x14ac:dyDescent="0.2">
      <c r="A2716">
        <v>2904</v>
      </c>
    </row>
    <row r="2717" spans="1:1" x14ac:dyDescent="0.2">
      <c r="A2717">
        <v>2905</v>
      </c>
    </row>
    <row r="2718" spans="1:1" x14ac:dyDescent="0.2">
      <c r="A2718">
        <v>2906</v>
      </c>
    </row>
    <row r="2719" spans="1:1" x14ac:dyDescent="0.2">
      <c r="A2719">
        <v>2907</v>
      </c>
    </row>
    <row r="2720" spans="1:1" x14ac:dyDescent="0.2">
      <c r="A2720">
        <v>2908</v>
      </c>
    </row>
    <row r="2721" spans="1:1" x14ac:dyDescent="0.2">
      <c r="A2721">
        <v>2909</v>
      </c>
    </row>
    <row r="2722" spans="1:1" x14ac:dyDescent="0.2">
      <c r="A2722">
        <v>2910</v>
      </c>
    </row>
    <row r="2723" spans="1:1" x14ac:dyDescent="0.2">
      <c r="A2723">
        <v>2911</v>
      </c>
    </row>
    <row r="2724" spans="1:1" x14ac:dyDescent="0.2">
      <c r="A2724">
        <v>2912</v>
      </c>
    </row>
    <row r="2725" spans="1:1" x14ac:dyDescent="0.2">
      <c r="A2725">
        <v>2913</v>
      </c>
    </row>
    <row r="2726" spans="1:1" x14ac:dyDescent="0.2">
      <c r="A2726">
        <v>2914</v>
      </c>
    </row>
    <row r="2727" spans="1:1" x14ac:dyDescent="0.2">
      <c r="A2727">
        <v>2915</v>
      </c>
    </row>
    <row r="2728" spans="1:1" x14ac:dyDescent="0.2">
      <c r="A2728">
        <v>2916</v>
      </c>
    </row>
    <row r="2729" spans="1:1" x14ac:dyDescent="0.2">
      <c r="A2729">
        <v>2917</v>
      </c>
    </row>
    <row r="2730" spans="1:1" x14ac:dyDescent="0.2">
      <c r="A2730">
        <v>2918</v>
      </c>
    </row>
    <row r="2731" spans="1:1" x14ac:dyDescent="0.2">
      <c r="A2731">
        <v>2919</v>
      </c>
    </row>
    <row r="2732" spans="1:1" x14ac:dyDescent="0.2">
      <c r="A2732">
        <v>2920</v>
      </c>
    </row>
    <row r="2733" spans="1:1" x14ac:dyDescent="0.2">
      <c r="A2733">
        <v>2921</v>
      </c>
    </row>
    <row r="2734" spans="1:1" x14ac:dyDescent="0.2">
      <c r="A2734">
        <v>2922</v>
      </c>
    </row>
    <row r="2735" spans="1:1" x14ac:dyDescent="0.2">
      <c r="A2735">
        <v>2923</v>
      </c>
    </row>
    <row r="2736" spans="1:1" x14ac:dyDescent="0.2">
      <c r="A2736">
        <v>2924</v>
      </c>
    </row>
    <row r="2737" spans="1:1" x14ac:dyDescent="0.2">
      <c r="A2737">
        <v>2925</v>
      </c>
    </row>
    <row r="2738" spans="1:1" x14ac:dyDescent="0.2">
      <c r="A2738">
        <v>2926</v>
      </c>
    </row>
    <row r="2739" spans="1:1" x14ac:dyDescent="0.2">
      <c r="A2739">
        <v>2927</v>
      </c>
    </row>
    <row r="2740" spans="1:1" x14ac:dyDescent="0.2">
      <c r="A2740">
        <v>2928</v>
      </c>
    </row>
    <row r="2741" spans="1:1" x14ac:dyDescent="0.2">
      <c r="A2741">
        <v>2929</v>
      </c>
    </row>
    <row r="2742" spans="1:1" x14ac:dyDescent="0.2">
      <c r="A2742">
        <v>2930</v>
      </c>
    </row>
    <row r="2743" spans="1:1" x14ac:dyDescent="0.2">
      <c r="A2743">
        <v>2931</v>
      </c>
    </row>
    <row r="2744" spans="1:1" x14ac:dyDescent="0.2">
      <c r="A2744">
        <v>2932</v>
      </c>
    </row>
    <row r="2745" spans="1:1" x14ac:dyDescent="0.2">
      <c r="A2745">
        <v>2933</v>
      </c>
    </row>
    <row r="2746" spans="1:1" x14ac:dyDescent="0.2">
      <c r="A2746">
        <v>2934</v>
      </c>
    </row>
    <row r="2747" spans="1:1" x14ac:dyDescent="0.2">
      <c r="A2747">
        <v>2935</v>
      </c>
    </row>
    <row r="2748" spans="1:1" x14ac:dyDescent="0.2">
      <c r="A2748">
        <v>2936</v>
      </c>
    </row>
    <row r="2749" spans="1:1" x14ac:dyDescent="0.2">
      <c r="A2749">
        <v>2937</v>
      </c>
    </row>
    <row r="2750" spans="1:1" x14ac:dyDescent="0.2">
      <c r="A2750">
        <v>2938</v>
      </c>
    </row>
    <row r="2751" spans="1:1" x14ac:dyDescent="0.2">
      <c r="A2751">
        <v>2939</v>
      </c>
    </row>
    <row r="2752" spans="1:1" x14ac:dyDescent="0.2">
      <c r="A2752">
        <v>2940</v>
      </c>
    </row>
    <row r="2753" spans="1:1" x14ac:dyDescent="0.2">
      <c r="A2753">
        <v>2941</v>
      </c>
    </row>
    <row r="2754" spans="1:1" x14ac:dyDescent="0.2">
      <c r="A2754">
        <v>2942</v>
      </c>
    </row>
    <row r="2755" spans="1:1" x14ac:dyDescent="0.2">
      <c r="A2755">
        <v>2943</v>
      </c>
    </row>
    <row r="2756" spans="1:1" x14ac:dyDescent="0.2">
      <c r="A2756">
        <v>2944</v>
      </c>
    </row>
    <row r="2757" spans="1:1" x14ac:dyDescent="0.2">
      <c r="A2757">
        <v>2945</v>
      </c>
    </row>
    <row r="2758" spans="1:1" x14ac:dyDescent="0.2">
      <c r="A2758">
        <v>2946</v>
      </c>
    </row>
    <row r="2759" spans="1:1" x14ac:dyDescent="0.2">
      <c r="A2759">
        <v>2947</v>
      </c>
    </row>
    <row r="2760" spans="1:1" x14ac:dyDescent="0.2">
      <c r="A2760">
        <v>2948</v>
      </c>
    </row>
    <row r="2761" spans="1:1" x14ac:dyDescent="0.2">
      <c r="A2761">
        <v>2949</v>
      </c>
    </row>
    <row r="2762" spans="1:1" x14ac:dyDescent="0.2">
      <c r="A2762">
        <v>2950</v>
      </c>
    </row>
    <row r="2763" spans="1:1" x14ac:dyDescent="0.2">
      <c r="A2763">
        <v>2951</v>
      </c>
    </row>
    <row r="2764" spans="1:1" x14ac:dyDescent="0.2">
      <c r="A2764">
        <v>2952</v>
      </c>
    </row>
    <row r="2765" spans="1:1" x14ac:dyDescent="0.2">
      <c r="A2765">
        <v>2953</v>
      </c>
    </row>
    <row r="2766" spans="1:1" x14ac:dyDescent="0.2">
      <c r="A2766">
        <v>2954</v>
      </c>
    </row>
    <row r="2767" spans="1:1" x14ac:dyDescent="0.2">
      <c r="A2767">
        <v>2955</v>
      </c>
    </row>
    <row r="2768" spans="1:1" x14ac:dyDescent="0.2">
      <c r="A2768">
        <v>2956</v>
      </c>
    </row>
    <row r="2769" spans="1:1" x14ac:dyDescent="0.2">
      <c r="A2769">
        <v>2957</v>
      </c>
    </row>
    <row r="2770" spans="1:1" x14ac:dyDescent="0.2">
      <c r="A2770">
        <v>2958</v>
      </c>
    </row>
    <row r="2771" spans="1:1" x14ac:dyDescent="0.2">
      <c r="A2771">
        <v>2959</v>
      </c>
    </row>
    <row r="2772" spans="1:1" x14ac:dyDescent="0.2">
      <c r="A2772">
        <v>2960</v>
      </c>
    </row>
    <row r="2773" spans="1:1" x14ac:dyDescent="0.2">
      <c r="A2773">
        <v>2961</v>
      </c>
    </row>
    <row r="2774" spans="1:1" x14ac:dyDescent="0.2">
      <c r="A2774">
        <v>2962</v>
      </c>
    </row>
    <row r="2775" spans="1:1" x14ac:dyDescent="0.2">
      <c r="A2775">
        <v>2963</v>
      </c>
    </row>
    <row r="2776" spans="1:1" x14ac:dyDescent="0.2">
      <c r="A2776">
        <v>2964</v>
      </c>
    </row>
    <row r="2777" spans="1:1" x14ac:dyDescent="0.2">
      <c r="A2777">
        <v>2965</v>
      </c>
    </row>
    <row r="2778" spans="1:1" x14ac:dyDescent="0.2">
      <c r="A2778">
        <v>2966</v>
      </c>
    </row>
    <row r="2779" spans="1:1" x14ac:dyDescent="0.2">
      <c r="A2779">
        <v>2967</v>
      </c>
    </row>
    <row r="2780" spans="1:1" x14ac:dyDescent="0.2">
      <c r="A2780">
        <v>2968</v>
      </c>
    </row>
    <row r="2781" spans="1:1" x14ac:dyDescent="0.2">
      <c r="A2781">
        <v>2969</v>
      </c>
    </row>
    <row r="2782" spans="1:1" x14ac:dyDescent="0.2">
      <c r="A2782">
        <v>2970</v>
      </c>
    </row>
    <row r="2783" spans="1:1" x14ac:dyDescent="0.2">
      <c r="A2783">
        <v>2971</v>
      </c>
    </row>
    <row r="2784" spans="1:1" x14ac:dyDescent="0.2">
      <c r="A2784">
        <v>2972</v>
      </c>
    </row>
    <row r="2785" spans="1:1" x14ac:dyDescent="0.2">
      <c r="A2785">
        <v>2973</v>
      </c>
    </row>
    <row r="2786" spans="1:1" x14ac:dyDescent="0.2">
      <c r="A2786">
        <v>2974</v>
      </c>
    </row>
    <row r="2787" spans="1:1" x14ac:dyDescent="0.2">
      <c r="A2787">
        <v>2975</v>
      </c>
    </row>
    <row r="2788" spans="1:1" x14ac:dyDescent="0.2">
      <c r="A2788">
        <v>2976</v>
      </c>
    </row>
    <row r="2789" spans="1:1" x14ac:dyDescent="0.2">
      <c r="A2789">
        <v>2977</v>
      </c>
    </row>
    <row r="2790" spans="1:1" x14ac:dyDescent="0.2">
      <c r="A2790">
        <v>2978</v>
      </c>
    </row>
    <row r="2791" spans="1:1" x14ac:dyDescent="0.2">
      <c r="A2791">
        <v>2979</v>
      </c>
    </row>
    <row r="2792" spans="1:1" x14ac:dyDescent="0.2">
      <c r="A2792">
        <v>2980</v>
      </c>
    </row>
    <row r="2793" spans="1:1" x14ac:dyDescent="0.2">
      <c r="A2793">
        <v>2981</v>
      </c>
    </row>
    <row r="2794" spans="1:1" x14ac:dyDescent="0.2">
      <c r="A2794">
        <v>2982</v>
      </c>
    </row>
    <row r="2795" spans="1:1" x14ac:dyDescent="0.2">
      <c r="A2795">
        <v>2983</v>
      </c>
    </row>
    <row r="2796" spans="1:1" x14ac:dyDescent="0.2">
      <c r="A2796">
        <v>2984</v>
      </c>
    </row>
    <row r="2797" spans="1:1" x14ac:dyDescent="0.2">
      <c r="A2797">
        <v>2985</v>
      </c>
    </row>
    <row r="2798" spans="1:1" x14ac:dyDescent="0.2">
      <c r="A2798">
        <v>2986</v>
      </c>
    </row>
    <row r="2799" spans="1:1" x14ac:dyDescent="0.2">
      <c r="A2799">
        <v>2987</v>
      </c>
    </row>
    <row r="2800" spans="1:1" x14ac:dyDescent="0.2">
      <c r="A2800">
        <v>2988</v>
      </c>
    </row>
    <row r="2801" spans="1:1" x14ac:dyDescent="0.2">
      <c r="A2801">
        <v>2989</v>
      </c>
    </row>
    <row r="2802" spans="1:1" x14ac:dyDescent="0.2">
      <c r="A2802">
        <v>2990</v>
      </c>
    </row>
    <row r="2803" spans="1:1" x14ac:dyDescent="0.2">
      <c r="A2803">
        <v>2991</v>
      </c>
    </row>
    <row r="2804" spans="1:1" x14ac:dyDescent="0.2">
      <c r="A2804">
        <v>2992</v>
      </c>
    </row>
    <row r="2805" spans="1:1" x14ac:dyDescent="0.2">
      <c r="A2805">
        <v>2993</v>
      </c>
    </row>
    <row r="2806" spans="1:1" x14ac:dyDescent="0.2">
      <c r="A2806">
        <v>2994</v>
      </c>
    </row>
    <row r="2807" spans="1:1" x14ac:dyDescent="0.2">
      <c r="A2807">
        <v>2995</v>
      </c>
    </row>
    <row r="2808" spans="1:1" x14ac:dyDescent="0.2">
      <c r="A2808">
        <v>2996</v>
      </c>
    </row>
    <row r="2809" spans="1:1" x14ac:dyDescent="0.2">
      <c r="A2809">
        <v>2997</v>
      </c>
    </row>
    <row r="2810" spans="1:1" x14ac:dyDescent="0.2">
      <c r="A2810">
        <v>2998</v>
      </c>
    </row>
    <row r="2811" spans="1:1" x14ac:dyDescent="0.2">
      <c r="A2811">
        <v>2999</v>
      </c>
    </row>
    <row r="2812" spans="1:1" x14ac:dyDescent="0.2">
      <c r="A2812">
        <v>3000</v>
      </c>
    </row>
    <row r="2813" spans="1:1" x14ac:dyDescent="0.2">
      <c r="A2813">
        <v>3001</v>
      </c>
    </row>
    <row r="2814" spans="1:1" x14ac:dyDescent="0.2">
      <c r="A2814">
        <v>3002</v>
      </c>
    </row>
    <row r="2815" spans="1:1" x14ac:dyDescent="0.2">
      <c r="A2815">
        <v>3003</v>
      </c>
    </row>
    <row r="2816" spans="1:1" x14ac:dyDescent="0.2">
      <c r="A2816">
        <v>3004</v>
      </c>
    </row>
    <row r="2817" spans="1:1" x14ac:dyDescent="0.2">
      <c r="A2817">
        <v>3005</v>
      </c>
    </row>
    <row r="2818" spans="1:1" x14ac:dyDescent="0.2">
      <c r="A2818">
        <v>3006</v>
      </c>
    </row>
    <row r="2819" spans="1:1" x14ac:dyDescent="0.2">
      <c r="A2819">
        <v>3007</v>
      </c>
    </row>
    <row r="2820" spans="1:1" x14ac:dyDescent="0.2">
      <c r="A2820">
        <v>3008</v>
      </c>
    </row>
    <row r="2821" spans="1:1" x14ac:dyDescent="0.2">
      <c r="A2821">
        <v>3009</v>
      </c>
    </row>
    <row r="2822" spans="1:1" x14ac:dyDescent="0.2">
      <c r="A2822">
        <v>3010</v>
      </c>
    </row>
    <row r="2823" spans="1:1" x14ac:dyDescent="0.2">
      <c r="A2823">
        <v>3011</v>
      </c>
    </row>
    <row r="2824" spans="1:1" x14ac:dyDescent="0.2">
      <c r="A2824">
        <v>3012</v>
      </c>
    </row>
    <row r="2825" spans="1:1" x14ac:dyDescent="0.2">
      <c r="A2825">
        <v>3013</v>
      </c>
    </row>
    <row r="2826" spans="1:1" x14ac:dyDescent="0.2">
      <c r="A2826">
        <v>3014</v>
      </c>
    </row>
    <row r="2827" spans="1:1" x14ac:dyDescent="0.2">
      <c r="A2827">
        <v>3015</v>
      </c>
    </row>
    <row r="2828" spans="1:1" x14ac:dyDescent="0.2">
      <c r="A2828">
        <v>3016</v>
      </c>
    </row>
    <row r="2829" spans="1:1" x14ac:dyDescent="0.2">
      <c r="A2829">
        <v>3017</v>
      </c>
    </row>
    <row r="2830" spans="1:1" x14ac:dyDescent="0.2">
      <c r="A2830">
        <v>3018</v>
      </c>
    </row>
    <row r="2831" spans="1:1" x14ac:dyDescent="0.2">
      <c r="A2831">
        <v>3019</v>
      </c>
    </row>
    <row r="2832" spans="1:1" x14ac:dyDescent="0.2">
      <c r="A2832">
        <v>3020</v>
      </c>
    </row>
    <row r="2833" spans="1:1" x14ac:dyDescent="0.2">
      <c r="A2833">
        <v>3021</v>
      </c>
    </row>
    <row r="2834" spans="1:1" x14ac:dyDescent="0.2">
      <c r="A2834">
        <v>3022</v>
      </c>
    </row>
    <row r="2835" spans="1:1" x14ac:dyDescent="0.2">
      <c r="A2835">
        <v>3023</v>
      </c>
    </row>
    <row r="2836" spans="1:1" x14ac:dyDescent="0.2">
      <c r="A2836">
        <v>3024</v>
      </c>
    </row>
    <row r="2837" spans="1:1" x14ac:dyDescent="0.2">
      <c r="A2837">
        <v>3025</v>
      </c>
    </row>
    <row r="2838" spans="1:1" x14ac:dyDescent="0.2">
      <c r="A2838">
        <v>3026</v>
      </c>
    </row>
    <row r="2839" spans="1:1" x14ac:dyDescent="0.2">
      <c r="A2839">
        <v>3027</v>
      </c>
    </row>
    <row r="2840" spans="1:1" x14ac:dyDescent="0.2">
      <c r="A2840">
        <v>3028</v>
      </c>
    </row>
    <row r="2841" spans="1:1" x14ac:dyDescent="0.2">
      <c r="A2841">
        <v>3029</v>
      </c>
    </row>
    <row r="2842" spans="1:1" x14ac:dyDescent="0.2">
      <c r="A2842">
        <v>3030</v>
      </c>
    </row>
    <row r="2843" spans="1:1" x14ac:dyDescent="0.2">
      <c r="A2843">
        <v>3031</v>
      </c>
    </row>
    <row r="2844" spans="1:1" x14ac:dyDescent="0.2">
      <c r="A2844">
        <v>3032</v>
      </c>
    </row>
    <row r="2845" spans="1:1" x14ac:dyDescent="0.2">
      <c r="A2845">
        <v>3033</v>
      </c>
    </row>
    <row r="2846" spans="1:1" x14ac:dyDescent="0.2">
      <c r="A2846">
        <v>3034</v>
      </c>
    </row>
    <row r="2847" spans="1:1" x14ac:dyDescent="0.2">
      <c r="A2847">
        <v>3035</v>
      </c>
    </row>
    <row r="2848" spans="1:1" x14ac:dyDescent="0.2">
      <c r="A2848">
        <v>3036</v>
      </c>
    </row>
    <row r="2849" spans="1:1" x14ac:dyDescent="0.2">
      <c r="A2849">
        <v>3037</v>
      </c>
    </row>
    <row r="2850" spans="1:1" x14ac:dyDescent="0.2">
      <c r="A2850">
        <v>3038</v>
      </c>
    </row>
    <row r="2851" spans="1:1" x14ac:dyDescent="0.2">
      <c r="A2851">
        <v>3039</v>
      </c>
    </row>
    <row r="2852" spans="1:1" x14ac:dyDescent="0.2">
      <c r="A2852">
        <v>3040</v>
      </c>
    </row>
    <row r="2853" spans="1:1" x14ac:dyDescent="0.2">
      <c r="A2853">
        <v>3041</v>
      </c>
    </row>
    <row r="2854" spans="1:1" x14ac:dyDescent="0.2">
      <c r="A2854">
        <v>3042</v>
      </c>
    </row>
    <row r="2855" spans="1:1" x14ac:dyDescent="0.2">
      <c r="A2855">
        <v>3043</v>
      </c>
    </row>
    <row r="2856" spans="1:1" x14ac:dyDescent="0.2">
      <c r="A2856">
        <v>3044</v>
      </c>
    </row>
    <row r="2857" spans="1:1" x14ac:dyDescent="0.2">
      <c r="A2857">
        <v>3045</v>
      </c>
    </row>
    <row r="2858" spans="1:1" x14ac:dyDescent="0.2">
      <c r="A2858">
        <v>3046</v>
      </c>
    </row>
    <row r="2859" spans="1:1" x14ac:dyDescent="0.2">
      <c r="A2859">
        <v>3047</v>
      </c>
    </row>
    <row r="2860" spans="1:1" x14ac:dyDescent="0.2">
      <c r="A2860">
        <v>3048</v>
      </c>
    </row>
    <row r="2861" spans="1:1" x14ac:dyDescent="0.2">
      <c r="A2861">
        <v>3049</v>
      </c>
    </row>
    <row r="2862" spans="1:1" x14ac:dyDescent="0.2">
      <c r="A2862">
        <v>3050</v>
      </c>
    </row>
    <row r="2863" spans="1:1" x14ac:dyDescent="0.2">
      <c r="A2863">
        <v>3051</v>
      </c>
    </row>
    <row r="2864" spans="1:1" x14ac:dyDescent="0.2">
      <c r="A2864">
        <v>3052</v>
      </c>
    </row>
    <row r="2865" spans="1:1" x14ac:dyDescent="0.2">
      <c r="A2865">
        <v>3053</v>
      </c>
    </row>
    <row r="2866" spans="1:1" x14ac:dyDescent="0.2">
      <c r="A2866">
        <v>3054</v>
      </c>
    </row>
    <row r="2867" spans="1:1" x14ac:dyDescent="0.2">
      <c r="A2867">
        <v>3055</v>
      </c>
    </row>
    <row r="2868" spans="1:1" x14ac:dyDescent="0.2">
      <c r="A2868">
        <v>3056</v>
      </c>
    </row>
    <row r="2869" spans="1:1" x14ac:dyDescent="0.2">
      <c r="A2869">
        <v>3057</v>
      </c>
    </row>
    <row r="2870" spans="1:1" x14ac:dyDescent="0.2">
      <c r="A2870">
        <v>3058</v>
      </c>
    </row>
    <row r="2871" spans="1:1" x14ac:dyDescent="0.2">
      <c r="A2871">
        <v>3059</v>
      </c>
    </row>
    <row r="2872" spans="1:1" x14ac:dyDescent="0.2">
      <c r="A2872">
        <v>3060</v>
      </c>
    </row>
    <row r="2873" spans="1:1" x14ac:dyDescent="0.2">
      <c r="A2873">
        <v>3061</v>
      </c>
    </row>
    <row r="2874" spans="1:1" x14ac:dyDescent="0.2">
      <c r="A2874">
        <v>3062</v>
      </c>
    </row>
    <row r="2875" spans="1:1" x14ac:dyDescent="0.2">
      <c r="A2875">
        <v>3063</v>
      </c>
    </row>
    <row r="2876" spans="1:1" x14ac:dyDescent="0.2">
      <c r="A2876">
        <v>3064</v>
      </c>
    </row>
    <row r="2877" spans="1:1" x14ac:dyDescent="0.2">
      <c r="A2877">
        <v>3065</v>
      </c>
    </row>
    <row r="2878" spans="1:1" x14ac:dyDescent="0.2">
      <c r="A2878">
        <v>3066</v>
      </c>
    </row>
    <row r="2879" spans="1:1" x14ac:dyDescent="0.2">
      <c r="A2879">
        <v>3067</v>
      </c>
    </row>
    <row r="2880" spans="1:1" x14ac:dyDescent="0.2">
      <c r="A2880">
        <v>3068</v>
      </c>
    </row>
    <row r="2881" spans="1:1" x14ac:dyDescent="0.2">
      <c r="A2881">
        <v>3069</v>
      </c>
    </row>
    <row r="2882" spans="1:1" x14ac:dyDescent="0.2">
      <c r="A2882">
        <v>3070</v>
      </c>
    </row>
    <row r="2883" spans="1:1" x14ac:dyDescent="0.2">
      <c r="A2883">
        <v>3071</v>
      </c>
    </row>
    <row r="2884" spans="1:1" x14ac:dyDescent="0.2">
      <c r="A2884">
        <v>3072</v>
      </c>
    </row>
    <row r="2885" spans="1:1" x14ac:dyDescent="0.2">
      <c r="A2885">
        <v>3073</v>
      </c>
    </row>
    <row r="2886" spans="1:1" x14ac:dyDescent="0.2">
      <c r="A2886">
        <v>3074</v>
      </c>
    </row>
    <row r="2887" spans="1:1" x14ac:dyDescent="0.2">
      <c r="A2887">
        <v>3075</v>
      </c>
    </row>
    <row r="2888" spans="1:1" x14ac:dyDescent="0.2">
      <c r="A2888">
        <v>3076</v>
      </c>
    </row>
    <row r="2889" spans="1:1" x14ac:dyDescent="0.2">
      <c r="A2889">
        <v>3077</v>
      </c>
    </row>
    <row r="2890" spans="1:1" x14ac:dyDescent="0.2">
      <c r="A2890">
        <v>3078</v>
      </c>
    </row>
    <row r="2891" spans="1:1" x14ac:dyDescent="0.2">
      <c r="A2891">
        <v>3079</v>
      </c>
    </row>
    <row r="2892" spans="1:1" x14ac:dyDescent="0.2">
      <c r="A2892">
        <v>3080</v>
      </c>
    </row>
    <row r="2893" spans="1:1" x14ac:dyDescent="0.2">
      <c r="A2893">
        <v>3081</v>
      </c>
    </row>
    <row r="2894" spans="1:1" x14ac:dyDescent="0.2">
      <c r="A2894">
        <v>3082</v>
      </c>
    </row>
    <row r="2895" spans="1:1" x14ac:dyDescent="0.2">
      <c r="A2895">
        <v>3083</v>
      </c>
    </row>
    <row r="2896" spans="1:1" x14ac:dyDescent="0.2">
      <c r="A2896">
        <v>3084</v>
      </c>
    </row>
    <row r="2897" spans="1:1" x14ac:dyDescent="0.2">
      <c r="A2897">
        <v>3085</v>
      </c>
    </row>
    <row r="2898" spans="1:1" x14ac:dyDescent="0.2">
      <c r="A2898">
        <v>3086</v>
      </c>
    </row>
    <row r="2899" spans="1:1" x14ac:dyDescent="0.2">
      <c r="A2899">
        <v>3087</v>
      </c>
    </row>
    <row r="2900" spans="1:1" x14ac:dyDescent="0.2">
      <c r="A2900">
        <v>3088</v>
      </c>
    </row>
    <row r="2901" spans="1:1" x14ac:dyDescent="0.2">
      <c r="A2901">
        <v>3089</v>
      </c>
    </row>
    <row r="2902" spans="1:1" x14ac:dyDescent="0.2">
      <c r="A2902">
        <v>3090</v>
      </c>
    </row>
    <row r="2903" spans="1:1" x14ac:dyDescent="0.2">
      <c r="A2903">
        <v>3091</v>
      </c>
    </row>
    <row r="2904" spans="1:1" x14ac:dyDescent="0.2">
      <c r="A2904">
        <v>3092</v>
      </c>
    </row>
    <row r="2905" spans="1:1" x14ac:dyDescent="0.2">
      <c r="A2905">
        <v>3093</v>
      </c>
    </row>
    <row r="2906" spans="1:1" x14ac:dyDescent="0.2">
      <c r="A2906">
        <v>3094</v>
      </c>
    </row>
    <row r="2907" spans="1:1" x14ac:dyDescent="0.2">
      <c r="A2907">
        <v>3095</v>
      </c>
    </row>
    <row r="2908" spans="1:1" x14ac:dyDescent="0.2">
      <c r="A2908">
        <v>3096</v>
      </c>
    </row>
    <row r="2909" spans="1:1" x14ac:dyDescent="0.2">
      <c r="A2909">
        <v>3097</v>
      </c>
    </row>
    <row r="2910" spans="1:1" x14ac:dyDescent="0.2">
      <c r="A2910">
        <v>3098</v>
      </c>
    </row>
    <row r="2911" spans="1:1" x14ac:dyDescent="0.2">
      <c r="A2911">
        <v>3099</v>
      </c>
    </row>
    <row r="2912" spans="1:1" x14ac:dyDescent="0.2">
      <c r="A2912">
        <v>3100</v>
      </c>
    </row>
    <row r="2913" spans="1:1" x14ac:dyDescent="0.2">
      <c r="A2913">
        <v>3101</v>
      </c>
    </row>
    <row r="2914" spans="1:1" x14ac:dyDescent="0.2">
      <c r="A2914">
        <v>3102</v>
      </c>
    </row>
    <row r="2915" spans="1:1" x14ac:dyDescent="0.2">
      <c r="A2915">
        <v>3103</v>
      </c>
    </row>
    <row r="2916" spans="1:1" x14ac:dyDescent="0.2">
      <c r="A2916">
        <v>3104</v>
      </c>
    </row>
    <row r="2917" spans="1:1" x14ac:dyDescent="0.2">
      <c r="A2917">
        <v>3105</v>
      </c>
    </row>
    <row r="2918" spans="1:1" x14ac:dyDescent="0.2">
      <c r="A2918">
        <v>3106</v>
      </c>
    </row>
    <row r="2919" spans="1:1" x14ac:dyDescent="0.2">
      <c r="A2919">
        <v>3107</v>
      </c>
    </row>
    <row r="2920" spans="1:1" x14ac:dyDescent="0.2">
      <c r="A2920">
        <v>3108</v>
      </c>
    </row>
    <row r="2921" spans="1:1" x14ac:dyDescent="0.2">
      <c r="A2921">
        <v>3109</v>
      </c>
    </row>
    <row r="2922" spans="1:1" x14ac:dyDescent="0.2">
      <c r="A2922">
        <v>3110</v>
      </c>
    </row>
    <row r="2923" spans="1:1" x14ac:dyDescent="0.2">
      <c r="A2923">
        <v>3111</v>
      </c>
    </row>
    <row r="2924" spans="1:1" x14ac:dyDescent="0.2">
      <c r="A2924">
        <v>3112</v>
      </c>
    </row>
    <row r="2925" spans="1:1" x14ac:dyDescent="0.2">
      <c r="A2925">
        <v>3113</v>
      </c>
    </row>
    <row r="2926" spans="1:1" x14ac:dyDescent="0.2">
      <c r="A2926">
        <v>3114</v>
      </c>
    </row>
    <row r="2927" spans="1:1" x14ac:dyDescent="0.2">
      <c r="A2927">
        <v>3115</v>
      </c>
    </row>
    <row r="2928" spans="1:1" x14ac:dyDescent="0.2">
      <c r="A2928">
        <v>3116</v>
      </c>
    </row>
    <row r="2929" spans="1:1" x14ac:dyDescent="0.2">
      <c r="A2929">
        <v>3117</v>
      </c>
    </row>
    <row r="2930" spans="1:1" x14ac:dyDescent="0.2">
      <c r="A2930">
        <v>3118</v>
      </c>
    </row>
    <row r="2931" spans="1:1" x14ac:dyDescent="0.2">
      <c r="A2931">
        <v>3119</v>
      </c>
    </row>
    <row r="2932" spans="1:1" x14ac:dyDescent="0.2">
      <c r="A2932">
        <v>3120</v>
      </c>
    </row>
    <row r="2933" spans="1:1" x14ac:dyDescent="0.2">
      <c r="A2933">
        <v>3121</v>
      </c>
    </row>
    <row r="2934" spans="1:1" x14ac:dyDescent="0.2">
      <c r="A2934">
        <v>3122</v>
      </c>
    </row>
    <row r="2935" spans="1:1" x14ac:dyDescent="0.2">
      <c r="A2935">
        <v>3123</v>
      </c>
    </row>
    <row r="2936" spans="1:1" x14ac:dyDescent="0.2">
      <c r="A2936">
        <v>3124</v>
      </c>
    </row>
    <row r="2937" spans="1:1" x14ac:dyDescent="0.2">
      <c r="A2937">
        <v>3125</v>
      </c>
    </row>
    <row r="2938" spans="1:1" x14ac:dyDescent="0.2">
      <c r="A2938">
        <v>3126</v>
      </c>
    </row>
    <row r="2939" spans="1:1" x14ac:dyDescent="0.2">
      <c r="A2939">
        <v>3127</v>
      </c>
    </row>
    <row r="2940" spans="1:1" x14ac:dyDescent="0.2">
      <c r="A2940">
        <v>3128</v>
      </c>
    </row>
    <row r="2941" spans="1:1" x14ac:dyDescent="0.2">
      <c r="A2941">
        <v>3129</v>
      </c>
    </row>
    <row r="2942" spans="1:1" x14ac:dyDescent="0.2">
      <c r="A2942">
        <v>3130</v>
      </c>
    </row>
    <row r="2943" spans="1:1" x14ac:dyDescent="0.2">
      <c r="A2943">
        <v>3131</v>
      </c>
    </row>
    <row r="2944" spans="1:1" x14ac:dyDescent="0.2">
      <c r="A2944">
        <v>3132</v>
      </c>
    </row>
    <row r="2945" spans="1:1" x14ac:dyDescent="0.2">
      <c r="A2945">
        <v>3133</v>
      </c>
    </row>
    <row r="2946" spans="1:1" x14ac:dyDescent="0.2">
      <c r="A2946">
        <v>3134</v>
      </c>
    </row>
    <row r="2947" spans="1:1" x14ac:dyDescent="0.2">
      <c r="A2947">
        <v>3135</v>
      </c>
    </row>
    <row r="2948" spans="1:1" x14ac:dyDescent="0.2">
      <c r="A2948">
        <v>3136</v>
      </c>
    </row>
    <row r="2949" spans="1:1" x14ac:dyDescent="0.2">
      <c r="A2949">
        <v>3137</v>
      </c>
    </row>
    <row r="2950" spans="1:1" x14ac:dyDescent="0.2">
      <c r="A2950">
        <v>3138</v>
      </c>
    </row>
    <row r="2951" spans="1:1" x14ac:dyDescent="0.2">
      <c r="A2951">
        <v>3139</v>
      </c>
    </row>
    <row r="2952" spans="1:1" x14ac:dyDescent="0.2">
      <c r="A2952">
        <v>3140</v>
      </c>
    </row>
    <row r="2953" spans="1:1" x14ac:dyDescent="0.2">
      <c r="A2953">
        <v>3141</v>
      </c>
    </row>
    <row r="2954" spans="1:1" x14ac:dyDescent="0.2">
      <c r="A2954">
        <v>3142</v>
      </c>
    </row>
    <row r="2955" spans="1:1" x14ac:dyDescent="0.2">
      <c r="A2955">
        <v>3143</v>
      </c>
    </row>
    <row r="2956" spans="1:1" x14ac:dyDescent="0.2">
      <c r="A2956">
        <v>3144</v>
      </c>
    </row>
    <row r="2957" spans="1:1" x14ac:dyDescent="0.2">
      <c r="A2957">
        <v>3145</v>
      </c>
    </row>
    <row r="2958" spans="1:1" x14ac:dyDescent="0.2">
      <c r="A2958">
        <v>3146</v>
      </c>
    </row>
    <row r="2959" spans="1:1" x14ac:dyDescent="0.2">
      <c r="A2959">
        <v>3147</v>
      </c>
    </row>
    <row r="2960" spans="1:1" x14ac:dyDescent="0.2">
      <c r="A2960">
        <v>3148</v>
      </c>
    </row>
    <row r="2961" spans="1:1" x14ac:dyDescent="0.2">
      <c r="A2961">
        <v>3149</v>
      </c>
    </row>
    <row r="2962" spans="1:1" x14ac:dyDescent="0.2">
      <c r="A2962">
        <v>3150</v>
      </c>
    </row>
    <row r="2963" spans="1:1" x14ac:dyDescent="0.2">
      <c r="A2963">
        <v>3151</v>
      </c>
    </row>
    <row r="2964" spans="1:1" x14ac:dyDescent="0.2">
      <c r="A2964">
        <v>3152</v>
      </c>
    </row>
    <row r="2965" spans="1:1" x14ac:dyDescent="0.2">
      <c r="A2965">
        <v>3153</v>
      </c>
    </row>
    <row r="2966" spans="1:1" x14ac:dyDescent="0.2">
      <c r="A2966">
        <v>3154</v>
      </c>
    </row>
    <row r="2967" spans="1:1" x14ac:dyDescent="0.2">
      <c r="A2967">
        <v>3155</v>
      </c>
    </row>
    <row r="2968" spans="1:1" x14ac:dyDescent="0.2">
      <c r="A2968">
        <v>3156</v>
      </c>
    </row>
    <row r="2969" spans="1:1" x14ac:dyDescent="0.2">
      <c r="A2969">
        <v>3157</v>
      </c>
    </row>
    <row r="2970" spans="1:1" x14ac:dyDescent="0.2">
      <c r="A2970">
        <v>3158</v>
      </c>
    </row>
    <row r="2971" spans="1:1" x14ac:dyDescent="0.2">
      <c r="A2971">
        <v>3159</v>
      </c>
    </row>
    <row r="2972" spans="1:1" x14ac:dyDescent="0.2">
      <c r="A2972">
        <v>3160</v>
      </c>
    </row>
    <row r="2973" spans="1:1" x14ac:dyDescent="0.2">
      <c r="A2973">
        <v>3161</v>
      </c>
    </row>
    <row r="2974" spans="1:1" x14ac:dyDescent="0.2">
      <c r="A2974">
        <v>3162</v>
      </c>
    </row>
    <row r="2975" spans="1:1" x14ac:dyDescent="0.2">
      <c r="A2975">
        <v>3163</v>
      </c>
    </row>
    <row r="2976" spans="1:1" x14ac:dyDescent="0.2">
      <c r="A2976">
        <v>3164</v>
      </c>
    </row>
    <row r="2977" spans="1:1" x14ac:dyDescent="0.2">
      <c r="A2977">
        <v>3165</v>
      </c>
    </row>
    <row r="2978" spans="1:1" x14ac:dyDescent="0.2">
      <c r="A2978">
        <v>3166</v>
      </c>
    </row>
    <row r="2979" spans="1:1" x14ac:dyDescent="0.2">
      <c r="A2979">
        <v>3167</v>
      </c>
    </row>
    <row r="2980" spans="1:1" x14ac:dyDescent="0.2">
      <c r="A2980">
        <v>3168</v>
      </c>
    </row>
    <row r="2981" spans="1:1" x14ac:dyDescent="0.2">
      <c r="A2981">
        <v>3169</v>
      </c>
    </row>
    <row r="2982" spans="1:1" x14ac:dyDescent="0.2">
      <c r="A2982">
        <v>3170</v>
      </c>
    </row>
    <row r="2983" spans="1:1" x14ac:dyDescent="0.2">
      <c r="A2983">
        <v>3171</v>
      </c>
    </row>
    <row r="2984" spans="1:1" x14ac:dyDescent="0.2">
      <c r="A2984">
        <v>3172</v>
      </c>
    </row>
    <row r="2985" spans="1:1" x14ac:dyDescent="0.2">
      <c r="A2985">
        <v>3173</v>
      </c>
    </row>
    <row r="2986" spans="1:1" x14ac:dyDescent="0.2">
      <c r="A2986">
        <v>3174</v>
      </c>
    </row>
    <row r="2987" spans="1:1" x14ac:dyDescent="0.2">
      <c r="A2987">
        <v>3175</v>
      </c>
    </row>
    <row r="2988" spans="1:1" x14ac:dyDescent="0.2">
      <c r="A2988">
        <v>3176</v>
      </c>
    </row>
    <row r="2989" spans="1:1" x14ac:dyDescent="0.2">
      <c r="A2989">
        <v>3177</v>
      </c>
    </row>
    <row r="2990" spans="1:1" x14ac:dyDescent="0.2">
      <c r="A2990">
        <v>3178</v>
      </c>
    </row>
    <row r="2991" spans="1:1" x14ac:dyDescent="0.2">
      <c r="A2991">
        <v>3179</v>
      </c>
    </row>
    <row r="2992" spans="1:1" x14ac:dyDescent="0.2">
      <c r="A2992">
        <v>3180</v>
      </c>
    </row>
    <row r="2993" spans="1:1" x14ac:dyDescent="0.2">
      <c r="A2993">
        <v>3181</v>
      </c>
    </row>
    <row r="2994" spans="1:1" x14ac:dyDescent="0.2">
      <c r="A2994">
        <v>3182</v>
      </c>
    </row>
    <row r="2995" spans="1:1" x14ac:dyDescent="0.2">
      <c r="A2995">
        <v>3183</v>
      </c>
    </row>
    <row r="2996" spans="1:1" x14ac:dyDescent="0.2">
      <c r="A2996">
        <v>3184</v>
      </c>
    </row>
    <row r="2997" spans="1:1" x14ac:dyDescent="0.2">
      <c r="A2997">
        <v>3185</v>
      </c>
    </row>
    <row r="2998" spans="1:1" x14ac:dyDescent="0.2">
      <c r="A2998">
        <v>3186</v>
      </c>
    </row>
    <row r="2999" spans="1:1" x14ac:dyDescent="0.2">
      <c r="A2999">
        <v>3187</v>
      </c>
    </row>
    <row r="3000" spans="1:1" x14ac:dyDescent="0.2">
      <c r="A3000">
        <v>3188</v>
      </c>
    </row>
    <row r="3001" spans="1:1" x14ac:dyDescent="0.2">
      <c r="A3001">
        <v>3189</v>
      </c>
    </row>
    <row r="3002" spans="1:1" x14ac:dyDescent="0.2">
      <c r="A3002">
        <v>3190</v>
      </c>
    </row>
    <row r="3003" spans="1:1" x14ac:dyDescent="0.2">
      <c r="A3003">
        <v>3191</v>
      </c>
    </row>
    <row r="3004" spans="1:1" x14ac:dyDescent="0.2">
      <c r="A3004">
        <v>3192</v>
      </c>
    </row>
    <row r="3005" spans="1:1" x14ac:dyDescent="0.2">
      <c r="A3005">
        <v>3193</v>
      </c>
    </row>
    <row r="3006" spans="1:1" x14ac:dyDescent="0.2">
      <c r="A3006">
        <v>3194</v>
      </c>
    </row>
    <row r="3007" spans="1:1" x14ac:dyDescent="0.2">
      <c r="A3007">
        <v>3195</v>
      </c>
    </row>
    <row r="3008" spans="1:1" x14ac:dyDescent="0.2">
      <c r="A3008">
        <v>3196</v>
      </c>
    </row>
    <row r="3009" spans="1:1" x14ac:dyDescent="0.2">
      <c r="A3009">
        <v>3197</v>
      </c>
    </row>
    <row r="3010" spans="1:1" x14ac:dyDescent="0.2">
      <c r="A3010">
        <v>3198</v>
      </c>
    </row>
    <row r="3011" spans="1:1" x14ac:dyDescent="0.2">
      <c r="A3011">
        <v>3199</v>
      </c>
    </row>
    <row r="3012" spans="1:1" x14ac:dyDescent="0.2">
      <c r="A3012">
        <v>3200</v>
      </c>
    </row>
    <row r="3013" spans="1:1" x14ac:dyDescent="0.2">
      <c r="A3013">
        <v>3201</v>
      </c>
    </row>
    <row r="3014" spans="1:1" x14ac:dyDescent="0.2">
      <c r="A3014">
        <v>3202</v>
      </c>
    </row>
    <row r="3015" spans="1:1" x14ac:dyDescent="0.2">
      <c r="A3015">
        <v>3203</v>
      </c>
    </row>
    <row r="3016" spans="1:1" x14ac:dyDescent="0.2">
      <c r="A3016">
        <v>3204</v>
      </c>
    </row>
    <row r="3017" spans="1:1" x14ac:dyDescent="0.2">
      <c r="A3017">
        <v>3205</v>
      </c>
    </row>
    <row r="3018" spans="1:1" x14ac:dyDescent="0.2">
      <c r="A3018">
        <v>3206</v>
      </c>
    </row>
    <row r="3019" spans="1:1" x14ac:dyDescent="0.2">
      <c r="A3019">
        <v>3207</v>
      </c>
    </row>
    <row r="3020" spans="1:1" x14ac:dyDescent="0.2">
      <c r="A3020">
        <v>3208</v>
      </c>
    </row>
    <row r="3021" spans="1:1" x14ac:dyDescent="0.2">
      <c r="A3021">
        <v>3209</v>
      </c>
    </row>
    <row r="3022" spans="1:1" x14ac:dyDescent="0.2">
      <c r="A3022">
        <v>3210</v>
      </c>
    </row>
    <row r="3023" spans="1:1" x14ac:dyDescent="0.2">
      <c r="A3023">
        <v>3211</v>
      </c>
    </row>
    <row r="3024" spans="1:1" x14ac:dyDescent="0.2">
      <c r="A3024">
        <v>3212</v>
      </c>
    </row>
    <row r="3025" spans="1:1" x14ac:dyDescent="0.2">
      <c r="A3025">
        <v>3213</v>
      </c>
    </row>
    <row r="3026" spans="1:1" x14ac:dyDescent="0.2">
      <c r="A3026">
        <v>3214</v>
      </c>
    </row>
    <row r="3027" spans="1:1" x14ac:dyDescent="0.2">
      <c r="A3027">
        <v>3215</v>
      </c>
    </row>
    <row r="3028" spans="1:1" x14ac:dyDescent="0.2">
      <c r="A3028">
        <v>3216</v>
      </c>
    </row>
    <row r="3029" spans="1:1" x14ac:dyDescent="0.2">
      <c r="A3029">
        <v>3217</v>
      </c>
    </row>
    <row r="3030" spans="1:1" x14ac:dyDescent="0.2">
      <c r="A3030">
        <v>3218</v>
      </c>
    </row>
    <row r="3031" spans="1:1" x14ac:dyDescent="0.2">
      <c r="A3031">
        <v>3219</v>
      </c>
    </row>
    <row r="3032" spans="1:1" x14ac:dyDescent="0.2">
      <c r="A3032">
        <v>3220</v>
      </c>
    </row>
    <row r="3033" spans="1:1" x14ac:dyDescent="0.2">
      <c r="A3033">
        <v>3221</v>
      </c>
    </row>
    <row r="3034" spans="1:1" x14ac:dyDescent="0.2">
      <c r="A3034">
        <v>3222</v>
      </c>
    </row>
    <row r="3035" spans="1:1" x14ac:dyDescent="0.2">
      <c r="A3035">
        <v>3223</v>
      </c>
    </row>
    <row r="3036" spans="1:1" x14ac:dyDescent="0.2">
      <c r="A3036">
        <v>3224</v>
      </c>
    </row>
    <row r="3037" spans="1:1" x14ac:dyDescent="0.2">
      <c r="A3037">
        <v>3225</v>
      </c>
    </row>
    <row r="3038" spans="1:1" x14ac:dyDescent="0.2">
      <c r="A3038">
        <v>3226</v>
      </c>
    </row>
    <row r="3039" spans="1:1" x14ac:dyDescent="0.2">
      <c r="A3039">
        <v>3227</v>
      </c>
    </row>
    <row r="3040" spans="1:1" x14ac:dyDescent="0.2">
      <c r="A3040">
        <v>3228</v>
      </c>
    </row>
    <row r="3041" spans="1:1" x14ac:dyDescent="0.2">
      <c r="A3041">
        <v>3229</v>
      </c>
    </row>
    <row r="3042" spans="1:1" x14ac:dyDescent="0.2">
      <c r="A3042">
        <v>3230</v>
      </c>
    </row>
    <row r="3043" spans="1:1" x14ac:dyDescent="0.2">
      <c r="A3043">
        <v>3231</v>
      </c>
    </row>
    <row r="3044" spans="1:1" x14ac:dyDescent="0.2">
      <c r="A3044">
        <v>3232</v>
      </c>
    </row>
    <row r="3045" spans="1:1" x14ac:dyDescent="0.2">
      <c r="A3045">
        <v>3233</v>
      </c>
    </row>
    <row r="3046" spans="1:1" x14ac:dyDescent="0.2">
      <c r="A3046">
        <v>3234</v>
      </c>
    </row>
    <row r="3047" spans="1:1" x14ac:dyDescent="0.2">
      <c r="A3047">
        <v>3235</v>
      </c>
    </row>
    <row r="3048" spans="1:1" x14ac:dyDescent="0.2">
      <c r="A3048">
        <v>3236</v>
      </c>
    </row>
    <row r="3049" spans="1:1" x14ac:dyDescent="0.2">
      <c r="A3049">
        <v>3237</v>
      </c>
    </row>
    <row r="3050" spans="1:1" x14ac:dyDescent="0.2">
      <c r="A3050">
        <v>3238</v>
      </c>
    </row>
    <row r="3051" spans="1:1" x14ac:dyDescent="0.2">
      <c r="A3051">
        <v>3239</v>
      </c>
    </row>
    <row r="3052" spans="1:1" x14ac:dyDescent="0.2">
      <c r="A3052">
        <v>3240</v>
      </c>
    </row>
    <row r="3053" spans="1:1" x14ac:dyDescent="0.2">
      <c r="A3053">
        <v>3241</v>
      </c>
    </row>
    <row r="3054" spans="1:1" x14ac:dyDescent="0.2">
      <c r="A3054">
        <v>3242</v>
      </c>
    </row>
    <row r="3055" spans="1:1" x14ac:dyDescent="0.2">
      <c r="A3055">
        <v>3243</v>
      </c>
    </row>
    <row r="3056" spans="1:1" x14ac:dyDescent="0.2">
      <c r="A3056">
        <v>3244</v>
      </c>
    </row>
    <row r="3057" spans="1:1" x14ac:dyDescent="0.2">
      <c r="A3057">
        <v>3245</v>
      </c>
    </row>
    <row r="3058" spans="1:1" x14ac:dyDescent="0.2">
      <c r="A3058">
        <v>3246</v>
      </c>
    </row>
    <row r="3059" spans="1:1" x14ac:dyDescent="0.2">
      <c r="A3059">
        <v>3247</v>
      </c>
    </row>
    <row r="3060" spans="1:1" x14ac:dyDescent="0.2">
      <c r="A3060">
        <v>3248</v>
      </c>
    </row>
    <row r="3061" spans="1:1" x14ac:dyDescent="0.2">
      <c r="A3061">
        <v>3249</v>
      </c>
    </row>
    <row r="3062" spans="1:1" x14ac:dyDescent="0.2">
      <c r="A3062">
        <v>3250</v>
      </c>
    </row>
    <row r="3063" spans="1:1" x14ac:dyDescent="0.2">
      <c r="A3063">
        <v>3251</v>
      </c>
    </row>
    <row r="3064" spans="1:1" x14ac:dyDescent="0.2">
      <c r="A3064">
        <v>3252</v>
      </c>
    </row>
    <row r="3065" spans="1:1" x14ac:dyDescent="0.2">
      <c r="A3065">
        <v>3253</v>
      </c>
    </row>
    <row r="3066" spans="1:1" x14ac:dyDescent="0.2">
      <c r="A3066">
        <v>3254</v>
      </c>
    </row>
    <row r="3067" spans="1:1" x14ac:dyDescent="0.2">
      <c r="A3067">
        <v>3255</v>
      </c>
    </row>
    <row r="3068" spans="1:1" x14ac:dyDescent="0.2">
      <c r="A3068">
        <v>3256</v>
      </c>
    </row>
    <row r="3069" spans="1:1" x14ac:dyDescent="0.2">
      <c r="A3069">
        <v>3257</v>
      </c>
    </row>
    <row r="3070" spans="1:1" x14ac:dyDescent="0.2">
      <c r="A3070">
        <v>3258</v>
      </c>
    </row>
    <row r="3071" spans="1:1" x14ac:dyDescent="0.2">
      <c r="A3071">
        <v>3259</v>
      </c>
    </row>
    <row r="3072" spans="1:1" x14ac:dyDescent="0.2">
      <c r="A3072">
        <v>3260</v>
      </c>
    </row>
    <row r="3073" spans="1:1" x14ac:dyDescent="0.2">
      <c r="A3073">
        <v>3261</v>
      </c>
    </row>
    <row r="3074" spans="1:1" x14ac:dyDescent="0.2">
      <c r="A3074">
        <v>3262</v>
      </c>
    </row>
    <row r="3075" spans="1:1" x14ac:dyDescent="0.2">
      <c r="A3075">
        <v>3263</v>
      </c>
    </row>
    <row r="3076" spans="1:1" x14ac:dyDescent="0.2">
      <c r="A3076">
        <v>3264</v>
      </c>
    </row>
    <row r="3077" spans="1:1" x14ac:dyDescent="0.2">
      <c r="A3077">
        <v>3265</v>
      </c>
    </row>
    <row r="3078" spans="1:1" x14ac:dyDescent="0.2">
      <c r="A3078">
        <v>3266</v>
      </c>
    </row>
    <row r="3079" spans="1:1" x14ac:dyDescent="0.2">
      <c r="A3079">
        <v>3267</v>
      </c>
    </row>
    <row r="3080" spans="1:1" x14ac:dyDescent="0.2">
      <c r="A3080">
        <v>3268</v>
      </c>
    </row>
    <row r="3081" spans="1:1" x14ac:dyDescent="0.2">
      <c r="A3081">
        <v>3269</v>
      </c>
    </row>
    <row r="3082" spans="1:1" x14ac:dyDescent="0.2">
      <c r="A3082">
        <v>3270</v>
      </c>
    </row>
    <row r="3083" spans="1:1" x14ac:dyDescent="0.2">
      <c r="A3083">
        <v>3271</v>
      </c>
    </row>
    <row r="3084" spans="1:1" x14ac:dyDescent="0.2">
      <c r="A3084">
        <v>3272</v>
      </c>
    </row>
    <row r="3085" spans="1:1" x14ac:dyDescent="0.2">
      <c r="A3085">
        <v>3273</v>
      </c>
    </row>
    <row r="3086" spans="1:1" x14ac:dyDescent="0.2">
      <c r="A3086">
        <v>3274</v>
      </c>
    </row>
    <row r="3087" spans="1:1" x14ac:dyDescent="0.2">
      <c r="A3087">
        <v>3275</v>
      </c>
    </row>
    <row r="3088" spans="1:1" x14ac:dyDescent="0.2">
      <c r="A3088">
        <v>3276</v>
      </c>
    </row>
    <row r="3089" spans="1:1" x14ac:dyDescent="0.2">
      <c r="A3089">
        <v>3277</v>
      </c>
    </row>
    <row r="3090" spans="1:1" x14ac:dyDescent="0.2">
      <c r="A3090">
        <v>3278</v>
      </c>
    </row>
    <row r="3091" spans="1:1" x14ac:dyDescent="0.2">
      <c r="A3091">
        <v>3279</v>
      </c>
    </row>
    <row r="3092" spans="1:1" x14ac:dyDescent="0.2">
      <c r="A3092">
        <v>3280</v>
      </c>
    </row>
    <row r="3093" spans="1:1" x14ac:dyDescent="0.2">
      <c r="A3093">
        <v>3281</v>
      </c>
    </row>
    <row r="3094" spans="1:1" x14ac:dyDescent="0.2">
      <c r="A3094">
        <v>3282</v>
      </c>
    </row>
    <row r="3095" spans="1:1" x14ac:dyDescent="0.2">
      <c r="A3095">
        <v>3283</v>
      </c>
    </row>
    <row r="3096" spans="1:1" x14ac:dyDescent="0.2">
      <c r="A3096">
        <v>3284</v>
      </c>
    </row>
    <row r="3097" spans="1:1" x14ac:dyDescent="0.2">
      <c r="A3097">
        <v>3285</v>
      </c>
    </row>
    <row r="3098" spans="1:1" x14ac:dyDescent="0.2">
      <c r="A3098">
        <v>3286</v>
      </c>
    </row>
    <row r="3099" spans="1:1" x14ac:dyDescent="0.2">
      <c r="A3099">
        <v>3287</v>
      </c>
    </row>
    <row r="3100" spans="1:1" x14ac:dyDescent="0.2">
      <c r="A3100">
        <v>3288</v>
      </c>
    </row>
    <row r="3101" spans="1:1" x14ac:dyDescent="0.2">
      <c r="A3101">
        <v>3289</v>
      </c>
    </row>
    <row r="3102" spans="1:1" x14ac:dyDescent="0.2">
      <c r="A3102">
        <v>3290</v>
      </c>
    </row>
    <row r="3103" spans="1:1" x14ac:dyDescent="0.2">
      <c r="A3103">
        <v>3291</v>
      </c>
    </row>
    <row r="3104" spans="1:1" x14ac:dyDescent="0.2">
      <c r="A3104">
        <v>3292</v>
      </c>
    </row>
    <row r="3105" spans="1:1" x14ac:dyDescent="0.2">
      <c r="A3105">
        <v>3293</v>
      </c>
    </row>
    <row r="3106" spans="1:1" x14ac:dyDescent="0.2">
      <c r="A3106">
        <v>3294</v>
      </c>
    </row>
    <row r="3107" spans="1:1" x14ac:dyDescent="0.2">
      <c r="A3107">
        <v>3295</v>
      </c>
    </row>
    <row r="3108" spans="1:1" x14ac:dyDescent="0.2">
      <c r="A3108">
        <v>3296</v>
      </c>
    </row>
    <row r="3109" spans="1:1" x14ac:dyDescent="0.2">
      <c r="A3109">
        <v>3297</v>
      </c>
    </row>
    <row r="3110" spans="1:1" x14ac:dyDescent="0.2">
      <c r="A3110">
        <v>3298</v>
      </c>
    </row>
    <row r="3111" spans="1:1" x14ac:dyDescent="0.2">
      <c r="A3111">
        <v>3299</v>
      </c>
    </row>
    <row r="3112" spans="1:1" x14ac:dyDescent="0.2">
      <c r="A3112">
        <v>3300</v>
      </c>
    </row>
    <row r="3113" spans="1:1" x14ac:dyDescent="0.2">
      <c r="A3113">
        <v>3301</v>
      </c>
    </row>
    <row r="3114" spans="1:1" x14ac:dyDescent="0.2">
      <c r="A3114">
        <v>3302</v>
      </c>
    </row>
    <row r="3115" spans="1:1" x14ac:dyDescent="0.2">
      <c r="A3115">
        <v>3303</v>
      </c>
    </row>
    <row r="3116" spans="1:1" x14ac:dyDescent="0.2">
      <c r="A3116">
        <v>3304</v>
      </c>
    </row>
    <row r="3117" spans="1:1" x14ac:dyDescent="0.2">
      <c r="A3117">
        <v>3305</v>
      </c>
    </row>
    <row r="3118" spans="1:1" x14ac:dyDescent="0.2">
      <c r="A3118">
        <v>3306</v>
      </c>
    </row>
    <row r="3119" spans="1:1" x14ac:dyDescent="0.2">
      <c r="A3119">
        <v>3307</v>
      </c>
    </row>
    <row r="3120" spans="1:1" x14ac:dyDescent="0.2">
      <c r="A3120">
        <v>3308</v>
      </c>
    </row>
    <row r="3121" spans="1:1" x14ac:dyDescent="0.2">
      <c r="A3121">
        <v>3309</v>
      </c>
    </row>
    <row r="3122" spans="1:1" x14ac:dyDescent="0.2">
      <c r="A3122">
        <v>3310</v>
      </c>
    </row>
    <row r="3123" spans="1:1" x14ac:dyDescent="0.2">
      <c r="A3123">
        <v>3311</v>
      </c>
    </row>
    <row r="3124" spans="1:1" x14ac:dyDescent="0.2">
      <c r="A3124">
        <v>3312</v>
      </c>
    </row>
    <row r="3125" spans="1:1" x14ac:dyDescent="0.2">
      <c r="A3125">
        <v>3313</v>
      </c>
    </row>
    <row r="3126" spans="1:1" x14ac:dyDescent="0.2">
      <c r="A3126">
        <v>3314</v>
      </c>
    </row>
    <row r="3127" spans="1:1" x14ac:dyDescent="0.2">
      <c r="A3127">
        <v>3315</v>
      </c>
    </row>
    <row r="3128" spans="1:1" x14ac:dyDescent="0.2">
      <c r="A3128">
        <v>3316</v>
      </c>
    </row>
    <row r="3129" spans="1:1" x14ac:dyDescent="0.2">
      <c r="A3129">
        <v>3317</v>
      </c>
    </row>
    <row r="3130" spans="1:1" x14ac:dyDescent="0.2">
      <c r="A3130">
        <v>3318</v>
      </c>
    </row>
    <row r="3131" spans="1:1" x14ac:dyDescent="0.2">
      <c r="A3131">
        <v>3319</v>
      </c>
    </row>
    <row r="3132" spans="1:1" x14ac:dyDescent="0.2">
      <c r="A3132">
        <v>3320</v>
      </c>
    </row>
    <row r="3133" spans="1:1" x14ac:dyDescent="0.2">
      <c r="A3133">
        <v>3321</v>
      </c>
    </row>
    <row r="3134" spans="1:1" x14ac:dyDescent="0.2">
      <c r="A3134">
        <v>3322</v>
      </c>
    </row>
    <row r="3135" spans="1:1" x14ac:dyDescent="0.2">
      <c r="A3135">
        <v>3323</v>
      </c>
    </row>
    <row r="3136" spans="1:1" x14ac:dyDescent="0.2">
      <c r="A3136">
        <v>3324</v>
      </c>
    </row>
    <row r="3137" spans="1:1" x14ac:dyDescent="0.2">
      <c r="A3137">
        <v>3325</v>
      </c>
    </row>
    <row r="3138" spans="1:1" x14ac:dyDescent="0.2">
      <c r="A3138">
        <v>3326</v>
      </c>
    </row>
    <row r="3139" spans="1:1" x14ac:dyDescent="0.2">
      <c r="A3139">
        <v>3327</v>
      </c>
    </row>
    <row r="3140" spans="1:1" x14ac:dyDescent="0.2">
      <c r="A3140">
        <v>3328</v>
      </c>
    </row>
    <row r="3141" spans="1:1" x14ac:dyDescent="0.2">
      <c r="A3141">
        <v>3329</v>
      </c>
    </row>
    <row r="3142" spans="1:1" x14ac:dyDescent="0.2">
      <c r="A3142">
        <v>3330</v>
      </c>
    </row>
    <row r="3143" spans="1:1" x14ac:dyDescent="0.2">
      <c r="A3143">
        <v>3331</v>
      </c>
    </row>
    <row r="3144" spans="1:1" x14ac:dyDescent="0.2">
      <c r="A3144">
        <v>3332</v>
      </c>
    </row>
    <row r="3145" spans="1:1" x14ac:dyDescent="0.2">
      <c r="A3145">
        <v>3333</v>
      </c>
    </row>
    <row r="3146" spans="1:1" x14ac:dyDescent="0.2">
      <c r="A3146">
        <v>3334</v>
      </c>
    </row>
    <row r="3147" spans="1:1" x14ac:dyDescent="0.2">
      <c r="A3147">
        <v>3335</v>
      </c>
    </row>
    <row r="3148" spans="1:1" x14ac:dyDescent="0.2">
      <c r="A3148">
        <v>3336</v>
      </c>
    </row>
    <row r="3149" spans="1:1" x14ac:dyDescent="0.2">
      <c r="A3149">
        <v>3337</v>
      </c>
    </row>
    <row r="3150" spans="1:1" x14ac:dyDescent="0.2">
      <c r="A3150">
        <v>3338</v>
      </c>
    </row>
    <row r="3151" spans="1:1" x14ac:dyDescent="0.2">
      <c r="A3151">
        <v>3339</v>
      </c>
    </row>
    <row r="3152" spans="1:1" x14ac:dyDescent="0.2">
      <c r="A3152">
        <v>3340</v>
      </c>
    </row>
    <row r="3153" spans="1:1" x14ac:dyDescent="0.2">
      <c r="A3153">
        <v>3341</v>
      </c>
    </row>
    <row r="3154" spans="1:1" x14ac:dyDescent="0.2">
      <c r="A3154">
        <v>3342</v>
      </c>
    </row>
    <row r="3155" spans="1:1" x14ac:dyDescent="0.2">
      <c r="A3155">
        <v>3343</v>
      </c>
    </row>
    <row r="3156" spans="1:1" x14ac:dyDescent="0.2">
      <c r="A3156">
        <v>3344</v>
      </c>
    </row>
    <row r="3157" spans="1:1" x14ac:dyDescent="0.2">
      <c r="A3157">
        <v>3345</v>
      </c>
    </row>
    <row r="3158" spans="1:1" x14ac:dyDescent="0.2">
      <c r="A3158">
        <v>3346</v>
      </c>
    </row>
    <row r="3159" spans="1:1" x14ac:dyDescent="0.2">
      <c r="A3159">
        <v>3347</v>
      </c>
    </row>
    <row r="3160" spans="1:1" x14ac:dyDescent="0.2">
      <c r="A3160">
        <v>3348</v>
      </c>
    </row>
    <row r="3161" spans="1:1" x14ac:dyDescent="0.2">
      <c r="A3161">
        <v>3349</v>
      </c>
    </row>
    <row r="3162" spans="1:1" x14ac:dyDescent="0.2">
      <c r="A3162">
        <v>3350</v>
      </c>
    </row>
    <row r="3163" spans="1:1" x14ac:dyDescent="0.2">
      <c r="A3163">
        <v>3351</v>
      </c>
    </row>
    <row r="3164" spans="1:1" x14ac:dyDescent="0.2">
      <c r="A3164">
        <v>3352</v>
      </c>
    </row>
    <row r="3165" spans="1:1" x14ac:dyDescent="0.2">
      <c r="A3165">
        <v>3353</v>
      </c>
    </row>
    <row r="3166" spans="1:1" x14ac:dyDescent="0.2">
      <c r="A3166">
        <v>3354</v>
      </c>
    </row>
    <row r="3167" spans="1:1" x14ac:dyDescent="0.2">
      <c r="A3167">
        <v>3355</v>
      </c>
    </row>
    <row r="3168" spans="1:1" x14ac:dyDescent="0.2">
      <c r="A3168">
        <v>3356</v>
      </c>
    </row>
    <row r="3169" spans="1:1" x14ac:dyDescent="0.2">
      <c r="A3169">
        <v>3357</v>
      </c>
    </row>
    <row r="3170" spans="1:1" x14ac:dyDescent="0.2">
      <c r="A3170">
        <v>3358</v>
      </c>
    </row>
    <row r="3171" spans="1:1" x14ac:dyDescent="0.2">
      <c r="A3171">
        <v>3359</v>
      </c>
    </row>
    <row r="3172" spans="1:1" x14ac:dyDescent="0.2">
      <c r="A3172">
        <v>3360</v>
      </c>
    </row>
    <row r="3173" spans="1:1" x14ac:dyDescent="0.2">
      <c r="A3173">
        <v>3361</v>
      </c>
    </row>
    <row r="3174" spans="1:1" x14ac:dyDescent="0.2">
      <c r="A3174">
        <v>3362</v>
      </c>
    </row>
    <row r="3175" spans="1:1" x14ac:dyDescent="0.2">
      <c r="A3175">
        <v>3363</v>
      </c>
    </row>
    <row r="3176" spans="1:1" x14ac:dyDescent="0.2">
      <c r="A3176">
        <v>3364</v>
      </c>
    </row>
    <row r="3177" spans="1:1" x14ac:dyDescent="0.2">
      <c r="A3177">
        <v>3365</v>
      </c>
    </row>
    <row r="3178" spans="1:1" x14ac:dyDescent="0.2">
      <c r="A3178">
        <v>3366</v>
      </c>
    </row>
    <row r="3179" spans="1:1" x14ac:dyDescent="0.2">
      <c r="A3179">
        <v>3367</v>
      </c>
    </row>
    <row r="3180" spans="1:1" x14ac:dyDescent="0.2">
      <c r="A3180">
        <v>3368</v>
      </c>
    </row>
    <row r="3181" spans="1:1" x14ac:dyDescent="0.2">
      <c r="A3181">
        <v>3369</v>
      </c>
    </row>
    <row r="3182" spans="1:1" x14ac:dyDescent="0.2">
      <c r="A3182">
        <v>3370</v>
      </c>
    </row>
    <row r="3183" spans="1:1" x14ac:dyDescent="0.2">
      <c r="A3183">
        <v>3371</v>
      </c>
    </row>
    <row r="3184" spans="1:1" x14ac:dyDescent="0.2">
      <c r="A3184">
        <v>3372</v>
      </c>
    </row>
    <row r="3185" spans="1:1" x14ac:dyDescent="0.2">
      <c r="A3185">
        <v>3373</v>
      </c>
    </row>
    <row r="3186" spans="1:1" x14ac:dyDescent="0.2">
      <c r="A3186">
        <v>3374</v>
      </c>
    </row>
    <row r="3187" spans="1:1" x14ac:dyDescent="0.2">
      <c r="A3187">
        <v>3375</v>
      </c>
    </row>
    <row r="3188" spans="1:1" x14ac:dyDescent="0.2">
      <c r="A3188">
        <v>3376</v>
      </c>
    </row>
    <row r="3189" spans="1:1" x14ac:dyDescent="0.2">
      <c r="A3189">
        <v>3377</v>
      </c>
    </row>
    <row r="3190" spans="1:1" x14ac:dyDescent="0.2">
      <c r="A3190">
        <v>3378</v>
      </c>
    </row>
    <row r="3191" spans="1:1" x14ac:dyDescent="0.2">
      <c r="A3191">
        <v>3379</v>
      </c>
    </row>
    <row r="3192" spans="1:1" x14ac:dyDescent="0.2">
      <c r="A3192">
        <v>3380</v>
      </c>
    </row>
    <row r="3193" spans="1:1" x14ac:dyDescent="0.2">
      <c r="A3193">
        <v>3381</v>
      </c>
    </row>
    <row r="3194" spans="1:1" x14ac:dyDescent="0.2">
      <c r="A3194">
        <v>3382</v>
      </c>
    </row>
    <row r="3195" spans="1:1" x14ac:dyDescent="0.2">
      <c r="A3195">
        <v>3383</v>
      </c>
    </row>
    <row r="3196" spans="1:1" x14ac:dyDescent="0.2">
      <c r="A3196">
        <v>3384</v>
      </c>
    </row>
    <row r="3197" spans="1:1" x14ac:dyDescent="0.2">
      <c r="A3197">
        <v>3385</v>
      </c>
    </row>
    <row r="3198" spans="1:1" x14ac:dyDescent="0.2">
      <c r="A3198">
        <v>3386</v>
      </c>
    </row>
    <row r="3199" spans="1:1" x14ac:dyDescent="0.2">
      <c r="A3199">
        <v>3387</v>
      </c>
    </row>
    <row r="3200" spans="1:1" x14ac:dyDescent="0.2">
      <c r="A3200">
        <v>3388</v>
      </c>
    </row>
    <row r="3201" spans="1:1" x14ac:dyDescent="0.2">
      <c r="A3201">
        <v>3389</v>
      </c>
    </row>
    <row r="3202" spans="1:1" x14ac:dyDescent="0.2">
      <c r="A3202">
        <v>3390</v>
      </c>
    </row>
    <row r="3203" spans="1:1" x14ac:dyDescent="0.2">
      <c r="A3203">
        <v>3391</v>
      </c>
    </row>
    <row r="3204" spans="1:1" x14ac:dyDescent="0.2">
      <c r="A3204">
        <v>3392</v>
      </c>
    </row>
    <row r="3205" spans="1:1" x14ac:dyDescent="0.2">
      <c r="A3205">
        <v>3393</v>
      </c>
    </row>
    <row r="3206" spans="1:1" x14ac:dyDescent="0.2">
      <c r="A3206">
        <v>3394</v>
      </c>
    </row>
    <row r="3207" spans="1:1" x14ac:dyDescent="0.2">
      <c r="A3207">
        <v>3395</v>
      </c>
    </row>
    <row r="3208" spans="1:1" x14ac:dyDescent="0.2">
      <c r="A3208">
        <v>3396</v>
      </c>
    </row>
    <row r="3209" spans="1:1" x14ac:dyDescent="0.2">
      <c r="A3209">
        <v>3397</v>
      </c>
    </row>
    <row r="3210" spans="1:1" x14ac:dyDescent="0.2">
      <c r="A3210">
        <v>3398</v>
      </c>
    </row>
    <row r="3211" spans="1:1" x14ac:dyDescent="0.2">
      <c r="A3211">
        <v>3399</v>
      </c>
    </row>
    <row r="3212" spans="1:1" x14ac:dyDescent="0.2">
      <c r="A3212">
        <v>3400</v>
      </c>
    </row>
    <row r="3213" spans="1:1" x14ac:dyDescent="0.2">
      <c r="A3213">
        <v>3401</v>
      </c>
    </row>
    <row r="3214" spans="1:1" x14ac:dyDescent="0.2">
      <c r="A3214">
        <v>3402</v>
      </c>
    </row>
    <row r="3215" spans="1:1" x14ac:dyDescent="0.2">
      <c r="A3215">
        <v>3403</v>
      </c>
    </row>
    <row r="3216" spans="1:1" x14ac:dyDescent="0.2">
      <c r="A3216">
        <v>3404</v>
      </c>
    </row>
    <row r="3217" spans="1:1" x14ac:dyDescent="0.2">
      <c r="A3217">
        <v>3405</v>
      </c>
    </row>
    <row r="3218" spans="1:1" x14ac:dyDescent="0.2">
      <c r="A3218">
        <v>3406</v>
      </c>
    </row>
    <row r="3219" spans="1:1" x14ac:dyDescent="0.2">
      <c r="A3219">
        <v>3407</v>
      </c>
    </row>
    <row r="3220" spans="1:1" x14ac:dyDescent="0.2">
      <c r="A3220">
        <v>3408</v>
      </c>
    </row>
    <row r="3221" spans="1:1" x14ac:dyDescent="0.2">
      <c r="A3221">
        <v>3409</v>
      </c>
    </row>
    <row r="3222" spans="1:1" x14ac:dyDescent="0.2">
      <c r="A3222">
        <v>3410</v>
      </c>
    </row>
    <row r="3223" spans="1:1" x14ac:dyDescent="0.2">
      <c r="A3223">
        <v>3411</v>
      </c>
    </row>
    <row r="3224" spans="1:1" x14ac:dyDescent="0.2">
      <c r="A3224">
        <v>3412</v>
      </c>
    </row>
    <row r="3225" spans="1:1" x14ac:dyDescent="0.2">
      <c r="A3225">
        <v>3413</v>
      </c>
    </row>
    <row r="3226" spans="1:1" x14ac:dyDescent="0.2">
      <c r="A3226">
        <v>3414</v>
      </c>
    </row>
    <row r="3227" spans="1:1" x14ac:dyDescent="0.2">
      <c r="A3227">
        <v>3415</v>
      </c>
    </row>
    <row r="3228" spans="1:1" x14ac:dyDescent="0.2">
      <c r="A3228">
        <v>3416</v>
      </c>
    </row>
    <row r="3229" spans="1:1" x14ac:dyDescent="0.2">
      <c r="A3229">
        <v>3417</v>
      </c>
    </row>
    <row r="3230" spans="1:1" x14ac:dyDescent="0.2">
      <c r="A3230">
        <v>3418</v>
      </c>
    </row>
    <row r="3231" spans="1:1" x14ac:dyDescent="0.2">
      <c r="A3231">
        <v>3419</v>
      </c>
    </row>
    <row r="3232" spans="1:1" x14ac:dyDescent="0.2">
      <c r="A3232">
        <v>3420</v>
      </c>
    </row>
    <row r="3233" spans="1:1" x14ac:dyDescent="0.2">
      <c r="A3233">
        <v>3421</v>
      </c>
    </row>
    <row r="3234" spans="1:1" x14ac:dyDescent="0.2">
      <c r="A3234">
        <v>3422</v>
      </c>
    </row>
    <row r="3235" spans="1:1" x14ac:dyDescent="0.2">
      <c r="A3235">
        <v>3423</v>
      </c>
    </row>
    <row r="3236" spans="1:1" x14ac:dyDescent="0.2">
      <c r="A3236">
        <v>3424</v>
      </c>
    </row>
    <row r="3237" spans="1:1" x14ac:dyDescent="0.2">
      <c r="A3237">
        <v>3425</v>
      </c>
    </row>
    <row r="3238" spans="1:1" x14ac:dyDescent="0.2">
      <c r="A3238">
        <v>3426</v>
      </c>
    </row>
    <row r="3239" spans="1:1" x14ac:dyDescent="0.2">
      <c r="A3239">
        <v>3427</v>
      </c>
    </row>
    <row r="3240" spans="1:1" x14ac:dyDescent="0.2">
      <c r="A3240">
        <v>3428</v>
      </c>
    </row>
    <row r="3241" spans="1:1" x14ac:dyDescent="0.2">
      <c r="A3241">
        <v>3429</v>
      </c>
    </row>
    <row r="3242" spans="1:1" x14ac:dyDescent="0.2">
      <c r="A3242">
        <v>3430</v>
      </c>
    </row>
    <row r="3243" spans="1:1" x14ac:dyDescent="0.2">
      <c r="A3243">
        <v>3431</v>
      </c>
    </row>
    <row r="3244" spans="1:1" x14ac:dyDescent="0.2">
      <c r="A3244">
        <v>3432</v>
      </c>
    </row>
    <row r="3245" spans="1:1" x14ac:dyDescent="0.2">
      <c r="A3245">
        <v>3433</v>
      </c>
    </row>
    <row r="3246" spans="1:1" x14ac:dyDescent="0.2">
      <c r="A3246">
        <v>3434</v>
      </c>
    </row>
    <row r="3247" spans="1:1" x14ac:dyDescent="0.2">
      <c r="A3247">
        <v>3435</v>
      </c>
    </row>
    <row r="3248" spans="1:1" x14ac:dyDescent="0.2">
      <c r="A3248">
        <v>3436</v>
      </c>
    </row>
    <row r="3249" spans="1:1" x14ac:dyDescent="0.2">
      <c r="A3249">
        <v>3437</v>
      </c>
    </row>
    <row r="3250" spans="1:1" x14ac:dyDescent="0.2">
      <c r="A3250">
        <v>3438</v>
      </c>
    </row>
    <row r="3251" spans="1:1" x14ac:dyDescent="0.2">
      <c r="A3251">
        <v>3439</v>
      </c>
    </row>
    <row r="3252" spans="1:1" x14ac:dyDescent="0.2">
      <c r="A3252">
        <v>3440</v>
      </c>
    </row>
    <row r="3253" spans="1:1" x14ac:dyDescent="0.2">
      <c r="A3253">
        <v>3441</v>
      </c>
    </row>
    <row r="3254" spans="1:1" x14ac:dyDescent="0.2">
      <c r="A3254">
        <v>3442</v>
      </c>
    </row>
    <row r="3255" spans="1:1" x14ac:dyDescent="0.2">
      <c r="A3255">
        <v>3443</v>
      </c>
    </row>
    <row r="3256" spans="1:1" x14ac:dyDescent="0.2">
      <c r="A3256">
        <v>3444</v>
      </c>
    </row>
    <row r="3257" spans="1:1" x14ac:dyDescent="0.2">
      <c r="A3257">
        <v>3445</v>
      </c>
    </row>
    <row r="3258" spans="1:1" x14ac:dyDescent="0.2">
      <c r="A3258">
        <v>3446</v>
      </c>
    </row>
    <row r="3259" spans="1:1" x14ac:dyDescent="0.2">
      <c r="A3259">
        <v>3447</v>
      </c>
    </row>
    <row r="3260" spans="1:1" x14ac:dyDescent="0.2">
      <c r="A3260">
        <v>3448</v>
      </c>
    </row>
    <row r="3261" spans="1:1" x14ac:dyDescent="0.2">
      <c r="A3261">
        <v>3449</v>
      </c>
    </row>
    <row r="3262" spans="1:1" x14ac:dyDescent="0.2">
      <c r="A3262">
        <v>3450</v>
      </c>
    </row>
    <row r="3263" spans="1:1" x14ac:dyDescent="0.2">
      <c r="A3263">
        <v>3451</v>
      </c>
    </row>
    <row r="3264" spans="1:1" x14ac:dyDescent="0.2">
      <c r="A3264">
        <v>3452</v>
      </c>
    </row>
    <row r="3265" spans="1:1" x14ac:dyDescent="0.2">
      <c r="A3265">
        <v>3453</v>
      </c>
    </row>
    <row r="3266" spans="1:1" x14ac:dyDescent="0.2">
      <c r="A3266">
        <v>3454</v>
      </c>
    </row>
    <row r="3267" spans="1:1" x14ac:dyDescent="0.2">
      <c r="A3267">
        <v>3455</v>
      </c>
    </row>
    <row r="3268" spans="1:1" x14ac:dyDescent="0.2">
      <c r="A3268">
        <v>3456</v>
      </c>
    </row>
    <row r="3269" spans="1:1" x14ac:dyDescent="0.2">
      <c r="A3269">
        <v>3457</v>
      </c>
    </row>
    <row r="3270" spans="1:1" x14ac:dyDescent="0.2">
      <c r="A3270">
        <v>3458</v>
      </c>
    </row>
    <row r="3271" spans="1:1" x14ac:dyDescent="0.2">
      <c r="A3271">
        <v>3459</v>
      </c>
    </row>
    <row r="3272" spans="1:1" x14ac:dyDescent="0.2">
      <c r="A3272">
        <v>3460</v>
      </c>
    </row>
    <row r="3273" spans="1:1" x14ac:dyDescent="0.2">
      <c r="A3273">
        <v>3461</v>
      </c>
    </row>
    <row r="3274" spans="1:1" x14ac:dyDescent="0.2">
      <c r="A3274">
        <v>3462</v>
      </c>
    </row>
    <row r="3275" spans="1:1" x14ac:dyDescent="0.2">
      <c r="A3275">
        <v>3463</v>
      </c>
    </row>
    <row r="3276" spans="1:1" x14ac:dyDescent="0.2">
      <c r="A3276">
        <v>3464</v>
      </c>
    </row>
    <row r="3277" spans="1:1" x14ac:dyDescent="0.2">
      <c r="A3277">
        <v>3465</v>
      </c>
    </row>
    <row r="3278" spans="1:1" x14ac:dyDescent="0.2">
      <c r="A3278">
        <v>3466</v>
      </c>
    </row>
    <row r="3279" spans="1:1" x14ac:dyDescent="0.2">
      <c r="A3279">
        <v>3467</v>
      </c>
    </row>
    <row r="3280" spans="1:1" x14ac:dyDescent="0.2">
      <c r="A3280">
        <v>3468</v>
      </c>
    </row>
    <row r="3281" spans="1:1" x14ac:dyDescent="0.2">
      <c r="A3281">
        <v>3469</v>
      </c>
    </row>
    <row r="3282" spans="1:1" x14ac:dyDescent="0.2">
      <c r="A3282">
        <v>3470</v>
      </c>
    </row>
    <row r="3283" spans="1:1" x14ac:dyDescent="0.2">
      <c r="A3283">
        <v>3471</v>
      </c>
    </row>
    <row r="3284" spans="1:1" x14ac:dyDescent="0.2">
      <c r="A3284">
        <v>3472</v>
      </c>
    </row>
    <row r="3285" spans="1:1" x14ac:dyDescent="0.2">
      <c r="A3285">
        <v>3473</v>
      </c>
    </row>
    <row r="3286" spans="1:1" x14ac:dyDescent="0.2">
      <c r="A3286">
        <v>3474</v>
      </c>
    </row>
    <row r="3287" spans="1:1" x14ac:dyDescent="0.2">
      <c r="A3287">
        <v>3475</v>
      </c>
    </row>
    <row r="3288" spans="1:1" x14ac:dyDescent="0.2">
      <c r="A3288">
        <v>3476</v>
      </c>
    </row>
    <row r="3289" spans="1:1" x14ac:dyDescent="0.2">
      <c r="A3289">
        <v>3477</v>
      </c>
    </row>
    <row r="3290" spans="1:1" x14ac:dyDescent="0.2">
      <c r="A3290">
        <v>3478</v>
      </c>
    </row>
    <row r="3291" spans="1:1" x14ac:dyDescent="0.2">
      <c r="A3291">
        <v>3479</v>
      </c>
    </row>
    <row r="3292" spans="1:1" x14ac:dyDescent="0.2">
      <c r="A3292">
        <v>3480</v>
      </c>
    </row>
    <row r="3293" spans="1:1" x14ac:dyDescent="0.2">
      <c r="A3293">
        <v>3481</v>
      </c>
    </row>
    <row r="3294" spans="1:1" x14ac:dyDescent="0.2">
      <c r="A3294">
        <v>3482</v>
      </c>
    </row>
    <row r="3295" spans="1:1" x14ac:dyDescent="0.2">
      <c r="A3295">
        <v>3483</v>
      </c>
    </row>
    <row r="3296" spans="1:1" x14ac:dyDescent="0.2">
      <c r="A3296">
        <v>3484</v>
      </c>
    </row>
    <row r="3297" spans="1:1" x14ac:dyDescent="0.2">
      <c r="A3297">
        <v>3485</v>
      </c>
    </row>
    <row r="3298" spans="1:1" x14ac:dyDescent="0.2">
      <c r="A3298">
        <v>3486</v>
      </c>
    </row>
    <row r="3299" spans="1:1" x14ac:dyDescent="0.2">
      <c r="A3299">
        <v>3487</v>
      </c>
    </row>
    <row r="3300" spans="1:1" x14ac:dyDescent="0.2">
      <c r="A3300">
        <v>3488</v>
      </c>
    </row>
    <row r="3301" spans="1:1" x14ac:dyDescent="0.2">
      <c r="A3301">
        <v>3489</v>
      </c>
    </row>
    <row r="3302" spans="1:1" x14ac:dyDescent="0.2">
      <c r="A3302">
        <v>3490</v>
      </c>
    </row>
    <row r="3303" spans="1:1" x14ac:dyDescent="0.2">
      <c r="A3303">
        <v>3491</v>
      </c>
    </row>
    <row r="3304" spans="1:1" x14ac:dyDescent="0.2">
      <c r="A3304">
        <v>3492</v>
      </c>
    </row>
    <row r="3305" spans="1:1" x14ac:dyDescent="0.2">
      <c r="A3305">
        <v>3493</v>
      </c>
    </row>
    <row r="3306" spans="1:1" x14ac:dyDescent="0.2">
      <c r="A3306">
        <v>3494</v>
      </c>
    </row>
    <row r="3307" spans="1:1" x14ac:dyDescent="0.2">
      <c r="A3307">
        <v>3495</v>
      </c>
    </row>
    <row r="3308" spans="1:1" x14ac:dyDescent="0.2">
      <c r="A3308">
        <v>3496</v>
      </c>
    </row>
    <row r="3309" spans="1:1" x14ac:dyDescent="0.2">
      <c r="A3309">
        <v>3497</v>
      </c>
    </row>
    <row r="3310" spans="1:1" x14ac:dyDescent="0.2">
      <c r="A3310">
        <v>3498</v>
      </c>
    </row>
    <row r="3311" spans="1:1" x14ac:dyDescent="0.2">
      <c r="A3311">
        <v>3499</v>
      </c>
    </row>
    <row r="3312" spans="1:1" x14ac:dyDescent="0.2">
      <c r="A3312">
        <v>3500</v>
      </c>
    </row>
    <row r="3313" spans="1:1" x14ac:dyDescent="0.2">
      <c r="A3313">
        <v>3501</v>
      </c>
    </row>
    <row r="3314" spans="1:1" x14ac:dyDescent="0.2">
      <c r="A3314">
        <v>3502</v>
      </c>
    </row>
    <row r="3315" spans="1:1" x14ac:dyDescent="0.2">
      <c r="A3315">
        <v>3503</v>
      </c>
    </row>
    <row r="3316" spans="1:1" x14ac:dyDescent="0.2">
      <c r="A3316">
        <v>3504</v>
      </c>
    </row>
    <row r="3317" spans="1:1" x14ac:dyDescent="0.2">
      <c r="A3317">
        <v>3505</v>
      </c>
    </row>
    <row r="3318" spans="1:1" x14ac:dyDescent="0.2">
      <c r="A3318">
        <v>3506</v>
      </c>
    </row>
    <row r="3319" spans="1:1" x14ac:dyDescent="0.2">
      <c r="A3319">
        <v>3507</v>
      </c>
    </row>
    <row r="3320" spans="1:1" x14ac:dyDescent="0.2">
      <c r="A3320">
        <v>3508</v>
      </c>
    </row>
    <row r="3321" spans="1:1" x14ac:dyDescent="0.2">
      <c r="A3321">
        <v>3509</v>
      </c>
    </row>
    <row r="3322" spans="1:1" x14ac:dyDescent="0.2">
      <c r="A3322">
        <v>3510</v>
      </c>
    </row>
    <row r="3323" spans="1:1" x14ac:dyDescent="0.2">
      <c r="A3323">
        <v>3511</v>
      </c>
    </row>
    <row r="3324" spans="1:1" x14ac:dyDescent="0.2">
      <c r="A3324">
        <v>3512</v>
      </c>
    </row>
    <row r="3325" spans="1:1" x14ac:dyDescent="0.2">
      <c r="A3325">
        <v>3513</v>
      </c>
    </row>
    <row r="3326" spans="1:1" x14ac:dyDescent="0.2">
      <c r="A3326">
        <v>3514</v>
      </c>
    </row>
    <row r="3327" spans="1:1" x14ac:dyDescent="0.2">
      <c r="A3327">
        <v>3515</v>
      </c>
    </row>
    <row r="3328" spans="1:1" x14ac:dyDescent="0.2">
      <c r="A3328">
        <v>3516</v>
      </c>
    </row>
    <row r="3329" spans="1:1" x14ac:dyDescent="0.2">
      <c r="A3329">
        <v>3517</v>
      </c>
    </row>
    <row r="3330" spans="1:1" x14ac:dyDescent="0.2">
      <c r="A3330">
        <v>3518</v>
      </c>
    </row>
    <row r="3331" spans="1:1" x14ac:dyDescent="0.2">
      <c r="A3331">
        <v>3519</v>
      </c>
    </row>
    <row r="3332" spans="1:1" x14ac:dyDescent="0.2">
      <c r="A3332">
        <v>3520</v>
      </c>
    </row>
    <row r="3333" spans="1:1" x14ac:dyDescent="0.2">
      <c r="A3333">
        <v>3521</v>
      </c>
    </row>
    <row r="3334" spans="1:1" x14ac:dyDescent="0.2">
      <c r="A3334">
        <v>3522</v>
      </c>
    </row>
    <row r="3335" spans="1:1" x14ac:dyDescent="0.2">
      <c r="A3335">
        <v>3523</v>
      </c>
    </row>
    <row r="3336" spans="1:1" x14ac:dyDescent="0.2">
      <c r="A3336">
        <v>3524</v>
      </c>
    </row>
    <row r="3337" spans="1:1" x14ac:dyDescent="0.2">
      <c r="A3337">
        <v>3525</v>
      </c>
    </row>
    <row r="3338" spans="1:1" x14ac:dyDescent="0.2">
      <c r="A3338">
        <v>3526</v>
      </c>
    </row>
    <row r="3339" spans="1:1" x14ac:dyDescent="0.2">
      <c r="A3339">
        <v>3527</v>
      </c>
    </row>
    <row r="3340" spans="1:1" x14ac:dyDescent="0.2">
      <c r="A3340">
        <v>3528</v>
      </c>
    </row>
    <row r="3341" spans="1:1" x14ac:dyDescent="0.2">
      <c r="A3341">
        <v>3529</v>
      </c>
    </row>
    <row r="3342" spans="1:1" x14ac:dyDescent="0.2">
      <c r="A3342">
        <v>3530</v>
      </c>
    </row>
    <row r="3343" spans="1:1" x14ac:dyDescent="0.2">
      <c r="A3343">
        <v>3531</v>
      </c>
    </row>
    <row r="3344" spans="1:1" x14ac:dyDescent="0.2">
      <c r="A3344">
        <v>3532</v>
      </c>
    </row>
    <row r="3345" spans="1:1" x14ac:dyDescent="0.2">
      <c r="A3345">
        <v>3533</v>
      </c>
    </row>
    <row r="3346" spans="1:1" x14ac:dyDescent="0.2">
      <c r="A3346">
        <v>3534</v>
      </c>
    </row>
    <row r="3347" spans="1:1" x14ac:dyDescent="0.2">
      <c r="A3347">
        <v>3535</v>
      </c>
    </row>
    <row r="3348" spans="1:1" x14ac:dyDescent="0.2">
      <c r="A3348">
        <v>3536</v>
      </c>
    </row>
    <row r="3349" spans="1:1" x14ac:dyDescent="0.2">
      <c r="A3349">
        <v>3537</v>
      </c>
    </row>
    <row r="3350" spans="1:1" x14ac:dyDescent="0.2">
      <c r="A3350">
        <v>3538</v>
      </c>
    </row>
    <row r="3351" spans="1:1" x14ac:dyDescent="0.2">
      <c r="A3351">
        <v>3539</v>
      </c>
    </row>
    <row r="3352" spans="1:1" x14ac:dyDescent="0.2">
      <c r="A3352">
        <v>3540</v>
      </c>
    </row>
    <row r="3353" spans="1:1" x14ac:dyDescent="0.2">
      <c r="A3353">
        <v>3541</v>
      </c>
    </row>
    <row r="3354" spans="1:1" x14ac:dyDescent="0.2">
      <c r="A3354">
        <v>3542</v>
      </c>
    </row>
    <row r="3355" spans="1:1" x14ac:dyDescent="0.2">
      <c r="A3355">
        <v>3543</v>
      </c>
    </row>
    <row r="3356" spans="1:1" x14ac:dyDescent="0.2">
      <c r="A3356">
        <v>3544</v>
      </c>
    </row>
    <row r="3357" spans="1:1" x14ac:dyDescent="0.2">
      <c r="A3357">
        <v>3545</v>
      </c>
    </row>
    <row r="3358" spans="1:1" x14ac:dyDescent="0.2">
      <c r="A3358">
        <v>3546</v>
      </c>
    </row>
    <row r="3359" spans="1:1" x14ac:dyDescent="0.2">
      <c r="A3359">
        <v>3547</v>
      </c>
    </row>
    <row r="3360" spans="1:1" x14ac:dyDescent="0.2">
      <c r="A3360">
        <v>3548</v>
      </c>
    </row>
    <row r="3361" spans="1:1" x14ac:dyDescent="0.2">
      <c r="A3361">
        <v>3549</v>
      </c>
    </row>
    <row r="3362" spans="1:1" x14ac:dyDescent="0.2">
      <c r="A3362">
        <v>3550</v>
      </c>
    </row>
    <row r="3363" spans="1:1" x14ac:dyDescent="0.2">
      <c r="A3363">
        <v>3551</v>
      </c>
    </row>
    <row r="3364" spans="1:1" x14ac:dyDescent="0.2">
      <c r="A3364">
        <v>3552</v>
      </c>
    </row>
    <row r="3365" spans="1:1" x14ac:dyDescent="0.2">
      <c r="A3365">
        <v>3553</v>
      </c>
    </row>
    <row r="3366" spans="1:1" x14ac:dyDescent="0.2">
      <c r="A3366">
        <v>3554</v>
      </c>
    </row>
    <row r="3367" spans="1:1" x14ac:dyDescent="0.2">
      <c r="A3367">
        <v>3555</v>
      </c>
    </row>
    <row r="3368" spans="1:1" x14ac:dyDescent="0.2">
      <c r="A3368">
        <v>3556</v>
      </c>
    </row>
    <row r="3369" spans="1:1" x14ac:dyDescent="0.2">
      <c r="A3369">
        <v>3557</v>
      </c>
    </row>
    <row r="3370" spans="1:1" x14ac:dyDescent="0.2">
      <c r="A3370">
        <v>3558</v>
      </c>
    </row>
    <row r="3371" spans="1:1" x14ac:dyDescent="0.2">
      <c r="A3371">
        <v>3559</v>
      </c>
    </row>
    <row r="3372" spans="1:1" x14ac:dyDescent="0.2">
      <c r="A3372">
        <v>3560</v>
      </c>
    </row>
    <row r="3373" spans="1:1" x14ac:dyDescent="0.2">
      <c r="A3373">
        <v>3561</v>
      </c>
    </row>
    <row r="3374" spans="1:1" x14ac:dyDescent="0.2">
      <c r="A3374">
        <v>3562</v>
      </c>
    </row>
    <row r="3375" spans="1:1" x14ac:dyDescent="0.2">
      <c r="A3375">
        <v>3563</v>
      </c>
    </row>
    <row r="3376" spans="1:1" x14ac:dyDescent="0.2">
      <c r="A3376">
        <v>3564</v>
      </c>
    </row>
    <row r="3377" spans="1:1" x14ac:dyDescent="0.2">
      <c r="A3377">
        <v>3565</v>
      </c>
    </row>
    <row r="3378" spans="1:1" x14ac:dyDescent="0.2">
      <c r="A3378">
        <v>3566</v>
      </c>
    </row>
    <row r="3379" spans="1:1" x14ac:dyDescent="0.2">
      <c r="A3379">
        <v>3567</v>
      </c>
    </row>
    <row r="3380" spans="1:1" x14ac:dyDescent="0.2">
      <c r="A3380">
        <v>3568</v>
      </c>
    </row>
    <row r="3381" spans="1:1" x14ac:dyDescent="0.2">
      <c r="A3381">
        <v>3569</v>
      </c>
    </row>
    <row r="3382" spans="1:1" x14ac:dyDescent="0.2">
      <c r="A3382">
        <v>3570</v>
      </c>
    </row>
    <row r="3383" spans="1:1" x14ac:dyDescent="0.2">
      <c r="A3383">
        <v>3571</v>
      </c>
    </row>
    <row r="3384" spans="1:1" x14ac:dyDescent="0.2">
      <c r="A3384">
        <v>3572</v>
      </c>
    </row>
    <row r="3385" spans="1:1" x14ac:dyDescent="0.2">
      <c r="A3385">
        <v>3573</v>
      </c>
    </row>
    <row r="3386" spans="1:1" x14ac:dyDescent="0.2">
      <c r="A3386">
        <v>3574</v>
      </c>
    </row>
    <row r="3387" spans="1:1" x14ac:dyDescent="0.2">
      <c r="A3387">
        <v>3575</v>
      </c>
    </row>
    <row r="3388" spans="1:1" x14ac:dyDescent="0.2">
      <c r="A3388">
        <v>3576</v>
      </c>
    </row>
    <row r="3389" spans="1:1" x14ac:dyDescent="0.2">
      <c r="A3389">
        <v>3577</v>
      </c>
    </row>
    <row r="3390" spans="1:1" x14ac:dyDescent="0.2">
      <c r="A3390">
        <v>3578</v>
      </c>
    </row>
    <row r="3391" spans="1:1" x14ac:dyDescent="0.2">
      <c r="A3391">
        <v>3579</v>
      </c>
    </row>
    <row r="3392" spans="1:1" x14ac:dyDescent="0.2">
      <c r="A3392">
        <v>3580</v>
      </c>
    </row>
    <row r="3393" spans="1:1" x14ac:dyDescent="0.2">
      <c r="A3393">
        <v>3581</v>
      </c>
    </row>
    <row r="3394" spans="1:1" x14ac:dyDescent="0.2">
      <c r="A3394">
        <v>3582</v>
      </c>
    </row>
    <row r="3395" spans="1:1" x14ac:dyDescent="0.2">
      <c r="A3395">
        <v>3583</v>
      </c>
    </row>
    <row r="3396" spans="1:1" x14ac:dyDescent="0.2">
      <c r="A3396">
        <v>3584</v>
      </c>
    </row>
    <row r="3397" spans="1:1" x14ac:dyDescent="0.2">
      <c r="A3397">
        <v>3585</v>
      </c>
    </row>
    <row r="3398" spans="1:1" x14ac:dyDescent="0.2">
      <c r="A3398">
        <v>3586</v>
      </c>
    </row>
    <row r="3399" spans="1:1" x14ac:dyDescent="0.2">
      <c r="A3399">
        <v>3587</v>
      </c>
    </row>
    <row r="3400" spans="1:1" x14ac:dyDescent="0.2">
      <c r="A3400">
        <v>3588</v>
      </c>
    </row>
    <row r="3401" spans="1:1" x14ac:dyDescent="0.2">
      <c r="A3401">
        <v>3589</v>
      </c>
    </row>
    <row r="3402" spans="1:1" x14ac:dyDescent="0.2">
      <c r="A3402">
        <v>3590</v>
      </c>
    </row>
    <row r="3403" spans="1:1" x14ac:dyDescent="0.2">
      <c r="A3403">
        <v>3591</v>
      </c>
    </row>
    <row r="3404" spans="1:1" x14ac:dyDescent="0.2">
      <c r="A3404">
        <v>3592</v>
      </c>
    </row>
    <row r="3405" spans="1:1" x14ac:dyDescent="0.2">
      <c r="A3405">
        <v>3593</v>
      </c>
    </row>
    <row r="3406" spans="1:1" x14ac:dyDescent="0.2">
      <c r="A3406">
        <v>3594</v>
      </c>
    </row>
    <row r="3407" spans="1:1" x14ac:dyDescent="0.2">
      <c r="A3407">
        <v>3595</v>
      </c>
    </row>
    <row r="3408" spans="1:1" x14ac:dyDescent="0.2">
      <c r="A3408">
        <v>3596</v>
      </c>
    </row>
    <row r="3409" spans="1:1" x14ac:dyDescent="0.2">
      <c r="A3409">
        <v>3597</v>
      </c>
    </row>
    <row r="3410" spans="1:1" x14ac:dyDescent="0.2">
      <c r="A3410">
        <v>3598</v>
      </c>
    </row>
    <row r="3411" spans="1:1" x14ac:dyDescent="0.2">
      <c r="A3411">
        <v>3599</v>
      </c>
    </row>
    <row r="3412" spans="1:1" x14ac:dyDescent="0.2">
      <c r="A3412">
        <v>3600</v>
      </c>
    </row>
    <row r="3413" spans="1:1" x14ac:dyDescent="0.2">
      <c r="A3413">
        <v>3601</v>
      </c>
    </row>
    <row r="3414" spans="1:1" x14ac:dyDescent="0.2">
      <c r="A3414">
        <v>3602</v>
      </c>
    </row>
    <row r="3415" spans="1:1" x14ac:dyDescent="0.2">
      <c r="A3415">
        <v>3603</v>
      </c>
    </row>
    <row r="3416" spans="1:1" x14ac:dyDescent="0.2">
      <c r="A3416">
        <v>3604</v>
      </c>
    </row>
    <row r="3417" spans="1:1" x14ac:dyDescent="0.2">
      <c r="A3417">
        <v>3605</v>
      </c>
    </row>
    <row r="3418" spans="1:1" x14ac:dyDescent="0.2">
      <c r="A3418">
        <v>3606</v>
      </c>
    </row>
    <row r="3419" spans="1:1" x14ac:dyDescent="0.2">
      <c r="A3419">
        <v>3607</v>
      </c>
    </row>
    <row r="3420" spans="1:1" x14ac:dyDescent="0.2">
      <c r="A3420">
        <v>3608</v>
      </c>
    </row>
    <row r="3421" spans="1:1" x14ac:dyDescent="0.2">
      <c r="A3421">
        <v>3609</v>
      </c>
    </row>
    <row r="3422" spans="1:1" x14ac:dyDescent="0.2">
      <c r="A3422">
        <v>3610</v>
      </c>
    </row>
    <row r="3423" spans="1:1" x14ac:dyDescent="0.2">
      <c r="A3423">
        <v>3611</v>
      </c>
    </row>
    <row r="3424" spans="1:1" x14ac:dyDescent="0.2">
      <c r="A3424">
        <v>3612</v>
      </c>
    </row>
    <row r="3425" spans="1:1" x14ac:dyDescent="0.2">
      <c r="A3425">
        <v>3613</v>
      </c>
    </row>
    <row r="3426" spans="1:1" x14ac:dyDescent="0.2">
      <c r="A3426">
        <v>3614</v>
      </c>
    </row>
    <row r="3427" spans="1:1" x14ac:dyDescent="0.2">
      <c r="A3427">
        <v>3615</v>
      </c>
    </row>
    <row r="3428" spans="1:1" x14ac:dyDescent="0.2">
      <c r="A3428">
        <v>3616</v>
      </c>
    </row>
    <row r="3429" spans="1:1" x14ac:dyDescent="0.2">
      <c r="A3429">
        <v>3617</v>
      </c>
    </row>
    <row r="3430" spans="1:1" x14ac:dyDescent="0.2">
      <c r="A3430">
        <v>3618</v>
      </c>
    </row>
    <row r="3431" spans="1:1" x14ac:dyDescent="0.2">
      <c r="A3431">
        <v>3619</v>
      </c>
    </row>
    <row r="3432" spans="1:1" x14ac:dyDescent="0.2">
      <c r="A3432">
        <v>3620</v>
      </c>
    </row>
    <row r="3433" spans="1:1" x14ac:dyDescent="0.2">
      <c r="A3433">
        <v>3621</v>
      </c>
    </row>
    <row r="3434" spans="1:1" x14ac:dyDescent="0.2">
      <c r="A3434">
        <v>3622</v>
      </c>
    </row>
    <row r="3435" spans="1:1" x14ac:dyDescent="0.2">
      <c r="A3435">
        <v>3623</v>
      </c>
    </row>
    <row r="3436" spans="1:1" x14ac:dyDescent="0.2">
      <c r="A3436">
        <v>3624</v>
      </c>
    </row>
    <row r="3437" spans="1:1" x14ac:dyDescent="0.2">
      <c r="A3437">
        <v>3625</v>
      </c>
    </row>
    <row r="3438" spans="1:1" x14ac:dyDescent="0.2">
      <c r="A3438">
        <v>3626</v>
      </c>
    </row>
    <row r="3439" spans="1:1" x14ac:dyDescent="0.2">
      <c r="A3439">
        <v>3627</v>
      </c>
    </row>
    <row r="3440" spans="1:1" x14ac:dyDescent="0.2">
      <c r="A3440">
        <v>3628</v>
      </c>
    </row>
    <row r="3441" spans="1:1" x14ac:dyDescent="0.2">
      <c r="A3441">
        <v>3629</v>
      </c>
    </row>
    <row r="3442" spans="1:1" x14ac:dyDescent="0.2">
      <c r="A3442">
        <v>3630</v>
      </c>
    </row>
    <row r="3443" spans="1:1" x14ac:dyDescent="0.2">
      <c r="A3443">
        <v>3631</v>
      </c>
    </row>
    <row r="3444" spans="1:1" x14ac:dyDescent="0.2">
      <c r="A3444">
        <v>3632</v>
      </c>
    </row>
    <row r="3445" spans="1:1" x14ac:dyDescent="0.2">
      <c r="A3445">
        <v>3633</v>
      </c>
    </row>
    <row r="3446" spans="1:1" x14ac:dyDescent="0.2">
      <c r="A3446">
        <v>3634</v>
      </c>
    </row>
    <row r="3447" spans="1:1" x14ac:dyDescent="0.2">
      <c r="A3447">
        <v>3635</v>
      </c>
    </row>
    <row r="3448" spans="1:1" x14ac:dyDescent="0.2">
      <c r="A3448">
        <v>3636</v>
      </c>
    </row>
    <row r="3449" spans="1:1" x14ac:dyDescent="0.2">
      <c r="A3449">
        <v>3637</v>
      </c>
    </row>
    <row r="3450" spans="1:1" x14ac:dyDescent="0.2">
      <c r="A3450">
        <v>3638</v>
      </c>
    </row>
    <row r="3451" spans="1:1" x14ac:dyDescent="0.2">
      <c r="A3451">
        <v>3639</v>
      </c>
    </row>
    <row r="3452" spans="1:1" x14ac:dyDescent="0.2">
      <c r="A3452">
        <v>3640</v>
      </c>
    </row>
    <row r="3453" spans="1:1" x14ac:dyDescent="0.2">
      <c r="A3453">
        <v>3641</v>
      </c>
    </row>
    <row r="3454" spans="1:1" x14ac:dyDescent="0.2">
      <c r="A3454">
        <v>3642</v>
      </c>
    </row>
    <row r="3455" spans="1:1" x14ac:dyDescent="0.2">
      <c r="A3455">
        <v>3643</v>
      </c>
    </row>
    <row r="3456" spans="1:1" x14ac:dyDescent="0.2">
      <c r="A3456">
        <v>3644</v>
      </c>
    </row>
    <row r="3457" spans="1:1" x14ac:dyDescent="0.2">
      <c r="A3457">
        <v>3645</v>
      </c>
    </row>
    <row r="3458" spans="1:1" x14ac:dyDescent="0.2">
      <c r="A3458">
        <v>3646</v>
      </c>
    </row>
    <row r="3459" spans="1:1" x14ac:dyDescent="0.2">
      <c r="A3459">
        <v>3647</v>
      </c>
    </row>
    <row r="3460" spans="1:1" x14ac:dyDescent="0.2">
      <c r="A3460">
        <v>3648</v>
      </c>
    </row>
    <row r="3461" spans="1:1" x14ac:dyDescent="0.2">
      <c r="A3461">
        <v>3649</v>
      </c>
    </row>
    <row r="3462" spans="1:1" x14ac:dyDescent="0.2">
      <c r="A3462">
        <v>3650</v>
      </c>
    </row>
    <row r="3463" spans="1:1" x14ac:dyDescent="0.2">
      <c r="A3463">
        <v>3651</v>
      </c>
    </row>
    <row r="3464" spans="1:1" x14ac:dyDescent="0.2">
      <c r="A3464">
        <v>3652</v>
      </c>
    </row>
    <row r="3465" spans="1:1" x14ac:dyDescent="0.2">
      <c r="A3465">
        <v>3653</v>
      </c>
    </row>
    <row r="3466" spans="1:1" x14ac:dyDescent="0.2">
      <c r="A3466">
        <v>3654</v>
      </c>
    </row>
    <row r="3467" spans="1:1" x14ac:dyDescent="0.2">
      <c r="A3467">
        <v>3655</v>
      </c>
    </row>
    <row r="3468" spans="1:1" x14ac:dyDescent="0.2">
      <c r="A3468">
        <v>3656</v>
      </c>
    </row>
    <row r="3469" spans="1:1" x14ac:dyDescent="0.2">
      <c r="A3469">
        <v>3657</v>
      </c>
    </row>
    <row r="3470" spans="1:1" x14ac:dyDescent="0.2">
      <c r="A3470">
        <v>3658</v>
      </c>
    </row>
    <row r="3471" spans="1:1" x14ac:dyDescent="0.2">
      <c r="A3471">
        <v>3659</v>
      </c>
    </row>
    <row r="3472" spans="1:1" x14ac:dyDescent="0.2">
      <c r="A3472">
        <v>3660</v>
      </c>
    </row>
    <row r="3473" spans="1:1" x14ac:dyDescent="0.2">
      <c r="A3473">
        <v>3661</v>
      </c>
    </row>
    <row r="3474" spans="1:1" x14ac:dyDescent="0.2">
      <c r="A3474">
        <v>3662</v>
      </c>
    </row>
    <row r="3475" spans="1:1" x14ac:dyDescent="0.2">
      <c r="A3475">
        <v>3663</v>
      </c>
    </row>
    <row r="3476" spans="1:1" x14ac:dyDescent="0.2">
      <c r="A3476">
        <v>3664</v>
      </c>
    </row>
    <row r="3477" spans="1:1" x14ac:dyDescent="0.2">
      <c r="A3477">
        <v>3665</v>
      </c>
    </row>
    <row r="3478" spans="1:1" x14ac:dyDescent="0.2">
      <c r="A3478">
        <v>3666</v>
      </c>
    </row>
    <row r="3479" spans="1:1" x14ac:dyDescent="0.2">
      <c r="A3479">
        <v>3667</v>
      </c>
    </row>
    <row r="3480" spans="1:1" x14ac:dyDescent="0.2">
      <c r="A3480">
        <v>3668</v>
      </c>
    </row>
    <row r="3481" spans="1:1" x14ac:dyDescent="0.2">
      <c r="A3481">
        <v>3669</v>
      </c>
    </row>
    <row r="3482" spans="1:1" x14ac:dyDescent="0.2">
      <c r="A3482">
        <v>3670</v>
      </c>
    </row>
    <row r="3483" spans="1:1" x14ac:dyDescent="0.2">
      <c r="A3483">
        <v>3671</v>
      </c>
    </row>
    <row r="3484" spans="1:1" x14ac:dyDescent="0.2">
      <c r="A3484">
        <v>3672</v>
      </c>
    </row>
    <row r="3485" spans="1:1" x14ac:dyDescent="0.2">
      <c r="A3485">
        <v>3673</v>
      </c>
    </row>
    <row r="3486" spans="1:1" x14ac:dyDescent="0.2">
      <c r="A3486">
        <v>3674</v>
      </c>
    </row>
    <row r="3487" spans="1:1" x14ac:dyDescent="0.2">
      <c r="A3487">
        <v>3675</v>
      </c>
    </row>
    <row r="3488" spans="1:1" x14ac:dyDescent="0.2">
      <c r="A3488">
        <v>3676</v>
      </c>
    </row>
    <row r="3489" spans="1:1" x14ac:dyDescent="0.2">
      <c r="A3489">
        <v>3677</v>
      </c>
    </row>
    <row r="3490" spans="1:1" x14ac:dyDescent="0.2">
      <c r="A3490">
        <v>3678</v>
      </c>
    </row>
    <row r="3491" spans="1:1" x14ac:dyDescent="0.2">
      <c r="A3491">
        <v>3679</v>
      </c>
    </row>
    <row r="3492" spans="1:1" x14ac:dyDescent="0.2">
      <c r="A3492">
        <v>3680</v>
      </c>
    </row>
    <row r="3493" spans="1:1" x14ac:dyDescent="0.2">
      <c r="A3493">
        <v>3681</v>
      </c>
    </row>
    <row r="3494" spans="1:1" x14ac:dyDescent="0.2">
      <c r="A3494">
        <v>3682</v>
      </c>
    </row>
    <row r="3495" spans="1:1" x14ac:dyDescent="0.2">
      <c r="A3495">
        <v>3683</v>
      </c>
    </row>
    <row r="3496" spans="1:1" x14ac:dyDescent="0.2">
      <c r="A3496">
        <v>3684</v>
      </c>
    </row>
    <row r="3497" spans="1:1" x14ac:dyDescent="0.2">
      <c r="A3497">
        <v>3685</v>
      </c>
    </row>
    <row r="3498" spans="1:1" x14ac:dyDescent="0.2">
      <c r="A3498">
        <v>3686</v>
      </c>
    </row>
    <row r="3499" spans="1:1" x14ac:dyDescent="0.2">
      <c r="A3499">
        <v>3687</v>
      </c>
    </row>
    <row r="3500" spans="1:1" x14ac:dyDescent="0.2">
      <c r="A3500">
        <v>3688</v>
      </c>
    </row>
    <row r="3501" spans="1:1" x14ac:dyDescent="0.2">
      <c r="A3501">
        <v>3689</v>
      </c>
    </row>
    <row r="3502" spans="1:1" x14ac:dyDescent="0.2">
      <c r="A3502">
        <v>3690</v>
      </c>
    </row>
    <row r="3503" spans="1:1" x14ac:dyDescent="0.2">
      <c r="A3503">
        <v>3691</v>
      </c>
    </row>
    <row r="3504" spans="1:1" x14ac:dyDescent="0.2">
      <c r="A3504">
        <v>3692</v>
      </c>
    </row>
    <row r="3505" spans="1:1" x14ac:dyDescent="0.2">
      <c r="A3505">
        <v>3693</v>
      </c>
    </row>
    <row r="3506" spans="1:1" x14ac:dyDescent="0.2">
      <c r="A3506">
        <v>3694</v>
      </c>
    </row>
    <row r="3507" spans="1:1" x14ac:dyDescent="0.2">
      <c r="A3507">
        <v>3695</v>
      </c>
    </row>
    <row r="3508" spans="1:1" x14ac:dyDescent="0.2">
      <c r="A3508">
        <v>3696</v>
      </c>
    </row>
    <row r="3509" spans="1:1" x14ac:dyDescent="0.2">
      <c r="A3509">
        <v>3697</v>
      </c>
    </row>
    <row r="3510" spans="1:1" x14ac:dyDescent="0.2">
      <c r="A3510">
        <v>3698</v>
      </c>
    </row>
    <row r="3511" spans="1:1" x14ac:dyDescent="0.2">
      <c r="A3511">
        <v>3699</v>
      </c>
    </row>
    <row r="3512" spans="1:1" x14ac:dyDescent="0.2">
      <c r="A3512">
        <v>3700</v>
      </c>
    </row>
    <row r="3513" spans="1:1" x14ac:dyDescent="0.2">
      <c r="A3513">
        <v>3701</v>
      </c>
    </row>
    <row r="3514" spans="1:1" x14ac:dyDescent="0.2">
      <c r="A3514">
        <v>3702</v>
      </c>
    </row>
    <row r="3515" spans="1:1" x14ac:dyDescent="0.2">
      <c r="A3515">
        <v>3703</v>
      </c>
    </row>
    <row r="3516" spans="1:1" x14ac:dyDescent="0.2">
      <c r="A3516">
        <v>3704</v>
      </c>
    </row>
    <row r="3517" spans="1:1" x14ac:dyDescent="0.2">
      <c r="A3517">
        <v>3705</v>
      </c>
    </row>
    <row r="3518" spans="1:1" x14ac:dyDescent="0.2">
      <c r="A3518">
        <v>3706</v>
      </c>
    </row>
    <row r="3519" spans="1:1" x14ac:dyDescent="0.2">
      <c r="A3519">
        <v>3707</v>
      </c>
    </row>
    <row r="3520" spans="1:1" x14ac:dyDescent="0.2">
      <c r="A3520">
        <v>3708</v>
      </c>
    </row>
    <row r="3521" spans="1:1" x14ac:dyDescent="0.2">
      <c r="A3521">
        <v>3709</v>
      </c>
    </row>
    <row r="3522" spans="1:1" x14ac:dyDescent="0.2">
      <c r="A3522">
        <v>3710</v>
      </c>
    </row>
    <row r="3523" spans="1:1" x14ac:dyDescent="0.2">
      <c r="A3523">
        <v>3711</v>
      </c>
    </row>
    <row r="3524" spans="1:1" x14ac:dyDescent="0.2">
      <c r="A3524">
        <v>3712</v>
      </c>
    </row>
    <row r="3525" spans="1:1" x14ac:dyDescent="0.2">
      <c r="A3525">
        <v>3713</v>
      </c>
    </row>
    <row r="3526" spans="1:1" x14ac:dyDescent="0.2">
      <c r="A3526">
        <v>3714</v>
      </c>
    </row>
    <row r="3527" spans="1:1" x14ac:dyDescent="0.2">
      <c r="A3527">
        <v>3715</v>
      </c>
    </row>
    <row r="3528" spans="1:1" x14ac:dyDescent="0.2">
      <c r="A3528">
        <v>3716</v>
      </c>
    </row>
    <row r="3529" spans="1:1" x14ac:dyDescent="0.2">
      <c r="A3529">
        <v>3717</v>
      </c>
    </row>
    <row r="3530" spans="1:1" x14ac:dyDescent="0.2">
      <c r="A3530">
        <v>3718</v>
      </c>
    </row>
    <row r="3531" spans="1:1" x14ac:dyDescent="0.2">
      <c r="A3531">
        <v>3719</v>
      </c>
    </row>
    <row r="3532" spans="1:1" x14ac:dyDescent="0.2">
      <c r="A3532">
        <v>3720</v>
      </c>
    </row>
    <row r="3533" spans="1:1" x14ac:dyDescent="0.2">
      <c r="A3533">
        <v>3721</v>
      </c>
    </row>
    <row r="3534" spans="1:1" x14ac:dyDescent="0.2">
      <c r="A3534">
        <v>3722</v>
      </c>
    </row>
    <row r="3535" spans="1:1" x14ac:dyDescent="0.2">
      <c r="A3535">
        <v>3723</v>
      </c>
    </row>
    <row r="3536" spans="1:1" x14ac:dyDescent="0.2">
      <c r="A3536">
        <v>3724</v>
      </c>
    </row>
    <row r="3537" spans="1:1" x14ac:dyDescent="0.2">
      <c r="A3537">
        <v>3725</v>
      </c>
    </row>
    <row r="3538" spans="1:1" x14ac:dyDescent="0.2">
      <c r="A3538">
        <v>3726</v>
      </c>
    </row>
    <row r="3539" spans="1:1" x14ac:dyDescent="0.2">
      <c r="A3539">
        <v>3727</v>
      </c>
    </row>
    <row r="3540" spans="1:1" x14ac:dyDescent="0.2">
      <c r="A3540">
        <v>3728</v>
      </c>
    </row>
    <row r="3541" spans="1:1" x14ac:dyDescent="0.2">
      <c r="A3541">
        <v>3729</v>
      </c>
    </row>
    <row r="3542" spans="1:1" x14ac:dyDescent="0.2">
      <c r="A3542">
        <v>3730</v>
      </c>
    </row>
    <row r="3543" spans="1:1" x14ac:dyDescent="0.2">
      <c r="A3543">
        <v>3731</v>
      </c>
    </row>
    <row r="3544" spans="1:1" x14ac:dyDescent="0.2">
      <c r="A3544">
        <v>3732</v>
      </c>
    </row>
    <row r="3545" spans="1:1" x14ac:dyDescent="0.2">
      <c r="A3545">
        <v>3733</v>
      </c>
    </row>
    <row r="3546" spans="1:1" x14ac:dyDescent="0.2">
      <c r="A3546">
        <v>3734</v>
      </c>
    </row>
    <row r="3547" spans="1:1" x14ac:dyDescent="0.2">
      <c r="A3547">
        <v>3735</v>
      </c>
    </row>
    <row r="3548" spans="1:1" x14ac:dyDescent="0.2">
      <c r="A3548">
        <v>3736</v>
      </c>
    </row>
    <row r="3549" spans="1:1" x14ac:dyDescent="0.2">
      <c r="A3549">
        <v>3737</v>
      </c>
    </row>
    <row r="3550" spans="1:1" x14ac:dyDescent="0.2">
      <c r="A3550">
        <v>3738</v>
      </c>
    </row>
    <row r="3551" spans="1:1" x14ac:dyDescent="0.2">
      <c r="A3551">
        <v>3739</v>
      </c>
    </row>
    <row r="3552" spans="1:1" x14ac:dyDescent="0.2">
      <c r="A3552">
        <v>3740</v>
      </c>
    </row>
    <row r="3553" spans="1:1" x14ac:dyDescent="0.2">
      <c r="A3553">
        <v>3741</v>
      </c>
    </row>
    <row r="3554" spans="1:1" x14ac:dyDescent="0.2">
      <c r="A3554">
        <v>3742</v>
      </c>
    </row>
    <row r="3555" spans="1:1" x14ac:dyDescent="0.2">
      <c r="A3555">
        <v>3743</v>
      </c>
    </row>
    <row r="3556" spans="1:1" x14ac:dyDescent="0.2">
      <c r="A3556">
        <v>3744</v>
      </c>
    </row>
    <row r="3557" spans="1:1" x14ac:dyDescent="0.2">
      <c r="A3557">
        <v>3745</v>
      </c>
    </row>
    <row r="3558" spans="1:1" x14ac:dyDescent="0.2">
      <c r="A3558">
        <v>3746</v>
      </c>
    </row>
    <row r="3559" spans="1:1" x14ac:dyDescent="0.2">
      <c r="A3559">
        <v>3747</v>
      </c>
    </row>
    <row r="3560" spans="1:1" x14ac:dyDescent="0.2">
      <c r="A3560">
        <v>3748</v>
      </c>
    </row>
    <row r="3561" spans="1:1" x14ac:dyDescent="0.2">
      <c r="A3561">
        <v>3749</v>
      </c>
    </row>
    <row r="3562" spans="1:1" x14ac:dyDescent="0.2">
      <c r="A3562">
        <v>3750</v>
      </c>
    </row>
    <row r="3563" spans="1:1" x14ac:dyDescent="0.2">
      <c r="A3563">
        <v>3751</v>
      </c>
    </row>
    <row r="3564" spans="1:1" x14ac:dyDescent="0.2">
      <c r="A3564">
        <v>3752</v>
      </c>
    </row>
    <row r="3565" spans="1:1" x14ac:dyDescent="0.2">
      <c r="A3565">
        <v>3753</v>
      </c>
    </row>
    <row r="3566" spans="1:1" x14ac:dyDescent="0.2">
      <c r="A3566">
        <v>3754</v>
      </c>
    </row>
    <row r="3567" spans="1:1" x14ac:dyDescent="0.2">
      <c r="A3567">
        <v>3755</v>
      </c>
    </row>
    <row r="3568" spans="1:1" x14ac:dyDescent="0.2">
      <c r="A3568">
        <v>3756</v>
      </c>
    </row>
    <row r="3569" spans="1:1" x14ac:dyDescent="0.2">
      <c r="A3569">
        <v>3757</v>
      </c>
    </row>
    <row r="3570" spans="1:1" x14ac:dyDescent="0.2">
      <c r="A3570">
        <v>3758</v>
      </c>
    </row>
    <row r="3571" spans="1:1" x14ac:dyDescent="0.2">
      <c r="A3571">
        <v>3759</v>
      </c>
    </row>
    <row r="3572" spans="1:1" x14ac:dyDescent="0.2">
      <c r="A3572">
        <v>3760</v>
      </c>
    </row>
    <row r="3573" spans="1:1" x14ac:dyDescent="0.2">
      <c r="A3573">
        <v>3761</v>
      </c>
    </row>
    <row r="3574" spans="1:1" x14ac:dyDescent="0.2">
      <c r="A3574">
        <v>3762</v>
      </c>
    </row>
    <row r="3575" spans="1:1" x14ac:dyDescent="0.2">
      <c r="A3575">
        <v>3763</v>
      </c>
    </row>
    <row r="3576" spans="1:1" x14ac:dyDescent="0.2">
      <c r="A3576">
        <v>3764</v>
      </c>
    </row>
    <row r="3577" spans="1:1" x14ac:dyDescent="0.2">
      <c r="A3577">
        <v>3765</v>
      </c>
    </row>
    <row r="3578" spans="1:1" x14ac:dyDescent="0.2">
      <c r="A3578">
        <v>3766</v>
      </c>
    </row>
    <row r="3579" spans="1:1" x14ac:dyDescent="0.2">
      <c r="A3579">
        <v>3767</v>
      </c>
    </row>
    <row r="3580" spans="1:1" x14ac:dyDescent="0.2">
      <c r="A3580">
        <v>3768</v>
      </c>
    </row>
    <row r="3581" spans="1:1" x14ac:dyDescent="0.2">
      <c r="A3581">
        <v>3769</v>
      </c>
    </row>
    <row r="3582" spans="1:1" x14ac:dyDescent="0.2">
      <c r="A3582">
        <v>3770</v>
      </c>
    </row>
    <row r="3583" spans="1:1" x14ac:dyDescent="0.2">
      <c r="A3583">
        <v>3771</v>
      </c>
    </row>
    <row r="3584" spans="1:1" x14ac:dyDescent="0.2">
      <c r="A3584">
        <v>3772</v>
      </c>
    </row>
    <row r="3585" spans="1:1" x14ac:dyDescent="0.2">
      <c r="A3585">
        <v>3773</v>
      </c>
    </row>
    <row r="3586" spans="1:1" x14ac:dyDescent="0.2">
      <c r="A3586">
        <v>3774</v>
      </c>
    </row>
    <row r="3587" spans="1:1" x14ac:dyDescent="0.2">
      <c r="A3587">
        <v>3775</v>
      </c>
    </row>
    <row r="3588" spans="1:1" x14ac:dyDescent="0.2">
      <c r="A3588">
        <v>3776</v>
      </c>
    </row>
    <row r="3589" spans="1:1" x14ac:dyDescent="0.2">
      <c r="A3589">
        <v>3777</v>
      </c>
    </row>
    <row r="3590" spans="1:1" x14ac:dyDescent="0.2">
      <c r="A3590">
        <v>3778</v>
      </c>
    </row>
    <row r="3591" spans="1:1" x14ac:dyDescent="0.2">
      <c r="A3591">
        <v>3779</v>
      </c>
    </row>
    <row r="3592" spans="1:1" x14ac:dyDescent="0.2">
      <c r="A3592">
        <v>3780</v>
      </c>
    </row>
    <row r="3593" spans="1:1" x14ac:dyDescent="0.2">
      <c r="A3593">
        <v>3781</v>
      </c>
    </row>
    <row r="3594" spans="1:1" x14ac:dyDescent="0.2">
      <c r="A3594">
        <v>3782</v>
      </c>
    </row>
    <row r="3595" spans="1:1" x14ac:dyDescent="0.2">
      <c r="A3595">
        <v>3783</v>
      </c>
    </row>
    <row r="3596" spans="1:1" x14ac:dyDescent="0.2">
      <c r="A3596">
        <v>3784</v>
      </c>
    </row>
    <row r="3597" spans="1:1" x14ac:dyDescent="0.2">
      <c r="A3597">
        <v>3785</v>
      </c>
    </row>
    <row r="3598" spans="1:1" x14ac:dyDescent="0.2">
      <c r="A3598">
        <v>3786</v>
      </c>
    </row>
    <row r="3599" spans="1:1" x14ac:dyDescent="0.2">
      <c r="A3599">
        <v>3787</v>
      </c>
    </row>
    <row r="3600" spans="1:1" x14ac:dyDescent="0.2">
      <c r="A3600">
        <v>3788</v>
      </c>
    </row>
    <row r="3601" spans="1:1" x14ac:dyDescent="0.2">
      <c r="A3601">
        <v>3789</v>
      </c>
    </row>
    <row r="3602" spans="1:1" x14ac:dyDescent="0.2">
      <c r="A3602">
        <v>3790</v>
      </c>
    </row>
    <row r="3603" spans="1:1" x14ac:dyDescent="0.2">
      <c r="A3603">
        <v>3791</v>
      </c>
    </row>
    <row r="3604" spans="1:1" x14ac:dyDescent="0.2">
      <c r="A3604">
        <v>3792</v>
      </c>
    </row>
    <row r="3605" spans="1:1" x14ac:dyDescent="0.2">
      <c r="A3605">
        <v>3793</v>
      </c>
    </row>
    <row r="3606" spans="1:1" x14ac:dyDescent="0.2">
      <c r="A3606">
        <v>3794</v>
      </c>
    </row>
    <row r="3607" spans="1:1" x14ac:dyDescent="0.2">
      <c r="A3607">
        <v>3795</v>
      </c>
    </row>
    <row r="3608" spans="1:1" x14ac:dyDescent="0.2">
      <c r="A3608">
        <v>3796</v>
      </c>
    </row>
    <row r="3609" spans="1:1" x14ac:dyDescent="0.2">
      <c r="A3609">
        <v>3797</v>
      </c>
    </row>
    <row r="3610" spans="1:1" x14ac:dyDescent="0.2">
      <c r="A3610">
        <v>3798</v>
      </c>
    </row>
    <row r="3611" spans="1:1" x14ac:dyDescent="0.2">
      <c r="A3611">
        <v>3799</v>
      </c>
    </row>
    <row r="3612" spans="1:1" x14ac:dyDescent="0.2">
      <c r="A3612">
        <v>3800</v>
      </c>
    </row>
    <row r="3613" spans="1:1" x14ac:dyDescent="0.2">
      <c r="A3613">
        <v>3801</v>
      </c>
    </row>
    <row r="3614" spans="1:1" x14ac:dyDescent="0.2">
      <c r="A3614">
        <v>3802</v>
      </c>
    </row>
    <row r="3615" spans="1:1" x14ac:dyDescent="0.2">
      <c r="A3615">
        <v>3803</v>
      </c>
    </row>
    <row r="3616" spans="1:1" x14ac:dyDescent="0.2">
      <c r="A3616">
        <v>3804</v>
      </c>
    </row>
    <row r="3617" spans="1:1" x14ac:dyDescent="0.2">
      <c r="A3617">
        <v>3805</v>
      </c>
    </row>
    <row r="3618" spans="1:1" x14ac:dyDescent="0.2">
      <c r="A3618">
        <v>3806</v>
      </c>
    </row>
    <row r="3619" spans="1:1" x14ac:dyDescent="0.2">
      <c r="A3619">
        <v>3807</v>
      </c>
    </row>
    <row r="3620" spans="1:1" x14ac:dyDescent="0.2">
      <c r="A3620">
        <v>3808</v>
      </c>
    </row>
    <row r="3621" spans="1:1" x14ac:dyDescent="0.2">
      <c r="A3621">
        <v>3809</v>
      </c>
    </row>
    <row r="3622" spans="1:1" x14ac:dyDescent="0.2">
      <c r="A3622">
        <v>3810</v>
      </c>
    </row>
    <row r="3623" spans="1:1" x14ac:dyDescent="0.2">
      <c r="A3623">
        <v>3811</v>
      </c>
    </row>
    <row r="3624" spans="1:1" x14ac:dyDescent="0.2">
      <c r="A3624">
        <v>3812</v>
      </c>
    </row>
    <row r="3625" spans="1:1" x14ac:dyDescent="0.2">
      <c r="A3625">
        <v>3813</v>
      </c>
    </row>
    <row r="3626" spans="1:1" x14ac:dyDescent="0.2">
      <c r="A3626">
        <v>3814</v>
      </c>
    </row>
    <row r="3627" spans="1:1" x14ac:dyDescent="0.2">
      <c r="A3627">
        <v>3815</v>
      </c>
    </row>
    <row r="3628" spans="1:1" x14ac:dyDescent="0.2">
      <c r="A3628">
        <v>3816</v>
      </c>
    </row>
    <row r="3629" spans="1:1" x14ac:dyDescent="0.2">
      <c r="A3629">
        <v>3817</v>
      </c>
    </row>
    <row r="3630" spans="1:1" x14ac:dyDescent="0.2">
      <c r="A3630">
        <v>3818</v>
      </c>
    </row>
    <row r="3631" spans="1:1" x14ac:dyDescent="0.2">
      <c r="A3631">
        <v>3819</v>
      </c>
    </row>
    <row r="3632" spans="1:1" x14ac:dyDescent="0.2">
      <c r="A3632">
        <v>3820</v>
      </c>
    </row>
    <row r="3633" spans="1:1" x14ac:dyDescent="0.2">
      <c r="A3633">
        <v>3821</v>
      </c>
    </row>
    <row r="3634" spans="1:1" x14ac:dyDescent="0.2">
      <c r="A3634">
        <v>3822</v>
      </c>
    </row>
    <row r="3635" spans="1:1" x14ac:dyDescent="0.2">
      <c r="A3635">
        <v>3823</v>
      </c>
    </row>
    <row r="3636" spans="1:1" x14ac:dyDescent="0.2">
      <c r="A3636">
        <v>3824</v>
      </c>
    </row>
    <row r="3637" spans="1:1" x14ac:dyDescent="0.2">
      <c r="A3637">
        <v>3825</v>
      </c>
    </row>
    <row r="3638" spans="1:1" x14ac:dyDescent="0.2">
      <c r="A3638">
        <v>3826</v>
      </c>
    </row>
    <row r="3639" spans="1:1" x14ac:dyDescent="0.2">
      <c r="A3639">
        <v>3827</v>
      </c>
    </row>
    <row r="3640" spans="1:1" x14ac:dyDescent="0.2">
      <c r="A3640">
        <v>3828</v>
      </c>
    </row>
    <row r="3641" spans="1:1" x14ac:dyDescent="0.2">
      <c r="A3641">
        <v>3829</v>
      </c>
    </row>
    <row r="3642" spans="1:1" x14ac:dyDescent="0.2">
      <c r="A3642">
        <v>3830</v>
      </c>
    </row>
    <row r="3643" spans="1:1" x14ac:dyDescent="0.2">
      <c r="A3643">
        <v>3831</v>
      </c>
    </row>
    <row r="3644" spans="1:1" x14ac:dyDescent="0.2">
      <c r="A3644">
        <v>3832</v>
      </c>
    </row>
    <row r="3645" spans="1:1" x14ac:dyDescent="0.2">
      <c r="A3645">
        <v>3833</v>
      </c>
    </row>
    <row r="3646" spans="1:1" x14ac:dyDescent="0.2">
      <c r="A3646">
        <v>3834</v>
      </c>
    </row>
    <row r="3647" spans="1:1" x14ac:dyDescent="0.2">
      <c r="A3647">
        <v>3835</v>
      </c>
    </row>
    <row r="3648" spans="1:1" x14ac:dyDescent="0.2">
      <c r="A3648">
        <v>3836</v>
      </c>
    </row>
    <row r="3649" spans="1:1" x14ac:dyDescent="0.2">
      <c r="A3649">
        <v>3837</v>
      </c>
    </row>
    <row r="3650" spans="1:1" x14ac:dyDescent="0.2">
      <c r="A3650">
        <v>3838</v>
      </c>
    </row>
    <row r="3651" spans="1:1" x14ac:dyDescent="0.2">
      <c r="A3651">
        <v>3839</v>
      </c>
    </row>
    <row r="3652" spans="1:1" x14ac:dyDescent="0.2">
      <c r="A3652">
        <v>3840</v>
      </c>
    </row>
    <row r="3653" spans="1:1" x14ac:dyDescent="0.2">
      <c r="A3653">
        <v>3841</v>
      </c>
    </row>
    <row r="3654" spans="1:1" x14ac:dyDescent="0.2">
      <c r="A3654">
        <v>3842</v>
      </c>
    </row>
    <row r="3655" spans="1:1" x14ac:dyDescent="0.2">
      <c r="A3655">
        <v>3843</v>
      </c>
    </row>
    <row r="3656" spans="1:1" x14ac:dyDescent="0.2">
      <c r="A3656">
        <v>3844</v>
      </c>
    </row>
    <row r="3657" spans="1:1" x14ac:dyDescent="0.2">
      <c r="A3657">
        <v>3845</v>
      </c>
    </row>
    <row r="3658" spans="1:1" x14ac:dyDescent="0.2">
      <c r="A3658">
        <v>3846</v>
      </c>
    </row>
    <row r="3659" spans="1:1" x14ac:dyDescent="0.2">
      <c r="A3659">
        <v>3847</v>
      </c>
    </row>
    <row r="3660" spans="1:1" x14ac:dyDescent="0.2">
      <c r="A3660">
        <v>3848</v>
      </c>
    </row>
    <row r="3661" spans="1:1" x14ac:dyDescent="0.2">
      <c r="A3661">
        <v>3849</v>
      </c>
    </row>
    <row r="3662" spans="1:1" x14ac:dyDescent="0.2">
      <c r="A3662">
        <v>3850</v>
      </c>
    </row>
    <row r="3663" spans="1:1" x14ac:dyDescent="0.2">
      <c r="A3663">
        <v>3851</v>
      </c>
    </row>
    <row r="3664" spans="1:1" x14ac:dyDescent="0.2">
      <c r="A3664">
        <v>3852</v>
      </c>
    </row>
    <row r="3665" spans="1:1" x14ac:dyDescent="0.2">
      <c r="A3665">
        <v>3853</v>
      </c>
    </row>
    <row r="3666" spans="1:1" x14ac:dyDescent="0.2">
      <c r="A3666">
        <v>3854</v>
      </c>
    </row>
    <row r="3667" spans="1:1" x14ac:dyDescent="0.2">
      <c r="A3667">
        <v>3855</v>
      </c>
    </row>
    <row r="3668" spans="1:1" x14ac:dyDescent="0.2">
      <c r="A3668">
        <v>3856</v>
      </c>
    </row>
    <row r="3669" spans="1:1" x14ac:dyDescent="0.2">
      <c r="A3669">
        <v>3857</v>
      </c>
    </row>
    <row r="3670" spans="1:1" x14ac:dyDescent="0.2">
      <c r="A3670">
        <v>3858</v>
      </c>
    </row>
    <row r="3671" spans="1:1" x14ac:dyDescent="0.2">
      <c r="A3671">
        <v>3859</v>
      </c>
    </row>
    <row r="3672" spans="1:1" x14ac:dyDescent="0.2">
      <c r="A3672">
        <v>3860</v>
      </c>
    </row>
    <row r="3673" spans="1:1" x14ac:dyDescent="0.2">
      <c r="A3673">
        <v>3861</v>
      </c>
    </row>
    <row r="3674" spans="1:1" x14ac:dyDescent="0.2">
      <c r="A3674">
        <v>3862</v>
      </c>
    </row>
    <row r="3675" spans="1:1" x14ac:dyDescent="0.2">
      <c r="A3675">
        <v>3863</v>
      </c>
    </row>
    <row r="3676" spans="1:1" x14ac:dyDescent="0.2">
      <c r="A3676">
        <v>3864</v>
      </c>
    </row>
    <row r="3677" spans="1:1" x14ac:dyDescent="0.2">
      <c r="A3677">
        <v>3865</v>
      </c>
    </row>
    <row r="3678" spans="1:1" x14ac:dyDescent="0.2">
      <c r="A3678">
        <v>3866</v>
      </c>
    </row>
    <row r="3679" spans="1:1" x14ac:dyDescent="0.2">
      <c r="A3679">
        <v>3867</v>
      </c>
    </row>
    <row r="3680" spans="1:1" x14ac:dyDescent="0.2">
      <c r="A3680">
        <v>3868</v>
      </c>
    </row>
    <row r="3681" spans="1:1" x14ac:dyDescent="0.2">
      <c r="A3681">
        <v>3869</v>
      </c>
    </row>
    <row r="3682" spans="1:1" x14ac:dyDescent="0.2">
      <c r="A3682">
        <v>3870</v>
      </c>
    </row>
    <row r="3683" spans="1:1" x14ac:dyDescent="0.2">
      <c r="A3683">
        <v>3871</v>
      </c>
    </row>
    <row r="3684" spans="1:1" x14ac:dyDescent="0.2">
      <c r="A3684">
        <v>3872</v>
      </c>
    </row>
    <row r="3685" spans="1:1" x14ac:dyDescent="0.2">
      <c r="A3685">
        <v>3873</v>
      </c>
    </row>
    <row r="3686" spans="1:1" x14ac:dyDescent="0.2">
      <c r="A3686">
        <v>3874</v>
      </c>
    </row>
    <row r="3687" spans="1:1" x14ac:dyDescent="0.2">
      <c r="A3687">
        <v>3875</v>
      </c>
    </row>
    <row r="3688" spans="1:1" x14ac:dyDescent="0.2">
      <c r="A3688">
        <v>3876</v>
      </c>
    </row>
    <row r="3689" spans="1:1" x14ac:dyDescent="0.2">
      <c r="A3689">
        <v>3877</v>
      </c>
    </row>
    <row r="3690" spans="1:1" x14ac:dyDescent="0.2">
      <c r="A3690">
        <v>3878</v>
      </c>
    </row>
    <row r="3691" spans="1:1" x14ac:dyDescent="0.2">
      <c r="A3691">
        <v>3879</v>
      </c>
    </row>
    <row r="3692" spans="1:1" x14ac:dyDescent="0.2">
      <c r="A3692">
        <v>3880</v>
      </c>
    </row>
    <row r="3693" spans="1:1" x14ac:dyDescent="0.2">
      <c r="A3693">
        <v>3881</v>
      </c>
    </row>
    <row r="3694" spans="1:1" x14ac:dyDescent="0.2">
      <c r="A3694">
        <v>3882</v>
      </c>
    </row>
    <row r="3695" spans="1:1" x14ac:dyDescent="0.2">
      <c r="A3695">
        <v>3883</v>
      </c>
    </row>
    <row r="3696" spans="1:1" x14ac:dyDescent="0.2">
      <c r="A3696">
        <v>3884</v>
      </c>
    </row>
    <row r="3697" spans="1:1" x14ac:dyDescent="0.2">
      <c r="A3697">
        <v>3885</v>
      </c>
    </row>
    <row r="3698" spans="1:1" x14ac:dyDescent="0.2">
      <c r="A3698">
        <v>3886</v>
      </c>
    </row>
    <row r="3699" spans="1:1" x14ac:dyDescent="0.2">
      <c r="A3699">
        <v>3887</v>
      </c>
    </row>
    <row r="3700" spans="1:1" x14ac:dyDescent="0.2">
      <c r="A3700">
        <v>3888</v>
      </c>
    </row>
    <row r="3701" spans="1:1" x14ac:dyDescent="0.2">
      <c r="A3701">
        <v>3889</v>
      </c>
    </row>
    <row r="3702" spans="1:1" x14ac:dyDescent="0.2">
      <c r="A3702">
        <v>3890</v>
      </c>
    </row>
    <row r="3703" spans="1:1" x14ac:dyDescent="0.2">
      <c r="A3703">
        <v>3891</v>
      </c>
    </row>
    <row r="3704" spans="1:1" x14ac:dyDescent="0.2">
      <c r="A3704">
        <v>3892</v>
      </c>
    </row>
    <row r="3705" spans="1:1" x14ac:dyDescent="0.2">
      <c r="A3705">
        <v>3893</v>
      </c>
    </row>
    <row r="3706" spans="1:1" x14ac:dyDescent="0.2">
      <c r="A3706">
        <v>3894</v>
      </c>
    </row>
    <row r="3707" spans="1:1" x14ac:dyDescent="0.2">
      <c r="A3707">
        <v>3895</v>
      </c>
    </row>
    <row r="3708" spans="1:1" x14ac:dyDescent="0.2">
      <c r="A3708">
        <v>3896</v>
      </c>
    </row>
    <row r="3709" spans="1:1" x14ac:dyDescent="0.2">
      <c r="A3709">
        <v>3897</v>
      </c>
    </row>
    <row r="3710" spans="1:1" x14ac:dyDescent="0.2">
      <c r="A3710">
        <v>3898</v>
      </c>
    </row>
    <row r="3711" spans="1:1" x14ac:dyDescent="0.2">
      <c r="A3711">
        <v>3899</v>
      </c>
    </row>
    <row r="3712" spans="1:1" x14ac:dyDescent="0.2">
      <c r="A3712">
        <v>3900</v>
      </c>
    </row>
    <row r="3713" spans="1:1" x14ac:dyDescent="0.2">
      <c r="A3713">
        <v>3901</v>
      </c>
    </row>
    <row r="3714" spans="1:1" x14ac:dyDescent="0.2">
      <c r="A3714">
        <v>3902</v>
      </c>
    </row>
    <row r="3715" spans="1:1" x14ac:dyDescent="0.2">
      <c r="A3715">
        <v>3903</v>
      </c>
    </row>
    <row r="3716" spans="1:1" x14ac:dyDescent="0.2">
      <c r="A3716">
        <v>3904</v>
      </c>
    </row>
    <row r="3717" spans="1:1" x14ac:dyDescent="0.2">
      <c r="A3717">
        <v>3905</v>
      </c>
    </row>
    <row r="3718" spans="1:1" x14ac:dyDescent="0.2">
      <c r="A3718">
        <v>3906</v>
      </c>
    </row>
    <row r="3719" spans="1:1" x14ac:dyDescent="0.2">
      <c r="A3719">
        <v>3907</v>
      </c>
    </row>
    <row r="3720" spans="1:1" x14ac:dyDescent="0.2">
      <c r="A3720">
        <v>3908</v>
      </c>
    </row>
    <row r="3721" spans="1:1" x14ac:dyDescent="0.2">
      <c r="A3721">
        <v>3909</v>
      </c>
    </row>
    <row r="3722" spans="1:1" x14ac:dyDescent="0.2">
      <c r="A3722">
        <v>3910</v>
      </c>
    </row>
    <row r="3723" spans="1:1" x14ac:dyDescent="0.2">
      <c r="A3723">
        <v>3911</v>
      </c>
    </row>
    <row r="3724" spans="1:1" x14ac:dyDescent="0.2">
      <c r="A3724">
        <v>3912</v>
      </c>
    </row>
    <row r="3725" spans="1:1" x14ac:dyDescent="0.2">
      <c r="A3725">
        <v>3913</v>
      </c>
    </row>
    <row r="3726" spans="1:1" x14ac:dyDescent="0.2">
      <c r="A3726">
        <v>3914</v>
      </c>
    </row>
    <row r="3727" spans="1:1" x14ac:dyDescent="0.2">
      <c r="A3727">
        <v>3915</v>
      </c>
    </row>
    <row r="3728" spans="1:1" x14ac:dyDescent="0.2">
      <c r="A3728">
        <v>3916</v>
      </c>
    </row>
    <row r="3729" spans="1:1" x14ac:dyDescent="0.2">
      <c r="A3729">
        <v>3917</v>
      </c>
    </row>
    <row r="3730" spans="1:1" x14ac:dyDescent="0.2">
      <c r="A3730">
        <v>3918</v>
      </c>
    </row>
    <row r="3731" spans="1:1" x14ac:dyDescent="0.2">
      <c r="A3731">
        <v>3919</v>
      </c>
    </row>
    <row r="3732" spans="1:1" x14ac:dyDescent="0.2">
      <c r="A3732">
        <v>3920</v>
      </c>
    </row>
    <row r="3733" spans="1:1" x14ac:dyDescent="0.2">
      <c r="A3733">
        <v>3921</v>
      </c>
    </row>
    <row r="3734" spans="1:1" x14ac:dyDescent="0.2">
      <c r="A3734">
        <v>3922</v>
      </c>
    </row>
    <row r="3735" spans="1:1" x14ac:dyDescent="0.2">
      <c r="A3735">
        <v>3923</v>
      </c>
    </row>
    <row r="3736" spans="1:1" x14ac:dyDescent="0.2">
      <c r="A3736">
        <v>3924</v>
      </c>
    </row>
    <row r="3737" spans="1:1" x14ac:dyDescent="0.2">
      <c r="A3737">
        <v>3925</v>
      </c>
    </row>
    <row r="3738" spans="1:1" x14ac:dyDescent="0.2">
      <c r="A3738">
        <v>3926</v>
      </c>
    </row>
    <row r="3739" spans="1:1" x14ac:dyDescent="0.2">
      <c r="A3739">
        <v>3927</v>
      </c>
    </row>
    <row r="3740" spans="1:1" x14ac:dyDescent="0.2">
      <c r="A3740">
        <v>3928</v>
      </c>
    </row>
    <row r="3741" spans="1:1" x14ac:dyDescent="0.2">
      <c r="A3741">
        <v>3929</v>
      </c>
    </row>
    <row r="3742" spans="1:1" x14ac:dyDescent="0.2">
      <c r="A3742">
        <v>3930</v>
      </c>
    </row>
    <row r="3743" spans="1:1" x14ac:dyDescent="0.2">
      <c r="A3743">
        <v>3931</v>
      </c>
    </row>
    <row r="3744" spans="1:1" x14ac:dyDescent="0.2">
      <c r="A3744">
        <v>3932</v>
      </c>
    </row>
    <row r="3745" spans="1:1" x14ac:dyDescent="0.2">
      <c r="A3745">
        <v>3933</v>
      </c>
    </row>
    <row r="3746" spans="1:1" x14ac:dyDescent="0.2">
      <c r="A3746">
        <v>3934</v>
      </c>
    </row>
    <row r="3747" spans="1:1" x14ac:dyDescent="0.2">
      <c r="A3747">
        <v>3935</v>
      </c>
    </row>
    <row r="3748" spans="1:1" x14ac:dyDescent="0.2">
      <c r="A3748">
        <v>3936</v>
      </c>
    </row>
    <row r="3749" spans="1:1" x14ac:dyDescent="0.2">
      <c r="A3749">
        <v>3937</v>
      </c>
    </row>
    <row r="3750" spans="1:1" x14ac:dyDescent="0.2">
      <c r="A3750">
        <v>3938</v>
      </c>
    </row>
    <row r="3751" spans="1:1" x14ac:dyDescent="0.2">
      <c r="A3751">
        <v>3939</v>
      </c>
    </row>
    <row r="3752" spans="1:1" x14ac:dyDescent="0.2">
      <c r="A3752">
        <v>3940</v>
      </c>
    </row>
    <row r="3753" spans="1:1" x14ac:dyDescent="0.2">
      <c r="A3753">
        <v>3941</v>
      </c>
    </row>
    <row r="3754" spans="1:1" x14ac:dyDescent="0.2">
      <c r="A3754">
        <v>3942</v>
      </c>
    </row>
    <row r="3755" spans="1:1" x14ac:dyDescent="0.2">
      <c r="A3755">
        <v>3943</v>
      </c>
    </row>
    <row r="3756" spans="1:1" x14ac:dyDescent="0.2">
      <c r="A3756">
        <v>3944</v>
      </c>
    </row>
    <row r="3757" spans="1:1" x14ac:dyDescent="0.2">
      <c r="A3757">
        <v>3945</v>
      </c>
    </row>
    <row r="3758" spans="1:1" x14ac:dyDescent="0.2">
      <c r="A3758">
        <v>3946</v>
      </c>
    </row>
    <row r="3759" spans="1:1" x14ac:dyDescent="0.2">
      <c r="A3759">
        <v>3947</v>
      </c>
    </row>
    <row r="3760" spans="1:1" x14ac:dyDescent="0.2">
      <c r="A3760">
        <v>3948</v>
      </c>
    </row>
    <row r="3761" spans="1:1" x14ac:dyDescent="0.2">
      <c r="A3761">
        <v>3949</v>
      </c>
    </row>
    <row r="3762" spans="1:1" x14ac:dyDescent="0.2">
      <c r="A3762">
        <v>3950</v>
      </c>
    </row>
    <row r="3763" spans="1:1" x14ac:dyDescent="0.2">
      <c r="A3763">
        <v>3951</v>
      </c>
    </row>
    <row r="3764" spans="1:1" x14ac:dyDescent="0.2">
      <c r="A3764">
        <v>3952</v>
      </c>
    </row>
    <row r="3765" spans="1:1" x14ac:dyDescent="0.2">
      <c r="A3765">
        <v>3953</v>
      </c>
    </row>
    <row r="3766" spans="1:1" x14ac:dyDescent="0.2">
      <c r="A3766">
        <v>3954</v>
      </c>
    </row>
    <row r="3767" spans="1:1" x14ac:dyDescent="0.2">
      <c r="A3767">
        <v>3955</v>
      </c>
    </row>
    <row r="3768" spans="1:1" x14ac:dyDescent="0.2">
      <c r="A3768">
        <v>3956</v>
      </c>
    </row>
    <row r="3769" spans="1:1" x14ac:dyDescent="0.2">
      <c r="A3769">
        <v>3957</v>
      </c>
    </row>
    <row r="3770" spans="1:1" x14ac:dyDescent="0.2">
      <c r="A3770">
        <v>3958</v>
      </c>
    </row>
    <row r="3771" spans="1:1" x14ac:dyDescent="0.2">
      <c r="A3771">
        <v>3959</v>
      </c>
    </row>
    <row r="3772" spans="1:1" x14ac:dyDescent="0.2">
      <c r="A3772">
        <v>3960</v>
      </c>
    </row>
    <row r="3773" spans="1:1" x14ac:dyDescent="0.2">
      <c r="A3773">
        <v>3961</v>
      </c>
    </row>
    <row r="3774" spans="1:1" x14ac:dyDescent="0.2">
      <c r="A3774">
        <v>3962</v>
      </c>
    </row>
    <row r="3775" spans="1:1" x14ac:dyDescent="0.2">
      <c r="A3775">
        <v>3963</v>
      </c>
    </row>
    <row r="3776" spans="1:1" x14ac:dyDescent="0.2">
      <c r="A3776">
        <v>3964</v>
      </c>
    </row>
    <row r="3777" spans="1:1" x14ac:dyDescent="0.2">
      <c r="A3777">
        <v>3965</v>
      </c>
    </row>
    <row r="3778" spans="1:1" x14ac:dyDescent="0.2">
      <c r="A3778">
        <v>3966</v>
      </c>
    </row>
    <row r="3779" spans="1:1" x14ac:dyDescent="0.2">
      <c r="A3779">
        <v>3967</v>
      </c>
    </row>
    <row r="3780" spans="1:1" x14ac:dyDescent="0.2">
      <c r="A3780">
        <v>3968</v>
      </c>
    </row>
    <row r="3781" spans="1:1" x14ac:dyDescent="0.2">
      <c r="A3781">
        <v>3969</v>
      </c>
    </row>
    <row r="3782" spans="1:1" x14ac:dyDescent="0.2">
      <c r="A3782">
        <v>3970</v>
      </c>
    </row>
    <row r="3783" spans="1:1" x14ac:dyDescent="0.2">
      <c r="A3783">
        <v>3971</v>
      </c>
    </row>
    <row r="3784" spans="1:1" x14ac:dyDescent="0.2">
      <c r="A3784">
        <v>3972</v>
      </c>
    </row>
    <row r="3785" spans="1:1" x14ac:dyDescent="0.2">
      <c r="A3785">
        <v>3973</v>
      </c>
    </row>
    <row r="3786" spans="1:1" x14ac:dyDescent="0.2">
      <c r="A3786">
        <v>3974</v>
      </c>
    </row>
    <row r="3787" spans="1:1" x14ac:dyDescent="0.2">
      <c r="A3787">
        <v>3975</v>
      </c>
    </row>
    <row r="3788" spans="1:1" x14ac:dyDescent="0.2">
      <c r="A3788">
        <v>3976</v>
      </c>
    </row>
    <row r="3789" spans="1:1" x14ac:dyDescent="0.2">
      <c r="A3789">
        <v>3977</v>
      </c>
    </row>
    <row r="3790" spans="1:1" x14ac:dyDescent="0.2">
      <c r="A3790">
        <v>3978</v>
      </c>
    </row>
    <row r="3791" spans="1:1" x14ac:dyDescent="0.2">
      <c r="A3791">
        <v>3979</v>
      </c>
    </row>
    <row r="3792" spans="1:1" x14ac:dyDescent="0.2">
      <c r="A3792">
        <v>3980</v>
      </c>
    </row>
    <row r="3793" spans="1:1" x14ac:dyDescent="0.2">
      <c r="A3793">
        <v>3981</v>
      </c>
    </row>
    <row r="3794" spans="1:1" x14ac:dyDescent="0.2">
      <c r="A3794">
        <v>3982</v>
      </c>
    </row>
    <row r="3795" spans="1:1" x14ac:dyDescent="0.2">
      <c r="A3795">
        <v>3983</v>
      </c>
    </row>
    <row r="3796" spans="1:1" x14ac:dyDescent="0.2">
      <c r="A3796">
        <v>3984</v>
      </c>
    </row>
    <row r="3797" spans="1:1" x14ac:dyDescent="0.2">
      <c r="A3797">
        <v>3985</v>
      </c>
    </row>
    <row r="3798" spans="1:1" x14ac:dyDescent="0.2">
      <c r="A3798">
        <v>3986</v>
      </c>
    </row>
    <row r="3799" spans="1:1" x14ac:dyDescent="0.2">
      <c r="A3799">
        <v>3987</v>
      </c>
    </row>
    <row r="3800" spans="1:1" x14ac:dyDescent="0.2">
      <c r="A3800">
        <v>3988</v>
      </c>
    </row>
    <row r="3801" spans="1:1" x14ac:dyDescent="0.2">
      <c r="A3801">
        <v>3989</v>
      </c>
    </row>
    <row r="3802" spans="1:1" x14ac:dyDescent="0.2">
      <c r="A3802">
        <v>3990</v>
      </c>
    </row>
    <row r="3803" spans="1:1" x14ac:dyDescent="0.2">
      <c r="A3803">
        <v>3991</v>
      </c>
    </row>
    <row r="3804" spans="1:1" x14ac:dyDescent="0.2">
      <c r="A3804">
        <v>3992</v>
      </c>
    </row>
    <row r="3805" spans="1:1" x14ac:dyDescent="0.2">
      <c r="A3805">
        <v>3993</v>
      </c>
    </row>
    <row r="3806" spans="1:1" x14ac:dyDescent="0.2">
      <c r="A3806">
        <v>3994</v>
      </c>
    </row>
    <row r="3807" spans="1:1" x14ac:dyDescent="0.2">
      <c r="A3807">
        <v>3995</v>
      </c>
    </row>
    <row r="3808" spans="1:1" x14ac:dyDescent="0.2">
      <c r="A3808">
        <v>3996</v>
      </c>
    </row>
    <row r="3809" spans="1:1" x14ac:dyDescent="0.2">
      <c r="A3809">
        <v>3997</v>
      </c>
    </row>
    <row r="3810" spans="1:1" x14ac:dyDescent="0.2">
      <c r="A3810">
        <v>3998</v>
      </c>
    </row>
    <row r="3811" spans="1:1" x14ac:dyDescent="0.2">
      <c r="A3811">
        <v>3999</v>
      </c>
    </row>
    <row r="3812" spans="1:1" x14ac:dyDescent="0.2">
      <c r="A3812">
        <v>4000</v>
      </c>
    </row>
    <row r="3813" spans="1:1" x14ac:dyDescent="0.2">
      <c r="A3813">
        <v>4001</v>
      </c>
    </row>
    <row r="3814" spans="1:1" x14ac:dyDescent="0.2">
      <c r="A3814">
        <v>4002</v>
      </c>
    </row>
    <row r="3815" spans="1:1" x14ac:dyDescent="0.2">
      <c r="A3815">
        <v>4003</v>
      </c>
    </row>
    <row r="3816" spans="1:1" x14ac:dyDescent="0.2">
      <c r="A3816">
        <v>4004</v>
      </c>
    </row>
    <row r="3817" spans="1:1" x14ac:dyDescent="0.2">
      <c r="A3817">
        <v>4005</v>
      </c>
    </row>
    <row r="3818" spans="1:1" x14ac:dyDescent="0.2">
      <c r="A3818">
        <v>4006</v>
      </c>
    </row>
    <row r="3819" spans="1:1" x14ac:dyDescent="0.2">
      <c r="A3819">
        <v>4007</v>
      </c>
    </row>
    <row r="3820" spans="1:1" x14ac:dyDescent="0.2">
      <c r="A3820">
        <v>4008</v>
      </c>
    </row>
    <row r="3821" spans="1:1" x14ac:dyDescent="0.2">
      <c r="A3821">
        <v>4009</v>
      </c>
    </row>
    <row r="3822" spans="1:1" x14ac:dyDescent="0.2">
      <c r="A3822">
        <v>4010</v>
      </c>
    </row>
    <row r="3823" spans="1:1" x14ac:dyDescent="0.2">
      <c r="A3823">
        <v>4011</v>
      </c>
    </row>
    <row r="3824" spans="1:1" x14ac:dyDescent="0.2">
      <c r="A3824">
        <v>4012</v>
      </c>
    </row>
    <row r="3825" spans="1:1" x14ac:dyDescent="0.2">
      <c r="A3825">
        <v>4013</v>
      </c>
    </row>
    <row r="3826" spans="1:1" x14ac:dyDescent="0.2">
      <c r="A3826">
        <v>4014</v>
      </c>
    </row>
    <row r="3827" spans="1:1" x14ac:dyDescent="0.2">
      <c r="A3827">
        <v>4015</v>
      </c>
    </row>
    <row r="3828" spans="1:1" x14ac:dyDescent="0.2">
      <c r="A3828">
        <v>4016</v>
      </c>
    </row>
    <row r="3829" spans="1:1" x14ac:dyDescent="0.2">
      <c r="A3829">
        <v>4017</v>
      </c>
    </row>
    <row r="3830" spans="1:1" x14ac:dyDescent="0.2">
      <c r="A3830">
        <v>4018</v>
      </c>
    </row>
    <row r="3831" spans="1:1" x14ac:dyDescent="0.2">
      <c r="A3831">
        <v>4019</v>
      </c>
    </row>
    <row r="3832" spans="1:1" x14ac:dyDescent="0.2">
      <c r="A3832">
        <v>4020</v>
      </c>
    </row>
    <row r="3833" spans="1:1" x14ac:dyDescent="0.2">
      <c r="A3833">
        <v>4021</v>
      </c>
    </row>
    <row r="3834" spans="1:1" x14ac:dyDescent="0.2">
      <c r="A3834">
        <v>4022</v>
      </c>
    </row>
    <row r="3835" spans="1:1" x14ac:dyDescent="0.2">
      <c r="A3835">
        <v>4023</v>
      </c>
    </row>
    <row r="3836" spans="1:1" x14ac:dyDescent="0.2">
      <c r="A3836">
        <v>4024</v>
      </c>
    </row>
    <row r="3837" spans="1:1" x14ac:dyDescent="0.2">
      <c r="A3837">
        <v>4025</v>
      </c>
    </row>
    <row r="3838" spans="1:1" x14ac:dyDescent="0.2">
      <c r="A3838">
        <v>4026</v>
      </c>
    </row>
    <row r="3839" spans="1:1" x14ac:dyDescent="0.2">
      <c r="A3839">
        <v>4027</v>
      </c>
    </row>
    <row r="3840" spans="1:1" x14ac:dyDescent="0.2">
      <c r="A3840">
        <v>4028</v>
      </c>
    </row>
    <row r="3841" spans="1:1" x14ac:dyDescent="0.2">
      <c r="A3841">
        <v>4029</v>
      </c>
    </row>
    <row r="3842" spans="1:1" x14ac:dyDescent="0.2">
      <c r="A3842">
        <v>4030</v>
      </c>
    </row>
    <row r="3843" spans="1:1" x14ac:dyDescent="0.2">
      <c r="A3843">
        <v>4031</v>
      </c>
    </row>
    <row r="3844" spans="1:1" x14ac:dyDescent="0.2">
      <c r="A3844">
        <v>4032</v>
      </c>
    </row>
    <row r="3845" spans="1:1" x14ac:dyDescent="0.2">
      <c r="A3845">
        <v>4033</v>
      </c>
    </row>
    <row r="3846" spans="1:1" x14ac:dyDescent="0.2">
      <c r="A3846">
        <v>4034</v>
      </c>
    </row>
    <row r="3847" spans="1:1" x14ac:dyDescent="0.2">
      <c r="A3847">
        <v>4035</v>
      </c>
    </row>
    <row r="3848" spans="1:1" x14ac:dyDescent="0.2">
      <c r="A3848">
        <v>4036</v>
      </c>
    </row>
    <row r="3849" spans="1:1" x14ac:dyDescent="0.2">
      <c r="A3849">
        <v>4037</v>
      </c>
    </row>
    <row r="3850" spans="1:1" x14ac:dyDescent="0.2">
      <c r="A3850">
        <v>4038</v>
      </c>
    </row>
    <row r="3851" spans="1:1" x14ac:dyDescent="0.2">
      <c r="A3851">
        <v>4039</v>
      </c>
    </row>
    <row r="3852" spans="1:1" x14ac:dyDescent="0.2">
      <c r="A3852">
        <v>4040</v>
      </c>
    </row>
    <row r="3853" spans="1:1" x14ac:dyDescent="0.2">
      <c r="A3853">
        <v>4041</v>
      </c>
    </row>
    <row r="3854" spans="1:1" x14ac:dyDescent="0.2">
      <c r="A3854">
        <v>4042</v>
      </c>
    </row>
    <row r="3855" spans="1:1" x14ac:dyDescent="0.2">
      <c r="A3855">
        <v>4043</v>
      </c>
    </row>
    <row r="3856" spans="1:1" x14ac:dyDescent="0.2">
      <c r="A3856">
        <v>4044</v>
      </c>
    </row>
    <row r="3857" spans="1:1" x14ac:dyDescent="0.2">
      <c r="A3857">
        <v>4045</v>
      </c>
    </row>
    <row r="3858" spans="1:1" x14ac:dyDescent="0.2">
      <c r="A3858">
        <v>4046</v>
      </c>
    </row>
    <row r="3859" spans="1:1" x14ac:dyDescent="0.2">
      <c r="A3859">
        <v>4047</v>
      </c>
    </row>
    <row r="3860" spans="1:1" x14ac:dyDescent="0.2">
      <c r="A3860">
        <v>4048</v>
      </c>
    </row>
    <row r="3861" spans="1:1" x14ac:dyDescent="0.2">
      <c r="A3861">
        <v>4049</v>
      </c>
    </row>
    <row r="3862" spans="1:1" x14ac:dyDescent="0.2">
      <c r="A3862">
        <v>4050</v>
      </c>
    </row>
    <row r="3863" spans="1:1" x14ac:dyDescent="0.2">
      <c r="A3863">
        <v>4051</v>
      </c>
    </row>
    <row r="3864" spans="1:1" x14ac:dyDescent="0.2">
      <c r="A3864">
        <v>4052</v>
      </c>
    </row>
    <row r="3865" spans="1:1" x14ac:dyDescent="0.2">
      <c r="A3865">
        <v>4053</v>
      </c>
    </row>
    <row r="3866" spans="1:1" x14ac:dyDescent="0.2">
      <c r="A3866">
        <v>4054</v>
      </c>
    </row>
    <row r="3867" spans="1:1" x14ac:dyDescent="0.2">
      <c r="A3867">
        <v>4055</v>
      </c>
    </row>
    <row r="3868" spans="1:1" x14ac:dyDescent="0.2">
      <c r="A3868">
        <v>4056</v>
      </c>
    </row>
    <row r="3869" spans="1:1" x14ac:dyDescent="0.2">
      <c r="A3869">
        <v>4057</v>
      </c>
    </row>
    <row r="3870" spans="1:1" x14ac:dyDescent="0.2">
      <c r="A3870">
        <v>4058</v>
      </c>
    </row>
    <row r="3871" spans="1:1" x14ac:dyDescent="0.2">
      <c r="A3871">
        <v>4059</v>
      </c>
    </row>
    <row r="3872" spans="1:1" x14ac:dyDescent="0.2">
      <c r="A3872">
        <v>4060</v>
      </c>
    </row>
    <row r="3873" spans="1:1" x14ac:dyDescent="0.2">
      <c r="A3873">
        <v>4061</v>
      </c>
    </row>
    <row r="3874" spans="1:1" x14ac:dyDescent="0.2">
      <c r="A3874">
        <v>4062</v>
      </c>
    </row>
    <row r="3875" spans="1:1" x14ac:dyDescent="0.2">
      <c r="A3875">
        <v>4063</v>
      </c>
    </row>
    <row r="3876" spans="1:1" x14ac:dyDescent="0.2">
      <c r="A3876">
        <v>4064</v>
      </c>
    </row>
    <row r="3877" spans="1:1" x14ac:dyDescent="0.2">
      <c r="A3877">
        <v>4065</v>
      </c>
    </row>
    <row r="3878" spans="1:1" x14ac:dyDescent="0.2">
      <c r="A3878">
        <v>4066</v>
      </c>
    </row>
    <row r="3879" spans="1:1" x14ac:dyDescent="0.2">
      <c r="A3879">
        <v>4067</v>
      </c>
    </row>
    <row r="3880" spans="1:1" x14ac:dyDescent="0.2">
      <c r="A3880">
        <v>4068</v>
      </c>
    </row>
    <row r="3881" spans="1:1" x14ac:dyDescent="0.2">
      <c r="A3881">
        <v>4069</v>
      </c>
    </row>
    <row r="3882" spans="1:1" x14ac:dyDescent="0.2">
      <c r="A3882">
        <v>4070</v>
      </c>
    </row>
    <row r="3883" spans="1:1" x14ac:dyDescent="0.2">
      <c r="A3883">
        <v>4071</v>
      </c>
    </row>
    <row r="3884" spans="1:1" x14ac:dyDescent="0.2">
      <c r="A3884">
        <v>4072</v>
      </c>
    </row>
    <row r="3885" spans="1:1" x14ac:dyDescent="0.2">
      <c r="A3885">
        <v>4073</v>
      </c>
    </row>
    <row r="3886" spans="1:1" x14ac:dyDescent="0.2">
      <c r="A3886">
        <v>4074</v>
      </c>
    </row>
    <row r="3887" spans="1:1" x14ac:dyDescent="0.2">
      <c r="A3887">
        <v>4075</v>
      </c>
    </row>
    <row r="3888" spans="1:1" x14ac:dyDescent="0.2">
      <c r="A3888">
        <v>4076</v>
      </c>
    </row>
    <row r="3889" spans="1:1" x14ac:dyDescent="0.2">
      <c r="A3889">
        <v>4077</v>
      </c>
    </row>
    <row r="3890" spans="1:1" x14ac:dyDescent="0.2">
      <c r="A3890">
        <v>4078</v>
      </c>
    </row>
    <row r="3891" spans="1:1" x14ac:dyDescent="0.2">
      <c r="A3891">
        <v>4079</v>
      </c>
    </row>
    <row r="3892" spans="1:1" x14ac:dyDescent="0.2">
      <c r="A3892">
        <v>4080</v>
      </c>
    </row>
    <row r="3893" spans="1:1" x14ac:dyDescent="0.2">
      <c r="A3893">
        <v>4081</v>
      </c>
    </row>
    <row r="3894" spans="1:1" x14ac:dyDescent="0.2">
      <c r="A3894">
        <v>4082</v>
      </c>
    </row>
    <row r="3895" spans="1:1" x14ac:dyDescent="0.2">
      <c r="A3895">
        <v>4083</v>
      </c>
    </row>
    <row r="3896" spans="1:1" x14ac:dyDescent="0.2">
      <c r="A3896">
        <v>4084</v>
      </c>
    </row>
    <row r="3897" spans="1:1" x14ac:dyDescent="0.2">
      <c r="A3897">
        <v>4085</v>
      </c>
    </row>
    <row r="3898" spans="1:1" x14ac:dyDescent="0.2">
      <c r="A3898">
        <v>4086</v>
      </c>
    </row>
    <row r="3899" spans="1:1" x14ac:dyDescent="0.2">
      <c r="A3899">
        <v>4087</v>
      </c>
    </row>
    <row r="3900" spans="1:1" x14ac:dyDescent="0.2">
      <c r="A3900">
        <v>4088</v>
      </c>
    </row>
    <row r="3901" spans="1:1" x14ac:dyDescent="0.2">
      <c r="A3901">
        <v>4089</v>
      </c>
    </row>
    <row r="3902" spans="1:1" x14ac:dyDescent="0.2">
      <c r="A3902">
        <v>4090</v>
      </c>
    </row>
    <row r="3903" spans="1:1" x14ac:dyDescent="0.2">
      <c r="A3903">
        <v>4091</v>
      </c>
    </row>
    <row r="3904" spans="1:1" x14ac:dyDescent="0.2">
      <c r="A3904">
        <v>4092</v>
      </c>
    </row>
    <row r="3905" spans="1:1" x14ac:dyDescent="0.2">
      <c r="A3905">
        <v>4093</v>
      </c>
    </row>
    <row r="3906" spans="1:1" x14ac:dyDescent="0.2">
      <c r="A3906">
        <v>4094</v>
      </c>
    </row>
    <row r="3907" spans="1:1" x14ac:dyDescent="0.2">
      <c r="A3907">
        <v>4095</v>
      </c>
    </row>
    <row r="3908" spans="1:1" x14ac:dyDescent="0.2">
      <c r="A3908">
        <v>4096</v>
      </c>
    </row>
    <row r="3909" spans="1:1" x14ac:dyDescent="0.2">
      <c r="A3909">
        <v>4097</v>
      </c>
    </row>
    <row r="3910" spans="1:1" x14ac:dyDescent="0.2">
      <c r="A3910">
        <v>4098</v>
      </c>
    </row>
    <row r="3911" spans="1:1" x14ac:dyDescent="0.2">
      <c r="A3911">
        <v>4099</v>
      </c>
    </row>
    <row r="3912" spans="1:1" x14ac:dyDescent="0.2">
      <c r="A3912">
        <v>4100</v>
      </c>
    </row>
    <row r="3913" spans="1:1" x14ac:dyDescent="0.2">
      <c r="A3913">
        <v>4101</v>
      </c>
    </row>
    <row r="3914" spans="1:1" x14ac:dyDescent="0.2">
      <c r="A3914">
        <v>4102</v>
      </c>
    </row>
    <row r="3915" spans="1:1" x14ac:dyDescent="0.2">
      <c r="A3915">
        <v>4103</v>
      </c>
    </row>
    <row r="3916" spans="1:1" x14ac:dyDescent="0.2">
      <c r="A3916">
        <v>4104</v>
      </c>
    </row>
    <row r="3917" spans="1:1" x14ac:dyDescent="0.2">
      <c r="A3917">
        <v>4105</v>
      </c>
    </row>
    <row r="3918" spans="1:1" x14ac:dyDescent="0.2">
      <c r="A3918">
        <v>4106</v>
      </c>
    </row>
    <row r="3919" spans="1:1" x14ac:dyDescent="0.2">
      <c r="A3919">
        <v>4107</v>
      </c>
    </row>
    <row r="3920" spans="1:1" x14ac:dyDescent="0.2">
      <c r="A3920">
        <v>4108</v>
      </c>
    </row>
    <row r="3921" spans="1:1" x14ac:dyDescent="0.2">
      <c r="A3921">
        <v>4109</v>
      </c>
    </row>
    <row r="3922" spans="1:1" x14ac:dyDescent="0.2">
      <c r="A3922">
        <v>4110</v>
      </c>
    </row>
    <row r="3923" spans="1:1" x14ac:dyDescent="0.2">
      <c r="A3923">
        <v>4111</v>
      </c>
    </row>
    <row r="3924" spans="1:1" x14ac:dyDescent="0.2">
      <c r="A3924">
        <v>4112</v>
      </c>
    </row>
    <row r="3925" spans="1:1" x14ac:dyDescent="0.2">
      <c r="A3925">
        <v>4113</v>
      </c>
    </row>
    <row r="3926" spans="1:1" x14ac:dyDescent="0.2">
      <c r="A3926">
        <v>4114</v>
      </c>
    </row>
    <row r="3927" spans="1:1" x14ac:dyDescent="0.2">
      <c r="A3927">
        <v>4115</v>
      </c>
    </row>
    <row r="3928" spans="1:1" x14ac:dyDescent="0.2">
      <c r="A3928">
        <v>4116</v>
      </c>
    </row>
    <row r="3929" spans="1:1" x14ac:dyDescent="0.2">
      <c r="A3929">
        <v>4117</v>
      </c>
    </row>
    <row r="3930" spans="1:1" x14ac:dyDescent="0.2">
      <c r="A3930">
        <v>4118</v>
      </c>
    </row>
    <row r="3931" spans="1:1" x14ac:dyDescent="0.2">
      <c r="A3931">
        <v>4119</v>
      </c>
    </row>
    <row r="3932" spans="1:1" x14ac:dyDescent="0.2">
      <c r="A3932">
        <v>4120</v>
      </c>
    </row>
    <row r="3933" spans="1:1" x14ac:dyDescent="0.2">
      <c r="A3933">
        <v>4121</v>
      </c>
    </row>
    <row r="3934" spans="1:1" x14ac:dyDescent="0.2">
      <c r="A3934">
        <v>4122</v>
      </c>
    </row>
    <row r="3935" spans="1:1" x14ac:dyDescent="0.2">
      <c r="A3935">
        <v>4123</v>
      </c>
    </row>
    <row r="3936" spans="1:1" x14ac:dyDescent="0.2">
      <c r="A3936">
        <v>4124</v>
      </c>
    </row>
    <row r="3937" spans="1:1" x14ac:dyDescent="0.2">
      <c r="A3937">
        <v>4125</v>
      </c>
    </row>
    <row r="3938" spans="1:1" x14ac:dyDescent="0.2">
      <c r="A3938">
        <v>4126</v>
      </c>
    </row>
    <row r="3939" spans="1:1" x14ac:dyDescent="0.2">
      <c r="A3939">
        <v>4127</v>
      </c>
    </row>
    <row r="3940" spans="1:1" x14ac:dyDescent="0.2">
      <c r="A3940">
        <v>4128</v>
      </c>
    </row>
    <row r="3941" spans="1:1" x14ac:dyDescent="0.2">
      <c r="A3941">
        <v>4129</v>
      </c>
    </row>
    <row r="3942" spans="1:1" x14ac:dyDescent="0.2">
      <c r="A3942">
        <v>4130</v>
      </c>
    </row>
    <row r="3943" spans="1:1" x14ac:dyDescent="0.2">
      <c r="A3943">
        <v>4131</v>
      </c>
    </row>
    <row r="3944" spans="1:1" x14ac:dyDescent="0.2">
      <c r="A3944">
        <v>4132</v>
      </c>
    </row>
    <row r="3945" spans="1:1" x14ac:dyDescent="0.2">
      <c r="A3945">
        <v>4133</v>
      </c>
    </row>
    <row r="3946" spans="1:1" x14ac:dyDescent="0.2">
      <c r="A3946">
        <v>4134</v>
      </c>
    </row>
    <row r="3947" spans="1:1" x14ac:dyDescent="0.2">
      <c r="A3947">
        <v>4135</v>
      </c>
    </row>
    <row r="3948" spans="1:1" x14ac:dyDescent="0.2">
      <c r="A3948">
        <v>4136</v>
      </c>
    </row>
    <row r="3949" spans="1:1" x14ac:dyDescent="0.2">
      <c r="A3949">
        <v>4137</v>
      </c>
    </row>
    <row r="3950" spans="1:1" x14ac:dyDescent="0.2">
      <c r="A3950">
        <v>4138</v>
      </c>
    </row>
    <row r="3951" spans="1:1" x14ac:dyDescent="0.2">
      <c r="A3951">
        <v>4139</v>
      </c>
    </row>
    <row r="3952" spans="1:1" x14ac:dyDescent="0.2">
      <c r="A3952">
        <v>4140</v>
      </c>
    </row>
    <row r="3953" spans="1:1" x14ac:dyDescent="0.2">
      <c r="A3953">
        <v>4141</v>
      </c>
    </row>
    <row r="3954" spans="1:1" x14ac:dyDescent="0.2">
      <c r="A3954">
        <v>4142</v>
      </c>
    </row>
    <row r="3955" spans="1:1" x14ac:dyDescent="0.2">
      <c r="A3955">
        <v>4143</v>
      </c>
    </row>
    <row r="3956" spans="1:1" x14ac:dyDescent="0.2">
      <c r="A3956">
        <v>4144</v>
      </c>
    </row>
    <row r="3957" spans="1:1" x14ac:dyDescent="0.2">
      <c r="A3957">
        <v>4145</v>
      </c>
    </row>
    <row r="3958" spans="1:1" x14ac:dyDescent="0.2">
      <c r="A3958">
        <v>4146</v>
      </c>
    </row>
    <row r="3959" spans="1:1" x14ac:dyDescent="0.2">
      <c r="A3959">
        <v>4147</v>
      </c>
    </row>
    <row r="3960" spans="1:1" x14ac:dyDescent="0.2">
      <c r="A3960">
        <v>4148</v>
      </c>
    </row>
    <row r="3961" spans="1:1" x14ac:dyDescent="0.2">
      <c r="A3961">
        <v>4149</v>
      </c>
    </row>
    <row r="3962" spans="1:1" x14ac:dyDescent="0.2">
      <c r="A3962">
        <v>4150</v>
      </c>
    </row>
    <row r="3963" spans="1:1" x14ac:dyDescent="0.2">
      <c r="A3963">
        <v>4151</v>
      </c>
    </row>
    <row r="3964" spans="1:1" x14ac:dyDescent="0.2">
      <c r="A3964">
        <v>4152</v>
      </c>
    </row>
    <row r="3965" spans="1:1" x14ac:dyDescent="0.2">
      <c r="A3965">
        <v>4153</v>
      </c>
    </row>
    <row r="3966" spans="1:1" x14ac:dyDescent="0.2">
      <c r="A3966">
        <v>4154</v>
      </c>
    </row>
    <row r="3967" spans="1:1" x14ac:dyDescent="0.2">
      <c r="A3967">
        <v>4155</v>
      </c>
    </row>
    <row r="3968" spans="1:1" x14ac:dyDescent="0.2">
      <c r="A3968">
        <v>4156</v>
      </c>
    </row>
    <row r="3969" spans="1:1" x14ac:dyDescent="0.2">
      <c r="A3969">
        <v>4157</v>
      </c>
    </row>
    <row r="3970" spans="1:1" x14ac:dyDescent="0.2">
      <c r="A3970">
        <v>4158</v>
      </c>
    </row>
    <row r="3971" spans="1:1" x14ac:dyDescent="0.2">
      <c r="A3971">
        <v>4159</v>
      </c>
    </row>
    <row r="3972" spans="1:1" x14ac:dyDescent="0.2">
      <c r="A3972">
        <v>4160</v>
      </c>
    </row>
    <row r="3973" spans="1:1" x14ac:dyDescent="0.2">
      <c r="A3973">
        <v>4161</v>
      </c>
    </row>
    <row r="3974" spans="1:1" x14ac:dyDescent="0.2">
      <c r="A3974">
        <v>4162</v>
      </c>
    </row>
    <row r="3975" spans="1:1" x14ac:dyDescent="0.2">
      <c r="A3975">
        <v>4163</v>
      </c>
    </row>
    <row r="3976" spans="1:1" x14ac:dyDescent="0.2">
      <c r="A3976">
        <v>4164</v>
      </c>
    </row>
    <row r="3977" spans="1:1" x14ac:dyDescent="0.2">
      <c r="A3977">
        <v>4165</v>
      </c>
    </row>
    <row r="3978" spans="1:1" x14ac:dyDescent="0.2">
      <c r="A3978">
        <v>4166</v>
      </c>
    </row>
    <row r="3979" spans="1:1" x14ac:dyDescent="0.2">
      <c r="A3979">
        <v>4167</v>
      </c>
    </row>
    <row r="3980" spans="1:1" x14ac:dyDescent="0.2">
      <c r="A3980">
        <v>4168</v>
      </c>
    </row>
    <row r="3981" spans="1:1" x14ac:dyDescent="0.2">
      <c r="A3981">
        <v>4169</v>
      </c>
    </row>
    <row r="3982" spans="1:1" x14ac:dyDescent="0.2">
      <c r="A3982">
        <v>4170</v>
      </c>
    </row>
    <row r="3983" spans="1:1" x14ac:dyDescent="0.2">
      <c r="A3983">
        <v>4171</v>
      </c>
    </row>
    <row r="3984" spans="1:1" x14ac:dyDescent="0.2">
      <c r="A3984">
        <v>4172</v>
      </c>
    </row>
    <row r="3985" spans="1:1" x14ac:dyDescent="0.2">
      <c r="A3985">
        <v>4173</v>
      </c>
    </row>
    <row r="3986" spans="1:1" x14ac:dyDescent="0.2">
      <c r="A3986">
        <v>4174</v>
      </c>
    </row>
    <row r="3987" spans="1:1" x14ac:dyDescent="0.2">
      <c r="A3987">
        <v>4175</v>
      </c>
    </row>
    <row r="3988" spans="1:1" x14ac:dyDescent="0.2">
      <c r="A3988">
        <v>4176</v>
      </c>
    </row>
    <row r="3989" spans="1:1" x14ac:dyDescent="0.2">
      <c r="A3989">
        <v>4177</v>
      </c>
    </row>
    <row r="3990" spans="1:1" x14ac:dyDescent="0.2">
      <c r="A3990">
        <v>4178</v>
      </c>
    </row>
    <row r="3991" spans="1:1" x14ac:dyDescent="0.2">
      <c r="A3991">
        <v>4179</v>
      </c>
    </row>
    <row r="3992" spans="1:1" x14ac:dyDescent="0.2">
      <c r="A3992">
        <v>4180</v>
      </c>
    </row>
    <row r="3993" spans="1:1" x14ac:dyDescent="0.2">
      <c r="A3993">
        <v>4181</v>
      </c>
    </row>
    <row r="3994" spans="1:1" x14ac:dyDescent="0.2">
      <c r="A3994">
        <v>4182</v>
      </c>
    </row>
    <row r="3995" spans="1:1" x14ac:dyDescent="0.2">
      <c r="A3995">
        <v>4183</v>
      </c>
    </row>
    <row r="3996" spans="1:1" x14ac:dyDescent="0.2">
      <c r="A3996">
        <v>4184</v>
      </c>
    </row>
    <row r="3997" spans="1:1" x14ac:dyDescent="0.2">
      <c r="A3997">
        <v>4185</v>
      </c>
    </row>
    <row r="3998" spans="1:1" x14ac:dyDescent="0.2">
      <c r="A3998">
        <v>4186</v>
      </c>
    </row>
    <row r="3999" spans="1:1" x14ac:dyDescent="0.2">
      <c r="A3999">
        <v>4187</v>
      </c>
    </row>
    <row r="4000" spans="1:1" x14ac:dyDescent="0.2">
      <c r="A4000">
        <v>4188</v>
      </c>
    </row>
    <row r="4001" spans="1:1" x14ac:dyDescent="0.2">
      <c r="A4001">
        <v>4189</v>
      </c>
    </row>
    <row r="4002" spans="1:1" x14ac:dyDescent="0.2">
      <c r="A4002">
        <v>4190</v>
      </c>
    </row>
    <row r="4003" spans="1:1" x14ac:dyDescent="0.2">
      <c r="A4003">
        <v>4191</v>
      </c>
    </row>
    <row r="4004" spans="1:1" x14ac:dyDescent="0.2">
      <c r="A4004">
        <v>4192</v>
      </c>
    </row>
    <row r="4005" spans="1:1" x14ac:dyDescent="0.2">
      <c r="A4005">
        <v>4193</v>
      </c>
    </row>
    <row r="4006" spans="1:1" x14ac:dyDescent="0.2">
      <c r="A4006">
        <v>4194</v>
      </c>
    </row>
    <row r="4007" spans="1:1" x14ac:dyDescent="0.2">
      <c r="A4007">
        <v>4195</v>
      </c>
    </row>
    <row r="4008" spans="1:1" x14ac:dyDescent="0.2">
      <c r="A4008">
        <v>4196</v>
      </c>
    </row>
    <row r="4009" spans="1:1" x14ac:dyDescent="0.2">
      <c r="A4009">
        <v>4197</v>
      </c>
    </row>
    <row r="4010" spans="1:1" x14ac:dyDescent="0.2">
      <c r="A4010">
        <v>4198</v>
      </c>
    </row>
    <row r="4011" spans="1:1" x14ac:dyDescent="0.2">
      <c r="A4011">
        <v>4199</v>
      </c>
    </row>
    <row r="4012" spans="1:1" x14ac:dyDescent="0.2">
      <c r="A4012">
        <v>4200</v>
      </c>
    </row>
    <row r="4013" spans="1:1" x14ac:dyDescent="0.2">
      <c r="A4013">
        <v>4201</v>
      </c>
    </row>
    <row r="4014" spans="1:1" x14ac:dyDescent="0.2">
      <c r="A4014">
        <v>4202</v>
      </c>
    </row>
    <row r="4015" spans="1:1" x14ac:dyDescent="0.2">
      <c r="A4015">
        <v>4203</v>
      </c>
    </row>
    <row r="4016" spans="1:1" x14ac:dyDescent="0.2">
      <c r="A4016">
        <v>4204</v>
      </c>
    </row>
    <row r="4017" spans="1:1" x14ac:dyDescent="0.2">
      <c r="A4017">
        <v>4205</v>
      </c>
    </row>
    <row r="4018" spans="1:1" x14ac:dyDescent="0.2">
      <c r="A4018">
        <v>4206</v>
      </c>
    </row>
    <row r="4019" spans="1:1" x14ac:dyDescent="0.2">
      <c r="A4019">
        <v>4207</v>
      </c>
    </row>
    <row r="4020" spans="1:1" x14ac:dyDescent="0.2">
      <c r="A4020">
        <v>4208</v>
      </c>
    </row>
    <row r="4021" spans="1:1" x14ac:dyDescent="0.2">
      <c r="A4021">
        <v>4209</v>
      </c>
    </row>
    <row r="4022" spans="1:1" x14ac:dyDescent="0.2">
      <c r="A4022">
        <v>4210</v>
      </c>
    </row>
    <row r="4023" spans="1:1" x14ac:dyDescent="0.2">
      <c r="A4023">
        <v>4211</v>
      </c>
    </row>
    <row r="4024" spans="1:1" x14ac:dyDescent="0.2">
      <c r="A4024">
        <v>4212</v>
      </c>
    </row>
    <row r="4025" spans="1:1" x14ac:dyDescent="0.2">
      <c r="A4025">
        <v>4213</v>
      </c>
    </row>
    <row r="4026" spans="1:1" x14ac:dyDescent="0.2">
      <c r="A4026">
        <v>4214</v>
      </c>
    </row>
    <row r="4027" spans="1:1" x14ac:dyDescent="0.2">
      <c r="A4027">
        <v>4215</v>
      </c>
    </row>
    <row r="4028" spans="1:1" x14ac:dyDescent="0.2">
      <c r="A4028">
        <v>4216</v>
      </c>
    </row>
    <row r="4029" spans="1:1" x14ac:dyDescent="0.2">
      <c r="A4029">
        <v>4217</v>
      </c>
    </row>
    <row r="4030" spans="1:1" x14ac:dyDescent="0.2">
      <c r="A4030">
        <v>4218</v>
      </c>
    </row>
    <row r="4031" spans="1:1" x14ac:dyDescent="0.2">
      <c r="A4031">
        <v>4219</v>
      </c>
    </row>
    <row r="4032" spans="1:1" x14ac:dyDescent="0.2">
      <c r="A4032">
        <v>4220</v>
      </c>
    </row>
    <row r="4033" spans="1:1" x14ac:dyDescent="0.2">
      <c r="A4033">
        <v>4221</v>
      </c>
    </row>
    <row r="4034" spans="1:1" x14ac:dyDescent="0.2">
      <c r="A4034">
        <v>4222</v>
      </c>
    </row>
    <row r="4035" spans="1:1" x14ac:dyDescent="0.2">
      <c r="A4035">
        <v>4223</v>
      </c>
    </row>
    <row r="4036" spans="1:1" x14ac:dyDescent="0.2">
      <c r="A4036">
        <v>4224</v>
      </c>
    </row>
    <row r="4037" spans="1:1" x14ac:dyDescent="0.2">
      <c r="A4037">
        <v>4225</v>
      </c>
    </row>
    <row r="4038" spans="1:1" x14ac:dyDescent="0.2">
      <c r="A4038">
        <v>4226</v>
      </c>
    </row>
    <row r="4039" spans="1:1" x14ac:dyDescent="0.2">
      <c r="A4039">
        <v>4227</v>
      </c>
    </row>
    <row r="4040" spans="1:1" x14ac:dyDescent="0.2">
      <c r="A4040">
        <v>4228</v>
      </c>
    </row>
    <row r="4041" spans="1:1" x14ac:dyDescent="0.2">
      <c r="A4041">
        <v>4229</v>
      </c>
    </row>
    <row r="4042" spans="1:1" x14ac:dyDescent="0.2">
      <c r="A4042">
        <v>4230</v>
      </c>
    </row>
    <row r="4043" spans="1:1" x14ac:dyDescent="0.2">
      <c r="A4043">
        <v>4231</v>
      </c>
    </row>
    <row r="4044" spans="1:1" x14ac:dyDescent="0.2">
      <c r="A4044">
        <v>4232</v>
      </c>
    </row>
    <row r="4045" spans="1:1" x14ac:dyDescent="0.2">
      <c r="A4045">
        <v>4233</v>
      </c>
    </row>
    <row r="4046" spans="1:1" x14ac:dyDescent="0.2">
      <c r="A4046">
        <v>4234</v>
      </c>
    </row>
    <row r="4047" spans="1:1" x14ac:dyDescent="0.2">
      <c r="A4047">
        <v>4235</v>
      </c>
    </row>
    <row r="4048" spans="1:1" x14ac:dyDescent="0.2">
      <c r="A4048">
        <v>4236</v>
      </c>
    </row>
    <row r="4049" spans="1:1" x14ac:dyDescent="0.2">
      <c r="A4049">
        <v>4237</v>
      </c>
    </row>
    <row r="4050" spans="1:1" x14ac:dyDescent="0.2">
      <c r="A4050">
        <v>4238</v>
      </c>
    </row>
    <row r="4051" spans="1:1" x14ac:dyDescent="0.2">
      <c r="A4051">
        <v>4239</v>
      </c>
    </row>
    <row r="4052" spans="1:1" x14ac:dyDescent="0.2">
      <c r="A4052">
        <v>4240</v>
      </c>
    </row>
    <row r="4053" spans="1:1" x14ac:dyDescent="0.2">
      <c r="A4053">
        <v>4241</v>
      </c>
    </row>
    <row r="4054" spans="1:1" x14ac:dyDescent="0.2">
      <c r="A4054">
        <v>4242</v>
      </c>
    </row>
    <row r="4055" spans="1:1" x14ac:dyDescent="0.2">
      <c r="A4055">
        <v>4243</v>
      </c>
    </row>
    <row r="4056" spans="1:1" x14ac:dyDescent="0.2">
      <c r="A4056">
        <v>4244</v>
      </c>
    </row>
    <row r="4057" spans="1:1" x14ac:dyDescent="0.2">
      <c r="A4057">
        <v>4245</v>
      </c>
    </row>
    <row r="4058" spans="1:1" x14ac:dyDescent="0.2">
      <c r="A4058">
        <v>4246</v>
      </c>
    </row>
    <row r="4059" spans="1:1" x14ac:dyDescent="0.2">
      <c r="A4059">
        <v>4247</v>
      </c>
    </row>
    <row r="4060" spans="1:1" x14ac:dyDescent="0.2">
      <c r="A4060">
        <v>4248</v>
      </c>
    </row>
    <row r="4061" spans="1:1" x14ac:dyDescent="0.2">
      <c r="A4061">
        <v>4249</v>
      </c>
    </row>
    <row r="4062" spans="1:1" x14ac:dyDescent="0.2">
      <c r="A4062">
        <v>4250</v>
      </c>
    </row>
    <row r="4063" spans="1:1" x14ac:dyDescent="0.2">
      <c r="A4063">
        <v>4251</v>
      </c>
    </row>
    <row r="4064" spans="1:1" x14ac:dyDescent="0.2">
      <c r="A4064">
        <v>4252</v>
      </c>
    </row>
    <row r="4065" spans="1:1" x14ac:dyDescent="0.2">
      <c r="A4065">
        <v>4253</v>
      </c>
    </row>
    <row r="4066" spans="1:1" x14ac:dyDescent="0.2">
      <c r="A4066">
        <v>4254</v>
      </c>
    </row>
    <row r="4067" spans="1:1" x14ac:dyDescent="0.2">
      <c r="A4067">
        <v>4255</v>
      </c>
    </row>
    <row r="4068" spans="1:1" x14ac:dyDescent="0.2">
      <c r="A4068">
        <v>4256</v>
      </c>
    </row>
    <row r="4069" spans="1:1" x14ac:dyDescent="0.2">
      <c r="A4069">
        <v>4257</v>
      </c>
    </row>
    <row r="4070" spans="1:1" x14ac:dyDescent="0.2">
      <c r="A4070">
        <v>4258</v>
      </c>
    </row>
    <row r="4071" spans="1:1" x14ac:dyDescent="0.2">
      <c r="A4071">
        <v>4259</v>
      </c>
    </row>
    <row r="4072" spans="1:1" x14ac:dyDescent="0.2">
      <c r="A4072">
        <v>4260</v>
      </c>
    </row>
    <row r="4073" spans="1:1" x14ac:dyDescent="0.2">
      <c r="A4073">
        <v>4261</v>
      </c>
    </row>
    <row r="4074" spans="1:1" x14ac:dyDescent="0.2">
      <c r="A4074">
        <v>4262</v>
      </c>
    </row>
    <row r="4075" spans="1:1" x14ac:dyDescent="0.2">
      <c r="A4075">
        <v>4263</v>
      </c>
    </row>
    <row r="4076" spans="1:1" x14ac:dyDescent="0.2">
      <c r="A4076">
        <v>4264</v>
      </c>
    </row>
    <row r="4077" spans="1:1" x14ac:dyDescent="0.2">
      <c r="A4077">
        <v>4265</v>
      </c>
    </row>
    <row r="4078" spans="1:1" x14ac:dyDescent="0.2">
      <c r="A4078">
        <v>4266</v>
      </c>
    </row>
    <row r="4079" spans="1:1" x14ac:dyDescent="0.2">
      <c r="A4079">
        <v>4267</v>
      </c>
    </row>
    <row r="4080" spans="1:1" x14ac:dyDescent="0.2">
      <c r="A4080">
        <v>4268</v>
      </c>
    </row>
    <row r="4081" spans="1:1" x14ac:dyDescent="0.2">
      <c r="A4081">
        <v>4269</v>
      </c>
    </row>
    <row r="4082" spans="1:1" x14ac:dyDescent="0.2">
      <c r="A4082">
        <v>4270</v>
      </c>
    </row>
    <row r="4083" spans="1:1" x14ac:dyDescent="0.2">
      <c r="A4083">
        <v>4271</v>
      </c>
    </row>
    <row r="4084" spans="1:1" x14ac:dyDescent="0.2">
      <c r="A4084">
        <v>4272</v>
      </c>
    </row>
    <row r="4085" spans="1:1" x14ac:dyDescent="0.2">
      <c r="A4085">
        <v>4273</v>
      </c>
    </row>
    <row r="4086" spans="1:1" x14ac:dyDescent="0.2">
      <c r="A4086">
        <v>4274</v>
      </c>
    </row>
    <row r="4087" spans="1:1" x14ac:dyDescent="0.2">
      <c r="A4087">
        <v>4275</v>
      </c>
    </row>
    <row r="4088" spans="1:1" x14ac:dyDescent="0.2">
      <c r="A4088">
        <v>4276</v>
      </c>
    </row>
    <row r="4089" spans="1:1" x14ac:dyDescent="0.2">
      <c r="A4089">
        <v>4277</v>
      </c>
    </row>
    <row r="4090" spans="1:1" x14ac:dyDescent="0.2">
      <c r="A4090">
        <v>4278</v>
      </c>
    </row>
    <row r="4091" spans="1:1" x14ac:dyDescent="0.2">
      <c r="A4091">
        <v>4279</v>
      </c>
    </row>
    <row r="4092" spans="1:1" x14ac:dyDescent="0.2">
      <c r="A4092">
        <v>4280</v>
      </c>
    </row>
    <row r="4093" spans="1:1" x14ac:dyDescent="0.2">
      <c r="A4093">
        <v>4281</v>
      </c>
    </row>
    <row r="4094" spans="1:1" x14ac:dyDescent="0.2">
      <c r="A4094">
        <v>4282</v>
      </c>
    </row>
    <row r="4095" spans="1:1" x14ac:dyDescent="0.2">
      <c r="A4095">
        <v>4283</v>
      </c>
    </row>
    <row r="4096" spans="1:1" x14ac:dyDescent="0.2">
      <c r="A4096">
        <v>4284</v>
      </c>
    </row>
    <row r="4097" spans="1:1" x14ac:dyDescent="0.2">
      <c r="A4097">
        <v>4285</v>
      </c>
    </row>
    <row r="4098" spans="1:1" x14ac:dyDescent="0.2">
      <c r="A4098">
        <v>4286</v>
      </c>
    </row>
    <row r="4099" spans="1:1" x14ac:dyDescent="0.2">
      <c r="A4099">
        <v>4287</v>
      </c>
    </row>
    <row r="4100" spans="1:1" x14ac:dyDescent="0.2">
      <c r="A4100">
        <v>4288</v>
      </c>
    </row>
    <row r="4101" spans="1:1" x14ac:dyDescent="0.2">
      <c r="A4101">
        <v>4289</v>
      </c>
    </row>
    <row r="4102" spans="1:1" x14ac:dyDescent="0.2">
      <c r="A4102">
        <v>4290</v>
      </c>
    </row>
    <row r="4103" spans="1:1" x14ac:dyDescent="0.2">
      <c r="A4103">
        <v>4291</v>
      </c>
    </row>
    <row r="4104" spans="1:1" x14ac:dyDescent="0.2">
      <c r="A4104">
        <v>4292</v>
      </c>
    </row>
    <row r="4105" spans="1:1" x14ac:dyDescent="0.2">
      <c r="A4105">
        <v>4293</v>
      </c>
    </row>
    <row r="4106" spans="1:1" x14ac:dyDescent="0.2">
      <c r="A4106">
        <v>4294</v>
      </c>
    </row>
    <row r="4107" spans="1:1" x14ac:dyDescent="0.2">
      <c r="A4107">
        <v>4295</v>
      </c>
    </row>
    <row r="4108" spans="1:1" x14ac:dyDescent="0.2">
      <c r="A4108">
        <v>4296</v>
      </c>
    </row>
    <row r="4109" spans="1:1" x14ac:dyDescent="0.2">
      <c r="A4109">
        <v>4297</v>
      </c>
    </row>
    <row r="4110" spans="1:1" x14ac:dyDescent="0.2">
      <c r="A4110">
        <v>4298</v>
      </c>
    </row>
    <row r="4111" spans="1:1" x14ac:dyDescent="0.2">
      <c r="A4111">
        <v>4299</v>
      </c>
    </row>
    <row r="4112" spans="1:1" x14ac:dyDescent="0.2">
      <c r="A4112">
        <v>4300</v>
      </c>
    </row>
    <row r="4113" spans="1:1" x14ac:dyDescent="0.2">
      <c r="A4113">
        <v>4301</v>
      </c>
    </row>
    <row r="4114" spans="1:1" x14ac:dyDescent="0.2">
      <c r="A4114">
        <v>4302</v>
      </c>
    </row>
    <row r="4115" spans="1:1" x14ac:dyDescent="0.2">
      <c r="A4115">
        <v>4303</v>
      </c>
    </row>
    <row r="4116" spans="1:1" x14ac:dyDescent="0.2">
      <c r="A4116">
        <v>4304</v>
      </c>
    </row>
    <row r="4117" spans="1:1" x14ac:dyDescent="0.2">
      <c r="A4117">
        <v>4305</v>
      </c>
    </row>
    <row r="4118" spans="1:1" x14ac:dyDescent="0.2">
      <c r="A4118">
        <v>4306</v>
      </c>
    </row>
    <row r="4119" spans="1:1" x14ac:dyDescent="0.2">
      <c r="A4119">
        <v>4307</v>
      </c>
    </row>
    <row r="4120" spans="1:1" x14ac:dyDescent="0.2">
      <c r="A4120">
        <v>4308</v>
      </c>
    </row>
    <row r="4121" spans="1:1" x14ac:dyDescent="0.2">
      <c r="A4121">
        <v>4309</v>
      </c>
    </row>
    <row r="4122" spans="1:1" x14ac:dyDescent="0.2">
      <c r="A4122">
        <v>4310</v>
      </c>
    </row>
    <row r="4123" spans="1:1" x14ac:dyDescent="0.2">
      <c r="A4123">
        <v>4311</v>
      </c>
    </row>
    <row r="4124" spans="1:1" x14ac:dyDescent="0.2">
      <c r="A4124">
        <v>4312</v>
      </c>
    </row>
    <row r="4125" spans="1:1" x14ac:dyDescent="0.2">
      <c r="A4125">
        <v>4313</v>
      </c>
    </row>
    <row r="4126" spans="1:1" x14ac:dyDescent="0.2">
      <c r="A4126">
        <v>4314</v>
      </c>
    </row>
    <row r="4127" spans="1:1" x14ac:dyDescent="0.2">
      <c r="A4127">
        <v>4315</v>
      </c>
    </row>
    <row r="4128" spans="1:1" x14ac:dyDescent="0.2">
      <c r="A4128">
        <v>4316</v>
      </c>
    </row>
    <row r="4129" spans="1:1" x14ac:dyDescent="0.2">
      <c r="A4129">
        <v>4317</v>
      </c>
    </row>
    <row r="4130" spans="1:1" x14ac:dyDescent="0.2">
      <c r="A4130">
        <v>4318</v>
      </c>
    </row>
    <row r="4131" spans="1:1" x14ac:dyDescent="0.2">
      <c r="A4131">
        <v>4319</v>
      </c>
    </row>
    <row r="4132" spans="1:1" x14ac:dyDescent="0.2">
      <c r="A4132">
        <v>4320</v>
      </c>
    </row>
    <row r="4133" spans="1:1" x14ac:dyDescent="0.2">
      <c r="A4133">
        <v>4321</v>
      </c>
    </row>
    <row r="4134" spans="1:1" x14ac:dyDescent="0.2">
      <c r="A4134">
        <v>4322</v>
      </c>
    </row>
    <row r="4135" spans="1:1" x14ac:dyDescent="0.2">
      <c r="A4135">
        <v>4323</v>
      </c>
    </row>
    <row r="4136" spans="1:1" x14ac:dyDescent="0.2">
      <c r="A4136">
        <v>4324</v>
      </c>
    </row>
    <row r="4137" spans="1:1" x14ac:dyDescent="0.2">
      <c r="A4137">
        <v>4325</v>
      </c>
    </row>
    <row r="4138" spans="1:1" x14ac:dyDescent="0.2">
      <c r="A4138">
        <v>4326</v>
      </c>
    </row>
    <row r="4139" spans="1:1" x14ac:dyDescent="0.2">
      <c r="A4139">
        <v>4327</v>
      </c>
    </row>
    <row r="4140" spans="1:1" x14ac:dyDescent="0.2">
      <c r="A4140">
        <v>4328</v>
      </c>
    </row>
    <row r="4141" spans="1:1" x14ac:dyDescent="0.2">
      <c r="A4141">
        <v>4329</v>
      </c>
    </row>
    <row r="4142" spans="1:1" x14ac:dyDescent="0.2">
      <c r="A4142">
        <v>4330</v>
      </c>
    </row>
    <row r="4143" spans="1:1" x14ac:dyDescent="0.2">
      <c r="A4143">
        <v>4331</v>
      </c>
    </row>
    <row r="4144" spans="1:1" x14ac:dyDescent="0.2">
      <c r="A4144">
        <v>4332</v>
      </c>
    </row>
    <row r="4145" spans="1:1" x14ac:dyDescent="0.2">
      <c r="A4145">
        <v>4333</v>
      </c>
    </row>
    <row r="4146" spans="1:1" x14ac:dyDescent="0.2">
      <c r="A4146">
        <v>4334</v>
      </c>
    </row>
    <row r="4147" spans="1:1" x14ac:dyDescent="0.2">
      <c r="A4147">
        <v>4335</v>
      </c>
    </row>
    <row r="4148" spans="1:1" x14ac:dyDescent="0.2">
      <c r="A4148">
        <v>4336</v>
      </c>
    </row>
    <row r="4149" spans="1:1" x14ac:dyDescent="0.2">
      <c r="A4149">
        <v>4337</v>
      </c>
    </row>
    <row r="4150" spans="1:1" x14ac:dyDescent="0.2">
      <c r="A4150">
        <v>4338</v>
      </c>
    </row>
    <row r="4151" spans="1:1" x14ac:dyDescent="0.2">
      <c r="A4151">
        <v>4339</v>
      </c>
    </row>
    <row r="4152" spans="1:1" x14ac:dyDescent="0.2">
      <c r="A4152">
        <v>4340</v>
      </c>
    </row>
    <row r="4153" spans="1:1" x14ac:dyDescent="0.2">
      <c r="A4153">
        <v>4341</v>
      </c>
    </row>
    <row r="4154" spans="1:1" x14ac:dyDescent="0.2">
      <c r="A4154">
        <v>4342</v>
      </c>
    </row>
    <row r="4155" spans="1:1" x14ac:dyDescent="0.2">
      <c r="A4155">
        <v>4343</v>
      </c>
    </row>
    <row r="4156" spans="1:1" x14ac:dyDescent="0.2">
      <c r="A4156">
        <v>4344</v>
      </c>
    </row>
    <row r="4157" spans="1:1" x14ac:dyDescent="0.2">
      <c r="A4157">
        <v>4345</v>
      </c>
    </row>
    <row r="4158" spans="1:1" x14ac:dyDescent="0.2">
      <c r="A4158">
        <v>4346</v>
      </c>
    </row>
    <row r="4159" spans="1:1" x14ac:dyDescent="0.2">
      <c r="A4159">
        <v>4347</v>
      </c>
    </row>
    <row r="4160" spans="1:1" x14ac:dyDescent="0.2">
      <c r="A4160">
        <v>4348</v>
      </c>
    </row>
    <row r="4161" spans="1:1" x14ac:dyDescent="0.2">
      <c r="A4161">
        <v>4349</v>
      </c>
    </row>
    <row r="4162" spans="1:1" x14ac:dyDescent="0.2">
      <c r="A4162">
        <v>4350</v>
      </c>
    </row>
    <row r="4163" spans="1:1" x14ac:dyDescent="0.2">
      <c r="A4163">
        <v>4351</v>
      </c>
    </row>
    <row r="4164" spans="1:1" x14ac:dyDescent="0.2">
      <c r="A4164">
        <v>4352</v>
      </c>
    </row>
    <row r="4165" spans="1:1" x14ac:dyDescent="0.2">
      <c r="A4165">
        <v>4353</v>
      </c>
    </row>
    <row r="4166" spans="1:1" x14ac:dyDescent="0.2">
      <c r="A4166">
        <v>4354</v>
      </c>
    </row>
    <row r="4167" spans="1:1" x14ac:dyDescent="0.2">
      <c r="A4167">
        <v>4355</v>
      </c>
    </row>
    <row r="4168" spans="1:1" x14ac:dyDescent="0.2">
      <c r="A4168">
        <v>4356</v>
      </c>
    </row>
    <row r="4169" spans="1:1" x14ac:dyDescent="0.2">
      <c r="A4169">
        <v>4357</v>
      </c>
    </row>
    <row r="4170" spans="1:1" x14ac:dyDescent="0.2">
      <c r="A4170">
        <v>4358</v>
      </c>
    </row>
    <row r="4171" spans="1:1" x14ac:dyDescent="0.2">
      <c r="A4171">
        <v>4359</v>
      </c>
    </row>
    <row r="4172" spans="1:1" x14ac:dyDescent="0.2">
      <c r="A4172">
        <v>4360</v>
      </c>
    </row>
    <row r="4173" spans="1:1" x14ac:dyDescent="0.2">
      <c r="A4173">
        <v>4361</v>
      </c>
    </row>
    <row r="4174" spans="1:1" x14ac:dyDescent="0.2">
      <c r="A4174">
        <v>4362</v>
      </c>
    </row>
    <row r="4175" spans="1:1" x14ac:dyDescent="0.2">
      <c r="A4175">
        <v>4363</v>
      </c>
    </row>
    <row r="4176" spans="1:1" x14ac:dyDescent="0.2">
      <c r="A4176">
        <v>4364</v>
      </c>
    </row>
    <row r="4177" spans="1:1" x14ac:dyDescent="0.2">
      <c r="A4177">
        <v>4365</v>
      </c>
    </row>
    <row r="4178" spans="1:1" x14ac:dyDescent="0.2">
      <c r="A4178">
        <v>4366</v>
      </c>
    </row>
    <row r="4179" spans="1:1" x14ac:dyDescent="0.2">
      <c r="A4179">
        <v>4367</v>
      </c>
    </row>
    <row r="4180" spans="1:1" x14ac:dyDescent="0.2">
      <c r="A4180">
        <v>4368</v>
      </c>
    </row>
    <row r="4181" spans="1:1" x14ac:dyDescent="0.2">
      <c r="A4181">
        <v>4369</v>
      </c>
    </row>
    <row r="4182" spans="1:1" x14ac:dyDescent="0.2">
      <c r="A4182">
        <v>4370</v>
      </c>
    </row>
    <row r="4183" spans="1:1" x14ac:dyDescent="0.2">
      <c r="A4183">
        <v>4371</v>
      </c>
    </row>
    <row r="4184" spans="1:1" x14ac:dyDescent="0.2">
      <c r="A4184">
        <v>4372</v>
      </c>
    </row>
    <row r="4185" spans="1:1" x14ac:dyDescent="0.2">
      <c r="A4185">
        <v>4373</v>
      </c>
    </row>
    <row r="4186" spans="1:1" x14ac:dyDescent="0.2">
      <c r="A4186">
        <v>4374</v>
      </c>
    </row>
    <row r="4187" spans="1:1" x14ac:dyDescent="0.2">
      <c r="A4187">
        <v>4375</v>
      </c>
    </row>
    <row r="4188" spans="1:1" x14ac:dyDescent="0.2">
      <c r="A4188">
        <v>4376</v>
      </c>
    </row>
    <row r="4189" spans="1:1" x14ac:dyDescent="0.2">
      <c r="A4189">
        <v>4377</v>
      </c>
    </row>
    <row r="4190" spans="1:1" x14ac:dyDescent="0.2">
      <c r="A4190">
        <v>4378</v>
      </c>
    </row>
    <row r="4191" spans="1:1" x14ac:dyDescent="0.2">
      <c r="A4191">
        <v>4379</v>
      </c>
    </row>
    <row r="4192" spans="1:1" x14ac:dyDescent="0.2">
      <c r="A4192">
        <v>4380</v>
      </c>
    </row>
    <row r="4193" spans="1:1" x14ac:dyDescent="0.2">
      <c r="A4193">
        <v>4381</v>
      </c>
    </row>
    <row r="4194" spans="1:1" x14ac:dyDescent="0.2">
      <c r="A4194">
        <v>4382</v>
      </c>
    </row>
    <row r="4195" spans="1:1" x14ac:dyDescent="0.2">
      <c r="A4195">
        <v>4383</v>
      </c>
    </row>
    <row r="4196" spans="1:1" x14ac:dyDescent="0.2">
      <c r="A4196">
        <v>4384</v>
      </c>
    </row>
    <row r="4197" spans="1:1" x14ac:dyDescent="0.2">
      <c r="A4197">
        <v>4385</v>
      </c>
    </row>
    <row r="4198" spans="1:1" x14ac:dyDescent="0.2">
      <c r="A4198">
        <v>4386</v>
      </c>
    </row>
    <row r="4199" spans="1:1" x14ac:dyDescent="0.2">
      <c r="A4199">
        <v>4387</v>
      </c>
    </row>
    <row r="4200" spans="1:1" x14ac:dyDescent="0.2">
      <c r="A4200">
        <v>4388</v>
      </c>
    </row>
    <row r="4201" spans="1:1" x14ac:dyDescent="0.2">
      <c r="A4201">
        <v>4389</v>
      </c>
    </row>
    <row r="4202" spans="1:1" x14ac:dyDescent="0.2">
      <c r="A4202">
        <v>4390</v>
      </c>
    </row>
    <row r="4203" spans="1:1" x14ac:dyDescent="0.2">
      <c r="A4203">
        <v>4391</v>
      </c>
    </row>
    <row r="4204" spans="1:1" x14ac:dyDescent="0.2">
      <c r="A4204">
        <v>4392</v>
      </c>
    </row>
    <row r="4205" spans="1:1" x14ac:dyDescent="0.2">
      <c r="A4205">
        <v>4393</v>
      </c>
    </row>
    <row r="4206" spans="1:1" x14ac:dyDescent="0.2">
      <c r="A4206">
        <v>4394</v>
      </c>
    </row>
    <row r="4207" spans="1:1" x14ac:dyDescent="0.2">
      <c r="A4207">
        <v>4395</v>
      </c>
    </row>
    <row r="4208" spans="1:1" x14ac:dyDescent="0.2">
      <c r="A4208">
        <v>4396</v>
      </c>
    </row>
    <row r="4209" spans="1:1" x14ac:dyDescent="0.2">
      <c r="A4209">
        <v>4397</v>
      </c>
    </row>
    <row r="4210" spans="1:1" x14ac:dyDescent="0.2">
      <c r="A4210">
        <v>4398</v>
      </c>
    </row>
    <row r="4211" spans="1:1" x14ac:dyDescent="0.2">
      <c r="A4211">
        <v>4399</v>
      </c>
    </row>
    <row r="4212" spans="1:1" x14ac:dyDescent="0.2">
      <c r="A4212">
        <v>4400</v>
      </c>
    </row>
    <row r="4213" spans="1:1" x14ac:dyDescent="0.2">
      <c r="A4213">
        <v>4401</v>
      </c>
    </row>
    <row r="4214" spans="1:1" x14ac:dyDescent="0.2">
      <c r="A4214">
        <v>4402</v>
      </c>
    </row>
    <row r="4215" spans="1:1" x14ac:dyDescent="0.2">
      <c r="A4215">
        <v>4403</v>
      </c>
    </row>
    <row r="4216" spans="1:1" x14ac:dyDescent="0.2">
      <c r="A4216">
        <v>4404</v>
      </c>
    </row>
    <row r="4217" spans="1:1" x14ac:dyDescent="0.2">
      <c r="A4217">
        <v>4405</v>
      </c>
    </row>
    <row r="4218" spans="1:1" x14ac:dyDescent="0.2">
      <c r="A4218">
        <v>4406</v>
      </c>
    </row>
    <row r="4219" spans="1:1" x14ac:dyDescent="0.2">
      <c r="A4219">
        <v>4407</v>
      </c>
    </row>
    <row r="4220" spans="1:1" x14ac:dyDescent="0.2">
      <c r="A4220">
        <v>4408</v>
      </c>
    </row>
    <row r="4221" spans="1:1" x14ac:dyDescent="0.2">
      <c r="A4221">
        <v>4409</v>
      </c>
    </row>
    <row r="4222" spans="1:1" x14ac:dyDescent="0.2">
      <c r="A4222">
        <v>4410</v>
      </c>
    </row>
    <row r="4223" spans="1:1" x14ac:dyDescent="0.2">
      <c r="A4223">
        <v>4411</v>
      </c>
    </row>
    <row r="4224" spans="1:1" x14ac:dyDescent="0.2">
      <c r="A4224">
        <v>4412</v>
      </c>
    </row>
    <row r="4225" spans="1:1" x14ac:dyDescent="0.2">
      <c r="A4225">
        <v>4413</v>
      </c>
    </row>
    <row r="4226" spans="1:1" x14ac:dyDescent="0.2">
      <c r="A4226">
        <v>4414</v>
      </c>
    </row>
    <row r="4227" spans="1:1" x14ac:dyDescent="0.2">
      <c r="A4227">
        <v>4415</v>
      </c>
    </row>
    <row r="4228" spans="1:1" x14ac:dyDescent="0.2">
      <c r="A4228">
        <v>4416</v>
      </c>
    </row>
    <row r="4229" spans="1:1" x14ac:dyDescent="0.2">
      <c r="A4229">
        <v>4417</v>
      </c>
    </row>
    <row r="4230" spans="1:1" x14ac:dyDescent="0.2">
      <c r="A4230">
        <v>4418</v>
      </c>
    </row>
    <row r="4231" spans="1:1" x14ac:dyDescent="0.2">
      <c r="A4231">
        <v>4419</v>
      </c>
    </row>
    <row r="4232" spans="1:1" x14ac:dyDescent="0.2">
      <c r="A4232">
        <v>4420</v>
      </c>
    </row>
    <row r="4233" spans="1:1" x14ac:dyDescent="0.2">
      <c r="A4233">
        <v>4421</v>
      </c>
    </row>
    <row r="4234" spans="1:1" x14ac:dyDescent="0.2">
      <c r="A4234">
        <v>4422</v>
      </c>
    </row>
    <row r="4235" spans="1:1" x14ac:dyDescent="0.2">
      <c r="A4235">
        <v>4423</v>
      </c>
    </row>
    <row r="4236" spans="1:1" x14ac:dyDescent="0.2">
      <c r="A4236">
        <v>4424</v>
      </c>
    </row>
    <row r="4237" spans="1:1" x14ac:dyDescent="0.2">
      <c r="A4237">
        <v>4425</v>
      </c>
    </row>
    <row r="4238" spans="1:1" x14ac:dyDescent="0.2">
      <c r="A4238">
        <v>4426</v>
      </c>
    </row>
    <row r="4239" spans="1:1" x14ac:dyDescent="0.2">
      <c r="A4239">
        <v>4427</v>
      </c>
    </row>
    <row r="4240" spans="1:1" x14ac:dyDescent="0.2">
      <c r="A4240">
        <v>4428</v>
      </c>
    </row>
    <row r="4241" spans="1:1" x14ac:dyDescent="0.2">
      <c r="A4241">
        <v>4429</v>
      </c>
    </row>
    <row r="4242" spans="1:1" x14ac:dyDescent="0.2">
      <c r="A4242">
        <v>4430</v>
      </c>
    </row>
    <row r="4243" spans="1:1" x14ac:dyDescent="0.2">
      <c r="A4243">
        <v>4431</v>
      </c>
    </row>
    <row r="4244" spans="1:1" x14ac:dyDescent="0.2">
      <c r="A4244">
        <v>4432</v>
      </c>
    </row>
    <row r="4245" spans="1:1" x14ac:dyDescent="0.2">
      <c r="A4245">
        <v>4433</v>
      </c>
    </row>
    <row r="4246" spans="1:1" x14ac:dyDescent="0.2">
      <c r="A4246">
        <v>4434</v>
      </c>
    </row>
    <row r="4247" spans="1:1" x14ac:dyDescent="0.2">
      <c r="A4247">
        <v>4435</v>
      </c>
    </row>
    <row r="4248" spans="1:1" x14ac:dyDescent="0.2">
      <c r="A4248">
        <v>4436</v>
      </c>
    </row>
    <row r="4249" spans="1:1" x14ac:dyDescent="0.2">
      <c r="A4249">
        <v>4437</v>
      </c>
    </row>
    <row r="4250" spans="1:1" x14ac:dyDescent="0.2">
      <c r="A4250">
        <v>4438</v>
      </c>
    </row>
    <row r="4251" spans="1:1" x14ac:dyDescent="0.2">
      <c r="A4251">
        <v>4439</v>
      </c>
    </row>
    <row r="4252" spans="1:1" x14ac:dyDescent="0.2">
      <c r="A4252">
        <v>4440</v>
      </c>
    </row>
    <row r="4253" spans="1:1" x14ac:dyDescent="0.2">
      <c r="A4253">
        <v>4441</v>
      </c>
    </row>
    <row r="4254" spans="1:1" x14ac:dyDescent="0.2">
      <c r="A4254">
        <v>4442</v>
      </c>
    </row>
    <row r="4255" spans="1:1" x14ac:dyDescent="0.2">
      <c r="A4255">
        <v>4443</v>
      </c>
    </row>
    <row r="4256" spans="1:1" x14ac:dyDescent="0.2">
      <c r="A4256">
        <v>4444</v>
      </c>
    </row>
    <row r="4257" spans="1:1" x14ac:dyDescent="0.2">
      <c r="A4257">
        <v>4445</v>
      </c>
    </row>
    <row r="4258" spans="1:1" x14ac:dyDescent="0.2">
      <c r="A4258">
        <v>4446</v>
      </c>
    </row>
    <row r="4259" spans="1:1" x14ac:dyDescent="0.2">
      <c r="A4259">
        <v>4447</v>
      </c>
    </row>
    <row r="4260" spans="1:1" x14ac:dyDescent="0.2">
      <c r="A4260">
        <v>4448</v>
      </c>
    </row>
    <row r="4261" spans="1:1" x14ac:dyDescent="0.2">
      <c r="A4261">
        <v>4449</v>
      </c>
    </row>
    <row r="4262" spans="1:1" x14ac:dyDescent="0.2">
      <c r="A4262">
        <v>4450</v>
      </c>
    </row>
    <row r="4263" spans="1:1" x14ac:dyDescent="0.2">
      <c r="A4263">
        <v>4451</v>
      </c>
    </row>
    <row r="4264" spans="1:1" x14ac:dyDescent="0.2">
      <c r="A4264">
        <v>4452</v>
      </c>
    </row>
    <row r="4265" spans="1:1" x14ac:dyDescent="0.2">
      <c r="A4265">
        <v>4453</v>
      </c>
    </row>
    <row r="4266" spans="1:1" x14ac:dyDescent="0.2">
      <c r="A4266">
        <v>4454</v>
      </c>
    </row>
    <row r="4267" spans="1:1" x14ac:dyDescent="0.2">
      <c r="A4267">
        <v>4455</v>
      </c>
    </row>
    <row r="4268" spans="1:1" x14ac:dyDescent="0.2">
      <c r="A4268">
        <v>4456</v>
      </c>
    </row>
    <row r="4269" spans="1:1" x14ac:dyDescent="0.2">
      <c r="A4269">
        <v>4457</v>
      </c>
    </row>
    <row r="4270" spans="1:1" x14ac:dyDescent="0.2">
      <c r="A4270">
        <v>4458</v>
      </c>
    </row>
    <row r="4271" spans="1:1" x14ac:dyDescent="0.2">
      <c r="A4271">
        <v>4459</v>
      </c>
    </row>
    <row r="4272" spans="1:1" x14ac:dyDescent="0.2">
      <c r="A4272">
        <v>4460</v>
      </c>
    </row>
    <row r="4273" spans="1:1" x14ac:dyDescent="0.2">
      <c r="A4273">
        <v>4461</v>
      </c>
    </row>
    <row r="4274" spans="1:1" x14ac:dyDescent="0.2">
      <c r="A4274">
        <v>4462</v>
      </c>
    </row>
    <row r="4275" spans="1:1" x14ac:dyDescent="0.2">
      <c r="A4275">
        <v>4463</v>
      </c>
    </row>
    <row r="4276" spans="1:1" x14ac:dyDescent="0.2">
      <c r="A4276">
        <v>4464</v>
      </c>
    </row>
    <row r="4277" spans="1:1" x14ac:dyDescent="0.2">
      <c r="A4277">
        <v>4465</v>
      </c>
    </row>
    <row r="4278" spans="1:1" x14ac:dyDescent="0.2">
      <c r="A4278">
        <v>4466</v>
      </c>
    </row>
    <row r="4279" spans="1:1" x14ac:dyDescent="0.2">
      <c r="A4279">
        <v>4467</v>
      </c>
    </row>
    <row r="4280" spans="1:1" x14ac:dyDescent="0.2">
      <c r="A4280">
        <v>4468</v>
      </c>
    </row>
    <row r="4281" spans="1:1" x14ac:dyDescent="0.2">
      <c r="A4281">
        <v>4469</v>
      </c>
    </row>
    <row r="4282" spans="1:1" x14ac:dyDescent="0.2">
      <c r="A4282">
        <v>4470</v>
      </c>
    </row>
    <row r="4283" spans="1:1" x14ac:dyDescent="0.2">
      <c r="A4283">
        <v>4471</v>
      </c>
    </row>
    <row r="4284" spans="1:1" x14ac:dyDescent="0.2">
      <c r="A4284">
        <v>4472</v>
      </c>
    </row>
    <row r="4285" spans="1:1" x14ac:dyDescent="0.2">
      <c r="A4285">
        <v>4473</v>
      </c>
    </row>
    <row r="4286" spans="1:1" x14ac:dyDescent="0.2">
      <c r="A4286">
        <v>4474</v>
      </c>
    </row>
    <row r="4287" spans="1:1" x14ac:dyDescent="0.2">
      <c r="A4287">
        <v>4475</v>
      </c>
    </row>
    <row r="4288" spans="1:1" x14ac:dyDescent="0.2">
      <c r="A4288">
        <v>4476</v>
      </c>
    </row>
    <row r="4289" spans="1:1" x14ac:dyDescent="0.2">
      <c r="A4289">
        <v>4477</v>
      </c>
    </row>
    <row r="4290" spans="1:1" x14ac:dyDescent="0.2">
      <c r="A4290">
        <v>4478</v>
      </c>
    </row>
    <row r="4291" spans="1:1" x14ac:dyDescent="0.2">
      <c r="A4291">
        <v>4479</v>
      </c>
    </row>
    <row r="4292" spans="1:1" x14ac:dyDescent="0.2">
      <c r="A4292">
        <v>4480</v>
      </c>
    </row>
    <row r="4293" spans="1:1" x14ac:dyDescent="0.2">
      <c r="A4293">
        <v>4481</v>
      </c>
    </row>
    <row r="4294" spans="1:1" x14ac:dyDescent="0.2">
      <c r="A4294">
        <v>4482</v>
      </c>
    </row>
    <row r="4295" spans="1:1" x14ac:dyDescent="0.2">
      <c r="A4295">
        <v>4483</v>
      </c>
    </row>
    <row r="4296" spans="1:1" x14ac:dyDescent="0.2">
      <c r="A4296">
        <v>4484</v>
      </c>
    </row>
    <row r="4297" spans="1:1" x14ac:dyDescent="0.2">
      <c r="A4297">
        <v>4485</v>
      </c>
    </row>
    <row r="4298" spans="1:1" x14ac:dyDescent="0.2">
      <c r="A4298">
        <v>4486</v>
      </c>
    </row>
    <row r="4299" spans="1:1" x14ac:dyDescent="0.2">
      <c r="A4299">
        <v>4487</v>
      </c>
    </row>
    <row r="4300" spans="1:1" x14ac:dyDescent="0.2">
      <c r="A4300">
        <v>4488</v>
      </c>
    </row>
    <row r="4301" spans="1:1" x14ac:dyDescent="0.2">
      <c r="A4301">
        <v>4489</v>
      </c>
    </row>
    <row r="4302" spans="1:1" x14ac:dyDescent="0.2">
      <c r="A4302">
        <v>4490</v>
      </c>
    </row>
    <row r="4303" spans="1:1" x14ac:dyDescent="0.2">
      <c r="A4303">
        <v>4491</v>
      </c>
    </row>
    <row r="4304" spans="1:1" x14ac:dyDescent="0.2">
      <c r="A4304">
        <v>4492</v>
      </c>
    </row>
    <row r="4305" spans="1:1" x14ac:dyDescent="0.2">
      <c r="A4305">
        <v>4493</v>
      </c>
    </row>
    <row r="4306" spans="1:1" x14ac:dyDescent="0.2">
      <c r="A4306">
        <v>4494</v>
      </c>
    </row>
    <row r="4307" spans="1:1" x14ac:dyDescent="0.2">
      <c r="A4307">
        <v>4495</v>
      </c>
    </row>
    <row r="4308" spans="1:1" x14ac:dyDescent="0.2">
      <c r="A4308">
        <v>4496</v>
      </c>
    </row>
    <row r="4309" spans="1:1" x14ac:dyDescent="0.2">
      <c r="A4309">
        <v>4497</v>
      </c>
    </row>
    <row r="4310" spans="1:1" x14ac:dyDescent="0.2">
      <c r="A4310">
        <v>4498</v>
      </c>
    </row>
    <row r="4311" spans="1:1" x14ac:dyDescent="0.2">
      <c r="A4311">
        <v>4499</v>
      </c>
    </row>
    <row r="4312" spans="1:1" x14ac:dyDescent="0.2">
      <c r="A4312">
        <v>4500</v>
      </c>
    </row>
    <row r="4313" spans="1:1" x14ac:dyDescent="0.2">
      <c r="A4313">
        <v>4501</v>
      </c>
    </row>
    <row r="4314" spans="1:1" x14ac:dyDescent="0.2">
      <c r="A4314">
        <v>4502</v>
      </c>
    </row>
    <row r="4315" spans="1:1" x14ac:dyDescent="0.2">
      <c r="A4315">
        <v>4503</v>
      </c>
    </row>
    <row r="4316" spans="1:1" x14ac:dyDescent="0.2">
      <c r="A4316">
        <v>4504</v>
      </c>
    </row>
    <row r="4317" spans="1:1" x14ac:dyDescent="0.2">
      <c r="A4317">
        <v>4505</v>
      </c>
    </row>
    <row r="4318" spans="1:1" x14ac:dyDescent="0.2">
      <c r="A4318">
        <v>4506</v>
      </c>
    </row>
    <row r="4319" spans="1:1" x14ac:dyDescent="0.2">
      <c r="A4319">
        <v>4507</v>
      </c>
    </row>
    <row r="4320" spans="1:1" x14ac:dyDescent="0.2">
      <c r="A4320">
        <v>4508</v>
      </c>
    </row>
    <row r="4321" spans="1:1" x14ac:dyDescent="0.2">
      <c r="A4321">
        <v>4509</v>
      </c>
    </row>
    <row r="4322" spans="1:1" x14ac:dyDescent="0.2">
      <c r="A4322">
        <v>4510</v>
      </c>
    </row>
    <row r="4323" spans="1:1" x14ac:dyDescent="0.2">
      <c r="A4323">
        <v>4511</v>
      </c>
    </row>
    <row r="4324" spans="1:1" x14ac:dyDescent="0.2">
      <c r="A4324">
        <v>4512</v>
      </c>
    </row>
    <row r="4325" spans="1:1" x14ac:dyDescent="0.2">
      <c r="A4325">
        <v>4513</v>
      </c>
    </row>
    <row r="4326" spans="1:1" x14ac:dyDescent="0.2">
      <c r="A4326">
        <v>4514</v>
      </c>
    </row>
    <row r="4327" spans="1:1" x14ac:dyDescent="0.2">
      <c r="A4327">
        <v>4515</v>
      </c>
    </row>
    <row r="4328" spans="1:1" x14ac:dyDescent="0.2">
      <c r="A4328">
        <v>4516</v>
      </c>
    </row>
    <row r="4329" spans="1:1" x14ac:dyDescent="0.2">
      <c r="A4329">
        <v>4517</v>
      </c>
    </row>
    <row r="4330" spans="1:1" x14ac:dyDescent="0.2">
      <c r="A4330">
        <v>4518</v>
      </c>
    </row>
    <row r="4331" spans="1:1" x14ac:dyDescent="0.2">
      <c r="A4331">
        <v>4519</v>
      </c>
    </row>
    <row r="4332" spans="1:1" x14ac:dyDescent="0.2">
      <c r="A4332">
        <v>4520</v>
      </c>
    </row>
    <row r="4333" spans="1:1" x14ac:dyDescent="0.2">
      <c r="A4333">
        <v>4521</v>
      </c>
    </row>
    <row r="4334" spans="1:1" x14ac:dyDescent="0.2">
      <c r="A4334">
        <v>4522</v>
      </c>
    </row>
    <row r="4335" spans="1:1" x14ac:dyDescent="0.2">
      <c r="A4335">
        <v>4523</v>
      </c>
    </row>
    <row r="4336" spans="1:1" x14ac:dyDescent="0.2">
      <c r="A4336">
        <v>4524</v>
      </c>
    </row>
    <row r="4337" spans="1:1" x14ac:dyDescent="0.2">
      <c r="A4337">
        <v>4525</v>
      </c>
    </row>
    <row r="4338" spans="1:1" x14ac:dyDescent="0.2">
      <c r="A4338">
        <v>4526</v>
      </c>
    </row>
    <row r="4339" spans="1:1" x14ac:dyDescent="0.2">
      <c r="A4339">
        <v>4527</v>
      </c>
    </row>
    <row r="4340" spans="1:1" x14ac:dyDescent="0.2">
      <c r="A4340">
        <v>4528</v>
      </c>
    </row>
    <row r="4341" spans="1:1" x14ac:dyDescent="0.2">
      <c r="A4341">
        <v>4529</v>
      </c>
    </row>
    <row r="4342" spans="1:1" x14ac:dyDescent="0.2">
      <c r="A4342">
        <v>4530</v>
      </c>
    </row>
    <row r="4343" spans="1:1" x14ac:dyDescent="0.2">
      <c r="A4343">
        <v>4531</v>
      </c>
    </row>
    <row r="4344" spans="1:1" x14ac:dyDescent="0.2">
      <c r="A4344">
        <v>4532</v>
      </c>
    </row>
    <row r="4345" spans="1:1" x14ac:dyDescent="0.2">
      <c r="A4345">
        <v>4533</v>
      </c>
    </row>
    <row r="4346" spans="1:1" x14ac:dyDescent="0.2">
      <c r="A4346">
        <v>4534</v>
      </c>
    </row>
    <row r="4347" spans="1:1" x14ac:dyDescent="0.2">
      <c r="A4347">
        <v>4535</v>
      </c>
    </row>
    <row r="4348" spans="1:1" x14ac:dyDescent="0.2">
      <c r="A4348">
        <v>4536</v>
      </c>
    </row>
    <row r="4349" spans="1:1" x14ac:dyDescent="0.2">
      <c r="A4349">
        <v>4537</v>
      </c>
    </row>
    <row r="4350" spans="1:1" x14ac:dyDescent="0.2">
      <c r="A4350">
        <v>4538</v>
      </c>
    </row>
    <row r="4351" spans="1:1" x14ac:dyDescent="0.2">
      <c r="A4351">
        <v>4539</v>
      </c>
    </row>
    <row r="4352" spans="1:1" x14ac:dyDescent="0.2">
      <c r="A4352">
        <v>4540</v>
      </c>
    </row>
    <row r="4353" spans="1:1" x14ac:dyDescent="0.2">
      <c r="A4353">
        <v>4541</v>
      </c>
    </row>
    <row r="4354" spans="1:1" x14ac:dyDescent="0.2">
      <c r="A4354">
        <v>4542</v>
      </c>
    </row>
    <row r="4355" spans="1:1" x14ac:dyDescent="0.2">
      <c r="A4355">
        <v>4543</v>
      </c>
    </row>
    <row r="4356" spans="1:1" x14ac:dyDescent="0.2">
      <c r="A4356">
        <v>4544</v>
      </c>
    </row>
    <row r="4357" spans="1:1" x14ac:dyDescent="0.2">
      <c r="A4357">
        <v>4545</v>
      </c>
    </row>
    <row r="4358" spans="1:1" x14ac:dyDescent="0.2">
      <c r="A4358">
        <v>4546</v>
      </c>
    </row>
    <row r="4359" spans="1:1" x14ac:dyDescent="0.2">
      <c r="A4359">
        <v>4547</v>
      </c>
    </row>
    <row r="4360" spans="1:1" x14ac:dyDescent="0.2">
      <c r="A4360">
        <v>4548</v>
      </c>
    </row>
    <row r="4361" spans="1:1" x14ac:dyDescent="0.2">
      <c r="A4361">
        <v>4549</v>
      </c>
    </row>
    <row r="4362" spans="1:1" x14ac:dyDescent="0.2">
      <c r="A4362">
        <v>4550</v>
      </c>
    </row>
    <row r="4363" spans="1:1" x14ac:dyDescent="0.2">
      <c r="A4363">
        <v>4551</v>
      </c>
    </row>
    <row r="4364" spans="1:1" x14ac:dyDescent="0.2">
      <c r="A4364">
        <v>4552</v>
      </c>
    </row>
    <row r="4365" spans="1:1" x14ac:dyDescent="0.2">
      <c r="A4365">
        <v>4553</v>
      </c>
    </row>
    <row r="4366" spans="1:1" x14ac:dyDescent="0.2">
      <c r="A4366">
        <v>4554</v>
      </c>
    </row>
    <row r="4367" spans="1:1" x14ac:dyDescent="0.2">
      <c r="A4367">
        <v>4555</v>
      </c>
    </row>
    <row r="4368" spans="1:1" x14ac:dyDescent="0.2">
      <c r="A4368">
        <v>4556</v>
      </c>
    </row>
    <row r="4369" spans="1:1" x14ac:dyDescent="0.2">
      <c r="A4369">
        <v>4557</v>
      </c>
    </row>
    <row r="4370" spans="1:1" x14ac:dyDescent="0.2">
      <c r="A4370">
        <v>4558</v>
      </c>
    </row>
    <row r="4371" spans="1:1" x14ac:dyDescent="0.2">
      <c r="A4371">
        <v>4559</v>
      </c>
    </row>
    <row r="4372" spans="1:1" x14ac:dyDescent="0.2">
      <c r="A4372">
        <v>4560</v>
      </c>
    </row>
    <row r="4373" spans="1:1" x14ac:dyDescent="0.2">
      <c r="A4373">
        <v>4561</v>
      </c>
    </row>
    <row r="4374" spans="1:1" x14ac:dyDescent="0.2">
      <c r="A4374">
        <v>4562</v>
      </c>
    </row>
    <row r="4375" spans="1:1" x14ac:dyDescent="0.2">
      <c r="A4375">
        <v>4563</v>
      </c>
    </row>
    <row r="4376" spans="1:1" x14ac:dyDescent="0.2">
      <c r="A4376">
        <v>4564</v>
      </c>
    </row>
    <row r="4377" spans="1:1" x14ac:dyDescent="0.2">
      <c r="A4377">
        <v>4565</v>
      </c>
    </row>
    <row r="4378" spans="1:1" x14ac:dyDescent="0.2">
      <c r="A4378">
        <v>4566</v>
      </c>
    </row>
    <row r="4379" spans="1:1" x14ac:dyDescent="0.2">
      <c r="A4379">
        <v>4567</v>
      </c>
    </row>
    <row r="4380" spans="1:1" x14ac:dyDescent="0.2">
      <c r="A4380">
        <v>4568</v>
      </c>
    </row>
    <row r="4381" spans="1:1" x14ac:dyDescent="0.2">
      <c r="A4381">
        <v>4569</v>
      </c>
    </row>
    <row r="4382" spans="1:1" x14ac:dyDescent="0.2">
      <c r="A4382">
        <v>4570</v>
      </c>
    </row>
    <row r="4383" spans="1:1" x14ac:dyDescent="0.2">
      <c r="A4383">
        <v>4571</v>
      </c>
    </row>
    <row r="4384" spans="1:1" x14ac:dyDescent="0.2">
      <c r="A4384">
        <v>4572</v>
      </c>
    </row>
    <row r="4385" spans="1:1" x14ac:dyDescent="0.2">
      <c r="A4385">
        <v>4573</v>
      </c>
    </row>
    <row r="4386" spans="1:1" x14ac:dyDescent="0.2">
      <c r="A4386">
        <v>4574</v>
      </c>
    </row>
    <row r="4387" spans="1:1" x14ac:dyDescent="0.2">
      <c r="A4387">
        <v>4575</v>
      </c>
    </row>
    <row r="4388" spans="1:1" x14ac:dyDescent="0.2">
      <c r="A4388">
        <v>4576</v>
      </c>
    </row>
    <row r="4389" spans="1:1" x14ac:dyDescent="0.2">
      <c r="A4389">
        <v>4577</v>
      </c>
    </row>
    <row r="4390" spans="1:1" x14ac:dyDescent="0.2">
      <c r="A4390">
        <v>4578</v>
      </c>
    </row>
    <row r="4391" spans="1:1" x14ac:dyDescent="0.2">
      <c r="A4391">
        <v>4579</v>
      </c>
    </row>
    <row r="4392" spans="1:1" x14ac:dyDescent="0.2">
      <c r="A4392">
        <v>4580</v>
      </c>
    </row>
    <row r="4393" spans="1:1" x14ac:dyDescent="0.2">
      <c r="A4393">
        <v>4581</v>
      </c>
    </row>
    <row r="4394" spans="1:1" x14ac:dyDescent="0.2">
      <c r="A4394">
        <v>4582</v>
      </c>
    </row>
    <row r="4395" spans="1:1" x14ac:dyDescent="0.2">
      <c r="A4395">
        <v>4583</v>
      </c>
    </row>
    <row r="4396" spans="1:1" x14ac:dyDescent="0.2">
      <c r="A4396">
        <v>4584</v>
      </c>
    </row>
    <row r="4397" spans="1:1" x14ac:dyDescent="0.2">
      <c r="A4397">
        <v>4585</v>
      </c>
    </row>
    <row r="4398" spans="1:1" x14ac:dyDescent="0.2">
      <c r="A4398">
        <v>4586</v>
      </c>
    </row>
    <row r="4399" spans="1:1" x14ac:dyDescent="0.2">
      <c r="A4399">
        <v>4587</v>
      </c>
    </row>
    <row r="4400" spans="1:1" x14ac:dyDescent="0.2">
      <c r="A4400">
        <v>4588</v>
      </c>
    </row>
    <row r="4401" spans="1:1" x14ac:dyDescent="0.2">
      <c r="A4401">
        <v>4589</v>
      </c>
    </row>
    <row r="4402" spans="1:1" x14ac:dyDescent="0.2">
      <c r="A4402">
        <v>4590</v>
      </c>
    </row>
    <row r="4403" spans="1:1" x14ac:dyDescent="0.2">
      <c r="A4403">
        <v>4591</v>
      </c>
    </row>
    <row r="4404" spans="1:1" x14ac:dyDescent="0.2">
      <c r="A4404">
        <v>4592</v>
      </c>
    </row>
    <row r="4405" spans="1:1" x14ac:dyDescent="0.2">
      <c r="A4405">
        <v>4593</v>
      </c>
    </row>
    <row r="4406" spans="1:1" x14ac:dyDescent="0.2">
      <c r="A4406">
        <v>4594</v>
      </c>
    </row>
    <row r="4407" spans="1:1" x14ac:dyDescent="0.2">
      <c r="A4407">
        <v>4595</v>
      </c>
    </row>
    <row r="4408" spans="1:1" x14ac:dyDescent="0.2">
      <c r="A4408">
        <v>4596</v>
      </c>
    </row>
    <row r="4409" spans="1:1" x14ac:dyDescent="0.2">
      <c r="A4409">
        <v>4597</v>
      </c>
    </row>
    <row r="4410" spans="1:1" x14ac:dyDescent="0.2">
      <c r="A4410">
        <v>4598</v>
      </c>
    </row>
    <row r="4411" spans="1:1" x14ac:dyDescent="0.2">
      <c r="A4411">
        <v>4599</v>
      </c>
    </row>
    <row r="4412" spans="1:1" x14ac:dyDescent="0.2">
      <c r="A4412">
        <v>4600</v>
      </c>
    </row>
    <row r="4413" spans="1:1" x14ac:dyDescent="0.2">
      <c r="A4413">
        <v>4601</v>
      </c>
    </row>
    <row r="4414" spans="1:1" x14ac:dyDescent="0.2">
      <c r="A4414">
        <v>4602</v>
      </c>
    </row>
    <row r="4415" spans="1:1" x14ac:dyDescent="0.2">
      <c r="A4415">
        <v>4603</v>
      </c>
    </row>
    <row r="4416" spans="1:1" x14ac:dyDescent="0.2">
      <c r="A4416">
        <v>4604</v>
      </c>
    </row>
    <row r="4417" spans="1:1" x14ac:dyDescent="0.2">
      <c r="A4417">
        <v>4605</v>
      </c>
    </row>
    <row r="4418" spans="1:1" x14ac:dyDescent="0.2">
      <c r="A4418">
        <v>4606</v>
      </c>
    </row>
    <row r="4419" spans="1:1" x14ac:dyDescent="0.2">
      <c r="A4419">
        <v>4607</v>
      </c>
    </row>
    <row r="4420" spans="1:1" x14ac:dyDescent="0.2">
      <c r="A4420">
        <v>4608</v>
      </c>
    </row>
    <row r="4421" spans="1:1" x14ac:dyDescent="0.2">
      <c r="A4421">
        <v>4609</v>
      </c>
    </row>
    <row r="4422" spans="1:1" x14ac:dyDescent="0.2">
      <c r="A4422">
        <v>4610</v>
      </c>
    </row>
    <row r="4423" spans="1:1" x14ac:dyDescent="0.2">
      <c r="A4423">
        <v>4611</v>
      </c>
    </row>
    <row r="4424" spans="1:1" x14ac:dyDescent="0.2">
      <c r="A4424">
        <v>4612</v>
      </c>
    </row>
    <row r="4425" spans="1:1" x14ac:dyDescent="0.2">
      <c r="A4425">
        <v>4613</v>
      </c>
    </row>
    <row r="4426" spans="1:1" x14ac:dyDescent="0.2">
      <c r="A4426">
        <v>4614</v>
      </c>
    </row>
    <row r="4427" spans="1:1" x14ac:dyDescent="0.2">
      <c r="A4427">
        <v>4615</v>
      </c>
    </row>
    <row r="4428" spans="1:1" x14ac:dyDescent="0.2">
      <c r="A4428">
        <v>4616</v>
      </c>
    </row>
    <row r="4429" spans="1:1" x14ac:dyDescent="0.2">
      <c r="A4429">
        <v>4617</v>
      </c>
    </row>
    <row r="4430" spans="1:1" x14ac:dyDescent="0.2">
      <c r="A4430">
        <v>4618</v>
      </c>
    </row>
    <row r="4431" spans="1:1" x14ac:dyDescent="0.2">
      <c r="A4431">
        <v>4619</v>
      </c>
    </row>
    <row r="4432" spans="1:1" x14ac:dyDescent="0.2">
      <c r="A4432">
        <v>4620</v>
      </c>
    </row>
    <row r="4433" spans="1:1" x14ac:dyDescent="0.2">
      <c r="A4433">
        <v>4621</v>
      </c>
    </row>
    <row r="4434" spans="1:1" x14ac:dyDescent="0.2">
      <c r="A4434">
        <v>4622</v>
      </c>
    </row>
    <row r="4435" spans="1:1" x14ac:dyDescent="0.2">
      <c r="A4435">
        <v>4623</v>
      </c>
    </row>
    <row r="4436" spans="1:1" x14ac:dyDescent="0.2">
      <c r="A4436">
        <v>4624</v>
      </c>
    </row>
    <row r="4437" spans="1:1" x14ac:dyDescent="0.2">
      <c r="A4437">
        <v>4625</v>
      </c>
    </row>
    <row r="4438" spans="1:1" x14ac:dyDescent="0.2">
      <c r="A4438">
        <v>4626</v>
      </c>
    </row>
    <row r="4439" spans="1:1" x14ac:dyDescent="0.2">
      <c r="A4439">
        <v>4627</v>
      </c>
    </row>
    <row r="4440" spans="1:1" x14ac:dyDescent="0.2">
      <c r="A4440">
        <v>4628</v>
      </c>
    </row>
    <row r="4441" spans="1:1" x14ac:dyDescent="0.2">
      <c r="A4441">
        <v>4629</v>
      </c>
    </row>
    <row r="4442" spans="1:1" x14ac:dyDescent="0.2">
      <c r="A4442">
        <v>4630</v>
      </c>
    </row>
    <row r="4443" spans="1:1" x14ac:dyDescent="0.2">
      <c r="A4443">
        <v>4631</v>
      </c>
    </row>
    <row r="4444" spans="1:1" x14ac:dyDescent="0.2">
      <c r="A4444">
        <v>4632</v>
      </c>
    </row>
    <row r="4445" spans="1:1" x14ac:dyDescent="0.2">
      <c r="A4445">
        <v>4633</v>
      </c>
    </row>
    <row r="4446" spans="1:1" x14ac:dyDescent="0.2">
      <c r="A4446">
        <v>4634</v>
      </c>
    </row>
    <row r="4447" spans="1:1" x14ac:dyDescent="0.2">
      <c r="A4447">
        <v>4635</v>
      </c>
    </row>
    <row r="4448" spans="1:1" x14ac:dyDescent="0.2">
      <c r="A4448">
        <v>4636</v>
      </c>
    </row>
    <row r="4449" spans="1:1" x14ac:dyDescent="0.2">
      <c r="A4449">
        <v>4637</v>
      </c>
    </row>
    <row r="4450" spans="1:1" x14ac:dyDescent="0.2">
      <c r="A4450">
        <v>4638</v>
      </c>
    </row>
    <row r="4451" spans="1:1" x14ac:dyDescent="0.2">
      <c r="A4451">
        <v>4639</v>
      </c>
    </row>
    <row r="4452" spans="1:1" x14ac:dyDescent="0.2">
      <c r="A4452">
        <v>4640</v>
      </c>
    </row>
    <row r="4453" spans="1:1" x14ac:dyDescent="0.2">
      <c r="A4453">
        <v>4641</v>
      </c>
    </row>
    <row r="4454" spans="1:1" x14ac:dyDescent="0.2">
      <c r="A4454">
        <v>4642</v>
      </c>
    </row>
    <row r="4455" spans="1:1" x14ac:dyDescent="0.2">
      <c r="A4455">
        <v>4643</v>
      </c>
    </row>
    <row r="4456" spans="1:1" x14ac:dyDescent="0.2">
      <c r="A4456">
        <v>4644</v>
      </c>
    </row>
    <row r="4457" spans="1:1" x14ac:dyDescent="0.2">
      <c r="A4457">
        <v>4645</v>
      </c>
    </row>
    <row r="4458" spans="1:1" x14ac:dyDescent="0.2">
      <c r="A4458">
        <v>4646</v>
      </c>
    </row>
    <row r="4459" spans="1:1" x14ac:dyDescent="0.2">
      <c r="A4459">
        <v>4647</v>
      </c>
    </row>
    <row r="4460" spans="1:1" x14ac:dyDescent="0.2">
      <c r="A4460">
        <v>4648</v>
      </c>
    </row>
    <row r="4461" spans="1:1" x14ac:dyDescent="0.2">
      <c r="A4461">
        <v>4649</v>
      </c>
    </row>
    <row r="4462" spans="1:1" x14ac:dyDescent="0.2">
      <c r="A4462">
        <v>4650</v>
      </c>
    </row>
    <row r="4463" spans="1:1" x14ac:dyDescent="0.2">
      <c r="A4463">
        <v>4651</v>
      </c>
    </row>
    <row r="4464" spans="1:1" x14ac:dyDescent="0.2">
      <c r="A4464">
        <v>4652</v>
      </c>
    </row>
    <row r="4465" spans="1:1" x14ac:dyDescent="0.2">
      <c r="A4465">
        <v>4653</v>
      </c>
    </row>
    <row r="4466" spans="1:1" x14ac:dyDescent="0.2">
      <c r="A4466">
        <v>4654</v>
      </c>
    </row>
    <row r="4467" spans="1:1" x14ac:dyDescent="0.2">
      <c r="A4467">
        <v>4655</v>
      </c>
    </row>
    <row r="4468" spans="1:1" x14ac:dyDescent="0.2">
      <c r="A4468">
        <v>4656</v>
      </c>
    </row>
    <row r="4469" spans="1:1" x14ac:dyDescent="0.2">
      <c r="A4469">
        <v>4657</v>
      </c>
    </row>
    <row r="4470" spans="1:1" x14ac:dyDescent="0.2">
      <c r="A4470">
        <v>4658</v>
      </c>
    </row>
    <row r="4471" spans="1:1" x14ac:dyDescent="0.2">
      <c r="A4471">
        <v>4659</v>
      </c>
    </row>
    <row r="4472" spans="1:1" x14ac:dyDescent="0.2">
      <c r="A4472">
        <v>4660</v>
      </c>
    </row>
    <row r="4473" spans="1:1" x14ac:dyDescent="0.2">
      <c r="A4473">
        <v>4661</v>
      </c>
    </row>
    <row r="4474" spans="1:1" x14ac:dyDescent="0.2">
      <c r="A4474">
        <v>4662</v>
      </c>
    </row>
    <row r="4475" spans="1:1" x14ac:dyDescent="0.2">
      <c r="A4475">
        <v>4663</v>
      </c>
    </row>
    <row r="4476" spans="1:1" x14ac:dyDescent="0.2">
      <c r="A4476">
        <v>4664</v>
      </c>
    </row>
    <row r="4477" spans="1:1" x14ac:dyDescent="0.2">
      <c r="A4477">
        <v>4665</v>
      </c>
    </row>
    <row r="4478" spans="1:1" x14ac:dyDescent="0.2">
      <c r="A4478">
        <v>4666</v>
      </c>
    </row>
    <row r="4479" spans="1:1" x14ac:dyDescent="0.2">
      <c r="A4479">
        <v>4667</v>
      </c>
    </row>
    <row r="4480" spans="1:1" x14ac:dyDescent="0.2">
      <c r="A4480">
        <v>4668</v>
      </c>
    </row>
    <row r="4481" spans="1:1" x14ac:dyDescent="0.2">
      <c r="A4481">
        <v>4669</v>
      </c>
    </row>
    <row r="4482" spans="1:1" x14ac:dyDescent="0.2">
      <c r="A4482">
        <v>4670</v>
      </c>
    </row>
    <row r="4483" spans="1:1" x14ac:dyDescent="0.2">
      <c r="A4483">
        <v>4671</v>
      </c>
    </row>
    <row r="4484" spans="1:1" x14ac:dyDescent="0.2">
      <c r="A4484">
        <v>4672</v>
      </c>
    </row>
    <row r="4485" spans="1:1" x14ac:dyDescent="0.2">
      <c r="A4485">
        <v>4673</v>
      </c>
    </row>
    <row r="4486" spans="1:1" x14ac:dyDescent="0.2">
      <c r="A4486">
        <v>4674</v>
      </c>
    </row>
    <row r="4487" spans="1:1" x14ac:dyDescent="0.2">
      <c r="A4487">
        <v>4675</v>
      </c>
    </row>
    <row r="4488" spans="1:1" x14ac:dyDescent="0.2">
      <c r="A4488">
        <v>4676</v>
      </c>
    </row>
    <row r="4489" spans="1:1" x14ac:dyDescent="0.2">
      <c r="A4489">
        <v>4677</v>
      </c>
    </row>
    <row r="4490" spans="1:1" x14ac:dyDescent="0.2">
      <c r="A4490">
        <v>4678</v>
      </c>
    </row>
    <row r="4491" spans="1:1" x14ac:dyDescent="0.2">
      <c r="A4491">
        <v>4679</v>
      </c>
    </row>
    <row r="4492" spans="1:1" x14ac:dyDescent="0.2">
      <c r="A4492">
        <v>4680</v>
      </c>
    </row>
    <row r="4493" spans="1:1" x14ac:dyDescent="0.2">
      <c r="A4493">
        <v>4681</v>
      </c>
    </row>
    <row r="4494" spans="1:1" x14ac:dyDescent="0.2">
      <c r="A4494">
        <v>4682</v>
      </c>
    </row>
    <row r="4495" spans="1:1" x14ac:dyDescent="0.2">
      <c r="A4495">
        <v>4683</v>
      </c>
    </row>
    <row r="4496" spans="1:1" x14ac:dyDescent="0.2">
      <c r="A4496">
        <v>4684</v>
      </c>
    </row>
    <row r="4497" spans="1:1" x14ac:dyDescent="0.2">
      <c r="A4497">
        <v>4685</v>
      </c>
    </row>
    <row r="4498" spans="1:1" x14ac:dyDescent="0.2">
      <c r="A4498">
        <v>4686</v>
      </c>
    </row>
    <row r="4499" spans="1:1" x14ac:dyDescent="0.2">
      <c r="A4499">
        <v>4687</v>
      </c>
    </row>
    <row r="4500" spans="1:1" x14ac:dyDescent="0.2">
      <c r="A4500">
        <v>4688</v>
      </c>
    </row>
    <row r="4501" spans="1:1" x14ac:dyDescent="0.2">
      <c r="A4501">
        <v>4689</v>
      </c>
    </row>
    <row r="4502" spans="1:1" x14ac:dyDescent="0.2">
      <c r="A4502">
        <v>4690</v>
      </c>
    </row>
    <row r="4503" spans="1:1" x14ac:dyDescent="0.2">
      <c r="A4503">
        <v>4691</v>
      </c>
    </row>
    <row r="4504" spans="1:1" x14ac:dyDescent="0.2">
      <c r="A4504">
        <v>4692</v>
      </c>
    </row>
    <row r="4505" spans="1:1" x14ac:dyDescent="0.2">
      <c r="A4505">
        <v>4693</v>
      </c>
    </row>
    <row r="4506" spans="1:1" x14ac:dyDescent="0.2">
      <c r="A4506">
        <v>4694</v>
      </c>
    </row>
    <row r="4507" spans="1:1" x14ac:dyDescent="0.2">
      <c r="A4507">
        <v>4695</v>
      </c>
    </row>
    <row r="4508" spans="1:1" x14ac:dyDescent="0.2">
      <c r="A4508">
        <v>4696</v>
      </c>
    </row>
    <row r="4509" spans="1:1" x14ac:dyDescent="0.2">
      <c r="A4509">
        <v>4697</v>
      </c>
    </row>
    <row r="4510" spans="1:1" x14ac:dyDescent="0.2">
      <c r="A4510">
        <v>4698</v>
      </c>
    </row>
    <row r="4511" spans="1:1" x14ac:dyDescent="0.2">
      <c r="A4511">
        <v>4699</v>
      </c>
    </row>
    <row r="4512" spans="1:1" x14ac:dyDescent="0.2">
      <c r="A4512">
        <v>4700</v>
      </c>
    </row>
    <row r="4513" spans="1:1" x14ac:dyDescent="0.2">
      <c r="A4513">
        <v>4701</v>
      </c>
    </row>
    <row r="4514" spans="1:1" x14ac:dyDescent="0.2">
      <c r="A4514">
        <v>4702</v>
      </c>
    </row>
    <row r="4515" spans="1:1" x14ac:dyDescent="0.2">
      <c r="A4515">
        <v>4703</v>
      </c>
    </row>
    <row r="4516" spans="1:1" x14ac:dyDescent="0.2">
      <c r="A4516">
        <v>4704</v>
      </c>
    </row>
    <row r="4517" spans="1:1" x14ac:dyDescent="0.2">
      <c r="A4517">
        <v>4705</v>
      </c>
    </row>
    <row r="4518" spans="1:1" x14ac:dyDescent="0.2">
      <c r="A4518">
        <v>4706</v>
      </c>
    </row>
    <row r="4519" spans="1:1" x14ac:dyDescent="0.2">
      <c r="A4519">
        <v>4707</v>
      </c>
    </row>
    <row r="4520" spans="1:1" x14ac:dyDescent="0.2">
      <c r="A4520">
        <v>4708</v>
      </c>
    </row>
    <row r="4521" spans="1:1" x14ac:dyDescent="0.2">
      <c r="A4521">
        <v>4709</v>
      </c>
    </row>
    <row r="4522" spans="1:1" x14ac:dyDescent="0.2">
      <c r="A4522">
        <v>4710</v>
      </c>
    </row>
    <row r="4523" spans="1:1" x14ac:dyDescent="0.2">
      <c r="A4523">
        <v>4711</v>
      </c>
    </row>
    <row r="4524" spans="1:1" x14ac:dyDescent="0.2">
      <c r="A4524">
        <v>4712</v>
      </c>
    </row>
    <row r="4525" spans="1:1" x14ac:dyDescent="0.2">
      <c r="A4525">
        <v>4713</v>
      </c>
    </row>
    <row r="4526" spans="1:1" x14ac:dyDescent="0.2">
      <c r="A4526">
        <v>4714</v>
      </c>
    </row>
    <row r="4527" spans="1:1" x14ac:dyDescent="0.2">
      <c r="A4527">
        <v>4715</v>
      </c>
    </row>
    <row r="4528" spans="1:1" x14ac:dyDescent="0.2">
      <c r="A4528">
        <v>4716</v>
      </c>
    </row>
    <row r="4529" spans="1:1" x14ac:dyDescent="0.2">
      <c r="A4529">
        <v>4717</v>
      </c>
    </row>
    <row r="4530" spans="1:1" x14ac:dyDescent="0.2">
      <c r="A4530">
        <v>4718</v>
      </c>
    </row>
    <row r="4531" spans="1:1" x14ac:dyDescent="0.2">
      <c r="A4531">
        <v>4719</v>
      </c>
    </row>
    <row r="4532" spans="1:1" x14ac:dyDescent="0.2">
      <c r="A4532">
        <v>4720</v>
      </c>
    </row>
    <row r="4533" spans="1:1" x14ac:dyDescent="0.2">
      <c r="A4533">
        <v>4721</v>
      </c>
    </row>
    <row r="4534" spans="1:1" x14ac:dyDescent="0.2">
      <c r="A4534">
        <v>4722</v>
      </c>
    </row>
    <row r="4535" spans="1:1" x14ac:dyDescent="0.2">
      <c r="A4535">
        <v>4723</v>
      </c>
    </row>
    <row r="4536" spans="1:1" x14ac:dyDescent="0.2">
      <c r="A4536">
        <v>4724</v>
      </c>
    </row>
    <row r="4537" spans="1:1" x14ac:dyDescent="0.2">
      <c r="A4537">
        <v>4725</v>
      </c>
    </row>
    <row r="4538" spans="1:1" x14ac:dyDescent="0.2">
      <c r="A4538">
        <v>4726</v>
      </c>
    </row>
    <row r="4539" spans="1:1" x14ac:dyDescent="0.2">
      <c r="A4539">
        <v>4727</v>
      </c>
    </row>
    <row r="4540" spans="1:1" x14ac:dyDescent="0.2">
      <c r="A4540">
        <v>4728</v>
      </c>
    </row>
    <row r="4541" spans="1:1" x14ac:dyDescent="0.2">
      <c r="A4541">
        <v>4729</v>
      </c>
    </row>
    <row r="4542" spans="1:1" x14ac:dyDescent="0.2">
      <c r="A4542">
        <v>4730</v>
      </c>
    </row>
    <row r="4543" spans="1:1" x14ac:dyDescent="0.2">
      <c r="A4543">
        <v>4731</v>
      </c>
    </row>
    <row r="4544" spans="1:1" x14ac:dyDescent="0.2">
      <c r="A4544">
        <v>4732</v>
      </c>
    </row>
    <row r="4545" spans="1:1" x14ac:dyDescent="0.2">
      <c r="A4545">
        <v>4733</v>
      </c>
    </row>
    <row r="4546" spans="1:1" x14ac:dyDescent="0.2">
      <c r="A4546">
        <v>4734</v>
      </c>
    </row>
    <row r="4547" spans="1:1" x14ac:dyDescent="0.2">
      <c r="A4547">
        <v>4735</v>
      </c>
    </row>
    <row r="4548" spans="1:1" x14ac:dyDescent="0.2">
      <c r="A4548">
        <v>4736</v>
      </c>
    </row>
    <row r="4549" spans="1:1" x14ac:dyDescent="0.2">
      <c r="A4549">
        <v>4737</v>
      </c>
    </row>
    <row r="4550" spans="1:1" x14ac:dyDescent="0.2">
      <c r="A4550">
        <v>4738</v>
      </c>
    </row>
    <row r="4551" spans="1:1" x14ac:dyDescent="0.2">
      <c r="A4551">
        <v>4739</v>
      </c>
    </row>
    <row r="4552" spans="1:1" x14ac:dyDescent="0.2">
      <c r="A4552">
        <v>4740</v>
      </c>
    </row>
    <row r="4553" spans="1:1" x14ac:dyDescent="0.2">
      <c r="A4553">
        <v>4741</v>
      </c>
    </row>
    <row r="4554" spans="1:1" x14ac:dyDescent="0.2">
      <c r="A4554">
        <v>4742</v>
      </c>
    </row>
    <row r="4555" spans="1:1" x14ac:dyDescent="0.2">
      <c r="A4555">
        <v>4743</v>
      </c>
    </row>
    <row r="4556" spans="1:1" x14ac:dyDescent="0.2">
      <c r="A4556">
        <v>4744</v>
      </c>
    </row>
    <row r="4557" spans="1:1" x14ac:dyDescent="0.2">
      <c r="A4557">
        <v>4745</v>
      </c>
    </row>
    <row r="4558" spans="1:1" x14ac:dyDescent="0.2">
      <c r="A4558">
        <v>4746</v>
      </c>
    </row>
    <row r="4559" spans="1:1" x14ac:dyDescent="0.2">
      <c r="A4559">
        <v>4747</v>
      </c>
    </row>
    <row r="4560" spans="1:1" x14ac:dyDescent="0.2">
      <c r="A4560">
        <v>4748</v>
      </c>
    </row>
    <row r="4561" spans="1:1" x14ac:dyDescent="0.2">
      <c r="A4561">
        <v>4749</v>
      </c>
    </row>
    <row r="4562" spans="1:1" x14ac:dyDescent="0.2">
      <c r="A4562">
        <v>4750</v>
      </c>
    </row>
    <row r="4563" spans="1:1" x14ac:dyDescent="0.2">
      <c r="A4563">
        <v>4751</v>
      </c>
    </row>
    <row r="4564" spans="1:1" x14ac:dyDescent="0.2">
      <c r="A4564">
        <v>4752</v>
      </c>
    </row>
    <row r="4565" spans="1:1" x14ac:dyDescent="0.2">
      <c r="A4565">
        <v>4753</v>
      </c>
    </row>
    <row r="4566" spans="1:1" x14ac:dyDescent="0.2">
      <c r="A4566">
        <v>4754</v>
      </c>
    </row>
    <row r="4567" spans="1:1" x14ac:dyDescent="0.2">
      <c r="A4567">
        <v>4755</v>
      </c>
    </row>
    <row r="4568" spans="1:1" x14ac:dyDescent="0.2">
      <c r="A4568">
        <v>4756</v>
      </c>
    </row>
    <row r="4569" spans="1:1" x14ac:dyDescent="0.2">
      <c r="A4569">
        <v>4757</v>
      </c>
    </row>
    <row r="4570" spans="1:1" x14ac:dyDescent="0.2">
      <c r="A4570">
        <v>4758</v>
      </c>
    </row>
    <row r="4571" spans="1:1" x14ac:dyDescent="0.2">
      <c r="A4571">
        <v>4759</v>
      </c>
    </row>
    <row r="4572" spans="1:1" x14ac:dyDescent="0.2">
      <c r="A4572">
        <v>4760</v>
      </c>
    </row>
    <row r="4573" spans="1:1" x14ac:dyDescent="0.2">
      <c r="A4573">
        <v>4761</v>
      </c>
    </row>
    <row r="4574" spans="1:1" x14ac:dyDescent="0.2">
      <c r="A4574">
        <v>4762</v>
      </c>
    </row>
    <row r="4575" spans="1:1" x14ac:dyDescent="0.2">
      <c r="A4575">
        <v>4763</v>
      </c>
    </row>
    <row r="4576" spans="1:1" x14ac:dyDescent="0.2">
      <c r="A4576">
        <v>4764</v>
      </c>
    </row>
    <row r="4577" spans="1:1" x14ac:dyDescent="0.2">
      <c r="A4577">
        <v>4765</v>
      </c>
    </row>
    <row r="4578" spans="1:1" x14ac:dyDescent="0.2">
      <c r="A4578">
        <v>4766</v>
      </c>
    </row>
    <row r="4579" spans="1:1" x14ac:dyDescent="0.2">
      <c r="A4579">
        <v>4767</v>
      </c>
    </row>
    <row r="4580" spans="1:1" x14ac:dyDescent="0.2">
      <c r="A4580">
        <v>4768</v>
      </c>
    </row>
    <row r="4581" spans="1:1" x14ac:dyDescent="0.2">
      <c r="A4581">
        <v>4769</v>
      </c>
    </row>
    <row r="4582" spans="1:1" x14ac:dyDescent="0.2">
      <c r="A4582">
        <v>4770</v>
      </c>
    </row>
    <row r="4583" spans="1:1" x14ac:dyDescent="0.2">
      <c r="A4583">
        <v>4771</v>
      </c>
    </row>
    <row r="4584" spans="1:1" x14ac:dyDescent="0.2">
      <c r="A4584">
        <v>4772</v>
      </c>
    </row>
    <row r="4585" spans="1:1" x14ac:dyDescent="0.2">
      <c r="A4585">
        <v>4773</v>
      </c>
    </row>
    <row r="4586" spans="1:1" x14ac:dyDescent="0.2">
      <c r="A4586">
        <v>4774</v>
      </c>
    </row>
    <row r="4587" spans="1:1" x14ac:dyDescent="0.2">
      <c r="A4587">
        <v>4775</v>
      </c>
    </row>
    <row r="4588" spans="1:1" x14ac:dyDescent="0.2">
      <c r="A4588">
        <v>4776</v>
      </c>
    </row>
    <row r="4589" spans="1:1" x14ac:dyDescent="0.2">
      <c r="A4589">
        <v>4777</v>
      </c>
    </row>
    <row r="4590" spans="1:1" x14ac:dyDescent="0.2">
      <c r="A4590">
        <v>4778</v>
      </c>
    </row>
    <row r="4591" spans="1:1" x14ac:dyDescent="0.2">
      <c r="A4591">
        <v>4779</v>
      </c>
    </row>
    <row r="4592" spans="1:1" x14ac:dyDescent="0.2">
      <c r="A4592">
        <v>4780</v>
      </c>
    </row>
    <row r="4593" spans="1:1" x14ac:dyDescent="0.2">
      <c r="A4593">
        <v>4781</v>
      </c>
    </row>
    <row r="4594" spans="1:1" x14ac:dyDescent="0.2">
      <c r="A4594">
        <v>4782</v>
      </c>
    </row>
    <row r="4595" spans="1:1" x14ac:dyDescent="0.2">
      <c r="A4595">
        <v>4783</v>
      </c>
    </row>
    <row r="4596" spans="1:1" x14ac:dyDescent="0.2">
      <c r="A4596">
        <v>4784</v>
      </c>
    </row>
    <row r="4597" spans="1:1" x14ac:dyDescent="0.2">
      <c r="A4597">
        <v>4785</v>
      </c>
    </row>
    <row r="4598" spans="1:1" x14ac:dyDescent="0.2">
      <c r="A4598">
        <v>4786</v>
      </c>
    </row>
    <row r="4599" spans="1:1" x14ac:dyDescent="0.2">
      <c r="A4599">
        <v>4787</v>
      </c>
    </row>
    <row r="4600" spans="1:1" x14ac:dyDescent="0.2">
      <c r="A4600">
        <v>4788</v>
      </c>
    </row>
    <row r="4601" spans="1:1" x14ac:dyDescent="0.2">
      <c r="A4601">
        <v>4789</v>
      </c>
    </row>
    <row r="4602" spans="1:1" x14ac:dyDescent="0.2">
      <c r="A4602">
        <v>4790</v>
      </c>
    </row>
    <row r="4603" spans="1:1" x14ac:dyDescent="0.2">
      <c r="A4603">
        <v>4791</v>
      </c>
    </row>
    <row r="4604" spans="1:1" x14ac:dyDescent="0.2">
      <c r="A4604">
        <v>4792</v>
      </c>
    </row>
    <row r="4605" spans="1:1" x14ac:dyDescent="0.2">
      <c r="A4605">
        <v>4793</v>
      </c>
    </row>
    <row r="4606" spans="1:1" x14ac:dyDescent="0.2">
      <c r="A4606">
        <v>4794</v>
      </c>
    </row>
    <row r="4607" spans="1:1" x14ac:dyDescent="0.2">
      <c r="A4607">
        <v>4795</v>
      </c>
    </row>
    <row r="4608" spans="1:1" x14ac:dyDescent="0.2">
      <c r="A4608">
        <v>4796</v>
      </c>
    </row>
    <row r="4609" spans="1:1" x14ac:dyDescent="0.2">
      <c r="A4609">
        <v>4797</v>
      </c>
    </row>
    <row r="4610" spans="1:1" x14ac:dyDescent="0.2">
      <c r="A4610">
        <v>4798</v>
      </c>
    </row>
    <row r="4611" spans="1:1" x14ac:dyDescent="0.2">
      <c r="A4611">
        <v>4799</v>
      </c>
    </row>
    <row r="4612" spans="1:1" x14ac:dyDescent="0.2">
      <c r="A4612">
        <v>4800</v>
      </c>
    </row>
    <row r="4613" spans="1:1" x14ac:dyDescent="0.2">
      <c r="A4613">
        <v>4801</v>
      </c>
    </row>
    <row r="4614" spans="1:1" x14ac:dyDescent="0.2">
      <c r="A4614">
        <v>4802</v>
      </c>
    </row>
    <row r="4615" spans="1:1" x14ac:dyDescent="0.2">
      <c r="A4615">
        <v>4803</v>
      </c>
    </row>
    <row r="4616" spans="1:1" x14ac:dyDescent="0.2">
      <c r="A4616">
        <v>4804</v>
      </c>
    </row>
    <row r="4617" spans="1:1" x14ac:dyDescent="0.2">
      <c r="A4617">
        <v>4805</v>
      </c>
    </row>
    <row r="4618" spans="1:1" x14ac:dyDescent="0.2">
      <c r="A4618">
        <v>4806</v>
      </c>
    </row>
    <row r="4619" spans="1:1" x14ac:dyDescent="0.2">
      <c r="A4619">
        <v>4807</v>
      </c>
    </row>
    <row r="4620" spans="1:1" x14ac:dyDescent="0.2">
      <c r="A4620">
        <v>4808</v>
      </c>
    </row>
    <row r="4621" spans="1:1" x14ac:dyDescent="0.2">
      <c r="A4621">
        <v>4809</v>
      </c>
    </row>
    <row r="4622" spans="1:1" x14ac:dyDescent="0.2">
      <c r="A4622">
        <v>4810</v>
      </c>
    </row>
    <row r="4623" spans="1:1" x14ac:dyDescent="0.2">
      <c r="A4623">
        <v>4811</v>
      </c>
    </row>
    <row r="4624" spans="1:1" x14ac:dyDescent="0.2">
      <c r="A4624">
        <v>4812</v>
      </c>
    </row>
    <row r="4625" spans="1:1" x14ac:dyDescent="0.2">
      <c r="A4625">
        <v>4813</v>
      </c>
    </row>
    <row r="4626" spans="1:1" x14ac:dyDescent="0.2">
      <c r="A4626">
        <v>4814</v>
      </c>
    </row>
    <row r="4627" spans="1:1" x14ac:dyDescent="0.2">
      <c r="A4627">
        <v>4815</v>
      </c>
    </row>
    <row r="4628" spans="1:1" x14ac:dyDescent="0.2">
      <c r="A4628">
        <v>4816</v>
      </c>
    </row>
    <row r="4629" spans="1:1" x14ac:dyDescent="0.2">
      <c r="A4629">
        <v>4817</v>
      </c>
    </row>
    <row r="4630" spans="1:1" x14ac:dyDescent="0.2">
      <c r="A4630">
        <v>4818</v>
      </c>
    </row>
    <row r="4631" spans="1:1" x14ac:dyDescent="0.2">
      <c r="A4631">
        <v>4819</v>
      </c>
    </row>
    <row r="4632" spans="1:1" x14ac:dyDescent="0.2">
      <c r="A4632">
        <v>4820</v>
      </c>
    </row>
    <row r="4633" spans="1:1" x14ac:dyDescent="0.2">
      <c r="A4633">
        <v>4821</v>
      </c>
    </row>
    <row r="4634" spans="1:1" x14ac:dyDescent="0.2">
      <c r="A4634">
        <v>4822</v>
      </c>
    </row>
    <row r="4635" spans="1:1" x14ac:dyDescent="0.2">
      <c r="A4635">
        <v>4823</v>
      </c>
    </row>
    <row r="4636" spans="1:1" x14ac:dyDescent="0.2">
      <c r="A4636">
        <v>4824</v>
      </c>
    </row>
    <row r="4637" spans="1:1" x14ac:dyDescent="0.2">
      <c r="A4637">
        <v>4825</v>
      </c>
    </row>
    <row r="4638" spans="1:1" x14ac:dyDescent="0.2">
      <c r="A4638">
        <v>4826</v>
      </c>
    </row>
    <row r="4639" spans="1:1" x14ac:dyDescent="0.2">
      <c r="A4639">
        <v>4827</v>
      </c>
    </row>
    <row r="4640" spans="1:1" x14ac:dyDescent="0.2">
      <c r="A4640">
        <v>4828</v>
      </c>
    </row>
    <row r="4641" spans="1:1" x14ac:dyDescent="0.2">
      <c r="A4641">
        <v>4829</v>
      </c>
    </row>
    <row r="4642" spans="1:1" x14ac:dyDescent="0.2">
      <c r="A4642">
        <v>4830</v>
      </c>
    </row>
    <row r="4643" spans="1:1" x14ac:dyDescent="0.2">
      <c r="A4643">
        <v>4831</v>
      </c>
    </row>
    <row r="4644" spans="1:1" x14ac:dyDescent="0.2">
      <c r="A4644">
        <v>4832</v>
      </c>
    </row>
    <row r="4645" spans="1:1" x14ac:dyDescent="0.2">
      <c r="A4645">
        <v>4833</v>
      </c>
    </row>
    <row r="4646" spans="1:1" x14ac:dyDescent="0.2">
      <c r="A4646">
        <v>4834</v>
      </c>
    </row>
    <row r="4647" spans="1:1" x14ac:dyDescent="0.2">
      <c r="A4647">
        <v>4835</v>
      </c>
    </row>
    <row r="4648" spans="1:1" x14ac:dyDescent="0.2">
      <c r="A4648">
        <v>4836</v>
      </c>
    </row>
    <row r="4649" spans="1:1" x14ac:dyDescent="0.2">
      <c r="A4649">
        <v>4837</v>
      </c>
    </row>
    <row r="4650" spans="1:1" x14ac:dyDescent="0.2">
      <c r="A4650">
        <v>4838</v>
      </c>
    </row>
    <row r="4651" spans="1:1" x14ac:dyDescent="0.2">
      <c r="A4651">
        <v>4839</v>
      </c>
    </row>
    <row r="4652" spans="1:1" x14ac:dyDescent="0.2">
      <c r="A4652">
        <v>4840</v>
      </c>
    </row>
    <row r="4653" spans="1:1" x14ac:dyDescent="0.2">
      <c r="A4653">
        <v>4841</v>
      </c>
    </row>
    <row r="4654" spans="1:1" x14ac:dyDescent="0.2">
      <c r="A4654">
        <v>4842</v>
      </c>
    </row>
    <row r="4655" spans="1:1" x14ac:dyDescent="0.2">
      <c r="A4655">
        <v>4843</v>
      </c>
    </row>
    <row r="4656" spans="1:1" x14ac:dyDescent="0.2">
      <c r="A4656">
        <v>4844</v>
      </c>
    </row>
    <row r="4657" spans="1:1" x14ac:dyDescent="0.2">
      <c r="A4657">
        <v>4845</v>
      </c>
    </row>
    <row r="4658" spans="1:1" x14ac:dyDescent="0.2">
      <c r="A4658">
        <v>4846</v>
      </c>
    </row>
    <row r="4659" spans="1:1" x14ac:dyDescent="0.2">
      <c r="A4659">
        <v>4847</v>
      </c>
    </row>
    <row r="4660" spans="1:1" x14ac:dyDescent="0.2">
      <c r="A4660">
        <v>4848</v>
      </c>
    </row>
    <row r="4661" spans="1:1" x14ac:dyDescent="0.2">
      <c r="A4661">
        <v>4849</v>
      </c>
    </row>
    <row r="4662" spans="1:1" x14ac:dyDescent="0.2">
      <c r="A4662">
        <v>4850</v>
      </c>
    </row>
    <row r="4663" spans="1:1" x14ac:dyDescent="0.2">
      <c r="A4663">
        <v>4851</v>
      </c>
    </row>
    <row r="4664" spans="1:1" x14ac:dyDescent="0.2">
      <c r="A4664">
        <v>4852</v>
      </c>
    </row>
    <row r="4665" spans="1:1" x14ac:dyDescent="0.2">
      <c r="A4665">
        <v>4853</v>
      </c>
    </row>
    <row r="4666" spans="1:1" x14ac:dyDescent="0.2">
      <c r="A4666">
        <v>4854</v>
      </c>
    </row>
    <row r="4667" spans="1:1" x14ac:dyDescent="0.2">
      <c r="A4667">
        <v>4855</v>
      </c>
    </row>
    <row r="4668" spans="1:1" x14ac:dyDescent="0.2">
      <c r="A4668">
        <v>4856</v>
      </c>
    </row>
    <row r="4669" spans="1:1" x14ac:dyDescent="0.2">
      <c r="A4669">
        <v>4857</v>
      </c>
    </row>
    <row r="4670" spans="1:1" x14ac:dyDescent="0.2">
      <c r="A4670">
        <v>4858</v>
      </c>
    </row>
    <row r="4671" spans="1:1" x14ac:dyDescent="0.2">
      <c r="A4671">
        <v>4859</v>
      </c>
    </row>
    <row r="4672" spans="1:1" x14ac:dyDescent="0.2">
      <c r="A4672">
        <v>4860</v>
      </c>
    </row>
    <row r="4673" spans="1:1" x14ac:dyDescent="0.2">
      <c r="A4673">
        <v>4861</v>
      </c>
    </row>
    <row r="4674" spans="1:1" x14ac:dyDescent="0.2">
      <c r="A4674">
        <v>4862</v>
      </c>
    </row>
    <row r="4675" spans="1:1" x14ac:dyDescent="0.2">
      <c r="A4675">
        <v>4863</v>
      </c>
    </row>
    <row r="4676" spans="1:1" x14ac:dyDescent="0.2">
      <c r="A4676">
        <v>4864</v>
      </c>
    </row>
    <row r="4677" spans="1:1" x14ac:dyDescent="0.2">
      <c r="A4677">
        <v>4865</v>
      </c>
    </row>
    <row r="4678" spans="1:1" x14ac:dyDescent="0.2">
      <c r="A4678">
        <v>4866</v>
      </c>
    </row>
    <row r="4679" spans="1:1" x14ac:dyDescent="0.2">
      <c r="A4679">
        <v>4867</v>
      </c>
    </row>
    <row r="4680" spans="1:1" x14ac:dyDescent="0.2">
      <c r="A4680">
        <v>4868</v>
      </c>
    </row>
    <row r="4681" spans="1:1" x14ac:dyDescent="0.2">
      <c r="A4681">
        <v>4869</v>
      </c>
    </row>
    <row r="4682" spans="1:1" x14ac:dyDescent="0.2">
      <c r="A4682">
        <v>4870</v>
      </c>
    </row>
    <row r="4683" spans="1:1" x14ac:dyDescent="0.2">
      <c r="A4683">
        <v>4871</v>
      </c>
    </row>
    <row r="4684" spans="1:1" x14ac:dyDescent="0.2">
      <c r="A4684">
        <v>4872</v>
      </c>
    </row>
    <row r="4685" spans="1:1" x14ac:dyDescent="0.2">
      <c r="A4685">
        <v>4873</v>
      </c>
    </row>
    <row r="4686" spans="1:1" x14ac:dyDescent="0.2">
      <c r="A4686">
        <v>4874</v>
      </c>
    </row>
    <row r="4687" spans="1:1" x14ac:dyDescent="0.2">
      <c r="A4687">
        <v>4875</v>
      </c>
    </row>
    <row r="4688" spans="1:1" x14ac:dyDescent="0.2">
      <c r="A4688">
        <v>4876</v>
      </c>
    </row>
    <row r="4689" spans="1:1" x14ac:dyDescent="0.2">
      <c r="A4689">
        <v>4877</v>
      </c>
    </row>
    <row r="4690" spans="1:1" x14ac:dyDescent="0.2">
      <c r="A4690">
        <v>4878</v>
      </c>
    </row>
    <row r="4691" spans="1:1" x14ac:dyDescent="0.2">
      <c r="A4691">
        <v>4879</v>
      </c>
    </row>
    <row r="4692" spans="1:1" x14ac:dyDescent="0.2">
      <c r="A4692">
        <v>4880</v>
      </c>
    </row>
    <row r="4693" spans="1:1" x14ac:dyDescent="0.2">
      <c r="A4693">
        <v>4881</v>
      </c>
    </row>
    <row r="4694" spans="1:1" x14ac:dyDescent="0.2">
      <c r="A4694">
        <v>4882</v>
      </c>
    </row>
    <row r="4695" spans="1:1" x14ac:dyDescent="0.2">
      <c r="A4695">
        <v>4883</v>
      </c>
    </row>
    <row r="4696" spans="1:1" x14ac:dyDescent="0.2">
      <c r="A4696">
        <v>4884</v>
      </c>
    </row>
    <row r="4697" spans="1:1" x14ac:dyDescent="0.2">
      <c r="A4697">
        <v>4885</v>
      </c>
    </row>
    <row r="4698" spans="1:1" x14ac:dyDescent="0.2">
      <c r="A4698">
        <v>4886</v>
      </c>
    </row>
    <row r="4699" spans="1:1" x14ac:dyDescent="0.2">
      <c r="A4699">
        <v>4887</v>
      </c>
    </row>
    <row r="4700" spans="1:1" x14ac:dyDescent="0.2">
      <c r="A4700">
        <v>4888</v>
      </c>
    </row>
    <row r="4701" spans="1:1" x14ac:dyDescent="0.2">
      <c r="A4701">
        <v>4889</v>
      </c>
    </row>
    <row r="4702" spans="1:1" x14ac:dyDescent="0.2">
      <c r="A4702">
        <v>4890</v>
      </c>
    </row>
    <row r="4703" spans="1:1" x14ac:dyDescent="0.2">
      <c r="A4703">
        <v>4891</v>
      </c>
    </row>
    <row r="4704" spans="1:1" x14ac:dyDescent="0.2">
      <c r="A4704">
        <v>4892</v>
      </c>
    </row>
    <row r="4705" spans="1:1" x14ac:dyDescent="0.2">
      <c r="A4705">
        <v>4893</v>
      </c>
    </row>
    <row r="4706" spans="1:1" x14ac:dyDescent="0.2">
      <c r="A4706">
        <v>4894</v>
      </c>
    </row>
    <row r="4707" spans="1:1" x14ac:dyDescent="0.2">
      <c r="A4707">
        <v>4895</v>
      </c>
    </row>
    <row r="4708" spans="1:1" x14ac:dyDescent="0.2">
      <c r="A4708">
        <v>4896</v>
      </c>
    </row>
    <row r="4709" spans="1:1" x14ac:dyDescent="0.2">
      <c r="A4709">
        <v>4897</v>
      </c>
    </row>
    <row r="4710" spans="1:1" x14ac:dyDescent="0.2">
      <c r="A4710">
        <v>4898</v>
      </c>
    </row>
    <row r="4711" spans="1:1" x14ac:dyDescent="0.2">
      <c r="A4711">
        <v>4899</v>
      </c>
    </row>
    <row r="4712" spans="1:1" x14ac:dyDescent="0.2">
      <c r="A4712">
        <v>4900</v>
      </c>
    </row>
    <row r="4713" spans="1:1" x14ac:dyDescent="0.2">
      <c r="A4713">
        <v>4901</v>
      </c>
    </row>
    <row r="4714" spans="1:1" x14ac:dyDescent="0.2">
      <c r="A4714">
        <v>4902</v>
      </c>
    </row>
    <row r="4715" spans="1:1" x14ac:dyDescent="0.2">
      <c r="A4715">
        <v>4903</v>
      </c>
    </row>
    <row r="4716" spans="1:1" x14ac:dyDescent="0.2">
      <c r="A4716">
        <v>4904</v>
      </c>
    </row>
    <row r="4717" spans="1:1" x14ac:dyDescent="0.2">
      <c r="A4717">
        <v>4905</v>
      </c>
    </row>
    <row r="4718" spans="1:1" x14ac:dyDescent="0.2">
      <c r="A4718">
        <v>4906</v>
      </c>
    </row>
    <row r="4719" spans="1:1" x14ac:dyDescent="0.2">
      <c r="A4719">
        <v>4907</v>
      </c>
    </row>
    <row r="4720" spans="1:1" x14ac:dyDescent="0.2">
      <c r="A4720">
        <v>4908</v>
      </c>
    </row>
    <row r="4721" spans="1:1" x14ac:dyDescent="0.2">
      <c r="A4721">
        <v>4909</v>
      </c>
    </row>
    <row r="4722" spans="1:1" x14ac:dyDescent="0.2">
      <c r="A4722">
        <v>4910</v>
      </c>
    </row>
    <row r="4723" spans="1:1" x14ac:dyDescent="0.2">
      <c r="A4723">
        <v>4911</v>
      </c>
    </row>
    <row r="4724" spans="1:1" x14ac:dyDescent="0.2">
      <c r="A4724">
        <v>4912</v>
      </c>
    </row>
    <row r="4725" spans="1:1" x14ac:dyDescent="0.2">
      <c r="A4725">
        <v>4913</v>
      </c>
    </row>
    <row r="4726" spans="1:1" x14ac:dyDescent="0.2">
      <c r="A4726">
        <v>4914</v>
      </c>
    </row>
    <row r="4727" spans="1:1" x14ac:dyDescent="0.2">
      <c r="A4727">
        <v>4915</v>
      </c>
    </row>
    <row r="4728" spans="1:1" x14ac:dyDescent="0.2">
      <c r="A4728">
        <v>4916</v>
      </c>
    </row>
    <row r="4729" spans="1:1" x14ac:dyDescent="0.2">
      <c r="A4729">
        <v>4917</v>
      </c>
    </row>
    <row r="4730" spans="1:1" x14ac:dyDescent="0.2">
      <c r="A4730">
        <v>4918</v>
      </c>
    </row>
    <row r="4731" spans="1:1" x14ac:dyDescent="0.2">
      <c r="A4731">
        <v>4919</v>
      </c>
    </row>
    <row r="4732" spans="1:1" x14ac:dyDescent="0.2">
      <c r="A4732">
        <v>4920</v>
      </c>
    </row>
    <row r="4733" spans="1:1" x14ac:dyDescent="0.2">
      <c r="A4733">
        <v>4921</v>
      </c>
    </row>
    <row r="4734" spans="1:1" x14ac:dyDescent="0.2">
      <c r="A4734">
        <v>4922</v>
      </c>
    </row>
    <row r="4735" spans="1:1" x14ac:dyDescent="0.2">
      <c r="A4735">
        <v>4923</v>
      </c>
    </row>
    <row r="4736" spans="1:1" x14ac:dyDescent="0.2">
      <c r="A4736">
        <v>4924</v>
      </c>
    </row>
    <row r="4737" spans="1:1" x14ac:dyDescent="0.2">
      <c r="A4737">
        <v>4925</v>
      </c>
    </row>
    <row r="4738" spans="1:1" x14ac:dyDescent="0.2">
      <c r="A4738">
        <v>4926</v>
      </c>
    </row>
    <row r="4739" spans="1:1" x14ac:dyDescent="0.2">
      <c r="A4739">
        <v>4927</v>
      </c>
    </row>
    <row r="4740" spans="1:1" x14ac:dyDescent="0.2">
      <c r="A4740">
        <v>4928</v>
      </c>
    </row>
    <row r="4741" spans="1:1" x14ac:dyDescent="0.2">
      <c r="A4741">
        <v>4929</v>
      </c>
    </row>
    <row r="4742" spans="1:1" x14ac:dyDescent="0.2">
      <c r="A4742">
        <v>4930</v>
      </c>
    </row>
    <row r="4743" spans="1:1" x14ac:dyDescent="0.2">
      <c r="A4743">
        <v>4931</v>
      </c>
    </row>
    <row r="4744" spans="1:1" x14ac:dyDescent="0.2">
      <c r="A4744">
        <v>4932</v>
      </c>
    </row>
    <row r="4745" spans="1:1" x14ac:dyDescent="0.2">
      <c r="A4745">
        <v>4933</v>
      </c>
    </row>
    <row r="4746" spans="1:1" x14ac:dyDescent="0.2">
      <c r="A4746">
        <v>4934</v>
      </c>
    </row>
    <row r="4747" spans="1:1" x14ac:dyDescent="0.2">
      <c r="A4747">
        <v>4935</v>
      </c>
    </row>
    <row r="4748" spans="1:1" x14ac:dyDescent="0.2">
      <c r="A4748">
        <v>4936</v>
      </c>
    </row>
    <row r="4749" spans="1:1" x14ac:dyDescent="0.2">
      <c r="A4749">
        <v>4937</v>
      </c>
    </row>
    <row r="4750" spans="1:1" x14ac:dyDescent="0.2">
      <c r="A4750">
        <v>4938</v>
      </c>
    </row>
    <row r="4751" spans="1:1" x14ac:dyDescent="0.2">
      <c r="A4751">
        <v>4939</v>
      </c>
    </row>
    <row r="4752" spans="1:1" x14ac:dyDescent="0.2">
      <c r="A4752">
        <v>4940</v>
      </c>
    </row>
    <row r="4753" spans="1:1" x14ac:dyDescent="0.2">
      <c r="A4753">
        <v>4941</v>
      </c>
    </row>
    <row r="4754" spans="1:1" x14ac:dyDescent="0.2">
      <c r="A4754">
        <v>4942</v>
      </c>
    </row>
    <row r="4755" spans="1:1" x14ac:dyDescent="0.2">
      <c r="A4755">
        <v>4943</v>
      </c>
    </row>
    <row r="4756" spans="1:1" x14ac:dyDescent="0.2">
      <c r="A4756">
        <v>4944</v>
      </c>
    </row>
    <row r="4757" spans="1:1" x14ac:dyDescent="0.2">
      <c r="A4757">
        <v>4945</v>
      </c>
    </row>
    <row r="4758" spans="1:1" x14ac:dyDescent="0.2">
      <c r="A4758">
        <v>4946</v>
      </c>
    </row>
    <row r="4759" spans="1:1" x14ac:dyDescent="0.2">
      <c r="A4759">
        <v>4947</v>
      </c>
    </row>
    <row r="4760" spans="1:1" x14ac:dyDescent="0.2">
      <c r="A4760">
        <v>4948</v>
      </c>
    </row>
    <row r="4761" spans="1:1" x14ac:dyDescent="0.2">
      <c r="A4761">
        <v>4949</v>
      </c>
    </row>
    <row r="4762" spans="1:1" x14ac:dyDescent="0.2">
      <c r="A4762">
        <v>4950</v>
      </c>
    </row>
    <row r="4763" spans="1:1" x14ac:dyDescent="0.2">
      <c r="A4763">
        <v>4951</v>
      </c>
    </row>
    <row r="4764" spans="1:1" x14ac:dyDescent="0.2">
      <c r="A4764">
        <v>4952</v>
      </c>
    </row>
    <row r="4765" spans="1:1" x14ac:dyDescent="0.2">
      <c r="A4765">
        <v>4953</v>
      </c>
    </row>
    <row r="4766" spans="1:1" x14ac:dyDescent="0.2">
      <c r="A4766">
        <v>4954</v>
      </c>
    </row>
    <row r="4767" spans="1:1" x14ac:dyDescent="0.2">
      <c r="A4767">
        <v>4955</v>
      </c>
    </row>
    <row r="4768" spans="1:1" x14ac:dyDescent="0.2">
      <c r="A4768">
        <v>4956</v>
      </c>
    </row>
    <row r="4769" spans="1:1" x14ac:dyDescent="0.2">
      <c r="A4769">
        <v>4957</v>
      </c>
    </row>
    <row r="4770" spans="1:1" x14ac:dyDescent="0.2">
      <c r="A4770">
        <v>4958</v>
      </c>
    </row>
    <row r="4771" spans="1:1" x14ac:dyDescent="0.2">
      <c r="A4771">
        <v>4959</v>
      </c>
    </row>
    <row r="4772" spans="1:1" x14ac:dyDescent="0.2">
      <c r="A4772">
        <v>4960</v>
      </c>
    </row>
    <row r="4773" spans="1:1" x14ac:dyDescent="0.2">
      <c r="A4773">
        <v>4961</v>
      </c>
    </row>
    <row r="4774" spans="1:1" x14ac:dyDescent="0.2">
      <c r="A4774">
        <v>4962</v>
      </c>
    </row>
    <row r="4775" spans="1:1" x14ac:dyDescent="0.2">
      <c r="A4775">
        <v>4963</v>
      </c>
    </row>
    <row r="4776" spans="1:1" x14ac:dyDescent="0.2">
      <c r="A4776">
        <v>4964</v>
      </c>
    </row>
    <row r="4777" spans="1:1" x14ac:dyDescent="0.2">
      <c r="A4777">
        <v>4965</v>
      </c>
    </row>
    <row r="4778" spans="1:1" x14ac:dyDescent="0.2">
      <c r="A4778">
        <v>4966</v>
      </c>
    </row>
    <row r="4779" spans="1:1" x14ac:dyDescent="0.2">
      <c r="A4779">
        <v>4967</v>
      </c>
    </row>
    <row r="4780" spans="1:1" x14ac:dyDescent="0.2">
      <c r="A4780">
        <v>4968</v>
      </c>
    </row>
    <row r="4781" spans="1:1" x14ac:dyDescent="0.2">
      <c r="A4781">
        <v>4969</v>
      </c>
    </row>
    <row r="4782" spans="1:1" x14ac:dyDescent="0.2">
      <c r="A4782">
        <v>4970</v>
      </c>
    </row>
    <row r="4783" spans="1:1" x14ac:dyDescent="0.2">
      <c r="A4783">
        <v>4971</v>
      </c>
    </row>
    <row r="4784" spans="1:1" x14ac:dyDescent="0.2">
      <c r="A4784">
        <v>4972</v>
      </c>
    </row>
    <row r="4785" spans="1:1" x14ac:dyDescent="0.2">
      <c r="A4785">
        <v>4973</v>
      </c>
    </row>
    <row r="4786" spans="1:1" x14ac:dyDescent="0.2">
      <c r="A4786">
        <v>4974</v>
      </c>
    </row>
    <row r="4787" spans="1:1" x14ac:dyDescent="0.2">
      <c r="A4787">
        <v>4975</v>
      </c>
    </row>
    <row r="4788" spans="1:1" x14ac:dyDescent="0.2">
      <c r="A4788">
        <v>4976</v>
      </c>
    </row>
    <row r="4789" spans="1:1" x14ac:dyDescent="0.2">
      <c r="A4789">
        <v>4977</v>
      </c>
    </row>
    <row r="4790" spans="1:1" x14ac:dyDescent="0.2">
      <c r="A4790">
        <v>4978</v>
      </c>
    </row>
    <row r="4791" spans="1:1" x14ac:dyDescent="0.2">
      <c r="A4791">
        <v>4979</v>
      </c>
    </row>
    <row r="4792" spans="1:1" x14ac:dyDescent="0.2">
      <c r="A4792">
        <v>4980</v>
      </c>
    </row>
    <row r="4793" spans="1:1" x14ac:dyDescent="0.2">
      <c r="A4793">
        <v>4981</v>
      </c>
    </row>
    <row r="4794" spans="1:1" x14ac:dyDescent="0.2">
      <c r="A4794">
        <v>4982</v>
      </c>
    </row>
    <row r="4795" spans="1:1" x14ac:dyDescent="0.2">
      <c r="A4795">
        <v>4983</v>
      </c>
    </row>
    <row r="4796" spans="1:1" x14ac:dyDescent="0.2">
      <c r="A4796">
        <v>4984</v>
      </c>
    </row>
    <row r="4797" spans="1:1" x14ac:dyDescent="0.2">
      <c r="A4797">
        <v>4985</v>
      </c>
    </row>
    <row r="4798" spans="1:1" x14ac:dyDescent="0.2">
      <c r="A4798">
        <v>4986</v>
      </c>
    </row>
    <row r="4799" spans="1:1" x14ac:dyDescent="0.2">
      <c r="A4799">
        <v>4987</v>
      </c>
    </row>
    <row r="4800" spans="1:1" x14ac:dyDescent="0.2">
      <c r="A4800">
        <v>4988</v>
      </c>
    </row>
    <row r="4801" spans="1:1" x14ac:dyDescent="0.2">
      <c r="A4801">
        <v>4989</v>
      </c>
    </row>
    <row r="4802" spans="1:1" x14ac:dyDescent="0.2">
      <c r="A4802">
        <v>4990</v>
      </c>
    </row>
    <row r="4803" spans="1:1" x14ac:dyDescent="0.2">
      <c r="A4803">
        <v>4991</v>
      </c>
    </row>
    <row r="4804" spans="1:1" x14ac:dyDescent="0.2">
      <c r="A4804">
        <v>4992</v>
      </c>
    </row>
    <row r="4805" spans="1:1" x14ac:dyDescent="0.2">
      <c r="A4805">
        <v>4993</v>
      </c>
    </row>
    <row r="4806" spans="1:1" x14ac:dyDescent="0.2">
      <c r="A4806">
        <v>4994</v>
      </c>
    </row>
    <row r="4807" spans="1:1" x14ac:dyDescent="0.2">
      <c r="A4807">
        <v>4995</v>
      </c>
    </row>
    <row r="4808" spans="1:1" x14ac:dyDescent="0.2">
      <c r="A4808">
        <v>4996</v>
      </c>
    </row>
    <row r="4809" spans="1:1" x14ac:dyDescent="0.2">
      <c r="A4809">
        <v>4997</v>
      </c>
    </row>
    <row r="4810" spans="1:1" x14ac:dyDescent="0.2">
      <c r="A4810">
        <v>4998</v>
      </c>
    </row>
    <row r="4811" spans="1:1" x14ac:dyDescent="0.2">
      <c r="A4811">
        <v>4999</v>
      </c>
    </row>
    <row r="4812" spans="1:1" x14ac:dyDescent="0.2">
      <c r="A4812">
        <v>5000</v>
      </c>
    </row>
    <row r="4813" spans="1:1" x14ac:dyDescent="0.2">
      <c r="A4813">
        <v>5001</v>
      </c>
    </row>
    <row r="4814" spans="1:1" x14ac:dyDescent="0.2">
      <c r="A4814">
        <v>5002</v>
      </c>
    </row>
    <row r="4815" spans="1:1" x14ac:dyDescent="0.2">
      <c r="A4815">
        <v>5003</v>
      </c>
    </row>
    <row r="4816" spans="1:1" x14ac:dyDescent="0.2">
      <c r="A4816">
        <v>5004</v>
      </c>
    </row>
    <row r="4817" spans="1:1" x14ac:dyDescent="0.2">
      <c r="A4817">
        <v>5005</v>
      </c>
    </row>
    <row r="4818" spans="1:1" x14ac:dyDescent="0.2">
      <c r="A4818">
        <v>5006</v>
      </c>
    </row>
    <row r="4819" spans="1:1" x14ac:dyDescent="0.2">
      <c r="A4819">
        <v>5007</v>
      </c>
    </row>
    <row r="4820" spans="1:1" x14ac:dyDescent="0.2">
      <c r="A4820">
        <v>5008</v>
      </c>
    </row>
    <row r="4821" spans="1:1" x14ac:dyDescent="0.2">
      <c r="A4821">
        <v>5009</v>
      </c>
    </row>
    <row r="4822" spans="1:1" x14ac:dyDescent="0.2">
      <c r="A4822">
        <v>5010</v>
      </c>
    </row>
    <row r="4823" spans="1:1" x14ac:dyDescent="0.2">
      <c r="A4823">
        <v>5011</v>
      </c>
    </row>
    <row r="4824" spans="1:1" x14ac:dyDescent="0.2">
      <c r="A4824">
        <v>5012</v>
      </c>
    </row>
    <row r="4825" spans="1:1" x14ac:dyDescent="0.2">
      <c r="A4825">
        <v>5013</v>
      </c>
    </row>
    <row r="4826" spans="1:1" x14ac:dyDescent="0.2">
      <c r="A4826">
        <v>5014</v>
      </c>
    </row>
    <row r="4827" spans="1:1" x14ac:dyDescent="0.2">
      <c r="A4827">
        <v>5015</v>
      </c>
    </row>
    <row r="4828" spans="1:1" x14ac:dyDescent="0.2">
      <c r="A4828">
        <v>5016</v>
      </c>
    </row>
    <row r="4829" spans="1:1" x14ac:dyDescent="0.2">
      <c r="A4829">
        <v>5017</v>
      </c>
    </row>
    <row r="4830" spans="1:1" x14ac:dyDescent="0.2">
      <c r="A4830">
        <v>5018</v>
      </c>
    </row>
    <row r="4831" spans="1:1" x14ac:dyDescent="0.2">
      <c r="A4831">
        <v>5019</v>
      </c>
    </row>
    <row r="4832" spans="1:1" x14ac:dyDescent="0.2">
      <c r="A4832">
        <v>5020</v>
      </c>
    </row>
    <row r="4833" spans="1:1" x14ac:dyDescent="0.2">
      <c r="A4833">
        <v>5021</v>
      </c>
    </row>
    <row r="4834" spans="1:1" x14ac:dyDescent="0.2">
      <c r="A4834">
        <v>5022</v>
      </c>
    </row>
    <row r="4835" spans="1:1" x14ac:dyDescent="0.2">
      <c r="A4835">
        <v>5023</v>
      </c>
    </row>
    <row r="4836" spans="1:1" x14ac:dyDescent="0.2">
      <c r="A4836">
        <v>5024</v>
      </c>
    </row>
    <row r="4837" spans="1:1" x14ac:dyDescent="0.2">
      <c r="A4837">
        <v>5025</v>
      </c>
    </row>
    <row r="4838" spans="1:1" x14ac:dyDescent="0.2">
      <c r="A4838">
        <v>5026</v>
      </c>
    </row>
    <row r="4839" spans="1:1" x14ac:dyDescent="0.2">
      <c r="A4839">
        <v>5027</v>
      </c>
    </row>
    <row r="4840" spans="1:1" x14ac:dyDescent="0.2">
      <c r="A4840">
        <v>5028</v>
      </c>
    </row>
    <row r="4841" spans="1:1" x14ac:dyDescent="0.2">
      <c r="A4841">
        <v>5029</v>
      </c>
    </row>
    <row r="4842" spans="1:1" x14ac:dyDescent="0.2">
      <c r="A4842">
        <v>5030</v>
      </c>
    </row>
    <row r="4843" spans="1:1" x14ac:dyDescent="0.2">
      <c r="A4843">
        <v>5031</v>
      </c>
    </row>
    <row r="4844" spans="1:1" x14ac:dyDescent="0.2">
      <c r="A4844">
        <v>5032</v>
      </c>
    </row>
    <row r="4845" spans="1:1" x14ac:dyDescent="0.2">
      <c r="A4845">
        <v>5033</v>
      </c>
    </row>
    <row r="4846" spans="1:1" x14ac:dyDescent="0.2">
      <c r="A4846">
        <v>5034</v>
      </c>
    </row>
    <row r="4847" spans="1:1" x14ac:dyDescent="0.2">
      <c r="A4847">
        <v>5035</v>
      </c>
    </row>
    <row r="4848" spans="1:1" x14ac:dyDescent="0.2">
      <c r="A4848">
        <v>5036</v>
      </c>
    </row>
    <row r="4849" spans="1:1" x14ac:dyDescent="0.2">
      <c r="A4849">
        <v>5037</v>
      </c>
    </row>
    <row r="4850" spans="1:1" x14ac:dyDescent="0.2">
      <c r="A4850">
        <v>5038</v>
      </c>
    </row>
    <row r="4851" spans="1:1" x14ac:dyDescent="0.2">
      <c r="A4851">
        <v>5039</v>
      </c>
    </row>
    <row r="4852" spans="1:1" x14ac:dyDescent="0.2">
      <c r="A4852">
        <v>5040</v>
      </c>
    </row>
    <row r="4853" spans="1:1" x14ac:dyDescent="0.2">
      <c r="A4853">
        <v>5041</v>
      </c>
    </row>
    <row r="4854" spans="1:1" x14ac:dyDescent="0.2">
      <c r="A4854">
        <v>5042</v>
      </c>
    </row>
    <row r="4855" spans="1:1" x14ac:dyDescent="0.2">
      <c r="A4855">
        <v>5043</v>
      </c>
    </row>
    <row r="4856" spans="1:1" x14ac:dyDescent="0.2">
      <c r="A4856">
        <v>5044</v>
      </c>
    </row>
    <row r="4857" spans="1:1" x14ac:dyDescent="0.2">
      <c r="A4857">
        <v>5045</v>
      </c>
    </row>
    <row r="4858" spans="1:1" x14ac:dyDescent="0.2">
      <c r="A4858">
        <v>5046</v>
      </c>
    </row>
    <row r="4859" spans="1:1" x14ac:dyDescent="0.2">
      <c r="A4859">
        <v>5047</v>
      </c>
    </row>
    <row r="4860" spans="1:1" x14ac:dyDescent="0.2">
      <c r="A4860">
        <v>5048</v>
      </c>
    </row>
    <row r="4861" spans="1:1" x14ac:dyDescent="0.2">
      <c r="A4861">
        <v>5049</v>
      </c>
    </row>
    <row r="4862" spans="1:1" x14ac:dyDescent="0.2">
      <c r="A4862">
        <v>5050</v>
      </c>
    </row>
    <row r="4863" spans="1:1" x14ac:dyDescent="0.2">
      <c r="A4863">
        <v>5051</v>
      </c>
    </row>
    <row r="4864" spans="1:1" x14ac:dyDescent="0.2">
      <c r="A4864">
        <v>5052</v>
      </c>
    </row>
    <row r="4865" spans="1:1" x14ac:dyDescent="0.2">
      <c r="A4865">
        <v>5053</v>
      </c>
    </row>
    <row r="4866" spans="1:1" x14ac:dyDescent="0.2">
      <c r="A4866">
        <v>5054</v>
      </c>
    </row>
    <row r="4867" spans="1:1" x14ac:dyDescent="0.2">
      <c r="A4867">
        <v>5055</v>
      </c>
    </row>
    <row r="4868" spans="1:1" x14ac:dyDescent="0.2">
      <c r="A4868">
        <v>5056</v>
      </c>
    </row>
    <row r="4869" spans="1:1" x14ac:dyDescent="0.2">
      <c r="A4869">
        <v>5057</v>
      </c>
    </row>
    <row r="4870" spans="1:1" x14ac:dyDescent="0.2">
      <c r="A4870">
        <v>5058</v>
      </c>
    </row>
    <row r="4871" spans="1:1" x14ac:dyDescent="0.2">
      <c r="A4871">
        <v>5059</v>
      </c>
    </row>
    <row r="4872" spans="1:1" x14ac:dyDescent="0.2">
      <c r="A4872">
        <v>5060</v>
      </c>
    </row>
    <row r="4873" spans="1:1" x14ac:dyDescent="0.2">
      <c r="A4873">
        <v>5061</v>
      </c>
    </row>
    <row r="4874" spans="1:1" x14ac:dyDescent="0.2">
      <c r="A4874">
        <v>5062</v>
      </c>
    </row>
    <row r="4875" spans="1:1" x14ac:dyDescent="0.2">
      <c r="A4875">
        <v>5063</v>
      </c>
    </row>
    <row r="4876" spans="1:1" x14ac:dyDescent="0.2">
      <c r="A4876">
        <v>5064</v>
      </c>
    </row>
    <row r="4877" spans="1:1" x14ac:dyDescent="0.2">
      <c r="A4877">
        <v>5065</v>
      </c>
    </row>
    <row r="4878" spans="1:1" x14ac:dyDescent="0.2">
      <c r="A4878">
        <v>5066</v>
      </c>
    </row>
    <row r="4879" spans="1:1" x14ac:dyDescent="0.2">
      <c r="A4879">
        <v>5067</v>
      </c>
    </row>
    <row r="4880" spans="1:1" x14ac:dyDescent="0.2">
      <c r="A4880">
        <v>5068</v>
      </c>
    </row>
    <row r="4881" spans="1:1" x14ac:dyDescent="0.2">
      <c r="A4881">
        <v>5069</v>
      </c>
    </row>
    <row r="4882" spans="1:1" x14ac:dyDescent="0.2">
      <c r="A4882">
        <v>5070</v>
      </c>
    </row>
    <row r="4883" spans="1:1" x14ac:dyDescent="0.2">
      <c r="A4883">
        <v>5071</v>
      </c>
    </row>
    <row r="4884" spans="1:1" x14ac:dyDescent="0.2">
      <c r="A4884">
        <v>5072</v>
      </c>
    </row>
    <row r="4885" spans="1:1" x14ac:dyDescent="0.2">
      <c r="A4885">
        <v>5073</v>
      </c>
    </row>
    <row r="4886" spans="1:1" x14ac:dyDescent="0.2">
      <c r="A4886">
        <v>5074</v>
      </c>
    </row>
    <row r="4887" spans="1:1" x14ac:dyDescent="0.2">
      <c r="A4887">
        <v>5075</v>
      </c>
    </row>
    <row r="4888" spans="1:1" x14ac:dyDescent="0.2">
      <c r="A4888">
        <v>5076</v>
      </c>
    </row>
    <row r="4889" spans="1:1" x14ac:dyDescent="0.2">
      <c r="A4889">
        <v>5077</v>
      </c>
    </row>
    <row r="4890" spans="1:1" x14ac:dyDescent="0.2">
      <c r="A4890">
        <v>5078</v>
      </c>
    </row>
    <row r="4891" spans="1:1" x14ac:dyDescent="0.2">
      <c r="A4891">
        <v>5079</v>
      </c>
    </row>
    <row r="4892" spans="1:1" x14ac:dyDescent="0.2">
      <c r="A4892">
        <v>5080</v>
      </c>
    </row>
    <row r="4893" spans="1:1" x14ac:dyDescent="0.2">
      <c r="A4893">
        <v>5081</v>
      </c>
    </row>
    <row r="4894" spans="1:1" x14ac:dyDescent="0.2">
      <c r="A4894">
        <v>5082</v>
      </c>
    </row>
    <row r="4895" spans="1:1" x14ac:dyDescent="0.2">
      <c r="A4895">
        <v>5083</v>
      </c>
    </row>
    <row r="4896" spans="1:1" x14ac:dyDescent="0.2">
      <c r="A4896">
        <v>5084</v>
      </c>
    </row>
    <row r="4897" spans="1:1" x14ac:dyDescent="0.2">
      <c r="A4897">
        <v>5085</v>
      </c>
    </row>
    <row r="4898" spans="1:1" x14ac:dyDescent="0.2">
      <c r="A4898">
        <v>5086</v>
      </c>
    </row>
    <row r="4899" spans="1:1" x14ac:dyDescent="0.2">
      <c r="A4899">
        <v>5087</v>
      </c>
    </row>
    <row r="4900" spans="1:1" x14ac:dyDescent="0.2">
      <c r="A4900">
        <v>5088</v>
      </c>
    </row>
    <row r="4901" spans="1:1" x14ac:dyDescent="0.2">
      <c r="A4901">
        <v>5089</v>
      </c>
    </row>
    <row r="4902" spans="1:1" x14ac:dyDescent="0.2">
      <c r="A4902">
        <v>5090</v>
      </c>
    </row>
    <row r="4903" spans="1:1" x14ac:dyDescent="0.2">
      <c r="A4903">
        <v>5091</v>
      </c>
    </row>
    <row r="4904" spans="1:1" x14ac:dyDescent="0.2">
      <c r="A4904">
        <v>5092</v>
      </c>
    </row>
    <row r="4905" spans="1:1" x14ac:dyDescent="0.2">
      <c r="A4905">
        <v>5093</v>
      </c>
    </row>
    <row r="4906" spans="1:1" x14ac:dyDescent="0.2">
      <c r="A4906">
        <v>5094</v>
      </c>
    </row>
    <row r="4907" spans="1:1" x14ac:dyDescent="0.2">
      <c r="A4907">
        <v>5095</v>
      </c>
    </row>
    <row r="4908" spans="1:1" x14ac:dyDescent="0.2">
      <c r="A4908">
        <v>5096</v>
      </c>
    </row>
    <row r="4909" spans="1:1" x14ac:dyDescent="0.2">
      <c r="A4909">
        <v>5097</v>
      </c>
    </row>
    <row r="4910" spans="1:1" x14ac:dyDescent="0.2">
      <c r="A4910">
        <v>5098</v>
      </c>
    </row>
    <row r="4911" spans="1:1" x14ac:dyDescent="0.2">
      <c r="A4911">
        <v>5099</v>
      </c>
    </row>
    <row r="4912" spans="1:1" x14ac:dyDescent="0.2">
      <c r="A4912">
        <v>5100</v>
      </c>
    </row>
    <row r="4913" spans="1:1" x14ac:dyDescent="0.2">
      <c r="A4913">
        <v>5101</v>
      </c>
    </row>
    <row r="4914" spans="1:1" x14ac:dyDescent="0.2">
      <c r="A4914">
        <v>5102</v>
      </c>
    </row>
    <row r="4915" spans="1:1" x14ac:dyDescent="0.2">
      <c r="A4915">
        <v>5103</v>
      </c>
    </row>
    <row r="4916" spans="1:1" x14ac:dyDescent="0.2">
      <c r="A4916">
        <v>5104</v>
      </c>
    </row>
    <row r="4917" spans="1:1" x14ac:dyDescent="0.2">
      <c r="A4917">
        <v>5105</v>
      </c>
    </row>
    <row r="4918" spans="1:1" x14ac:dyDescent="0.2">
      <c r="A4918">
        <v>5106</v>
      </c>
    </row>
    <row r="4919" spans="1:1" x14ac:dyDescent="0.2">
      <c r="A4919">
        <v>5107</v>
      </c>
    </row>
    <row r="4920" spans="1:1" x14ac:dyDescent="0.2">
      <c r="A4920">
        <v>5108</v>
      </c>
    </row>
    <row r="4921" spans="1:1" x14ac:dyDescent="0.2">
      <c r="A4921">
        <v>5109</v>
      </c>
    </row>
    <row r="4922" spans="1:1" x14ac:dyDescent="0.2">
      <c r="A4922">
        <v>5110</v>
      </c>
    </row>
    <row r="4923" spans="1:1" x14ac:dyDescent="0.2">
      <c r="A4923">
        <v>5111</v>
      </c>
    </row>
    <row r="4924" spans="1:1" x14ac:dyDescent="0.2">
      <c r="A4924">
        <v>5112</v>
      </c>
    </row>
    <row r="4925" spans="1:1" x14ac:dyDescent="0.2">
      <c r="A4925">
        <v>5113</v>
      </c>
    </row>
    <row r="4926" spans="1:1" x14ac:dyDescent="0.2">
      <c r="A4926">
        <v>5114</v>
      </c>
    </row>
    <row r="4927" spans="1:1" x14ac:dyDescent="0.2">
      <c r="A4927">
        <v>5115</v>
      </c>
    </row>
    <row r="4928" spans="1:1" x14ac:dyDescent="0.2">
      <c r="A4928">
        <v>5116</v>
      </c>
    </row>
    <row r="4929" spans="1:1" x14ac:dyDescent="0.2">
      <c r="A4929">
        <v>5117</v>
      </c>
    </row>
    <row r="4930" spans="1:1" x14ac:dyDescent="0.2">
      <c r="A4930">
        <v>5118</v>
      </c>
    </row>
    <row r="4931" spans="1:1" x14ac:dyDescent="0.2">
      <c r="A4931">
        <v>5119</v>
      </c>
    </row>
    <row r="4932" spans="1:1" x14ac:dyDescent="0.2">
      <c r="A4932">
        <v>5120</v>
      </c>
    </row>
    <row r="4933" spans="1:1" x14ac:dyDescent="0.2">
      <c r="A4933">
        <v>5121</v>
      </c>
    </row>
    <row r="4934" spans="1:1" x14ac:dyDescent="0.2">
      <c r="A4934">
        <v>5122</v>
      </c>
    </row>
    <row r="4935" spans="1:1" x14ac:dyDescent="0.2">
      <c r="A4935">
        <v>5123</v>
      </c>
    </row>
    <row r="4936" spans="1:1" x14ac:dyDescent="0.2">
      <c r="A4936">
        <v>5124</v>
      </c>
    </row>
    <row r="4937" spans="1:1" x14ac:dyDescent="0.2">
      <c r="A4937">
        <v>5125</v>
      </c>
    </row>
    <row r="4938" spans="1:1" x14ac:dyDescent="0.2">
      <c r="A4938">
        <v>5126</v>
      </c>
    </row>
    <row r="4939" spans="1:1" x14ac:dyDescent="0.2">
      <c r="A4939">
        <v>5127</v>
      </c>
    </row>
    <row r="4940" spans="1:1" x14ac:dyDescent="0.2">
      <c r="A4940">
        <v>5128</v>
      </c>
    </row>
    <row r="4941" spans="1:1" x14ac:dyDescent="0.2">
      <c r="A4941">
        <v>5129</v>
      </c>
    </row>
    <row r="4942" spans="1:1" x14ac:dyDescent="0.2">
      <c r="A4942">
        <v>5130</v>
      </c>
    </row>
    <row r="4943" spans="1:1" x14ac:dyDescent="0.2">
      <c r="A4943">
        <v>5131</v>
      </c>
    </row>
    <row r="4944" spans="1:1" x14ac:dyDescent="0.2">
      <c r="A4944">
        <v>5132</v>
      </c>
    </row>
    <row r="4945" spans="1:1" x14ac:dyDescent="0.2">
      <c r="A4945">
        <v>5133</v>
      </c>
    </row>
    <row r="4946" spans="1:1" x14ac:dyDescent="0.2">
      <c r="A4946">
        <v>5134</v>
      </c>
    </row>
    <row r="4947" spans="1:1" x14ac:dyDescent="0.2">
      <c r="A4947">
        <v>5135</v>
      </c>
    </row>
    <row r="4948" spans="1:1" x14ac:dyDescent="0.2">
      <c r="A4948">
        <v>5136</v>
      </c>
    </row>
    <row r="4949" spans="1:1" x14ac:dyDescent="0.2">
      <c r="A4949">
        <v>5137</v>
      </c>
    </row>
    <row r="4950" spans="1:1" x14ac:dyDescent="0.2">
      <c r="A4950">
        <v>5138</v>
      </c>
    </row>
    <row r="4951" spans="1:1" x14ac:dyDescent="0.2">
      <c r="A4951">
        <v>5139</v>
      </c>
    </row>
    <row r="4952" spans="1:1" x14ac:dyDescent="0.2">
      <c r="A4952">
        <v>5140</v>
      </c>
    </row>
    <row r="4953" spans="1:1" x14ac:dyDescent="0.2">
      <c r="A4953">
        <v>5141</v>
      </c>
    </row>
    <row r="4954" spans="1:1" x14ac:dyDescent="0.2">
      <c r="A4954">
        <v>5142</v>
      </c>
    </row>
    <row r="4955" spans="1:1" x14ac:dyDescent="0.2">
      <c r="A4955">
        <v>5143</v>
      </c>
    </row>
    <row r="4956" spans="1:1" x14ac:dyDescent="0.2">
      <c r="A4956">
        <v>5144</v>
      </c>
    </row>
    <row r="4957" spans="1:1" x14ac:dyDescent="0.2">
      <c r="A4957">
        <v>5145</v>
      </c>
    </row>
    <row r="4958" spans="1:1" x14ac:dyDescent="0.2">
      <c r="A4958">
        <v>5146</v>
      </c>
    </row>
    <row r="4959" spans="1:1" x14ac:dyDescent="0.2">
      <c r="A4959">
        <v>5147</v>
      </c>
    </row>
    <row r="4960" spans="1:1" x14ac:dyDescent="0.2">
      <c r="A4960">
        <v>5148</v>
      </c>
    </row>
    <row r="4961" spans="1:1" x14ac:dyDescent="0.2">
      <c r="A4961">
        <v>5149</v>
      </c>
    </row>
    <row r="4962" spans="1:1" x14ac:dyDescent="0.2">
      <c r="A4962">
        <v>5150</v>
      </c>
    </row>
    <row r="4963" spans="1:1" x14ac:dyDescent="0.2">
      <c r="A4963">
        <v>5151</v>
      </c>
    </row>
    <row r="4964" spans="1:1" x14ac:dyDescent="0.2">
      <c r="A4964">
        <v>5152</v>
      </c>
    </row>
    <row r="4965" spans="1:1" x14ac:dyDescent="0.2">
      <c r="A4965">
        <v>5153</v>
      </c>
    </row>
    <row r="4966" spans="1:1" x14ac:dyDescent="0.2">
      <c r="A4966">
        <v>5154</v>
      </c>
    </row>
    <row r="4967" spans="1:1" x14ac:dyDescent="0.2">
      <c r="A4967">
        <v>5155</v>
      </c>
    </row>
    <row r="4968" spans="1:1" x14ac:dyDescent="0.2">
      <c r="A4968">
        <v>5156</v>
      </c>
    </row>
    <row r="4969" spans="1:1" x14ac:dyDescent="0.2">
      <c r="A4969">
        <v>5157</v>
      </c>
    </row>
    <row r="4970" spans="1:1" x14ac:dyDescent="0.2">
      <c r="A4970">
        <v>5158</v>
      </c>
    </row>
    <row r="4971" spans="1:1" x14ac:dyDescent="0.2">
      <c r="A4971">
        <v>5159</v>
      </c>
    </row>
    <row r="4972" spans="1:1" x14ac:dyDescent="0.2">
      <c r="A4972">
        <v>5160</v>
      </c>
    </row>
    <row r="4973" spans="1:1" x14ac:dyDescent="0.2">
      <c r="A4973">
        <v>5161</v>
      </c>
    </row>
    <row r="4974" spans="1:1" x14ac:dyDescent="0.2">
      <c r="A4974">
        <v>5162</v>
      </c>
    </row>
    <row r="4975" spans="1:1" x14ac:dyDescent="0.2">
      <c r="A4975">
        <v>5163</v>
      </c>
    </row>
    <row r="4976" spans="1:1" x14ac:dyDescent="0.2">
      <c r="A4976">
        <v>5164</v>
      </c>
    </row>
    <row r="4977" spans="1:1" x14ac:dyDescent="0.2">
      <c r="A4977">
        <v>5165</v>
      </c>
    </row>
    <row r="4978" spans="1:1" x14ac:dyDescent="0.2">
      <c r="A4978">
        <v>5166</v>
      </c>
    </row>
    <row r="4979" spans="1:1" x14ac:dyDescent="0.2">
      <c r="A4979">
        <v>5167</v>
      </c>
    </row>
    <row r="4980" spans="1:1" x14ac:dyDescent="0.2">
      <c r="A4980">
        <v>5168</v>
      </c>
    </row>
    <row r="4981" spans="1:1" x14ac:dyDescent="0.2">
      <c r="A4981">
        <v>5169</v>
      </c>
    </row>
    <row r="4982" spans="1:1" x14ac:dyDescent="0.2">
      <c r="A4982">
        <v>5170</v>
      </c>
    </row>
    <row r="4983" spans="1:1" x14ac:dyDescent="0.2">
      <c r="A4983">
        <v>5171</v>
      </c>
    </row>
    <row r="4984" spans="1:1" x14ac:dyDescent="0.2">
      <c r="A4984">
        <v>5172</v>
      </c>
    </row>
    <row r="4985" spans="1:1" x14ac:dyDescent="0.2">
      <c r="A4985">
        <v>5173</v>
      </c>
    </row>
    <row r="4986" spans="1:1" x14ac:dyDescent="0.2">
      <c r="A4986">
        <v>5174</v>
      </c>
    </row>
    <row r="4987" spans="1:1" x14ac:dyDescent="0.2">
      <c r="A4987">
        <v>5175</v>
      </c>
    </row>
    <row r="4988" spans="1:1" x14ac:dyDescent="0.2">
      <c r="A4988">
        <v>5176</v>
      </c>
    </row>
    <row r="4989" spans="1:1" x14ac:dyDescent="0.2">
      <c r="A4989">
        <v>5177</v>
      </c>
    </row>
    <row r="4990" spans="1:1" x14ac:dyDescent="0.2">
      <c r="A4990">
        <v>5178</v>
      </c>
    </row>
    <row r="4991" spans="1:1" x14ac:dyDescent="0.2">
      <c r="A4991">
        <v>5179</v>
      </c>
    </row>
    <row r="4992" spans="1:1" x14ac:dyDescent="0.2">
      <c r="A4992">
        <v>5180</v>
      </c>
    </row>
    <row r="4993" spans="1:1" x14ac:dyDescent="0.2">
      <c r="A4993">
        <v>5181</v>
      </c>
    </row>
    <row r="4994" spans="1:1" x14ac:dyDescent="0.2">
      <c r="A4994">
        <v>5182</v>
      </c>
    </row>
    <row r="4995" spans="1:1" x14ac:dyDescent="0.2">
      <c r="A4995">
        <v>5183</v>
      </c>
    </row>
    <row r="4996" spans="1:1" x14ac:dyDescent="0.2">
      <c r="A4996">
        <v>5184</v>
      </c>
    </row>
    <row r="4997" spans="1:1" x14ac:dyDescent="0.2">
      <c r="A4997">
        <v>5185</v>
      </c>
    </row>
    <row r="4998" spans="1:1" x14ac:dyDescent="0.2">
      <c r="A4998">
        <v>5186</v>
      </c>
    </row>
    <row r="4999" spans="1:1" x14ac:dyDescent="0.2">
      <c r="A4999">
        <v>5187</v>
      </c>
    </row>
    <row r="5000" spans="1:1" x14ac:dyDescent="0.2">
      <c r="A5000">
        <v>5188</v>
      </c>
    </row>
    <row r="5001" spans="1:1" x14ac:dyDescent="0.2">
      <c r="A5001">
        <v>5189</v>
      </c>
    </row>
    <row r="5002" spans="1:1" x14ac:dyDescent="0.2">
      <c r="A5002">
        <v>5190</v>
      </c>
    </row>
    <row r="5003" spans="1:1" x14ac:dyDescent="0.2">
      <c r="A5003">
        <v>5191</v>
      </c>
    </row>
    <row r="5004" spans="1:1" x14ac:dyDescent="0.2">
      <c r="A5004">
        <v>5192</v>
      </c>
    </row>
    <row r="5005" spans="1:1" x14ac:dyDescent="0.2">
      <c r="A5005">
        <v>5193</v>
      </c>
    </row>
    <row r="5006" spans="1:1" x14ac:dyDescent="0.2">
      <c r="A5006">
        <v>5194</v>
      </c>
    </row>
    <row r="5007" spans="1:1" x14ac:dyDescent="0.2">
      <c r="A5007">
        <v>5195</v>
      </c>
    </row>
    <row r="5008" spans="1:1" x14ac:dyDescent="0.2">
      <c r="A5008">
        <v>5196</v>
      </c>
    </row>
    <row r="5009" spans="1:1" x14ac:dyDescent="0.2">
      <c r="A5009">
        <v>5197</v>
      </c>
    </row>
    <row r="5010" spans="1:1" x14ac:dyDescent="0.2">
      <c r="A5010">
        <v>5198</v>
      </c>
    </row>
    <row r="5011" spans="1:1" x14ac:dyDescent="0.2">
      <c r="A5011">
        <v>5199</v>
      </c>
    </row>
    <row r="5012" spans="1:1" x14ac:dyDescent="0.2">
      <c r="A5012">
        <v>5200</v>
      </c>
    </row>
    <row r="5013" spans="1:1" x14ac:dyDescent="0.2">
      <c r="A5013">
        <v>5201</v>
      </c>
    </row>
    <row r="5014" spans="1:1" x14ac:dyDescent="0.2">
      <c r="A5014">
        <v>5202</v>
      </c>
    </row>
    <row r="5015" spans="1:1" x14ac:dyDescent="0.2">
      <c r="A5015">
        <v>5203</v>
      </c>
    </row>
    <row r="5016" spans="1:1" x14ac:dyDescent="0.2">
      <c r="A5016">
        <v>5204</v>
      </c>
    </row>
    <row r="5017" spans="1:1" x14ac:dyDescent="0.2">
      <c r="A5017">
        <v>5205</v>
      </c>
    </row>
    <row r="5018" spans="1:1" x14ac:dyDescent="0.2">
      <c r="A5018">
        <v>5206</v>
      </c>
    </row>
    <row r="5019" spans="1:1" x14ac:dyDescent="0.2">
      <c r="A5019">
        <v>5207</v>
      </c>
    </row>
    <row r="5020" spans="1:1" x14ac:dyDescent="0.2">
      <c r="A5020">
        <v>5208</v>
      </c>
    </row>
    <row r="5021" spans="1:1" x14ac:dyDescent="0.2">
      <c r="A5021">
        <v>5209</v>
      </c>
    </row>
    <row r="5022" spans="1:1" x14ac:dyDescent="0.2">
      <c r="A5022">
        <v>5210</v>
      </c>
    </row>
    <row r="5023" spans="1:1" x14ac:dyDescent="0.2">
      <c r="A5023">
        <v>5211</v>
      </c>
    </row>
    <row r="5024" spans="1:1" x14ac:dyDescent="0.2">
      <c r="A5024">
        <v>5212</v>
      </c>
    </row>
    <row r="5025" spans="1:1" x14ac:dyDescent="0.2">
      <c r="A5025">
        <v>5213</v>
      </c>
    </row>
    <row r="5026" spans="1:1" x14ac:dyDescent="0.2">
      <c r="A5026">
        <v>5214</v>
      </c>
    </row>
    <row r="5027" spans="1:1" x14ac:dyDescent="0.2">
      <c r="A5027">
        <v>5215</v>
      </c>
    </row>
    <row r="5028" spans="1:1" x14ac:dyDescent="0.2">
      <c r="A5028">
        <v>5216</v>
      </c>
    </row>
    <row r="5029" spans="1:1" x14ac:dyDescent="0.2">
      <c r="A5029">
        <v>5217</v>
      </c>
    </row>
    <row r="5030" spans="1:1" x14ac:dyDescent="0.2">
      <c r="A5030">
        <v>5218</v>
      </c>
    </row>
    <row r="5031" spans="1:1" x14ac:dyDescent="0.2">
      <c r="A5031">
        <v>5219</v>
      </c>
    </row>
    <row r="5032" spans="1:1" x14ac:dyDescent="0.2">
      <c r="A5032">
        <v>5220</v>
      </c>
    </row>
    <row r="5033" spans="1:1" x14ac:dyDescent="0.2">
      <c r="A5033">
        <v>5221</v>
      </c>
    </row>
    <row r="5034" spans="1:1" x14ac:dyDescent="0.2">
      <c r="A5034">
        <v>5222</v>
      </c>
    </row>
    <row r="5035" spans="1:1" x14ac:dyDescent="0.2">
      <c r="A5035">
        <v>5223</v>
      </c>
    </row>
    <row r="5036" spans="1:1" x14ac:dyDescent="0.2">
      <c r="A5036">
        <v>5224</v>
      </c>
    </row>
    <row r="5037" spans="1:1" x14ac:dyDescent="0.2">
      <c r="A5037">
        <v>5225</v>
      </c>
    </row>
    <row r="5038" spans="1:1" x14ac:dyDescent="0.2">
      <c r="A5038">
        <v>5226</v>
      </c>
    </row>
    <row r="5039" spans="1:1" x14ac:dyDescent="0.2">
      <c r="A5039">
        <v>5227</v>
      </c>
    </row>
    <row r="5040" spans="1:1" x14ac:dyDescent="0.2">
      <c r="A5040">
        <v>5228</v>
      </c>
    </row>
    <row r="5041" spans="1:1" x14ac:dyDescent="0.2">
      <c r="A5041">
        <v>5229</v>
      </c>
    </row>
    <row r="5042" spans="1:1" x14ac:dyDescent="0.2">
      <c r="A5042">
        <v>5230</v>
      </c>
    </row>
    <row r="5043" spans="1:1" x14ac:dyDescent="0.2">
      <c r="A5043">
        <v>5231</v>
      </c>
    </row>
    <row r="5044" spans="1:1" x14ac:dyDescent="0.2">
      <c r="A5044">
        <v>5232</v>
      </c>
    </row>
    <row r="5045" spans="1:1" x14ac:dyDescent="0.2">
      <c r="A5045">
        <v>5233</v>
      </c>
    </row>
    <row r="5046" spans="1:1" x14ac:dyDescent="0.2">
      <c r="A5046">
        <v>5234</v>
      </c>
    </row>
    <row r="5047" spans="1:1" x14ac:dyDescent="0.2">
      <c r="A5047">
        <v>5235</v>
      </c>
    </row>
    <row r="5048" spans="1:1" x14ac:dyDescent="0.2">
      <c r="A5048">
        <v>5236</v>
      </c>
    </row>
    <row r="5049" spans="1:1" x14ac:dyDescent="0.2">
      <c r="A5049">
        <v>5237</v>
      </c>
    </row>
    <row r="5050" spans="1:1" x14ac:dyDescent="0.2">
      <c r="A5050">
        <v>5238</v>
      </c>
    </row>
    <row r="5051" spans="1:1" x14ac:dyDescent="0.2">
      <c r="A5051">
        <v>5239</v>
      </c>
    </row>
    <row r="5052" spans="1:1" x14ac:dyDescent="0.2">
      <c r="A5052">
        <v>5240</v>
      </c>
    </row>
    <row r="5053" spans="1:1" x14ac:dyDescent="0.2">
      <c r="A5053">
        <v>5241</v>
      </c>
    </row>
    <row r="5054" spans="1:1" x14ac:dyDescent="0.2">
      <c r="A5054">
        <v>5242</v>
      </c>
    </row>
    <row r="5055" spans="1:1" x14ac:dyDescent="0.2">
      <c r="A5055">
        <v>5243</v>
      </c>
    </row>
    <row r="5056" spans="1:1" x14ac:dyDescent="0.2">
      <c r="A5056">
        <v>5244</v>
      </c>
    </row>
    <row r="5057" spans="1:1" x14ac:dyDescent="0.2">
      <c r="A5057">
        <v>5245</v>
      </c>
    </row>
    <row r="5058" spans="1:1" x14ac:dyDescent="0.2">
      <c r="A5058">
        <v>5246</v>
      </c>
    </row>
    <row r="5059" spans="1:1" x14ac:dyDescent="0.2">
      <c r="A5059">
        <v>5247</v>
      </c>
    </row>
    <row r="5060" spans="1:1" x14ac:dyDescent="0.2">
      <c r="A5060">
        <v>5248</v>
      </c>
    </row>
    <row r="5061" spans="1:1" x14ac:dyDescent="0.2">
      <c r="A5061">
        <v>5249</v>
      </c>
    </row>
    <row r="5062" spans="1:1" x14ac:dyDescent="0.2">
      <c r="A5062">
        <v>5250</v>
      </c>
    </row>
    <row r="5063" spans="1:1" x14ac:dyDescent="0.2">
      <c r="A5063">
        <v>5251</v>
      </c>
    </row>
    <row r="5064" spans="1:1" x14ac:dyDescent="0.2">
      <c r="A5064">
        <v>5252</v>
      </c>
    </row>
    <row r="5065" spans="1:1" x14ac:dyDescent="0.2">
      <c r="A5065">
        <v>5253</v>
      </c>
    </row>
    <row r="5066" spans="1:1" x14ac:dyDescent="0.2">
      <c r="A5066">
        <v>5254</v>
      </c>
    </row>
    <row r="5067" spans="1:1" x14ac:dyDescent="0.2">
      <c r="A5067">
        <v>5255</v>
      </c>
    </row>
    <row r="5068" spans="1:1" x14ac:dyDescent="0.2">
      <c r="A5068">
        <v>5256</v>
      </c>
    </row>
    <row r="5069" spans="1:1" x14ac:dyDescent="0.2">
      <c r="A5069">
        <v>5257</v>
      </c>
    </row>
    <row r="5070" spans="1:1" x14ac:dyDescent="0.2">
      <c r="A5070">
        <v>5258</v>
      </c>
    </row>
    <row r="5071" spans="1:1" x14ac:dyDescent="0.2">
      <c r="A5071">
        <v>5259</v>
      </c>
    </row>
    <row r="5072" spans="1:1" x14ac:dyDescent="0.2">
      <c r="A5072">
        <v>5260</v>
      </c>
    </row>
    <row r="5073" spans="1:1" x14ac:dyDescent="0.2">
      <c r="A5073">
        <v>5261</v>
      </c>
    </row>
    <row r="5074" spans="1:1" x14ac:dyDescent="0.2">
      <c r="A5074">
        <v>5262</v>
      </c>
    </row>
    <row r="5075" spans="1:1" x14ac:dyDescent="0.2">
      <c r="A5075">
        <v>5263</v>
      </c>
    </row>
    <row r="5076" spans="1:1" x14ac:dyDescent="0.2">
      <c r="A5076">
        <v>5264</v>
      </c>
    </row>
    <row r="5077" spans="1:1" x14ac:dyDescent="0.2">
      <c r="A5077">
        <v>5265</v>
      </c>
    </row>
    <row r="5078" spans="1:1" x14ac:dyDescent="0.2">
      <c r="A5078">
        <v>5266</v>
      </c>
    </row>
    <row r="5079" spans="1:1" x14ac:dyDescent="0.2">
      <c r="A5079">
        <v>5267</v>
      </c>
    </row>
    <row r="5080" spans="1:1" x14ac:dyDescent="0.2">
      <c r="A5080">
        <v>5268</v>
      </c>
    </row>
    <row r="5081" spans="1:1" x14ac:dyDescent="0.2">
      <c r="A5081">
        <v>5269</v>
      </c>
    </row>
    <row r="5082" spans="1:1" x14ac:dyDescent="0.2">
      <c r="A5082">
        <v>5270</v>
      </c>
    </row>
    <row r="5083" spans="1:1" x14ac:dyDescent="0.2">
      <c r="A5083">
        <v>5271</v>
      </c>
    </row>
    <row r="5084" spans="1:1" x14ac:dyDescent="0.2">
      <c r="A5084">
        <v>5272</v>
      </c>
    </row>
    <row r="5085" spans="1:1" x14ac:dyDescent="0.2">
      <c r="A5085">
        <v>5273</v>
      </c>
    </row>
    <row r="5086" spans="1:1" x14ac:dyDescent="0.2">
      <c r="A5086">
        <v>5274</v>
      </c>
    </row>
    <row r="5087" spans="1:1" x14ac:dyDescent="0.2">
      <c r="A5087">
        <v>5275</v>
      </c>
    </row>
    <row r="5088" spans="1:1" x14ac:dyDescent="0.2">
      <c r="A5088">
        <v>5276</v>
      </c>
    </row>
    <row r="5089" spans="1:1" x14ac:dyDescent="0.2">
      <c r="A5089">
        <v>5277</v>
      </c>
    </row>
    <row r="5090" spans="1:1" x14ac:dyDescent="0.2">
      <c r="A5090">
        <v>5278</v>
      </c>
    </row>
    <row r="5091" spans="1:1" x14ac:dyDescent="0.2">
      <c r="A5091">
        <v>5279</v>
      </c>
    </row>
    <row r="5092" spans="1:1" x14ac:dyDescent="0.2">
      <c r="A5092">
        <v>5280</v>
      </c>
    </row>
    <row r="5093" spans="1:1" x14ac:dyDescent="0.2">
      <c r="A5093">
        <v>5281</v>
      </c>
    </row>
    <row r="5094" spans="1:1" x14ac:dyDescent="0.2">
      <c r="A5094">
        <v>5282</v>
      </c>
    </row>
    <row r="5095" spans="1:1" x14ac:dyDescent="0.2">
      <c r="A5095">
        <v>5283</v>
      </c>
    </row>
    <row r="5096" spans="1:1" x14ac:dyDescent="0.2">
      <c r="A5096">
        <v>5284</v>
      </c>
    </row>
    <row r="5097" spans="1:1" x14ac:dyDescent="0.2">
      <c r="A5097">
        <v>5285</v>
      </c>
    </row>
    <row r="5098" spans="1:1" x14ac:dyDescent="0.2">
      <c r="A5098">
        <v>5286</v>
      </c>
    </row>
    <row r="5099" spans="1:1" x14ac:dyDescent="0.2">
      <c r="A5099">
        <v>5287</v>
      </c>
    </row>
    <row r="5100" spans="1:1" x14ac:dyDescent="0.2">
      <c r="A5100">
        <v>5288</v>
      </c>
    </row>
    <row r="5101" spans="1:1" x14ac:dyDescent="0.2">
      <c r="A5101">
        <v>5289</v>
      </c>
    </row>
    <row r="5102" spans="1:1" x14ac:dyDescent="0.2">
      <c r="A5102">
        <v>5290</v>
      </c>
    </row>
    <row r="5103" spans="1:1" x14ac:dyDescent="0.2">
      <c r="A5103">
        <v>5291</v>
      </c>
    </row>
    <row r="5104" spans="1:1" x14ac:dyDescent="0.2">
      <c r="A5104">
        <v>5292</v>
      </c>
    </row>
    <row r="5105" spans="1:1" x14ac:dyDescent="0.2">
      <c r="A5105">
        <v>5293</v>
      </c>
    </row>
    <row r="5106" spans="1:1" x14ac:dyDescent="0.2">
      <c r="A5106">
        <v>5294</v>
      </c>
    </row>
    <row r="5107" spans="1:1" x14ac:dyDescent="0.2">
      <c r="A5107">
        <v>5295</v>
      </c>
    </row>
    <row r="5108" spans="1:1" x14ac:dyDescent="0.2">
      <c r="A5108">
        <v>5296</v>
      </c>
    </row>
    <row r="5109" spans="1:1" x14ac:dyDescent="0.2">
      <c r="A5109">
        <v>5297</v>
      </c>
    </row>
    <row r="5110" spans="1:1" x14ac:dyDescent="0.2">
      <c r="A5110">
        <v>5298</v>
      </c>
    </row>
    <row r="5111" spans="1:1" x14ac:dyDescent="0.2">
      <c r="A5111">
        <v>5299</v>
      </c>
    </row>
    <row r="5112" spans="1:1" x14ac:dyDescent="0.2">
      <c r="A5112">
        <v>5300</v>
      </c>
    </row>
    <row r="5113" spans="1:1" x14ac:dyDescent="0.2">
      <c r="A5113">
        <v>5301</v>
      </c>
    </row>
    <row r="5114" spans="1:1" x14ac:dyDescent="0.2">
      <c r="A5114">
        <v>5302</v>
      </c>
    </row>
    <row r="5115" spans="1:1" x14ac:dyDescent="0.2">
      <c r="A5115">
        <v>5303</v>
      </c>
    </row>
    <row r="5116" spans="1:1" x14ac:dyDescent="0.2">
      <c r="A5116">
        <v>5304</v>
      </c>
    </row>
    <row r="5117" spans="1:1" x14ac:dyDescent="0.2">
      <c r="A5117">
        <v>5305</v>
      </c>
    </row>
    <row r="5118" spans="1:1" x14ac:dyDescent="0.2">
      <c r="A5118">
        <v>5306</v>
      </c>
    </row>
    <row r="5119" spans="1:1" x14ac:dyDescent="0.2">
      <c r="A5119">
        <v>5307</v>
      </c>
    </row>
    <row r="5120" spans="1:1" x14ac:dyDescent="0.2">
      <c r="A5120">
        <v>5308</v>
      </c>
    </row>
    <row r="5121" spans="1:1" x14ac:dyDescent="0.2">
      <c r="A5121">
        <v>5309</v>
      </c>
    </row>
    <row r="5122" spans="1:1" x14ac:dyDescent="0.2">
      <c r="A5122">
        <v>5310</v>
      </c>
    </row>
    <row r="5123" spans="1:1" x14ac:dyDescent="0.2">
      <c r="A5123">
        <v>5311</v>
      </c>
    </row>
    <row r="5124" spans="1:1" x14ac:dyDescent="0.2">
      <c r="A5124">
        <v>5312</v>
      </c>
    </row>
    <row r="5125" spans="1:1" x14ac:dyDescent="0.2">
      <c r="A5125">
        <v>5313</v>
      </c>
    </row>
    <row r="5126" spans="1:1" x14ac:dyDescent="0.2">
      <c r="A5126">
        <v>5314</v>
      </c>
    </row>
    <row r="5127" spans="1:1" x14ac:dyDescent="0.2">
      <c r="A5127">
        <v>5315</v>
      </c>
    </row>
    <row r="5128" spans="1:1" x14ac:dyDescent="0.2">
      <c r="A5128">
        <v>5316</v>
      </c>
    </row>
    <row r="5129" spans="1:1" x14ac:dyDescent="0.2">
      <c r="A5129">
        <v>5317</v>
      </c>
    </row>
    <row r="5130" spans="1:1" x14ac:dyDescent="0.2">
      <c r="A5130">
        <v>5318</v>
      </c>
    </row>
    <row r="5131" spans="1:1" x14ac:dyDescent="0.2">
      <c r="A5131">
        <v>5319</v>
      </c>
    </row>
    <row r="5132" spans="1:1" x14ac:dyDescent="0.2">
      <c r="A5132">
        <v>5320</v>
      </c>
    </row>
    <row r="5133" spans="1:1" x14ac:dyDescent="0.2">
      <c r="A5133">
        <v>5321</v>
      </c>
    </row>
    <row r="5134" spans="1:1" x14ac:dyDescent="0.2">
      <c r="A5134">
        <v>5322</v>
      </c>
    </row>
    <row r="5135" spans="1:1" x14ac:dyDescent="0.2">
      <c r="A5135">
        <v>5323</v>
      </c>
    </row>
    <row r="5136" spans="1:1" x14ac:dyDescent="0.2">
      <c r="A5136">
        <v>5324</v>
      </c>
    </row>
    <row r="5137" spans="1:1" x14ac:dyDescent="0.2">
      <c r="A5137">
        <v>5325</v>
      </c>
    </row>
    <row r="5138" spans="1:1" x14ac:dyDescent="0.2">
      <c r="A5138">
        <v>5326</v>
      </c>
    </row>
    <row r="5139" spans="1:1" x14ac:dyDescent="0.2">
      <c r="A5139">
        <v>5327</v>
      </c>
    </row>
    <row r="5140" spans="1:1" x14ac:dyDescent="0.2">
      <c r="A5140">
        <v>5328</v>
      </c>
    </row>
    <row r="5141" spans="1:1" x14ac:dyDescent="0.2">
      <c r="A5141">
        <v>5329</v>
      </c>
    </row>
    <row r="5142" spans="1:1" x14ac:dyDescent="0.2">
      <c r="A5142">
        <v>5330</v>
      </c>
    </row>
    <row r="5143" spans="1:1" x14ac:dyDescent="0.2">
      <c r="A5143">
        <v>5331</v>
      </c>
    </row>
    <row r="5144" spans="1:1" x14ac:dyDescent="0.2">
      <c r="A5144">
        <v>5332</v>
      </c>
    </row>
    <row r="5145" spans="1:1" x14ac:dyDescent="0.2">
      <c r="A5145">
        <v>5333</v>
      </c>
    </row>
    <row r="5146" spans="1:1" x14ac:dyDescent="0.2">
      <c r="A5146">
        <v>5334</v>
      </c>
    </row>
    <row r="5147" spans="1:1" x14ac:dyDescent="0.2">
      <c r="A5147">
        <v>5335</v>
      </c>
    </row>
    <row r="5148" spans="1:1" x14ac:dyDescent="0.2">
      <c r="A5148">
        <v>5336</v>
      </c>
    </row>
    <row r="5149" spans="1:1" x14ac:dyDescent="0.2">
      <c r="A5149">
        <v>5337</v>
      </c>
    </row>
    <row r="5150" spans="1:1" x14ac:dyDescent="0.2">
      <c r="A5150">
        <v>5338</v>
      </c>
    </row>
    <row r="5151" spans="1:1" x14ac:dyDescent="0.2">
      <c r="A5151">
        <v>5339</v>
      </c>
    </row>
    <row r="5152" spans="1:1" x14ac:dyDescent="0.2">
      <c r="A5152">
        <v>5340</v>
      </c>
    </row>
    <row r="5153" spans="1:1" x14ac:dyDescent="0.2">
      <c r="A5153">
        <v>5341</v>
      </c>
    </row>
    <row r="5154" spans="1:1" x14ac:dyDescent="0.2">
      <c r="A5154">
        <v>5342</v>
      </c>
    </row>
    <row r="5155" spans="1:1" x14ac:dyDescent="0.2">
      <c r="A5155">
        <v>5343</v>
      </c>
    </row>
    <row r="5156" spans="1:1" x14ac:dyDescent="0.2">
      <c r="A5156">
        <v>5344</v>
      </c>
    </row>
    <row r="5157" spans="1:1" x14ac:dyDescent="0.2">
      <c r="A5157">
        <v>5345</v>
      </c>
    </row>
    <row r="5158" spans="1:1" x14ac:dyDescent="0.2">
      <c r="A5158">
        <v>5346</v>
      </c>
    </row>
    <row r="5159" spans="1:1" x14ac:dyDescent="0.2">
      <c r="A5159">
        <v>5347</v>
      </c>
    </row>
    <row r="5160" spans="1:1" x14ac:dyDescent="0.2">
      <c r="A5160">
        <v>5348</v>
      </c>
    </row>
    <row r="5161" spans="1:1" x14ac:dyDescent="0.2">
      <c r="A5161">
        <v>5349</v>
      </c>
    </row>
    <row r="5162" spans="1:1" x14ac:dyDescent="0.2">
      <c r="A5162">
        <v>5350</v>
      </c>
    </row>
    <row r="5163" spans="1:1" x14ac:dyDescent="0.2">
      <c r="A5163">
        <v>5351</v>
      </c>
    </row>
    <row r="5164" spans="1:1" x14ac:dyDescent="0.2">
      <c r="A5164">
        <v>5352</v>
      </c>
    </row>
    <row r="5165" spans="1:1" x14ac:dyDescent="0.2">
      <c r="A5165">
        <v>5353</v>
      </c>
    </row>
    <row r="5166" spans="1:1" x14ac:dyDescent="0.2">
      <c r="A5166">
        <v>5354</v>
      </c>
    </row>
    <row r="5167" spans="1:1" x14ac:dyDescent="0.2">
      <c r="A5167">
        <v>5355</v>
      </c>
    </row>
    <row r="5168" spans="1:1" x14ac:dyDescent="0.2">
      <c r="A5168">
        <v>5356</v>
      </c>
    </row>
    <row r="5169" spans="1:1" x14ac:dyDescent="0.2">
      <c r="A5169">
        <v>5357</v>
      </c>
    </row>
    <row r="5170" spans="1:1" x14ac:dyDescent="0.2">
      <c r="A5170">
        <v>5358</v>
      </c>
    </row>
    <row r="5171" spans="1:1" x14ac:dyDescent="0.2">
      <c r="A5171">
        <v>5359</v>
      </c>
    </row>
    <row r="5172" spans="1:1" x14ac:dyDescent="0.2">
      <c r="A5172">
        <v>5360</v>
      </c>
    </row>
    <row r="5173" spans="1:1" x14ac:dyDescent="0.2">
      <c r="A5173">
        <v>5361</v>
      </c>
    </row>
    <row r="5174" spans="1:1" x14ac:dyDescent="0.2">
      <c r="A5174">
        <v>5362</v>
      </c>
    </row>
    <row r="5175" spans="1:1" x14ac:dyDescent="0.2">
      <c r="A5175">
        <v>5363</v>
      </c>
    </row>
    <row r="5176" spans="1:1" x14ac:dyDescent="0.2">
      <c r="A5176">
        <v>5364</v>
      </c>
    </row>
    <row r="5177" spans="1:1" x14ac:dyDescent="0.2">
      <c r="A5177">
        <v>5365</v>
      </c>
    </row>
    <row r="5178" spans="1:1" x14ac:dyDescent="0.2">
      <c r="A5178">
        <v>5366</v>
      </c>
    </row>
    <row r="5179" spans="1:1" x14ac:dyDescent="0.2">
      <c r="A5179">
        <v>5367</v>
      </c>
    </row>
    <row r="5180" spans="1:1" x14ac:dyDescent="0.2">
      <c r="A5180">
        <v>5368</v>
      </c>
    </row>
    <row r="5181" spans="1:1" x14ac:dyDescent="0.2">
      <c r="A5181">
        <v>5369</v>
      </c>
    </row>
    <row r="5182" spans="1:1" x14ac:dyDescent="0.2">
      <c r="A5182">
        <v>5370</v>
      </c>
    </row>
    <row r="5183" spans="1:1" x14ac:dyDescent="0.2">
      <c r="A5183">
        <v>5371</v>
      </c>
    </row>
    <row r="5184" spans="1:1" x14ac:dyDescent="0.2">
      <c r="A5184">
        <v>5372</v>
      </c>
    </row>
    <row r="5185" spans="1:1" x14ac:dyDescent="0.2">
      <c r="A5185">
        <v>5373</v>
      </c>
    </row>
    <row r="5186" spans="1:1" x14ac:dyDescent="0.2">
      <c r="A5186">
        <v>5374</v>
      </c>
    </row>
    <row r="5187" spans="1:1" x14ac:dyDescent="0.2">
      <c r="A5187">
        <v>5375</v>
      </c>
    </row>
    <row r="5188" spans="1:1" x14ac:dyDescent="0.2">
      <c r="A5188">
        <v>5376</v>
      </c>
    </row>
    <row r="5189" spans="1:1" x14ac:dyDescent="0.2">
      <c r="A5189">
        <v>5377</v>
      </c>
    </row>
    <row r="5190" spans="1:1" x14ac:dyDescent="0.2">
      <c r="A5190">
        <v>5378</v>
      </c>
    </row>
    <row r="5191" spans="1:1" x14ac:dyDescent="0.2">
      <c r="A5191">
        <v>5379</v>
      </c>
    </row>
    <row r="5192" spans="1:1" x14ac:dyDescent="0.2">
      <c r="A5192">
        <v>5380</v>
      </c>
    </row>
    <row r="5193" spans="1:1" x14ac:dyDescent="0.2">
      <c r="A5193">
        <v>5381</v>
      </c>
    </row>
    <row r="5194" spans="1:1" x14ac:dyDescent="0.2">
      <c r="A5194">
        <v>5382</v>
      </c>
    </row>
    <row r="5195" spans="1:1" x14ac:dyDescent="0.2">
      <c r="A5195">
        <v>5383</v>
      </c>
    </row>
    <row r="5196" spans="1:1" x14ac:dyDescent="0.2">
      <c r="A5196">
        <v>5384</v>
      </c>
    </row>
    <row r="5197" spans="1:1" x14ac:dyDescent="0.2">
      <c r="A5197">
        <v>5385</v>
      </c>
    </row>
    <row r="5198" spans="1:1" x14ac:dyDescent="0.2">
      <c r="A5198">
        <v>5386</v>
      </c>
    </row>
    <row r="5199" spans="1:1" x14ac:dyDescent="0.2">
      <c r="A5199">
        <v>5387</v>
      </c>
    </row>
    <row r="5200" spans="1:1" x14ac:dyDescent="0.2">
      <c r="A5200">
        <v>5388</v>
      </c>
    </row>
    <row r="5201" spans="1:1" x14ac:dyDescent="0.2">
      <c r="A5201">
        <v>5389</v>
      </c>
    </row>
    <row r="5202" spans="1:1" x14ac:dyDescent="0.2">
      <c r="A5202">
        <v>5390</v>
      </c>
    </row>
    <row r="5203" spans="1:1" x14ac:dyDescent="0.2">
      <c r="A5203">
        <v>5391</v>
      </c>
    </row>
    <row r="5204" spans="1:1" x14ac:dyDescent="0.2">
      <c r="A5204">
        <v>5392</v>
      </c>
    </row>
    <row r="5205" spans="1:1" x14ac:dyDescent="0.2">
      <c r="A5205">
        <v>5393</v>
      </c>
    </row>
    <row r="5206" spans="1:1" x14ac:dyDescent="0.2">
      <c r="A5206">
        <v>5394</v>
      </c>
    </row>
    <row r="5207" spans="1:1" x14ac:dyDescent="0.2">
      <c r="A5207">
        <v>5395</v>
      </c>
    </row>
    <row r="5208" spans="1:1" x14ac:dyDescent="0.2">
      <c r="A5208">
        <v>5396</v>
      </c>
    </row>
    <row r="5209" spans="1:1" x14ac:dyDescent="0.2">
      <c r="A5209">
        <v>5397</v>
      </c>
    </row>
    <row r="5210" spans="1:1" x14ac:dyDescent="0.2">
      <c r="A5210">
        <v>5398</v>
      </c>
    </row>
    <row r="5211" spans="1:1" x14ac:dyDescent="0.2">
      <c r="A5211">
        <v>5399</v>
      </c>
    </row>
    <row r="5212" spans="1:1" x14ac:dyDescent="0.2">
      <c r="A5212">
        <v>5400</v>
      </c>
    </row>
    <row r="5213" spans="1:1" x14ac:dyDescent="0.2">
      <c r="A5213">
        <v>5401</v>
      </c>
    </row>
    <row r="5214" spans="1:1" x14ac:dyDescent="0.2">
      <c r="A5214">
        <v>5402</v>
      </c>
    </row>
    <row r="5215" spans="1:1" x14ac:dyDescent="0.2">
      <c r="A5215">
        <v>5403</v>
      </c>
    </row>
    <row r="5216" spans="1:1" x14ac:dyDescent="0.2">
      <c r="A5216">
        <v>5404</v>
      </c>
    </row>
    <row r="5217" spans="1:1" x14ac:dyDescent="0.2">
      <c r="A5217">
        <v>5405</v>
      </c>
    </row>
    <row r="5218" spans="1:1" x14ac:dyDescent="0.2">
      <c r="A5218">
        <v>5406</v>
      </c>
    </row>
    <row r="5219" spans="1:1" x14ac:dyDescent="0.2">
      <c r="A5219">
        <v>5407</v>
      </c>
    </row>
    <row r="5220" spans="1:1" x14ac:dyDescent="0.2">
      <c r="A5220">
        <v>5408</v>
      </c>
    </row>
    <row r="5221" spans="1:1" x14ac:dyDescent="0.2">
      <c r="A5221">
        <v>5409</v>
      </c>
    </row>
    <row r="5222" spans="1:1" x14ac:dyDescent="0.2">
      <c r="A5222">
        <v>5410</v>
      </c>
    </row>
    <row r="5223" spans="1:1" x14ac:dyDescent="0.2">
      <c r="A5223">
        <v>5411</v>
      </c>
    </row>
    <row r="5224" spans="1:1" x14ac:dyDescent="0.2">
      <c r="A5224">
        <v>5412</v>
      </c>
    </row>
    <row r="5225" spans="1:1" x14ac:dyDescent="0.2">
      <c r="A5225">
        <v>5413</v>
      </c>
    </row>
    <row r="5226" spans="1:1" x14ac:dyDescent="0.2">
      <c r="A5226">
        <v>5414</v>
      </c>
    </row>
    <row r="5227" spans="1:1" x14ac:dyDescent="0.2">
      <c r="A5227">
        <v>5415</v>
      </c>
    </row>
    <row r="5228" spans="1:1" x14ac:dyDescent="0.2">
      <c r="A5228">
        <v>5416</v>
      </c>
    </row>
    <row r="5229" spans="1:1" x14ac:dyDescent="0.2">
      <c r="A5229">
        <v>5417</v>
      </c>
    </row>
    <row r="5230" spans="1:1" x14ac:dyDescent="0.2">
      <c r="A5230">
        <v>5418</v>
      </c>
    </row>
    <row r="5231" spans="1:1" x14ac:dyDescent="0.2">
      <c r="A5231">
        <v>5419</v>
      </c>
    </row>
    <row r="5232" spans="1:1" x14ac:dyDescent="0.2">
      <c r="A5232">
        <v>5420</v>
      </c>
    </row>
    <row r="5233" spans="1:1" x14ac:dyDescent="0.2">
      <c r="A5233">
        <v>5421</v>
      </c>
    </row>
    <row r="5234" spans="1:1" x14ac:dyDescent="0.2">
      <c r="A5234">
        <v>5422</v>
      </c>
    </row>
    <row r="5235" spans="1:1" x14ac:dyDescent="0.2">
      <c r="A5235">
        <v>5423</v>
      </c>
    </row>
    <row r="5236" spans="1:1" x14ac:dyDescent="0.2">
      <c r="A5236">
        <v>5424</v>
      </c>
    </row>
    <row r="5237" spans="1:1" x14ac:dyDescent="0.2">
      <c r="A5237">
        <v>5425</v>
      </c>
    </row>
    <row r="5238" spans="1:1" x14ac:dyDescent="0.2">
      <c r="A5238">
        <v>5426</v>
      </c>
    </row>
    <row r="5239" spans="1:1" x14ac:dyDescent="0.2">
      <c r="A5239">
        <v>5427</v>
      </c>
    </row>
    <row r="5240" spans="1:1" x14ac:dyDescent="0.2">
      <c r="A5240">
        <v>5428</v>
      </c>
    </row>
    <row r="5241" spans="1:1" x14ac:dyDescent="0.2">
      <c r="A5241">
        <v>5429</v>
      </c>
    </row>
    <row r="5242" spans="1:1" x14ac:dyDescent="0.2">
      <c r="A5242">
        <v>5430</v>
      </c>
    </row>
    <row r="5243" spans="1:1" x14ac:dyDescent="0.2">
      <c r="A5243">
        <v>5431</v>
      </c>
    </row>
    <row r="5244" spans="1:1" x14ac:dyDescent="0.2">
      <c r="A5244">
        <v>5432</v>
      </c>
    </row>
    <row r="5245" spans="1:1" x14ac:dyDescent="0.2">
      <c r="A5245">
        <v>5433</v>
      </c>
    </row>
    <row r="5246" spans="1:1" x14ac:dyDescent="0.2">
      <c r="A5246">
        <v>5434</v>
      </c>
    </row>
    <row r="5247" spans="1:1" x14ac:dyDescent="0.2">
      <c r="A5247">
        <v>5435</v>
      </c>
    </row>
    <row r="5248" spans="1:1" x14ac:dyDescent="0.2">
      <c r="A5248">
        <v>5436</v>
      </c>
    </row>
    <row r="5249" spans="1:1" x14ac:dyDescent="0.2">
      <c r="A5249">
        <v>5437</v>
      </c>
    </row>
    <row r="5250" spans="1:1" x14ac:dyDescent="0.2">
      <c r="A5250">
        <v>5438</v>
      </c>
    </row>
    <row r="5251" spans="1:1" x14ac:dyDescent="0.2">
      <c r="A5251">
        <v>5439</v>
      </c>
    </row>
    <row r="5252" spans="1:1" x14ac:dyDescent="0.2">
      <c r="A5252">
        <v>5440</v>
      </c>
    </row>
    <row r="5253" spans="1:1" x14ac:dyDescent="0.2">
      <c r="A5253">
        <v>5441</v>
      </c>
    </row>
    <row r="5254" spans="1:1" x14ac:dyDescent="0.2">
      <c r="A5254">
        <v>5442</v>
      </c>
    </row>
    <row r="5255" spans="1:1" x14ac:dyDescent="0.2">
      <c r="A5255">
        <v>5443</v>
      </c>
    </row>
    <row r="5256" spans="1:1" x14ac:dyDescent="0.2">
      <c r="A5256">
        <v>5444</v>
      </c>
    </row>
    <row r="5257" spans="1:1" x14ac:dyDescent="0.2">
      <c r="A5257">
        <v>5445</v>
      </c>
    </row>
    <row r="5258" spans="1:1" x14ac:dyDescent="0.2">
      <c r="A5258">
        <v>5446</v>
      </c>
    </row>
    <row r="5259" spans="1:1" x14ac:dyDescent="0.2">
      <c r="A5259">
        <v>5447</v>
      </c>
    </row>
    <row r="5260" spans="1:1" x14ac:dyDescent="0.2">
      <c r="A5260">
        <v>5448</v>
      </c>
    </row>
    <row r="5261" spans="1:1" x14ac:dyDescent="0.2">
      <c r="A5261">
        <v>5449</v>
      </c>
    </row>
    <row r="5262" spans="1:1" x14ac:dyDescent="0.2">
      <c r="A5262">
        <v>5450</v>
      </c>
    </row>
    <row r="5263" spans="1:1" x14ac:dyDescent="0.2">
      <c r="A5263">
        <v>5451</v>
      </c>
    </row>
    <row r="5264" spans="1:1" x14ac:dyDescent="0.2">
      <c r="A5264">
        <v>5452</v>
      </c>
    </row>
    <row r="5265" spans="1:1" x14ac:dyDescent="0.2">
      <c r="A5265">
        <v>5453</v>
      </c>
    </row>
    <row r="5266" spans="1:1" x14ac:dyDescent="0.2">
      <c r="A5266">
        <v>5454</v>
      </c>
    </row>
    <row r="5267" spans="1:1" x14ac:dyDescent="0.2">
      <c r="A5267">
        <v>5455</v>
      </c>
    </row>
    <row r="5268" spans="1:1" x14ac:dyDescent="0.2">
      <c r="A5268">
        <v>5456</v>
      </c>
    </row>
    <row r="5269" spans="1:1" x14ac:dyDescent="0.2">
      <c r="A5269">
        <v>5457</v>
      </c>
    </row>
    <row r="5270" spans="1:1" x14ac:dyDescent="0.2">
      <c r="A5270">
        <v>5458</v>
      </c>
    </row>
    <row r="5271" spans="1:1" x14ac:dyDescent="0.2">
      <c r="A5271">
        <v>5459</v>
      </c>
    </row>
    <row r="5272" spans="1:1" x14ac:dyDescent="0.2">
      <c r="A5272">
        <v>5460</v>
      </c>
    </row>
    <row r="5273" spans="1:1" x14ac:dyDescent="0.2">
      <c r="A5273">
        <v>5461</v>
      </c>
    </row>
    <row r="5274" spans="1:1" x14ac:dyDescent="0.2">
      <c r="A5274">
        <v>5462</v>
      </c>
    </row>
    <row r="5275" spans="1:1" x14ac:dyDescent="0.2">
      <c r="A5275">
        <v>5463</v>
      </c>
    </row>
    <row r="5276" spans="1:1" x14ac:dyDescent="0.2">
      <c r="A5276">
        <v>5464</v>
      </c>
    </row>
    <row r="5277" spans="1:1" x14ac:dyDescent="0.2">
      <c r="A5277">
        <v>5465</v>
      </c>
    </row>
    <row r="5278" spans="1:1" x14ac:dyDescent="0.2">
      <c r="A5278">
        <v>5466</v>
      </c>
    </row>
    <row r="5279" spans="1:1" x14ac:dyDescent="0.2">
      <c r="A5279">
        <v>5467</v>
      </c>
    </row>
    <row r="5280" spans="1:1" x14ac:dyDescent="0.2">
      <c r="A5280">
        <v>5468</v>
      </c>
    </row>
    <row r="5281" spans="1:1" x14ac:dyDescent="0.2">
      <c r="A5281">
        <v>5469</v>
      </c>
    </row>
    <row r="5282" spans="1:1" x14ac:dyDescent="0.2">
      <c r="A5282">
        <v>5470</v>
      </c>
    </row>
    <row r="5283" spans="1:1" x14ac:dyDescent="0.2">
      <c r="A5283">
        <v>5471</v>
      </c>
    </row>
    <row r="5284" spans="1:1" x14ac:dyDescent="0.2">
      <c r="A5284">
        <v>5472</v>
      </c>
    </row>
    <row r="5285" spans="1:1" x14ac:dyDescent="0.2">
      <c r="A5285">
        <v>5473</v>
      </c>
    </row>
    <row r="5286" spans="1:1" x14ac:dyDescent="0.2">
      <c r="A5286">
        <v>5474</v>
      </c>
    </row>
    <row r="5287" spans="1:1" x14ac:dyDescent="0.2">
      <c r="A5287">
        <v>5475</v>
      </c>
    </row>
    <row r="5288" spans="1:1" x14ac:dyDescent="0.2">
      <c r="A5288">
        <v>5476</v>
      </c>
    </row>
    <row r="5289" spans="1:1" x14ac:dyDescent="0.2">
      <c r="A5289">
        <v>5477</v>
      </c>
    </row>
    <row r="5290" spans="1:1" x14ac:dyDescent="0.2">
      <c r="A5290">
        <v>5478</v>
      </c>
    </row>
    <row r="5291" spans="1:1" x14ac:dyDescent="0.2">
      <c r="A5291">
        <v>5479</v>
      </c>
    </row>
    <row r="5292" spans="1:1" x14ac:dyDescent="0.2">
      <c r="A5292">
        <v>5480</v>
      </c>
    </row>
    <row r="5293" spans="1:1" x14ac:dyDescent="0.2">
      <c r="A5293">
        <v>5481</v>
      </c>
    </row>
    <row r="5294" spans="1:1" x14ac:dyDescent="0.2">
      <c r="A5294">
        <v>5482</v>
      </c>
    </row>
    <row r="5295" spans="1:1" x14ac:dyDescent="0.2">
      <c r="A5295">
        <v>5483</v>
      </c>
    </row>
    <row r="5296" spans="1:1" x14ac:dyDescent="0.2">
      <c r="A5296">
        <v>5484</v>
      </c>
    </row>
    <row r="5297" spans="1:1" x14ac:dyDescent="0.2">
      <c r="A5297">
        <v>5485</v>
      </c>
    </row>
    <row r="5298" spans="1:1" x14ac:dyDescent="0.2">
      <c r="A5298">
        <v>5486</v>
      </c>
    </row>
    <row r="5299" spans="1:1" x14ac:dyDescent="0.2">
      <c r="A5299">
        <v>5487</v>
      </c>
    </row>
    <row r="5300" spans="1:1" x14ac:dyDescent="0.2">
      <c r="A5300">
        <v>5488</v>
      </c>
    </row>
    <row r="5301" spans="1:1" x14ac:dyDescent="0.2">
      <c r="A5301">
        <v>5489</v>
      </c>
    </row>
    <row r="5302" spans="1:1" x14ac:dyDescent="0.2">
      <c r="A5302">
        <v>5490</v>
      </c>
    </row>
    <row r="5303" spans="1:1" x14ac:dyDescent="0.2">
      <c r="A5303">
        <v>5491</v>
      </c>
    </row>
    <row r="5304" spans="1:1" x14ac:dyDescent="0.2">
      <c r="A5304">
        <v>5492</v>
      </c>
    </row>
    <row r="5305" spans="1:1" x14ac:dyDescent="0.2">
      <c r="A5305">
        <v>5493</v>
      </c>
    </row>
    <row r="5306" spans="1:1" x14ac:dyDescent="0.2">
      <c r="A5306">
        <v>5494</v>
      </c>
    </row>
    <row r="5307" spans="1:1" x14ac:dyDescent="0.2">
      <c r="A5307">
        <v>5495</v>
      </c>
    </row>
    <row r="5308" spans="1:1" x14ac:dyDescent="0.2">
      <c r="A5308">
        <v>5496</v>
      </c>
    </row>
    <row r="5309" spans="1:1" x14ac:dyDescent="0.2">
      <c r="A5309">
        <v>5497</v>
      </c>
    </row>
    <row r="5310" spans="1:1" x14ac:dyDescent="0.2">
      <c r="A5310">
        <v>5498</v>
      </c>
    </row>
    <row r="5311" spans="1:1" x14ac:dyDescent="0.2">
      <c r="A5311">
        <v>5499</v>
      </c>
    </row>
    <row r="5312" spans="1:1" x14ac:dyDescent="0.2">
      <c r="A5312">
        <v>5500</v>
      </c>
    </row>
    <row r="5313" spans="1:1" x14ac:dyDescent="0.2">
      <c r="A5313">
        <v>5501</v>
      </c>
    </row>
    <row r="5314" spans="1:1" x14ac:dyDescent="0.2">
      <c r="A5314">
        <v>5502</v>
      </c>
    </row>
    <row r="5315" spans="1:1" x14ac:dyDescent="0.2">
      <c r="A5315">
        <v>5503</v>
      </c>
    </row>
    <row r="5316" spans="1:1" x14ac:dyDescent="0.2">
      <c r="A5316">
        <v>5504</v>
      </c>
    </row>
    <row r="5317" spans="1:1" x14ac:dyDescent="0.2">
      <c r="A5317">
        <v>5505</v>
      </c>
    </row>
    <row r="5318" spans="1:1" x14ac:dyDescent="0.2">
      <c r="A5318">
        <v>5506</v>
      </c>
    </row>
    <row r="5319" spans="1:1" x14ac:dyDescent="0.2">
      <c r="A5319">
        <v>5507</v>
      </c>
    </row>
    <row r="5320" spans="1:1" x14ac:dyDescent="0.2">
      <c r="A5320">
        <v>5508</v>
      </c>
    </row>
    <row r="5321" spans="1:1" x14ac:dyDescent="0.2">
      <c r="A5321">
        <v>5509</v>
      </c>
    </row>
    <row r="5322" spans="1:1" x14ac:dyDescent="0.2">
      <c r="A5322">
        <v>5510</v>
      </c>
    </row>
    <row r="5323" spans="1:1" x14ac:dyDescent="0.2">
      <c r="A5323">
        <v>5511</v>
      </c>
    </row>
    <row r="5324" spans="1:1" x14ac:dyDescent="0.2">
      <c r="A5324">
        <v>5512</v>
      </c>
    </row>
    <row r="5325" spans="1:1" x14ac:dyDescent="0.2">
      <c r="A5325">
        <v>5513</v>
      </c>
    </row>
    <row r="5326" spans="1:1" x14ac:dyDescent="0.2">
      <c r="A5326">
        <v>5514</v>
      </c>
    </row>
    <row r="5327" spans="1:1" x14ac:dyDescent="0.2">
      <c r="A5327">
        <v>5515</v>
      </c>
    </row>
    <row r="5328" spans="1:1" x14ac:dyDescent="0.2">
      <c r="A5328">
        <v>5516</v>
      </c>
    </row>
    <row r="5329" spans="1:1" x14ac:dyDescent="0.2">
      <c r="A5329">
        <v>5517</v>
      </c>
    </row>
    <row r="5330" spans="1:1" x14ac:dyDescent="0.2">
      <c r="A5330">
        <v>5518</v>
      </c>
    </row>
    <row r="5331" spans="1:1" x14ac:dyDescent="0.2">
      <c r="A5331">
        <v>5519</v>
      </c>
    </row>
    <row r="5332" spans="1:1" x14ac:dyDescent="0.2">
      <c r="A5332">
        <v>5520</v>
      </c>
    </row>
    <row r="5333" spans="1:1" x14ac:dyDescent="0.2">
      <c r="A5333">
        <v>5521</v>
      </c>
    </row>
    <row r="5334" spans="1:1" x14ac:dyDescent="0.2">
      <c r="A5334">
        <v>5522</v>
      </c>
    </row>
    <row r="5335" spans="1:1" x14ac:dyDescent="0.2">
      <c r="A5335">
        <v>5523</v>
      </c>
    </row>
    <row r="5336" spans="1:1" x14ac:dyDescent="0.2">
      <c r="A5336">
        <v>5524</v>
      </c>
    </row>
    <row r="5337" spans="1:1" x14ac:dyDescent="0.2">
      <c r="A5337">
        <v>5525</v>
      </c>
    </row>
    <row r="5338" spans="1:1" x14ac:dyDescent="0.2">
      <c r="A5338">
        <v>5526</v>
      </c>
    </row>
    <row r="5339" spans="1:1" x14ac:dyDescent="0.2">
      <c r="A5339">
        <v>5527</v>
      </c>
    </row>
    <row r="5340" spans="1:1" x14ac:dyDescent="0.2">
      <c r="A5340">
        <v>5528</v>
      </c>
    </row>
    <row r="5341" spans="1:1" x14ac:dyDescent="0.2">
      <c r="A5341">
        <v>5529</v>
      </c>
    </row>
    <row r="5342" spans="1:1" x14ac:dyDescent="0.2">
      <c r="A5342">
        <v>5530</v>
      </c>
    </row>
    <row r="5343" spans="1:1" x14ac:dyDescent="0.2">
      <c r="A5343">
        <v>5531</v>
      </c>
    </row>
    <row r="5344" spans="1:1" x14ac:dyDescent="0.2">
      <c r="A5344">
        <v>5532</v>
      </c>
    </row>
    <row r="5345" spans="1:1" x14ac:dyDescent="0.2">
      <c r="A5345">
        <v>5533</v>
      </c>
    </row>
    <row r="5346" spans="1:1" x14ac:dyDescent="0.2">
      <c r="A5346">
        <v>5534</v>
      </c>
    </row>
    <row r="5347" spans="1:1" x14ac:dyDescent="0.2">
      <c r="A5347">
        <v>5535</v>
      </c>
    </row>
    <row r="5348" spans="1:1" x14ac:dyDescent="0.2">
      <c r="A5348">
        <v>5536</v>
      </c>
    </row>
    <row r="5349" spans="1:1" x14ac:dyDescent="0.2">
      <c r="A5349">
        <v>5537</v>
      </c>
    </row>
    <row r="5350" spans="1:1" x14ac:dyDescent="0.2">
      <c r="A5350">
        <v>5538</v>
      </c>
    </row>
    <row r="5351" spans="1:1" x14ac:dyDescent="0.2">
      <c r="A5351">
        <v>5539</v>
      </c>
    </row>
    <row r="5352" spans="1:1" x14ac:dyDescent="0.2">
      <c r="A5352">
        <v>5540</v>
      </c>
    </row>
    <row r="5353" spans="1:1" x14ac:dyDescent="0.2">
      <c r="A5353">
        <v>5541</v>
      </c>
    </row>
    <row r="5354" spans="1:1" x14ac:dyDescent="0.2">
      <c r="A5354">
        <v>5542</v>
      </c>
    </row>
    <row r="5355" spans="1:1" x14ac:dyDescent="0.2">
      <c r="A5355">
        <v>5543</v>
      </c>
    </row>
    <row r="5356" spans="1:1" x14ac:dyDescent="0.2">
      <c r="A5356">
        <v>5544</v>
      </c>
    </row>
    <row r="5357" spans="1:1" x14ac:dyDescent="0.2">
      <c r="A5357">
        <v>5545</v>
      </c>
    </row>
    <row r="5358" spans="1:1" x14ac:dyDescent="0.2">
      <c r="A5358">
        <v>5546</v>
      </c>
    </row>
    <row r="5359" spans="1:1" x14ac:dyDescent="0.2">
      <c r="A5359">
        <v>5547</v>
      </c>
    </row>
    <row r="5360" spans="1:1" x14ac:dyDescent="0.2">
      <c r="A5360">
        <v>5548</v>
      </c>
    </row>
    <row r="5361" spans="1:1" x14ac:dyDescent="0.2">
      <c r="A5361">
        <v>5549</v>
      </c>
    </row>
    <row r="5362" spans="1:1" x14ac:dyDescent="0.2">
      <c r="A5362">
        <v>5550</v>
      </c>
    </row>
    <row r="5363" spans="1:1" x14ac:dyDescent="0.2">
      <c r="A5363">
        <v>5551</v>
      </c>
    </row>
    <row r="5364" spans="1:1" x14ac:dyDescent="0.2">
      <c r="A5364">
        <v>5552</v>
      </c>
    </row>
    <row r="5365" spans="1:1" x14ac:dyDescent="0.2">
      <c r="A5365">
        <v>5553</v>
      </c>
    </row>
    <row r="5366" spans="1:1" x14ac:dyDescent="0.2">
      <c r="A5366">
        <v>5554</v>
      </c>
    </row>
    <row r="5367" spans="1:1" x14ac:dyDescent="0.2">
      <c r="A5367">
        <v>5555</v>
      </c>
    </row>
    <row r="5368" spans="1:1" x14ac:dyDescent="0.2">
      <c r="A5368">
        <v>5556</v>
      </c>
    </row>
    <row r="5369" spans="1:1" x14ac:dyDescent="0.2">
      <c r="A5369">
        <v>5557</v>
      </c>
    </row>
    <row r="5370" spans="1:1" x14ac:dyDescent="0.2">
      <c r="A5370">
        <v>5558</v>
      </c>
    </row>
    <row r="5371" spans="1:1" x14ac:dyDescent="0.2">
      <c r="A5371">
        <v>5559</v>
      </c>
    </row>
    <row r="5372" spans="1:1" x14ac:dyDescent="0.2">
      <c r="A5372">
        <v>5560</v>
      </c>
    </row>
    <row r="5373" spans="1:1" x14ac:dyDescent="0.2">
      <c r="A5373">
        <v>5561</v>
      </c>
    </row>
    <row r="5374" spans="1:1" x14ac:dyDescent="0.2">
      <c r="A5374">
        <v>5562</v>
      </c>
    </row>
    <row r="5375" spans="1:1" x14ac:dyDescent="0.2">
      <c r="A5375">
        <v>5563</v>
      </c>
    </row>
    <row r="5376" spans="1:1" x14ac:dyDescent="0.2">
      <c r="A5376">
        <v>5564</v>
      </c>
    </row>
    <row r="5377" spans="1:1" x14ac:dyDescent="0.2">
      <c r="A5377">
        <v>5565</v>
      </c>
    </row>
    <row r="5378" spans="1:1" x14ac:dyDescent="0.2">
      <c r="A5378">
        <v>5566</v>
      </c>
    </row>
    <row r="5379" spans="1:1" x14ac:dyDescent="0.2">
      <c r="A5379">
        <v>5567</v>
      </c>
    </row>
    <row r="5380" spans="1:1" x14ac:dyDescent="0.2">
      <c r="A5380">
        <v>5568</v>
      </c>
    </row>
    <row r="5381" spans="1:1" x14ac:dyDescent="0.2">
      <c r="A5381">
        <v>5569</v>
      </c>
    </row>
    <row r="5382" spans="1:1" x14ac:dyDescent="0.2">
      <c r="A5382">
        <v>5570</v>
      </c>
    </row>
    <row r="5383" spans="1:1" x14ac:dyDescent="0.2">
      <c r="A5383">
        <v>5571</v>
      </c>
    </row>
    <row r="5384" spans="1:1" x14ac:dyDescent="0.2">
      <c r="A5384">
        <v>5572</v>
      </c>
    </row>
    <row r="5385" spans="1:1" x14ac:dyDescent="0.2">
      <c r="A5385">
        <v>5573</v>
      </c>
    </row>
    <row r="5386" spans="1:1" x14ac:dyDescent="0.2">
      <c r="A5386">
        <v>5574</v>
      </c>
    </row>
    <row r="5387" spans="1:1" x14ac:dyDescent="0.2">
      <c r="A5387">
        <v>5575</v>
      </c>
    </row>
    <row r="5388" spans="1:1" x14ac:dyDescent="0.2">
      <c r="A5388">
        <v>5576</v>
      </c>
    </row>
    <row r="5389" spans="1:1" x14ac:dyDescent="0.2">
      <c r="A5389">
        <v>5577</v>
      </c>
    </row>
    <row r="5390" spans="1:1" x14ac:dyDescent="0.2">
      <c r="A5390">
        <v>5578</v>
      </c>
    </row>
    <row r="5391" spans="1:1" x14ac:dyDescent="0.2">
      <c r="A5391">
        <v>5579</v>
      </c>
    </row>
    <row r="5392" spans="1:1" x14ac:dyDescent="0.2">
      <c r="A5392">
        <v>5580</v>
      </c>
    </row>
    <row r="5393" spans="1:1" x14ac:dyDescent="0.2">
      <c r="A5393">
        <v>5581</v>
      </c>
    </row>
    <row r="5394" spans="1:1" x14ac:dyDescent="0.2">
      <c r="A5394">
        <v>5582</v>
      </c>
    </row>
    <row r="5395" spans="1:1" x14ac:dyDescent="0.2">
      <c r="A5395">
        <v>5583</v>
      </c>
    </row>
    <row r="5396" spans="1:1" x14ac:dyDescent="0.2">
      <c r="A5396">
        <v>5584</v>
      </c>
    </row>
    <row r="5397" spans="1:1" x14ac:dyDescent="0.2">
      <c r="A5397">
        <v>5585</v>
      </c>
    </row>
    <row r="5398" spans="1:1" x14ac:dyDescent="0.2">
      <c r="A5398">
        <v>5586</v>
      </c>
    </row>
    <row r="5399" spans="1:1" x14ac:dyDescent="0.2">
      <c r="A5399">
        <v>5587</v>
      </c>
    </row>
    <row r="5400" spans="1:1" x14ac:dyDescent="0.2">
      <c r="A5400">
        <v>5588</v>
      </c>
    </row>
    <row r="5401" spans="1:1" x14ac:dyDescent="0.2">
      <c r="A5401">
        <v>5589</v>
      </c>
    </row>
    <row r="5402" spans="1:1" x14ac:dyDescent="0.2">
      <c r="A5402">
        <v>5590</v>
      </c>
    </row>
    <row r="5403" spans="1:1" x14ac:dyDescent="0.2">
      <c r="A5403">
        <v>5591</v>
      </c>
    </row>
    <row r="5404" spans="1:1" x14ac:dyDescent="0.2">
      <c r="A5404">
        <v>5592</v>
      </c>
    </row>
    <row r="5405" spans="1:1" x14ac:dyDescent="0.2">
      <c r="A5405">
        <v>5593</v>
      </c>
    </row>
    <row r="5406" spans="1:1" x14ac:dyDescent="0.2">
      <c r="A5406">
        <v>5594</v>
      </c>
    </row>
    <row r="5407" spans="1:1" x14ac:dyDescent="0.2">
      <c r="A5407">
        <v>5595</v>
      </c>
    </row>
    <row r="5408" spans="1:1" x14ac:dyDescent="0.2">
      <c r="A5408">
        <v>5596</v>
      </c>
    </row>
    <row r="5409" spans="1:1" x14ac:dyDescent="0.2">
      <c r="A5409">
        <v>5597</v>
      </c>
    </row>
    <row r="5410" spans="1:1" x14ac:dyDescent="0.2">
      <c r="A5410">
        <v>5598</v>
      </c>
    </row>
    <row r="5411" spans="1:1" x14ac:dyDescent="0.2">
      <c r="A5411">
        <v>5599</v>
      </c>
    </row>
    <row r="5412" spans="1:1" x14ac:dyDescent="0.2">
      <c r="A5412">
        <v>5600</v>
      </c>
    </row>
    <row r="5413" spans="1:1" x14ac:dyDescent="0.2">
      <c r="A5413">
        <v>5601</v>
      </c>
    </row>
    <row r="5414" spans="1:1" x14ac:dyDescent="0.2">
      <c r="A5414">
        <v>5602</v>
      </c>
    </row>
    <row r="5415" spans="1:1" x14ac:dyDescent="0.2">
      <c r="A5415">
        <v>5603</v>
      </c>
    </row>
    <row r="5416" spans="1:1" x14ac:dyDescent="0.2">
      <c r="A5416">
        <v>5604</v>
      </c>
    </row>
    <row r="5417" spans="1:1" x14ac:dyDescent="0.2">
      <c r="A5417">
        <v>5605</v>
      </c>
    </row>
    <row r="5418" spans="1:1" x14ac:dyDescent="0.2">
      <c r="A5418">
        <v>5606</v>
      </c>
    </row>
    <row r="5419" spans="1:1" x14ac:dyDescent="0.2">
      <c r="A5419">
        <v>5607</v>
      </c>
    </row>
    <row r="5420" spans="1:1" x14ac:dyDescent="0.2">
      <c r="A5420">
        <v>5608</v>
      </c>
    </row>
    <row r="5421" spans="1:1" x14ac:dyDescent="0.2">
      <c r="A5421">
        <v>5609</v>
      </c>
    </row>
    <row r="5422" spans="1:1" x14ac:dyDescent="0.2">
      <c r="A5422">
        <v>5610</v>
      </c>
    </row>
    <row r="5423" spans="1:1" x14ac:dyDescent="0.2">
      <c r="A5423">
        <v>5611</v>
      </c>
    </row>
    <row r="5424" spans="1:1" x14ac:dyDescent="0.2">
      <c r="A5424">
        <v>5612</v>
      </c>
    </row>
    <row r="5425" spans="1:1" x14ac:dyDescent="0.2">
      <c r="A5425">
        <v>5613</v>
      </c>
    </row>
    <row r="5426" spans="1:1" x14ac:dyDescent="0.2">
      <c r="A5426">
        <v>5614</v>
      </c>
    </row>
    <row r="5427" spans="1:1" x14ac:dyDescent="0.2">
      <c r="A5427">
        <v>5615</v>
      </c>
    </row>
    <row r="5428" spans="1:1" x14ac:dyDescent="0.2">
      <c r="A5428">
        <v>5616</v>
      </c>
    </row>
    <row r="5429" spans="1:1" x14ac:dyDescent="0.2">
      <c r="A5429">
        <v>5617</v>
      </c>
    </row>
    <row r="5430" spans="1:1" x14ac:dyDescent="0.2">
      <c r="A5430">
        <v>5618</v>
      </c>
    </row>
    <row r="5431" spans="1:1" x14ac:dyDescent="0.2">
      <c r="A5431">
        <v>5619</v>
      </c>
    </row>
    <row r="5432" spans="1:1" x14ac:dyDescent="0.2">
      <c r="A5432">
        <v>5620</v>
      </c>
    </row>
    <row r="5433" spans="1:1" x14ac:dyDescent="0.2">
      <c r="A5433">
        <v>5621</v>
      </c>
    </row>
    <row r="5434" spans="1:1" x14ac:dyDescent="0.2">
      <c r="A5434">
        <v>5622</v>
      </c>
    </row>
    <row r="5435" spans="1:1" x14ac:dyDescent="0.2">
      <c r="A5435">
        <v>5623</v>
      </c>
    </row>
    <row r="5436" spans="1:1" x14ac:dyDescent="0.2">
      <c r="A5436">
        <v>5624</v>
      </c>
    </row>
    <row r="5437" spans="1:1" x14ac:dyDescent="0.2">
      <c r="A5437">
        <v>5625</v>
      </c>
    </row>
    <row r="5438" spans="1:1" x14ac:dyDescent="0.2">
      <c r="A5438">
        <v>5626</v>
      </c>
    </row>
    <row r="5439" spans="1:1" x14ac:dyDescent="0.2">
      <c r="A5439">
        <v>5627</v>
      </c>
    </row>
    <row r="5440" spans="1:1" x14ac:dyDescent="0.2">
      <c r="A5440">
        <v>5628</v>
      </c>
    </row>
    <row r="5441" spans="1:1" x14ac:dyDescent="0.2">
      <c r="A5441">
        <v>5629</v>
      </c>
    </row>
    <row r="5442" spans="1:1" x14ac:dyDescent="0.2">
      <c r="A5442">
        <v>5630</v>
      </c>
    </row>
    <row r="5443" spans="1:1" x14ac:dyDescent="0.2">
      <c r="A5443">
        <v>5631</v>
      </c>
    </row>
    <row r="5444" spans="1:1" x14ac:dyDescent="0.2">
      <c r="A5444">
        <v>5632</v>
      </c>
    </row>
    <row r="5445" spans="1:1" x14ac:dyDescent="0.2">
      <c r="A5445">
        <v>5633</v>
      </c>
    </row>
    <row r="5446" spans="1:1" x14ac:dyDescent="0.2">
      <c r="A5446">
        <v>5634</v>
      </c>
    </row>
    <row r="5447" spans="1:1" x14ac:dyDescent="0.2">
      <c r="A5447">
        <v>5635</v>
      </c>
    </row>
    <row r="5448" spans="1:1" x14ac:dyDescent="0.2">
      <c r="A5448">
        <v>5636</v>
      </c>
    </row>
    <row r="5449" spans="1:1" x14ac:dyDescent="0.2">
      <c r="A5449">
        <v>5637</v>
      </c>
    </row>
    <row r="5450" spans="1:1" x14ac:dyDescent="0.2">
      <c r="A5450">
        <v>5638</v>
      </c>
    </row>
    <row r="5451" spans="1:1" x14ac:dyDescent="0.2">
      <c r="A5451">
        <v>5639</v>
      </c>
    </row>
    <row r="5452" spans="1:1" x14ac:dyDescent="0.2">
      <c r="A5452">
        <v>5640</v>
      </c>
    </row>
    <row r="5453" spans="1:1" x14ac:dyDescent="0.2">
      <c r="A5453">
        <v>5641</v>
      </c>
    </row>
    <row r="5454" spans="1:1" x14ac:dyDescent="0.2">
      <c r="A5454">
        <v>5642</v>
      </c>
    </row>
    <row r="5455" spans="1:1" x14ac:dyDescent="0.2">
      <c r="A5455">
        <v>5643</v>
      </c>
    </row>
    <row r="5456" spans="1:1" x14ac:dyDescent="0.2">
      <c r="A5456">
        <v>5644</v>
      </c>
    </row>
    <row r="5457" spans="1:1" x14ac:dyDescent="0.2">
      <c r="A5457">
        <v>5645</v>
      </c>
    </row>
    <row r="5458" spans="1:1" x14ac:dyDescent="0.2">
      <c r="A5458">
        <v>5646</v>
      </c>
    </row>
    <row r="5459" spans="1:1" x14ac:dyDescent="0.2">
      <c r="A5459">
        <v>5647</v>
      </c>
    </row>
    <row r="5460" spans="1:1" x14ac:dyDescent="0.2">
      <c r="A5460">
        <v>5648</v>
      </c>
    </row>
    <row r="5461" spans="1:1" x14ac:dyDescent="0.2">
      <c r="A5461">
        <v>5649</v>
      </c>
    </row>
    <row r="5462" spans="1:1" x14ac:dyDescent="0.2">
      <c r="A5462">
        <v>5650</v>
      </c>
    </row>
    <row r="5463" spans="1:1" x14ac:dyDescent="0.2">
      <c r="A5463">
        <v>5651</v>
      </c>
    </row>
    <row r="5464" spans="1:1" x14ac:dyDescent="0.2">
      <c r="A5464">
        <v>5652</v>
      </c>
    </row>
    <row r="5465" spans="1:1" x14ac:dyDescent="0.2">
      <c r="A5465">
        <v>5653</v>
      </c>
    </row>
    <row r="5466" spans="1:1" x14ac:dyDescent="0.2">
      <c r="A5466">
        <v>5654</v>
      </c>
    </row>
    <row r="5467" spans="1:1" x14ac:dyDescent="0.2">
      <c r="A5467">
        <v>5655</v>
      </c>
    </row>
    <row r="5468" spans="1:1" x14ac:dyDescent="0.2">
      <c r="A5468">
        <v>5656</v>
      </c>
    </row>
    <row r="5469" spans="1:1" x14ac:dyDescent="0.2">
      <c r="A5469">
        <v>5657</v>
      </c>
    </row>
    <row r="5470" spans="1:1" x14ac:dyDescent="0.2">
      <c r="A5470">
        <v>5658</v>
      </c>
    </row>
    <row r="5471" spans="1:1" x14ac:dyDescent="0.2">
      <c r="A5471">
        <v>5659</v>
      </c>
    </row>
    <row r="5472" spans="1:1" x14ac:dyDescent="0.2">
      <c r="A5472">
        <v>5660</v>
      </c>
    </row>
    <row r="5473" spans="1:1" x14ac:dyDescent="0.2">
      <c r="A5473">
        <v>5661</v>
      </c>
    </row>
    <row r="5474" spans="1:1" x14ac:dyDescent="0.2">
      <c r="A5474">
        <v>5662</v>
      </c>
    </row>
    <row r="5475" spans="1:1" x14ac:dyDescent="0.2">
      <c r="A5475">
        <v>5663</v>
      </c>
    </row>
    <row r="5476" spans="1:1" x14ac:dyDescent="0.2">
      <c r="A5476">
        <v>5664</v>
      </c>
    </row>
    <row r="5477" spans="1:1" x14ac:dyDescent="0.2">
      <c r="A5477">
        <v>5665</v>
      </c>
    </row>
    <row r="5478" spans="1:1" x14ac:dyDescent="0.2">
      <c r="A5478">
        <v>5666</v>
      </c>
    </row>
    <row r="5479" spans="1:1" x14ac:dyDescent="0.2">
      <c r="A5479">
        <v>5667</v>
      </c>
    </row>
    <row r="5480" spans="1:1" x14ac:dyDescent="0.2">
      <c r="A5480">
        <v>5668</v>
      </c>
    </row>
    <row r="5481" spans="1:1" x14ac:dyDescent="0.2">
      <c r="A5481">
        <v>5669</v>
      </c>
    </row>
    <row r="5482" spans="1:1" x14ac:dyDescent="0.2">
      <c r="A5482">
        <v>5670</v>
      </c>
    </row>
    <row r="5483" spans="1:1" x14ac:dyDescent="0.2">
      <c r="A5483">
        <v>5671</v>
      </c>
    </row>
    <row r="5484" spans="1:1" x14ac:dyDescent="0.2">
      <c r="A5484">
        <v>5672</v>
      </c>
    </row>
    <row r="5485" spans="1:1" x14ac:dyDescent="0.2">
      <c r="A5485">
        <v>5673</v>
      </c>
    </row>
    <row r="5486" spans="1:1" x14ac:dyDescent="0.2">
      <c r="A5486">
        <v>5674</v>
      </c>
    </row>
    <row r="5487" spans="1:1" x14ac:dyDescent="0.2">
      <c r="A5487">
        <v>5675</v>
      </c>
    </row>
    <row r="5488" spans="1:1" x14ac:dyDescent="0.2">
      <c r="A5488">
        <v>5676</v>
      </c>
    </row>
    <row r="5489" spans="1:1" x14ac:dyDescent="0.2">
      <c r="A5489">
        <v>5677</v>
      </c>
    </row>
    <row r="5490" spans="1:1" x14ac:dyDescent="0.2">
      <c r="A5490">
        <v>5678</v>
      </c>
    </row>
    <row r="5491" spans="1:1" x14ac:dyDescent="0.2">
      <c r="A5491">
        <v>5679</v>
      </c>
    </row>
    <row r="5492" spans="1:1" x14ac:dyDescent="0.2">
      <c r="A5492">
        <v>5680</v>
      </c>
    </row>
    <row r="5493" spans="1:1" x14ac:dyDescent="0.2">
      <c r="A5493">
        <v>5681</v>
      </c>
    </row>
    <row r="5494" spans="1:1" x14ac:dyDescent="0.2">
      <c r="A5494">
        <v>5682</v>
      </c>
    </row>
    <row r="5495" spans="1:1" x14ac:dyDescent="0.2">
      <c r="A5495">
        <v>5683</v>
      </c>
    </row>
    <row r="5496" spans="1:1" x14ac:dyDescent="0.2">
      <c r="A5496">
        <v>5684</v>
      </c>
    </row>
    <row r="5497" spans="1:1" x14ac:dyDescent="0.2">
      <c r="A5497">
        <v>5685</v>
      </c>
    </row>
    <row r="5498" spans="1:1" x14ac:dyDescent="0.2">
      <c r="A5498">
        <v>5686</v>
      </c>
    </row>
    <row r="5499" spans="1:1" x14ac:dyDescent="0.2">
      <c r="A5499">
        <v>5687</v>
      </c>
    </row>
    <row r="5500" spans="1:1" x14ac:dyDescent="0.2">
      <c r="A5500">
        <v>5688</v>
      </c>
    </row>
    <row r="5501" spans="1:1" x14ac:dyDescent="0.2">
      <c r="A5501">
        <v>5689</v>
      </c>
    </row>
    <row r="5502" spans="1:1" x14ac:dyDescent="0.2">
      <c r="A5502">
        <v>5690</v>
      </c>
    </row>
    <row r="5503" spans="1:1" x14ac:dyDescent="0.2">
      <c r="A5503">
        <v>5691</v>
      </c>
    </row>
    <row r="5504" spans="1:1" x14ac:dyDescent="0.2">
      <c r="A5504">
        <v>5692</v>
      </c>
    </row>
    <row r="5505" spans="1:1" x14ac:dyDescent="0.2">
      <c r="A5505">
        <v>5693</v>
      </c>
    </row>
    <row r="5506" spans="1:1" x14ac:dyDescent="0.2">
      <c r="A5506">
        <v>5694</v>
      </c>
    </row>
    <row r="5507" spans="1:1" x14ac:dyDescent="0.2">
      <c r="A5507">
        <v>5695</v>
      </c>
    </row>
    <row r="5508" spans="1:1" x14ac:dyDescent="0.2">
      <c r="A5508">
        <v>5696</v>
      </c>
    </row>
    <row r="5509" spans="1:1" x14ac:dyDescent="0.2">
      <c r="A5509">
        <v>5697</v>
      </c>
    </row>
    <row r="5510" spans="1:1" x14ac:dyDescent="0.2">
      <c r="A5510">
        <v>5698</v>
      </c>
    </row>
    <row r="5511" spans="1:1" x14ac:dyDescent="0.2">
      <c r="A5511">
        <v>5699</v>
      </c>
    </row>
    <row r="5512" spans="1:1" x14ac:dyDescent="0.2">
      <c r="A5512">
        <v>5700</v>
      </c>
    </row>
    <row r="5513" spans="1:1" x14ac:dyDescent="0.2">
      <c r="A5513">
        <v>5701</v>
      </c>
    </row>
    <row r="5514" spans="1:1" x14ac:dyDescent="0.2">
      <c r="A5514">
        <v>5702</v>
      </c>
    </row>
    <row r="5515" spans="1:1" x14ac:dyDescent="0.2">
      <c r="A5515">
        <v>5703</v>
      </c>
    </row>
    <row r="5516" spans="1:1" x14ac:dyDescent="0.2">
      <c r="A5516">
        <v>5704</v>
      </c>
    </row>
    <row r="5517" spans="1:1" x14ac:dyDescent="0.2">
      <c r="A5517">
        <v>5705</v>
      </c>
    </row>
    <row r="5518" spans="1:1" x14ac:dyDescent="0.2">
      <c r="A5518">
        <v>5706</v>
      </c>
    </row>
    <row r="5519" spans="1:1" x14ac:dyDescent="0.2">
      <c r="A5519">
        <v>5707</v>
      </c>
    </row>
    <row r="5520" spans="1:1" x14ac:dyDescent="0.2">
      <c r="A5520">
        <v>5708</v>
      </c>
    </row>
    <row r="5521" spans="1:1" x14ac:dyDescent="0.2">
      <c r="A5521">
        <v>5709</v>
      </c>
    </row>
    <row r="5522" spans="1:1" x14ac:dyDescent="0.2">
      <c r="A5522">
        <v>5710</v>
      </c>
    </row>
    <row r="5523" spans="1:1" x14ac:dyDescent="0.2">
      <c r="A5523">
        <v>5711</v>
      </c>
    </row>
    <row r="5524" spans="1:1" x14ac:dyDescent="0.2">
      <c r="A5524">
        <v>5712</v>
      </c>
    </row>
    <row r="5525" spans="1:1" x14ac:dyDescent="0.2">
      <c r="A5525">
        <v>5713</v>
      </c>
    </row>
    <row r="5526" spans="1:1" x14ac:dyDescent="0.2">
      <c r="A5526">
        <v>5714</v>
      </c>
    </row>
    <row r="5527" spans="1:1" x14ac:dyDescent="0.2">
      <c r="A5527">
        <v>5715</v>
      </c>
    </row>
    <row r="5528" spans="1:1" x14ac:dyDescent="0.2">
      <c r="A5528">
        <v>5716</v>
      </c>
    </row>
    <row r="5529" spans="1:1" x14ac:dyDescent="0.2">
      <c r="A5529">
        <v>5717</v>
      </c>
    </row>
    <row r="5530" spans="1:1" x14ac:dyDescent="0.2">
      <c r="A5530">
        <v>5718</v>
      </c>
    </row>
    <row r="5531" spans="1:1" x14ac:dyDescent="0.2">
      <c r="A5531">
        <v>5719</v>
      </c>
    </row>
    <row r="5532" spans="1:1" x14ac:dyDescent="0.2">
      <c r="A5532">
        <v>5720</v>
      </c>
    </row>
    <row r="5533" spans="1:1" x14ac:dyDescent="0.2">
      <c r="A5533">
        <v>5721</v>
      </c>
    </row>
    <row r="5534" spans="1:1" x14ac:dyDescent="0.2">
      <c r="A5534">
        <v>5722</v>
      </c>
    </row>
    <row r="5535" spans="1:1" x14ac:dyDescent="0.2">
      <c r="A5535">
        <v>5723</v>
      </c>
    </row>
    <row r="5536" spans="1:1" x14ac:dyDescent="0.2">
      <c r="A5536">
        <v>5724</v>
      </c>
    </row>
    <row r="5537" spans="1:1" x14ac:dyDescent="0.2">
      <c r="A5537">
        <v>5725</v>
      </c>
    </row>
    <row r="5538" spans="1:1" x14ac:dyDescent="0.2">
      <c r="A5538">
        <v>5726</v>
      </c>
    </row>
    <row r="5539" spans="1:1" x14ac:dyDescent="0.2">
      <c r="A5539">
        <v>5727</v>
      </c>
    </row>
    <row r="5540" spans="1:1" x14ac:dyDescent="0.2">
      <c r="A5540">
        <v>5728</v>
      </c>
    </row>
    <row r="5541" spans="1:1" x14ac:dyDescent="0.2">
      <c r="A5541">
        <v>5729</v>
      </c>
    </row>
    <row r="5542" spans="1:1" x14ac:dyDescent="0.2">
      <c r="A5542">
        <v>5730</v>
      </c>
    </row>
    <row r="5543" spans="1:1" x14ac:dyDescent="0.2">
      <c r="A5543">
        <v>5731</v>
      </c>
    </row>
    <row r="5544" spans="1:1" x14ac:dyDescent="0.2">
      <c r="A5544">
        <v>5732</v>
      </c>
    </row>
    <row r="5545" spans="1:1" x14ac:dyDescent="0.2">
      <c r="A5545">
        <v>5733</v>
      </c>
    </row>
    <row r="5546" spans="1:1" x14ac:dyDescent="0.2">
      <c r="A5546">
        <v>5734</v>
      </c>
    </row>
    <row r="5547" spans="1:1" x14ac:dyDescent="0.2">
      <c r="A5547">
        <v>5735</v>
      </c>
    </row>
    <row r="5548" spans="1:1" x14ac:dyDescent="0.2">
      <c r="A5548">
        <v>5736</v>
      </c>
    </row>
    <row r="5549" spans="1:1" x14ac:dyDescent="0.2">
      <c r="A5549">
        <v>5737</v>
      </c>
    </row>
    <row r="5550" spans="1:1" x14ac:dyDescent="0.2">
      <c r="A5550">
        <v>5738</v>
      </c>
    </row>
    <row r="5551" spans="1:1" x14ac:dyDescent="0.2">
      <c r="A5551">
        <v>5739</v>
      </c>
    </row>
    <row r="5552" spans="1:1" x14ac:dyDescent="0.2">
      <c r="A5552">
        <v>5740</v>
      </c>
    </row>
    <row r="5553" spans="1:1" x14ac:dyDescent="0.2">
      <c r="A5553">
        <v>5741</v>
      </c>
    </row>
    <row r="5554" spans="1:1" x14ac:dyDescent="0.2">
      <c r="A5554">
        <v>5742</v>
      </c>
    </row>
    <row r="5555" spans="1:1" x14ac:dyDescent="0.2">
      <c r="A5555">
        <v>5743</v>
      </c>
    </row>
    <row r="5556" spans="1:1" x14ac:dyDescent="0.2">
      <c r="A5556">
        <v>5744</v>
      </c>
    </row>
    <row r="5557" spans="1:1" x14ac:dyDescent="0.2">
      <c r="A5557">
        <v>5745</v>
      </c>
    </row>
    <row r="5558" spans="1:1" x14ac:dyDescent="0.2">
      <c r="A5558">
        <v>5746</v>
      </c>
    </row>
    <row r="5559" spans="1:1" x14ac:dyDescent="0.2">
      <c r="A5559">
        <v>5747</v>
      </c>
    </row>
    <row r="5560" spans="1:1" x14ac:dyDescent="0.2">
      <c r="A5560">
        <v>5748</v>
      </c>
    </row>
    <row r="5561" spans="1:1" x14ac:dyDescent="0.2">
      <c r="A5561">
        <v>5749</v>
      </c>
    </row>
    <row r="5562" spans="1:1" x14ac:dyDescent="0.2">
      <c r="A5562">
        <v>5750</v>
      </c>
    </row>
    <row r="5563" spans="1:1" x14ac:dyDescent="0.2">
      <c r="A5563">
        <v>5751</v>
      </c>
    </row>
    <row r="5564" spans="1:1" x14ac:dyDescent="0.2">
      <c r="A5564">
        <v>5752</v>
      </c>
    </row>
    <row r="5565" spans="1:1" x14ac:dyDescent="0.2">
      <c r="A5565">
        <v>5753</v>
      </c>
    </row>
    <row r="5566" spans="1:1" x14ac:dyDescent="0.2">
      <c r="A5566">
        <v>5754</v>
      </c>
    </row>
    <row r="5567" spans="1:1" x14ac:dyDescent="0.2">
      <c r="A5567">
        <v>5755</v>
      </c>
    </row>
    <row r="5568" spans="1:1" x14ac:dyDescent="0.2">
      <c r="A5568">
        <v>5756</v>
      </c>
    </row>
    <row r="5569" spans="1:1" x14ac:dyDescent="0.2">
      <c r="A5569">
        <v>5757</v>
      </c>
    </row>
    <row r="5570" spans="1:1" x14ac:dyDescent="0.2">
      <c r="A5570">
        <v>5758</v>
      </c>
    </row>
    <row r="5571" spans="1:1" x14ac:dyDescent="0.2">
      <c r="A5571">
        <v>5759</v>
      </c>
    </row>
    <row r="5572" spans="1:1" x14ac:dyDescent="0.2">
      <c r="A5572">
        <v>5760</v>
      </c>
    </row>
    <row r="5573" spans="1:1" x14ac:dyDescent="0.2">
      <c r="A5573">
        <v>5761</v>
      </c>
    </row>
    <row r="5574" spans="1:1" x14ac:dyDescent="0.2">
      <c r="A5574">
        <v>5762</v>
      </c>
    </row>
    <row r="5575" spans="1:1" x14ac:dyDescent="0.2">
      <c r="A5575">
        <v>5763</v>
      </c>
    </row>
    <row r="5576" spans="1:1" x14ac:dyDescent="0.2">
      <c r="A5576">
        <v>5764</v>
      </c>
    </row>
    <row r="5577" spans="1:1" x14ac:dyDescent="0.2">
      <c r="A5577">
        <v>5765</v>
      </c>
    </row>
    <row r="5578" spans="1:1" x14ac:dyDescent="0.2">
      <c r="A5578">
        <v>5766</v>
      </c>
    </row>
    <row r="5579" spans="1:1" x14ac:dyDescent="0.2">
      <c r="A5579">
        <v>5767</v>
      </c>
    </row>
    <row r="5580" spans="1:1" x14ac:dyDescent="0.2">
      <c r="A5580">
        <v>5768</v>
      </c>
    </row>
    <row r="5581" spans="1:1" x14ac:dyDescent="0.2">
      <c r="A5581">
        <v>5769</v>
      </c>
    </row>
    <row r="5582" spans="1:1" x14ac:dyDescent="0.2">
      <c r="A5582">
        <v>5770</v>
      </c>
    </row>
    <row r="5583" spans="1:1" x14ac:dyDescent="0.2">
      <c r="A5583">
        <v>5771</v>
      </c>
    </row>
    <row r="5584" spans="1:1" x14ac:dyDescent="0.2">
      <c r="A5584">
        <v>5772</v>
      </c>
    </row>
    <row r="5585" spans="1:1" x14ac:dyDescent="0.2">
      <c r="A5585">
        <v>5773</v>
      </c>
    </row>
    <row r="5586" spans="1:1" x14ac:dyDescent="0.2">
      <c r="A5586">
        <v>5774</v>
      </c>
    </row>
    <row r="5587" spans="1:1" x14ac:dyDescent="0.2">
      <c r="A5587">
        <v>5775</v>
      </c>
    </row>
    <row r="5588" spans="1:1" x14ac:dyDescent="0.2">
      <c r="A5588">
        <v>5776</v>
      </c>
    </row>
    <row r="5589" spans="1:1" x14ac:dyDescent="0.2">
      <c r="A5589">
        <v>5777</v>
      </c>
    </row>
    <row r="5590" spans="1:1" x14ac:dyDescent="0.2">
      <c r="A5590">
        <v>5778</v>
      </c>
    </row>
    <row r="5591" spans="1:1" x14ac:dyDescent="0.2">
      <c r="A5591">
        <v>5779</v>
      </c>
    </row>
    <row r="5592" spans="1:1" x14ac:dyDescent="0.2">
      <c r="A5592">
        <v>5780</v>
      </c>
    </row>
    <row r="5593" spans="1:1" x14ac:dyDescent="0.2">
      <c r="A5593">
        <v>5781</v>
      </c>
    </row>
    <row r="5594" spans="1:1" x14ac:dyDescent="0.2">
      <c r="A5594">
        <v>5782</v>
      </c>
    </row>
    <row r="5595" spans="1:1" x14ac:dyDescent="0.2">
      <c r="A5595">
        <v>5783</v>
      </c>
    </row>
    <row r="5596" spans="1:1" x14ac:dyDescent="0.2">
      <c r="A5596">
        <v>5784</v>
      </c>
    </row>
    <row r="5597" spans="1:1" x14ac:dyDescent="0.2">
      <c r="A5597">
        <v>5785</v>
      </c>
    </row>
    <row r="5598" spans="1:1" x14ac:dyDescent="0.2">
      <c r="A5598">
        <v>5786</v>
      </c>
    </row>
    <row r="5599" spans="1:1" x14ac:dyDescent="0.2">
      <c r="A5599">
        <v>5787</v>
      </c>
    </row>
    <row r="5600" spans="1:1" x14ac:dyDescent="0.2">
      <c r="A5600">
        <v>5788</v>
      </c>
    </row>
    <row r="5601" spans="1:1" x14ac:dyDescent="0.2">
      <c r="A5601">
        <v>5789</v>
      </c>
    </row>
    <row r="5602" spans="1:1" x14ac:dyDescent="0.2">
      <c r="A5602">
        <v>5790</v>
      </c>
    </row>
    <row r="5603" spans="1:1" x14ac:dyDescent="0.2">
      <c r="A5603">
        <v>5791</v>
      </c>
    </row>
    <row r="5604" spans="1:1" x14ac:dyDescent="0.2">
      <c r="A5604">
        <v>5792</v>
      </c>
    </row>
    <row r="5605" spans="1:1" x14ac:dyDescent="0.2">
      <c r="A5605">
        <v>5793</v>
      </c>
    </row>
    <row r="5606" spans="1:1" x14ac:dyDescent="0.2">
      <c r="A5606">
        <v>5794</v>
      </c>
    </row>
    <row r="5607" spans="1:1" x14ac:dyDescent="0.2">
      <c r="A5607">
        <v>5795</v>
      </c>
    </row>
    <row r="5608" spans="1:1" x14ac:dyDescent="0.2">
      <c r="A5608">
        <v>5796</v>
      </c>
    </row>
    <row r="5609" spans="1:1" x14ac:dyDescent="0.2">
      <c r="A5609">
        <v>5797</v>
      </c>
    </row>
    <row r="5610" spans="1:1" x14ac:dyDescent="0.2">
      <c r="A5610">
        <v>5798</v>
      </c>
    </row>
    <row r="5611" spans="1:1" x14ac:dyDescent="0.2">
      <c r="A5611">
        <v>5799</v>
      </c>
    </row>
    <row r="5612" spans="1:1" x14ac:dyDescent="0.2">
      <c r="A5612">
        <v>5800</v>
      </c>
    </row>
    <row r="5613" spans="1:1" x14ac:dyDescent="0.2">
      <c r="A5613">
        <v>5801</v>
      </c>
    </row>
    <row r="5614" spans="1:1" x14ac:dyDescent="0.2">
      <c r="A5614">
        <v>5802</v>
      </c>
    </row>
    <row r="5615" spans="1:1" x14ac:dyDescent="0.2">
      <c r="A5615">
        <v>5803</v>
      </c>
    </row>
    <row r="5616" spans="1:1" x14ac:dyDescent="0.2">
      <c r="A5616">
        <v>5804</v>
      </c>
    </row>
    <row r="5617" spans="1:1" x14ac:dyDescent="0.2">
      <c r="A5617">
        <v>5805</v>
      </c>
    </row>
    <row r="5618" spans="1:1" x14ac:dyDescent="0.2">
      <c r="A5618">
        <v>5806</v>
      </c>
    </row>
    <row r="5619" spans="1:1" x14ac:dyDescent="0.2">
      <c r="A5619">
        <v>5807</v>
      </c>
    </row>
    <row r="5620" spans="1:1" x14ac:dyDescent="0.2">
      <c r="A5620">
        <v>5808</v>
      </c>
    </row>
    <row r="5621" spans="1:1" x14ac:dyDescent="0.2">
      <c r="A5621">
        <v>5809</v>
      </c>
    </row>
    <row r="5622" spans="1:1" x14ac:dyDescent="0.2">
      <c r="A5622">
        <v>5810</v>
      </c>
    </row>
    <row r="5623" spans="1:1" x14ac:dyDescent="0.2">
      <c r="A5623">
        <v>5811</v>
      </c>
    </row>
    <row r="5624" spans="1:1" x14ac:dyDescent="0.2">
      <c r="A5624">
        <v>5812</v>
      </c>
    </row>
    <row r="5625" spans="1:1" x14ac:dyDescent="0.2">
      <c r="A5625">
        <v>5813</v>
      </c>
    </row>
    <row r="5626" spans="1:1" x14ac:dyDescent="0.2">
      <c r="A5626">
        <v>5814</v>
      </c>
    </row>
    <row r="5627" spans="1:1" x14ac:dyDescent="0.2">
      <c r="A5627">
        <v>5815</v>
      </c>
    </row>
    <row r="5628" spans="1:1" x14ac:dyDescent="0.2">
      <c r="A5628">
        <v>5816</v>
      </c>
    </row>
    <row r="5629" spans="1:1" x14ac:dyDescent="0.2">
      <c r="A5629">
        <v>5817</v>
      </c>
    </row>
    <row r="5630" spans="1:1" x14ac:dyDescent="0.2">
      <c r="A5630">
        <v>5818</v>
      </c>
    </row>
    <row r="5631" spans="1:1" x14ac:dyDescent="0.2">
      <c r="A5631">
        <v>5819</v>
      </c>
    </row>
    <row r="5632" spans="1:1" x14ac:dyDescent="0.2">
      <c r="A5632">
        <v>5820</v>
      </c>
    </row>
    <row r="5633" spans="1:1" x14ac:dyDescent="0.2">
      <c r="A5633">
        <v>5821</v>
      </c>
    </row>
    <row r="5634" spans="1:1" x14ac:dyDescent="0.2">
      <c r="A5634">
        <v>5822</v>
      </c>
    </row>
    <row r="5635" spans="1:1" x14ac:dyDescent="0.2">
      <c r="A5635">
        <v>5823</v>
      </c>
    </row>
    <row r="5636" spans="1:1" x14ac:dyDescent="0.2">
      <c r="A5636">
        <v>5824</v>
      </c>
    </row>
    <row r="5637" spans="1:1" x14ac:dyDescent="0.2">
      <c r="A5637">
        <v>5825</v>
      </c>
    </row>
    <row r="5638" spans="1:1" x14ac:dyDescent="0.2">
      <c r="A5638">
        <v>5826</v>
      </c>
    </row>
    <row r="5639" spans="1:1" x14ac:dyDescent="0.2">
      <c r="A5639">
        <v>5827</v>
      </c>
    </row>
    <row r="5640" spans="1:1" x14ac:dyDescent="0.2">
      <c r="A5640">
        <v>5828</v>
      </c>
    </row>
    <row r="5641" spans="1:1" x14ac:dyDescent="0.2">
      <c r="A5641">
        <v>5829</v>
      </c>
    </row>
    <row r="5642" spans="1:1" x14ac:dyDescent="0.2">
      <c r="A5642">
        <v>5830</v>
      </c>
    </row>
    <row r="5643" spans="1:1" x14ac:dyDescent="0.2">
      <c r="A5643">
        <v>5831</v>
      </c>
    </row>
    <row r="5644" spans="1:1" x14ac:dyDescent="0.2">
      <c r="A5644">
        <v>5832</v>
      </c>
    </row>
    <row r="5645" spans="1:1" x14ac:dyDescent="0.2">
      <c r="A5645">
        <v>5833</v>
      </c>
    </row>
    <row r="5646" spans="1:1" x14ac:dyDescent="0.2">
      <c r="A5646">
        <v>5834</v>
      </c>
    </row>
    <row r="5647" spans="1:1" x14ac:dyDescent="0.2">
      <c r="A5647">
        <v>5835</v>
      </c>
    </row>
    <row r="5648" spans="1:1" x14ac:dyDescent="0.2">
      <c r="A5648">
        <v>5836</v>
      </c>
    </row>
    <row r="5649" spans="1:1" x14ac:dyDescent="0.2">
      <c r="A5649">
        <v>5837</v>
      </c>
    </row>
    <row r="5650" spans="1:1" x14ac:dyDescent="0.2">
      <c r="A5650">
        <v>5838</v>
      </c>
    </row>
    <row r="5651" spans="1:1" x14ac:dyDescent="0.2">
      <c r="A5651">
        <v>5839</v>
      </c>
    </row>
    <row r="5652" spans="1:1" x14ac:dyDescent="0.2">
      <c r="A5652">
        <v>5840</v>
      </c>
    </row>
    <row r="5653" spans="1:1" x14ac:dyDescent="0.2">
      <c r="A5653">
        <v>5841</v>
      </c>
    </row>
    <row r="5654" spans="1:1" x14ac:dyDescent="0.2">
      <c r="A5654">
        <v>5842</v>
      </c>
    </row>
    <row r="5655" spans="1:1" x14ac:dyDescent="0.2">
      <c r="A5655">
        <v>5843</v>
      </c>
    </row>
    <row r="5656" spans="1:1" x14ac:dyDescent="0.2">
      <c r="A5656">
        <v>5844</v>
      </c>
    </row>
    <row r="5657" spans="1:1" x14ac:dyDescent="0.2">
      <c r="A5657">
        <v>5845</v>
      </c>
    </row>
    <row r="5658" spans="1:1" x14ac:dyDescent="0.2">
      <c r="A5658">
        <v>5846</v>
      </c>
    </row>
    <row r="5659" spans="1:1" x14ac:dyDescent="0.2">
      <c r="A5659">
        <v>5847</v>
      </c>
    </row>
    <row r="5660" spans="1:1" x14ac:dyDescent="0.2">
      <c r="A5660">
        <v>5848</v>
      </c>
    </row>
    <row r="5661" spans="1:1" x14ac:dyDescent="0.2">
      <c r="A5661">
        <v>5849</v>
      </c>
    </row>
    <row r="5662" spans="1:1" x14ac:dyDescent="0.2">
      <c r="A5662">
        <v>5850</v>
      </c>
    </row>
    <row r="5663" spans="1:1" x14ac:dyDescent="0.2">
      <c r="A5663">
        <v>5851</v>
      </c>
    </row>
    <row r="5664" spans="1:1" x14ac:dyDescent="0.2">
      <c r="A5664">
        <v>5852</v>
      </c>
    </row>
    <row r="5665" spans="1:1" x14ac:dyDescent="0.2">
      <c r="A5665">
        <v>5853</v>
      </c>
    </row>
    <row r="5666" spans="1:1" x14ac:dyDescent="0.2">
      <c r="A5666">
        <v>5854</v>
      </c>
    </row>
    <row r="5667" spans="1:1" x14ac:dyDescent="0.2">
      <c r="A5667">
        <v>5855</v>
      </c>
    </row>
    <row r="5668" spans="1:1" x14ac:dyDescent="0.2">
      <c r="A5668">
        <v>5856</v>
      </c>
    </row>
    <row r="5669" spans="1:1" x14ac:dyDescent="0.2">
      <c r="A5669">
        <v>5857</v>
      </c>
    </row>
    <row r="5670" spans="1:1" x14ac:dyDescent="0.2">
      <c r="A5670">
        <v>5858</v>
      </c>
    </row>
    <row r="5671" spans="1:1" x14ac:dyDescent="0.2">
      <c r="A5671">
        <v>5859</v>
      </c>
    </row>
    <row r="5672" spans="1:1" x14ac:dyDescent="0.2">
      <c r="A5672">
        <v>5860</v>
      </c>
    </row>
    <row r="5673" spans="1:1" x14ac:dyDescent="0.2">
      <c r="A5673">
        <v>5861</v>
      </c>
    </row>
    <row r="5674" spans="1:1" x14ac:dyDescent="0.2">
      <c r="A5674">
        <v>5862</v>
      </c>
    </row>
    <row r="5675" spans="1:1" x14ac:dyDescent="0.2">
      <c r="A5675">
        <v>5863</v>
      </c>
    </row>
    <row r="5676" spans="1:1" x14ac:dyDescent="0.2">
      <c r="A5676">
        <v>5864</v>
      </c>
    </row>
    <row r="5677" spans="1:1" x14ac:dyDescent="0.2">
      <c r="A5677">
        <v>5865</v>
      </c>
    </row>
    <row r="5678" spans="1:1" x14ac:dyDescent="0.2">
      <c r="A5678">
        <v>5866</v>
      </c>
    </row>
    <row r="5679" spans="1:1" x14ac:dyDescent="0.2">
      <c r="A5679">
        <v>5867</v>
      </c>
    </row>
    <row r="5680" spans="1:1" x14ac:dyDescent="0.2">
      <c r="A5680">
        <v>5868</v>
      </c>
    </row>
    <row r="5681" spans="1:1" x14ac:dyDescent="0.2">
      <c r="A5681">
        <v>5869</v>
      </c>
    </row>
    <row r="5682" spans="1:1" x14ac:dyDescent="0.2">
      <c r="A5682">
        <v>5870</v>
      </c>
    </row>
    <row r="5683" spans="1:1" x14ac:dyDescent="0.2">
      <c r="A5683">
        <v>5871</v>
      </c>
    </row>
    <row r="5684" spans="1:1" x14ac:dyDescent="0.2">
      <c r="A5684">
        <v>5872</v>
      </c>
    </row>
    <row r="5685" spans="1:1" x14ac:dyDescent="0.2">
      <c r="A5685">
        <v>5873</v>
      </c>
    </row>
    <row r="5686" spans="1:1" x14ac:dyDescent="0.2">
      <c r="A5686">
        <v>5874</v>
      </c>
    </row>
    <row r="5687" spans="1:1" x14ac:dyDescent="0.2">
      <c r="A5687">
        <v>5875</v>
      </c>
    </row>
    <row r="5688" spans="1:1" x14ac:dyDescent="0.2">
      <c r="A5688">
        <v>5876</v>
      </c>
    </row>
    <row r="5689" spans="1:1" x14ac:dyDescent="0.2">
      <c r="A5689">
        <v>5877</v>
      </c>
    </row>
    <row r="5690" spans="1:1" x14ac:dyDescent="0.2">
      <c r="A5690">
        <v>5878</v>
      </c>
    </row>
    <row r="5691" spans="1:1" x14ac:dyDescent="0.2">
      <c r="A5691">
        <v>5879</v>
      </c>
    </row>
    <row r="5692" spans="1:1" x14ac:dyDescent="0.2">
      <c r="A5692">
        <v>5880</v>
      </c>
    </row>
    <row r="5693" spans="1:1" x14ac:dyDescent="0.2">
      <c r="A5693">
        <v>5881</v>
      </c>
    </row>
    <row r="5694" spans="1:1" x14ac:dyDescent="0.2">
      <c r="A5694">
        <v>5882</v>
      </c>
    </row>
    <row r="5695" spans="1:1" x14ac:dyDescent="0.2">
      <c r="A5695">
        <v>5883</v>
      </c>
    </row>
    <row r="5696" spans="1:1" x14ac:dyDescent="0.2">
      <c r="A5696">
        <v>5884</v>
      </c>
    </row>
    <row r="5697" spans="1:1" x14ac:dyDescent="0.2">
      <c r="A5697">
        <v>5885</v>
      </c>
    </row>
    <row r="5698" spans="1:1" x14ac:dyDescent="0.2">
      <c r="A5698">
        <v>5886</v>
      </c>
    </row>
    <row r="5699" spans="1:1" x14ac:dyDescent="0.2">
      <c r="A5699">
        <v>5887</v>
      </c>
    </row>
    <row r="5700" spans="1:1" x14ac:dyDescent="0.2">
      <c r="A5700">
        <v>5888</v>
      </c>
    </row>
    <row r="5701" spans="1:1" x14ac:dyDescent="0.2">
      <c r="A5701">
        <v>5889</v>
      </c>
    </row>
    <row r="5702" spans="1:1" x14ac:dyDescent="0.2">
      <c r="A5702">
        <v>5890</v>
      </c>
    </row>
    <row r="5703" spans="1:1" x14ac:dyDescent="0.2">
      <c r="A5703">
        <v>5891</v>
      </c>
    </row>
    <row r="5704" spans="1:1" x14ac:dyDescent="0.2">
      <c r="A5704">
        <v>5892</v>
      </c>
    </row>
    <row r="5705" spans="1:1" x14ac:dyDescent="0.2">
      <c r="A5705">
        <v>5893</v>
      </c>
    </row>
    <row r="5706" spans="1:1" x14ac:dyDescent="0.2">
      <c r="A5706">
        <v>5894</v>
      </c>
    </row>
    <row r="5707" spans="1:1" x14ac:dyDescent="0.2">
      <c r="A5707">
        <v>5895</v>
      </c>
    </row>
    <row r="5708" spans="1:1" x14ac:dyDescent="0.2">
      <c r="A5708">
        <v>5896</v>
      </c>
    </row>
    <row r="5709" spans="1:1" x14ac:dyDescent="0.2">
      <c r="A5709">
        <v>5897</v>
      </c>
    </row>
    <row r="5710" spans="1:1" x14ac:dyDescent="0.2">
      <c r="A5710">
        <v>5898</v>
      </c>
    </row>
    <row r="5711" spans="1:1" x14ac:dyDescent="0.2">
      <c r="A5711">
        <v>5899</v>
      </c>
    </row>
    <row r="5712" spans="1:1" x14ac:dyDescent="0.2">
      <c r="A5712">
        <v>5900</v>
      </c>
    </row>
    <row r="5713" spans="1:1" x14ac:dyDescent="0.2">
      <c r="A5713">
        <v>5901</v>
      </c>
    </row>
    <row r="5714" spans="1:1" x14ac:dyDescent="0.2">
      <c r="A5714">
        <v>5902</v>
      </c>
    </row>
    <row r="5715" spans="1:1" x14ac:dyDescent="0.2">
      <c r="A5715">
        <v>5903</v>
      </c>
    </row>
    <row r="5716" spans="1:1" x14ac:dyDescent="0.2">
      <c r="A5716">
        <v>5904</v>
      </c>
    </row>
    <row r="5717" spans="1:1" x14ac:dyDescent="0.2">
      <c r="A5717">
        <v>5905</v>
      </c>
    </row>
    <row r="5718" spans="1:1" x14ac:dyDescent="0.2">
      <c r="A5718">
        <v>5906</v>
      </c>
    </row>
    <row r="5719" spans="1:1" x14ac:dyDescent="0.2">
      <c r="A5719">
        <v>5907</v>
      </c>
    </row>
    <row r="5720" spans="1:1" x14ac:dyDescent="0.2">
      <c r="A5720">
        <v>5908</v>
      </c>
    </row>
    <row r="5721" spans="1:1" x14ac:dyDescent="0.2">
      <c r="A5721">
        <v>5909</v>
      </c>
    </row>
    <row r="5722" spans="1:1" x14ac:dyDescent="0.2">
      <c r="A5722">
        <v>5910</v>
      </c>
    </row>
    <row r="5723" spans="1:1" x14ac:dyDescent="0.2">
      <c r="A5723">
        <v>5911</v>
      </c>
    </row>
    <row r="5724" spans="1:1" x14ac:dyDescent="0.2">
      <c r="A5724">
        <v>5912</v>
      </c>
    </row>
    <row r="5725" spans="1:1" x14ac:dyDescent="0.2">
      <c r="A5725">
        <v>5913</v>
      </c>
    </row>
    <row r="5726" spans="1:1" x14ac:dyDescent="0.2">
      <c r="A5726">
        <v>5914</v>
      </c>
    </row>
    <row r="5727" spans="1:1" x14ac:dyDescent="0.2">
      <c r="A5727">
        <v>5915</v>
      </c>
    </row>
    <row r="5728" spans="1:1" x14ac:dyDescent="0.2">
      <c r="A5728">
        <v>5916</v>
      </c>
    </row>
    <row r="5729" spans="1:1" x14ac:dyDescent="0.2">
      <c r="A5729">
        <v>5917</v>
      </c>
    </row>
    <row r="5730" spans="1:1" x14ac:dyDescent="0.2">
      <c r="A5730">
        <v>5918</v>
      </c>
    </row>
    <row r="5731" spans="1:1" x14ac:dyDescent="0.2">
      <c r="A5731">
        <v>5919</v>
      </c>
    </row>
    <row r="5732" spans="1:1" x14ac:dyDescent="0.2">
      <c r="A5732">
        <v>5920</v>
      </c>
    </row>
    <row r="5733" spans="1:1" x14ac:dyDescent="0.2">
      <c r="A5733">
        <v>5921</v>
      </c>
    </row>
    <row r="5734" spans="1:1" x14ac:dyDescent="0.2">
      <c r="A5734">
        <v>5922</v>
      </c>
    </row>
    <row r="5735" spans="1:1" x14ac:dyDescent="0.2">
      <c r="A5735">
        <v>5923</v>
      </c>
    </row>
    <row r="5736" spans="1:1" x14ac:dyDescent="0.2">
      <c r="A5736">
        <v>5924</v>
      </c>
    </row>
    <row r="5737" spans="1:1" x14ac:dyDescent="0.2">
      <c r="A5737">
        <v>5925</v>
      </c>
    </row>
    <row r="5738" spans="1:1" x14ac:dyDescent="0.2">
      <c r="A5738">
        <v>5926</v>
      </c>
    </row>
    <row r="5739" spans="1:1" x14ac:dyDescent="0.2">
      <c r="A5739">
        <v>5927</v>
      </c>
    </row>
    <row r="5740" spans="1:1" x14ac:dyDescent="0.2">
      <c r="A5740">
        <v>5928</v>
      </c>
    </row>
    <row r="5741" spans="1:1" x14ac:dyDescent="0.2">
      <c r="A5741">
        <v>5929</v>
      </c>
    </row>
    <row r="5742" spans="1:1" x14ac:dyDescent="0.2">
      <c r="A5742">
        <v>5930</v>
      </c>
    </row>
    <row r="5743" spans="1:1" x14ac:dyDescent="0.2">
      <c r="A5743">
        <v>5931</v>
      </c>
    </row>
    <row r="5744" spans="1:1" x14ac:dyDescent="0.2">
      <c r="A5744">
        <v>5932</v>
      </c>
    </row>
    <row r="5745" spans="1:1" x14ac:dyDescent="0.2">
      <c r="A5745">
        <v>5933</v>
      </c>
    </row>
    <row r="5746" spans="1:1" x14ac:dyDescent="0.2">
      <c r="A5746">
        <v>5934</v>
      </c>
    </row>
    <row r="5747" spans="1:1" x14ac:dyDescent="0.2">
      <c r="A5747">
        <v>5935</v>
      </c>
    </row>
    <row r="5748" spans="1:1" x14ac:dyDescent="0.2">
      <c r="A5748">
        <v>5936</v>
      </c>
    </row>
    <row r="5749" spans="1:1" x14ac:dyDescent="0.2">
      <c r="A5749">
        <v>5937</v>
      </c>
    </row>
    <row r="5750" spans="1:1" x14ac:dyDescent="0.2">
      <c r="A5750">
        <v>5938</v>
      </c>
    </row>
    <row r="5751" spans="1:1" x14ac:dyDescent="0.2">
      <c r="A5751">
        <v>5939</v>
      </c>
    </row>
    <row r="5752" spans="1:1" x14ac:dyDescent="0.2">
      <c r="A5752">
        <v>5940</v>
      </c>
    </row>
    <row r="5753" spans="1:1" x14ac:dyDescent="0.2">
      <c r="A5753">
        <v>5941</v>
      </c>
    </row>
    <row r="5754" spans="1:1" x14ac:dyDescent="0.2">
      <c r="A5754">
        <v>5942</v>
      </c>
    </row>
    <row r="5755" spans="1:1" x14ac:dyDescent="0.2">
      <c r="A5755">
        <v>5943</v>
      </c>
    </row>
    <row r="5756" spans="1:1" x14ac:dyDescent="0.2">
      <c r="A5756">
        <v>5944</v>
      </c>
    </row>
    <row r="5757" spans="1:1" x14ac:dyDescent="0.2">
      <c r="A5757">
        <v>5945</v>
      </c>
    </row>
    <row r="5758" spans="1:1" x14ac:dyDescent="0.2">
      <c r="A5758">
        <v>5946</v>
      </c>
    </row>
    <row r="5759" spans="1:1" x14ac:dyDescent="0.2">
      <c r="A5759">
        <v>5947</v>
      </c>
    </row>
    <row r="5760" spans="1:1" x14ac:dyDescent="0.2">
      <c r="A5760">
        <v>5948</v>
      </c>
    </row>
    <row r="5761" spans="1:1" x14ac:dyDescent="0.2">
      <c r="A5761">
        <v>5949</v>
      </c>
    </row>
    <row r="5762" spans="1:1" x14ac:dyDescent="0.2">
      <c r="A5762">
        <v>5950</v>
      </c>
    </row>
    <row r="5763" spans="1:1" x14ac:dyDescent="0.2">
      <c r="A5763">
        <v>5951</v>
      </c>
    </row>
    <row r="5764" spans="1:1" x14ac:dyDescent="0.2">
      <c r="A5764">
        <v>5952</v>
      </c>
    </row>
    <row r="5765" spans="1:1" x14ac:dyDescent="0.2">
      <c r="A5765">
        <v>5953</v>
      </c>
    </row>
    <row r="5766" spans="1:1" x14ac:dyDescent="0.2">
      <c r="A5766">
        <v>5954</v>
      </c>
    </row>
    <row r="5767" spans="1:1" x14ac:dyDescent="0.2">
      <c r="A5767">
        <v>5955</v>
      </c>
    </row>
    <row r="5768" spans="1:1" x14ac:dyDescent="0.2">
      <c r="A5768">
        <v>5956</v>
      </c>
    </row>
    <row r="5769" spans="1:1" x14ac:dyDescent="0.2">
      <c r="A5769">
        <v>5957</v>
      </c>
    </row>
    <row r="5770" spans="1:1" x14ac:dyDescent="0.2">
      <c r="A5770">
        <v>5958</v>
      </c>
    </row>
    <row r="5771" spans="1:1" x14ac:dyDescent="0.2">
      <c r="A5771">
        <v>5959</v>
      </c>
    </row>
    <row r="5772" spans="1:1" x14ac:dyDescent="0.2">
      <c r="A5772">
        <v>5960</v>
      </c>
    </row>
    <row r="5773" spans="1:1" x14ac:dyDescent="0.2">
      <c r="A5773">
        <v>5961</v>
      </c>
    </row>
    <row r="5774" spans="1:1" x14ac:dyDescent="0.2">
      <c r="A5774">
        <v>5962</v>
      </c>
    </row>
    <row r="5775" spans="1:1" x14ac:dyDescent="0.2">
      <c r="A5775">
        <v>5963</v>
      </c>
    </row>
    <row r="5776" spans="1:1" x14ac:dyDescent="0.2">
      <c r="A5776">
        <v>5964</v>
      </c>
    </row>
    <row r="5777" spans="1:1" x14ac:dyDescent="0.2">
      <c r="A5777">
        <v>5965</v>
      </c>
    </row>
    <row r="5778" spans="1:1" x14ac:dyDescent="0.2">
      <c r="A5778">
        <v>5966</v>
      </c>
    </row>
    <row r="5779" spans="1:1" x14ac:dyDescent="0.2">
      <c r="A5779">
        <v>5967</v>
      </c>
    </row>
    <row r="5780" spans="1:1" x14ac:dyDescent="0.2">
      <c r="A5780">
        <v>5968</v>
      </c>
    </row>
    <row r="5781" spans="1:1" x14ac:dyDescent="0.2">
      <c r="A5781">
        <v>5969</v>
      </c>
    </row>
    <row r="5782" spans="1:1" x14ac:dyDescent="0.2">
      <c r="A5782">
        <v>5970</v>
      </c>
    </row>
    <row r="5783" spans="1:1" x14ac:dyDescent="0.2">
      <c r="A5783">
        <v>5971</v>
      </c>
    </row>
    <row r="5784" spans="1:1" x14ac:dyDescent="0.2">
      <c r="A5784">
        <v>5972</v>
      </c>
    </row>
    <row r="5785" spans="1:1" x14ac:dyDescent="0.2">
      <c r="A5785">
        <v>5973</v>
      </c>
    </row>
    <row r="5786" spans="1:1" x14ac:dyDescent="0.2">
      <c r="A5786">
        <v>5974</v>
      </c>
    </row>
    <row r="5787" spans="1:1" x14ac:dyDescent="0.2">
      <c r="A5787">
        <v>5975</v>
      </c>
    </row>
    <row r="5788" spans="1:1" x14ac:dyDescent="0.2">
      <c r="A5788">
        <v>5976</v>
      </c>
    </row>
    <row r="5789" spans="1:1" x14ac:dyDescent="0.2">
      <c r="A5789">
        <v>5977</v>
      </c>
    </row>
    <row r="5790" spans="1:1" x14ac:dyDescent="0.2">
      <c r="A5790">
        <v>5978</v>
      </c>
    </row>
    <row r="5791" spans="1:1" x14ac:dyDescent="0.2">
      <c r="A5791">
        <v>5979</v>
      </c>
    </row>
    <row r="5792" spans="1:1" x14ac:dyDescent="0.2">
      <c r="A5792">
        <v>5980</v>
      </c>
    </row>
    <row r="5793" spans="1:1" x14ac:dyDescent="0.2">
      <c r="A5793">
        <v>5981</v>
      </c>
    </row>
    <row r="5794" spans="1:1" x14ac:dyDescent="0.2">
      <c r="A5794">
        <v>5982</v>
      </c>
    </row>
    <row r="5795" spans="1:1" x14ac:dyDescent="0.2">
      <c r="A5795">
        <v>5983</v>
      </c>
    </row>
    <row r="5796" spans="1:1" x14ac:dyDescent="0.2">
      <c r="A5796">
        <v>5984</v>
      </c>
    </row>
    <row r="5797" spans="1:1" x14ac:dyDescent="0.2">
      <c r="A5797">
        <v>5985</v>
      </c>
    </row>
    <row r="5798" spans="1:1" x14ac:dyDescent="0.2">
      <c r="A5798">
        <v>5986</v>
      </c>
    </row>
    <row r="5799" spans="1:1" x14ac:dyDescent="0.2">
      <c r="A5799">
        <v>5987</v>
      </c>
    </row>
    <row r="5800" spans="1:1" x14ac:dyDescent="0.2">
      <c r="A5800">
        <v>5988</v>
      </c>
    </row>
    <row r="5801" spans="1:1" x14ac:dyDescent="0.2">
      <c r="A5801">
        <v>5989</v>
      </c>
    </row>
    <row r="5802" spans="1:1" x14ac:dyDescent="0.2">
      <c r="A5802">
        <v>5990</v>
      </c>
    </row>
    <row r="5803" spans="1:1" x14ac:dyDescent="0.2">
      <c r="A5803">
        <v>5991</v>
      </c>
    </row>
    <row r="5804" spans="1:1" x14ac:dyDescent="0.2">
      <c r="A5804">
        <v>5992</v>
      </c>
    </row>
    <row r="5805" spans="1:1" x14ac:dyDescent="0.2">
      <c r="A5805">
        <v>5993</v>
      </c>
    </row>
    <row r="5806" spans="1:1" x14ac:dyDescent="0.2">
      <c r="A5806">
        <v>5994</v>
      </c>
    </row>
    <row r="5807" spans="1:1" x14ac:dyDescent="0.2">
      <c r="A5807">
        <v>5995</v>
      </c>
    </row>
    <row r="5808" spans="1:1" x14ac:dyDescent="0.2">
      <c r="A5808">
        <v>5996</v>
      </c>
    </row>
    <row r="5809" spans="1:1" x14ac:dyDescent="0.2">
      <c r="A5809">
        <v>5997</v>
      </c>
    </row>
    <row r="5810" spans="1:1" x14ac:dyDescent="0.2">
      <c r="A5810">
        <v>5998</v>
      </c>
    </row>
    <row r="5811" spans="1:1" x14ac:dyDescent="0.2">
      <c r="A5811">
        <v>5999</v>
      </c>
    </row>
    <row r="5812" spans="1:1" x14ac:dyDescent="0.2">
      <c r="A5812">
        <v>6000</v>
      </c>
    </row>
    <row r="5813" spans="1:1" x14ac:dyDescent="0.2">
      <c r="A5813">
        <v>6001</v>
      </c>
    </row>
    <row r="5814" spans="1:1" x14ac:dyDescent="0.2">
      <c r="A5814">
        <v>6002</v>
      </c>
    </row>
    <row r="5815" spans="1:1" x14ac:dyDescent="0.2">
      <c r="A5815">
        <v>6003</v>
      </c>
    </row>
    <row r="5816" spans="1:1" x14ac:dyDescent="0.2">
      <c r="A5816">
        <v>6004</v>
      </c>
    </row>
    <row r="5817" spans="1:1" x14ac:dyDescent="0.2">
      <c r="A5817">
        <v>6005</v>
      </c>
    </row>
    <row r="5818" spans="1:1" x14ac:dyDescent="0.2">
      <c r="A5818">
        <v>6006</v>
      </c>
    </row>
    <row r="5819" spans="1:1" x14ac:dyDescent="0.2">
      <c r="A5819">
        <v>6007</v>
      </c>
    </row>
    <row r="5820" spans="1:1" x14ac:dyDescent="0.2">
      <c r="A5820">
        <v>6008</v>
      </c>
    </row>
    <row r="5821" spans="1:1" x14ac:dyDescent="0.2">
      <c r="A5821">
        <v>6009</v>
      </c>
    </row>
    <row r="5822" spans="1:1" x14ac:dyDescent="0.2">
      <c r="A5822">
        <v>6010</v>
      </c>
    </row>
    <row r="5823" spans="1:1" x14ac:dyDescent="0.2">
      <c r="A5823">
        <v>6011</v>
      </c>
    </row>
    <row r="5824" spans="1:1" x14ac:dyDescent="0.2">
      <c r="A5824">
        <v>6012</v>
      </c>
    </row>
    <row r="5825" spans="1:1" x14ac:dyDescent="0.2">
      <c r="A5825">
        <v>6013</v>
      </c>
    </row>
    <row r="5826" spans="1:1" x14ac:dyDescent="0.2">
      <c r="A5826">
        <v>6014</v>
      </c>
    </row>
    <row r="5827" spans="1:1" x14ac:dyDescent="0.2">
      <c r="A5827">
        <v>6015</v>
      </c>
    </row>
    <row r="5828" spans="1:1" x14ac:dyDescent="0.2">
      <c r="A5828">
        <v>6016</v>
      </c>
    </row>
    <row r="5829" spans="1:1" x14ac:dyDescent="0.2">
      <c r="A5829">
        <v>6017</v>
      </c>
    </row>
    <row r="5830" spans="1:1" x14ac:dyDescent="0.2">
      <c r="A5830">
        <v>6018</v>
      </c>
    </row>
    <row r="5831" spans="1:1" x14ac:dyDescent="0.2">
      <c r="A5831">
        <v>6019</v>
      </c>
    </row>
    <row r="5832" spans="1:1" x14ac:dyDescent="0.2">
      <c r="A5832">
        <v>6020</v>
      </c>
    </row>
    <row r="5833" spans="1:1" x14ac:dyDescent="0.2">
      <c r="A5833">
        <v>6021</v>
      </c>
    </row>
    <row r="5834" spans="1:1" x14ac:dyDescent="0.2">
      <c r="A5834">
        <v>6022</v>
      </c>
    </row>
    <row r="5835" spans="1:1" x14ac:dyDescent="0.2">
      <c r="A5835">
        <v>6023</v>
      </c>
    </row>
    <row r="5836" spans="1:1" x14ac:dyDescent="0.2">
      <c r="A5836">
        <v>6024</v>
      </c>
    </row>
    <row r="5837" spans="1:1" x14ac:dyDescent="0.2">
      <c r="A5837">
        <v>6025</v>
      </c>
    </row>
    <row r="5838" spans="1:1" x14ac:dyDescent="0.2">
      <c r="A5838">
        <v>6026</v>
      </c>
    </row>
    <row r="5839" spans="1:1" x14ac:dyDescent="0.2">
      <c r="A5839">
        <v>6027</v>
      </c>
    </row>
    <row r="5840" spans="1:1" x14ac:dyDescent="0.2">
      <c r="A5840">
        <v>6028</v>
      </c>
    </row>
    <row r="5841" spans="1:1" x14ac:dyDescent="0.2">
      <c r="A5841">
        <v>6029</v>
      </c>
    </row>
    <row r="5842" spans="1:1" x14ac:dyDescent="0.2">
      <c r="A5842">
        <v>6030</v>
      </c>
    </row>
    <row r="5843" spans="1:1" x14ac:dyDescent="0.2">
      <c r="A5843">
        <v>6031</v>
      </c>
    </row>
    <row r="5844" spans="1:1" x14ac:dyDescent="0.2">
      <c r="A5844">
        <v>6032</v>
      </c>
    </row>
    <row r="5845" spans="1:1" x14ac:dyDescent="0.2">
      <c r="A5845">
        <v>6033</v>
      </c>
    </row>
    <row r="5846" spans="1:1" x14ac:dyDescent="0.2">
      <c r="A5846">
        <v>6034</v>
      </c>
    </row>
    <row r="5847" spans="1:1" x14ac:dyDescent="0.2">
      <c r="A5847">
        <v>6035</v>
      </c>
    </row>
    <row r="5848" spans="1:1" x14ac:dyDescent="0.2">
      <c r="A5848">
        <v>6036</v>
      </c>
    </row>
    <row r="5849" spans="1:1" x14ac:dyDescent="0.2">
      <c r="A5849">
        <v>6037</v>
      </c>
    </row>
    <row r="5850" spans="1:1" x14ac:dyDescent="0.2">
      <c r="A5850">
        <v>6038</v>
      </c>
    </row>
    <row r="5851" spans="1:1" x14ac:dyDescent="0.2">
      <c r="A5851">
        <v>6039</v>
      </c>
    </row>
    <row r="5852" spans="1:1" x14ac:dyDescent="0.2">
      <c r="A5852">
        <v>6040</v>
      </c>
    </row>
    <row r="5853" spans="1:1" x14ac:dyDescent="0.2">
      <c r="A5853">
        <v>6041</v>
      </c>
    </row>
    <row r="5854" spans="1:1" x14ac:dyDescent="0.2">
      <c r="A5854">
        <v>6042</v>
      </c>
    </row>
    <row r="5855" spans="1:1" x14ac:dyDescent="0.2">
      <c r="A5855">
        <v>6043</v>
      </c>
    </row>
    <row r="5856" spans="1:1" x14ac:dyDescent="0.2">
      <c r="A5856">
        <v>6044</v>
      </c>
    </row>
    <row r="5857" spans="1:1" x14ac:dyDescent="0.2">
      <c r="A5857">
        <v>6045</v>
      </c>
    </row>
    <row r="5858" spans="1:1" x14ac:dyDescent="0.2">
      <c r="A5858">
        <v>6046</v>
      </c>
    </row>
    <row r="5859" spans="1:1" x14ac:dyDescent="0.2">
      <c r="A5859">
        <v>6047</v>
      </c>
    </row>
    <row r="5860" spans="1:1" x14ac:dyDescent="0.2">
      <c r="A5860">
        <v>6048</v>
      </c>
    </row>
    <row r="5861" spans="1:1" x14ac:dyDescent="0.2">
      <c r="A5861">
        <v>6049</v>
      </c>
    </row>
    <row r="5862" spans="1:1" x14ac:dyDescent="0.2">
      <c r="A5862">
        <v>6050</v>
      </c>
    </row>
    <row r="5863" spans="1:1" x14ac:dyDescent="0.2">
      <c r="A5863">
        <v>6051</v>
      </c>
    </row>
    <row r="5864" spans="1:1" x14ac:dyDescent="0.2">
      <c r="A5864">
        <v>6052</v>
      </c>
    </row>
    <row r="5865" spans="1:1" x14ac:dyDescent="0.2">
      <c r="A5865">
        <v>6053</v>
      </c>
    </row>
    <row r="5866" spans="1:1" x14ac:dyDescent="0.2">
      <c r="A5866">
        <v>6054</v>
      </c>
    </row>
    <row r="5867" spans="1:1" x14ac:dyDescent="0.2">
      <c r="A5867">
        <v>6055</v>
      </c>
    </row>
    <row r="5868" spans="1:1" x14ac:dyDescent="0.2">
      <c r="A5868">
        <v>6056</v>
      </c>
    </row>
    <row r="5869" spans="1:1" x14ac:dyDescent="0.2">
      <c r="A5869">
        <v>6057</v>
      </c>
    </row>
    <row r="5870" spans="1:1" x14ac:dyDescent="0.2">
      <c r="A5870">
        <v>6058</v>
      </c>
    </row>
    <row r="5871" spans="1:1" x14ac:dyDescent="0.2">
      <c r="A5871">
        <v>6059</v>
      </c>
    </row>
    <row r="5872" spans="1:1" x14ac:dyDescent="0.2">
      <c r="A5872">
        <v>6060</v>
      </c>
    </row>
    <row r="5873" spans="1:1" x14ac:dyDescent="0.2">
      <c r="A5873">
        <v>6061</v>
      </c>
    </row>
    <row r="5874" spans="1:1" x14ac:dyDescent="0.2">
      <c r="A5874">
        <v>6062</v>
      </c>
    </row>
    <row r="5875" spans="1:1" x14ac:dyDescent="0.2">
      <c r="A5875">
        <v>6063</v>
      </c>
    </row>
    <row r="5876" spans="1:1" x14ac:dyDescent="0.2">
      <c r="A5876">
        <v>6064</v>
      </c>
    </row>
    <row r="5877" spans="1:1" x14ac:dyDescent="0.2">
      <c r="A5877">
        <v>6065</v>
      </c>
    </row>
    <row r="5878" spans="1:1" x14ac:dyDescent="0.2">
      <c r="A5878">
        <v>6066</v>
      </c>
    </row>
    <row r="5879" spans="1:1" x14ac:dyDescent="0.2">
      <c r="A5879">
        <v>6067</v>
      </c>
    </row>
    <row r="5880" spans="1:1" x14ac:dyDescent="0.2">
      <c r="A5880">
        <v>6068</v>
      </c>
    </row>
    <row r="5881" spans="1:1" x14ac:dyDescent="0.2">
      <c r="A5881">
        <v>6069</v>
      </c>
    </row>
    <row r="5882" spans="1:1" x14ac:dyDescent="0.2">
      <c r="A5882">
        <v>6070</v>
      </c>
    </row>
    <row r="5883" spans="1:1" x14ac:dyDescent="0.2">
      <c r="A5883">
        <v>6071</v>
      </c>
    </row>
    <row r="5884" spans="1:1" x14ac:dyDescent="0.2">
      <c r="A5884">
        <v>6072</v>
      </c>
    </row>
    <row r="5885" spans="1:1" x14ac:dyDescent="0.2">
      <c r="A5885">
        <v>6073</v>
      </c>
    </row>
    <row r="5886" spans="1:1" x14ac:dyDescent="0.2">
      <c r="A5886">
        <v>6074</v>
      </c>
    </row>
    <row r="5887" spans="1:1" x14ac:dyDescent="0.2">
      <c r="A5887">
        <v>6075</v>
      </c>
    </row>
    <row r="5888" spans="1:1" x14ac:dyDescent="0.2">
      <c r="A5888">
        <v>6076</v>
      </c>
    </row>
    <row r="5889" spans="1:1" x14ac:dyDescent="0.2">
      <c r="A5889">
        <v>6077</v>
      </c>
    </row>
    <row r="5890" spans="1:1" x14ac:dyDescent="0.2">
      <c r="A5890">
        <v>6078</v>
      </c>
    </row>
    <row r="5891" spans="1:1" x14ac:dyDescent="0.2">
      <c r="A5891">
        <v>6079</v>
      </c>
    </row>
    <row r="5892" spans="1:1" x14ac:dyDescent="0.2">
      <c r="A5892">
        <v>6080</v>
      </c>
    </row>
    <row r="5893" spans="1:1" x14ac:dyDescent="0.2">
      <c r="A5893">
        <v>6081</v>
      </c>
    </row>
    <row r="5894" spans="1:1" x14ac:dyDescent="0.2">
      <c r="A5894">
        <v>6082</v>
      </c>
    </row>
    <row r="5895" spans="1:1" x14ac:dyDescent="0.2">
      <c r="A5895">
        <v>6083</v>
      </c>
    </row>
    <row r="5896" spans="1:1" x14ac:dyDescent="0.2">
      <c r="A5896">
        <v>6084</v>
      </c>
    </row>
    <row r="5897" spans="1:1" x14ac:dyDescent="0.2">
      <c r="A5897">
        <v>6085</v>
      </c>
    </row>
    <row r="5898" spans="1:1" x14ac:dyDescent="0.2">
      <c r="A5898">
        <v>6086</v>
      </c>
    </row>
    <row r="5899" spans="1:1" x14ac:dyDescent="0.2">
      <c r="A5899">
        <v>6087</v>
      </c>
    </row>
    <row r="5900" spans="1:1" x14ac:dyDescent="0.2">
      <c r="A5900">
        <v>6088</v>
      </c>
    </row>
    <row r="5901" spans="1:1" x14ac:dyDescent="0.2">
      <c r="A5901">
        <v>6089</v>
      </c>
    </row>
    <row r="5902" spans="1:1" x14ac:dyDescent="0.2">
      <c r="A5902">
        <v>6090</v>
      </c>
    </row>
    <row r="5903" spans="1:1" x14ac:dyDescent="0.2">
      <c r="A5903">
        <v>6091</v>
      </c>
    </row>
    <row r="5904" spans="1:1" x14ac:dyDescent="0.2">
      <c r="A5904">
        <v>6092</v>
      </c>
    </row>
    <row r="5905" spans="1:1" x14ac:dyDescent="0.2">
      <c r="A5905">
        <v>6093</v>
      </c>
    </row>
    <row r="5906" spans="1:1" x14ac:dyDescent="0.2">
      <c r="A5906">
        <v>6094</v>
      </c>
    </row>
    <row r="5907" spans="1:1" x14ac:dyDescent="0.2">
      <c r="A5907">
        <v>6095</v>
      </c>
    </row>
    <row r="5908" spans="1:1" x14ac:dyDescent="0.2">
      <c r="A5908">
        <v>6096</v>
      </c>
    </row>
    <row r="5909" spans="1:1" x14ac:dyDescent="0.2">
      <c r="A5909">
        <v>6097</v>
      </c>
    </row>
    <row r="5910" spans="1:1" x14ac:dyDescent="0.2">
      <c r="A5910">
        <v>6098</v>
      </c>
    </row>
    <row r="5911" spans="1:1" x14ac:dyDescent="0.2">
      <c r="A5911">
        <v>6099</v>
      </c>
    </row>
    <row r="5912" spans="1:1" x14ac:dyDescent="0.2">
      <c r="A5912">
        <v>6100</v>
      </c>
    </row>
    <row r="5913" spans="1:1" x14ac:dyDescent="0.2">
      <c r="A5913">
        <v>6101</v>
      </c>
    </row>
    <row r="5914" spans="1:1" x14ac:dyDescent="0.2">
      <c r="A5914">
        <v>6102</v>
      </c>
    </row>
    <row r="5915" spans="1:1" x14ac:dyDescent="0.2">
      <c r="A5915">
        <v>6103</v>
      </c>
    </row>
    <row r="5916" spans="1:1" x14ac:dyDescent="0.2">
      <c r="A5916">
        <v>6104</v>
      </c>
    </row>
    <row r="5917" spans="1:1" x14ac:dyDescent="0.2">
      <c r="A5917">
        <v>6105</v>
      </c>
    </row>
    <row r="5918" spans="1:1" x14ac:dyDescent="0.2">
      <c r="A5918">
        <v>6106</v>
      </c>
    </row>
    <row r="5919" spans="1:1" x14ac:dyDescent="0.2">
      <c r="A5919">
        <v>6107</v>
      </c>
    </row>
    <row r="5920" spans="1:1" x14ac:dyDescent="0.2">
      <c r="A5920">
        <v>6108</v>
      </c>
    </row>
    <row r="5921" spans="1:1" x14ac:dyDescent="0.2">
      <c r="A5921">
        <v>6109</v>
      </c>
    </row>
    <row r="5922" spans="1:1" x14ac:dyDescent="0.2">
      <c r="A5922">
        <v>6110</v>
      </c>
    </row>
    <row r="5923" spans="1:1" x14ac:dyDescent="0.2">
      <c r="A5923">
        <v>6111</v>
      </c>
    </row>
    <row r="5924" spans="1:1" x14ac:dyDescent="0.2">
      <c r="A5924">
        <v>6112</v>
      </c>
    </row>
    <row r="5925" spans="1:1" x14ac:dyDescent="0.2">
      <c r="A5925">
        <v>6113</v>
      </c>
    </row>
    <row r="5926" spans="1:1" x14ac:dyDescent="0.2">
      <c r="A5926">
        <v>6114</v>
      </c>
    </row>
    <row r="5927" spans="1:1" x14ac:dyDescent="0.2">
      <c r="A5927">
        <v>6115</v>
      </c>
    </row>
    <row r="5928" spans="1:1" x14ac:dyDescent="0.2">
      <c r="A5928">
        <v>6116</v>
      </c>
    </row>
    <row r="5929" spans="1:1" x14ac:dyDescent="0.2">
      <c r="A5929">
        <v>6117</v>
      </c>
    </row>
    <row r="5930" spans="1:1" x14ac:dyDescent="0.2">
      <c r="A5930">
        <v>6118</v>
      </c>
    </row>
    <row r="5931" spans="1:1" x14ac:dyDescent="0.2">
      <c r="A5931">
        <v>6119</v>
      </c>
    </row>
    <row r="5932" spans="1:1" x14ac:dyDescent="0.2">
      <c r="A5932">
        <v>6120</v>
      </c>
    </row>
    <row r="5933" spans="1:1" x14ac:dyDescent="0.2">
      <c r="A5933">
        <v>6121</v>
      </c>
    </row>
    <row r="5934" spans="1:1" x14ac:dyDescent="0.2">
      <c r="A5934">
        <v>6122</v>
      </c>
    </row>
    <row r="5935" spans="1:1" x14ac:dyDescent="0.2">
      <c r="A5935">
        <v>6123</v>
      </c>
    </row>
    <row r="5936" spans="1:1" x14ac:dyDescent="0.2">
      <c r="A5936">
        <v>6124</v>
      </c>
    </row>
    <row r="5937" spans="1:1" x14ac:dyDescent="0.2">
      <c r="A5937">
        <v>6125</v>
      </c>
    </row>
    <row r="5938" spans="1:1" x14ac:dyDescent="0.2">
      <c r="A5938">
        <v>6126</v>
      </c>
    </row>
    <row r="5939" spans="1:1" x14ac:dyDescent="0.2">
      <c r="A5939">
        <v>6127</v>
      </c>
    </row>
    <row r="5940" spans="1:1" x14ac:dyDescent="0.2">
      <c r="A5940">
        <v>6128</v>
      </c>
    </row>
    <row r="5941" spans="1:1" x14ac:dyDescent="0.2">
      <c r="A5941">
        <v>6129</v>
      </c>
    </row>
    <row r="5942" spans="1:1" x14ac:dyDescent="0.2">
      <c r="A5942">
        <v>6130</v>
      </c>
    </row>
    <row r="5943" spans="1:1" x14ac:dyDescent="0.2">
      <c r="A5943">
        <v>6131</v>
      </c>
    </row>
    <row r="5944" spans="1:1" x14ac:dyDescent="0.2">
      <c r="A5944">
        <v>6132</v>
      </c>
    </row>
    <row r="5945" spans="1:1" x14ac:dyDescent="0.2">
      <c r="A5945">
        <v>6133</v>
      </c>
    </row>
    <row r="5946" spans="1:1" x14ac:dyDescent="0.2">
      <c r="A5946">
        <v>6134</v>
      </c>
    </row>
    <row r="5947" spans="1:1" x14ac:dyDescent="0.2">
      <c r="A5947">
        <v>6135</v>
      </c>
    </row>
    <row r="5948" spans="1:1" x14ac:dyDescent="0.2">
      <c r="A5948">
        <v>6136</v>
      </c>
    </row>
    <row r="5949" spans="1:1" x14ac:dyDescent="0.2">
      <c r="A5949">
        <v>6137</v>
      </c>
    </row>
    <row r="5950" spans="1:1" x14ac:dyDescent="0.2">
      <c r="A5950">
        <v>6138</v>
      </c>
    </row>
    <row r="5951" spans="1:1" x14ac:dyDescent="0.2">
      <c r="A5951">
        <v>6139</v>
      </c>
    </row>
    <row r="5952" spans="1:1" x14ac:dyDescent="0.2">
      <c r="A5952">
        <v>6140</v>
      </c>
    </row>
    <row r="5953" spans="1:1" x14ac:dyDescent="0.2">
      <c r="A5953">
        <v>6141</v>
      </c>
    </row>
    <row r="5954" spans="1:1" x14ac:dyDescent="0.2">
      <c r="A5954">
        <v>6142</v>
      </c>
    </row>
    <row r="5955" spans="1:1" x14ac:dyDescent="0.2">
      <c r="A5955">
        <v>6143</v>
      </c>
    </row>
    <row r="5956" spans="1:1" x14ac:dyDescent="0.2">
      <c r="A5956">
        <v>6144</v>
      </c>
    </row>
    <row r="5957" spans="1:1" x14ac:dyDescent="0.2">
      <c r="A5957">
        <v>6145</v>
      </c>
    </row>
    <row r="5958" spans="1:1" x14ac:dyDescent="0.2">
      <c r="A5958">
        <v>6146</v>
      </c>
    </row>
    <row r="5959" spans="1:1" x14ac:dyDescent="0.2">
      <c r="A5959">
        <v>6147</v>
      </c>
    </row>
    <row r="5960" spans="1:1" x14ac:dyDescent="0.2">
      <c r="A5960">
        <v>6148</v>
      </c>
    </row>
    <row r="5961" spans="1:1" x14ac:dyDescent="0.2">
      <c r="A5961">
        <v>6149</v>
      </c>
    </row>
    <row r="5962" spans="1:1" x14ac:dyDescent="0.2">
      <c r="A5962">
        <v>6150</v>
      </c>
    </row>
    <row r="5963" spans="1:1" x14ac:dyDescent="0.2">
      <c r="A5963">
        <v>6151</v>
      </c>
    </row>
    <row r="5964" spans="1:1" x14ac:dyDescent="0.2">
      <c r="A5964">
        <v>6152</v>
      </c>
    </row>
    <row r="5965" spans="1:1" x14ac:dyDescent="0.2">
      <c r="A5965">
        <v>6153</v>
      </c>
    </row>
    <row r="5966" spans="1:1" x14ac:dyDescent="0.2">
      <c r="A5966">
        <v>6154</v>
      </c>
    </row>
    <row r="5967" spans="1:1" x14ac:dyDescent="0.2">
      <c r="A5967">
        <v>6155</v>
      </c>
    </row>
    <row r="5968" spans="1:1" x14ac:dyDescent="0.2">
      <c r="A5968">
        <v>6156</v>
      </c>
    </row>
    <row r="5969" spans="1:1" x14ac:dyDescent="0.2">
      <c r="A5969">
        <v>6157</v>
      </c>
    </row>
    <row r="5970" spans="1:1" x14ac:dyDescent="0.2">
      <c r="A5970">
        <v>6158</v>
      </c>
    </row>
    <row r="5971" spans="1:1" x14ac:dyDescent="0.2">
      <c r="A5971">
        <v>6159</v>
      </c>
    </row>
    <row r="5972" spans="1:1" x14ac:dyDescent="0.2">
      <c r="A5972">
        <v>6160</v>
      </c>
    </row>
    <row r="5973" spans="1:1" x14ac:dyDescent="0.2">
      <c r="A5973">
        <v>6161</v>
      </c>
    </row>
    <row r="5974" spans="1:1" x14ac:dyDescent="0.2">
      <c r="A5974">
        <v>6162</v>
      </c>
    </row>
    <row r="5975" spans="1:1" x14ac:dyDescent="0.2">
      <c r="A5975">
        <v>6163</v>
      </c>
    </row>
    <row r="5976" spans="1:1" x14ac:dyDescent="0.2">
      <c r="A5976">
        <v>6164</v>
      </c>
    </row>
    <row r="5977" spans="1:1" x14ac:dyDescent="0.2">
      <c r="A5977">
        <v>6165</v>
      </c>
    </row>
    <row r="5978" spans="1:1" x14ac:dyDescent="0.2">
      <c r="A5978">
        <v>6166</v>
      </c>
    </row>
    <row r="5979" spans="1:1" x14ac:dyDescent="0.2">
      <c r="A5979">
        <v>6167</v>
      </c>
    </row>
    <row r="5980" spans="1:1" x14ac:dyDescent="0.2">
      <c r="A5980">
        <v>6168</v>
      </c>
    </row>
    <row r="5981" spans="1:1" x14ac:dyDescent="0.2">
      <c r="A5981">
        <v>6169</v>
      </c>
    </row>
    <row r="5982" spans="1:1" x14ac:dyDescent="0.2">
      <c r="A5982">
        <v>6170</v>
      </c>
    </row>
    <row r="5983" spans="1:1" x14ac:dyDescent="0.2">
      <c r="A5983">
        <v>6171</v>
      </c>
    </row>
    <row r="5984" spans="1:1" x14ac:dyDescent="0.2">
      <c r="A5984">
        <v>6172</v>
      </c>
    </row>
    <row r="5985" spans="1:1" x14ac:dyDescent="0.2">
      <c r="A5985">
        <v>6173</v>
      </c>
    </row>
    <row r="5986" spans="1:1" x14ac:dyDescent="0.2">
      <c r="A5986">
        <v>6174</v>
      </c>
    </row>
    <row r="5987" spans="1:1" x14ac:dyDescent="0.2">
      <c r="A5987">
        <v>6175</v>
      </c>
    </row>
    <row r="5988" spans="1:1" x14ac:dyDescent="0.2">
      <c r="A5988">
        <v>6176</v>
      </c>
    </row>
    <row r="5989" spans="1:1" x14ac:dyDescent="0.2">
      <c r="A5989">
        <v>6177</v>
      </c>
    </row>
    <row r="5990" spans="1:1" x14ac:dyDescent="0.2">
      <c r="A5990">
        <v>6178</v>
      </c>
    </row>
    <row r="5991" spans="1:1" x14ac:dyDescent="0.2">
      <c r="A5991">
        <v>6179</v>
      </c>
    </row>
    <row r="5992" spans="1:1" x14ac:dyDescent="0.2">
      <c r="A5992">
        <v>6180</v>
      </c>
    </row>
    <row r="5993" spans="1:1" x14ac:dyDescent="0.2">
      <c r="A5993">
        <v>6181</v>
      </c>
    </row>
    <row r="5994" spans="1:1" x14ac:dyDescent="0.2">
      <c r="A5994">
        <v>6182</v>
      </c>
    </row>
    <row r="5995" spans="1:1" x14ac:dyDescent="0.2">
      <c r="A5995">
        <v>6183</v>
      </c>
    </row>
    <row r="5996" spans="1:1" x14ac:dyDescent="0.2">
      <c r="A5996">
        <v>6184</v>
      </c>
    </row>
    <row r="5997" spans="1:1" x14ac:dyDescent="0.2">
      <c r="A5997">
        <v>6185</v>
      </c>
    </row>
    <row r="5998" spans="1:1" x14ac:dyDescent="0.2">
      <c r="A5998">
        <v>6186</v>
      </c>
    </row>
    <row r="5999" spans="1:1" x14ac:dyDescent="0.2">
      <c r="A5999">
        <v>6187</v>
      </c>
    </row>
    <row r="6000" spans="1:1" x14ac:dyDescent="0.2">
      <c r="A6000">
        <v>6188</v>
      </c>
    </row>
    <row r="6001" spans="1:1" x14ac:dyDescent="0.2">
      <c r="A6001">
        <v>6189</v>
      </c>
    </row>
    <row r="6002" spans="1:1" x14ac:dyDescent="0.2">
      <c r="A6002">
        <v>6190</v>
      </c>
    </row>
    <row r="6003" spans="1:1" x14ac:dyDescent="0.2">
      <c r="A6003">
        <v>6191</v>
      </c>
    </row>
    <row r="6004" spans="1:1" x14ac:dyDescent="0.2">
      <c r="A6004">
        <v>6192</v>
      </c>
    </row>
    <row r="6005" spans="1:1" x14ac:dyDescent="0.2">
      <c r="A6005">
        <v>6193</v>
      </c>
    </row>
    <row r="6006" spans="1:1" x14ac:dyDescent="0.2">
      <c r="A6006">
        <v>6194</v>
      </c>
    </row>
    <row r="6007" spans="1:1" x14ac:dyDescent="0.2">
      <c r="A6007">
        <v>6195</v>
      </c>
    </row>
    <row r="6008" spans="1:1" x14ac:dyDescent="0.2">
      <c r="A6008">
        <v>6196</v>
      </c>
    </row>
    <row r="6009" spans="1:1" x14ac:dyDescent="0.2">
      <c r="A6009">
        <v>6197</v>
      </c>
    </row>
    <row r="6010" spans="1:1" x14ac:dyDescent="0.2">
      <c r="A6010">
        <v>6198</v>
      </c>
    </row>
    <row r="6011" spans="1:1" x14ac:dyDescent="0.2">
      <c r="A6011">
        <v>6199</v>
      </c>
    </row>
    <row r="6012" spans="1:1" x14ac:dyDescent="0.2">
      <c r="A6012">
        <v>6200</v>
      </c>
    </row>
    <row r="6013" spans="1:1" x14ac:dyDescent="0.2">
      <c r="A6013">
        <v>6201</v>
      </c>
    </row>
    <row r="6014" spans="1:1" x14ac:dyDescent="0.2">
      <c r="A6014">
        <v>6202</v>
      </c>
    </row>
    <row r="6015" spans="1:1" x14ac:dyDescent="0.2">
      <c r="A6015">
        <v>6203</v>
      </c>
    </row>
    <row r="6016" spans="1:1" x14ac:dyDescent="0.2">
      <c r="A6016">
        <v>6204</v>
      </c>
    </row>
    <row r="6017" spans="1:1" x14ac:dyDescent="0.2">
      <c r="A6017">
        <v>6205</v>
      </c>
    </row>
    <row r="6018" spans="1:1" x14ac:dyDescent="0.2">
      <c r="A6018">
        <v>6206</v>
      </c>
    </row>
    <row r="6019" spans="1:1" x14ac:dyDescent="0.2">
      <c r="A6019">
        <v>6207</v>
      </c>
    </row>
    <row r="6020" spans="1:1" x14ac:dyDescent="0.2">
      <c r="A6020">
        <v>6208</v>
      </c>
    </row>
    <row r="6021" spans="1:1" x14ac:dyDescent="0.2">
      <c r="A6021">
        <v>6209</v>
      </c>
    </row>
    <row r="6022" spans="1:1" x14ac:dyDescent="0.2">
      <c r="A6022">
        <v>6210</v>
      </c>
    </row>
    <row r="6023" spans="1:1" x14ac:dyDescent="0.2">
      <c r="A6023">
        <v>6211</v>
      </c>
    </row>
    <row r="6024" spans="1:1" x14ac:dyDescent="0.2">
      <c r="A6024">
        <v>6212</v>
      </c>
    </row>
    <row r="6025" spans="1:1" x14ac:dyDescent="0.2">
      <c r="A6025">
        <v>6213</v>
      </c>
    </row>
    <row r="6026" spans="1:1" x14ac:dyDescent="0.2">
      <c r="A6026">
        <v>6214</v>
      </c>
    </row>
    <row r="6027" spans="1:1" x14ac:dyDescent="0.2">
      <c r="A6027">
        <v>6215</v>
      </c>
    </row>
    <row r="6028" spans="1:1" x14ac:dyDescent="0.2">
      <c r="A6028">
        <v>6216</v>
      </c>
    </row>
    <row r="6029" spans="1:1" x14ac:dyDescent="0.2">
      <c r="A6029">
        <v>6217</v>
      </c>
    </row>
    <row r="6030" spans="1:1" x14ac:dyDescent="0.2">
      <c r="A6030">
        <v>6218</v>
      </c>
    </row>
    <row r="6031" spans="1:1" x14ac:dyDescent="0.2">
      <c r="A6031">
        <v>6219</v>
      </c>
    </row>
    <row r="6032" spans="1:1" x14ac:dyDescent="0.2">
      <c r="A6032">
        <v>6220</v>
      </c>
    </row>
    <row r="6033" spans="1:1" x14ac:dyDescent="0.2">
      <c r="A6033">
        <v>6221</v>
      </c>
    </row>
    <row r="6034" spans="1:1" x14ac:dyDescent="0.2">
      <c r="A6034">
        <v>6222</v>
      </c>
    </row>
    <row r="6035" spans="1:1" x14ac:dyDescent="0.2">
      <c r="A6035">
        <v>6223</v>
      </c>
    </row>
    <row r="6036" spans="1:1" x14ac:dyDescent="0.2">
      <c r="A6036">
        <v>6224</v>
      </c>
    </row>
    <row r="6037" spans="1:1" x14ac:dyDescent="0.2">
      <c r="A6037">
        <v>6225</v>
      </c>
    </row>
    <row r="6038" spans="1:1" x14ac:dyDescent="0.2">
      <c r="A6038">
        <v>6226</v>
      </c>
    </row>
    <row r="6039" spans="1:1" x14ac:dyDescent="0.2">
      <c r="A6039">
        <v>6227</v>
      </c>
    </row>
    <row r="6040" spans="1:1" x14ac:dyDescent="0.2">
      <c r="A6040">
        <v>6228</v>
      </c>
    </row>
    <row r="6041" spans="1:1" x14ac:dyDescent="0.2">
      <c r="A6041">
        <v>6229</v>
      </c>
    </row>
    <row r="6042" spans="1:1" x14ac:dyDescent="0.2">
      <c r="A6042">
        <v>6230</v>
      </c>
    </row>
    <row r="6043" spans="1:1" x14ac:dyDescent="0.2">
      <c r="A6043">
        <v>6231</v>
      </c>
    </row>
    <row r="6044" spans="1:1" x14ac:dyDescent="0.2">
      <c r="A6044">
        <v>6232</v>
      </c>
    </row>
    <row r="6045" spans="1:1" x14ac:dyDescent="0.2">
      <c r="A6045">
        <v>6233</v>
      </c>
    </row>
    <row r="6046" spans="1:1" x14ac:dyDescent="0.2">
      <c r="A6046">
        <v>6234</v>
      </c>
    </row>
    <row r="6047" spans="1:1" x14ac:dyDescent="0.2">
      <c r="A6047">
        <v>6235</v>
      </c>
    </row>
    <row r="6048" spans="1:1" x14ac:dyDescent="0.2">
      <c r="A6048">
        <v>6236</v>
      </c>
    </row>
    <row r="6049" spans="1:1" x14ac:dyDescent="0.2">
      <c r="A6049">
        <v>6237</v>
      </c>
    </row>
    <row r="6050" spans="1:1" x14ac:dyDescent="0.2">
      <c r="A6050">
        <v>6238</v>
      </c>
    </row>
    <row r="6051" spans="1:1" x14ac:dyDescent="0.2">
      <c r="A6051">
        <v>6239</v>
      </c>
    </row>
    <row r="6052" spans="1:1" x14ac:dyDescent="0.2">
      <c r="A6052">
        <v>6240</v>
      </c>
    </row>
    <row r="6053" spans="1:1" x14ac:dyDescent="0.2">
      <c r="A6053">
        <v>6241</v>
      </c>
    </row>
    <row r="6054" spans="1:1" x14ac:dyDescent="0.2">
      <c r="A6054">
        <v>6242</v>
      </c>
    </row>
    <row r="6055" spans="1:1" x14ac:dyDescent="0.2">
      <c r="A6055">
        <v>6243</v>
      </c>
    </row>
    <row r="6056" spans="1:1" x14ac:dyDescent="0.2">
      <c r="A6056">
        <v>6244</v>
      </c>
    </row>
    <row r="6057" spans="1:1" x14ac:dyDescent="0.2">
      <c r="A6057">
        <v>6245</v>
      </c>
    </row>
    <row r="6058" spans="1:1" x14ac:dyDescent="0.2">
      <c r="A6058">
        <v>6246</v>
      </c>
    </row>
    <row r="6059" spans="1:1" x14ac:dyDescent="0.2">
      <c r="A6059">
        <v>6247</v>
      </c>
    </row>
    <row r="6060" spans="1:1" x14ac:dyDescent="0.2">
      <c r="A6060">
        <v>6248</v>
      </c>
    </row>
    <row r="6061" spans="1:1" x14ac:dyDescent="0.2">
      <c r="A6061">
        <v>6249</v>
      </c>
    </row>
    <row r="6062" spans="1:1" x14ac:dyDescent="0.2">
      <c r="A6062">
        <v>6250</v>
      </c>
    </row>
    <row r="6063" spans="1:1" x14ac:dyDescent="0.2">
      <c r="A6063">
        <v>6251</v>
      </c>
    </row>
    <row r="6064" spans="1:1" x14ac:dyDescent="0.2">
      <c r="A6064">
        <v>6252</v>
      </c>
    </row>
    <row r="6065" spans="1:1" x14ac:dyDescent="0.2">
      <c r="A6065">
        <v>6253</v>
      </c>
    </row>
    <row r="6066" spans="1:1" x14ac:dyDescent="0.2">
      <c r="A6066">
        <v>6254</v>
      </c>
    </row>
    <row r="6067" spans="1:1" x14ac:dyDescent="0.2">
      <c r="A6067">
        <v>6255</v>
      </c>
    </row>
    <row r="6068" spans="1:1" x14ac:dyDescent="0.2">
      <c r="A6068">
        <v>6256</v>
      </c>
    </row>
    <row r="6069" spans="1:1" x14ac:dyDescent="0.2">
      <c r="A6069">
        <v>6257</v>
      </c>
    </row>
    <row r="6070" spans="1:1" x14ac:dyDescent="0.2">
      <c r="A6070">
        <v>6258</v>
      </c>
    </row>
    <row r="6071" spans="1:1" x14ac:dyDescent="0.2">
      <c r="A6071">
        <v>6259</v>
      </c>
    </row>
    <row r="6072" spans="1:1" x14ac:dyDescent="0.2">
      <c r="A6072">
        <v>6260</v>
      </c>
    </row>
    <row r="6073" spans="1:1" x14ac:dyDescent="0.2">
      <c r="A6073">
        <v>6261</v>
      </c>
    </row>
    <row r="6074" spans="1:1" x14ac:dyDescent="0.2">
      <c r="A6074">
        <v>6262</v>
      </c>
    </row>
    <row r="6075" spans="1:1" x14ac:dyDescent="0.2">
      <c r="A6075">
        <v>6263</v>
      </c>
    </row>
    <row r="6076" spans="1:1" x14ac:dyDescent="0.2">
      <c r="A6076">
        <v>6264</v>
      </c>
    </row>
    <row r="6077" spans="1:1" x14ac:dyDescent="0.2">
      <c r="A6077">
        <v>6265</v>
      </c>
    </row>
    <row r="6078" spans="1:1" x14ac:dyDescent="0.2">
      <c r="A6078">
        <v>6266</v>
      </c>
    </row>
    <row r="6079" spans="1:1" x14ac:dyDescent="0.2">
      <c r="A6079">
        <v>6267</v>
      </c>
    </row>
    <row r="6080" spans="1:1" x14ac:dyDescent="0.2">
      <c r="A6080">
        <v>6268</v>
      </c>
    </row>
    <row r="6081" spans="1:1" x14ac:dyDescent="0.2">
      <c r="A6081">
        <v>6269</v>
      </c>
    </row>
    <row r="6082" spans="1:1" x14ac:dyDescent="0.2">
      <c r="A6082">
        <v>6270</v>
      </c>
    </row>
    <row r="6083" spans="1:1" x14ac:dyDescent="0.2">
      <c r="A6083">
        <v>6271</v>
      </c>
    </row>
    <row r="6084" spans="1:1" x14ac:dyDescent="0.2">
      <c r="A6084">
        <v>6272</v>
      </c>
    </row>
    <row r="6085" spans="1:1" x14ac:dyDescent="0.2">
      <c r="A6085">
        <v>6273</v>
      </c>
    </row>
    <row r="6086" spans="1:1" x14ac:dyDescent="0.2">
      <c r="A6086">
        <v>6274</v>
      </c>
    </row>
    <row r="6087" spans="1:1" x14ac:dyDescent="0.2">
      <c r="A6087">
        <v>6275</v>
      </c>
    </row>
    <row r="6088" spans="1:1" x14ac:dyDescent="0.2">
      <c r="A6088">
        <v>6276</v>
      </c>
    </row>
    <row r="6089" spans="1:1" x14ac:dyDescent="0.2">
      <c r="A6089">
        <v>6277</v>
      </c>
    </row>
    <row r="6090" spans="1:1" x14ac:dyDescent="0.2">
      <c r="A6090">
        <v>6278</v>
      </c>
    </row>
    <row r="6091" spans="1:1" x14ac:dyDescent="0.2">
      <c r="A6091">
        <v>6279</v>
      </c>
    </row>
    <row r="6092" spans="1:1" x14ac:dyDescent="0.2">
      <c r="A6092">
        <v>6280</v>
      </c>
    </row>
    <row r="6093" spans="1:1" x14ac:dyDescent="0.2">
      <c r="A6093">
        <v>6281</v>
      </c>
    </row>
    <row r="6094" spans="1:1" x14ac:dyDescent="0.2">
      <c r="A6094">
        <v>6282</v>
      </c>
    </row>
    <row r="6095" spans="1:1" x14ac:dyDescent="0.2">
      <c r="A6095">
        <v>6283</v>
      </c>
    </row>
    <row r="6096" spans="1:1" x14ac:dyDescent="0.2">
      <c r="A6096">
        <v>6284</v>
      </c>
    </row>
    <row r="6097" spans="1:1" x14ac:dyDescent="0.2">
      <c r="A6097">
        <v>6285</v>
      </c>
    </row>
    <row r="6098" spans="1:1" x14ac:dyDescent="0.2">
      <c r="A6098">
        <v>6286</v>
      </c>
    </row>
    <row r="6099" spans="1:1" x14ac:dyDescent="0.2">
      <c r="A6099">
        <v>6287</v>
      </c>
    </row>
    <row r="6100" spans="1:1" x14ac:dyDescent="0.2">
      <c r="A6100">
        <v>6288</v>
      </c>
    </row>
    <row r="6101" spans="1:1" x14ac:dyDescent="0.2">
      <c r="A6101">
        <v>6289</v>
      </c>
    </row>
    <row r="6102" spans="1:1" x14ac:dyDescent="0.2">
      <c r="A6102">
        <v>6290</v>
      </c>
    </row>
    <row r="6103" spans="1:1" x14ac:dyDescent="0.2">
      <c r="A6103">
        <v>6291</v>
      </c>
    </row>
    <row r="6104" spans="1:1" x14ac:dyDescent="0.2">
      <c r="A6104">
        <v>6292</v>
      </c>
    </row>
    <row r="6105" spans="1:1" x14ac:dyDescent="0.2">
      <c r="A6105">
        <v>6293</v>
      </c>
    </row>
    <row r="6106" spans="1:1" x14ac:dyDescent="0.2">
      <c r="A6106">
        <v>6294</v>
      </c>
    </row>
    <row r="6107" spans="1:1" x14ac:dyDescent="0.2">
      <c r="A6107">
        <v>6295</v>
      </c>
    </row>
    <row r="6108" spans="1:1" x14ac:dyDescent="0.2">
      <c r="A6108">
        <v>6296</v>
      </c>
    </row>
    <row r="6109" spans="1:1" x14ac:dyDescent="0.2">
      <c r="A6109">
        <v>6297</v>
      </c>
    </row>
    <row r="6110" spans="1:1" x14ac:dyDescent="0.2">
      <c r="A6110">
        <v>6298</v>
      </c>
    </row>
    <row r="6111" spans="1:1" x14ac:dyDescent="0.2">
      <c r="A6111">
        <v>6299</v>
      </c>
    </row>
    <row r="6112" spans="1:1" x14ac:dyDescent="0.2">
      <c r="A6112">
        <v>6300</v>
      </c>
    </row>
    <row r="6113" spans="1:1" x14ac:dyDescent="0.2">
      <c r="A6113">
        <v>6301</v>
      </c>
    </row>
    <row r="6114" spans="1:1" x14ac:dyDescent="0.2">
      <c r="A6114">
        <v>6302</v>
      </c>
    </row>
    <row r="6115" spans="1:1" x14ac:dyDescent="0.2">
      <c r="A6115">
        <v>6303</v>
      </c>
    </row>
    <row r="6116" spans="1:1" x14ac:dyDescent="0.2">
      <c r="A6116">
        <v>6304</v>
      </c>
    </row>
    <row r="6117" spans="1:1" x14ac:dyDescent="0.2">
      <c r="A6117">
        <v>6305</v>
      </c>
    </row>
    <row r="6118" spans="1:1" x14ac:dyDescent="0.2">
      <c r="A6118">
        <v>6306</v>
      </c>
    </row>
    <row r="6119" spans="1:1" x14ac:dyDescent="0.2">
      <c r="A6119">
        <v>6307</v>
      </c>
    </row>
    <row r="6120" spans="1:1" x14ac:dyDescent="0.2">
      <c r="A6120">
        <v>6308</v>
      </c>
    </row>
    <row r="6121" spans="1:1" x14ac:dyDescent="0.2">
      <c r="A6121">
        <v>6309</v>
      </c>
    </row>
    <row r="6122" spans="1:1" x14ac:dyDescent="0.2">
      <c r="A6122">
        <v>6310</v>
      </c>
    </row>
    <row r="6123" spans="1:1" x14ac:dyDescent="0.2">
      <c r="A6123">
        <v>6311</v>
      </c>
    </row>
    <row r="6124" spans="1:1" x14ac:dyDescent="0.2">
      <c r="A6124">
        <v>6312</v>
      </c>
    </row>
    <row r="6125" spans="1:1" x14ac:dyDescent="0.2">
      <c r="A6125">
        <v>6313</v>
      </c>
    </row>
    <row r="6126" spans="1:1" x14ac:dyDescent="0.2">
      <c r="A6126">
        <v>6314</v>
      </c>
    </row>
    <row r="6127" spans="1:1" x14ac:dyDescent="0.2">
      <c r="A6127">
        <v>6315</v>
      </c>
    </row>
    <row r="6128" spans="1:1" x14ac:dyDescent="0.2">
      <c r="A6128">
        <v>6316</v>
      </c>
    </row>
    <row r="6129" spans="1:1" x14ac:dyDescent="0.2">
      <c r="A6129">
        <v>6317</v>
      </c>
    </row>
    <row r="6130" spans="1:1" x14ac:dyDescent="0.2">
      <c r="A6130">
        <v>6318</v>
      </c>
    </row>
    <row r="6131" spans="1:1" x14ac:dyDescent="0.2">
      <c r="A6131">
        <v>6319</v>
      </c>
    </row>
    <row r="6132" spans="1:1" x14ac:dyDescent="0.2">
      <c r="A6132">
        <v>6320</v>
      </c>
    </row>
    <row r="6133" spans="1:1" x14ac:dyDescent="0.2">
      <c r="A6133">
        <v>6321</v>
      </c>
    </row>
    <row r="6134" spans="1:1" x14ac:dyDescent="0.2">
      <c r="A6134">
        <v>6322</v>
      </c>
    </row>
    <row r="6135" spans="1:1" x14ac:dyDescent="0.2">
      <c r="A6135">
        <v>6323</v>
      </c>
    </row>
    <row r="6136" spans="1:1" x14ac:dyDescent="0.2">
      <c r="A6136">
        <v>6324</v>
      </c>
    </row>
    <row r="6137" spans="1:1" x14ac:dyDescent="0.2">
      <c r="A6137">
        <v>6325</v>
      </c>
    </row>
    <row r="6138" spans="1:1" x14ac:dyDescent="0.2">
      <c r="A6138">
        <v>6326</v>
      </c>
    </row>
    <row r="6139" spans="1:1" x14ac:dyDescent="0.2">
      <c r="A6139">
        <v>6327</v>
      </c>
    </row>
    <row r="6140" spans="1:1" x14ac:dyDescent="0.2">
      <c r="A6140">
        <v>6328</v>
      </c>
    </row>
    <row r="6141" spans="1:1" x14ac:dyDescent="0.2">
      <c r="A6141">
        <v>6329</v>
      </c>
    </row>
    <row r="6142" spans="1:1" x14ac:dyDescent="0.2">
      <c r="A6142">
        <v>6330</v>
      </c>
    </row>
    <row r="6143" spans="1:1" x14ac:dyDescent="0.2">
      <c r="A6143">
        <v>6331</v>
      </c>
    </row>
    <row r="6144" spans="1:1" x14ac:dyDescent="0.2">
      <c r="A6144">
        <v>6332</v>
      </c>
    </row>
    <row r="6145" spans="1:1" x14ac:dyDescent="0.2">
      <c r="A6145">
        <v>6333</v>
      </c>
    </row>
    <row r="6146" spans="1:1" x14ac:dyDescent="0.2">
      <c r="A6146">
        <v>6334</v>
      </c>
    </row>
    <row r="6147" spans="1:1" x14ac:dyDescent="0.2">
      <c r="A6147">
        <v>6335</v>
      </c>
    </row>
    <row r="6148" spans="1:1" x14ac:dyDescent="0.2">
      <c r="A6148">
        <v>6336</v>
      </c>
    </row>
    <row r="6149" spans="1:1" x14ac:dyDescent="0.2">
      <c r="A6149">
        <v>6337</v>
      </c>
    </row>
    <row r="6150" spans="1:1" x14ac:dyDescent="0.2">
      <c r="A6150">
        <v>6338</v>
      </c>
    </row>
    <row r="6151" spans="1:1" x14ac:dyDescent="0.2">
      <c r="A6151">
        <v>6339</v>
      </c>
    </row>
    <row r="6152" spans="1:1" x14ac:dyDescent="0.2">
      <c r="A6152">
        <v>6340</v>
      </c>
    </row>
    <row r="6153" spans="1:1" x14ac:dyDescent="0.2">
      <c r="A6153">
        <v>6341</v>
      </c>
    </row>
    <row r="6154" spans="1:1" x14ac:dyDescent="0.2">
      <c r="A6154">
        <v>6342</v>
      </c>
    </row>
    <row r="6155" spans="1:1" x14ac:dyDescent="0.2">
      <c r="A6155">
        <v>6343</v>
      </c>
    </row>
    <row r="6156" spans="1:1" x14ac:dyDescent="0.2">
      <c r="A6156">
        <v>6344</v>
      </c>
    </row>
    <row r="6157" spans="1:1" x14ac:dyDescent="0.2">
      <c r="A6157">
        <v>6345</v>
      </c>
    </row>
    <row r="6158" spans="1:1" x14ac:dyDescent="0.2">
      <c r="A6158">
        <v>6346</v>
      </c>
    </row>
    <row r="6159" spans="1:1" x14ac:dyDescent="0.2">
      <c r="A6159">
        <v>6347</v>
      </c>
    </row>
    <row r="6160" spans="1:1" x14ac:dyDescent="0.2">
      <c r="A6160">
        <v>6348</v>
      </c>
    </row>
    <row r="6161" spans="1:1" x14ac:dyDescent="0.2">
      <c r="A6161">
        <v>6349</v>
      </c>
    </row>
    <row r="6162" spans="1:1" x14ac:dyDescent="0.2">
      <c r="A6162">
        <v>6350</v>
      </c>
    </row>
    <row r="6163" spans="1:1" x14ac:dyDescent="0.2">
      <c r="A6163">
        <v>6351</v>
      </c>
    </row>
    <row r="6164" spans="1:1" x14ac:dyDescent="0.2">
      <c r="A6164">
        <v>6352</v>
      </c>
    </row>
    <row r="6165" spans="1:1" x14ac:dyDescent="0.2">
      <c r="A6165">
        <v>6353</v>
      </c>
    </row>
    <row r="6166" spans="1:1" x14ac:dyDescent="0.2">
      <c r="A6166">
        <v>6354</v>
      </c>
    </row>
    <row r="6167" spans="1:1" x14ac:dyDescent="0.2">
      <c r="A6167">
        <v>6355</v>
      </c>
    </row>
    <row r="6168" spans="1:1" x14ac:dyDescent="0.2">
      <c r="A6168">
        <v>6356</v>
      </c>
    </row>
    <row r="6169" spans="1:1" x14ac:dyDescent="0.2">
      <c r="A6169">
        <v>6357</v>
      </c>
    </row>
    <row r="6170" spans="1:1" x14ac:dyDescent="0.2">
      <c r="A6170">
        <v>6358</v>
      </c>
    </row>
    <row r="6171" spans="1:1" x14ac:dyDescent="0.2">
      <c r="A6171">
        <v>6359</v>
      </c>
    </row>
    <row r="6172" spans="1:1" x14ac:dyDescent="0.2">
      <c r="A6172">
        <v>6360</v>
      </c>
    </row>
    <row r="6173" spans="1:1" x14ac:dyDescent="0.2">
      <c r="A6173">
        <v>6361</v>
      </c>
    </row>
    <row r="6174" spans="1:1" x14ac:dyDescent="0.2">
      <c r="A6174">
        <v>6362</v>
      </c>
    </row>
    <row r="6175" spans="1:1" x14ac:dyDescent="0.2">
      <c r="A6175">
        <v>6363</v>
      </c>
    </row>
    <row r="6176" spans="1:1" x14ac:dyDescent="0.2">
      <c r="A6176">
        <v>6364</v>
      </c>
    </row>
    <row r="6177" spans="1:1" x14ac:dyDescent="0.2">
      <c r="A6177">
        <v>6365</v>
      </c>
    </row>
    <row r="6178" spans="1:1" x14ac:dyDescent="0.2">
      <c r="A6178">
        <v>6366</v>
      </c>
    </row>
    <row r="6179" spans="1:1" x14ac:dyDescent="0.2">
      <c r="A6179">
        <v>6367</v>
      </c>
    </row>
    <row r="6180" spans="1:1" x14ac:dyDescent="0.2">
      <c r="A6180">
        <v>6368</v>
      </c>
    </row>
    <row r="6181" spans="1:1" x14ac:dyDescent="0.2">
      <c r="A6181">
        <v>6369</v>
      </c>
    </row>
    <row r="6182" spans="1:1" x14ac:dyDescent="0.2">
      <c r="A6182">
        <v>6370</v>
      </c>
    </row>
    <row r="6183" spans="1:1" x14ac:dyDescent="0.2">
      <c r="A6183">
        <v>6371</v>
      </c>
    </row>
    <row r="6184" spans="1:1" x14ac:dyDescent="0.2">
      <c r="A6184">
        <v>6372</v>
      </c>
    </row>
    <row r="6185" spans="1:1" x14ac:dyDescent="0.2">
      <c r="A6185">
        <v>6373</v>
      </c>
    </row>
    <row r="6186" spans="1:1" x14ac:dyDescent="0.2">
      <c r="A6186">
        <v>6374</v>
      </c>
    </row>
    <row r="6187" spans="1:1" x14ac:dyDescent="0.2">
      <c r="A6187">
        <v>6375</v>
      </c>
    </row>
    <row r="6188" spans="1:1" x14ac:dyDescent="0.2">
      <c r="A6188">
        <v>6376</v>
      </c>
    </row>
    <row r="6189" spans="1:1" x14ac:dyDescent="0.2">
      <c r="A6189">
        <v>6377</v>
      </c>
    </row>
    <row r="6190" spans="1:1" x14ac:dyDescent="0.2">
      <c r="A6190">
        <v>6378</v>
      </c>
    </row>
    <row r="6191" spans="1:1" x14ac:dyDescent="0.2">
      <c r="A6191">
        <v>6379</v>
      </c>
    </row>
    <row r="6192" spans="1:1" x14ac:dyDescent="0.2">
      <c r="A6192">
        <v>6380</v>
      </c>
    </row>
    <row r="6193" spans="1:1" x14ac:dyDescent="0.2">
      <c r="A6193">
        <v>6381</v>
      </c>
    </row>
    <row r="6194" spans="1:1" x14ac:dyDescent="0.2">
      <c r="A6194">
        <v>6382</v>
      </c>
    </row>
    <row r="6195" spans="1:1" x14ac:dyDescent="0.2">
      <c r="A6195">
        <v>6383</v>
      </c>
    </row>
    <row r="6196" spans="1:1" x14ac:dyDescent="0.2">
      <c r="A6196">
        <v>6384</v>
      </c>
    </row>
    <row r="6197" spans="1:1" x14ac:dyDescent="0.2">
      <c r="A6197">
        <v>6385</v>
      </c>
    </row>
    <row r="6198" spans="1:1" x14ac:dyDescent="0.2">
      <c r="A6198">
        <v>6386</v>
      </c>
    </row>
    <row r="6199" spans="1:1" x14ac:dyDescent="0.2">
      <c r="A6199">
        <v>6387</v>
      </c>
    </row>
    <row r="6200" spans="1:1" x14ac:dyDescent="0.2">
      <c r="A6200">
        <v>6388</v>
      </c>
    </row>
    <row r="6201" spans="1:1" x14ac:dyDescent="0.2">
      <c r="A6201">
        <v>6389</v>
      </c>
    </row>
    <row r="6202" spans="1:1" x14ac:dyDescent="0.2">
      <c r="A6202">
        <v>6390</v>
      </c>
    </row>
    <row r="6203" spans="1:1" x14ac:dyDescent="0.2">
      <c r="A6203">
        <v>6391</v>
      </c>
    </row>
    <row r="6204" spans="1:1" x14ac:dyDescent="0.2">
      <c r="A6204">
        <v>6392</v>
      </c>
    </row>
    <row r="6205" spans="1:1" x14ac:dyDescent="0.2">
      <c r="A6205">
        <v>6393</v>
      </c>
    </row>
    <row r="6206" spans="1:1" x14ac:dyDescent="0.2">
      <c r="A6206">
        <v>6394</v>
      </c>
    </row>
    <row r="6207" spans="1:1" x14ac:dyDescent="0.2">
      <c r="A6207">
        <v>6395</v>
      </c>
    </row>
    <row r="6208" spans="1:1" x14ac:dyDescent="0.2">
      <c r="A6208">
        <v>6396</v>
      </c>
    </row>
    <row r="6209" spans="1:1" x14ac:dyDescent="0.2">
      <c r="A6209">
        <v>6397</v>
      </c>
    </row>
    <row r="6210" spans="1:1" x14ac:dyDescent="0.2">
      <c r="A6210">
        <v>6398</v>
      </c>
    </row>
    <row r="6211" spans="1:1" x14ac:dyDescent="0.2">
      <c r="A6211">
        <v>6399</v>
      </c>
    </row>
    <row r="6212" spans="1:1" x14ac:dyDescent="0.2">
      <c r="A6212">
        <v>6400</v>
      </c>
    </row>
    <row r="6213" spans="1:1" x14ac:dyDescent="0.2">
      <c r="A6213">
        <v>6401</v>
      </c>
    </row>
    <row r="6214" spans="1:1" x14ac:dyDescent="0.2">
      <c r="A6214">
        <v>6402</v>
      </c>
    </row>
    <row r="6215" spans="1:1" x14ac:dyDescent="0.2">
      <c r="A6215">
        <v>6403</v>
      </c>
    </row>
    <row r="6216" spans="1:1" x14ac:dyDescent="0.2">
      <c r="A6216">
        <v>6404</v>
      </c>
    </row>
    <row r="6217" spans="1:1" x14ac:dyDescent="0.2">
      <c r="A6217">
        <v>6405</v>
      </c>
    </row>
    <row r="6218" spans="1:1" x14ac:dyDescent="0.2">
      <c r="A6218">
        <v>6406</v>
      </c>
    </row>
    <row r="6219" spans="1:1" x14ac:dyDescent="0.2">
      <c r="A6219">
        <v>6407</v>
      </c>
    </row>
    <row r="6220" spans="1:1" x14ac:dyDescent="0.2">
      <c r="A6220">
        <v>6408</v>
      </c>
    </row>
    <row r="6221" spans="1:1" x14ac:dyDescent="0.2">
      <c r="A6221">
        <v>6409</v>
      </c>
    </row>
    <row r="6222" spans="1:1" x14ac:dyDescent="0.2">
      <c r="A6222">
        <v>6410</v>
      </c>
    </row>
    <row r="6223" spans="1:1" x14ac:dyDescent="0.2">
      <c r="A6223">
        <v>6411</v>
      </c>
    </row>
    <row r="6224" spans="1:1" x14ac:dyDescent="0.2">
      <c r="A6224">
        <v>6412</v>
      </c>
    </row>
    <row r="6225" spans="1:1" x14ac:dyDescent="0.2">
      <c r="A6225">
        <v>6413</v>
      </c>
    </row>
    <row r="6226" spans="1:1" x14ac:dyDescent="0.2">
      <c r="A6226">
        <v>6414</v>
      </c>
    </row>
    <row r="6227" spans="1:1" x14ac:dyDescent="0.2">
      <c r="A6227">
        <v>6415</v>
      </c>
    </row>
    <row r="6228" spans="1:1" x14ac:dyDescent="0.2">
      <c r="A6228">
        <v>6416</v>
      </c>
    </row>
    <row r="6229" spans="1:1" x14ac:dyDescent="0.2">
      <c r="A6229">
        <v>6417</v>
      </c>
    </row>
    <row r="6230" spans="1:1" x14ac:dyDescent="0.2">
      <c r="A6230">
        <v>6418</v>
      </c>
    </row>
    <row r="6231" spans="1:1" x14ac:dyDescent="0.2">
      <c r="A6231">
        <v>6419</v>
      </c>
    </row>
    <row r="6232" spans="1:1" x14ac:dyDescent="0.2">
      <c r="A6232">
        <v>6420</v>
      </c>
    </row>
    <row r="6233" spans="1:1" x14ac:dyDescent="0.2">
      <c r="A6233">
        <v>6421</v>
      </c>
    </row>
    <row r="6234" spans="1:1" x14ac:dyDescent="0.2">
      <c r="A6234">
        <v>6422</v>
      </c>
    </row>
    <row r="6235" spans="1:1" x14ac:dyDescent="0.2">
      <c r="A6235">
        <v>6423</v>
      </c>
    </row>
    <row r="6236" spans="1:1" x14ac:dyDescent="0.2">
      <c r="A6236">
        <v>6424</v>
      </c>
    </row>
    <row r="6237" spans="1:1" x14ac:dyDescent="0.2">
      <c r="A6237">
        <v>6425</v>
      </c>
    </row>
    <row r="6238" spans="1:1" x14ac:dyDescent="0.2">
      <c r="A6238">
        <v>6426</v>
      </c>
    </row>
    <row r="6239" spans="1:1" x14ac:dyDescent="0.2">
      <c r="A6239">
        <v>6427</v>
      </c>
    </row>
    <row r="6240" spans="1:1" x14ac:dyDescent="0.2">
      <c r="A6240">
        <v>6428</v>
      </c>
    </row>
    <row r="6241" spans="1:1" x14ac:dyDescent="0.2">
      <c r="A6241">
        <v>6429</v>
      </c>
    </row>
    <row r="6242" spans="1:1" x14ac:dyDescent="0.2">
      <c r="A6242">
        <v>6430</v>
      </c>
    </row>
    <row r="6243" spans="1:1" x14ac:dyDescent="0.2">
      <c r="A6243">
        <v>6431</v>
      </c>
    </row>
    <row r="6244" spans="1:1" x14ac:dyDescent="0.2">
      <c r="A6244">
        <v>6432</v>
      </c>
    </row>
    <row r="6245" spans="1:1" x14ac:dyDescent="0.2">
      <c r="A6245">
        <v>6433</v>
      </c>
    </row>
    <row r="6246" spans="1:1" x14ac:dyDescent="0.2">
      <c r="A6246">
        <v>6434</v>
      </c>
    </row>
    <row r="6247" spans="1:1" x14ac:dyDescent="0.2">
      <c r="A6247">
        <v>6435</v>
      </c>
    </row>
    <row r="6248" spans="1:1" x14ac:dyDescent="0.2">
      <c r="A6248">
        <v>6436</v>
      </c>
    </row>
    <row r="6249" spans="1:1" x14ac:dyDescent="0.2">
      <c r="A6249">
        <v>6437</v>
      </c>
    </row>
    <row r="6250" spans="1:1" x14ac:dyDescent="0.2">
      <c r="A6250">
        <v>6438</v>
      </c>
    </row>
    <row r="6251" spans="1:1" x14ac:dyDescent="0.2">
      <c r="A6251">
        <v>6439</v>
      </c>
    </row>
    <row r="6252" spans="1:1" x14ac:dyDescent="0.2">
      <c r="A6252">
        <v>6440</v>
      </c>
    </row>
    <row r="6253" spans="1:1" x14ac:dyDescent="0.2">
      <c r="A6253">
        <v>6441</v>
      </c>
    </row>
    <row r="6254" spans="1:1" x14ac:dyDescent="0.2">
      <c r="A6254">
        <v>6442</v>
      </c>
    </row>
    <row r="6255" spans="1:1" x14ac:dyDescent="0.2">
      <c r="A6255">
        <v>6443</v>
      </c>
    </row>
    <row r="6256" spans="1:1" x14ac:dyDescent="0.2">
      <c r="A6256">
        <v>6444</v>
      </c>
    </row>
    <row r="6257" spans="1:1" x14ac:dyDescent="0.2">
      <c r="A6257">
        <v>6445</v>
      </c>
    </row>
    <row r="6258" spans="1:1" x14ac:dyDescent="0.2">
      <c r="A6258">
        <v>6446</v>
      </c>
    </row>
    <row r="6259" spans="1:1" x14ac:dyDescent="0.2">
      <c r="A6259">
        <v>6447</v>
      </c>
    </row>
    <row r="6260" spans="1:1" x14ac:dyDescent="0.2">
      <c r="A6260">
        <v>6448</v>
      </c>
    </row>
    <row r="6261" spans="1:1" x14ac:dyDescent="0.2">
      <c r="A6261">
        <v>6449</v>
      </c>
    </row>
    <row r="6262" spans="1:1" x14ac:dyDescent="0.2">
      <c r="A6262">
        <v>6450</v>
      </c>
    </row>
    <row r="6263" spans="1:1" x14ac:dyDescent="0.2">
      <c r="A6263">
        <v>6451</v>
      </c>
    </row>
    <row r="6264" spans="1:1" x14ac:dyDescent="0.2">
      <c r="A6264">
        <v>6452</v>
      </c>
    </row>
    <row r="6265" spans="1:1" x14ac:dyDescent="0.2">
      <c r="A6265">
        <v>6453</v>
      </c>
    </row>
    <row r="6266" spans="1:1" x14ac:dyDescent="0.2">
      <c r="A6266">
        <v>6454</v>
      </c>
    </row>
    <row r="6267" spans="1:1" x14ac:dyDescent="0.2">
      <c r="A6267">
        <v>6455</v>
      </c>
    </row>
    <row r="6268" spans="1:1" x14ac:dyDescent="0.2">
      <c r="A6268">
        <v>6456</v>
      </c>
    </row>
    <row r="6269" spans="1:1" x14ac:dyDescent="0.2">
      <c r="A6269">
        <v>6457</v>
      </c>
    </row>
    <row r="6270" spans="1:1" x14ac:dyDescent="0.2">
      <c r="A6270">
        <v>6458</v>
      </c>
    </row>
    <row r="6271" spans="1:1" x14ac:dyDescent="0.2">
      <c r="A6271">
        <v>6459</v>
      </c>
    </row>
    <row r="6272" spans="1:1" x14ac:dyDescent="0.2">
      <c r="A6272">
        <v>6460</v>
      </c>
    </row>
    <row r="6273" spans="1:1" x14ac:dyDescent="0.2">
      <c r="A6273">
        <v>6461</v>
      </c>
    </row>
    <row r="6274" spans="1:1" x14ac:dyDescent="0.2">
      <c r="A6274">
        <v>6462</v>
      </c>
    </row>
    <row r="6275" spans="1:1" x14ac:dyDescent="0.2">
      <c r="A6275">
        <v>6463</v>
      </c>
    </row>
    <row r="6276" spans="1:1" x14ac:dyDescent="0.2">
      <c r="A6276">
        <v>6464</v>
      </c>
    </row>
    <row r="6277" spans="1:1" x14ac:dyDescent="0.2">
      <c r="A6277">
        <v>6465</v>
      </c>
    </row>
    <row r="6278" spans="1:1" x14ac:dyDescent="0.2">
      <c r="A6278">
        <v>6466</v>
      </c>
    </row>
    <row r="6279" spans="1:1" x14ac:dyDescent="0.2">
      <c r="A6279">
        <v>6467</v>
      </c>
    </row>
    <row r="6280" spans="1:1" x14ac:dyDescent="0.2">
      <c r="A6280">
        <v>6468</v>
      </c>
    </row>
    <row r="6281" spans="1:1" x14ac:dyDescent="0.2">
      <c r="A6281">
        <v>6469</v>
      </c>
    </row>
    <row r="6282" spans="1:1" x14ac:dyDescent="0.2">
      <c r="A6282">
        <v>6470</v>
      </c>
    </row>
    <row r="6283" spans="1:1" x14ac:dyDescent="0.2">
      <c r="A6283">
        <v>6471</v>
      </c>
    </row>
    <row r="6284" spans="1:1" x14ac:dyDescent="0.2">
      <c r="A6284">
        <v>6472</v>
      </c>
    </row>
    <row r="6285" spans="1:1" x14ac:dyDescent="0.2">
      <c r="A6285">
        <v>6473</v>
      </c>
    </row>
    <row r="6286" spans="1:1" x14ac:dyDescent="0.2">
      <c r="A6286">
        <v>6474</v>
      </c>
    </row>
    <row r="6287" spans="1:1" x14ac:dyDescent="0.2">
      <c r="A6287">
        <v>6475</v>
      </c>
    </row>
    <row r="6288" spans="1:1" x14ac:dyDescent="0.2">
      <c r="A6288">
        <v>6476</v>
      </c>
    </row>
    <row r="6289" spans="1:1" x14ac:dyDescent="0.2">
      <c r="A6289">
        <v>6477</v>
      </c>
    </row>
    <row r="6290" spans="1:1" x14ac:dyDescent="0.2">
      <c r="A6290">
        <v>6478</v>
      </c>
    </row>
    <row r="6291" spans="1:1" x14ac:dyDescent="0.2">
      <c r="A6291">
        <v>6479</v>
      </c>
    </row>
    <row r="6292" spans="1:1" x14ac:dyDescent="0.2">
      <c r="A6292">
        <v>6480</v>
      </c>
    </row>
    <row r="6293" spans="1:1" x14ac:dyDescent="0.2">
      <c r="A6293">
        <v>6481</v>
      </c>
    </row>
    <row r="6294" spans="1:1" x14ac:dyDescent="0.2">
      <c r="A6294">
        <v>6482</v>
      </c>
    </row>
    <row r="6295" spans="1:1" x14ac:dyDescent="0.2">
      <c r="A6295">
        <v>6483</v>
      </c>
    </row>
    <row r="6296" spans="1:1" x14ac:dyDescent="0.2">
      <c r="A6296">
        <v>6484</v>
      </c>
    </row>
    <row r="6297" spans="1:1" x14ac:dyDescent="0.2">
      <c r="A6297">
        <v>6485</v>
      </c>
    </row>
    <row r="6298" spans="1:1" x14ac:dyDescent="0.2">
      <c r="A6298">
        <v>6486</v>
      </c>
    </row>
    <row r="6299" spans="1:1" x14ac:dyDescent="0.2">
      <c r="A6299">
        <v>6487</v>
      </c>
    </row>
    <row r="6300" spans="1:1" x14ac:dyDescent="0.2">
      <c r="A6300">
        <v>6488</v>
      </c>
    </row>
    <row r="6301" spans="1:1" x14ac:dyDescent="0.2">
      <c r="A6301">
        <v>6489</v>
      </c>
    </row>
    <row r="6302" spans="1:1" x14ac:dyDescent="0.2">
      <c r="A6302">
        <v>6490</v>
      </c>
    </row>
    <row r="6303" spans="1:1" x14ac:dyDescent="0.2">
      <c r="A6303">
        <v>6491</v>
      </c>
    </row>
    <row r="6304" spans="1:1" x14ac:dyDescent="0.2">
      <c r="A6304">
        <v>6492</v>
      </c>
    </row>
    <row r="6305" spans="1:1" x14ac:dyDescent="0.2">
      <c r="A6305">
        <v>6493</v>
      </c>
    </row>
    <row r="6306" spans="1:1" x14ac:dyDescent="0.2">
      <c r="A6306">
        <v>6494</v>
      </c>
    </row>
    <row r="6307" spans="1:1" x14ac:dyDescent="0.2">
      <c r="A6307">
        <v>6495</v>
      </c>
    </row>
    <row r="6308" spans="1:1" x14ac:dyDescent="0.2">
      <c r="A6308">
        <v>6496</v>
      </c>
    </row>
    <row r="6309" spans="1:1" x14ac:dyDescent="0.2">
      <c r="A6309">
        <v>6497</v>
      </c>
    </row>
    <row r="6310" spans="1:1" x14ac:dyDescent="0.2">
      <c r="A6310">
        <v>6498</v>
      </c>
    </row>
    <row r="6311" spans="1:1" x14ac:dyDescent="0.2">
      <c r="A6311">
        <v>6499</v>
      </c>
    </row>
    <row r="6312" spans="1:1" x14ac:dyDescent="0.2">
      <c r="A6312">
        <v>6500</v>
      </c>
    </row>
    <row r="6313" spans="1:1" x14ac:dyDescent="0.2">
      <c r="A6313">
        <v>6501</v>
      </c>
    </row>
    <row r="6314" spans="1:1" x14ac:dyDescent="0.2">
      <c r="A6314">
        <v>6502</v>
      </c>
    </row>
    <row r="6315" spans="1:1" x14ac:dyDescent="0.2">
      <c r="A6315">
        <v>6503</v>
      </c>
    </row>
    <row r="6316" spans="1:1" x14ac:dyDescent="0.2">
      <c r="A6316">
        <v>6504</v>
      </c>
    </row>
    <row r="6317" spans="1:1" x14ac:dyDescent="0.2">
      <c r="A6317">
        <v>6505</v>
      </c>
    </row>
    <row r="6318" spans="1:1" x14ac:dyDescent="0.2">
      <c r="A6318">
        <v>6506</v>
      </c>
    </row>
    <row r="6319" spans="1:1" x14ac:dyDescent="0.2">
      <c r="A6319">
        <v>6507</v>
      </c>
    </row>
    <row r="6320" spans="1:1" x14ac:dyDescent="0.2">
      <c r="A6320">
        <v>6508</v>
      </c>
    </row>
    <row r="6321" spans="1:1" x14ac:dyDescent="0.2">
      <c r="A6321">
        <v>6509</v>
      </c>
    </row>
    <row r="6322" spans="1:1" x14ac:dyDescent="0.2">
      <c r="A6322">
        <v>6510</v>
      </c>
    </row>
    <row r="6323" spans="1:1" x14ac:dyDescent="0.2">
      <c r="A6323">
        <v>6511</v>
      </c>
    </row>
    <row r="6324" spans="1:1" x14ac:dyDescent="0.2">
      <c r="A6324">
        <v>6512</v>
      </c>
    </row>
    <row r="6325" spans="1:1" x14ac:dyDescent="0.2">
      <c r="A6325">
        <v>6513</v>
      </c>
    </row>
    <row r="6326" spans="1:1" x14ac:dyDescent="0.2">
      <c r="A6326">
        <v>6514</v>
      </c>
    </row>
    <row r="6327" spans="1:1" x14ac:dyDescent="0.2">
      <c r="A6327">
        <v>6515</v>
      </c>
    </row>
    <row r="6328" spans="1:1" x14ac:dyDescent="0.2">
      <c r="A6328">
        <v>6516</v>
      </c>
    </row>
    <row r="6329" spans="1:1" x14ac:dyDescent="0.2">
      <c r="A6329">
        <v>6517</v>
      </c>
    </row>
    <row r="6330" spans="1:1" x14ac:dyDescent="0.2">
      <c r="A6330">
        <v>6518</v>
      </c>
    </row>
    <row r="6331" spans="1:1" x14ac:dyDescent="0.2">
      <c r="A6331">
        <v>6519</v>
      </c>
    </row>
    <row r="6332" spans="1:1" x14ac:dyDescent="0.2">
      <c r="A6332">
        <v>6520</v>
      </c>
    </row>
    <row r="6333" spans="1:1" x14ac:dyDescent="0.2">
      <c r="A6333">
        <v>6521</v>
      </c>
    </row>
    <row r="6334" spans="1:1" x14ac:dyDescent="0.2">
      <c r="A6334">
        <v>6522</v>
      </c>
    </row>
    <row r="6335" spans="1:1" x14ac:dyDescent="0.2">
      <c r="A6335">
        <v>6523</v>
      </c>
    </row>
    <row r="6336" spans="1:1" x14ac:dyDescent="0.2">
      <c r="A6336">
        <v>6524</v>
      </c>
    </row>
    <row r="6337" spans="1:1" x14ac:dyDescent="0.2">
      <c r="A6337">
        <v>6525</v>
      </c>
    </row>
    <row r="6338" spans="1:1" x14ac:dyDescent="0.2">
      <c r="A6338">
        <v>6526</v>
      </c>
    </row>
    <row r="6339" spans="1:1" x14ac:dyDescent="0.2">
      <c r="A6339">
        <v>6527</v>
      </c>
    </row>
    <row r="6340" spans="1:1" x14ac:dyDescent="0.2">
      <c r="A6340">
        <v>6528</v>
      </c>
    </row>
    <row r="6341" spans="1:1" x14ac:dyDescent="0.2">
      <c r="A6341">
        <v>6529</v>
      </c>
    </row>
    <row r="6342" spans="1:1" x14ac:dyDescent="0.2">
      <c r="A6342">
        <v>6530</v>
      </c>
    </row>
    <row r="6343" spans="1:1" x14ac:dyDescent="0.2">
      <c r="A6343">
        <v>6531</v>
      </c>
    </row>
    <row r="6344" spans="1:1" x14ac:dyDescent="0.2">
      <c r="A6344">
        <v>6532</v>
      </c>
    </row>
    <row r="6345" spans="1:1" x14ac:dyDescent="0.2">
      <c r="A6345">
        <v>6533</v>
      </c>
    </row>
    <row r="6346" spans="1:1" x14ac:dyDescent="0.2">
      <c r="A6346">
        <v>6534</v>
      </c>
    </row>
    <row r="6347" spans="1:1" x14ac:dyDescent="0.2">
      <c r="A6347">
        <v>6535</v>
      </c>
    </row>
    <row r="6348" spans="1:1" x14ac:dyDescent="0.2">
      <c r="A6348">
        <v>6536</v>
      </c>
    </row>
    <row r="6349" spans="1:1" x14ac:dyDescent="0.2">
      <c r="A6349">
        <v>6537</v>
      </c>
    </row>
    <row r="6350" spans="1:1" x14ac:dyDescent="0.2">
      <c r="A6350">
        <v>6538</v>
      </c>
    </row>
    <row r="6351" spans="1:1" x14ac:dyDescent="0.2">
      <c r="A6351">
        <v>6539</v>
      </c>
    </row>
    <row r="6352" spans="1:1" x14ac:dyDescent="0.2">
      <c r="A6352">
        <v>6540</v>
      </c>
    </row>
    <row r="6353" spans="1:1" x14ac:dyDescent="0.2">
      <c r="A6353">
        <v>6541</v>
      </c>
    </row>
    <row r="6354" spans="1:1" x14ac:dyDescent="0.2">
      <c r="A6354">
        <v>6542</v>
      </c>
    </row>
    <row r="6355" spans="1:1" x14ac:dyDescent="0.2">
      <c r="A6355">
        <v>6543</v>
      </c>
    </row>
    <row r="6356" spans="1:1" x14ac:dyDescent="0.2">
      <c r="A6356">
        <v>6544</v>
      </c>
    </row>
    <row r="6357" spans="1:1" x14ac:dyDescent="0.2">
      <c r="A6357">
        <v>6545</v>
      </c>
    </row>
    <row r="6358" spans="1:1" x14ac:dyDescent="0.2">
      <c r="A6358">
        <v>6546</v>
      </c>
    </row>
    <row r="6359" spans="1:1" x14ac:dyDescent="0.2">
      <c r="A6359">
        <v>6547</v>
      </c>
    </row>
    <row r="6360" spans="1:1" x14ac:dyDescent="0.2">
      <c r="A6360">
        <v>6548</v>
      </c>
    </row>
    <row r="6361" spans="1:1" x14ac:dyDescent="0.2">
      <c r="A6361">
        <v>6549</v>
      </c>
    </row>
    <row r="6362" spans="1:1" x14ac:dyDescent="0.2">
      <c r="A6362">
        <v>6550</v>
      </c>
    </row>
    <row r="6363" spans="1:1" x14ac:dyDescent="0.2">
      <c r="A6363">
        <v>6551</v>
      </c>
    </row>
    <row r="6364" spans="1:1" x14ac:dyDescent="0.2">
      <c r="A6364">
        <v>6552</v>
      </c>
    </row>
    <row r="6365" spans="1:1" x14ac:dyDescent="0.2">
      <c r="A6365">
        <v>6553</v>
      </c>
    </row>
    <row r="6366" spans="1:1" x14ac:dyDescent="0.2">
      <c r="A6366">
        <v>6554</v>
      </c>
    </row>
    <row r="6367" spans="1:1" x14ac:dyDescent="0.2">
      <c r="A6367">
        <v>6555</v>
      </c>
    </row>
    <row r="6368" spans="1:1" x14ac:dyDescent="0.2">
      <c r="A6368">
        <v>6556</v>
      </c>
    </row>
    <row r="6369" spans="1:1" x14ac:dyDescent="0.2">
      <c r="A6369">
        <v>6557</v>
      </c>
    </row>
    <row r="6370" spans="1:1" x14ac:dyDescent="0.2">
      <c r="A6370">
        <v>6558</v>
      </c>
    </row>
    <row r="6371" spans="1:1" x14ac:dyDescent="0.2">
      <c r="A6371">
        <v>6559</v>
      </c>
    </row>
    <row r="6372" spans="1:1" x14ac:dyDescent="0.2">
      <c r="A6372">
        <v>6560</v>
      </c>
    </row>
    <row r="6373" spans="1:1" x14ac:dyDescent="0.2">
      <c r="A6373">
        <v>6561</v>
      </c>
    </row>
    <row r="6374" spans="1:1" x14ac:dyDescent="0.2">
      <c r="A6374">
        <v>6562</v>
      </c>
    </row>
    <row r="6375" spans="1:1" x14ac:dyDescent="0.2">
      <c r="A6375">
        <v>6563</v>
      </c>
    </row>
    <row r="6376" spans="1:1" x14ac:dyDescent="0.2">
      <c r="A6376">
        <v>6564</v>
      </c>
    </row>
    <row r="6377" spans="1:1" x14ac:dyDescent="0.2">
      <c r="A6377">
        <v>6565</v>
      </c>
    </row>
    <row r="6378" spans="1:1" x14ac:dyDescent="0.2">
      <c r="A6378">
        <v>6566</v>
      </c>
    </row>
    <row r="6379" spans="1:1" x14ac:dyDescent="0.2">
      <c r="A6379">
        <v>6567</v>
      </c>
    </row>
    <row r="6380" spans="1:1" x14ac:dyDescent="0.2">
      <c r="A6380">
        <v>6568</v>
      </c>
    </row>
    <row r="6381" spans="1:1" x14ac:dyDescent="0.2">
      <c r="A6381">
        <v>6569</v>
      </c>
    </row>
    <row r="6382" spans="1:1" x14ac:dyDescent="0.2">
      <c r="A6382">
        <v>6570</v>
      </c>
    </row>
    <row r="6383" spans="1:1" x14ac:dyDescent="0.2">
      <c r="A6383">
        <v>6571</v>
      </c>
    </row>
    <row r="6384" spans="1:1" x14ac:dyDescent="0.2">
      <c r="A6384">
        <v>6572</v>
      </c>
    </row>
    <row r="6385" spans="1:1" x14ac:dyDescent="0.2">
      <c r="A6385">
        <v>6573</v>
      </c>
    </row>
    <row r="6386" spans="1:1" x14ac:dyDescent="0.2">
      <c r="A6386">
        <v>6574</v>
      </c>
    </row>
    <row r="6387" spans="1:1" x14ac:dyDescent="0.2">
      <c r="A6387">
        <v>6575</v>
      </c>
    </row>
    <row r="6388" spans="1:1" x14ac:dyDescent="0.2">
      <c r="A6388">
        <v>6576</v>
      </c>
    </row>
    <row r="6389" spans="1:1" x14ac:dyDescent="0.2">
      <c r="A6389">
        <v>6577</v>
      </c>
    </row>
    <row r="6390" spans="1:1" x14ac:dyDescent="0.2">
      <c r="A6390">
        <v>6578</v>
      </c>
    </row>
    <row r="6391" spans="1:1" x14ac:dyDescent="0.2">
      <c r="A6391">
        <v>6579</v>
      </c>
    </row>
    <row r="6392" spans="1:1" x14ac:dyDescent="0.2">
      <c r="A6392">
        <v>6580</v>
      </c>
    </row>
    <row r="6393" spans="1:1" x14ac:dyDescent="0.2">
      <c r="A6393">
        <v>6581</v>
      </c>
    </row>
    <row r="6394" spans="1:1" x14ac:dyDescent="0.2">
      <c r="A6394">
        <v>6582</v>
      </c>
    </row>
    <row r="6395" spans="1:1" x14ac:dyDescent="0.2">
      <c r="A6395">
        <v>6583</v>
      </c>
    </row>
    <row r="6396" spans="1:1" x14ac:dyDescent="0.2">
      <c r="A6396">
        <v>6584</v>
      </c>
    </row>
    <row r="6397" spans="1:1" x14ac:dyDescent="0.2">
      <c r="A6397">
        <v>6585</v>
      </c>
    </row>
    <row r="6398" spans="1:1" x14ac:dyDescent="0.2">
      <c r="A6398">
        <v>6586</v>
      </c>
    </row>
    <row r="6399" spans="1:1" x14ac:dyDescent="0.2">
      <c r="A6399">
        <v>6587</v>
      </c>
    </row>
    <row r="6400" spans="1:1" x14ac:dyDescent="0.2">
      <c r="A6400">
        <v>6588</v>
      </c>
    </row>
    <row r="6401" spans="1:1" x14ac:dyDescent="0.2">
      <c r="A6401">
        <v>6589</v>
      </c>
    </row>
    <row r="6402" spans="1:1" x14ac:dyDescent="0.2">
      <c r="A6402">
        <v>6590</v>
      </c>
    </row>
    <row r="6403" spans="1:1" x14ac:dyDescent="0.2">
      <c r="A6403">
        <v>6591</v>
      </c>
    </row>
    <row r="6404" spans="1:1" x14ac:dyDescent="0.2">
      <c r="A6404">
        <v>6592</v>
      </c>
    </row>
    <row r="6405" spans="1:1" x14ac:dyDescent="0.2">
      <c r="A6405">
        <v>6593</v>
      </c>
    </row>
    <row r="6406" spans="1:1" x14ac:dyDescent="0.2">
      <c r="A6406">
        <v>6594</v>
      </c>
    </row>
    <row r="6407" spans="1:1" x14ac:dyDescent="0.2">
      <c r="A6407">
        <v>6595</v>
      </c>
    </row>
    <row r="6408" spans="1:1" x14ac:dyDescent="0.2">
      <c r="A6408">
        <v>6596</v>
      </c>
    </row>
    <row r="6409" spans="1:1" x14ac:dyDescent="0.2">
      <c r="A6409">
        <v>6597</v>
      </c>
    </row>
    <row r="6410" spans="1:1" x14ac:dyDescent="0.2">
      <c r="A6410">
        <v>6598</v>
      </c>
    </row>
    <row r="6411" spans="1:1" x14ac:dyDescent="0.2">
      <c r="A6411">
        <v>6599</v>
      </c>
    </row>
    <row r="6412" spans="1:1" x14ac:dyDescent="0.2">
      <c r="A6412">
        <v>6600</v>
      </c>
    </row>
    <row r="6413" spans="1:1" x14ac:dyDescent="0.2">
      <c r="A6413">
        <v>6601</v>
      </c>
    </row>
    <row r="6414" spans="1:1" x14ac:dyDescent="0.2">
      <c r="A6414">
        <v>6602</v>
      </c>
    </row>
    <row r="6415" spans="1:1" x14ac:dyDescent="0.2">
      <c r="A6415">
        <v>6603</v>
      </c>
    </row>
    <row r="6416" spans="1:1" x14ac:dyDescent="0.2">
      <c r="A6416">
        <v>6604</v>
      </c>
    </row>
    <row r="6417" spans="1:1" x14ac:dyDescent="0.2">
      <c r="A6417">
        <v>6605</v>
      </c>
    </row>
    <row r="6418" spans="1:1" x14ac:dyDescent="0.2">
      <c r="A6418">
        <v>6606</v>
      </c>
    </row>
    <row r="6419" spans="1:1" x14ac:dyDescent="0.2">
      <c r="A6419">
        <v>6607</v>
      </c>
    </row>
    <row r="6420" spans="1:1" x14ac:dyDescent="0.2">
      <c r="A6420">
        <v>6608</v>
      </c>
    </row>
    <row r="6421" spans="1:1" x14ac:dyDescent="0.2">
      <c r="A6421">
        <v>6609</v>
      </c>
    </row>
    <row r="6422" spans="1:1" x14ac:dyDescent="0.2">
      <c r="A6422">
        <v>6610</v>
      </c>
    </row>
    <row r="6423" spans="1:1" x14ac:dyDescent="0.2">
      <c r="A6423">
        <v>6611</v>
      </c>
    </row>
    <row r="6424" spans="1:1" x14ac:dyDescent="0.2">
      <c r="A6424">
        <v>6612</v>
      </c>
    </row>
    <row r="6425" spans="1:1" x14ac:dyDescent="0.2">
      <c r="A6425">
        <v>6613</v>
      </c>
    </row>
    <row r="6426" spans="1:1" x14ac:dyDescent="0.2">
      <c r="A6426">
        <v>6614</v>
      </c>
    </row>
    <row r="6427" spans="1:1" x14ac:dyDescent="0.2">
      <c r="A6427">
        <v>6615</v>
      </c>
    </row>
    <row r="6428" spans="1:1" x14ac:dyDescent="0.2">
      <c r="A6428">
        <v>6616</v>
      </c>
    </row>
    <row r="6429" spans="1:1" x14ac:dyDescent="0.2">
      <c r="A6429">
        <v>6617</v>
      </c>
    </row>
    <row r="6430" spans="1:1" x14ac:dyDescent="0.2">
      <c r="A6430">
        <v>6618</v>
      </c>
    </row>
    <row r="6431" spans="1:1" x14ac:dyDescent="0.2">
      <c r="A6431">
        <v>6619</v>
      </c>
    </row>
    <row r="6432" spans="1:1" x14ac:dyDescent="0.2">
      <c r="A6432">
        <v>6620</v>
      </c>
    </row>
    <row r="6433" spans="1:1" x14ac:dyDescent="0.2">
      <c r="A6433">
        <v>6621</v>
      </c>
    </row>
    <row r="6434" spans="1:1" x14ac:dyDescent="0.2">
      <c r="A6434">
        <v>6622</v>
      </c>
    </row>
    <row r="6435" spans="1:1" x14ac:dyDescent="0.2">
      <c r="A6435">
        <v>6623</v>
      </c>
    </row>
    <row r="6436" spans="1:1" x14ac:dyDescent="0.2">
      <c r="A6436">
        <v>6624</v>
      </c>
    </row>
    <row r="6437" spans="1:1" x14ac:dyDescent="0.2">
      <c r="A6437">
        <v>6625</v>
      </c>
    </row>
    <row r="6438" spans="1:1" x14ac:dyDescent="0.2">
      <c r="A6438">
        <v>6626</v>
      </c>
    </row>
    <row r="6439" spans="1:1" x14ac:dyDescent="0.2">
      <c r="A6439">
        <v>6627</v>
      </c>
    </row>
    <row r="6440" spans="1:1" x14ac:dyDescent="0.2">
      <c r="A6440">
        <v>6628</v>
      </c>
    </row>
    <row r="6441" spans="1:1" x14ac:dyDescent="0.2">
      <c r="A6441">
        <v>6629</v>
      </c>
    </row>
    <row r="6442" spans="1:1" x14ac:dyDescent="0.2">
      <c r="A6442">
        <v>6630</v>
      </c>
    </row>
    <row r="6443" spans="1:1" x14ac:dyDescent="0.2">
      <c r="A6443">
        <v>6631</v>
      </c>
    </row>
    <row r="6444" spans="1:1" x14ac:dyDescent="0.2">
      <c r="A6444">
        <v>6632</v>
      </c>
    </row>
    <row r="6445" spans="1:1" x14ac:dyDescent="0.2">
      <c r="A6445">
        <v>6633</v>
      </c>
    </row>
    <row r="6446" spans="1:1" x14ac:dyDescent="0.2">
      <c r="A6446">
        <v>6634</v>
      </c>
    </row>
    <row r="6447" spans="1:1" x14ac:dyDescent="0.2">
      <c r="A6447">
        <v>6635</v>
      </c>
    </row>
    <row r="6448" spans="1:1" x14ac:dyDescent="0.2">
      <c r="A6448">
        <v>6636</v>
      </c>
    </row>
    <row r="6449" spans="1:1" x14ac:dyDescent="0.2">
      <c r="A6449">
        <v>6637</v>
      </c>
    </row>
    <row r="6450" spans="1:1" x14ac:dyDescent="0.2">
      <c r="A6450">
        <v>6638</v>
      </c>
    </row>
    <row r="6451" spans="1:1" x14ac:dyDescent="0.2">
      <c r="A6451">
        <v>6639</v>
      </c>
    </row>
    <row r="6452" spans="1:1" x14ac:dyDescent="0.2">
      <c r="A6452">
        <v>6640</v>
      </c>
    </row>
    <row r="6453" spans="1:1" x14ac:dyDescent="0.2">
      <c r="A6453">
        <v>6641</v>
      </c>
    </row>
    <row r="6454" spans="1:1" x14ac:dyDescent="0.2">
      <c r="A6454">
        <v>6642</v>
      </c>
    </row>
    <row r="6455" spans="1:1" x14ac:dyDescent="0.2">
      <c r="A6455">
        <v>6643</v>
      </c>
    </row>
    <row r="6456" spans="1:1" x14ac:dyDescent="0.2">
      <c r="A6456">
        <v>6644</v>
      </c>
    </row>
    <row r="6457" spans="1:1" x14ac:dyDescent="0.2">
      <c r="A6457">
        <v>6645</v>
      </c>
    </row>
    <row r="6458" spans="1:1" x14ac:dyDescent="0.2">
      <c r="A6458">
        <v>6646</v>
      </c>
    </row>
    <row r="6459" spans="1:1" x14ac:dyDescent="0.2">
      <c r="A6459">
        <v>6647</v>
      </c>
    </row>
    <row r="6460" spans="1:1" x14ac:dyDescent="0.2">
      <c r="A6460">
        <v>6648</v>
      </c>
    </row>
    <row r="6461" spans="1:1" x14ac:dyDescent="0.2">
      <c r="A6461">
        <v>6649</v>
      </c>
    </row>
    <row r="6462" spans="1:1" x14ac:dyDescent="0.2">
      <c r="A6462">
        <v>6650</v>
      </c>
    </row>
    <row r="6463" spans="1:1" x14ac:dyDescent="0.2">
      <c r="A6463">
        <v>6651</v>
      </c>
    </row>
    <row r="6464" spans="1:1" x14ac:dyDescent="0.2">
      <c r="A6464">
        <v>6652</v>
      </c>
    </row>
    <row r="6465" spans="1:1" x14ac:dyDescent="0.2">
      <c r="A6465">
        <v>6653</v>
      </c>
    </row>
    <row r="6466" spans="1:1" x14ac:dyDescent="0.2">
      <c r="A6466">
        <v>6654</v>
      </c>
    </row>
    <row r="6467" spans="1:1" x14ac:dyDescent="0.2">
      <c r="A6467">
        <v>6655</v>
      </c>
    </row>
    <row r="6468" spans="1:1" x14ac:dyDescent="0.2">
      <c r="A6468">
        <v>6656</v>
      </c>
    </row>
    <row r="6469" spans="1:1" x14ac:dyDescent="0.2">
      <c r="A6469">
        <v>6657</v>
      </c>
    </row>
    <row r="6470" spans="1:1" x14ac:dyDescent="0.2">
      <c r="A6470">
        <v>6658</v>
      </c>
    </row>
    <row r="6471" spans="1:1" x14ac:dyDescent="0.2">
      <c r="A6471">
        <v>6659</v>
      </c>
    </row>
    <row r="6472" spans="1:1" x14ac:dyDescent="0.2">
      <c r="A6472">
        <v>6660</v>
      </c>
    </row>
    <row r="6473" spans="1:1" x14ac:dyDescent="0.2">
      <c r="A6473">
        <v>6661</v>
      </c>
    </row>
    <row r="6474" spans="1:1" x14ac:dyDescent="0.2">
      <c r="A6474">
        <v>6662</v>
      </c>
    </row>
    <row r="6475" spans="1:1" x14ac:dyDescent="0.2">
      <c r="A6475">
        <v>6663</v>
      </c>
    </row>
    <row r="6476" spans="1:1" x14ac:dyDescent="0.2">
      <c r="A6476">
        <v>6664</v>
      </c>
    </row>
    <row r="6477" spans="1:1" x14ac:dyDescent="0.2">
      <c r="A6477">
        <v>6665</v>
      </c>
    </row>
    <row r="6478" spans="1:1" x14ac:dyDescent="0.2">
      <c r="A6478">
        <v>6666</v>
      </c>
    </row>
    <row r="6479" spans="1:1" x14ac:dyDescent="0.2">
      <c r="A6479">
        <v>6667</v>
      </c>
    </row>
    <row r="6480" spans="1:1" x14ac:dyDescent="0.2">
      <c r="A6480">
        <v>6668</v>
      </c>
    </row>
    <row r="6481" spans="1:1" x14ac:dyDescent="0.2">
      <c r="A6481">
        <v>6669</v>
      </c>
    </row>
    <row r="6482" spans="1:1" x14ac:dyDescent="0.2">
      <c r="A6482">
        <v>6670</v>
      </c>
    </row>
    <row r="6483" spans="1:1" x14ac:dyDescent="0.2">
      <c r="A6483">
        <v>6671</v>
      </c>
    </row>
    <row r="6484" spans="1:1" x14ac:dyDescent="0.2">
      <c r="A6484">
        <v>6672</v>
      </c>
    </row>
    <row r="6485" spans="1:1" x14ac:dyDescent="0.2">
      <c r="A6485">
        <v>6673</v>
      </c>
    </row>
    <row r="6486" spans="1:1" x14ac:dyDescent="0.2">
      <c r="A6486">
        <v>6674</v>
      </c>
    </row>
    <row r="6487" spans="1:1" x14ac:dyDescent="0.2">
      <c r="A6487">
        <v>6675</v>
      </c>
    </row>
    <row r="6488" spans="1:1" x14ac:dyDescent="0.2">
      <c r="A6488">
        <v>6676</v>
      </c>
    </row>
    <row r="6489" spans="1:1" x14ac:dyDescent="0.2">
      <c r="A6489">
        <v>6677</v>
      </c>
    </row>
    <row r="6490" spans="1:1" x14ac:dyDescent="0.2">
      <c r="A6490">
        <v>6678</v>
      </c>
    </row>
    <row r="6491" spans="1:1" x14ac:dyDescent="0.2">
      <c r="A6491">
        <v>6679</v>
      </c>
    </row>
    <row r="6492" spans="1:1" x14ac:dyDescent="0.2">
      <c r="A6492">
        <v>6680</v>
      </c>
    </row>
    <row r="6493" spans="1:1" x14ac:dyDescent="0.2">
      <c r="A6493">
        <v>6681</v>
      </c>
    </row>
    <row r="6494" spans="1:1" x14ac:dyDescent="0.2">
      <c r="A6494">
        <v>6682</v>
      </c>
    </row>
    <row r="6495" spans="1:1" x14ac:dyDescent="0.2">
      <c r="A6495">
        <v>6683</v>
      </c>
    </row>
    <row r="6496" spans="1:1" x14ac:dyDescent="0.2">
      <c r="A6496">
        <v>6684</v>
      </c>
    </row>
    <row r="6497" spans="1:1" x14ac:dyDescent="0.2">
      <c r="A6497">
        <v>6685</v>
      </c>
    </row>
    <row r="6498" spans="1:1" x14ac:dyDescent="0.2">
      <c r="A6498">
        <v>6686</v>
      </c>
    </row>
    <row r="6499" spans="1:1" x14ac:dyDescent="0.2">
      <c r="A6499">
        <v>6687</v>
      </c>
    </row>
    <row r="6500" spans="1:1" x14ac:dyDescent="0.2">
      <c r="A6500">
        <v>6688</v>
      </c>
    </row>
    <row r="6501" spans="1:1" x14ac:dyDescent="0.2">
      <c r="A6501">
        <v>6689</v>
      </c>
    </row>
    <row r="6502" spans="1:1" x14ac:dyDescent="0.2">
      <c r="A6502">
        <v>6690</v>
      </c>
    </row>
    <row r="6503" spans="1:1" x14ac:dyDescent="0.2">
      <c r="A6503">
        <v>6691</v>
      </c>
    </row>
    <row r="6504" spans="1:1" x14ac:dyDescent="0.2">
      <c r="A6504">
        <v>6692</v>
      </c>
    </row>
    <row r="6505" spans="1:1" x14ac:dyDescent="0.2">
      <c r="A6505">
        <v>6693</v>
      </c>
    </row>
    <row r="6506" spans="1:1" x14ac:dyDescent="0.2">
      <c r="A6506">
        <v>6694</v>
      </c>
    </row>
    <row r="6507" spans="1:1" x14ac:dyDescent="0.2">
      <c r="A6507">
        <v>6695</v>
      </c>
    </row>
    <row r="6508" spans="1:1" x14ac:dyDescent="0.2">
      <c r="A6508">
        <v>6696</v>
      </c>
    </row>
    <row r="6509" spans="1:1" x14ac:dyDescent="0.2">
      <c r="A6509">
        <v>6697</v>
      </c>
    </row>
    <row r="6510" spans="1:1" x14ac:dyDescent="0.2">
      <c r="A6510">
        <v>6698</v>
      </c>
    </row>
    <row r="6511" spans="1:1" x14ac:dyDescent="0.2">
      <c r="A6511">
        <v>6699</v>
      </c>
    </row>
    <row r="6512" spans="1:1" x14ac:dyDescent="0.2">
      <c r="A6512">
        <v>6700</v>
      </c>
    </row>
    <row r="6513" spans="1:1" x14ac:dyDescent="0.2">
      <c r="A6513">
        <v>6701</v>
      </c>
    </row>
    <row r="6514" spans="1:1" x14ac:dyDescent="0.2">
      <c r="A6514">
        <v>6702</v>
      </c>
    </row>
    <row r="6515" spans="1:1" x14ac:dyDescent="0.2">
      <c r="A6515">
        <v>6703</v>
      </c>
    </row>
    <row r="6516" spans="1:1" x14ac:dyDescent="0.2">
      <c r="A6516">
        <v>6704</v>
      </c>
    </row>
    <row r="6517" spans="1:1" x14ac:dyDescent="0.2">
      <c r="A6517">
        <v>6705</v>
      </c>
    </row>
    <row r="6518" spans="1:1" x14ac:dyDescent="0.2">
      <c r="A6518">
        <v>6706</v>
      </c>
    </row>
    <row r="6519" spans="1:1" x14ac:dyDescent="0.2">
      <c r="A6519">
        <v>6707</v>
      </c>
    </row>
    <row r="6520" spans="1:1" x14ac:dyDescent="0.2">
      <c r="A6520">
        <v>6708</v>
      </c>
    </row>
    <row r="6521" spans="1:1" x14ac:dyDescent="0.2">
      <c r="A6521">
        <v>6709</v>
      </c>
    </row>
    <row r="6522" spans="1:1" x14ac:dyDescent="0.2">
      <c r="A6522">
        <v>6710</v>
      </c>
    </row>
    <row r="6523" spans="1:1" x14ac:dyDescent="0.2">
      <c r="A6523">
        <v>6711</v>
      </c>
    </row>
    <row r="6524" spans="1:1" x14ac:dyDescent="0.2">
      <c r="A6524">
        <v>6712</v>
      </c>
    </row>
    <row r="6525" spans="1:1" x14ac:dyDescent="0.2">
      <c r="A6525">
        <v>6713</v>
      </c>
    </row>
    <row r="6526" spans="1:1" x14ac:dyDescent="0.2">
      <c r="A6526">
        <v>6714</v>
      </c>
    </row>
    <row r="6527" spans="1:1" x14ac:dyDescent="0.2">
      <c r="A6527">
        <v>6715</v>
      </c>
    </row>
    <row r="6528" spans="1:1" x14ac:dyDescent="0.2">
      <c r="A6528">
        <v>6716</v>
      </c>
    </row>
    <row r="6529" spans="1:1" x14ac:dyDescent="0.2">
      <c r="A6529">
        <v>6717</v>
      </c>
    </row>
    <row r="6530" spans="1:1" x14ac:dyDescent="0.2">
      <c r="A6530">
        <v>6718</v>
      </c>
    </row>
    <row r="6531" spans="1:1" x14ac:dyDescent="0.2">
      <c r="A6531">
        <v>6719</v>
      </c>
    </row>
    <row r="6532" spans="1:1" x14ac:dyDescent="0.2">
      <c r="A6532">
        <v>6720</v>
      </c>
    </row>
    <row r="6533" spans="1:1" x14ac:dyDescent="0.2">
      <c r="A6533">
        <v>6721</v>
      </c>
    </row>
    <row r="6534" spans="1:1" x14ac:dyDescent="0.2">
      <c r="A6534">
        <v>6722</v>
      </c>
    </row>
    <row r="6535" spans="1:1" x14ac:dyDescent="0.2">
      <c r="A6535">
        <v>6723</v>
      </c>
    </row>
    <row r="6536" spans="1:1" x14ac:dyDescent="0.2">
      <c r="A6536">
        <v>6724</v>
      </c>
    </row>
    <row r="6537" spans="1:1" x14ac:dyDescent="0.2">
      <c r="A6537">
        <v>6725</v>
      </c>
    </row>
    <row r="6538" spans="1:1" x14ac:dyDescent="0.2">
      <c r="A6538">
        <v>6726</v>
      </c>
    </row>
    <row r="6539" spans="1:1" x14ac:dyDescent="0.2">
      <c r="A6539">
        <v>6727</v>
      </c>
    </row>
    <row r="6540" spans="1:1" x14ac:dyDescent="0.2">
      <c r="A6540">
        <v>6728</v>
      </c>
    </row>
    <row r="6541" spans="1:1" x14ac:dyDescent="0.2">
      <c r="A6541">
        <v>6729</v>
      </c>
    </row>
    <row r="6542" spans="1:1" x14ac:dyDescent="0.2">
      <c r="A6542">
        <v>6730</v>
      </c>
    </row>
    <row r="6543" spans="1:1" x14ac:dyDescent="0.2">
      <c r="A6543">
        <v>6731</v>
      </c>
    </row>
    <row r="6544" spans="1:1" x14ac:dyDescent="0.2">
      <c r="A6544">
        <v>6732</v>
      </c>
    </row>
    <row r="6545" spans="1:1" x14ac:dyDescent="0.2">
      <c r="A6545">
        <v>6733</v>
      </c>
    </row>
    <row r="6546" spans="1:1" x14ac:dyDescent="0.2">
      <c r="A6546">
        <v>6734</v>
      </c>
    </row>
    <row r="6547" spans="1:1" x14ac:dyDescent="0.2">
      <c r="A6547">
        <v>6735</v>
      </c>
    </row>
    <row r="6548" spans="1:1" x14ac:dyDescent="0.2">
      <c r="A6548">
        <v>6736</v>
      </c>
    </row>
    <row r="6549" spans="1:1" x14ac:dyDescent="0.2">
      <c r="A6549">
        <v>6737</v>
      </c>
    </row>
    <row r="6550" spans="1:1" x14ac:dyDescent="0.2">
      <c r="A6550">
        <v>6738</v>
      </c>
    </row>
    <row r="6551" spans="1:1" x14ac:dyDescent="0.2">
      <c r="A6551">
        <v>6739</v>
      </c>
    </row>
    <row r="6552" spans="1:1" x14ac:dyDescent="0.2">
      <c r="A6552">
        <v>6740</v>
      </c>
    </row>
    <row r="6553" spans="1:1" x14ac:dyDescent="0.2">
      <c r="A6553">
        <v>6741</v>
      </c>
    </row>
    <row r="6554" spans="1:1" x14ac:dyDescent="0.2">
      <c r="A6554">
        <v>6742</v>
      </c>
    </row>
    <row r="6555" spans="1:1" x14ac:dyDescent="0.2">
      <c r="A6555">
        <v>6743</v>
      </c>
    </row>
    <row r="6556" spans="1:1" x14ac:dyDescent="0.2">
      <c r="A6556">
        <v>6744</v>
      </c>
    </row>
    <row r="6557" spans="1:1" x14ac:dyDescent="0.2">
      <c r="A6557">
        <v>6745</v>
      </c>
    </row>
    <row r="6558" spans="1:1" x14ac:dyDescent="0.2">
      <c r="A6558">
        <v>6746</v>
      </c>
    </row>
    <row r="6559" spans="1:1" x14ac:dyDescent="0.2">
      <c r="A6559">
        <v>6747</v>
      </c>
    </row>
    <row r="6560" spans="1:1" x14ac:dyDescent="0.2">
      <c r="A6560">
        <v>6748</v>
      </c>
    </row>
    <row r="6561" spans="1:1" x14ac:dyDescent="0.2">
      <c r="A6561">
        <v>6749</v>
      </c>
    </row>
    <row r="6562" spans="1:1" x14ac:dyDescent="0.2">
      <c r="A6562">
        <v>6750</v>
      </c>
    </row>
    <row r="6563" spans="1:1" x14ac:dyDescent="0.2">
      <c r="A6563">
        <v>6751</v>
      </c>
    </row>
    <row r="6564" spans="1:1" x14ac:dyDescent="0.2">
      <c r="A6564">
        <v>6752</v>
      </c>
    </row>
    <row r="6565" spans="1:1" x14ac:dyDescent="0.2">
      <c r="A6565">
        <v>6753</v>
      </c>
    </row>
    <row r="6566" spans="1:1" x14ac:dyDescent="0.2">
      <c r="A6566">
        <v>6754</v>
      </c>
    </row>
    <row r="6567" spans="1:1" x14ac:dyDescent="0.2">
      <c r="A6567">
        <v>6755</v>
      </c>
    </row>
    <row r="6568" spans="1:1" x14ac:dyDescent="0.2">
      <c r="A6568">
        <v>6756</v>
      </c>
    </row>
    <row r="6569" spans="1:1" x14ac:dyDescent="0.2">
      <c r="A6569">
        <v>6757</v>
      </c>
    </row>
    <row r="6570" spans="1:1" x14ac:dyDescent="0.2">
      <c r="A6570">
        <v>6758</v>
      </c>
    </row>
    <row r="6571" spans="1:1" x14ac:dyDescent="0.2">
      <c r="A6571">
        <v>6759</v>
      </c>
    </row>
    <row r="6572" spans="1:1" x14ac:dyDescent="0.2">
      <c r="A6572">
        <v>6760</v>
      </c>
    </row>
    <row r="6573" spans="1:1" x14ac:dyDescent="0.2">
      <c r="A6573">
        <v>6761</v>
      </c>
    </row>
    <row r="6574" spans="1:1" x14ac:dyDescent="0.2">
      <c r="A6574">
        <v>6762</v>
      </c>
    </row>
    <row r="6575" spans="1:1" x14ac:dyDescent="0.2">
      <c r="A6575">
        <v>6763</v>
      </c>
    </row>
    <row r="6576" spans="1:1" x14ac:dyDescent="0.2">
      <c r="A6576">
        <v>6764</v>
      </c>
    </row>
    <row r="6577" spans="1:1" x14ac:dyDescent="0.2">
      <c r="A6577">
        <v>6765</v>
      </c>
    </row>
    <row r="6578" spans="1:1" x14ac:dyDescent="0.2">
      <c r="A6578">
        <v>6766</v>
      </c>
    </row>
    <row r="6579" spans="1:1" x14ac:dyDescent="0.2">
      <c r="A6579">
        <v>6767</v>
      </c>
    </row>
    <row r="6580" spans="1:1" x14ac:dyDescent="0.2">
      <c r="A6580">
        <v>6768</v>
      </c>
    </row>
    <row r="6581" spans="1:1" x14ac:dyDescent="0.2">
      <c r="A6581">
        <v>6769</v>
      </c>
    </row>
    <row r="6582" spans="1:1" x14ac:dyDescent="0.2">
      <c r="A6582">
        <v>6770</v>
      </c>
    </row>
    <row r="6583" spans="1:1" x14ac:dyDescent="0.2">
      <c r="A6583">
        <v>6771</v>
      </c>
    </row>
    <row r="6584" spans="1:1" x14ac:dyDescent="0.2">
      <c r="A6584">
        <v>6772</v>
      </c>
    </row>
    <row r="6585" spans="1:1" x14ac:dyDescent="0.2">
      <c r="A6585">
        <v>6773</v>
      </c>
    </row>
    <row r="6586" spans="1:1" x14ac:dyDescent="0.2">
      <c r="A6586">
        <v>6774</v>
      </c>
    </row>
    <row r="6587" spans="1:1" x14ac:dyDescent="0.2">
      <c r="A6587">
        <v>6775</v>
      </c>
    </row>
    <row r="6588" spans="1:1" x14ac:dyDescent="0.2">
      <c r="A6588">
        <v>6776</v>
      </c>
    </row>
    <row r="6589" spans="1:1" x14ac:dyDescent="0.2">
      <c r="A6589">
        <v>6777</v>
      </c>
    </row>
    <row r="6590" spans="1:1" x14ac:dyDescent="0.2">
      <c r="A6590">
        <v>6778</v>
      </c>
    </row>
    <row r="6591" spans="1:1" x14ac:dyDescent="0.2">
      <c r="A6591">
        <v>6779</v>
      </c>
    </row>
    <row r="6592" spans="1:1" x14ac:dyDescent="0.2">
      <c r="A6592">
        <v>6780</v>
      </c>
    </row>
    <row r="6593" spans="1:1" x14ac:dyDescent="0.2">
      <c r="A6593">
        <v>6781</v>
      </c>
    </row>
    <row r="6594" spans="1:1" x14ac:dyDescent="0.2">
      <c r="A6594">
        <v>6782</v>
      </c>
    </row>
    <row r="6595" spans="1:1" x14ac:dyDescent="0.2">
      <c r="A6595">
        <v>6783</v>
      </c>
    </row>
    <row r="6596" spans="1:1" x14ac:dyDescent="0.2">
      <c r="A6596">
        <v>6784</v>
      </c>
    </row>
    <row r="6597" spans="1:1" x14ac:dyDescent="0.2">
      <c r="A6597">
        <v>6785</v>
      </c>
    </row>
    <row r="6598" spans="1:1" x14ac:dyDescent="0.2">
      <c r="A6598">
        <v>6786</v>
      </c>
    </row>
    <row r="6599" spans="1:1" x14ac:dyDescent="0.2">
      <c r="A6599">
        <v>6787</v>
      </c>
    </row>
    <row r="6600" spans="1:1" x14ac:dyDescent="0.2">
      <c r="A6600">
        <v>6788</v>
      </c>
    </row>
    <row r="6601" spans="1:1" x14ac:dyDescent="0.2">
      <c r="A6601">
        <v>6789</v>
      </c>
    </row>
    <row r="6602" spans="1:1" x14ac:dyDescent="0.2">
      <c r="A6602">
        <v>6790</v>
      </c>
    </row>
    <row r="6603" spans="1:1" x14ac:dyDescent="0.2">
      <c r="A6603">
        <v>6791</v>
      </c>
    </row>
    <row r="6604" spans="1:1" x14ac:dyDescent="0.2">
      <c r="A6604">
        <v>6792</v>
      </c>
    </row>
    <row r="6605" spans="1:1" x14ac:dyDescent="0.2">
      <c r="A6605">
        <v>6793</v>
      </c>
    </row>
    <row r="6606" spans="1:1" x14ac:dyDescent="0.2">
      <c r="A6606">
        <v>6794</v>
      </c>
    </row>
    <row r="6607" spans="1:1" x14ac:dyDescent="0.2">
      <c r="A6607">
        <v>6795</v>
      </c>
    </row>
    <row r="6608" spans="1:1" x14ac:dyDescent="0.2">
      <c r="A6608">
        <v>6796</v>
      </c>
    </row>
    <row r="6609" spans="1:1" x14ac:dyDescent="0.2">
      <c r="A6609">
        <v>6797</v>
      </c>
    </row>
    <row r="6610" spans="1:1" x14ac:dyDescent="0.2">
      <c r="A6610">
        <v>6798</v>
      </c>
    </row>
    <row r="6611" spans="1:1" x14ac:dyDescent="0.2">
      <c r="A6611">
        <v>6799</v>
      </c>
    </row>
    <row r="6612" spans="1:1" x14ac:dyDescent="0.2">
      <c r="A6612">
        <v>6800</v>
      </c>
    </row>
    <row r="6613" spans="1:1" x14ac:dyDescent="0.2">
      <c r="A6613">
        <v>6801</v>
      </c>
    </row>
    <row r="6614" spans="1:1" x14ac:dyDescent="0.2">
      <c r="A6614">
        <v>6802</v>
      </c>
    </row>
    <row r="6615" spans="1:1" x14ac:dyDescent="0.2">
      <c r="A6615">
        <v>6803</v>
      </c>
    </row>
    <row r="6616" spans="1:1" x14ac:dyDescent="0.2">
      <c r="A6616">
        <v>6804</v>
      </c>
    </row>
    <row r="6617" spans="1:1" x14ac:dyDescent="0.2">
      <c r="A6617">
        <v>6805</v>
      </c>
    </row>
    <row r="6618" spans="1:1" x14ac:dyDescent="0.2">
      <c r="A6618">
        <v>6806</v>
      </c>
    </row>
    <row r="6619" spans="1:1" x14ac:dyDescent="0.2">
      <c r="A6619">
        <v>6807</v>
      </c>
    </row>
    <row r="6620" spans="1:1" x14ac:dyDescent="0.2">
      <c r="A6620">
        <v>6808</v>
      </c>
    </row>
    <row r="6621" spans="1:1" x14ac:dyDescent="0.2">
      <c r="A6621">
        <v>6809</v>
      </c>
    </row>
    <row r="6622" spans="1:1" x14ac:dyDescent="0.2">
      <c r="A6622">
        <v>6810</v>
      </c>
    </row>
    <row r="6623" spans="1:1" x14ac:dyDescent="0.2">
      <c r="A6623">
        <v>6811</v>
      </c>
    </row>
    <row r="6624" spans="1:1" x14ac:dyDescent="0.2">
      <c r="A6624">
        <v>6812</v>
      </c>
    </row>
    <row r="6625" spans="1:1" x14ac:dyDescent="0.2">
      <c r="A6625">
        <v>6813</v>
      </c>
    </row>
    <row r="6626" spans="1:1" x14ac:dyDescent="0.2">
      <c r="A6626">
        <v>6814</v>
      </c>
    </row>
    <row r="6627" spans="1:1" x14ac:dyDescent="0.2">
      <c r="A6627">
        <v>6815</v>
      </c>
    </row>
    <row r="6628" spans="1:1" x14ac:dyDescent="0.2">
      <c r="A6628">
        <v>6816</v>
      </c>
    </row>
    <row r="6629" spans="1:1" x14ac:dyDescent="0.2">
      <c r="A6629">
        <v>6817</v>
      </c>
    </row>
    <row r="6630" spans="1:1" x14ac:dyDescent="0.2">
      <c r="A6630">
        <v>6818</v>
      </c>
    </row>
    <row r="6631" spans="1:1" x14ac:dyDescent="0.2">
      <c r="A6631">
        <v>6819</v>
      </c>
    </row>
    <row r="6632" spans="1:1" x14ac:dyDescent="0.2">
      <c r="A6632">
        <v>6820</v>
      </c>
    </row>
    <row r="6633" spans="1:1" x14ac:dyDescent="0.2">
      <c r="A6633">
        <v>6821</v>
      </c>
    </row>
    <row r="6634" spans="1:1" x14ac:dyDescent="0.2">
      <c r="A6634">
        <v>6822</v>
      </c>
    </row>
    <row r="6635" spans="1:1" x14ac:dyDescent="0.2">
      <c r="A6635">
        <v>6823</v>
      </c>
    </row>
    <row r="6636" spans="1:1" x14ac:dyDescent="0.2">
      <c r="A6636">
        <v>6824</v>
      </c>
    </row>
    <row r="6637" spans="1:1" x14ac:dyDescent="0.2">
      <c r="A6637">
        <v>6825</v>
      </c>
    </row>
    <row r="6638" spans="1:1" x14ac:dyDescent="0.2">
      <c r="A6638">
        <v>6826</v>
      </c>
    </row>
    <row r="6639" spans="1:1" x14ac:dyDescent="0.2">
      <c r="A6639">
        <v>6827</v>
      </c>
    </row>
    <row r="6640" spans="1:1" x14ac:dyDescent="0.2">
      <c r="A6640">
        <v>6828</v>
      </c>
    </row>
    <row r="6641" spans="1:1" x14ac:dyDescent="0.2">
      <c r="A6641">
        <v>6829</v>
      </c>
    </row>
    <row r="6642" spans="1:1" x14ac:dyDescent="0.2">
      <c r="A6642">
        <v>6830</v>
      </c>
    </row>
    <row r="6643" spans="1:1" x14ac:dyDescent="0.2">
      <c r="A6643">
        <v>6831</v>
      </c>
    </row>
    <row r="6644" spans="1:1" x14ac:dyDescent="0.2">
      <c r="A6644">
        <v>6832</v>
      </c>
    </row>
    <row r="6645" spans="1:1" x14ac:dyDescent="0.2">
      <c r="A6645">
        <v>6833</v>
      </c>
    </row>
    <row r="6646" spans="1:1" x14ac:dyDescent="0.2">
      <c r="A6646">
        <v>6834</v>
      </c>
    </row>
    <row r="6647" spans="1:1" x14ac:dyDescent="0.2">
      <c r="A6647">
        <v>6835</v>
      </c>
    </row>
    <row r="6648" spans="1:1" x14ac:dyDescent="0.2">
      <c r="A6648">
        <v>6836</v>
      </c>
    </row>
    <row r="6649" spans="1:1" x14ac:dyDescent="0.2">
      <c r="A6649">
        <v>6837</v>
      </c>
    </row>
    <row r="6650" spans="1:1" x14ac:dyDescent="0.2">
      <c r="A6650">
        <v>6838</v>
      </c>
    </row>
    <row r="6651" spans="1:1" x14ac:dyDescent="0.2">
      <c r="A6651">
        <v>6839</v>
      </c>
    </row>
    <row r="6652" spans="1:1" x14ac:dyDescent="0.2">
      <c r="A6652">
        <v>6840</v>
      </c>
    </row>
    <row r="6653" spans="1:1" x14ac:dyDescent="0.2">
      <c r="A6653">
        <v>6841</v>
      </c>
    </row>
    <row r="6654" spans="1:1" x14ac:dyDescent="0.2">
      <c r="A6654">
        <v>6842</v>
      </c>
    </row>
    <row r="6655" spans="1:1" x14ac:dyDescent="0.2">
      <c r="A6655">
        <v>6843</v>
      </c>
    </row>
    <row r="6656" spans="1:1" x14ac:dyDescent="0.2">
      <c r="A6656">
        <v>6844</v>
      </c>
    </row>
    <row r="6657" spans="1:1" x14ac:dyDescent="0.2">
      <c r="A6657">
        <v>6845</v>
      </c>
    </row>
    <row r="6658" spans="1:1" x14ac:dyDescent="0.2">
      <c r="A6658">
        <v>6846</v>
      </c>
    </row>
    <row r="6659" spans="1:1" x14ac:dyDescent="0.2">
      <c r="A6659">
        <v>6847</v>
      </c>
    </row>
    <row r="6660" spans="1:1" x14ac:dyDescent="0.2">
      <c r="A6660">
        <v>6848</v>
      </c>
    </row>
    <row r="6661" spans="1:1" x14ac:dyDescent="0.2">
      <c r="A6661">
        <v>6849</v>
      </c>
    </row>
    <row r="6662" spans="1:1" x14ac:dyDescent="0.2">
      <c r="A6662">
        <v>6850</v>
      </c>
    </row>
    <row r="6663" spans="1:1" x14ac:dyDescent="0.2">
      <c r="A6663">
        <v>6851</v>
      </c>
    </row>
    <row r="6664" spans="1:1" x14ac:dyDescent="0.2">
      <c r="A6664">
        <v>6852</v>
      </c>
    </row>
    <row r="6665" spans="1:1" x14ac:dyDescent="0.2">
      <c r="A6665">
        <v>6853</v>
      </c>
    </row>
    <row r="6666" spans="1:1" x14ac:dyDescent="0.2">
      <c r="A6666">
        <v>6854</v>
      </c>
    </row>
    <row r="6667" spans="1:1" x14ac:dyDescent="0.2">
      <c r="A6667">
        <v>6855</v>
      </c>
    </row>
    <row r="6668" spans="1:1" x14ac:dyDescent="0.2">
      <c r="A6668">
        <v>6856</v>
      </c>
    </row>
    <row r="6669" spans="1:1" x14ac:dyDescent="0.2">
      <c r="A6669">
        <v>6857</v>
      </c>
    </row>
    <row r="6670" spans="1:1" x14ac:dyDescent="0.2">
      <c r="A6670">
        <v>6858</v>
      </c>
    </row>
    <row r="6671" spans="1:1" x14ac:dyDescent="0.2">
      <c r="A6671">
        <v>6859</v>
      </c>
    </row>
    <row r="6672" spans="1:1" x14ac:dyDescent="0.2">
      <c r="A6672">
        <v>6860</v>
      </c>
    </row>
    <row r="6673" spans="1:1" x14ac:dyDescent="0.2">
      <c r="A6673">
        <v>6861</v>
      </c>
    </row>
    <row r="6674" spans="1:1" x14ac:dyDescent="0.2">
      <c r="A6674">
        <v>6862</v>
      </c>
    </row>
    <row r="6675" spans="1:1" x14ac:dyDescent="0.2">
      <c r="A6675">
        <v>6863</v>
      </c>
    </row>
    <row r="6676" spans="1:1" x14ac:dyDescent="0.2">
      <c r="A6676">
        <v>6864</v>
      </c>
    </row>
    <row r="6677" spans="1:1" x14ac:dyDescent="0.2">
      <c r="A6677">
        <v>6865</v>
      </c>
    </row>
    <row r="6678" spans="1:1" x14ac:dyDescent="0.2">
      <c r="A6678">
        <v>6866</v>
      </c>
    </row>
    <row r="6679" spans="1:1" x14ac:dyDescent="0.2">
      <c r="A6679">
        <v>6867</v>
      </c>
    </row>
    <row r="6680" spans="1:1" x14ac:dyDescent="0.2">
      <c r="A6680">
        <v>6868</v>
      </c>
    </row>
    <row r="6681" spans="1:1" x14ac:dyDescent="0.2">
      <c r="A6681">
        <v>6869</v>
      </c>
    </row>
    <row r="6682" spans="1:1" x14ac:dyDescent="0.2">
      <c r="A6682">
        <v>6870</v>
      </c>
    </row>
    <row r="6683" spans="1:1" x14ac:dyDescent="0.2">
      <c r="A6683">
        <v>6871</v>
      </c>
    </row>
    <row r="6684" spans="1:1" x14ac:dyDescent="0.2">
      <c r="A6684">
        <v>6872</v>
      </c>
    </row>
    <row r="6685" spans="1:1" x14ac:dyDescent="0.2">
      <c r="A6685">
        <v>6873</v>
      </c>
    </row>
    <row r="6686" spans="1:1" x14ac:dyDescent="0.2">
      <c r="A6686">
        <v>6874</v>
      </c>
    </row>
    <row r="6687" spans="1:1" x14ac:dyDescent="0.2">
      <c r="A6687">
        <v>6875</v>
      </c>
    </row>
    <row r="6688" spans="1:1" x14ac:dyDescent="0.2">
      <c r="A6688">
        <v>6876</v>
      </c>
    </row>
    <row r="6689" spans="1:1" x14ac:dyDescent="0.2">
      <c r="A6689">
        <v>6877</v>
      </c>
    </row>
    <row r="6690" spans="1:1" x14ac:dyDescent="0.2">
      <c r="A6690">
        <v>6878</v>
      </c>
    </row>
    <row r="6691" spans="1:1" x14ac:dyDescent="0.2">
      <c r="A6691">
        <v>6879</v>
      </c>
    </row>
    <row r="6692" spans="1:1" x14ac:dyDescent="0.2">
      <c r="A6692">
        <v>6880</v>
      </c>
    </row>
    <row r="6693" spans="1:1" x14ac:dyDescent="0.2">
      <c r="A6693">
        <v>6881</v>
      </c>
    </row>
    <row r="6694" spans="1:1" x14ac:dyDescent="0.2">
      <c r="A6694">
        <v>6882</v>
      </c>
    </row>
    <row r="6695" spans="1:1" x14ac:dyDescent="0.2">
      <c r="A6695">
        <v>6883</v>
      </c>
    </row>
    <row r="6696" spans="1:1" x14ac:dyDescent="0.2">
      <c r="A6696">
        <v>6884</v>
      </c>
    </row>
    <row r="6697" spans="1:1" x14ac:dyDescent="0.2">
      <c r="A6697">
        <v>6885</v>
      </c>
    </row>
    <row r="6698" spans="1:1" x14ac:dyDescent="0.2">
      <c r="A6698">
        <v>6886</v>
      </c>
    </row>
    <row r="6699" spans="1:1" x14ac:dyDescent="0.2">
      <c r="A6699">
        <v>6887</v>
      </c>
    </row>
    <row r="6700" spans="1:1" x14ac:dyDescent="0.2">
      <c r="A6700">
        <v>6888</v>
      </c>
    </row>
    <row r="6701" spans="1:1" x14ac:dyDescent="0.2">
      <c r="A6701">
        <v>6889</v>
      </c>
    </row>
    <row r="6702" spans="1:1" x14ac:dyDescent="0.2">
      <c r="A6702">
        <v>6890</v>
      </c>
    </row>
    <row r="6703" spans="1:1" x14ac:dyDescent="0.2">
      <c r="A6703">
        <v>6891</v>
      </c>
    </row>
    <row r="6704" spans="1:1" x14ac:dyDescent="0.2">
      <c r="A6704">
        <v>6892</v>
      </c>
    </row>
    <row r="6705" spans="1:1" x14ac:dyDescent="0.2">
      <c r="A6705">
        <v>6893</v>
      </c>
    </row>
    <row r="6706" spans="1:1" x14ac:dyDescent="0.2">
      <c r="A6706">
        <v>6894</v>
      </c>
    </row>
    <row r="6707" spans="1:1" x14ac:dyDescent="0.2">
      <c r="A6707">
        <v>6895</v>
      </c>
    </row>
    <row r="6708" spans="1:1" x14ac:dyDescent="0.2">
      <c r="A6708">
        <v>6896</v>
      </c>
    </row>
    <row r="6709" spans="1:1" x14ac:dyDescent="0.2">
      <c r="A6709">
        <v>6897</v>
      </c>
    </row>
    <row r="6710" spans="1:1" x14ac:dyDescent="0.2">
      <c r="A6710">
        <v>6898</v>
      </c>
    </row>
    <row r="6711" spans="1:1" x14ac:dyDescent="0.2">
      <c r="A6711">
        <v>6899</v>
      </c>
    </row>
    <row r="6712" spans="1:1" x14ac:dyDescent="0.2">
      <c r="A6712">
        <v>6900</v>
      </c>
    </row>
    <row r="6713" spans="1:1" x14ac:dyDescent="0.2">
      <c r="A6713">
        <v>6901</v>
      </c>
    </row>
    <row r="6714" spans="1:1" x14ac:dyDescent="0.2">
      <c r="A6714">
        <v>6902</v>
      </c>
    </row>
    <row r="6715" spans="1:1" x14ac:dyDescent="0.2">
      <c r="A6715">
        <v>6903</v>
      </c>
    </row>
    <row r="6716" spans="1:1" x14ac:dyDescent="0.2">
      <c r="A6716">
        <v>6904</v>
      </c>
    </row>
    <row r="6717" spans="1:1" x14ac:dyDescent="0.2">
      <c r="A6717">
        <v>6905</v>
      </c>
    </row>
    <row r="6718" spans="1:1" x14ac:dyDescent="0.2">
      <c r="A6718">
        <v>6906</v>
      </c>
    </row>
    <row r="6719" spans="1:1" x14ac:dyDescent="0.2">
      <c r="A6719">
        <v>6907</v>
      </c>
    </row>
    <row r="6720" spans="1:1" x14ac:dyDescent="0.2">
      <c r="A6720">
        <v>6908</v>
      </c>
    </row>
    <row r="6721" spans="1:1" x14ac:dyDescent="0.2">
      <c r="A6721">
        <v>6909</v>
      </c>
    </row>
    <row r="6722" spans="1:1" x14ac:dyDescent="0.2">
      <c r="A6722">
        <v>6910</v>
      </c>
    </row>
    <row r="6723" spans="1:1" x14ac:dyDescent="0.2">
      <c r="A6723">
        <v>6911</v>
      </c>
    </row>
    <row r="6724" spans="1:1" x14ac:dyDescent="0.2">
      <c r="A6724">
        <v>6912</v>
      </c>
    </row>
    <row r="6725" spans="1:1" x14ac:dyDescent="0.2">
      <c r="A6725">
        <v>6913</v>
      </c>
    </row>
    <row r="6726" spans="1:1" x14ac:dyDescent="0.2">
      <c r="A6726">
        <v>6914</v>
      </c>
    </row>
    <row r="6727" spans="1:1" x14ac:dyDescent="0.2">
      <c r="A6727">
        <v>6915</v>
      </c>
    </row>
    <row r="6728" spans="1:1" x14ac:dyDescent="0.2">
      <c r="A6728">
        <v>6916</v>
      </c>
    </row>
    <row r="6729" spans="1:1" x14ac:dyDescent="0.2">
      <c r="A6729">
        <v>6917</v>
      </c>
    </row>
    <row r="6730" spans="1:1" x14ac:dyDescent="0.2">
      <c r="A6730">
        <v>6918</v>
      </c>
    </row>
    <row r="6731" spans="1:1" x14ac:dyDescent="0.2">
      <c r="A6731">
        <v>6919</v>
      </c>
    </row>
    <row r="6732" spans="1:1" x14ac:dyDescent="0.2">
      <c r="A6732">
        <v>6920</v>
      </c>
    </row>
    <row r="6733" spans="1:1" x14ac:dyDescent="0.2">
      <c r="A6733">
        <v>6921</v>
      </c>
    </row>
    <row r="6734" spans="1:1" x14ac:dyDescent="0.2">
      <c r="A6734">
        <v>6922</v>
      </c>
    </row>
    <row r="6735" spans="1:1" x14ac:dyDescent="0.2">
      <c r="A6735">
        <v>6923</v>
      </c>
    </row>
    <row r="6736" spans="1:1" x14ac:dyDescent="0.2">
      <c r="A6736">
        <v>6924</v>
      </c>
    </row>
    <row r="6737" spans="1:1" x14ac:dyDescent="0.2">
      <c r="A6737">
        <v>6925</v>
      </c>
    </row>
    <row r="6738" spans="1:1" x14ac:dyDescent="0.2">
      <c r="A6738">
        <v>6926</v>
      </c>
    </row>
    <row r="6739" spans="1:1" x14ac:dyDescent="0.2">
      <c r="A6739">
        <v>6927</v>
      </c>
    </row>
    <row r="6740" spans="1:1" x14ac:dyDescent="0.2">
      <c r="A6740">
        <v>6928</v>
      </c>
    </row>
    <row r="6741" spans="1:1" x14ac:dyDescent="0.2">
      <c r="A6741">
        <v>6929</v>
      </c>
    </row>
    <row r="6742" spans="1:1" x14ac:dyDescent="0.2">
      <c r="A6742">
        <v>6930</v>
      </c>
    </row>
    <row r="6743" spans="1:1" x14ac:dyDescent="0.2">
      <c r="A6743">
        <v>6931</v>
      </c>
    </row>
    <row r="6744" spans="1:1" x14ac:dyDescent="0.2">
      <c r="A6744">
        <v>6932</v>
      </c>
    </row>
    <row r="6745" spans="1:1" x14ac:dyDescent="0.2">
      <c r="A6745">
        <v>6933</v>
      </c>
    </row>
    <row r="6746" spans="1:1" x14ac:dyDescent="0.2">
      <c r="A6746">
        <v>6934</v>
      </c>
    </row>
    <row r="6747" spans="1:1" x14ac:dyDescent="0.2">
      <c r="A6747">
        <v>6935</v>
      </c>
    </row>
    <row r="6748" spans="1:1" x14ac:dyDescent="0.2">
      <c r="A6748">
        <v>6936</v>
      </c>
    </row>
    <row r="6749" spans="1:1" x14ac:dyDescent="0.2">
      <c r="A6749">
        <v>6937</v>
      </c>
    </row>
    <row r="6750" spans="1:1" x14ac:dyDescent="0.2">
      <c r="A6750">
        <v>6938</v>
      </c>
    </row>
    <row r="6751" spans="1:1" x14ac:dyDescent="0.2">
      <c r="A6751">
        <v>6939</v>
      </c>
    </row>
    <row r="6752" spans="1:1" x14ac:dyDescent="0.2">
      <c r="A6752">
        <v>6940</v>
      </c>
    </row>
    <row r="6753" spans="1:1" x14ac:dyDescent="0.2">
      <c r="A6753">
        <v>6941</v>
      </c>
    </row>
    <row r="6754" spans="1:1" x14ac:dyDescent="0.2">
      <c r="A6754">
        <v>6942</v>
      </c>
    </row>
    <row r="6755" spans="1:1" x14ac:dyDescent="0.2">
      <c r="A6755">
        <v>6943</v>
      </c>
    </row>
    <row r="6756" spans="1:1" x14ac:dyDescent="0.2">
      <c r="A6756">
        <v>6944</v>
      </c>
    </row>
    <row r="6757" spans="1:1" x14ac:dyDescent="0.2">
      <c r="A6757">
        <v>6945</v>
      </c>
    </row>
    <row r="6758" spans="1:1" x14ac:dyDescent="0.2">
      <c r="A6758">
        <v>6946</v>
      </c>
    </row>
    <row r="6759" spans="1:1" x14ac:dyDescent="0.2">
      <c r="A6759">
        <v>6947</v>
      </c>
    </row>
    <row r="6760" spans="1:1" x14ac:dyDescent="0.2">
      <c r="A6760">
        <v>6948</v>
      </c>
    </row>
    <row r="6761" spans="1:1" x14ac:dyDescent="0.2">
      <c r="A6761">
        <v>6949</v>
      </c>
    </row>
    <row r="6762" spans="1:1" x14ac:dyDescent="0.2">
      <c r="A6762">
        <v>6950</v>
      </c>
    </row>
    <row r="6763" spans="1:1" x14ac:dyDescent="0.2">
      <c r="A6763">
        <v>6951</v>
      </c>
    </row>
    <row r="6764" spans="1:1" x14ac:dyDescent="0.2">
      <c r="A6764">
        <v>6952</v>
      </c>
    </row>
    <row r="6765" spans="1:1" x14ac:dyDescent="0.2">
      <c r="A6765">
        <v>6953</v>
      </c>
    </row>
    <row r="6766" spans="1:1" x14ac:dyDescent="0.2">
      <c r="A6766">
        <v>6954</v>
      </c>
    </row>
    <row r="6767" spans="1:1" x14ac:dyDescent="0.2">
      <c r="A6767">
        <v>6955</v>
      </c>
    </row>
    <row r="6768" spans="1:1" x14ac:dyDescent="0.2">
      <c r="A6768">
        <v>6956</v>
      </c>
    </row>
    <row r="6769" spans="1:1" x14ac:dyDescent="0.2">
      <c r="A6769">
        <v>6957</v>
      </c>
    </row>
    <row r="6770" spans="1:1" x14ac:dyDescent="0.2">
      <c r="A6770">
        <v>6958</v>
      </c>
    </row>
    <row r="6771" spans="1:1" x14ac:dyDescent="0.2">
      <c r="A6771">
        <v>6959</v>
      </c>
    </row>
    <row r="6772" spans="1:1" x14ac:dyDescent="0.2">
      <c r="A6772">
        <v>6960</v>
      </c>
    </row>
    <row r="6773" spans="1:1" x14ac:dyDescent="0.2">
      <c r="A6773">
        <v>6961</v>
      </c>
    </row>
    <row r="6774" spans="1:1" x14ac:dyDescent="0.2">
      <c r="A6774">
        <v>6962</v>
      </c>
    </row>
    <row r="6775" spans="1:1" x14ac:dyDescent="0.2">
      <c r="A6775">
        <v>6963</v>
      </c>
    </row>
    <row r="6776" spans="1:1" x14ac:dyDescent="0.2">
      <c r="A6776">
        <v>6964</v>
      </c>
    </row>
    <row r="6777" spans="1:1" x14ac:dyDescent="0.2">
      <c r="A6777">
        <v>6965</v>
      </c>
    </row>
    <row r="6778" spans="1:1" x14ac:dyDescent="0.2">
      <c r="A6778">
        <v>6966</v>
      </c>
    </row>
    <row r="6779" spans="1:1" x14ac:dyDescent="0.2">
      <c r="A6779">
        <v>6967</v>
      </c>
    </row>
    <row r="6780" spans="1:1" x14ac:dyDescent="0.2">
      <c r="A6780">
        <v>6968</v>
      </c>
    </row>
    <row r="6781" spans="1:1" x14ac:dyDescent="0.2">
      <c r="A6781">
        <v>6969</v>
      </c>
    </row>
    <row r="6782" spans="1:1" x14ac:dyDescent="0.2">
      <c r="A6782">
        <v>6970</v>
      </c>
    </row>
    <row r="6783" spans="1:1" x14ac:dyDescent="0.2">
      <c r="A6783">
        <v>6971</v>
      </c>
    </row>
    <row r="6784" spans="1:1" x14ac:dyDescent="0.2">
      <c r="A6784">
        <v>6972</v>
      </c>
    </row>
    <row r="6785" spans="1:1" x14ac:dyDescent="0.2">
      <c r="A6785">
        <v>6973</v>
      </c>
    </row>
    <row r="6786" spans="1:1" x14ac:dyDescent="0.2">
      <c r="A6786">
        <v>6974</v>
      </c>
    </row>
    <row r="6787" spans="1:1" x14ac:dyDescent="0.2">
      <c r="A6787">
        <v>6975</v>
      </c>
    </row>
    <row r="6788" spans="1:1" x14ac:dyDescent="0.2">
      <c r="A6788">
        <v>6976</v>
      </c>
    </row>
    <row r="6789" spans="1:1" x14ac:dyDescent="0.2">
      <c r="A6789">
        <v>6977</v>
      </c>
    </row>
    <row r="6790" spans="1:1" x14ac:dyDescent="0.2">
      <c r="A6790">
        <v>6978</v>
      </c>
    </row>
    <row r="6791" spans="1:1" x14ac:dyDescent="0.2">
      <c r="A6791">
        <v>6979</v>
      </c>
    </row>
    <row r="6792" spans="1:1" x14ac:dyDescent="0.2">
      <c r="A6792">
        <v>6980</v>
      </c>
    </row>
    <row r="6793" spans="1:1" x14ac:dyDescent="0.2">
      <c r="A6793">
        <v>6981</v>
      </c>
    </row>
    <row r="6794" spans="1:1" x14ac:dyDescent="0.2">
      <c r="A6794">
        <v>6982</v>
      </c>
    </row>
    <row r="6795" spans="1:1" x14ac:dyDescent="0.2">
      <c r="A6795">
        <v>6983</v>
      </c>
    </row>
    <row r="6796" spans="1:1" x14ac:dyDescent="0.2">
      <c r="A6796">
        <v>6984</v>
      </c>
    </row>
    <row r="6797" spans="1:1" x14ac:dyDescent="0.2">
      <c r="A6797">
        <v>6985</v>
      </c>
    </row>
    <row r="6798" spans="1:1" x14ac:dyDescent="0.2">
      <c r="A6798">
        <v>6986</v>
      </c>
    </row>
    <row r="6799" spans="1:1" x14ac:dyDescent="0.2">
      <c r="A6799">
        <v>6987</v>
      </c>
    </row>
    <row r="6800" spans="1:1" x14ac:dyDescent="0.2">
      <c r="A6800">
        <v>6988</v>
      </c>
    </row>
    <row r="6801" spans="1:1" x14ac:dyDescent="0.2">
      <c r="A6801">
        <v>6989</v>
      </c>
    </row>
    <row r="6802" spans="1:1" x14ac:dyDescent="0.2">
      <c r="A6802">
        <v>6990</v>
      </c>
    </row>
    <row r="6803" spans="1:1" x14ac:dyDescent="0.2">
      <c r="A6803">
        <v>6991</v>
      </c>
    </row>
    <row r="6804" spans="1:1" x14ac:dyDescent="0.2">
      <c r="A6804">
        <v>6992</v>
      </c>
    </row>
    <row r="6805" spans="1:1" x14ac:dyDescent="0.2">
      <c r="A6805">
        <v>6993</v>
      </c>
    </row>
    <row r="6806" spans="1:1" x14ac:dyDescent="0.2">
      <c r="A6806">
        <v>6994</v>
      </c>
    </row>
    <row r="6807" spans="1:1" x14ac:dyDescent="0.2">
      <c r="A6807">
        <v>6995</v>
      </c>
    </row>
    <row r="6808" spans="1:1" x14ac:dyDescent="0.2">
      <c r="A6808">
        <v>6996</v>
      </c>
    </row>
    <row r="6809" spans="1:1" x14ac:dyDescent="0.2">
      <c r="A6809">
        <v>6997</v>
      </c>
    </row>
    <row r="6810" spans="1:1" x14ac:dyDescent="0.2">
      <c r="A6810">
        <v>6998</v>
      </c>
    </row>
    <row r="6811" spans="1:1" x14ac:dyDescent="0.2">
      <c r="A6811">
        <v>6999</v>
      </c>
    </row>
    <row r="6812" spans="1:1" x14ac:dyDescent="0.2">
      <c r="A6812">
        <v>7000</v>
      </c>
    </row>
    <row r="6813" spans="1:1" x14ac:dyDescent="0.2">
      <c r="A6813">
        <v>7001</v>
      </c>
    </row>
    <row r="6814" spans="1:1" x14ac:dyDescent="0.2">
      <c r="A6814">
        <v>7002</v>
      </c>
    </row>
    <row r="6815" spans="1:1" x14ac:dyDescent="0.2">
      <c r="A6815">
        <v>7003</v>
      </c>
    </row>
    <row r="6816" spans="1:1" x14ac:dyDescent="0.2">
      <c r="A6816">
        <v>7004</v>
      </c>
    </row>
    <row r="6817" spans="1:1" x14ac:dyDescent="0.2">
      <c r="A6817">
        <v>7005</v>
      </c>
    </row>
    <row r="6818" spans="1:1" x14ac:dyDescent="0.2">
      <c r="A6818">
        <v>7006</v>
      </c>
    </row>
    <row r="6819" spans="1:1" x14ac:dyDescent="0.2">
      <c r="A6819">
        <v>7007</v>
      </c>
    </row>
    <row r="6820" spans="1:1" x14ac:dyDescent="0.2">
      <c r="A6820">
        <v>7008</v>
      </c>
    </row>
    <row r="6821" spans="1:1" x14ac:dyDescent="0.2">
      <c r="A6821">
        <v>7009</v>
      </c>
    </row>
    <row r="6822" spans="1:1" x14ac:dyDescent="0.2">
      <c r="A6822">
        <v>7010</v>
      </c>
    </row>
    <row r="6823" spans="1:1" x14ac:dyDescent="0.2">
      <c r="A6823">
        <v>7011</v>
      </c>
    </row>
    <row r="6824" spans="1:1" x14ac:dyDescent="0.2">
      <c r="A6824">
        <v>7012</v>
      </c>
    </row>
    <row r="6825" spans="1:1" x14ac:dyDescent="0.2">
      <c r="A6825">
        <v>7013</v>
      </c>
    </row>
    <row r="6826" spans="1:1" x14ac:dyDescent="0.2">
      <c r="A6826">
        <v>7014</v>
      </c>
    </row>
    <row r="6827" spans="1:1" x14ac:dyDescent="0.2">
      <c r="A6827">
        <v>7015</v>
      </c>
    </row>
    <row r="6828" spans="1:1" x14ac:dyDescent="0.2">
      <c r="A6828">
        <v>7016</v>
      </c>
    </row>
    <row r="6829" spans="1:1" x14ac:dyDescent="0.2">
      <c r="A6829">
        <v>7017</v>
      </c>
    </row>
    <row r="6830" spans="1:1" x14ac:dyDescent="0.2">
      <c r="A6830">
        <v>7018</v>
      </c>
    </row>
    <row r="6831" spans="1:1" x14ac:dyDescent="0.2">
      <c r="A6831">
        <v>7019</v>
      </c>
    </row>
    <row r="6832" spans="1:1" x14ac:dyDescent="0.2">
      <c r="A6832">
        <v>7020</v>
      </c>
    </row>
    <row r="6833" spans="1:1" x14ac:dyDescent="0.2">
      <c r="A6833">
        <v>7021</v>
      </c>
    </row>
    <row r="6834" spans="1:1" x14ac:dyDescent="0.2">
      <c r="A6834">
        <v>7022</v>
      </c>
    </row>
    <row r="6835" spans="1:1" x14ac:dyDescent="0.2">
      <c r="A6835">
        <v>7023</v>
      </c>
    </row>
    <row r="6836" spans="1:1" x14ac:dyDescent="0.2">
      <c r="A6836">
        <v>7024</v>
      </c>
    </row>
    <row r="6837" spans="1:1" x14ac:dyDescent="0.2">
      <c r="A6837">
        <v>7025</v>
      </c>
    </row>
    <row r="6838" spans="1:1" x14ac:dyDescent="0.2">
      <c r="A6838">
        <v>7026</v>
      </c>
    </row>
    <row r="6839" spans="1:1" x14ac:dyDescent="0.2">
      <c r="A6839">
        <v>7027</v>
      </c>
    </row>
    <row r="6840" spans="1:1" x14ac:dyDescent="0.2">
      <c r="A6840">
        <v>7028</v>
      </c>
    </row>
    <row r="6841" spans="1:1" x14ac:dyDescent="0.2">
      <c r="A6841">
        <v>7029</v>
      </c>
    </row>
    <row r="6842" spans="1:1" x14ac:dyDescent="0.2">
      <c r="A6842">
        <v>7030</v>
      </c>
    </row>
    <row r="6843" spans="1:1" x14ac:dyDescent="0.2">
      <c r="A6843">
        <v>7031</v>
      </c>
    </row>
    <row r="6844" spans="1:1" x14ac:dyDescent="0.2">
      <c r="A6844">
        <v>7032</v>
      </c>
    </row>
    <row r="6845" spans="1:1" x14ac:dyDescent="0.2">
      <c r="A6845">
        <v>7033</v>
      </c>
    </row>
    <row r="6846" spans="1:1" x14ac:dyDescent="0.2">
      <c r="A6846">
        <v>7034</v>
      </c>
    </row>
    <row r="6847" spans="1:1" x14ac:dyDescent="0.2">
      <c r="A6847">
        <v>7035</v>
      </c>
    </row>
    <row r="6848" spans="1:1" x14ac:dyDescent="0.2">
      <c r="A6848">
        <v>7036</v>
      </c>
    </row>
    <row r="6849" spans="1:1" x14ac:dyDescent="0.2">
      <c r="A6849">
        <v>7037</v>
      </c>
    </row>
    <row r="6850" spans="1:1" x14ac:dyDescent="0.2">
      <c r="A6850">
        <v>7038</v>
      </c>
    </row>
    <row r="6851" spans="1:1" x14ac:dyDescent="0.2">
      <c r="A6851">
        <v>7039</v>
      </c>
    </row>
    <row r="6852" spans="1:1" x14ac:dyDescent="0.2">
      <c r="A6852">
        <v>7040</v>
      </c>
    </row>
    <row r="6853" spans="1:1" x14ac:dyDescent="0.2">
      <c r="A6853">
        <v>7041</v>
      </c>
    </row>
    <row r="6854" spans="1:1" x14ac:dyDescent="0.2">
      <c r="A6854">
        <v>7042</v>
      </c>
    </row>
    <row r="6855" spans="1:1" x14ac:dyDescent="0.2">
      <c r="A6855">
        <v>7043</v>
      </c>
    </row>
    <row r="6856" spans="1:1" x14ac:dyDescent="0.2">
      <c r="A6856">
        <v>7044</v>
      </c>
    </row>
    <row r="6857" spans="1:1" x14ac:dyDescent="0.2">
      <c r="A6857">
        <v>7045</v>
      </c>
    </row>
    <row r="6858" spans="1:1" x14ac:dyDescent="0.2">
      <c r="A6858">
        <v>7046</v>
      </c>
    </row>
    <row r="6859" spans="1:1" x14ac:dyDescent="0.2">
      <c r="A6859">
        <v>7047</v>
      </c>
    </row>
    <row r="6860" spans="1:1" x14ac:dyDescent="0.2">
      <c r="A6860">
        <v>7048</v>
      </c>
    </row>
    <row r="6861" spans="1:1" x14ac:dyDescent="0.2">
      <c r="A6861">
        <v>7049</v>
      </c>
    </row>
    <row r="6862" spans="1:1" x14ac:dyDescent="0.2">
      <c r="A6862">
        <v>7050</v>
      </c>
    </row>
    <row r="6863" spans="1:1" x14ac:dyDescent="0.2">
      <c r="A6863">
        <v>7051</v>
      </c>
    </row>
    <row r="6864" spans="1:1" x14ac:dyDescent="0.2">
      <c r="A6864">
        <v>7052</v>
      </c>
    </row>
    <row r="6865" spans="1:1" x14ac:dyDescent="0.2">
      <c r="A6865">
        <v>7053</v>
      </c>
    </row>
    <row r="6866" spans="1:1" x14ac:dyDescent="0.2">
      <c r="A6866">
        <v>7054</v>
      </c>
    </row>
    <row r="6867" spans="1:1" x14ac:dyDescent="0.2">
      <c r="A6867">
        <v>7055</v>
      </c>
    </row>
    <row r="6868" spans="1:1" x14ac:dyDescent="0.2">
      <c r="A6868">
        <v>7056</v>
      </c>
    </row>
    <row r="6869" spans="1:1" x14ac:dyDescent="0.2">
      <c r="A6869">
        <v>7057</v>
      </c>
    </row>
    <row r="6870" spans="1:1" x14ac:dyDescent="0.2">
      <c r="A6870">
        <v>7058</v>
      </c>
    </row>
    <row r="6871" spans="1:1" x14ac:dyDescent="0.2">
      <c r="A6871">
        <v>7059</v>
      </c>
    </row>
    <row r="6872" spans="1:1" x14ac:dyDescent="0.2">
      <c r="A6872">
        <v>7060</v>
      </c>
    </row>
    <row r="6873" spans="1:1" x14ac:dyDescent="0.2">
      <c r="A6873">
        <v>7061</v>
      </c>
    </row>
    <row r="6874" spans="1:1" x14ac:dyDescent="0.2">
      <c r="A6874">
        <v>7062</v>
      </c>
    </row>
    <row r="6875" spans="1:1" x14ac:dyDescent="0.2">
      <c r="A6875">
        <v>7063</v>
      </c>
    </row>
    <row r="6876" spans="1:1" x14ac:dyDescent="0.2">
      <c r="A6876">
        <v>7064</v>
      </c>
    </row>
    <row r="6877" spans="1:1" x14ac:dyDescent="0.2">
      <c r="A6877">
        <v>7065</v>
      </c>
    </row>
    <row r="6878" spans="1:1" x14ac:dyDescent="0.2">
      <c r="A6878">
        <v>7066</v>
      </c>
    </row>
    <row r="6879" spans="1:1" x14ac:dyDescent="0.2">
      <c r="A6879">
        <v>7067</v>
      </c>
    </row>
    <row r="6880" spans="1:1" x14ac:dyDescent="0.2">
      <c r="A6880">
        <v>7068</v>
      </c>
    </row>
    <row r="6881" spans="1:1" x14ac:dyDescent="0.2">
      <c r="A6881">
        <v>7069</v>
      </c>
    </row>
    <row r="6882" spans="1:1" x14ac:dyDescent="0.2">
      <c r="A6882">
        <v>7070</v>
      </c>
    </row>
    <row r="6883" spans="1:1" x14ac:dyDescent="0.2">
      <c r="A6883">
        <v>7071</v>
      </c>
    </row>
    <row r="6884" spans="1:1" x14ac:dyDescent="0.2">
      <c r="A6884">
        <v>7072</v>
      </c>
    </row>
    <row r="6885" spans="1:1" x14ac:dyDescent="0.2">
      <c r="A6885">
        <v>7073</v>
      </c>
    </row>
    <row r="6886" spans="1:1" x14ac:dyDescent="0.2">
      <c r="A6886">
        <v>7074</v>
      </c>
    </row>
    <row r="6887" spans="1:1" x14ac:dyDescent="0.2">
      <c r="A6887">
        <v>7075</v>
      </c>
    </row>
    <row r="6888" spans="1:1" x14ac:dyDescent="0.2">
      <c r="A6888">
        <v>7076</v>
      </c>
    </row>
    <row r="6889" spans="1:1" x14ac:dyDescent="0.2">
      <c r="A6889">
        <v>7077</v>
      </c>
    </row>
    <row r="6890" spans="1:1" x14ac:dyDescent="0.2">
      <c r="A6890">
        <v>7078</v>
      </c>
    </row>
    <row r="6891" spans="1:1" x14ac:dyDescent="0.2">
      <c r="A6891">
        <v>7079</v>
      </c>
    </row>
    <row r="6892" spans="1:1" x14ac:dyDescent="0.2">
      <c r="A6892">
        <v>7080</v>
      </c>
    </row>
    <row r="6893" spans="1:1" x14ac:dyDescent="0.2">
      <c r="A6893">
        <v>7081</v>
      </c>
    </row>
    <row r="6894" spans="1:1" x14ac:dyDescent="0.2">
      <c r="A6894">
        <v>7082</v>
      </c>
    </row>
    <row r="6895" spans="1:1" x14ac:dyDescent="0.2">
      <c r="A6895">
        <v>7083</v>
      </c>
    </row>
    <row r="6896" spans="1:1" x14ac:dyDescent="0.2">
      <c r="A6896">
        <v>7084</v>
      </c>
    </row>
    <row r="6897" spans="1:1" x14ac:dyDescent="0.2">
      <c r="A6897">
        <v>7085</v>
      </c>
    </row>
    <row r="6898" spans="1:1" x14ac:dyDescent="0.2">
      <c r="A6898">
        <v>7086</v>
      </c>
    </row>
    <row r="6899" spans="1:1" x14ac:dyDescent="0.2">
      <c r="A6899">
        <v>7087</v>
      </c>
    </row>
    <row r="6900" spans="1:1" x14ac:dyDescent="0.2">
      <c r="A6900">
        <v>7088</v>
      </c>
    </row>
    <row r="6901" spans="1:1" x14ac:dyDescent="0.2">
      <c r="A6901">
        <v>7089</v>
      </c>
    </row>
    <row r="6902" spans="1:1" x14ac:dyDescent="0.2">
      <c r="A6902">
        <v>7090</v>
      </c>
    </row>
    <row r="6903" spans="1:1" x14ac:dyDescent="0.2">
      <c r="A6903">
        <v>7091</v>
      </c>
    </row>
    <row r="6904" spans="1:1" x14ac:dyDescent="0.2">
      <c r="A6904">
        <v>7092</v>
      </c>
    </row>
    <row r="6905" spans="1:1" x14ac:dyDescent="0.2">
      <c r="A6905">
        <v>7093</v>
      </c>
    </row>
    <row r="6906" spans="1:1" x14ac:dyDescent="0.2">
      <c r="A6906">
        <v>7094</v>
      </c>
    </row>
    <row r="6907" spans="1:1" x14ac:dyDescent="0.2">
      <c r="A6907">
        <v>7095</v>
      </c>
    </row>
    <row r="6908" spans="1:1" x14ac:dyDescent="0.2">
      <c r="A6908">
        <v>7096</v>
      </c>
    </row>
    <row r="6909" spans="1:1" x14ac:dyDescent="0.2">
      <c r="A6909">
        <v>7097</v>
      </c>
    </row>
    <row r="6910" spans="1:1" x14ac:dyDescent="0.2">
      <c r="A6910">
        <v>7098</v>
      </c>
    </row>
    <row r="6911" spans="1:1" x14ac:dyDescent="0.2">
      <c r="A6911">
        <v>7099</v>
      </c>
    </row>
    <row r="6912" spans="1:1" x14ac:dyDescent="0.2">
      <c r="A6912">
        <v>7100</v>
      </c>
    </row>
    <row r="6913" spans="1:1" x14ac:dyDescent="0.2">
      <c r="A6913">
        <v>7101</v>
      </c>
    </row>
    <row r="6914" spans="1:1" x14ac:dyDescent="0.2">
      <c r="A6914">
        <v>7102</v>
      </c>
    </row>
    <row r="6915" spans="1:1" x14ac:dyDescent="0.2">
      <c r="A6915">
        <v>7103</v>
      </c>
    </row>
    <row r="6916" spans="1:1" x14ac:dyDescent="0.2">
      <c r="A6916">
        <v>7104</v>
      </c>
    </row>
    <row r="6917" spans="1:1" x14ac:dyDescent="0.2">
      <c r="A6917">
        <v>7105</v>
      </c>
    </row>
    <row r="6918" spans="1:1" x14ac:dyDescent="0.2">
      <c r="A6918">
        <v>7106</v>
      </c>
    </row>
    <row r="6919" spans="1:1" x14ac:dyDescent="0.2">
      <c r="A6919">
        <v>7107</v>
      </c>
    </row>
    <row r="6920" spans="1:1" x14ac:dyDescent="0.2">
      <c r="A6920">
        <v>7108</v>
      </c>
    </row>
    <row r="6921" spans="1:1" x14ac:dyDescent="0.2">
      <c r="A6921">
        <v>7109</v>
      </c>
    </row>
    <row r="6922" spans="1:1" x14ac:dyDescent="0.2">
      <c r="A6922">
        <v>7110</v>
      </c>
    </row>
    <row r="6923" spans="1:1" x14ac:dyDescent="0.2">
      <c r="A6923">
        <v>7111</v>
      </c>
    </row>
    <row r="6924" spans="1:1" x14ac:dyDescent="0.2">
      <c r="A6924">
        <v>7112</v>
      </c>
    </row>
    <row r="6925" spans="1:1" x14ac:dyDescent="0.2">
      <c r="A6925">
        <v>7113</v>
      </c>
    </row>
    <row r="6926" spans="1:1" x14ac:dyDescent="0.2">
      <c r="A6926">
        <v>7114</v>
      </c>
    </row>
    <row r="6927" spans="1:1" x14ac:dyDescent="0.2">
      <c r="A6927">
        <v>7115</v>
      </c>
    </row>
    <row r="6928" spans="1:1" x14ac:dyDescent="0.2">
      <c r="A6928">
        <v>7116</v>
      </c>
    </row>
    <row r="6929" spans="1:1" x14ac:dyDescent="0.2">
      <c r="A6929">
        <v>7117</v>
      </c>
    </row>
    <row r="6930" spans="1:1" x14ac:dyDescent="0.2">
      <c r="A6930">
        <v>7118</v>
      </c>
    </row>
    <row r="6931" spans="1:1" x14ac:dyDescent="0.2">
      <c r="A6931">
        <v>7119</v>
      </c>
    </row>
    <row r="6932" spans="1:1" x14ac:dyDescent="0.2">
      <c r="A6932">
        <v>7120</v>
      </c>
    </row>
    <row r="6933" spans="1:1" x14ac:dyDescent="0.2">
      <c r="A6933">
        <v>7121</v>
      </c>
    </row>
    <row r="6934" spans="1:1" x14ac:dyDescent="0.2">
      <c r="A6934">
        <v>7122</v>
      </c>
    </row>
    <row r="6935" spans="1:1" x14ac:dyDescent="0.2">
      <c r="A6935">
        <v>7123</v>
      </c>
    </row>
    <row r="6936" spans="1:1" x14ac:dyDescent="0.2">
      <c r="A6936">
        <v>7124</v>
      </c>
    </row>
    <row r="6937" spans="1:1" x14ac:dyDescent="0.2">
      <c r="A6937">
        <v>7125</v>
      </c>
    </row>
    <row r="6938" spans="1:1" x14ac:dyDescent="0.2">
      <c r="A6938">
        <v>7126</v>
      </c>
    </row>
    <row r="6939" spans="1:1" x14ac:dyDescent="0.2">
      <c r="A6939">
        <v>7127</v>
      </c>
    </row>
    <row r="6940" spans="1:1" x14ac:dyDescent="0.2">
      <c r="A6940">
        <v>7128</v>
      </c>
    </row>
    <row r="6941" spans="1:1" x14ac:dyDescent="0.2">
      <c r="A6941">
        <v>7129</v>
      </c>
    </row>
    <row r="6942" spans="1:1" x14ac:dyDescent="0.2">
      <c r="A6942">
        <v>7130</v>
      </c>
    </row>
    <row r="6943" spans="1:1" x14ac:dyDescent="0.2">
      <c r="A6943">
        <v>7131</v>
      </c>
    </row>
    <row r="6944" spans="1:1" x14ac:dyDescent="0.2">
      <c r="A6944">
        <v>7132</v>
      </c>
    </row>
    <row r="6945" spans="1:1" x14ac:dyDescent="0.2">
      <c r="A6945">
        <v>7133</v>
      </c>
    </row>
    <row r="6946" spans="1:1" x14ac:dyDescent="0.2">
      <c r="A6946">
        <v>7134</v>
      </c>
    </row>
    <row r="6947" spans="1:1" x14ac:dyDescent="0.2">
      <c r="A6947">
        <v>7135</v>
      </c>
    </row>
    <row r="6948" spans="1:1" x14ac:dyDescent="0.2">
      <c r="A6948">
        <v>7136</v>
      </c>
    </row>
    <row r="6949" spans="1:1" x14ac:dyDescent="0.2">
      <c r="A6949">
        <v>7137</v>
      </c>
    </row>
    <row r="6950" spans="1:1" x14ac:dyDescent="0.2">
      <c r="A6950">
        <v>7138</v>
      </c>
    </row>
    <row r="6951" spans="1:1" x14ac:dyDescent="0.2">
      <c r="A6951">
        <v>7139</v>
      </c>
    </row>
    <row r="6952" spans="1:1" x14ac:dyDescent="0.2">
      <c r="A6952">
        <v>7140</v>
      </c>
    </row>
    <row r="6953" spans="1:1" x14ac:dyDescent="0.2">
      <c r="A6953">
        <v>7141</v>
      </c>
    </row>
    <row r="6954" spans="1:1" x14ac:dyDescent="0.2">
      <c r="A6954">
        <v>7142</v>
      </c>
    </row>
    <row r="6955" spans="1:1" x14ac:dyDescent="0.2">
      <c r="A6955">
        <v>7143</v>
      </c>
    </row>
    <row r="6956" spans="1:1" x14ac:dyDescent="0.2">
      <c r="A6956">
        <v>7144</v>
      </c>
    </row>
    <row r="6957" spans="1:1" x14ac:dyDescent="0.2">
      <c r="A6957">
        <v>7145</v>
      </c>
    </row>
    <row r="6958" spans="1:1" x14ac:dyDescent="0.2">
      <c r="A6958">
        <v>7146</v>
      </c>
    </row>
    <row r="6959" spans="1:1" x14ac:dyDescent="0.2">
      <c r="A6959">
        <v>7147</v>
      </c>
    </row>
    <row r="6960" spans="1:1" x14ac:dyDescent="0.2">
      <c r="A6960">
        <v>7148</v>
      </c>
    </row>
    <row r="6961" spans="1:1" x14ac:dyDescent="0.2">
      <c r="A6961">
        <v>7149</v>
      </c>
    </row>
    <row r="6962" spans="1:1" x14ac:dyDescent="0.2">
      <c r="A6962">
        <v>7150</v>
      </c>
    </row>
    <row r="6963" spans="1:1" x14ac:dyDescent="0.2">
      <c r="A6963">
        <v>7151</v>
      </c>
    </row>
    <row r="6964" spans="1:1" x14ac:dyDescent="0.2">
      <c r="A6964">
        <v>7152</v>
      </c>
    </row>
    <row r="6965" spans="1:1" x14ac:dyDescent="0.2">
      <c r="A6965">
        <v>7153</v>
      </c>
    </row>
    <row r="6966" spans="1:1" x14ac:dyDescent="0.2">
      <c r="A6966">
        <v>7154</v>
      </c>
    </row>
    <row r="6967" spans="1:1" x14ac:dyDescent="0.2">
      <c r="A6967">
        <v>7155</v>
      </c>
    </row>
    <row r="6968" spans="1:1" x14ac:dyDescent="0.2">
      <c r="A6968">
        <v>7156</v>
      </c>
    </row>
    <row r="6969" spans="1:1" x14ac:dyDescent="0.2">
      <c r="A6969">
        <v>7157</v>
      </c>
    </row>
    <row r="6970" spans="1:1" x14ac:dyDescent="0.2">
      <c r="A6970">
        <v>7158</v>
      </c>
    </row>
    <row r="6971" spans="1:1" x14ac:dyDescent="0.2">
      <c r="A6971">
        <v>7159</v>
      </c>
    </row>
    <row r="6972" spans="1:1" x14ac:dyDescent="0.2">
      <c r="A6972">
        <v>7160</v>
      </c>
    </row>
    <row r="6973" spans="1:1" x14ac:dyDescent="0.2">
      <c r="A6973">
        <v>7161</v>
      </c>
    </row>
    <row r="6974" spans="1:1" x14ac:dyDescent="0.2">
      <c r="A6974">
        <v>7162</v>
      </c>
    </row>
    <row r="6975" spans="1:1" x14ac:dyDescent="0.2">
      <c r="A6975">
        <v>7163</v>
      </c>
    </row>
    <row r="6976" spans="1:1" x14ac:dyDescent="0.2">
      <c r="A6976">
        <v>7164</v>
      </c>
    </row>
    <row r="6977" spans="1:1" x14ac:dyDescent="0.2">
      <c r="A6977">
        <v>7165</v>
      </c>
    </row>
    <row r="6978" spans="1:1" x14ac:dyDescent="0.2">
      <c r="A6978">
        <v>7166</v>
      </c>
    </row>
    <row r="6979" spans="1:1" x14ac:dyDescent="0.2">
      <c r="A6979">
        <v>7167</v>
      </c>
    </row>
    <row r="6980" spans="1:1" x14ac:dyDescent="0.2">
      <c r="A6980">
        <v>7168</v>
      </c>
    </row>
    <row r="6981" spans="1:1" x14ac:dyDescent="0.2">
      <c r="A6981">
        <v>7169</v>
      </c>
    </row>
    <row r="6982" spans="1:1" x14ac:dyDescent="0.2">
      <c r="A6982">
        <v>7170</v>
      </c>
    </row>
    <row r="6983" spans="1:1" x14ac:dyDescent="0.2">
      <c r="A6983">
        <v>7171</v>
      </c>
    </row>
    <row r="6984" spans="1:1" x14ac:dyDescent="0.2">
      <c r="A6984">
        <v>7172</v>
      </c>
    </row>
    <row r="6985" spans="1:1" x14ac:dyDescent="0.2">
      <c r="A6985">
        <v>7173</v>
      </c>
    </row>
    <row r="6986" spans="1:1" x14ac:dyDescent="0.2">
      <c r="A6986">
        <v>7174</v>
      </c>
    </row>
    <row r="6987" spans="1:1" x14ac:dyDescent="0.2">
      <c r="A6987">
        <v>7175</v>
      </c>
    </row>
    <row r="6988" spans="1:1" x14ac:dyDescent="0.2">
      <c r="A6988">
        <v>7176</v>
      </c>
    </row>
    <row r="6989" spans="1:1" x14ac:dyDescent="0.2">
      <c r="A6989">
        <v>7177</v>
      </c>
    </row>
    <row r="6990" spans="1:1" x14ac:dyDescent="0.2">
      <c r="A6990">
        <v>7178</v>
      </c>
    </row>
    <row r="6991" spans="1:1" x14ac:dyDescent="0.2">
      <c r="A6991">
        <v>7179</v>
      </c>
    </row>
    <row r="6992" spans="1:1" x14ac:dyDescent="0.2">
      <c r="A6992">
        <v>7180</v>
      </c>
    </row>
    <row r="6993" spans="1:1" x14ac:dyDescent="0.2">
      <c r="A6993">
        <v>7181</v>
      </c>
    </row>
    <row r="6994" spans="1:1" x14ac:dyDescent="0.2">
      <c r="A6994">
        <v>7182</v>
      </c>
    </row>
    <row r="6995" spans="1:1" x14ac:dyDescent="0.2">
      <c r="A6995">
        <v>7183</v>
      </c>
    </row>
    <row r="6996" spans="1:1" x14ac:dyDescent="0.2">
      <c r="A6996">
        <v>7184</v>
      </c>
    </row>
    <row r="6997" spans="1:1" x14ac:dyDescent="0.2">
      <c r="A6997">
        <v>7185</v>
      </c>
    </row>
    <row r="6998" spans="1:1" x14ac:dyDescent="0.2">
      <c r="A6998">
        <v>7186</v>
      </c>
    </row>
    <row r="6999" spans="1:1" x14ac:dyDescent="0.2">
      <c r="A6999">
        <v>7187</v>
      </c>
    </row>
    <row r="7000" spans="1:1" x14ac:dyDescent="0.2">
      <c r="A7000">
        <v>7188</v>
      </c>
    </row>
    <row r="7001" spans="1:1" x14ac:dyDescent="0.2">
      <c r="A7001">
        <v>7189</v>
      </c>
    </row>
    <row r="7002" spans="1:1" x14ac:dyDescent="0.2">
      <c r="A7002">
        <v>7190</v>
      </c>
    </row>
    <row r="7003" spans="1:1" x14ac:dyDescent="0.2">
      <c r="A7003">
        <v>7191</v>
      </c>
    </row>
    <row r="7004" spans="1:1" x14ac:dyDescent="0.2">
      <c r="A7004">
        <v>7192</v>
      </c>
    </row>
    <row r="7005" spans="1:1" x14ac:dyDescent="0.2">
      <c r="A7005">
        <v>7193</v>
      </c>
    </row>
    <row r="7006" spans="1:1" x14ac:dyDescent="0.2">
      <c r="A7006">
        <v>7194</v>
      </c>
    </row>
    <row r="7007" spans="1:1" x14ac:dyDescent="0.2">
      <c r="A7007">
        <v>7195</v>
      </c>
    </row>
    <row r="7008" spans="1:1" x14ac:dyDescent="0.2">
      <c r="A7008">
        <v>7196</v>
      </c>
    </row>
    <row r="7009" spans="1:1" x14ac:dyDescent="0.2">
      <c r="A7009">
        <v>7197</v>
      </c>
    </row>
    <row r="7010" spans="1:1" x14ac:dyDescent="0.2">
      <c r="A7010">
        <v>7198</v>
      </c>
    </row>
    <row r="7011" spans="1:1" x14ac:dyDescent="0.2">
      <c r="A7011">
        <v>7199</v>
      </c>
    </row>
    <row r="7012" spans="1:1" x14ac:dyDescent="0.2">
      <c r="A7012">
        <v>7200</v>
      </c>
    </row>
    <row r="7013" spans="1:1" x14ac:dyDescent="0.2">
      <c r="A7013">
        <v>7201</v>
      </c>
    </row>
    <row r="7014" spans="1:1" x14ac:dyDescent="0.2">
      <c r="A7014">
        <v>7202</v>
      </c>
    </row>
    <row r="7015" spans="1:1" x14ac:dyDescent="0.2">
      <c r="A7015">
        <v>7203</v>
      </c>
    </row>
    <row r="7016" spans="1:1" x14ac:dyDescent="0.2">
      <c r="A7016">
        <v>7204</v>
      </c>
    </row>
    <row r="7017" spans="1:1" x14ac:dyDescent="0.2">
      <c r="A7017">
        <v>7205</v>
      </c>
    </row>
    <row r="7018" spans="1:1" x14ac:dyDescent="0.2">
      <c r="A7018">
        <v>7206</v>
      </c>
    </row>
    <row r="7019" spans="1:1" x14ac:dyDescent="0.2">
      <c r="A7019">
        <v>7207</v>
      </c>
    </row>
    <row r="7020" spans="1:1" x14ac:dyDescent="0.2">
      <c r="A7020">
        <v>7208</v>
      </c>
    </row>
    <row r="7021" spans="1:1" x14ac:dyDescent="0.2">
      <c r="A7021">
        <v>7209</v>
      </c>
    </row>
    <row r="7022" spans="1:1" x14ac:dyDescent="0.2">
      <c r="A7022">
        <v>7210</v>
      </c>
    </row>
    <row r="7023" spans="1:1" x14ac:dyDescent="0.2">
      <c r="A7023">
        <v>7211</v>
      </c>
    </row>
    <row r="7024" spans="1:1" x14ac:dyDescent="0.2">
      <c r="A7024">
        <v>7212</v>
      </c>
    </row>
    <row r="7025" spans="1:1" x14ac:dyDescent="0.2">
      <c r="A7025">
        <v>7213</v>
      </c>
    </row>
    <row r="7026" spans="1:1" x14ac:dyDescent="0.2">
      <c r="A7026">
        <v>7214</v>
      </c>
    </row>
    <row r="7027" spans="1:1" x14ac:dyDescent="0.2">
      <c r="A7027">
        <v>7215</v>
      </c>
    </row>
    <row r="7028" spans="1:1" x14ac:dyDescent="0.2">
      <c r="A7028">
        <v>7216</v>
      </c>
    </row>
    <row r="7029" spans="1:1" x14ac:dyDescent="0.2">
      <c r="A7029">
        <v>7217</v>
      </c>
    </row>
    <row r="7030" spans="1:1" x14ac:dyDescent="0.2">
      <c r="A7030">
        <v>7218</v>
      </c>
    </row>
    <row r="7031" spans="1:1" x14ac:dyDescent="0.2">
      <c r="A7031">
        <v>7219</v>
      </c>
    </row>
    <row r="7032" spans="1:1" x14ac:dyDescent="0.2">
      <c r="A7032">
        <v>7220</v>
      </c>
    </row>
    <row r="7033" spans="1:1" x14ac:dyDescent="0.2">
      <c r="A7033">
        <v>7221</v>
      </c>
    </row>
    <row r="7034" spans="1:1" x14ac:dyDescent="0.2">
      <c r="A7034">
        <v>7222</v>
      </c>
    </row>
    <row r="7035" spans="1:1" x14ac:dyDescent="0.2">
      <c r="A7035">
        <v>7223</v>
      </c>
    </row>
    <row r="7036" spans="1:1" x14ac:dyDescent="0.2">
      <c r="A7036">
        <v>7224</v>
      </c>
    </row>
    <row r="7037" spans="1:1" x14ac:dyDescent="0.2">
      <c r="A7037">
        <v>7225</v>
      </c>
    </row>
    <row r="7038" spans="1:1" x14ac:dyDescent="0.2">
      <c r="A7038">
        <v>7226</v>
      </c>
    </row>
    <row r="7039" spans="1:1" x14ac:dyDescent="0.2">
      <c r="A7039">
        <v>7227</v>
      </c>
    </row>
    <row r="7040" spans="1:1" x14ac:dyDescent="0.2">
      <c r="A7040">
        <v>7228</v>
      </c>
    </row>
    <row r="7041" spans="1:1" x14ac:dyDescent="0.2">
      <c r="A7041">
        <v>7229</v>
      </c>
    </row>
    <row r="7042" spans="1:1" x14ac:dyDescent="0.2">
      <c r="A7042">
        <v>7230</v>
      </c>
    </row>
    <row r="7043" spans="1:1" x14ac:dyDescent="0.2">
      <c r="A7043">
        <v>7231</v>
      </c>
    </row>
    <row r="7044" spans="1:1" x14ac:dyDescent="0.2">
      <c r="A7044">
        <v>7232</v>
      </c>
    </row>
    <row r="7045" spans="1:1" x14ac:dyDescent="0.2">
      <c r="A7045">
        <v>7233</v>
      </c>
    </row>
    <row r="7046" spans="1:1" x14ac:dyDescent="0.2">
      <c r="A7046">
        <v>7234</v>
      </c>
    </row>
    <row r="7047" spans="1:1" x14ac:dyDescent="0.2">
      <c r="A7047">
        <v>7235</v>
      </c>
    </row>
    <row r="7048" spans="1:1" x14ac:dyDescent="0.2">
      <c r="A7048">
        <v>7236</v>
      </c>
    </row>
    <row r="7049" spans="1:1" x14ac:dyDescent="0.2">
      <c r="A7049">
        <v>7237</v>
      </c>
    </row>
    <row r="7050" spans="1:1" x14ac:dyDescent="0.2">
      <c r="A7050">
        <v>7238</v>
      </c>
    </row>
    <row r="7051" spans="1:1" x14ac:dyDescent="0.2">
      <c r="A7051">
        <v>7239</v>
      </c>
    </row>
    <row r="7052" spans="1:1" x14ac:dyDescent="0.2">
      <c r="A7052">
        <v>7240</v>
      </c>
    </row>
    <row r="7053" spans="1:1" x14ac:dyDescent="0.2">
      <c r="A7053">
        <v>7241</v>
      </c>
    </row>
    <row r="7054" spans="1:1" x14ac:dyDescent="0.2">
      <c r="A7054">
        <v>7242</v>
      </c>
    </row>
    <row r="7055" spans="1:1" x14ac:dyDescent="0.2">
      <c r="A7055">
        <v>7243</v>
      </c>
    </row>
    <row r="7056" spans="1:1" x14ac:dyDescent="0.2">
      <c r="A7056">
        <v>7244</v>
      </c>
    </row>
    <row r="7057" spans="1:1" x14ac:dyDescent="0.2">
      <c r="A7057">
        <v>7245</v>
      </c>
    </row>
    <row r="7058" spans="1:1" x14ac:dyDescent="0.2">
      <c r="A7058">
        <v>7246</v>
      </c>
    </row>
    <row r="7059" spans="1:1" x14ac:dyDescent="0.2">
      <c r="A7059">
        <v>7247</v>
      </c>
    </row>
    <row r="7060" spans="1:1" x14ac:dyDescent="0.2">
      <c r="A7060">
        <v>7248</v>
      </c>
    </row>
    <row r="7061" spans="1:1" x14ac:dyDescent="0.2">
      <c r="A7061">
        <v>7249</v>
      </c>
    </row>
    <row r="7062" spans="1:1" x14ac:dyDescent="0.2">
      <c r="A7062">
        <v>7250</v>
      </c>
    </row>
    <row r="7063" spans="1:1" x14ac:dyDescent="0.2">
      <c r="A7063">
        <v>7251</v>
      </c>
    </row>
    <row r="7064" spans="1:1" x14ac:dyDescent="0.2">
      <c r="A7064">
        <v>7252</v>
      </c>
    </row>
    <row r="7065" spans="1:1" x14ac:dyDescent="0.2">
      <c r="A7065">
        <v>7253</v>
      </c>
    </row>
    <row r="7066" spans="1:1" x14ac:dyDescent="0.2">
      <c r="A7066">
        <v>7254</v>
      </c>
    </row>
    <row r="7067" spans="1:1" x14ac:dyDescent="0.2">
      <c r="A7067">
        <v>7255</v>
      </c>
    </row>
    <row r="7068" spans="1:1" x14ac:dyDescent="0.2">
      <c r="A7068">
        <v>7256</v>
      </c>
    </row>
    <row r="7069" spans="1:1" x14ac:dyDescent="0.2">
      <c r="A7069">
        <v>7257</v>
      </c>
    </row>
    <row r="7070" spans="1:1" x14ac:dyDescent="0.2">
      <c r="A7070">
        <v>7258</v>
      </c>
    </row>
    <row r="7071" spans="1:1" x14ac:dyDescent="0.2">
      <c r="A7071">
        <v>7259</v>
      </c>
    </row>
    <row r="7072" spans="1:1" x14ac:dyDescent="0.2">
      <c r="A7072">
        <v>7260</v>
      </c>
    </row>
    <row r="7073" spans="1:1" x14ac:dyDescent="0.2">
      <c r="A7073">
        <v>7261</v>
      </c>
    </row>
    <row r="7074" spans="1:1" x14ac:dyDescent="0.2">
      <c r="A7074">
        <v>7262</v>
      </c>
    </row>
    <row r="7075" spans="1:1" x14ac:dyDescent="0.2">
      <c r="A7075">
        <v>7263</v>
      </c>
    </row>
    <row r="7076" spans="1:1" x14ac:dyDescent="0.2">
      <c r="A7076">
        <v>7264</v>
      </c>
    </row>
    <row r="7077" spans="1:1" x14ac:dyDescent="0.2">
      <c r="A7077">
        <v>7265</v>
      </c>
    </row>
    <row r="7078" spans="1:1" x14ac:dyDescent="0.2">
      <c r="A7078">
        <v>7266</v>
      </c>
    </row>
    <row r="7079" spans="1:1" x14ac:dyDescent="0.2">
      <c r="A7079">
        <v>7267</v>
      </c>
    </row>
    <row r="7080" spans="1:1" x14ac:dyDescent="0.2">
      <c r="A7080">
        <v>7268</v>
      </c>
    </row>
    <row r="7081" spans="1:1" x14ac:dyDescent="0.2">
      <c r="A7081">
        <v>7269</v>
      </c>
    </row>
    <row r="7082" spans="1:1" x14ac:dyDescent="0.2">
      <c r="A7082">
        <v>7270</v>
      </c>
    </row>
    <row r="7083" spans="1:1" x14ac:dyDescent="0.2">
      <c r="A7083">
        <v>7271</v>
      </c>
    </row>
    <row r="7084" spans="1:1" x14ac:dyDescent="0.2">
      <c r="A7084">
        <v>7272</v>
      </c>
    </row>
    <row r="7085" spans="1:1" x14ac:dyDescent="0.2">
      <c r="A7085">
        <v>7273</v>
      </c>
    </row>
    <row r="7086" spans="1:1" x14ac:dyDescent="0.2">
      <c r="A7086">
        <v>7274</v>
      </c>
    </row>
    <row r="7087" spans="1:1" x14ac:dyDescent="0.2">
      <c r="A7087">
        <v>7275</v>
      </c>
    </row>
    <row r="7088" spans="1:1" x14ac:dyDescent="0.2">
      <c r="A7088">
        <v>7276</v>
      </c>
    </row>
    <row r="7089" spans="1:1" x14ac:dyDescent="0.2">
      <c r="A7089">
        <v>7277</v>
      </c>
    </row>
    <row r="7090" spans="1:1" x14ac:dyDescent="0.2">
      <c r="A7090">
        <v>7278</v>
      </c>
    </row>
    <row r="7091" spans="1:1" x14ac:dyDescent="0.2">
      <c r="A7091">
        <v>7279</v>
      </c>
    </row>
    <row r="7092" spans="1:1" x14ac:dyDescent="0.2">
      <c r="A7092">
        <v>7280</v>
      </c>
    </row>
    <row r="7093" spans="1:1" x14ac:dyDescent="0.2">
      <c r="A7093">
        <v>7281</v>
      </c>
    </row>
    <row r="7094" spans="1:1" x14ac:dyDescent="0.2">
      <c r="A7094">
        <v>7282</v>
      </c>
    </row>
    <row r="7095" spans="1:1" x14ac:dyDescent="0.2">
      <c r="A7095">
        <v>7283</v>
      </c>
    </row>
    <row r="7096" spans="1:1" x14ac:dyDescent="0.2">
      <c r="A7096">
        <v>7284</v>
      </c>
    </row>
    <row r="7097" spans="1:1" x14ac:dyDescent="0.2">
      <c r="A7097">
        <v>7285</v>
      </c>
    </row>
    <row r="7098" spans="1:1" x14ac:dyDescent="0.2">
      <c r="A7098">
        <v>7286</v>
      </c>
    </row>
    <row r="7099" spans="1:1" x14ac:dyDescent="0.2">
      <c r="A7099">
        <v>7287</v>
      </c>
    </row>
    <row r="7100" spans="1:1" x14ac:dyDescent="0.2">
      <c r="A7100">
        <v>7288</v>
      </c>
    </row>
    <row r="7101" spans="1:1" x14ac:dyDescent="0.2">
      <c r="A7101">
        <v>7289</v>
      </c>
    </row>
    <row r="7102" spans="1:1" x14ac:dyDescent="0.2">
      <c r="A7102">
        <v>7290</v>
      </c>
    </row>
    <row r="7103" spans="1:1" x14ac:dyDescent="0.2">
      <c r="A7103">
        <v>7291</v>
      </c>
    </row>
    <row r="7104" spans="1:1" x14ac:dyDescent="0.2">
      <c r="A7104">
        <v>7292</v>
      </c>
    </row>
    <row r="7105" spans="1:1" x14ac:dyDescent="0.2">
      <c r="A7105">
        <v>7293</v>
      </c>
    </row>
    <row r="7106" spans="1:1" x14ac:dyDescent="0.2">
      <c r="A7106">
        <v>7294</v>
      </c>
    </row>
    <row r="7107" spans="1:1" x14ac:dyDescent="0.2">
      <c r="A7107">
        <v>7295</v>
      </c>
    </row>
    <row r="7108" spans="1:1" x14ac:dyDescent="0.2">
      <c r="A7108">
        <v>7296</v>
      </c>
    </row>
    <row r="7109" spans="1:1" x14ac:dyDescent="0.2">
      <c r="A7109">
        <v>7297</v>
      </c>
    </row>
    <row r="7110" spans="1:1" x14ac:dyDescent="0.2">
      <c r="A7110">
        <v>7298</v>
      </c>
    </row>
    <row r="7111" spans="1:1" x14ac:dyDescent="0.2">
      <c r="A7111">
        <v>7299</v>
      </c>
    </row>
    <row r="7112" spans="1:1" x14ac:dyDescent="0.2">
      <c r="A7112">
        <v>7300</v>
      </c>
    </row>
    <row r="7113" spans="1:1" x14ac:dyDescent="0.2">
      <c r="A7113">
        <v>7301</v>
      </c>
    </row>
    <row r="7114" spans="1:1" x14ac:dyDescent="0.2">
      <c r="A7114">
        <v>7302</v>
      </c>
    </row>
    <row r="7115" spans="1:1" x14ac:dyDescent="0.2">
      <c r="A7115">
        <v>7303</v>
      </c>
    </row>
    <row r="7116" spans="1:1" x14ac:dyDescent="0.2">
      <c r="A7116">
        <v>7304</v>
      </c>
    </row>
    <row r="7117" spans="1:1" x14ac:dyDescent="0.2">
      <c r="A7117">
        <v>7305</v>
      </c>
    </row>
    <row r="7118" spans="1:1" x14ac:dyDescent="0.2">
      <c r="A7118">
        <v>7306</v>
      </c>
    </row>
    <row r="7119" spans="1:1" x14ac:dyDescent="0.2">
      <c r="A7119">
        <v>7307</v>
      </c>
    </row>
    <row r="7120" spans="1:1" x14ac:dyDescent="0.2">
      <c r="A7120">
        <v>7308</v>
      </c>
    </row>
    <row r="7121" spans="1:1" x14ac:dyDescent="0.2">
      <c r="A7121">
        <v>7309</v>
      </c>
    </row>
    <row r="7122" spans="1:1" x14ac:dyDescent="0.2">
      <c r="A7122">
        <v>7310</v>
      </c>
    </row>
    <row r="7123" spans="1:1" x14ac:dyDescent="0.2">
      <c r="A7123">
        <v>7311</v>
      </c>
    </row>
    <row r="7124" spans="1:1" x14ac:dyDescent="0.2">
      <c r="A7124">
        <v>7312</v>
      </c>
    </row>
    <row r="7125" spans="1:1" x14ac:dyDescent="0.2">
      <c r="A7125">
        <v>7313</v>
      </c>
    </row>
    <row r="7126" spans="1:1" x14ac:dyDescent="0.2">
      <c r="A7126">
        <v>7314</v>
      </c>
    </row>
    <row r="7127" spans="1:1" x14ac:dyDescent="0.2">
      <c r="A7127">
        <v>7315</v>
      </c>
    </row>
    <row r="7128" spans="1:1" x14ac:dyDescent="0.2">
      <c r="A7128">
        <v>7316</v>
      </c>
    </row>
    <row r="7129" spans="1:1" x14ac:dyDescent="0.2">
      <c r="A7129">
        <v>7317</v>
      </c>
    </row>
    <row r="7130" spans="1:1" x14ac:dyDescent="0.2">
      <c r="A7130">
        <v>7318</v>
      </c>
    </row>
    <row r="7131" spans="1:1" x14ac:dyDescent="0.2">
      <c r="A7131">
        <v>7319</v>
      </c>
    </row>
    <row r="7132" spans="1:1" x14ac:dyDescent="0.2">
      <c r="A7132">
        <v>7320</v>
      </c>
    </row>
    <row r="7133" spans="1:1" x14ac:dyDescent="0.2">
      <c r="A7133">
        <v>7321</v>
      </c>
    </row>
    <row r="7134" spans="1:1" x14ac:dyDescent="0.2">
      <c r="A7134">
        <v>7322</v>
      </c>
    </row>
    <row r="7135" spans="1:1" x14ac:dyDescent="0.2">
      <c r="A7135">
        <v>7323</v>
      </c>
    </row>
    <row r="7136" spans="1:1" x14ac:dyDescent="0.2">
      <c r="A7136">
        <v>7324</v>
      </c>
    </row>
    <row r="7137" spans="1:1" x14ac:dyDescent="0.2">
      <c r="A7137">
        <v>7325</v>
      </c>
    </row>
    <row r="7138" spans="1:1" x14ac:dyDescent="0.2">
      <c r="A7138">
        <v>7326</v>
      </c>
    </row>
    <row r="7139" spans="1:1" x14ac:dyDescent="0.2">
      <c r="A7139">
        <v>7327</v>
      </c>
    </row>
    <row r="7140" spans="1:1" x14ac:dyDescent="0.2">
      <c r="A7140">
        <v>7328</v>
      </c>
    </row>
    <row r="7141" spans="1:1" x14ac:dyDescent="0.2">
      <c r="A7141">
        <v>7329</v>
      </c>
    </row>
    <row r="7142" spans="1:1" x14ac:dyDescent="0.2">
      <c r="A7142">
        <v>7330</v>
      </c>
    </row>
    <row r="7143" spans="1:1" x14ac:dyDescent="0.2">
      <c r="A7143">
        <v>7331</v>
      </c>
    </row>
    <row r="7144" spans="1:1" x14ac:dyDescent="0.2">
      <c r="A7144">
        <v>7332</v>
      </c>
    </row>
    <row r="7145" spans="1:1" x14ac:dyDescent="0.2">
      <c r="A7145">
        <v>7333</v>
      </c>
    </row>
    <row r="7146" spans="1:1" x14ac:dyDescent="0.2">
      <c r="A7146">
        <v>7334</v>
      </c>
    </row>
    <row r="7147" spans="1:1" x14ac:dyDescent="0.2">
      <c r="A7147">
        <v>7335</v>
      </c>
    </row>
    <row r="7148" spans="1:1" x14ac:dyDescent="0.2">
      <c r="A7148">
        <v>7336</v>
      </c>
    </row>
    <row r="7149" spans="1:1" x14ac:dyDescent="0.2">
      <c r="A7149">
        <v>7337</v>
      </c>
    </row>
    <row r="7150" spans="1:1" x14ac:dyDescent="0.2">
      <c r="A7150">
        <v>7338</v>
      </c>
    </row>
    <row r="7151" spans="1:1" x14ac:dyDescent="0.2">
      <c r="A7151">
        <v>7339</v>
      </c>
    </row>
    <row r="7152" spans="1:1" x14ac:dyDescent="0.2">
      <c r="A7152">
        <v>7340</v>
      </c>
    </row>
    <row r="7153" spans="1:1" x14ac:dyDescent="0.2">
      <c r="A7153">
        <v>7341</v>
      </c>
    </row>
    <row r="7154" spans="1:1" x14ac:dyDescent="0.2">
      <c r="A7154">
        <v>7342</v>
      </c>
    </row>
    <row r="7155" spans="1:1" x14ac:dyDescent="0.2">
      <c r="A7155">
        <v>7343</v>
      </c>
    </row>
    <row r="7156" spans="1:1" x14ac:dyDescent="0.2">
      <c r="A7156">
        <v>7344</v>
      </c>
    </row>
    <row r="7157" spans="1:1" x14ac:dyDescent="0.2">
      <c r="A7157">
        <v>7345</v>
      </c>
    </row>
    <row r="7158" spans="1:1" x14ac:dyDescent="0.2">
      <c r="A7158">
        <v>7346</v>
      </c>
    </row>
    <row r="7159" spans="1:1" x14ac:dyDescent="0.2">
      <c r="A7159">
        <v>7347</v>
      </c>
    </row>
    <row r="7160" spans="1:1" x14ac:dyDescent="0.2">
      <c r="A7160">
        <v>7348</v>
      </c>
    </row>
    <row r="7161" spans="1:1" x14ac:dyDescent="0.2">
      <c r="A7161">
        <v>7349</v>
      </c>
    </row>
    <row r="7162" spans="1:1" x14ac:dyDescent="0.2">
      <c r="A7162">
        <v>7350</v>
      </c>
    </row>
    <row r="7163" spans="1:1" x14ac:dyDescent="0.2">
      <c r="A7163">
        <v>7351</v>
      </c>
    </row>
    <row r="7164" spans="1:1" x14ac:dyDescent="0.2">
      <c r="A7164">
        <v>7352</v>
      </c>
    </row>
    <row r="7165" spans="1:1" x14ac:dyDescent="0.2">
      <c r="A7165">
        <v>7353</v>
      </c>
    </row>
    <row r="7166" spans="1:1" x14ac:dyDescent="0.2">
      <c r="A7166">
        <v>7354</v>
      </c>
    </row>
    <row r="7167" spans="1:1" x14ac:dyDescent="0.2">
      <c r="A7167">
        <v>7355</v>
      </c>
    </row>
    <row r="7168" spans="1:1" x14ac:dyDescent="0.2">
      <c r="A7168">
        <v>7356</v>
      </c>
    </row>
    <row r="7169" spans="1:1" x14ac:dyDescent="0.2">
      <c r="A7169">
        <v>7357</v>
      </c>
    </row>
    <row r="7170" spans="1:1" x14ac:dyDescent="0.2">
      <c r="A7170">
        <v>7358</v>
      </c>
    </row>
    <row r="7171" spans="1:1" x14ac:dyDescent="0.2">
      <c r="A7171">
        <v>7359</v>
      </c>
    </row>
    <row r="7172" spans="1:1" x14ac:dyDescent="0.2">
      <c r="A7172">
        <v>7360</v>
      </c>
    </row>
    <row r="7173" spans="1:1" x14ac:dyDescent="0.2">
      <c r="A7173">
        <v>7361</v>
      </c>
    </row>
    <row r="7174" spans="1:1" x14ac:dyDescent="0.2">
      <c r="A7174">
        <v>7362</v>
      </c>
    </row>
    <row r="7175" spans="1:1" x14ac:dyDescent="0.2">
      <c r="A7175">
        <v>7363</v>
      </c>
    </row>
    <row r="7176" spans="1:1" x14ac:dyDescent="0.2">
      <c r="A7176">
        <v>7364</v>
      </c>
    </row>
    <row r="7177" spans="1:1" x14ac:dyDescent="0.2">
      <c r="A7177">
        <v>7365</v>
      </c>
    </row>
    <row r="7178" spans="1:1" x14ac:dyDescent="0.2">
      <c r="A7178">
        <v>7366</v>
      </c>
    </row>
    <row r="7179" spans="1:1" x14ac:dyDescent="0.2">
      <c r="A7179">
        <v>7367</v>
      </c>
    </row>
    <row r="7180" spans="1:1" x14ac:dyDescent="0.2">
      <c r="A7180">
        <v>7368</v>
      </c>
    </row>
    <row r="7181" spans="1:1" x14ac:dyDescent="0.2">
      <c r="A7181">
        <v>7369</v>
      </c>
    </row>
    <row r="7182" spans="1:1" x14ac:dyDescent="0.2">
      <c r="A7182">
        <v>7370</v>
      </c>
    </row>
    <row r="7183" spans="1:1" x14ac:dyDescent="0.2">
      <c r="A7183">
        <v>7371</v>
      </c>
    </row>
    <row r="7184" spans="1:1" x14ac:dyDescent="0.2">
      <c r="A7184">
        <v>7372</v>
      </c>
    </row>
    <row r="7185" spans="1:1" x14ac:dyDescent="0.2">
      <c r="A7185">
        <v>7373</v>
      </c>
    </row>
    <row r="7186" spans="1:1" x14ac:dyDescent="0.2">
      <c r="A7186">
        <v>7374</v>
      </c>
    </row>
    <row r="7187" spans="1:1" x14ac:dyDescent="0.2">
      <c r="A7187">
        <v>7375</v>
      </c>
    </row>
    <row r="7188" spans="1:1" x14ac:dyDescent="0.2">
      <c r="A7188">
        <v>7376</v>
      </c>
    </row>
    <row r="7189" spans="1:1" x14ac:dyDescent="0.2">
      <c r="A7189">
        <v>7377</v>
      </c>
    </row>
    <row r="7190" spans="1:1" x14ac:dyDescent="0.2">
      <c r="A7190">
        <v>7378</v>
      </c>
    </row>
    <row r="7191" spans="1:1" x14ac:dyDescent="0.2">
      <c r="A7191">
        <v>7379</v>
      </c>
    </row>
    <row r="7192" spans="1:1" x14ac:dyDescent="0.2">
      <c r="A7192">
        <v>7380</v>
      </c>
    </row>
    <row r="7193" spans="1:1" x14ac:dyDescent="0.2">
      <c r="A7193">
        <v>7381</v>
      </c>
    </row>
    <row r="7194" spans="1:1" x14ac:dyDescent="0.2">
      <c r="A7194">
        <v>7382</v>
      </c>
    </row>
    <row r="7195" spans="1:1" x14ac:dyDescent="0.2">
      <c r="A7195">
        <v>7383</v>
      </c>
    </row>
    <row r="7196" spans="1:1" x14ac:dyDescent="0.2">
      <c r="A7196">
        <v>7384</v>
      </c>
    </row>
    <row r="7197" spans="1:1" x14ac:dyDescent="0.2">
      <c r="A7197">
        <v>7385</v>
      </c>
    </row>
    <row r="7198" spans="1:1" x14ac:dyDescent="0.2">
      <c r="A7198">
        <v>7386</v>
      </c>
    </row>
    <row r="7199" spans="1:1" x14ac:dyDescent="0.2">
      <c r="A7199">
        <v>7387</v>
      </c>
    </row>
    <row r="7200" spans="1:1" x14ac:dyDescent="0.2">
      <c r="A7200">
        <v>7388</v>
      </c>
    </row>
    <row r="7201" spans="1:1" x14ac:dyDescent="0.2">
      <c r="A7201">
        <v>7389</v>
      </c>
    </row>
    <row r="7202" spans="1:1" x14ac:dyDescent="0.2">
      <c r="A7202">
        <v>7390</v>
      </c>
    </row>
    <row r="7203" spans="1:1" x14ac:dyDescent="0.2">
      <c r="A7203">
        <v>7391</v>
      </c>
    </row>
    <row r="7204" spans="1:1" x14ac:dyDescent="0.2">
      <c r="A7204">
        <v>7392</v>
      </c>
    </row>
    <row r="7205" spans="1:1" x14ac:dyDescent="0.2">
      <c r="A7205">
        <v>7393</v>
      </c>
    </row>
    <row r="7206" spans="1:1" x14ac:dyDescent="0.2">
      <c r="A7206">
        <v>7394</v>
      </c>
    </row>
    <row r="7207" spans="1:1" x14ac:dyDescent="0.2">
      <c r="A7207">
        <v>7395</v>
      </c>
    </row>
    <row r="7208" spans="1:1" x14ac:dyDescent="0.2">
      <c r="A7208">
        <v>7396</v>
      </c>
    </row>
    <row r="7209" spans="1:1" x14ac:dyDescent="0.2">
      <c r="A7209">
        <v>7397</v>
      </c>
    </row>
    <row r="7210" spans="1:1" x14ac:dyDescent="0.2">
      <c r="A7210">
        <v>7398</v>
      </c>
    </row>
    <row r="7211" spans="1:1" x14ac:dyDescent="0.2">
      <c r="A7211">
        <v>7399</v>
      </c>
    </row>
    <row r="7212" spans="1:1" x14ac:dyDescent="0.2">
      <c r="A7212">
        <v>7400</v>
      </c>
    </row>
    <row r="7213" spans="1:1" x14ac:dyDescent="0.2">
      <c r="A7213">
        <v>7401</v>
      </c>
    </row>
    <row r="7214" spans="1:1" x14ac:dyDescent="0.2">
      <c r="A7214">
        <v>7402</v>
      </c>
    </row>
    <row r="7215" spans="1:1" x14ac:dyDescent="0.2">
      <c r="A7215">
        <v>7403</v>
      </c>
    </row>
    <row r="7216" spans="1:1" x14ac:dyDescent="0.2">
      <c r="A7216">
        <v>7404</v>
      </c>
    </row>
    <row r="7217" spans="1:1" x14ac:dyDescent="0.2">
      <c r="A7217">
        <v>7405</v>
      </c>
    </row>
    <row r="7218" spans="1:1" x14ac:dyDescent="0.2">
      <c r="A7218">
        <v>7406</v>
      </c>
    </row>
    <row r="7219" spans="1:1" x14ac:dyDescent="0.2">
      <c r="A7219">
        <v>7407</v>
      </c>
    </row>
    <row r="7220" spans="1:1" x14ac:dyDescent="0.2">
      <c r="A7220">
        <v>7408</v>
      </c>
    </row>
    <row r="7221" spans="1:1" x14ac:dyDescent="0.2">
      <c r="A7221">
        <v>7409</v>
      </c>
    </row>
    <row r="7222" spans="1:1" x14ac:dyDescent="0.2">
      <c r="A7222">
        <v>7410</v>
      </c>
    </row>
    <row r="7223" spans="1:1" x14ac:dyDescent="0.2">
      <c r="A7223">
        <v>7411</v>
      </c>
    </row>
    <row r="7224" spans="1:1" x14ac:dyDescent="0.2">
      <c r="A7224">
        <v>7412</v>
      </c>
    </row>
    <row r="7225" spans="1:1" x14ac:dyDescent="0.2">
      <c r="A7225">
        <v>7413</v>
      </c>
    </row>
    <row r="7226" spans="1:1" x14ac:dyDescent="0.2">
      <c r="A7226">
        <v>7414</v>
      </c>
    </row>
    <row r="7227" spans="1:1" x14ac:dyDescent="0.2">
      <c r="A7227">
        <v>7415</v>
      </c>
    </row>
    <row r="7228" spans="1:1" x14ac:dyDescent="0.2">
      <c r="A7228">
        <v>7416</v>
      </c>
    </row>
    <row r="7229" spans="1:1" x14ac:dyDescent="0.2">
      <c r="A7229">
        <v>7417</v>
      </c>
    </row>
    <row r="7230" spans="1:1" x14ac:dyDescent="0.2">
      <c r="A7230">
        <v>7418</v>
      </c>
    </row>
    <row r="7231" spans="1:1" x14ac:dyDescent="0.2">
      <c r="A7231">
        <v>7419</v>
      </c>
    </row>
    <row r="7232" spans="1:1" x14ac:dyDescent="0.2">
      <c r="A7232">
        <v>7420</v>
      </c>
    </row>
    <row r="7233" spans="1:1" x14ac:dyDescent="0.2">
      <c r="A7233">
        <v>7421</v>
      </c>
    </row>
    <row r="7234" spans="1:1" x14ac:dyDescent="0.2">
      <c r="A7234">
        <v>7422</v>
      </c>
    </row>
    <row r="7235" spans="1:1" x14ac:dyDescent="0.2">
      <c r="A7235">
        <v>7423</v>
      </c>
    </row>
    <row r="7236" spans="1:1" x14ac:dyDescent="0.2">
      <c r="A7236">
        <v>7424</v>
      </c>
    </row>
    <row r="7237" spans="1:1" x14ac:dyDescent="0.2">
      <c r="A7237">
        <v>7425</v>
      </c>
    </row>
    <row r="7238" spans="1:1" x14ac:dyDescent="0.2">
      <c r="A7238">
        <v>7426</v>
      </c>
    </row>
    <row r="7239" spans="1:1" x14ac:dyDescent="0.2">
      <c r="A7239">
        <v>7427</v>
      </c>
    </row>
    <row r="7240" spans="1:1" x14ac:dyDescent="0.2">
      <c r="A7240">
        <v>7428</v>
      </c>
    </row>
    <row r="7241" spans="1:1" x14ac:dyDescent="0.2">
      <c r="A7241">
        <v>7429</v>
      </c>
    </row>
    <row r="7242" spans="1:1" x14ac:dyDescent="0.2">
      <c r="A7242">
        <v>7430</v>
      </c>
    </row>
    <row r="7243" spans="1:1" x14ac:dyDescent="0.2">
      <c r="A7243">
        <v>7431</v>
      </c>
    </row>
    <row r="7244" spans="1:1" x14ac:dyDescent="0.2">
      <c r="A7244">
        <v>7432</v>
      </c>
    </row>
    <row r="7245" spans="1:1" x14ac:dyDescent="0.2">
      <c r="A7245">
        <v>7433</v>
      </c>
    </row>
    <row r="7246" spans="1:1" x14ac:dyDescent="0.2">
      <c r="A7246">
        <v>7434</v>
      </c>
    </row>
    <row r="7247" spans="1:1" x14ac:dyDescent="0.2">
      <c r="A7247">
        <v>7435</v>
      </c>
    </row>
    <row r="7248" spans="1:1" x14ac:dyDescent="0.2">
      <c r="A7248">
        <v>7436</v>
      </c>
    </row>
    <row r="7249" spans="1:1" x14ac:dyDescent="0.2">
      <c r="A7249">
        <v>7437</v>
      </c>
    </row>
    <row r="7250" spans="1:1" x14ac:dyDescent="0.2">
      <c r="A7250">
        <v>7438</v>
      </c>
    </row>
    <row r="7251" spans="1:1" x14ac:dyDescent="0.2">
      <c r="A7251">
        <v>7439</v>
      </c>
    </row>
    <row r="7252" spans="1:1" x14ac:dyDescent="0.2">
      <c r="A7252">
        <v>7440</v>
      </c>
    </row>
    <row r="7253" spans="1:1" x14ac:dyDescent="0.2">
      <c r="A7253">
        <v>7441</v>
      </c>
    </row>
    <row r="7254" spans="1:1" x14ac:dyDescent="0.2">
      <c r="A7254">
        <v>7442</v>
      </c>
    </row>
    <row r="7255" spans="1:1" x14ac:dyDescent="0.2">
      <c r="A7255">
        <v>7443</v>
      </c>
    </row>
    <row r="7256" spans="1:1" x14ac:dyDescent="0.2">
      <c r="A7256">
        <v>7444</v>
      </c>
    </row>
    <row r="7257" spans="1:1" x14ac:dyDescent="0.2">
      <c r="A7257">
        <v>7445</v>
      </c>
    </row>
    <row r="7258" spans="1:1" x14ac:dyDescent="0.2">
      <c r="A7258">
        <v>7446</v>
      </c>
    </row>
    <row r="7259" spans="1:1" x14ac:dyDescent="0.2">
      <c r="A7259">
        <v>7447</v>
      </c>
    </row>
    <row r="7260" spans="1:1" x14ac:dyDescent="0.2">
      <c r="A7260">
        <v>7448</v>
      </c>
    </row>
    <row r="7261" spans="1:1" x14ac:dyDescent="0.2">
      <c r="A7261">
        <v>7449</v>
      </c>
    </row>
    <row r="7262" spans="1:1" x14ac:dyDescent="0.2">
      <c r="A7262">
        <v>7450</v>
      </c>
    </row>
    <row r="7263" spans="1:1" x14ac:dyDescent="0.2">
      <c r="A7263">
        <v>7451</v>
      </c>
    </row>
    <row r="7264" spans="1:1" x14ac:dyDescent="0.2">
      <c r="A7264">
        <v>7452</v>
      </c>
    </row>
    <row r="7265" spans="1:1" x14ac:dyDescent="0.2">
      <c r="A7265">
        <v>7453</v>
      </c>
    </row>
    <row r="7266" spans="1:1" x14ac:dyDescent="0.2">
      <c r="A7266">
        <v>7454</v>
      </c>
    </row>
    <row r="7267" spans="1:1" x14ac:dyDescent="0.2">
      <c r="A7267">
        <v>7455</v>
      </c>
    </row>
    <row r="7268" spans="1:1" x14ac:dyDescent="0.2">
      <c r="A7268">
        <v>7456</v>
      </c>
    </row>
    <row r="7269" spans="1:1" x14ac:dyDescent="0.2">
      <c r="A7269">
        <v>7457</v>
      </c>
    </row>
    <row r="7270" spans="1:1" x14ac:dyDescent="0.2">
      <c r="A7270">
        <v>7458</v>
      </c>
    </row>
    <row r="7271" spans="1:1" x14ac:dyDescent="0.2">
      <c r="A7271">
        <v>7459</v>
      </c>
    </row>
    <row r="7272" spans="1:1" x14ac:dyDescent="0.2">
      <c r="A7272">
        <v>7460</v>
      </c>
    </row>
    <row r="7273" spans="1:1" x14ac:dyDescent="0.2">
      <c r="A7273">
        <v>7461</v>
      </c>
    </row>
    <row r="7274" spans="1:1" x14ac:dyDescent="0.2">
      <c r="A7274">
        <v>7462</v>
      </c>
    </row>
    <row r="7275" spans="1:1" x14ac:dyDescent="0.2">
      <c r="A7275">
        <v>7463</v>
      </c>
    </row>
    <row r="7276" spans="1:1" x14ac:dyDescent="0.2">
      <c r="A7276">
        <v>7464</v>
      </c>
    </row>
    <row r="7277" spans="1:1" x14ac:dyDescent="0.2">
      <c r="A7277">
        <v>7465</v>
      </c>
    </row>
    <row r="7278" spans="1:1" x14ac:dyDescent="0.2">
      <c r="A7278">
        <v>7466</v>
      </c>
    </row>
    <row r="7279" spans="1:1" x14ac:dyDescent="0.2">
      <c r="A7279">
        <v>7467</v>
      </c>
    </row>
    <row r="7280" spans="1:1" x14ac:dyDescent="0.2">
      <c r="A7280">
        <v>7468</v>
      </c>
    </row>
    <row r="7281" spans="1:1" x14ac:dyDescent="0.2">
      <c r="A7281">
        <v>7469</v>
      </c>
    </row>
    <row r="7282" spans="1:1" x14ac:dyDescent="0.2">
      <c r="A7282">
        <v>7470</v>
      </c>
    </row>
    <row r="7283" spans="1:1" x14ac:dyDescent="0.2">
      <c r="A7283">
        <v>7471</v>
      </c>
    </row>
    <row r="7284" spans="1:1" x14ac:dyDescent="0.2">
      <c r="A7284">
        <v>7472</v>
      </c>
    </row>
    <row r="7285" spans="1:1" x14ac:dyDescent="0.2">
      <c r="A7285">
        <v>7473</v>
      </c>
    </row>
    <row r="7286" spans="1:1" x14ac:dyDescent="0.2">
      <c r="A7286">
        <v>7474</v>
      </c>
    </row>
    <row r="7287" spans="1:1" x14ac:dyDescent="0.2">
      <c r="A7287">
        <v>7475</v>
      </c>
    </row>
    <row r="7288" spans="1:1" x14ac:dyDescent="0.2">
      <c r="A7288">
        <v>7476</v>
      </c>
    </row>
    <row r="7289" spans="1:1" x14ac:dyDescent="0.2">
      <c r="A7289">
        <v>7477</v>
      </c>
    </row>
    <row r="7290" spans="1:1" x14ac:dyDescent="0.2">
      <c r="A7290">
        <v>7478</v>
      </c>
    </row>
    <row r="7291" spans="1:1" x14ac:dyDescent="0.2">
      <c r="A7291">
        <v>7479</v>
      </c>
    </row>
    <row r="7292" spans="1:1" x14ac:dyDescent="0.2">
      <c r="A7292">
        <v>7480</v>
      </c>
    </row>
    <row r="7293" spans="1:1" x14ac:dyDescent="0.2">
      <c r="A7293">
        <v>7481</v>
      </c>
    </row>
    <row r="7294" spans="1:1" x14ac:dyDescent="0.2">
      <c r="A7294">
        <v>7482</v>
      </c>
    </row>
    <row r="7295" spans="1:1" x14ac:dyDescent="0.2">
      <c r="A7295">
        <v>7483</v>
      </c>
    </row>
    <row r="7296" spans="1:1" x14ac:dyDescent="0.2">
      <c r="A7296">
        <v>7484</v>
      </c>
    </row>
    <row r="7297" spans="1:1" x14ac:dyDescent="0.2">
      <c r="A7297">
        <v>7485</v>
      </c>
    </row>
    <row r="7298" spans="1:1" x14ac:dyDescent="0.2">
      <c r="A7298">
        <v>7486</v>
      </c>
    </row>
    <row r="7299" spans="1:1" x14ac:dyDescent="0.2">
      <c r="A7299">
        <v>7487</v>
      </c>
    </row>
    <row r="7300" spans="1:1" x14ac:dyDescent="0.2">
      <c r="A7300">
        <v>7488</v>
      </c>
    </row>
    <row r="7301" spans="1:1" x14ac:dyDescent="0.2">
      <c r="A7301">
        <v>7489</v>
      </c>
    </row>
    <row r="7302" spans="1:1" x14ac:dyDescent="0.2">
      <c r="A7302">
        <v>7490</v>
      </c>
    </row>
    <row r="7303" spans="1:1" x14ac:dyDescent="0.2">
      <c r="A7303">
        <v>7491</v>
      </c>
    </row>
    <row r="7304" spans="1:1" x14ac:dyDescent="0.2">
      <c r="A7304">
        <v>7492</v>
      </c>
    </row>
    <row r="7305" spans="1:1" x14ac:dyDescent="0.2">
      <c r="A7305">
        <v>7493</v>
      </c>
    </row>
    <row r="7306" spans="1:1" x14ac:dyDescent="0.2">
      <c r="A7306">
        <v>7494</v>
      </c>
    </row>
    <row r="7307" spans="1:1" x14ac:dyDescent="0.2">
      <c r="A7307">
        <v>7495</v>
      </c>
    </row>
    <row r="7308" spans="1:1" x14ac:dyDescent="0.2">
      <c r="A7308">
        <v>7496</v>
      </c>
    </row>
    <row r="7309" spans="1:1" x14ac:dyDescent="0.2">
      <c r="A7309">
        <v>7497</v>
      </c>
    </row>
    <row r="7310" spans="1:1" x14ac:dyDescent="0.2">
      <c r="A7310">
        <v>7498</v>
      </c>
    </row>
    <row r="7311" spans="1:1" x14ac:dyDescent="0.2">
      <c r="A7311">
        <v>7499</v>
      </c>
    </row>
    <row r="7312" spans="1:1" x14ac:dyDescent="0.2">
      <c r="A7312">
        <v>7500</v>
      </c>
    </row>
    <row r="7313" spans="1:1" x14ac:dyDescent="0.2">
      <c r="A7313">
        <v>7501</v>
      </c>
    </row>
    <row r="7314" spans="1:1" x14ac:dyDescent="0.2">
      <c r="A7314">
        <v>7502</v>
      </c>
    </row>
    <row r="7315" spans="1:1" x14ac:dyDescent="0.2">
      <c r="A7315">
        <v>7503</v>
      </c>
    </row>
    <row r="7316" spans="1:1" x14ac:dyDescent="0.2">
      <c r="A7316">
        <v>7504</v>
      </c>
    </row>
    <row r="7317" spans="1:1" x14ac:dyDescent="0.2">
      <c r="A7317">
        <v>7505</v>
      </c>
    </row>
    <row r="7318" spans="1:1" x14ac:dyDescent="0.2">
      <c r="A7318">
        <v>7506</v>
      </c>
    </row>
    <row r="7319" spans="1:1" x14ac:dyDescent="0.2">
      <c r="A7319">
        <v>7507</v>
      </c>
    </row>
    <row r="7320" spans="1:1" x14ac:dyDescent="0.2">
      <c r="A7320">
        <v>7508</v>
      </c>
    </row>
    <row r="7321" spans="1:1" x14ac:dyDescent="0.2">
      <c r="A7321">
        <v>7509</v>
      </c>
    </row>
    <row r="7322" spans="1:1" x14ac:dyDescent="0.2">
      <c r="A7322">
        <v>7510</v>
      </c>
    </row>
    <row r="7323" spans="1:1" x14ac:dyDescent="0.2">
      <c r="A7323">
        <v>7511</v>
      </c>
    </row>
    <row r="7324" spans="1:1" x14ac:dyDescent="0.2">
      <c r="A7324">
        <v>7512</v>
      </c>
    </row>
    <row r="7325" spans="1:1" x14ac:dyDescent="0.2">
      <c r="A7325">
        <v>7513</v>
      </c>
    </row>
    <row r="7326" spans="1:1" x14ac:dyDescent="0.2">
      <c r="A7326">
        <v>7514</v>
      </c>
    </row>
    <row r="7327" spans="1:1" x14ac:dyDescent="0.2">
      <c r="A7327">
        <v>7515</v>
      </c>
    </row>
    <row r="7328" spans="1:1" x14ac:dyDescent="0.2">
      <c r="A7328">
        <v>7516</v>
      </c>
    </row>
    <row r="7329" spans="1:1" x14ac:dyDescent="0.2">
      <c r="A7329">
        <v>7517</v>
      </c>
    </row>
    <row r="7330" spans="1:1" x14ac:dyDescent="0.2">
      <c r="A7330">
        <v>7518</v>
      </c>
    </row>
    <row r="7331" spans="1:1" x14ac:dyDescent="0.2">
      <c r="A7331">
        <v>7519</v>
      </c>
    </row>
    <row r="7332" spans="1:1" x14ac:dyDescent="0.2">
      <c r="A7332">
        <v>7520</v>
      </c>
    </row>
    <row r="7333" spans="1:1" x14ac:dyDescent="0.2">
      <c r="A7333">
        <v>7521</v>
      </c>
    </row>
    <row r="7334" spans="1:1" x14ac:dyDescent="0.2">
      <c r="A7334">
        <v>7522</v>
      </c>
    </row>
    <row r="7335" spans="1:1" x14ac:dyDescent="0.2">
      <c r="A7335">
        <v>7523</v>
      </c>
    </row>
    <row r="7336" spans="1:1" x14ac:dyDescent="0.2">
      <c r="A7336">
        <v>7524</v>
      </c>
    </row>
    <row r="7337" spans="1:1" x14ac:dyDescent="0.2">
      <c r="A7337">
        <v>7525</v>
      </c>
    </row>
    <row r="7338" spans="1:1" x14ac:dyDescent="0.2">
      <c r="A7338">
        <v>7526</v>
      </c>
    </row>
    <row r="7339" spans="1:1" x14ac:dyDescent="0.2">
      <c r="A7339">
        <v>7527</v>
      </c>
    </row>
    <row r="7340" spans="1:1" x14ac:dyDescent="0.2">
      <c r="A7340">
        <v>7528</v>
      </c>
    </row>
    <row r="7341" spans="1:1" x14ac:dyDescent="0.2">
      <c r="A7341">
        <v>7529</v>
      </c>
    </row>
    <row r="7342" spans="1:1" x14ac:dyDescent="0.2">
      <c r="A7342">
        <v>7530</v>
      </c>
    </row>
    <row r="7343" spans="1:1" x14ac:dyDescent="0.2">
      <c r="A7343">
        <v>7531</v>
      </c>
    </row>
    <row r="7344" spans="1:1" x14ac:dyDescent="0.2">
      <c r="A7344">
        <v>7532</v>
      </c>
    </row>
    <row r="7345" spans="1:1" x14ac:dyDescent="0.2">
      <c r="A7345">
        <v>7533</v>
      </c>
    </row>
    <row r="7346" spans="1:1" x14ac:dyDescent="0.2">
      <c r="A7346">
        <v>7534</v>
      </c>
    </row>
    <row r="7347" spans="1:1" x14ac:dyDescent="0.2">
      <c r="A7347">
        <v>7535</v>
      </c>
    </row>
    <row r="7348" spans="1:1" x14ac:dyDescent="0.2">
      <c r="A7348">
        <v>7536</v>
      </c>
    </row>
    <row r="7349" spans="1:1" x14ac:dyDescent="0.2">
      <c r="A7349">
        <v>7537</v>
      </c>
    </row>
    <row r="7350" spans="1:1" x14ac:dyDescent="0.2">
      <c r="A7350">
        <v>7538</v>
      </c>
    </row>
    <row r="7351" spans="1:1" x14ac:dyDescent="0.2">
      <c r="A7351">
        <v>7539</v>
      </c>
    </row>
    <row r="7352" spans="1:1" x14ac:dyDescent="0.2">
      <c r="A7352">
        <v>7540</v>
      </c>
    </row>
    <row r="7353" spans="1:1" x14ac:dyDescent="0.2">
      <c r="A7353">
        <v>7541</v>
      </c>
    </row>
    <row r="7354" spans="1:1" x14ac:dyDescent="0.2">
      <c r="A7354">
        <v>7542</v>
      </c>
    </row>
    <row r="7355" spans="1:1" x14ac:dyDescent="0.2">
      <c r="A7355">
        <v>7543</v>
      </c>
    </row>
    <row r="7356" spans="1:1" x14ac:dyDescent="0.2">
      <c r="A7356">
        <v>7544</v>
      </c>
    </row>
    <row r="7357" spans="1:1" x14ac:dyDescent="0.2">
      <c r="A7357">
        <v>7545</v>
      </c>
    </row>
    <row r="7358" spans="1:1" x14ac:dyDescent="0.2">
      <c r="A7358">
        <v>7546</v>
      </c>
    </row>
    <row r="7359" spans="1:1" x14ac:dyDescent="0.2">
      <c r="A7359">
        <v>7547</v>
      </c>
    </row>
    <row r="7360" spans="1:1" x14ac:dyDescent="0.2">
      <c r="A7360">
        <v>7548</v>
      </c>
    </row>
    <row r="7361" spans="1:1" x14ac:dyDescent="0.2">
      <c r="A7361">
        <v>7549</v>
      </c>
    </row>
    <row r="7362" spans="1:1" x14ac:dyDescent="0.2">
      <c r="A7362">
        <v>7550</v>
      </c>
    </row>
    <row r="7363" spans="1:1" x14ac:dyDescent="0.2">
      <c r="A7363">
        <v>7551</v>
      </c>
    </row>
    <row r="7364" spans="1:1" x14ac:dyDescent="0.2">
      <c r="A7364">
        <v>7552</v>
      </c>
    </row>
    <row r="7365" spans="1:1" x14ac:dyDescent="0.2">
      <c r="A7365">
        <v>7553</v>
      </c>
    </row>
    <row r="7366" spans="1:1" x14ac:dyDescent="0.2">
      <c r="A7366">
        <v>7554</v>
      </c>
    </row>
    <row r="7367" spans="1:1" x14ac:dyDescent="0.2">
      <c r="A7367">
        <v>7555</v>
      </c>
    </row>
    <row r="7368" spans="1:1" x14ac:dyDescent="0.2">
      <c r="A7368">
        <v>7556</v>
      </c>
    </row>
    <row r="7369" spans="1:1" x14ac:dyDescent="0.2">
      <c r="A7369">
        <v>7557</v>
      </c>
    </row>
    <row r="7370" spans="1:1" x14ac:dyDescent="0.2">
      <c r="A7370">
        <v>7558</v>
      </c>
    </row>
    <row r="7371" spans="1:1" x14ac:dyDescent="0.2">
      <c r="A7371">
        <v>7559</v>
      </c>
    </row>
    <row r="7372" spans="1:1" x14ac:dyDescent="0.2">
      <c r="A7372">
        <v>7560</v>
      </c>
    </row>
    <row r="7373" spans="1:1" x14ac:dyDescent="0.2">
      <c r="A7373">
        <v>7561</v>
      </c>
    </row>
    <row r="7374" spans="1:1" x14ac:dyDescent="0.2">
      <c r="A7374">
        <v>7562</v>
      </c>
    </row>
    <row r="7375" spans="1:1" x14ac:dyDescent="0.2">
      <c r="A7375">
        <v>7563</v>
      </c>
    </row>
    <row r="7376" spans="1:1" x14ac:dyDescent="0.2">
      <c r="A7376">
        <v>7564</v>
      </c>
    </row>
    <row r="7377" spans="1:1" x14ac:dyDescent="0.2">
      <c r="A7377">
        <v>7565</v>
      </c>
    </row>
    <row r="7378" spans="1:1" x14ac:dyDescent="0.2">
      <c r="A7378">
        <v>7566</v>
      </c>
    </row>
    <row r="7379" spans="1:1" x14ac:dyDescent="0.2">
      <c r="A7379">
        <v>7567</v>
      </c>
    </row>
    <row r="7380" spans="1:1" x14ac:dyDescent="0.2">
      <c r="A7380">
        <v>7568</v>
      </c>
    </row>
    <row r="7381" spans="1:1" x14ac:dyDescent="0.2">
      <c r="A7381">
        <v>7569</v>
      </c>
    </row>
    <row r="7382" spans="1:1" x14ac:dyDescent="0.2">
      <c r="A7382">
        <v>7570</v>
      </c>
    </row>
    <row r="7383" spans="1:1" x14ac:dyDescent="0.2">
      <c r="A7383">
        <v>7571</v>
      </c>
    </row>
    <row r="7384" spans="1:1" x14ac:dyDescent="0.2">
      <c r="A7384">
        <v>7572</v>
      </c>
    </row>
    <row r="7385" spans="1:1" x14ac:dyDescent="0.2">
      <c r="A7385">
        <v>7573</v>
      </c>
    </row>
    <row r="7386" spans="1:1" x14ac:dyDescent="0.2">
      <c r="A7386">
        <v>7574</v>
      </c>
    </row>
    <row r="7387" spans="1:1" x14ac:dyDescent="0.2">
      <c r="A7387">
        <v>7575</v>
      </c>
    </row>
    <row r="7388" spans="1:1" x14ac:dyDescent="0.2">
      <c r="A7388">
        <v>7576</v>
      </c>
    </row>
    <row r="7389" spans="1:1" x14ac:dyDescent="0.2">
      <c r="A7389">
        <v>7577</v>
      </c>
    </row>
    <row r="7390" spans="1:1" x14ac:dyDescent="0.2">
      <c r="A7390">
        <v>7578</v>
      </c>
    </row>
    <row r="7391" spans="1:1" x14ac:dyDescent="0.2">
      <c r="A7391">
        <v>7579</v>
      </c>
    </row>
    <row r="7392" spans="1:1" x14ac:dyDescent="0.2">
      <c r="A7392">
        <v>7580</v>
      </c>
    </row>
    <row r="7393" spans="1:1" x14ac:dyDescent="0.2">
      <c r="A7393">
        <v>7581</v>
      </c>
    </row>
    <row r="7394" spans="1:1" x14ac:dyDescent="0.2">
      <c r="A7394">
        <v>7582</v>
      </c>
    </row>
    <row r="7395" spans="1:1" x14ac:dyDescent="0.2">
      <c r="A7395">
        <v>7583</v>
      </c>
    </row>
    <row r="7396" spans="1:1" x14ac:dyDescent="0.2">
      <c r="A7396">
        <v>7584</v>
      </c>
    </row>
    <row r="7397" spans="1:1" x14ac:dyDescent="0.2">
      <c r="A7397">
        <v>7585</v>
      </c>
    </row>
    <row r="7398" spans="1:1" x14ac:dyDescent="0.2">
      <c r="A7398">
        <v>7586</v>
      </c>
    </row>
    <row r="7399" spans="1:1" x14ac:dyDescent="0.2">
      <c r="A7399">
        <v>7587</v>
      </c>
    </row>
    <row r="7400" spans="1:1" x14ac:dyDescent="0.2">
      <c r="A7400">
        <v>7588</v>
      </c>
    </row>
    <row r="7401" spans="1:1" x14ac:dyDescent="0.2">
      <c r="A7401">
        <v>7589</v>
      </c>
    </row>
    <row r="7402" spans="1:1" x14ac:dyDescent="0.2">
      <c r="A7402">
        <v>7590</v>
      </c>
    </row>
    <row r="7403" spans="1:1" x14ac:dyDescent="0.2">
      <c r="A7403">
        <v>7591</v>
      </c>
    </row>
    <row r="7404" spans="1:1" x14ac:dyDescent="0.2">
      <c r="A7404">
        <v>7592</v>
      </c>
    </row>
    <row r="7405" spans="1:1" x14ac:dyDescent="0.2">
      <c r="A7405">
        <v>7593</v>
      </c>
    </row>
    <row r="7406" spans="1:1" x14ac:dyDescent="0.2">
      <c r="A7406">
        <v>7594</v>
      </c>
    </row>
    <row r="7407" spans="1:1" x14ac:dyDescent="0.2">
      <c r="A7407">
        <v>7595</v>
      </c>
    </row>
    <row r="7408" spans="1:1" x14ac:dyDescent="0.2">
      <c r="A7408">
        <v>7596</v>
      </c>
    </row>
    <row r="7409" spans="1:1" x14ac:dyDescent="0.2">
      <c r="A7409">
        <v>7597</v>
      </c>
    </row>
    <row r="7410" spans="1:1" x14ac:dyDescent="0.2">
      <c r="A7410">
        <v>7598</v>
      </c>
    </row>
    <row r="7411" spans="1:1" x14ac:dyDescent="0.2">
      <c r="A7411">
        <v>7599</v>
      </c>
    </row>
    <row r="7412" spans="1:1" x14ac:dyDescent="0.2">
      <c r="A7412">
        <v>7600</v>
      </c>
    </row>
    <row r="7413" spans="1:1" x14ac:dyDescent="0.2">
      <c r="A7413">
        <v>7601</v>
      </c>
    </row>
    <row r="7414" spans="1:1" x14ac:dyDescent="0.2">
      <c r="A7414">
        <v>7602</v>
      </c>
    </row>
    <row r="7415" spans="1:1" x14ac:dyDescent="0.2">
      <c r="A7415">
        <v>7603</v>
      </c>
    </row>
    <row r="7416" spans="1:1" x14ac:dyDescent="0.2">
      <c r="A7416">
        <v>7604</v>
      </c>
    </row>
    <row r="7417" spans="1:1" x14ac:dyDescent="0.2">
      <c r="A7417">
        <v>7605</v>
      </c>
    </row>
    <row r="7418" spans="1:1" x14ac:dyDescent="0.2">
      <c r="A7418">
        <v>7606</v>
      </c>
    </row>
    <row r="7419" spans="1:1" x14ac:dyDescent="0.2">
      <c r="A7419">
        <v>7607</v>
      </c>
    </row>
    <row r="7420" spans="1:1" x14ac:dyDescent="0.2">
      <c r="A7420">
        <v>7608</v>
      </c>
    </row>
    <row r="7421" spans="1:1" x14ac:dyDescent="0.2">
      <c r="A7421">
        <v>7609</v>
      </c>
    </row>
    <row r="7422" spans="1:1" x14ac:dyDescent="0.2">
      <c r="A7422">
        <v>7610</v>
      </c>
    </row>
    <row r="7423" spans="1:1" x14ac:dyDescent="0.2">
      <c r="A7423">
        <v>7611</v>
      </c>
    </row>
    <row r="7424" spans="1:1" x14ac:dyDescent="0.2">
      <c r="A7424">
        <v>7612</v>
      </c>
    </row>
    <row r="7425" spans="1:1" x14ac:dyDescent="0.2">
      <c r="A7425">
        <v>7613</v>
      </c>
    </row>
    <row r="7426" spans="1:1" x14ac:dyDescent="0.2">
      <c r="A7426">
        <v>7614</v>
      </c>
    </row>
    <row r="7427" spans="1:1" x14ac:dyDescent="0.2">
      <c r="A7427">
        <v>7615</v>
      </c>
    </row>
    <row r="7428" spans="1:1" x14ac:dyDescent="0.2">
      <c r="A7428">
        <v>7616</v>
      </c>
    </row>
    <row r="7429" spans="1:1" x14ac:dyDescent="0.2">
      <c r="A7429">
        <v>7617</v>
      </c>
    </row>
    <row r="7430" spans="1:1" x14ac:dyDescent="0.2">
      <c r="A7430">
        <v>7618</v>
      </c>
    </row>
    <row r="7431" spans="1:1" x14ac:dyDescent="0.2">
      <c r="A7431">
        <v>7619</v>
      </c>
    </row>
    <row r="7432" spans="1:1" x14ac:dyDescent="0.2">
      <c r="A7432">
        <v>7620</v>
      </c>
    </row>
    <row r="7433" spans="1:1" x14ac:dyDescent="0.2">
      <c r="A7433">
        <v>7621</v>
      </c>
    </row>
    <row r="7434" spans="1:1" x14ac:dyDescent="0.2">
      <c r="A7434">
        <v>7622</v>
      </c>
    </row>
    <row r="7435" spans="1:1" x14ac:dyDescent="0.2">
      <c r="A7435">
        <v>7623</v>
      </c>
    </row>
    <row r="7436" spans="1:1" x14ac:dyDescent="0.2">
      <c r="A7436">
        <v>7624</v>
      </c>
    </row>
    <row r="7437" spans="1:1" x14ac:dyDescent="0.2">
      <c r="A7437">
        <v>7625</v>
      </c>
    </row>
    <row r="7438" spans="1:1" x14ac:dyDescent="0.2">
      <c r="A7438">
        <v>7626</v>
      </c>
    </row>
    <row r="7439" spans="1:1" x14ac:dyDescent="0.2">
      <c r="A7439">
        <v>7627</v>
      </c>
    </row>
    <row r="7440" spans="1:1" x14ac:dyDescent="0.2">
      <c r="A7440">
        <v>7628</v>
      </c>
    </row>
    <row r="7441" spans="1:1" x14ac:dyDescent="0.2">
      <c r="A7441">
        <v>7629</v>
      </c>
    </row>
    <row r="7442" spans="1:1" x14ac:dyDescent="0.2">
      <c r="A7442">
        <v>7630</v>
      </c>
    </row>
    <row r="7443" spans="1:1" x14ac:dyDescent="0.2">
      <c r="A7443">
        <v>7631</v>
      </c>
    </row>
    <row r="7444" spans="1:1" x14ac:dyDescent="0.2">
      <c r="A7444">
        <v>7632</v>
      </c>
    </row>
    <row r="7445" spans="1:1" x14ac:dyDescent="0.2">
      <c r="A7445">
        <v>7633</v>
      </c>
    </row>
    <row r="7446" spans="1:1" x14ac:dyDescent="0.2">
      <c r="A7446">
        <v>7634</v>
      </c>
    </row>
    <row r="7447" spans="1:1" x14ac:dyDescent="0.2">
      <c r="A7447">
        <v>7635</v>
      </c>
    </row>
    <row r="7448" spans="1:1" x14ac:dyDescent="0.2">
      <c r="A7448">
        <v>7636</v>
      </c>
    </row>
    <row r="7449" spans="1:1" x14ac:dyDescent="0.2">
      <c r="A7449">
        <v>7637</v>
      </c>
    </row>
    <row r="7450" spans="1:1" x14ac:dyDescent="0.2">
      <c r="A7450">
        <v>7638</v>
      </c>
    </row>
    <row r="7451" spans="1:1" x14ac:dyDescent="0.2">
      <c r="A7451">
        <v>7639</v>
      </c>
    </row>
    <row r="7452" spans="1:1" x14ac:dyDescent="0.2">
      <c r="A7452">
        <v>7640</v>
      </c>
    </row>
    <row r="7453" spans="1:1" x14ac:dyDescent="0.2">
      <c r="A7453">
        <v>7641</v>
      </c>
    </row>
    <row r="7454" spans="1:1" x14ac:dyDescent="0.2">
      <c r="A7454">
        <v>7642</v>
      </c>
    </row>
    <row r="7455" spans="1:1" x14ac:dyDescent="0.2">
      <c r="A7455">
        <v>7643</v>
      </c>
    </row>
    <row r="7456" spans="1:1" x14ac:dyDescent="0.2">
      <c r="A7456">
        <v>7644</v>
      </c>
    </row>
    <row r="7457" spans="1:1" x14ac:dyDescent="0.2">
      <c r="A7457">
        <v>7645</v>
      </c>
    </row>
    <row r="7458" spans="1:1" x14ac:dyDescent="0.2">
      <c r="A7458">
        <v>7646</v>
      </c>
    </row>
    <row r="7459" spans="1:1" x14ac:dyDescent="0.2">
      <c r="A7459">
        <v>7647</v>
      </c>
    </row>
    <row r="7460" spans="1:1" x14ac:dyDescent="0.2">
      <c r="A7460">
        <v>7648</v>
      </c>
    </row>
    <row r="7461" spans="1:1" x14ac:dyDescent="0.2">
      <c r="A7461">
        <v>7649</v>
      </c>
    </row>
    <row r="7462" spans="1:1" x14ac:dyDescent="0.2">
      <c r="A7462">
        <v>7650</v>
      </c>
    </row>
    <row r="7463" spans="1:1" x14ac:dyDescent="0.2">
      <c r="A7463">
        <v>7651</v>
      </c>
    </row>
    <row r="7464" spans="1:1" x14ac:dyDescent="0.2">
      <c r="A7464">
        <v>7652</v>
      </c>
    </row>
    <row r="7465" spans="1:1" x14ac:dyDescent="0.2">
      <c r="A7465">
        <v>7653</v>
      </c>
    </row>
    <row r="7466" spans="1:1" x14ac:dyDescent="0.2">
      <c r="A7466">
        <v>7654</v>
      </c>
    </row>
    <row r="7467" spans="1:1" x14ac:dyDescent="0.2">
      <c r="A7467">
        <v>7655</v>
      </c>
    </row>
    <row r="7468" spans="1:1" x14ac:dyDescent="0.2">
      <c r="A7468">
        <v>7656</v>
      </c>
    </row>
    <row r="7469" spans="1:1" x14ac:dyDescent="0.2">
      <c r="A7469">
        <v>7657</v>
      </c>
    </row>
    <row r="7470" spans="1:1" x14ac:dyDescent="0.2">
      <c r="A7470">
        <v>7658</v>
      </c>
    </row>
    <row r="7471" spans="1:1" x14ac:dyDescent="0.2">
      <c r="A7471">
        <v>7659</v>
      </c>
    </row>
    <row r="7472" spans="1:1" x14ac:dyDescent="0.2">
      <c r="A7472">
        <v>7660</v>
      </c>
    </row>
    <row r="7473" spans="1:1" x14ac:dyDescent="0.2">
      <c r="A7473">
        <v>7661</v>
      </c>
    </row>
    <row r="7474" spans="1:1" x14ac:dyDescent="0.2">
      <c r="A7474">
        <v>7662</v>
      </c>
    </row>
    <row r="7475" spans="1:1" x14ac:dyDescent="0.2">
      <c r="A7475">
        <v>7663</v>
      </c>
    </row>
    <row r="7476" spans="1:1" x14ac:dyDescent="0.2">
      <c r="A7476">
        <v>7664</v>
      </c>
    </row>
    <row r="7477" spans="1:1" x14ac:dyDescent="0.2">
      <c r="A7477">
        <v>7665</v>
      </c>
    </row>
    <row r="7478" spans="1:1" x14ac:dyDescent="0.2">
      <c r="A7478">
        <v>7666</v>
      </c>
    </row>
    <row r="7479" spans="1:1" x14ac:dyDescent="0.2">
      <c r="A7479">
        <v>7667</v>
      </c>
    </row>
    <row r="7480" spans="1:1" x14ac:dyDescent="0.2">
      <c r="A7480">
        <v>7668</v>
      </c>
    </row>
    <row r="7481" spans="1:1" x14ac:dyDescent="0.2">
      <c r="A7481">
        <v>7669</v>
      </c>
    </row>
    <row r="7482" spans="1:1" x14ac:dyDescent="0.2">
      <c r="A7482">
        <v>7670</v>
      </c>
    </row>
    <row r="7483" spans="1:1" x14ac:dyDescent="0.2">
      <c r="A7483">
        <v>7671</v>
      </c>
    </row>
    <row r="7484" spans="1:1" x14ac:dyDescent="0.2">
      <c r="A7484">
        <v>7672</v>
      </c>
    </row>
    <row r="7485" spans="1:1" x14ac:dyDescent="0.2">
      <c r="A7485">
        <v>7673</v>
      </c>
    </row>
    <row r="7486" spans="1:1" x14ac:dyDescent="0.2">
      <c r="A7486">
        <v>7674</v>
      </c>
    </row>
    <row r="7487" spans="1:1" x14ac:dyDescent="0.2">
      <c r="A7487">
        <v>7675</v>
      </c>
    </row>
    <row r="7488" spans="1:1" x14ac:dyDescent="0.2">
      <c r="A7488">
        <v>7676</v>
      </c>
    </row>
    <row r="7489" spans="1:1" x14ac:dyDescent="0.2">
      <c r="A7489">
        <v>7677</v>
      </c>
    </row>
    <row r="7490" spans="1:1" x14ac:dyDescent="0.2">
      <c r="A7490">
        <v>7678</v>
      </c>
    </row>
    <row r="7491" spans="1:1" x14ac:dyDescent="0.2">
      <c r="A7491">
        <v>7679</v>
      </c>
    </row>
    <row r="7492" spans="1:1" x14ac:dyDescent="0.2">
      <c r="A7492">
        <v>7680</v>
      </c>
    </row>
    <row r="7493" spans="1:1" x14ac:dyDescent="0.2">
      <c r="A7493">
        <v>7681</v>
      </c>
    </row>
    <row r="7494" spans="1:1" x14ac:dyDescent="0.2">
      <c r="A7494">
        <v>7682</v>
      </c>
    </row>
    <row r="7495" spans="1:1" x14ac:dyDescent="0.2">
      <c r="A7495">
        <v>7683</v>
      </c>
    </row>
    <row r="7496" spans="1:1" x14ac:dyDescent="0.2">
      <c r="A7496">
        <v>7684</v>
      </c>
    </row>
    <row r="7497" spans="1:1" x14ac:dyDescent="0.2">
      <c r="A7497">
        <v>7685</v>
      </c>
    </row>
    <row r="7498" spans="1:1" x14ac:dyDescent="0.2">
      <c r="A7498">
        <v>7686</v>
      </c>
    </row>
    <row r="7499" spans="1:1" x14ac:dyDescent="0.2">
      <c r="A7499">
        <v>7687</v>
      </c>
    </row>
    <row r="7500" spans="1:1" x14ac:dyDescent="0.2">
      <c r="A7500">
        <v>7688</v>
      </c>
    </row>
    <row r="7501" spans="1:1" x14ac:dyDescent="0.2">
      <c r="A7501">
        <v>7689</v>
      </c>
    </row>
    <row r="7502" spans="1:1" x14ac:dyDescent="0.2">
      <c r="A7502">
        <v>7690</v>
      </c>
    </row>
    <row r="7503" spans="1:1" x14ac:dyDescent="0.2">
      <c r="A7503">
        <v>7691</v>
      </c>
    </row>
    <row r="7504" spans="1:1" x14ac:dyDescent="0.2">
      <c r="A7504">
        <v>7692</v>
      </c>
    </row>
    <row r="7505" spans="1:1" x14ac:dyDescent="0.2">
      <c r="A7505">
        <v>7693</v>
      </c>
    </row>
    <row r="7506" spans="1:1" x14ac:dyDescent="0.2">
      <c r="A7506">
        <v>7694</v>
      </c>
    </row>
    <row r="7507" spans="1:1" x14ac:dyDescent="0.2">
      <c r="A7507">
        <v>7695</v>
      </c>
    </row>
    <row r="7508" spans="1:1" x14ac:dyDescent="0.2">
      <c r="A7508">
        <v>7696</v>
      </c>
    </row>
    <row r="7509" spans="1:1" x14ac:dyDescent="0.2">
      <c r="A7509">
        <v>7697</v>
      </c>
    </row>
    <row r="7510" spans="1:1" x14ac:dyDescent="0.2">
      <c r="A7510">
        <v>7698</v>
      </c>
    </row>
    <row r="7511" spans="1:1" x14ac:dyDescent="0.2">
      <c r="A7511">
        <v>7699</v>
      </c>
    </row>
    <row r="7512" spans="1:1" x14ac:dyDescent="0.2">
      <c r="A7512">
        <v>7700</v>
      </c>
    </row>
    <row r="7513" spans="1:1" x14ac:dyDescent="0.2">
      <c r="A7513">
        <v>7701</v>
      </c>
    </row>
    <row r="7514" spans="1:1" x14ac:dyDescent="0.2">
      <c r="A7514">
        <v>7702</v>
      </c>
    </row>
    <row r="7515" spans="1:1" x14ac:dyDescent="0.2">
      <c r="A7515">
        <v>7703</v>
      </c>
    </row>
    <row r="7516" spans="1:1" x14ac:dyDescent="0.2">
      <c r="A7516">
        <v>7704</v>
      </c>
    </row>
    <row r="7517" spans="1:1" x14ac:dyDescent="0.2">
      <c r="A7517">
        <v>7705</v>
      </c>
    </row>
    <row r="7518" spans="1:1" x14ac:dyDescent="0.2">
      <c r="A7518">
        <v>7706</v>
      </c>
    </row>
    <row r="7519" spans="1:1" x14ac:dyDescent="0.2">
      <c r="A7519">
        <v>7707</v>
      </c>
    </row>
    <row r="7520" spans="1:1" x14ac:dyDescent="0.2">
      <c r="A7520">
        <v>7708</v>
      </c>
    </row>
    <row r="7521" spans="1:1" x14ac:dyDescent="0.2">
      <c r="A7521">
        <v>7709</v>
      </c>
    </row>
    <row r="7522" spans="1:1" x14ac:dyDescent="0.2">
      <c r="A7522">
        <v>7710</v>
      </c>
    </row>
    <row r="7523" spans="1:1" x14ac:dyDescent="0.2">
      <c r="A7523">
        <v>7711</v>
      </c>
    </row>
    <row r="7524" spans="1:1" x14ac:dyDescent="0.2">
      <c r="A7524">
        <v>7712</v>
      </c>
    </row>
    <row r="7525" spans="1:1" x14ac:dyDescent="0.2">
      <c r="A7525">
        <v>7713</v>
      </c>
    </row>
    <row r="7526" spans="1:1" x14ac:dyDescent="0.2">
      <c r="A7526">
        <v>7714</v>
      </c>
    </row>
    <row r="7527" spans="1:1" x14ac:dyDescent="0.2">
      <c r="A7527">
        <v>7715</v>
      </c>
    </row>
    <row r="7528" spans="1:1" x14ac:dyDescent="0.2">
      <c r="A7528">
        <v>7716</v>
      </c>
    </row>
    <row r="7529" spans="1:1" x14ac:dyDescent="0.2">
      <c r="A7529">
        <v>7717</v>
      </c>
    </row>
    <row r="7530" spans="1:1" x14ac:dyDescent="0.2">
      <c r="A7530">
        <v>7718</v>
      </c>
    </row>
    <row r="7531" spans="1:1" x14ac:dyDescent="0.2">
      <c r="A7531">
        <v>7719</v>
      </c>
    </row>
    <row r="7532" spans="1:1" x14ac:dyDescent="0.2">
      <c r="A7532">
        <v>7720</v>
      </c>
    </row>
    <row r="7533" spans="1:1" x14ac:dyDescent="0.2">
      <c r="A7533">
        <v>7721</v>
      </c>
    </row>
    <row r="7534" spans="1:1" x14ac:dyDescent="0.2">
      <c r="A7534">
        <v>7722</v>
      </c>
    </row>
    <row r="7535" spans="1:1" x14ac:dyDescent="0.2">
      <c r="A7535">
        <v>7723</v>
      </c>
    </row>
    <row r="7536" spans="1:1" x14ac:dyDescent="0.2">
      <c r="A7536">
        <v>7724</v>
      </c>
    </row>
    <row r="7537" spans="1:1" x14ac:dyDescent="0.2">
      <c r="A7537">
        <v>7725</v>
      </c>
    </row>
    <row r="7538" spans="1:1" x14ac:dyDescent="0.2">
      <c r="A7538">
        <v>7726</v>
      </c>
    </row>
    <row r="7539" spans="1:1" x14ac:dyDescent="0.2">
      <c r="A7539">
        <v>7727</v>
      </c>
    </row>
    <row r="7540" spans="1:1" x14ac:dyDescent="0.2">
      <c r="A7540">
        <v>7728</v>
      </c>
    </row>
    <row r="7541" spans="1:1" x14ac:dyDescent="0.2">
      <c r="A7541">
        <v>7729</v>
      </c>
    </row>
    <row r="7542" spans="1:1" x14ac:dyDescent="0.2">
      <c r="A7542">
        <v>7730</v>
      </c>
    </row>
    <row r="7543" spans="1:1" x14ac:dyDescent="0.2">
      <c r="A7543">
        <v>7731</v>
      </c>
    </row>
    <row r="7544" spans="1:1" x14ac:dyDescent="0.2">
      <c r="A7544">
        <v>7732</v>
      </c>
    </row>
    <row r="7545" spans="1:1" x14ac:dyDescent="0.2">
      <c r="A7545">
        <v>7733</v>
      </c>
    </row>
    <row r="7546" spans="1:1" x14ac:dyDescent="0.2">
      <c r="A7546">
        <v>7734</v>
      </c>
    </row>
    <row r="7547" spans="1:1" x14ac:dyDescent="0.2">
      <c r="A7547">
        <v>7735</v>
      </c>
    </row>
    <row r="7548" spans="1:1" x14ac:dyDescent="0.2">
      <c r="A7548">
        <v>7736</v>
      </c>
    </row>
    <row r="7549" spans="1:1" x14ac:dyDescent="0.2">
      <c r="A7549">
        <v>7737</v>
      </c>
    </row>
    <row r="7550" spans="1:1" x14ac:dyDescent="0.2">
      <c r="A7550">
        <v>7738</v>
      </c>
    </row>
    <row r="7551" spans="1:1" x14ac:dyDescent="0.2">
      <c r="A7551">
        <v>7739</v>
      </c>
    </row>
    <row r="7552" spans="1:1" x14ac:dyDescent="0.2">
      <c r="A7552">
        <v>7740</v>
      </c>
    </row>
    <row r="7553" spans="1:1" x14ac:dyDescent="0.2">
      <c r="A7553">
        <v>7741</v>
      </c>
    </row>
    <row r="7554" spans="1:1" x14ac:dyDescent="0.2">
      <c r="A7554">
        <v>7742</v>
      </c>
    </row>
    <row r="7555" spans="1:1" x14ac:dyDescent="0.2">
      <c r="A7555">
        <v>7743</v>
      </c>
    </row>
    <row r="7556" spans="1:1" x14ac:dyDescent="0.2">
      <c r="A7556">
        <v>7744</v>
      </c>
    </row>
    <row r="7557" spans="1:1" x14ac:dyDescent="0.2">
      <c r="A7557">
        <v>7745</v>
      </c>
    </row>
    <row r="7558" spans="1:1" x14ac:dyDescent="0.2">
      <c r="A7558">
        <v>7746</v>
      </c>
    </row>
    <row r="7559" spans="1:1" x14ac:dyDescent="0.2">
      <c r="A7559">
        <v>7747</v>
      </c>
    </row>
    <row r="7560" spans="1:1" x14ac:dyDescent="0.2">
      <c r="A7560">
        <v>7748</v>
      </c>
    </row>
    <row r="7561" spans="1:1" x14ac:dyDescent="0.2">
      <c r="A7561">
        <v>7749</v>
      </c>
    </row>
    <row r="7562" spans="1:1" x14ac:dyDescent="0.2">
      <c r="A7562">
        <v>7750</v>
      </c>
    </row>
    <row r="7563" spans="1:1" x14ac:dyDescent="0.2">
      <c r="A7563">
        <v>7751</v>
      </c>
    </row>
    <row r="7564" spans="1:1" x14ac:dyDescent="0.2">
      <c r="A7564">
        <v>7752</v>
      </c>
    </row>
    <row r="7565" spans="1:1" x14ac:dyDescent="0.2">
      <c r="A7565">
        <v>7753</v>
      </c>
    </row>
    <row r="7566" spans="1:1" x14ac:dyDescent="0.2">
      <c r="A7566">
        <v>7754</v>
      </c>
    </row>
    <row r="7567" spans="1:1" x14ac:dyDescent="0.2">
      <c r="A7567">
        <v>7755</v>
      </c>
    </row>
    <row r="7568" spans="1:1" x14ac:dyDescent="0.2">
      <c r="A7568">
        <v>7756</v>
      </c>
    </row>
    <row r="7569" spans="1:1" x14ac:dyDescent="0.2">
      <c r="A7569">
        <v>7757</v>
      </c>
    </row>
    <row r="7570" spans="1:1" x14ac:dyDescent="0.2">
      <c r="A7570">
        <v>7758</v>
      </c>
    </row>
    <row r="7571" spans="1:1" x14ac:dyDescent="0.2">
      <c r="A7571">
        <v>7759</v>
      </c>
    </row>
    <row r="7572" spans="1:1" x14ac:dyDescent="0.2">
      <c r="A7572">
        <v>7760</v>
      </c>
    </row>
    <row r="7573" spans="1:1" x14ac:dyDescent="0.2">
      <c r="A7573">
        <v>7761</v>
      </c>
    </row>
    <row r="7574" spans="1:1" x14ac:dyDescent="0.2">
      <c r="A7574">
        <v>7762</v>
      </c>
    </row>
    <row r="7575" spans="1:1" x14ac:dyDescent="0.2">
      <c r="A7575">
        <v>7763</v>
      </c>
    </row>
    <row r="7576" spans="1:1" x14ac:dyDescent="0.2">
      <c r="A7576">
        <v>7764</v>
      </c>
    </row>
    <row r="7577" spans="1:1" x14ac:dyDescent="0.2">
      <c r="A7577">
        <v>7765</v>
      </c>
    </row>
    <row r="7578" spans="1:1" x14ac:dyDescent="0.2">
      <c r="A7578">
        <v>7766</v>
      </c>
    </row>
    <row r="7579" spans="1:1" x14ac:dyDescent="0.2">
      <c r="A7579">
        <v>7767</v>
      </c>
    </row>
    <row r="7580" spans="1:1" x14ac:dyDescent="0.2">
      <c r="A7580">
        <v>7768</v>
      </c>
    </row>
    <row r="7581" spans="1:1" x14ac:dyDescent="0.2">
      <c r="A7581">
        <v>7769</v>
      </c>
    </row>
    <row r="7582" spans="1:1" x14ac:dyDescent="0.2">
      <c r="A7582">
        <v>7770</v>
      </c>
    </row>
    <row r="7583" spans="1:1" x14ac:dyDescent="0.2">
      <c r="A7583">
        <v>7771</v>
      </c>
    </row>
    <row r="7584" spans="1:1" x14ac:dyDescent="0.2">
      <c r="A7584">
        <v>7772</v>
      </c>
    </row>
    <row r="7585" spans="1:1" x14ac:dyDescent="0.2">
      <c r="A7585">
        <v>7773</v>
      </c>
    </row>
    <row r="7586" spans="1:1" x14ac:dyDescent="0.2">
      <c r="A7586">
        <v>7774</v>
      </c>
    </row>
    <row r="7587" spans="1:1" x14ac:dyDescent="0.2">
      <c r="A7587">
        <v>7775</v>
      </c>
    </row>
    <row r="7588" spans="1:1" x14ac:dyDescent="0.2">
      <c r="A7588">
        <v>7776</v>
      </c>
    </row>
    <row r="7589" spans="1:1" x14ac:dyDescent="0.2">
      <c r="A7589">
        <v>7777</v>
      </c>
    </row>
    <row r="7590" spans="1:1" x14ac:dyDescent="0.2">
      <c r="A7590">
        <v>7778</v>
      </c>
    </row>
    <row r="7591" spans="1:1" x14ac:dyDescent="0.2">
      <c r="A7591">
        <v>7779</v>
      </c>
    </row>
    <row r="7592" spans="1:1" x14ac:dyDescent="0.2">
      <c r="A7592">
        <v>7780</v>
      </c>
    </row>
    <row r="7593" spans="1:1" x14ac:dyDescent="0.2">
      <c r="A7593">
        <v>7781</v>
      </c>
    </row>
    <row r="7594" spans="1:1" x14ac:dyDescent="0.2">
      <c r="A7594">
        <v>7782</v>
      </c>
    </row>
    <row r="7595" spans="1:1" x14ac:dyDescent="0.2">
      <c r="A7595">
        <v>7783</v>
      </c>
    </row>
    <row r="7596" spans="1:1" x14ac:dyDescent="0.2">
      <c r="A7596">
        <v>7784</v>
      </c>
    </row>
    <row r="7597" spans="1:1" x14ac:dyDescent="0.2">
      <c r="A7597">
        <v>7785</v>
      </c>
    </row>
    <row r="7598" spans="1:1" x14ac:dyDescent="0.2">
      <c r="A7598">
        <v>7786</v>
      </c>
    </row>
    <row r="7599" spans="1:1" x14ac:dyDescent="0.2">
      <c r="A7599">
        <v>7787</v>
      </c>
    </row>
    <row r="7600" spans="1:1" x14ac:dyDescent="0.2">
      <c r="A7600">
        <v>7788</v>
      </c>
    </row>
    <row r="7601" spans="1:1" x14ac:dyDescent="0.2">
      <c r="A7601">
        <v>7789</v>
      </c>
    </row>
    <row r="7602" spans="1:1" x14ac:dyDescent="0.2">
      <c r="A7602">
        <v>7790</v>
      </c>
    </row>
    <row r="7603" spans="1:1" x14ac:dyDescent="0.2">
      <c r="A7603">
        <v>7791</v>
      </c>
    </row>
    <row r="7604" spans="1:1" x14ac:dyDescent="0.2">
      <c r="A7604">
        <v>7792</v>
      </c>
    </row>
    <row r="7605" spans="1:1" x14ac:dyDescent="0.2">
      <c r="A7605">
        <v>7793</v>
      </c>
    </row>
    <row r="7606" spans="1:1" x14ac:dyDescent="0.2">
      <c r="A7606">
        <v>7794</v>
      </c>
    </row>
    <row r="7607" spans="1:1" x14ac:dyDescent="0.2">
      <c r="A7607">
        <v>7795</v>
      </c>
    </row>
    <row r="7608" spans="1:1" x14ac:dyDescent="0.2">
      <c r="A7608">
        <v>7796</v>
      </c>
    </row>
    <row r="7609" spans="1:1" x14ac:dyDescent="0.2">
      <c r="A7609">
        <v>7797</v>
      </c>
    </row>
    <row r="7610" spans="1:1" x14ac:dyDescent="0.2">
      <c r="A7610">
        <v>7798</v>
      </c>
    </row>
    <row r="7611" spans="1:1" x14ac:dyDescent="0.2">
      <c r="A7611">
        <v>7799</v>
      </c>
    </row>
    <row r="7612" spans="1:1" x14ac:dyDescent="0.2">
      <c r="A7612">
        <v>7800</v>
      </c>
    </row>
    <row r="7613" spans="1:1" x14ac:dyDescent="0.2">
      <c r="A7613">
        <v>7801</v>
      </c>
    </row>
    <row r="7614" spans="1:1" x14ac:dyDescent="0.2">
      <c r="A7614">
        <v>7802</v>
      </c>
    </row>
    <row r="7615" spans="1:1" x14ac:dyDescent="0.2">
      <c r="A7615">
        <v>7803</v>
      </c>
    </row>
    <row r="7616" spans="1:1" x14ac:dyDescent="0.2">
      <c r="A7616">
        <v>7804</v>
      </c>
    </row>
    <row r="7617" spans="1:1" x14ac:dyDescent="0.2">
      <c r="A7617">
        <v>7805</v>
      </c>
    </row>
    <row r="7618" spans="1:1" x14ac:dyDescent="0.2">
      <c r="A7618">
        <v>7806</v>
      </c>
    </row>
    <row r="7619" spans="1:1" x14ac:dyDescent="0.2">
      <c r="A7619">
        <v>7807</v>
      </c>
    </row>
    <row r="7620" spans="1:1" x14ac:dyDescent="0.2">
      <c r="A7620">
        <v>7808</v>
      </c>
    </row>
    <row r="7621" spans="1:1" x14ac:dyDescent="0.2">
      <c r="A7621">
        <v>7809</v>
      </c>
    </row>
    <row r="7622" spans="1:1" x14ac:dyDescent="0.2">
      <c r="A7622">
        <v>7810</v>
      </c>
    </row>
    <row r="7623" spans="1:1" x14ac:dyDescent="0.2">
      <c r="A7623">
        <v>7811</v>
      </c>
    </row>
    <row r="7624" spans="1:1" x14ac:dyDescent="0.2">
      <c r="A7624">
        <v>7812</v>
      </c>
    </row>
    <row r="7625" spans="1:1" x14ac:dyDescent="0.2">
      <c r="A7625">
        <v>7813</v>
      </c>
    </row>
    <row r="7626" spans="1:1" x14ac:dyDescent="0.2">
      <c r="A7626">
        <v>7814</v>
      </c>
    </row>
    <row r="7627" spans="1:1" x14ac:dyDescent="0.2">
      <c r="A7627">
        <v>7815</v>
      </c>
    </row>
    <row r="7628" spans="1:1" x14ac:dyDescent="0.2">
      <c r="A7628">
        <v>7816</v>
      </c>
    </row>
    <row r="7629" spans="1:1" x14ac:dyDescent="0.2">
      <c r="A7629">
        <v>7817</v>
      </c>
    </row>
    <row r="7630" spans="1:1" x14ac:dyDescent="0.2">
      <c r="A7630">
        <v>7818</v>
      </c>
    </row>
    <row r="7631" spans="1:1" x14ac:dyDescent="0.2">
      <c r="A7631">
        <v>7819</v>
      </c>
    </row>
    <row r="7632" spans="1:1" x14ac:dyDescent="0.2">
      <c r="A7632">
        <v>7820</v>
      </c>
    </row>
    <row r="7633" spans="1:1" x14ac:dyDescent="0.2">
      <c r="A7633">
        <v>7821</v>
      </c>
    </row>
    <row r="7634" spans="1:1" x14ac:dyDescent="0.2">
      <c r="A7634">
        <v>7822</v>
      </c>
    </row>
    <row r="7635" spans="1:1" x14ac:dyDescent="0.2">
      <c r="A7635">
        <v>7823</v>
      </c>
    </row>
    <row r="7636" spans="1:1" x14ac:dyDescent="0.2">
      <c r="A7636">
        <v>7824</v>
      </c>
    </row>
    <row r="7637" spans="1:1" x14ac:dyDescent="0.2">
      <c r="A7637">
        <v>7825</v>
      </c>
    </row>
    <row r="7638" spans="1:1" x14ac:dyDescent="0.2">
      <c r="A7638">
        <v>7826</v>
      </c>
    </row>
    <row r="7639" spans="1:1" x14ac:dyDescent="0.2">
      <c r="A7639">
        <v>7827</v>
      </c>
    </row>
    <row r="7640" spans="1:1" x14ac:dyDescent="0.2">
      <c r="A7640">
        <v>7828</v>
      </c>
    </row>
    <row r="7641" spans="1:1" x14ac:dyDescent="0.2">
      <c r="A7641">
        <v>7829</v>
      </c>
    </row>
    <row r="7642" spans="1:1" x14ac:dyDescent="0.2">
      <c r="A7642">
        <v>7830</v>
      </c>
    </row>
    <row r="7643" spans="1:1" x14ac:dyDescent="0.2">
      <c r="A7643">
        <v>7831</v>
      </c>
    </row>
    <row r="7644" spans="1:1" x14ac:dyDescent="0.2">
      <c r="A7644">
        <v>7832</v>
      </c>
    </row>
    <row r="7645" spans="1:1" x14ac:dyDescent="0.2">
      <c r="A7645">
        <v>7833</v>
      </c>
    </row>
    <row r="7646" spans="1:1" x14ac:dyDescent="0.2">
      <c r="A7646">
        <v>7834</v>
      </c>
    </row>
    <row r="7647" spans="1:1" x14ac:dyDescent="0.2">
      <c r="A7647">
        <v>7835</v>
      </c>
    </row>
    <row r="7648" spans="1:1" x14ac:dyDescent="0.2">
      <c r="A7648">
        <v>7836</v>
      </c>
    </row>
    <row r="7649" spans="1:1" x14ac:dyDescent="0.2">
      <c r="A7649">
        <v>7837</v>
      </c>
    </row>
    <row r="7650" spans="1:1" x14ac:dyDescent="0.2">
      <c r="A7650">
        <v>7838</v>
      </c>
    </row>
    <row r="7651" spans="1:1" x14ac:dyDescent="0.2">
      <c r="A7651">
        <v>7839</v>
      </c>
    </row>
    <row r="7652" spans="1:1" x14ac:dyDescent="0.2">
      <c r="A7652">
        <v>7840</v>
      </c>
    </row>
    <row r="7653" spans="1:1" x14ac:dyDescent="0.2">
      <c r="A7653">
        <v>7841</v>
      </c>
    </row>
    <row r="7654" spans="1:1" x14ac:dyDescent="0.2">
      <c r="A7654">
        <v>7842</v>
      </c>
    </row>
    <row r="7655" spans="1:1" x14ac:dyDescent="0.2">
      <c r="A7655">
        <v>7843</v>
      </c>
    </row>
    <row r="7656" spans="1:1" x14ac:dyDescent="0.2">
      <c r="A7656">
        <v>7844</v>
      </c>
    </row>
    <row r="7657" spans="1:1" x14ac:dyDescent="0.2">
      <c r="A7657">
        <v>7845</v>
      </c>
    </row>
    <row r="7658" spans="1:1" x14ac:dyDescent="0.2">
      <c r="A7658">
        <v>7846</v>
      </c>
    </row>
    <row r="7659" spans="1:1" x14ac:dyDescent="0.2">
      <c r="A7659">
        <v>7847</v>
      </c>
    </row>
    <row r="7660" spans="1:1" x14ac:dyDescent="0.2">
      <c r="A7660">
        <v>7848</v>
      </c>
    </row>
    <row r="7661" spans="1:1" x14ac:dyDescent="0.2">
      <c r="A7661">
        <v>7849</v>
      </c>
    </row>
    <row r="7662" spans="1:1" x14ac:dyDescent="0.2">
      <c r="A7662">
        <v>7850</v>
      </c>
    </row>
    <row r="7663" spans="1:1" x14ac:dyDescent="0.2">
      <c r="A7663">
        <v>7851</v>
      </c>
    </row>
    <row r="7664" spans="1:1" x14ac:dyDescent="0.2">
      <c r="A7664">
        <v>7852</v>
      </c>
    </row>
    <row r="7665" spans="1:1" x14ac:dyDescent="0.2">
      <c r="A7665">
        <v>7853</v>
      </c>
    </row>
    <row r="7666" spans="1:1" x14ac:dyDescent="0.2">
      <c r="A7666">
        <v>7854</v>
      </c>
    </row>
    <row r="7667" spans="1:1" x14ac:dyDescent="0.2">
      <c r="A7667">
        <v>7855</v>
      </c>
    </row>
    <row r="7668" spans="1:1" x14ac:dyDescent="0.2">
      <c r="A7668">
        <v>7856</v>
      </c>
    </row>
    <row r="7669" spans="1:1" x14ac:dyDescent="0.2">
      <c r="A7669">
        <v>7857</v>
      </c>
    </row>
    <row r="7670" spans="1:1" x14ac:dyDescent="0.2">
      <c r="A7670">
        <v>7858</v>
      </c>
    </row>
    <row r="7671" spans="1:1" x14ac:dyDescent="0.2">
      <c r="A7671">
        <v>7859</v>
      </c>
    </row>
    <row r="7672" spans="1:1" x14ac:dyDescent="0.2">
      <c r="A7672">
        <v>7860</v>
      </c>
    </row>
    <row r="7673" spans="1:1" x14ac:dyDescent="0.2">
      <c r="A7673">
        <v>7861</v>
      </c>
    </row>
    <row r="7674" spans="1:1" x14ac:dyDescent="0.2">
      <c r="A7674">
        <v>7862</v>
      </c>
    </row>
    <row r="7675" spans="1:1" x14ac:dyDescent="0.2">
      <c r="A7675">
        <v>7863</v>
      </c>
    </row>
    <row r="7676" spans="1:1" x14ac:dyDescent="0.2">
      <c r="A7676">
        <v>7864</v>
      </c>
    </row>
    <row r="7677" spans="1:1" x14ac:dyDescent="0.2">
      <c r="A7677">
        <v>7865</v>
      </c>
    </row>
    <row r="7678" spans="1:1" x14ac:dyDescent="0.2">
      <c r="A7678">
        <v>7866</v>
      </c>
    </row>
    <row r="7679" spans="1:1" x14ac:dyDescent="0.2">
      <c r="A7679">
        <v>7867</v>
      </c>
    </row>
    <row r="7680" spans="1:1" x14ac:dyDescent="0.2">
      <c r="A7680">
        <v>7868</v>
      </c>
    </row>
    <row r="7681" spans="1:1" x14ac:dyDescent="0.2">
      <c r="A7681">
        <v>7869</v>
      </c>
    </row>
    <row r="7682" spans="1:1" x14ac:dyDescent="0.2">
      <c r="A7682">
        <v>7870</v>
      </c>
    </row>
    <row r="7683" spans="1:1" x14ac:dyDescent="0.2">
      <c r="A7683">
        <v>7871</v>
      </c>
    </row>
    <row r="7684" spans="1:1" x14ac:dyDescent="0.2">
      <c r="A7684">
        <v>7872</v>
      </c>
    </row>
    <row r="7685" spans="1:1" x14ac:dyDescent="0.2">
      <c r="A7685">
        <v>7873</v>
      </c>
    </row>
    <row r="7686" spans="1:1" x14ac:dyDescent="0.2">
      <c r="A7686">
        <v>7874</v>
      </c>
    </row>
    <row r="7687" spans="1:1" x14ac:dyDescent="0.2">
      <c r="A7687">
        <v>7875</v>
      </c>
    </row>
    <row r="7688" spans="1:1" x14ac:dyDescent="0.2">
      <c r="A7688">
        <v>7876</v>
      </c>
    </row>
    <row r="7689" spans="1:1" x14ac:dyDescent="0.2">
      <c r="A7689">
        <v>7877</v>
      </c>
    </row>
    <row r="7690" spans="1:1" x14ac:dyDescent="0.2">
      <c r="A7690">
        <v>7878</v>
      </c>
    </row>
    <row r="7691" spans="1:1" x14ac:dyDescent="0.2">
      <c r="A7691">
        <v>7879</v>
      </c>
    </row>
    <row r="7692" spans="1:1" x14ac:dyDescent="0.2">
      <c r="A7692">
        <v>7880</v>
      </c>
    </row>
    <row r="7693" spans="1:1" x14ac:dyDescent="0.2">
      <c r="A7693">
        <v>7881</v>
      </c>
    </row>
    <row r="7694" spans="1:1" x14ac:dyDescent="0.2">
      <c r="A7694">
        <v>7882</v>
      </c>
    </row>
    <row r="7695" spans="1:1" x14ac:dyDescent="0.2">
      <c r="A7695">
        <v>7883</v>
      </c>
    </row>
    <row r="7696" spans="1:1" x14ac:dyDescent="0.2">
      <c r="A7696">
        <v>7884</v>
      </c>
    </row>
    <row r="7697" spans="1:1" x14ac:dyDescent="0.2">
      <c r="A7697">
        <v>7885</v>
      </c>
    </row>
    <row r="7698" spans="1:1" x14ac:dyDescent="0.2">
      <c r="A7698">
        <v>7886</v>
      </c>
    </row>
    <row r="7699" spans="1:1" x14ac:dyDescent="0.2">
      <c r="A7699">
        <v>7887</v>
      </c>
    </row>
    <row r="7700" spans="1:1" x14ac:dyDescent="0.2">
      <c r="A7700">
        <v>7888</v>
      </c>
    </row>
    <row r="7701" spans="1:1" x14ac:dyDescent="0.2">
      <c r="A7701">
        <v>7889</v>
      </c>
    </row>
    <row r="7702" spans="1:1" x14ac:dyDescent="0.2">
      <c r="A7702">
        <v>7890</v>
      </c>
    </row>
    <row r="7703" spans="1:1" x14ac:dyDescent="0.2">
      <c r="A7703">
        <v>7891</v>
      </c>
    </row>
    <row r="7704" spans="1:1" x14ac:dyDescent="0.2">
      <c r="A7704">
        <v>7892</v>
      </c>
    </row>
    <row r="7705" spans="1:1" x14ac:dyDescent="0.2">
      <c r="A7705">
        <v>7893</v>
      </c>
    </row>
    <row r="7706" spans="1:1" x14ac:dyDescent="0.2">
      <c r="A7706">
        <v>7894</v>
      </c>
    </row>
    <row r="7707" spans="1:1" x14ac:dyDescent="0.2">
      <c r="A7707">
        <v>7895</v>
      </c>
    </row>
    <row r="7708" spans="1:1" x14ac:dyDescent="0.2">
      <c r="A7708">
        <v>7896</v>
      </c>
    </row>
    <row r="7709" spans="1:1" x14ac:dyDescent="0.2">
      <c r="A7709">
        <v>7897</v>
      </c>
    </row>
    <row r="7710" spans="1:1" x14ac:dyDescent="0.2">
      <c r="A7710">
        <v>7898</v>
      </c>
    </row>
    <row r="7711" spans="1:1" x14ac:dyDescent="0.2">
      <c r="A7711">
        <v>7899</v>
      </c>
    </row>
    <row r="7712" spans="1:1" x14ac:dyDescent="0.2">
      <c r="A7712">
        <v>7900</v>
      </c>
    </row>
    <row r="7713" spans="1:1" x14ac:dyDescent="0.2">
      <c r="A7713">
        <v>7901</v>
      </c>
    </row>
    <row r="7714" spans="1:1" x14ac:dyDescent="0.2">
      <c r="A7714">
        <v>7902</v>
      </c>
    </row>
    <row r="7715" spans="1:1" x14ac:dyDescent="0.2">
      <c r="A7715">
        <v>7903</v>
      </c>
    </row>
    <row r="7716" spans="1:1" x14ac:dyDescent="0.2">
      <c r="A7716">
        <v>7904</v>
      </c>
    </row>
    <row r="7717" spans="1:1" x14ac:dyDescent="0.2">
      <c r="A7717">
        <v>7905</v>
      </c>
    </row>
    <row r="7718" spans="1:1" x14ac:dyDescent="0.2">
      <c r="A7718">
        <v>7906</v>
      </c>
    </row>
    <row r="7719" spans="1:1" x14ac:dyDescent="0.2">
      <c r="A7719">
        <v>7907</v>
      </c>
    </row>
    <row r="7720" spans="1:1" x14ac:dyDescent="0.2">
      <c r="A7720">
        <v>7908</v>
      </c>
    </row>
    <row r="7721" spans="1:1" x14ac:dyDescent="0.2">
      <c r="A7721">
        <v>7909</v>
      </c>
    </row>
    <row r="7722" spans="1:1" x14ac:dyDescent="0.2">
      <c r="A7722">
        <v>7910</v>
      </c>
    </row>
    <row r="7723" spans="1:1" x14ac:dyDescent="0.2">
      <c r="A7723">
        <v>7911</v>
      </c>
    </row>
    <row r="7724" spans="1:1" x14ac:dyDescent="0.2">
      <c r="A7724">
        <v>7912</v>
      </c>
    </row>
    <row r="7725" spans="1:1" x14ac:dyDescent="0.2">
      <c r="A7725">
        <v>7913</v>
      </c>
    </row>
    <row r="7726" spans="1:1" x14ac:dyDescent="0.2">
      <c r="A7726">
        <v>7914</v>
      </c>
    </row>
    <row r="7727" spans="1:1" x14ac:dyDescent="0.2">
      <c r="A7727">
        <v>7915</v>
      </c>
    </row>
    <row r="7728" spans="1:1" x14ac:dyDescent="0.2">
      <c r="A7728">
        <v>7916</v>
      </c>
    </row>
    <row r="7729" spans="1:1" x14ac:dyDescent="0.2">
      <c r="A7729">
        <v>7917</v>
      </c>
    </row>
    <row r="7730" spans="1:1" x14ac:dyDescent="0.2">
      <c r="A7730">
        <v>7918</v>
      </c>
    </row>
    <row r="7731" spans="1:1" x14ac:dyDescent="0.2">
      <c r="A7731">
        <v>7919</v>
      </c>
    </row>
    <row r="7732" spans="1:1" x14ac:dyDescent="0.2">
      <c r="A7732">
        <v>7920</v>
      </c>
    </row>
    <row r="7733" spans="1:1" x14ac:dyDescent="0.2">
      <c r="A7733">
        <v>7921</v>
      </c>
    </row>
    <row r="7734" spans="1:1" x14ac:dyDescent="0.2">
      <c r="A7734">
        <v>7922</v>
      </c>
    </row>
    <row r="7735" spans="1:1" x14ac:dyDescent="0.2">
      <c r="A7735">
        <v>7923</v>
      </c>
    </row>
    <row r="7736" spans="1:1" x14ac:dyDescent="0.2">
      <c r="A7736">
        <v>7924</v>
      </c>
    </row>
    <row r="7737" spans="1:1" x14ac:dyDescent="0.2">
      <c r="A7737">
        <v>7925</v>
      </c>
    </row>
    <row r="7738" spans="1:1" x14ac:dyDescent="0.2">
      <c r="A7738">
        <v>7926</v>
      </c>
    </row>
    <row r="7739" spans="1:1" x14ac:dyDescent="0.2">
      <c r="A7739">
        <v>7927</v>
      </c>
    </row>
    <row r="7740" spans="1:1" x14ac:dyDescent="0.2">
      <c r="A7740">
        <v>7928</v>
      </c>
    </row>
    <row r="7741" spans="1:1" x14ac:dyDescent="0.2">
      <c r="A7741">
        <v>7929</v>
      </c>
    </row>
    <row r="7742" spans="1:1" x14ac:dyDescent="0.2">
      <c r="A7742">
        <v>7930</v>
      </c>
    </row>
    <row r="7743" spans="1:1" x14ac:dyDescent="0.2">
      <c r="A7743">
        <v>7931</v>
      </c>
    </row>
    <row r="7744" spans="1:1" x14ac:dyDescent="0.2">
      <c r="A7744">
        <v>7932</v>
      </c>
    </row>
    <row r="7745" spans="1:1" x14ac:dyDescent="0.2">
      <c r="A7745">
        <v>7933</v>
      </c>
    </row>
    <row r="7746" spans="1:1" x14ac:dyDescent="0.2">
      <c r="A7746">
        <v>7934</v>
      </c>
    </row>
    <row r="7747" spans="1:1" x14ac:dyDescent="0.2">
      <c r="A7747">
        <v>7935</v>
      </c>
    </row>
    <row r="7748" spans="1:1" x14ac:dyDescent="0.2">
      <c r="A7748">
        <v>7936</v>
      </c>
    </row>
    <row r="7749" spans="1:1" x14ac:dyDescent="0.2">
      <c r="A7749">
        <v>7937</v>
      </c>
    </row>
    <row r="7750" spans="1:1" x14ac:dyDescent="0.2">
      <c r="A7750">
        <v>7938</v>
      </c>
    </row>
    <row r="7751" spans="1:1" x14ac:dyDescent="0.2">
      <c r="A7751">
        <v>7939</v>
      </c>
    </row>
    <row r="7752" spans="1:1" x14ac:dyDescent="0.2">
      <c r="A7752">
        <v>7940</v>
      </c>
    </row>
    <row r="7753" spans="1:1" x14ac:dyDescent="0.2">
      <c r="A7753">
        <v>7941</v>
      </c>
    </row>
    <row r="7754" spans="1:1" x14ac:dyDescent="0.2">
      <c r="A7754">
        <v>7942</v>
      </c>
    </row>
    <row r="7755" spans="1:1" x14ac:dyDescent="0.2">
      <c r="A7755">
        <v>7943</v>
      </c>
    </row>
    <row r="7756" spans="1:1" x14ac:dyDescent="0.2">
      <c r="A7756">
        <v>7944</v>
      </c>
    </row>
    <row r="7757" spans="1:1" x14ac:dyDescent="0.2">
      <c r="A7757">
        <v>7945</v>
      </c>
    </row>
    <row r="7758" spans="1:1" x14ac:dyDescent="0.2">
      <c r="A7758">
        <v>7946</v>
      </c>
    </row>
    <row r="7759" spans="1:1" x14ac:dyDescent="0.2">
      <c r="A7759">
        <v>7947</v>
      </c>
    </row>
    <row r="7760" spans="1:1" x14ac:dyDescent="0.2">
      <c r="A7760">
        <v>7948</v>
      </c>
    </row>
    <row r="7761" spans="1:1" x14ac:dyDescent="0.2">
      <c r="A7761">
        <v>7949</v>
      </c>
    </row>
    <row r="7762" spans="1:1" x14ac:dyDescent="0.2">
      <c r="A7762">
        <v>7950</v>
      </c>
    </row>
    <row r="7763" spans="1:1" x14ac:dyDescent="0.2">
      <c r="A7763">
        <v>7951</v>
      </c>
    </row>
    <row r="7764" spans="1:1" x14ac:dyDescent="0.2">
      <c r="A7764">
        <v>7952</v>
      </c>
    </row>
    <row r="7765" spans="1:1" x14ac:dyDescent="0.2">
      <c r="A7765">
        <v>7953</v>
      </c>
    </row>
    <row r="7766" spans="1:1" x14ac:dyDescent="0.2">
      <c r="A7766">
        <v>7954</v>
      </c>
    </row>
    <row r="7767" spans="1:1" x14ac:dyDescent="0.2">
      <c r="A7767">
        <v>7955</v>
      </c>
    </row>
    <row r="7768" spans="1:1" x14ac:dyDescent="0.2">
      <c r="A7768">
        <v>7956</v>
      </c>
    </row>
    <row r="7769" spans="1:1" x14ac:dyDescent="0.2">
      <c r="A7769">
        <v>7957</v>
      </c>
    </row>
    <row r="7770" spans="1:1" x14ac:dyDescent="0.2">
      <c r="A7770">
        <v>7958</v>
      </c>
    </row>
    <row r="7771" spans="1:1" x14ac:dyDescent="0.2">
      <c r="A7771">
        <v>7959</v>
      </c>
    </row>
    <row r="7772" spans="1:1" x14ac:dyDescent="0.2">
      <c r="A7772">
        <v>7960</v>
      </c>
    </row>
    <row r="7773" spans="1:1" x14ac:dyDescent="0.2">
      <c r="A7773">
        <v>7961</v>
      </c>
    </row>
    <row r="7774" spans="1:1" x14ac:dyDescent="0.2">
      <c r="A7774">
        <v>7962</v>
      </c>
    </row>
    <row r="7775" spans="1:1" x14ac:dyDescent="0.2">
      <c r="A7775">
        <v>7963</v>
      </c>
    </row>
    <row r="7776" spans="1:1" x14ac:dyDescent="0.2">
      <c r="A7776">
        <v>7964</v>
      </c>
    </row>
    <row r="7777" spans="1:1" x14ac:dyDescent="0.2">
      <c r="A7777">
        <v>7965</v>
      </c>
    </row>
    <row r="7778" spans="1:1" x14ac:dyDescent="0.2">
      <c r="A7778">
        <v>7966</v>
      </c>
    </row>
    <row r="7779" spans="1:1" x14ac:dyDescent="0.2">
      <c r="A7779">
        <v>7967</v>
      </c>
    </row>
    <row r="7780" spans="1:1" x14ac:dyDescent="0.2">
      <c r="A7780">
        <v>7968</v>
      </c>
    </row>
    <row r="7781" spans="1:1" x14ac:dyDescent="0.2">
      <c r="A7781">
        <v>7969</v>
      </c>
    </row>
    <row r="7782" spans="1:1" x14ac:dyDescent="0.2">
      <c r="A7782">
        <v>7970</v>
      </c>
    </row>
    <row r="7783" spans="1:1" x14ac:dyDescent="0.2">
      <c r="A7783">
        <v>7971</v>
      </c>
    </row>
    <row r="7784" spans="1:1" x14ac:dyDescent="0.2">
      <c r="A7784">
        <v>7972</v>
      </c>
    </row>
    <row r="7785" spans="1:1" x14ac:dyDescent="0.2">
      <c r="A7785">
        <v>7973</v>
      </c>
    </row>
    <row r="7786" spans="1:1" x14ac:dyDescent="0.2">
      <c r="A7786">
        <v>7974</v>
      </c>
    </row>
    <row r="7787" spans="1:1" x14ac:dyDescent="0.2">
      <c r="A7787">
        <v>7975</v>
      </c>
    </row>
    <row r="7788" spans="1:1" x14ac:dyDescent="0.2">
      <c r="A7788">
        <v>7976</v>
      </c>
    </row>
    <row r="7789" spans="1:1" x14ac:dyDescent="0.2">
      <c r="A7789">
        <v>7977</v>
      </c>
    </row>
    <row r="7790" spans="1:1" x14ac:dyDescent="0.2">
      <c r="A7790">
        <v>7978</v>
      </c>
    </row>
    <row r="7791" spans="1:1" x14ac:dyDescent="0.2">
      <c r="A7791">
        <v>7979</v>
      </c>
    </row>
    <row r="7792" spans="1:1" x14ac:dyDescent="0.2">
      <c r="A7792">
        <v>7980</v>
      </c>
    </row>
    <row r="7793" spans="1:1" x14ac:dyDescent="0.2">
      <c r="A7793">
        <v>7981</v>
      </c>
    </row>
    <row r="7794" spans="1:1" x14ac:dyDescent="0.2">
      <c r="A7794">
        <v>7982</v>
      </c>
    </row>
    <row r="7795" spans="1:1" x14ac:dyDescent="0.2">
      <c r="A7795">
        <v>7983</v>
      </c>
    </row>
    <row r="7796" spans="1:1" x14ac:dyDescent="0.2">
      <c r="A7796">
        <v>7984</v>
      </c>
    </row>
    <row r="7797" spans="1:1" x14ac:dyDescent="0.2">
      <c r="A7797">
        <v>7985</v>
      </c>
    </row>
    <row r="7798" spans="1:1" x14ac:dyDescent="0.2">
      <c r="A7798">
        <v>7986</v>
      </c>
    </row>
    <row r="7799" spans="1:1" x14ac:dyDescent="0.2">
      <c r="A7799">
        <v>7987</v>
      </c>
    </row>
    <row r="7800" spans="1:1" x14ac:dyDescent="0.2">
      <c r="A7800">
        <v>7988</v>
      </c>
    </row>
    <row r="7801" spans="1:1" x14ac:dyDescent="0.2">
      <c r="A7801">
        <v>7989</v>
      </c>
    </row>
    <row r="7802" spans="1:1" x14ac:dyDescent="0.2">
      <c r="A7802">
        <v>7990</v>
      </c>
    </row>
    <row r="7803" spans="1:1" x14ac:dyDescent="0.2">
      <c r="A7803">
        <v>7991</v>
      </c>
    </row>
    <row r="7804" spans="1:1" x14ac:dyDescent="0.2">
      <c r="A7804">
        <v>7992</v>
      </c>
    </row>
    <row r="7805" spans="1:1" x14ac:dyDescent="0.2">
      <c r="A7805">
        <v>7993</v>
      </c>
    </row>
    <row r="7806" spans="1:1" x14ac:dyDescent="0.2">
      <c r="A7806">
        <v>7994</v>
      </c>
    </row>
    <row r="7807" spans="1:1" x14ac:dyDescent="0.2">
      <c r="A7807">
        <v>7995</v>
      </c>
    </row>
    <row r="7808" spans="1:1" x14ac:dyDescent="0.2">
      <c r="A7808">
        <v>7996</v>
      </c>
    </row>
    <row r="7809" spans="1:1" x14ac:dyDescent="0.2">
      <c r="A7809">
        <v>7997</v>
      </c>
    </row>
    <row r="7810" spans="1:1" x14ac:dyDescent="0.2">
      <c r="A7810">
        <v>7998</v>
      </c>
    </row>
    <row r="7811" spans="1:1" x14ac:dyDescent="0.2">
      <c r="A7811">
        <v>7999</v>
      </c>
    </row>
    <row r="7812" spans="1:1" x14ac:dyDescent="0.2">
      <c r="A7812">
        <v>8000</v>
      </c>
    </row>
    <row r="7813" spans="1:1" x14ac:dyDescent="0.2">
      <c r="A7813">
        <v>8001</v>
      </c>
    </row>
    <row r="7814" spans="1:1" x14ac:dyDescent="0.2">
      <c r="A7814">
        <v>8002</v>
      </c>
    </row>
    <row r="7815" spans="1:1" x14ac:dyDescent="0.2">
      <c r="A7815">
        <v>8003</v>
      </c>
    </row>
    <row r="7816" spans="1:1" x14ac:dyDescent="0.2">
      <c r="A7816">
        <v>8004</v>
      </c>
    </row>
    <row r="7817" spans="1:1" x14ac:dyDescent="0.2">
      <c r="A7817">
        <v>8005</v>
      </c>
    </row>
    <row r="7818" spans="1:1" x14ac:dyDescent="0.2">
      <c r="A7818">
        <v>8006</v>
      </c>
    </row>
    <row r="7819" spans="1:1" x14ac:dyDescent="0.2">
      <c r="A7819">
        <v>8007</v>
      </c>
    </row>
    <row r="7820" spans="1:1" x14ac:dyDescent="0.2">
      <c r="A7820">
        <v>8008</v>
      </c>
    </row>
    <row r="7821" spans="1:1" x14ac:dyDescent="0.2">
      <c r="A7821">
        <v>8009</v>
      </c>
    </row>
    <row r="7822" spans="1:1" x14ac:dyDescent="0.2">
      <c r="A7822">
        <v>8010</v>
      </c>
    </row>
    <row r="7823" spans="1:1" x14ac:dyDescent="0.2">
      <c r="A7823">
        <v>8011</v>
      </c>
    </row>
    <row r="7824" spans="1:1" x14ac:dyDescent="0.2">
      <c r="A7824">
        <v>8012</v>
      </c>
    </row>
    <row r="7825" spans="1:1" x14ac:dyDescent="0.2">
      <c r="A7825">
        <v>8013</v>
      </c>
    </row>
    <row r="7826" spans="1:1" x14ac:dyDescent="0.2">
      <c r="A7826">
        <v>8014</v>
      </c>
    </row>
    <row r="7827" spans="1:1" x14ac:dyDescent="0.2">
      <c r="A7827">
        <v>8015</v>
      </c>
    </row>
    <row r="7828" spans="1:1" x14ac:dyDescent="0.2">
      <c r="A7828">
        <v>8016</v>
      </c>
    </row>
    <row r="7829" spans="1:1" x14ac:dyDescent="0.2">
      <c r="A7829">
        <v>8017</v>
      </c>
    </row>
    <row r="7830" spans="1:1" x14ac:dyDescent="0.2">
      <c r="A7830">
        <v>8018</v>
      </c>
    </row>
    <row r="7831" spans="1:1" x14ac:dyDescent="0.2">
      <c r="A7831">
        <v>8019</v>
      </c>
    </row>
    <row r="7832" spans="1:1" x14ac:dyDescent="0.2">
      <c r="A7832">
        <v>8020</v>
      </c>
    </row>
    <row r="7833" spans="1:1" x14ac:dyDescent="0.2">
      <c r="A7833">
        <v>8021</v>
      </c>
    </row>
    <row r="7834" spans="1:1" x14ac:dyDescent="0.2">
      <c r="A7834">
        <v>8022</v>
      </c>
    </row>
    <row r="7835" spans="1:1" x14ac:dyDescent="0.2">
      <c r="A7835">
        <v>8023</v>
      </c>
    </row>
    <row r="7836" spans="1:1" x14ac:dyDescent="0.2">
      <c r="A7836">
        <v>8024</v>
      </c>
    </row>
    <row r="7837" spans="1:1" x14ac:dyDescent="0.2">
      <c r="A7837">
        <v>8025</v>
      </c>
    </row>
    <row r="7838" spans="1:1" x14ac:dyDescent="0.2">
      <c r="A7838">
        <v>8026</v>
      </c>
    </row>
    <row r="7839" spans="1:1" x14ac:dyDescent="0.2">
      <c r="A7839">
        <v>8027</v>
      </c>
    </row>
    <row r="7840" spans="1:1" x14ac:dyDescent="0.2">
      <c r="A7840">
        <v>8028</v>
      </c>
    </row>
    <row r="7841" spans="1:1" x14ac:dyDescent="0.2">
      <c r="A7841">
        <v>8029</v>
      </c>
    </row>
    <row r="7842" spans="1:1" x14ac:dyDescent="0.2">
      <c r="A7842">
        <v>8030</v>
      </c>
    </row>
    <row r="7843" spans="1:1" x14ac:dyDescent="0.2">
      <c r="A7843">
        <v>8031</v>
      </c>
    </row>
    <row r="7844" spans="1:1" x14ac:dyDescent="0.2">
      <c r="A7844">
        <v>8032</v>
      </c>
    </row>
    <row r="7845" spans="1:1" x14ac:dyDescent="0.2">
      <c r="A7845">
        <v>8033</v>
      </c>
    </row>
    <row r="7846" spans="1:1" x14ac:dyDescent="0.2">
      <c r="A7846">
        <v>8034</v>
      </c>
    </row>
    <row r="7847" spans="1:1" x14ac:dyDescent="0.2">
      <c r="A7847">
        <v>8035</v>
      </c>
    </row>
    <row r="7848" spans="1:1" x14ac:dyDescent="0.2">
      <c r="A7848">
        <v>8036</v>
      </c>
    </row>
    <row r="7849" spans="1:1" x14ac:dyDescent="0.2">
      <c r="A7849">
        <v>8037</v>
      </c>
    </row>
    <row r="7850" spans="1:1" x14ac:dyDescent="0.2">
      <c r="A7850">
        <v>8038</v>
      </c>
    </row>
    <row r="7851" spans="1:1" x14ac:dyDescent="0.2">
      <c r="A7851">
        <v>8039</v>
      </c>
    </row>
    <row r="7852" spans="1:1" x14ac:dyDescent="0.2">
      <c r="A7852">
        <v>8040</v>
      </c>
    </row>
    <row r="7853" spans="1:1" x14ac:dyDescent="0.2">
      <c r="A7853">
        <v>8041</v>
      </c>
    </row>
    <row r="7854" spans="1:1" x14ac:dyDescent="0.2">
      <c r="A7854">
        <v>8042</v>
      </c>
    </row>
    <row r="7855" spans="1:1" x14ac:dyDescent="0.2">
      <c r="A7855">
        <v>8043</v>
      </c>
    </row>
    <row r="7856" spans="1:1" x14ac:dyDescent="0.2">
      <c r="A7856">
        <v>8044</v>
      </c>
    </row>
    <row r="7857" spans="1:1" x14ac:dyDescent="0.2">
      <c r="A7857">
        <v>8045</v>
      </c>
    </row>
    <row r="7858" spans="1:1" x14ac:dyDescent="0.2">
      <c r="A7858">
        <v>8046</v>
      </c>
    </row>
    <row r="7859" spans="1:1" x14ac:dyDescent="0.2">
      <c r="A7859">
        <v>8047</v>
      </c>
    </row>
    <row r="7860" spans="1:1" x14ac:dyDescent="0.2">
      <c r="A7860">
        <v>8048</v>
      </c>
    </row>
    <row r="7861" spans="1:1" x14ac:dyDescent="0.2">
      <c r="A7861">
        <v>8049</v>
      </c>
    </row>
    <row r="7862" spans="1:1" x14ac:dyDescent="0.2">
      <c r="A7862">
        <v>8050</v>
      </c>
    </row>
    <row r="7863" spans="1:1" x14ac:dyDescent="0.2">
      <c r="A7863">
        <v>8051</v>
      </c>
    </row>
    <row r="7864" spans="1:1" x14ac:dyDescent="0.2">
      <c r="A7864">
        <v>8052</v>
      </c>
    </row>
    <row r="7865" spans="1:1" x14ac:dyDescent="0.2">
      <c r="A7865">
        <v>8053</v>
      </c>
    </row>
    <row r="7866" spans="1:1" x14ac:dyDescent="0.2">
      <c r="A7866">
        <v>8054</v>
      </c>
    </row>
    <row r="7867" spans="1:1" x14ac:dyDescent="0.2">
      <c r="A7867">
        <v>8055</v>
      </c>
    </row>
    <row r="7868" spans="1:1" x14ac:dyDescent="0.2">
      <c r="A7868">
        <v>8056</v>
      </c>
    </row>
    <row r="7869" spans="1:1" x14ac:dyDescent="0.2">
      <c r="A7869">
        <v>8057</v>
      </c>
    </row>
    <row r="7870" spans="1:1" x14ac:dyDescent="0.2">
      <c r="A7870">
        <v>8058</v>
      </c>
    </row>
    <row r="7871" spans="1:1" x14ac:dyDescent="0.2">
      <c r="A7871">
        <v>8059</v>
      </c>
    </row>
    <row r="7872" spans="1:1" x14ac:dyDescent="0.2">
      <c r="A7872">
        <v>8060</v>
      </c>
    </row>
    <row r="7873" spans="1:1" x14ac:dyDescent="0.2">
      <c r="A7873">
        <v>8061</v>
      </c>
    </row>
    <row r="7874" spans="1:1" x14ac:dyDescent="0.2">
      <c r="A7874">
        <v>8062</v>
      </c>
    </row>
    <row r="7875" spans="1:1" x14ac:dyDescent="0.2">
      <c r="A7875">
        <v>8063</v>
      </c>
    </row>
    <row r="7876" spans="1:1" x14ac:dyDescent="0.2">
      <c r="A7876">
        <v>8064</v>
      </c>
    </row>
    <row r="7877" spans="1:1" x14ac:dyDescent="0.2">
      <c r="A7877">
        <v>8065</v>
      </c>
    </row>
    <row r="7878" spans="1:1" x14ac:dyDescent="0.2">
      <c r="A7878">
        <v>8066</v>
      </c>
    </row>
    <row r="7879" spans="1:1" x14ac:dyDescent="0.2">
      <c r="A7879">
        <v>8067</v>
      </c>
    </row>
    <row r="7880" spans="1:1" x14ac:dyDescent="0.2">
      <c r="A7880">
        <v>8068</v>
      </c>
    </row>
    <row r="7881" spans="1:1" x14ac:dyDescent="0.2">
      <c r="A7881">
        <v>8069</v>
      </c>
    </row>
    <row r="7882" spans="1:1" x14ac:dyDescent="0.2">
      <c r="A7882">
        <v>8070</v>
      </c>
    </row>
    <row r="7883" spans="1:1" x14ac:dyDescent="0.2">
      <c r="A7883">
        <v>8071</v>
      </c>
    </row>
    <row r="7884" spans="1:1" x14ac:dyDescent="0.2">
      <c r="A7884">
        <v>8072</v>
      </c>
    </row>
    <row r="7885" spans="1:1" x14ac:dyDescent="0.2">
      <c r="A7885">
        <v>8073</v>
      </c>
    </row>
    <row r="7886" spans="1:1" x14ac:dyDescent="0.2">
      <c r="A7886">
        <v>8074</v>
      </c>
    </row>
    <row r="7887" spans="1:1" x14ac:dyDescent="0.2">
      <c r="A7887">
        <v>8075</v>
      </c>
    </row>
    <row r="7888" spans="1:1" x14ac:dyDescent="0.2">
      <c r="A7888">
        <v>8076</v>
      </c>
    </row>
    <row r="7889" spans="1:1" x14ac:dyDescent="0.2">
      <c r="A7889">
        <v>8077</v>
      </c>
    </row>
    <row r="7890" spans="1:1" x14ac:dyDescent="0.2">
      <c r="A7890">
        <v>8078</v>
      </c>
    </row>
    <row r="7891" spans="1:1" x14ac:dyDescent="0.2">
      <c r="A7891">
        <v>8079</v>
      </c>
    </row>
    <row r="7892" spans="1:1" x14ac:dyDescent="0.2">
      <c r="A7892">
        <v>8080</v>
      </c>
    </row>
    <row r="7893" spans="1:1" x14ac:dyDescent="0.2">
      <c r="A7893">
        <v>8081</v>
      </c>
    </row>
    <row r="7894" spans="1:1" x14ac:dyDescent="0.2">
      <c r="A7894">
        <v>8082</v>
      </c>
    </row>
    <row r="7895" spans="1:1" x14ac:dyDescent="0.2">
      <c r="A7895">
        <v>8083</v>
      </c>
    </row>
    <row r="7896" spans="1:1" x14ac:dyDescent="0.2">
      <c r="A7896">
        <v>8084</v>
      </c>
    </row>
    <row r="7897" spans="1:1" x14ac:dyDescent="0.2">
      <c r="A7897">
        <v>8085</v>
      </c>
    </row>
    <row r="7898" spans="1:1" x14ac:dyDescent="0.2">
      <c r="A7898">
        <v>8086</v>
      </c>
    </row>
    <row r="7899" spans="1:1" x14ac:dyDescent="0.2">
      <c r="A7899">
        <v>8087</v>
      </c>
    </row>
    <row r="7900" spans="1:1" x14ac:dyDescent="0.2">
      <c r="A7900">
        <v>8088</v>
      </c>
    </row>
    <row r="7901" spans="1:1" x14ac:dyDescent="0.2">
      <c r="A7901">
        <v>8089</v>
      </c>
    </row>
    <row r="7902" spans="1:1" x14ac:dyDescent="0.2">
      <c r="A7902">
        <v>8090</v>
      </c>
    </row>
    <row r="7903" spans="1:1" x14ac:dyDescent="0.2">
      <c r="A7903">
        <v>8091</v>
      </c>
    </row>
    <row r="7904" spans="1:1" x14ac:dyDescent="0.2">
      <c r="A7904">
        <v>8092</v>
      </c>
    </row>
    <row r="7905" spans="1:1" x14ac:dyDescent="0.2">
      <c r="A7905">
        <v>8093</v>
      </c>
    </row>
    <row r="7906" spans="1:1" x14ac:dyDescent="0.2">
      <c r="A7906">
        <v>8094</v>
      </c>
    </row>
    <row r="7907" spans="1:1" x14ac:dyDescent="0.2">
      <c r="A7907">
        <v>8095</v>
      </c>
    </row>
    <row r="7908" spans="1:1" x14ac:dyDescent="0.2">
      <c r="A7908">
        <v>8096</v>
      </c>
    </row>
    <row r="7909" spans="1:1" x14ac:dyDescent="0.2">
      <c r="A7909">
        <v>8097</v>
      </c>
    </row>
    <row r="7910" spans="1:1" x14ac:dyDescent="0.2">
      <c r="A7910">
        <v>8098</v>
      </c>
    </row>
    <row r="7911" spans="1:1" x14ac:dyDescent="0.2">
      <c r="A7911">
        <v>8099</v>
      </c>
    </row>
    <row r="7912" spans="1:1" x14ac:dyDescent="0.2">
      <c r="A7912">
        <v>8100</v>
      </c>
    </row>
    <row r="7913" spans="1:1" x14ac:dyDescent="0.2">
      <c r="A7913">
        <v>8101</v>
      </c>
    </row>
    <row r="7914" spans="1:1" x14ac:dyDescent="0.2">
      <c r="A7914">
        <v>8102</v>
      </c>
    </row>
    <row r="7915" spans="1:1" x14ac:dyDescent="0.2">
      <c r="A7915">
        <v>8103</v>
      </c>
    </row>
    <row r="7916" spans="1:1" x14ac:dyDescent="0.2">
      <c r="A7916">
        <v>8104</v>
      </c>
    </row>
    <row r="7917" spans="1:1" x14ac:dyDescent="0.2">
      <c r="A7917">
        <v>8105</v>
      </c>
    </row>
    <row r="7918" spans="1:1" x14ac:dyDescent="0.2">
      <c r="A7918">
        <v>8106</v>
      </c>
    </row>
    <row r="7919" spans="1:1" x14ac:dyDescent="0.2">
      <c r="A7919">
        <v>8107</v>
      </c>
    </row>
    <row r="7920" spans="1:1" x14ac:dyDescent="0.2">
      <c r="A7920">
        <v>8108</v>
      </c>
    </row>
    <row r="7921" spans="1:1" x14ac:dyDescent="0.2">
      <c r="A7921">
        <v>8109</v>
      </c>
    </row>
    <row r="7922" spans="1:1" x14ac:dyDescent="0.2">
      <c r="A7922">
        <v>8110</v>
      </c>
    </row>
    <row r="7923" spans="1:1" x14ac:dyDescent="0.2">
      <c r="A7923">
        <v>8111</v>
      </c>
    </row>
    <row r="7924" spans="1:1" x14ac:dyDescent="0.2">
      <c r="A7924">
        <v>8112</v>
      </c>
    </row>
    <row r="7925" spans="1:1" x14ac:dyDescent="0.2">
      <c r="A7925">
        <v>8113</v>
      </c>
    </row>
    <row r="7926" spans="1:1" x14ac:dyDescent="0.2">
      <c r="A7926">
        <v>8114</v>
      </c>
    </row>
    <row r="7927" spans="1:1" x14ac:dyDescent="0.2">
      <c r="A7927">
        <v>8115</v>
      </c>
    </row>
    <row r="7928" spans="1:1" x14ac:dyDescent="0.2">
      <c r="A7928">
        <v>8116</v>
      </c>
    </row>
    <row r="7929" spans="1:1" x14ac:dyDescent="0.2">
      <c r="A7929">
        <v>8117</v>
      </c>
    </row>
    <row r="7930" spans="1:1" x14ac:dyDescent="0.2">
      <c r="A7930">
        <v>8118</v>
      </c>
    </row>
    <row r="7931" spans="1:1" x14ac:dyDescent="0.2">
      <c r="A7931">
        <v>8119</v>
      </c>
    </row>
    <row r="7932" spans="1:1" x14ac:dyDescent="0.2">
      <c r="A7932">
        <v>8120</v>
      </c>
    </row>
    <row r="7933" spans="1:1" x14ac:dyDescent="0.2">
      <c r="A7933">
        <v>8121</v>
      </c>
    </row>
    <row r="7934" spans="1:1" x14ac:dyDescent="0.2">
      <c r="A7934">
        <v>8122</v>
      </c>
    </row>
    <row r="7935" spans="1:1" x14ac:dyDescent="0.2">
      <c r="A7935">
        <v>8123</v>
      </c>
    </row>
    <row r="7936" spans="1:1" x14ac:dyDescent="0.2">
      <c r="A7936">
        <v>8124</v>
      </c>
    </row>
    <row r="7937" spans="1:1" x14ac:dyDescent="0.2">
      <c r="A7937">
        <v>8125</v>
      </c>
    </row>
    <row r="7938" spans="1:1" x14ac:dyDescent="0.2">
      <c r="A7938">
        <v>8126</v>
      </c>
    </row>
    <row r="7939" spans="1:1" x14ac:dyDescent="0.2">
      <c r="A7939">
        <v>8127</v>
      </c>
    </row>
    <row r="7940" spans="1:1" x14ac:dyDescent="0.2">
      <c r="A7940">
        <v>8128</v>
      </c>
    </row>
    <row r="7941" spans="1:1" x14ac:dyDescent="0.2">
      <c r="A7941">
        <v>8129</v>
      </c>
    </row>
    <row r="7942" spans="1:1" x14ac:dyDescent="0.2">
      <c r="A7942">
        <v>8130</v>
      </c>
    </row>
    <row r="7943" spans="1:1" x14ac:dyDescent="0.2">
      <c r="A7943">
        <v>8131</v>
      </c>
    </row>
    <row r="7944" spans="1:1" x14ac:dyDescent="0.2">
      <c r="A7944">
        <v>8132</v>
      </c>
    </row>
    <row r="7945" spans="1:1" x14ac:dyDescent="0.2">
      <c r="A7945">
        <v>8133</v>
      </c>
    </row>
    <row r="7946" spans="1:1" x14ac:dyDescent="0.2">
      <c r="A7946">
        <v>8134</v>
      </c>
    </row>
    <row r="7947" spans="1:1" x14ac:dyDescent="0.2">
      <c r="A7947">
        <v>8135</v>
      </c>
    </row>
    <row r="7948" spans="1:1" x14ac:dyDescent="0.2">
      <c r="A7948">
        <v>8136</v>
      </c>
    </row>
    <row r="7949" spans="1:1" x14ac:dyDescent="0.2">
      <c r="A7949">
        <v>8137</v>
      </c>
    </row>
    <row r="7950" spans="1:1" x14ac:dyDescent="0.2">
      <c r="A7950">
        <v>8138</v>
      </c>
    </row>
    <row r="7951" spans="1:1" x14ac:dyDescent="0.2">
      <c r="A7951">
        <v>8139</v>
      </c>
    </row>
    <row r="7952" spans="1:1" x14ac:dyDescent="0.2">
      <c r="A7952">
        <v>8140</v>
      </c>
    </row>
    <row r="7953" spans="1:1" x14ac:dyDescent="0.2">
      <c r="A7953">
        <v>8141</v>
      </c>
    </row>
    <row r="7954" spans="1:1" x14ac:dyDescent="0.2">
      <c r="A7954">
        <v>8142</v>
      </c>
    </row>
    <row r="7955" spans="1:1" x14ac:dyDescent="0.2">
      <c r="A7955">
        <v>8143</v>
      </c>
    </row>
    <row r="7956" spans="1:1" x14ac:dyDescent="0.2">
      <c r="A7956">
        <v>8144</v>
      </c>
    </row>
    <row r="7957" spans="1:1" x14ac:dyDescent="0.2">
      <c r="A7957">
        <v>8145</v>
      </c>
    </row>
    <row r="7958" spans="1:1" x14ac:dyDescent="0.2">
      <c r="A7958">
        <v>8146</v>
      </c>
    </row>
    <row r="7959" spans="1:1" x14ac:dyDescent="0.2">
      <c r="A7959">
        <v>8147</v>
      </c>
    </row>
    <row r="7960" spans="1:1" x14ac:dyDescent="0.2">
      <c r="A7960">
        <v>8148</v>
      </c>
    </row>
    <row r="7961" spans="1:1" x14ac:dyDescent="0.2">
      <c r="A7961">
        <v>8149</v>
      </c>
    </row>
    <row r="7962" spans="1:1" x14ac:dyDescent="0.2">
      <c r="A7962">
        <v>8150</v>
      </c>
    </row>
    <row r="7963" spans="1:1" x14ac:dyDescent="0.2">
      <c r="A7963">
        <v>8151</v>
      </c>
    </row>
    <row r="7964" spans="1:1" x14ac:dyDescent="0.2">
      <c r="A7964">
        <v>8152</v>
      </c>
    </row>
    <row r="7965" spans="1:1" x14ac:dyDescent="0.2">
      <c r="A7965">
        <v>8153</v>
      </c>
    </row>
    <row r="7966" spans="1:1" x14ac:dyDescent="0.2">
      <c r="A7966">
        <v>8154</v>
      </c>
    </row>
    <row r="7967" spans="1:1" x14ac:dyDescent="0.2">
      <c r="A7967">
        <v>8155</v>
      </c>
    </row>
    <row r="7968" spans="1:1" x14ac:dyDescent="0.2">
      <c r="A7968">
        <v>8156</v>
      </c>
    </row>
    <row r="7969" spans="1:1" x14ac:dyDescent="0.2">
      <c r="A7969">
        <v>8157</v>
      </c>
    </row>
    <row r="7970" spans="1:1" x14ac:dyDescent="0.2">
      <c r="A7970">
        <v>8158</v>
      </c>
    </row>
    <row r="7971" spans="1:1" x14ac:dyDescent="0.2">
      <c r="A7971">
        <v>8159</v>
      </c>
    </row>
    <row r="7972" spans="1:1" x14ac:dyDescent="0.2">
      <c r="A7972">
        <v>8160</v>
      </c>
    </row>
    <row r="7973" spans="1:1" x14ac:dyDescent="0.2">
      <c r="A7973">
        <v>8161</v>
      </c>
    </row>
    <row r="7974" spans="1:1" x14ac:dyDescent="0.2">
      <c r="A7974">
        <v>8162</v>
      </c>
    </row>
    <row r="7975" spans="1:1" x14ac:dyDescent="0.2">
      <c r="A7975">
        <v>8163</v>
      </c>
    </row>
    <row r="7976" spans="1:1" x14ac:dyDescent="0.2">
      <c r="A7976">
        <v>8164</v>
      </c>
    </row>
    <row r="7977" spans="1:1" x14ac:dyDescent="0.2">
      <c r="A7977">
        <v>8165</v>
      </c>
    </row>
    <row r="7978" spans="1:1" x14ac:dyDescent="0.2">
      <c r="A7978">
        <v>8166</v>
      </c>
    </row>
    <row r="7979" spans="1:1" x14ac:dyDescent="0.2">
      <c r="A7979">
        <v>8167</v>
      </c>
    </row>
    <row r="7980" spans="1:1" x14ac:dyDescent="0.2">
      <c r="A7980">
        <v>8168</v>
      </c>
    </row>
    <row r="7981" spans="1:1" x14ac:dyDescent="0.2">
      <c r="A7981">
        <v>8169</v>
      </c>
    </row>
    <row r="7982" spans="1:1" x14ac:dyDescent="0.2">
      <c r="A7982">
        <v>8170</v>
      </c>
    </row>
    <row r="7983" spans="1:1" x14ac:dyDescent="0.2">
      <c r="A7983">
        <v>8171</v>
      </c>
    </row>
    <row r="7984" spans="1:1" x14ac:dyDescent="0.2">
      <c r="A7984">
        <v>8172</v>
      </c>
    </row>
    <row r="7985" spans="1:1" x14ac:dyDescent="0.2">
      <c r="A7985">
        <v>8173</v>
      </c>
    </row>
    <row r="7986" spans="1:1" x14ac:dyDescent="0.2">
      <c r="A7986">
        <v>8174</v>
      </c>
    </row>
    <row r="7987" spans="1:1" x14ac:dyDescent="0.2">
      <c r="A7987">
        <v>8175</v>
      </c>
    </row>
    <row r="7988" spans="1:1" x14ac:dyDescent="0.2">
      <c r="A7988">
        <v>8176</v>
      </c>
    </row>
    <row r="7989" spans="1:1" x14ac:dyDescent="0.2">
      <c r="A7989">
        <v>8177</v>
      </c>
    </row>
    <row r="7990" spans="1:1" x14ac:dyDescent="0.2">
      <c r="A7990">
        <v>8178</v>
      </c>
    </row>
    <row r="7991" spans="1:1" x14ac:dyDescent="0.2">
      <c r="A7991">
        <v>8179</v>
      </c>
    </row>
    <row r="7992" spans="1:1" x14ac:dyDescent="0.2">
      <c r="A7992">
        <v>8180</v>
      </c>
    </row>
    <row r="7993" spans="1:1" x14ac:dyDescent="0.2">
      <c r="A7993">
        <v>8181</v>
      </c>
    </row>
    <row r="7994" spans="1:1" x14ac:dyDescent="0.2">
      <c r="A7994">
        <v>8182</v>
      </c>
    </row>
    <row r="7995" spans="1:1" x14ac:dyDescent="0.2">
      <c r="A7995">
        <v>8183</v>
      </c>
    </row>
    <row r="7996" spans="1:1" x14ac:dyDescent="0.2">
      <c r="A7996">
        <v>8184</v>
      </c>
    </row>
    <row r="7997" spans="1:1" x14ac:dyDescent="0.2">
      <c r="A7997">
        <v>8185</v>
      </c>
    </row>
    <row r="7998" spans="1:1" x14ac:dyDescent="0.2">
      <c r="A7998">
        <v>8186</v>
      </c>
    </row>
    <row r="7999" spans="1:1" x14ac:dyDescent="0.2">
      <c r="A7999">
        <v>8187</v>
      </c>
    </row>
    <row r="8000" spans="1:1" x14ac:dyDescent="0.2">
      <c r="A8000">
        <v>8188</v>
      </c>
    </row>
    <row r="8001" spans="1:1" x14ac:dyDescent="0.2">
      <c r="A8001">
        <v>8189</v>
      </c>
    </row>
    <row r="8002" spans="1:1" x14ac:dyDescent="0.2">
      <c r="A8002">
        <v>8190</v>
      </c>
    </row>
    <row r="8003" spans="1:1" x14ac:dyDescent="0.2">
      <c r="A8003">
        <v>8191</v>
      </c>
    </row>
    <row r="8004" spans="1:1" x14ac:dyDescent="0.2">
      <c r="A8004">
        <v>8192</v>
      </c>
    </row>
    <row r="8005" spans="1:1" x14ac:dyDescent="0.2">
      <c r="A8005">
        <v>8193</v>
      </c>
    </row>
    <row r="8006" spans="1:1" x14ac:dyDescent="0.2">
      <c r="A8006">
        <v>8194</v>
      </c>
    </row>
    <row r="8007" spans="1:1" x14ac:dyDescent="0.2">
      <c r="A8007">
        <v>8195</v>
      </c>
    </row>
    <row r="8008" spans="1:1" x14ac:dyDescent="0.2">
      <c r="A8008">
        <v>8196</v>
      </c>
    </row>
    <row r="8009" spans="1:1" x14ac:dyDescent="0.2">
      <c r="A8009">
        <v>8197</v>
      </c>
    </row>
    <row r="8010" spans="1:1" x14ac:dyDescent="0.2">
      <c r="A8010">
        <v>8198</v>
      </c>
    </row>
    <row r="8011" spans="1:1" x14ac:dyDescent="0.2">
      <c r="A8011">
        <v>8199</v>
      </c>
    </row>
    <row r="8012" spans="1:1" x14ac:dyDescent="0.2">
      <c r="A8012">
        <v>8200</v>
      </c>
    </row>
    <row r="8013" spans="1:1" x14ac:dyDescent="0.2">
      <c r="A8013">
        <v>8201</v>
      </c>
    </row>
    <row r="8014" spans="1:1" x14ac:dyDescent="0.2">
      <c r="A8014">
        <v>8202</v>
      </c>
    </row>
    <row r="8015" spans="1:1" x14ac:dyDescent="0.2">
      <c r="A8015">
        <v>8203</v>
      </c>
    </row>
    <row r="8016" spans="1:1" x14ac:dyDescent="0.2">
      <c r="A8016">
        <v>8204</v>
      </c>
    </row>
    <row r="8017" spans="1:1" x14ac:dyDescent="0.2">
      <c r="A8017">
        <v>8205</v>
      </c>
    </row>
    <row r="8018" spans="1:1" x14ac:dyDescent="0.2">
      <c r="A8018">
        <v>8206</v>
      </c>
    </row>
    <row r="8019" spans="1:1" x14ac:dyDescent="0.2">
      <c r="A8019">
        <v>8207</v>
      </c>
    </row>
    <row r="8020" spans="1:1" x14ac:dyDescent="0.2">
      <c r="A8020">
        <v>8208</v>
      </c>
    </row>
    <row r="8021" spans="1:1" x14ac:dyDescent="0.2">
      <c r="A8021">
        <v>8209</v>
      </c>
    </row>
    <row r="8022" spans="1:1" x14ac:dyDescent="0.2">
      <c r="A8022">
        <v>8210</v>
      </c>
    </row>
    <row r="8023" spans="1:1" x14ac:dyDescent="0.2">
      <c r="A8023">
        <v>8211</v>
      </c>
    </row>
    <row r="8024" spans="1:1" x14ac:dyDescent="0.2">
      <c r="A8024">
        <v>8212</v>
      </c>
    </row>
    <row r="8025" spans="1:1" x14ac:dyDescent="0.2">
      <c r="A8025">
        <v>8213</v>
      </c>
    </row>
    <row r="8026" spans="1:1" x14ac:dyDescent="0.2">
      <c r="A8026">
        <v>8214</v>
      </c>
    </row>
    <row r="8027" spans="1:1" x14ac:dyDescent="0.2">
      <c r="A8027">
        <v>8215</v>
      </c>
    </row>
    <row r="8028" spans="1:1" x14ac:dyDescent="0.2">
      <c r="A8028">
        <v>8216</v>
      </c>
    </row>
    <row r="8029" spans="1:1" x14ac:dyDescent="0.2">
      <c r="A8029">
        <v>8217</v>
      </c>
    </row>
    <row r="8030" spans="1:1" x14ac:dyDescent="0.2">
      <c r="A8030">
        <v>8218</v>
      </c>
    </row>
    <row r="8031" spans="1:1" x14ac:dyDescent="0.2">
      <c r="A8031">
        <v>8219</v>
      </c>
    </row>
    <row r="8032" spans="1:1" x14ac:dyDescent="0.2">
      <c r="A8032">
        <v>8220</v>
      </c>
    </row>
    <row r="8033" spans="1:1" x14ac:dyDescent="0.2">
      <c r="A8033">
        <v>8221</v>
      </c>
    </row>
    <row r="8034" spans="1:1" x14ac:dyDescent="0.2">
      <c r="A8034">
        <v>8222</v>
      </c>
    </row>
    <row r="8035" spans="1:1" x14ac:dyDescent="0.2">
      <c r="A8035">
        <v>8223</v>
      </c>
    </row>
    <row r="8036" spans="1:1" x14ac:dyDescent="0.2">
      <c r="A8036">
        <v>8224</v>
      </c>
    </row>
    <row r="8037" spans="1:1" x14ac:dyDescent="0.2">
      <c r="A8037">
        <v>8225</v>
      </c>
    </row>
    <row r="8038" spans="1:1" x14ac:dyDescent="0.2">
      <c r="A8038">
        <v>8226</v>
      </c>
    </row>
    <row r="8039" spans="1:1" x14ac:dyDescent="0.2">
      <c r="A8039">
        <v>8227</v>
      </c>
    </row>
    <row r="8040" spans="1:1" x14ac:dyDescent="0.2">
      <c r="A8040">
        <v>8228</v>
      </c>
    </row>
    <row r="8041" spans="1:1" x14ac:dyDescent="0.2">
      <c r="A8041">
        <v>8229</v>
      </c>
    </row>
    <row r="8042" spans="1:1" x14ac:dyDescent="0.2">
      <c r="A8042">
        <v>8230</v>
      </c>
    </row>
    <row r="8043" spans="1:1" x14ac:dyDescent="0.2">
      <c r="A8043">
        <v>8231</v>
      </c>
    </row>
    <row r="8044" spans="1:1" x14ac:dyDescent="0.2">
      <c r="A8044">
        <v>8232</v>
      </c>
    </row>
    <row r="8045" spans="1:1" x14ac:dyDescent="0.2">
      <c r="A8045">
        <v>8233</v>
      </c>
    </row>
    <row r="8046" spans="1:1" x14ac:dyDescent="0.2">
      <c r="A8046">
        <v>8234</v>
      </c>
    </row>
    <row r="8047" spans="1:1" x14ac:dyDescent="0.2">
      <c r="A8047">
        <v>8235</v>
      </c>
    </row>
    <row r="8048" spans="1:1" x14ac:dyDescent="0.2">
      <c r="A8048">
        <v>8236</v>
      </c>
    </row>
    <row r="8049" spans="1:1" x14ac:dyDescent="0.2">
      <c r="A8049">
        <v>8237</v>
      </c>
    </row>
    <row r="8050" spans="1:1" x14ac:dyDescent="0.2">
      <c r="A8050">
        <v>8238</v>
      </c>
    </row>
    <row r="8051" spans="1:1" x14ac:dyDescent="0.2">
      <c r="A8051">
        <v>8239</v>
      </c>
    </row>
    <row r="8052" spans="1:1" x14ac:dyDescent="0.2">
      <c r="A8052">
        <v>8240</v>
      </c>
    </row>
    <row r="8053" spans="1:1" x14ac:dyDescent="0.2">
      <c r="A8053">
        <v>8241</v>
      </c>
    </row>
    <row r="8054" spans="1:1" x14ac:dyDescent="0.2">
      <c r="A8054">
        <v>8242</v>
      </c>
    </row>
    <row r="8055" spans="1:1" x14ac:dyDescent="0.2">
      <c r="A8055">
        <v>8243</v>
      </c>
    </row>
    <row r="8056" spans="1:1" x14ac:dyDescent="0.2">
      <c r="A8056">
        <v>8244</v>
      </c>
    </row>
    <row r="8057" spans="1:1" x14ac:dyDescent="0.2">
      <c r="A8057">
        <v>8245</v>
      </c>
    </row>
    <row r="8058" spans="1:1" x14ac:dyDescent="0.2">
      <c r="A8058">
        <v>8246</v>
      </c>
    </row>
    <row r="8059" spans="1:1" x14ac:dyDescent="0.2">
      <c r="A8059">
        <v>8247</v>
      </c>
    </row>
    <row r="8060" spans="1:1" x14ac:dyDescent="0.2">
      <c r="A8060">
        <v>8248</v>
      </c>
    </row>
    <row r="8061" spans="1:1" x14ac:dyDescent="0.2">
      <c r="A8061">
        <v>8249</v>
      </c>
    </row>
    <row r="8062" spans="1:1" x14ac:dyDescent="0.2">
      <c r="A8062">
        <v>8250</v>
      </c>
    </row>
    <row r="8063" spans="1:1" x14ac:dyDescent="0.2">
      <c r="A8063">
        <v>8251</v>
      </c>
    </row>
    <row r="8064" spans="1:1" x14ac:dyDescent="0.2">
      <c r="A8064">
        <v>8252</v>
      </c>
    </row>
    <row r="8065" spans="1:1" x14ac:dyDescent="0.2">
      <c r="A8065">
        <v>8253</v>
      </c>
    </row>
    <row r="8066" spans="1:1" x14ac:dyDescent="0.2">
      <c r="A8066">
        <v>8254</v>
      </c>
    </row>
    <row r="8067" spans="1:1" x14ac:dyDescent="0.2">
      <c r="A8067">
        <v>8255</v>
      </c>
    </row>
    <row r="8068" spans="1:1" x14ac:dyDescent="0.2">
      <c r="A8068">
        <v>8256</v>
      </c>
    </row>
    <row r="8069" spans="1:1" x14ac:dyDescent="0.2">
      <c r="A8069">
        <v>8257</v>
      </c>
    </row>
    <row r="8070" spans="1:1" x14ac:dyDescent="0.2">
      <c r="A8070">
        <v>8258</v>
      </c>
    </row>
    <row r="8071" spans="1:1" x14ac:dyDescent="0.2">
      <c r="A8071">
        <v>8259</v>
      </c>
    </row>
    <row r="8072" spans="1:1" x14ac:dyDescent="0.2">
      <c r="A8072">
        <v>8260</v>
      </c>
    </row>
    <row r="8073" spans="1:1" x14ac:dyDescent="0.2">
      <c r="A8073">
        <v>8261</v>
      </c>
    </row>
    <row r="8074" spans="1:1" x14ac:dyDescent="0.2">
      <c r="A8074">
        <v>8262</v>
      </c>
    </row>
    <row r="8075" spans="1:1" x14ac:dyDescent="0.2">
      <c r="A8075">
        <v>8263</v>
      </c>
    </row>
    <row r="8076" spans="1:1" x14ac:dyDescent="0.2">
      <c r="A8076">
        <v>8264</v>
      </c>
    </row>
    <row r="8077" spans="1:1" x14ac:dyDescent="0.2">
      <c r="A8077">
        <v>8265</v>
      </c>
    </row>
    <row r="8078" spans="1:1" x14ac:dyDescent="0.2">
      <c r="A8078">
        <v>8266</v>
      </c>
    </row>
    <row r="8079" spans="1:1" x14ac:dyDescent="0.2">
      <c r="A8079">
        <v>8267</v>
      </c>
    </row>
    <row r="8080" spans="1:1" x14ac:dyDescent="0.2">
      <c r="A8080">
        <v>8268</v>
      </c>
    </row>
    <row r="8081" spans="1:1" x14ac:dyDescent="0.2">
      <c r="A8081">
        <v>8269</v>
      </c>
    </row>
    <row r="8082" spans="1:1" x14ac:dyDescent="0.2">
      <c r="A8082">
        <v>8270</v>
      </c>
    </row>
    <row r="8083" spans="1:1" x14ac:dyDescent="0.2">
      <c r="A8083">
        <v>8271</v>
      </c>
    </row>
    <row r="8084" spans="1:1" x14ac:dyDescent="0.2">
      <c r="A8084">
        <v>8272</v>
      </c>
    </row>
    <row r="8085" spans="1:1" x14ac:dyDescent="0.2">
      <c r="A8085">
        <v>8273</v>
      </c>
    </row>
    <row r="8086" spans="1:1" x14ac:dyDescent="0.2">
      <c r="A8086">
        <v>8274</v>
      </c>
    </row>
    <row r="8087" spans="1:1" x14ac:dyDescent="0.2">
      <c r="A8087">
        <v>8275</v>
      </c>
    </row>
    <row r="8088" spans="1:1" x14ac:dyDescent="0.2">
      <c r="A8088">
        <v>8276</v>
      </c>
    </row>
    <row r="8089" spans="1:1" x14ac:dyDescent="0.2">
      <c r="A8089">
        <v>8277</v>
      </c>
    </row>
    <row r="8090" spans="1:1" x14ac:dyDescent="0.2">
      <c r="A8090">
        <v>8278</v>
      </c>
    </row>
    <row r="8091" spans="1:1" x14ac:dyDescent="0.2">
      <c r="A8091">
        <v>8279</v>
      </c>
    </row>
    <row r="8092" spans="1:1" x14ac:dyDescent="0.2">
      <c r="A8092">
        <v>8280</v>
      </c>
    </row>
    <row r="8093" spans="1:1" x14ac:dyDescent="0.2">
      <c r="A8093">
        <v>8281</v>
      </c>
    </row>
    <row r="8094" spans="1:1" x14ac:dyDescent="0.2">
      <c r="A8094">
        <v>8282</v>
      </c>
    </row>
    <row r="8095" spans="1:1" x14ac:dyDescent="0.2">
      <c r="A8095">
        <v>8283</v>
      </c>
    </row>
    <row r="8096" spans="1:1" x14ac:dyDescent="0.2">
      <c r="A8096">
        <v>8284</v>
      </c>
    </row>
    <row r="8097" spans="1:1" x14ac:dyDescent="0.2">
      <c r="A8097">
        <v>8285</v>
      </c>
    </row>
    <row r="8098" spans="1:1" x14ac:dyDescent="0.2">
      <c r="A8098">
        <v>8286</v>
      </c>
    </row>
    <row r="8099" spans="1:1" x14ac:dyDescent="0.2">
      <c r="A8099">
        <v>8287</v>
      </c>
    </row>
    <row r="8100" spans="1:1" x14ac:dyDescent="0.2">
      <c r="A8100">
        <v>8288</v>
      </c>
    </row>
    <row r="8101" spans="1:1" x14ac:dyDescent="0.2">
      <c r="A8101">
        <v>8289</v>
      </c>
    </row>
    <row r="8102" spans="1:1" x14ac:dyDescent="0.2">
      <c r="A8102">
        <v>8290</v>
      </c>
    </row>
    <row r="8103" spans="1:1" x14ac:dyDescent="0.2">
      <c r="A8103">
        <v>8291</v>
      </c>
    </row>
    <row r="8104" spans="1:1" x14ac:dyDescent="0.2">
      <c r="A8104">
        <v>8292</v>
      </c>
    </row>
    <row r="8105" spans="1:1" x14ac:dyDescent="0.2">
      <c r="A8105">
        <v>8293</v>
      </c>
    </row>
    <row r="8106" spans="1:1" x14ac:dyDescent="0.2">
      <c r="A8106">
        <v>8294</v>
      </c>
    </row>
    <row r="8107" spans="1:1" x14ac:dyDescent="0.2">
      <c r="A8107">
        <v>8295</v>
      </c>
    </row>
    <row r="8108" spans="1:1" x14ac:dyDescent="0.2">
      <c r="A8108">
        <v>8296</v>
      </c>
    </row>
    <row r="8109" spans="1:1" x14ac:dyDescent="0.2">
      <c r="A8109">
        <v>8297</v>
      </c>
    </row>
    <row r="8110" spans="1:1" x14ac:dyDescent="0.2">
      <c r="A8110">
        <v>8298</v>
      </c>
    </row>
    <row r="8111" spans="1:1" x14ac:dyDescent="0.2">
      <c r="A8111">
        <v>8299</v>
      </c>
    </row>
    <row r="8112" spans="1:1" x14ac:dyDescent="0.2">
      <c r="A8112">
        <v>8300</v>
      </c>
    </row>
    <row r="8113" spans="1:1" x14ac:dyDescent="0.2">
      <c r="A8113">
        <v>8301</v>
      </c>
    </row>
    <row r="8114" spans="1:1" x14ac:dyDescent="0.2">
      <c r="A8114">
        <v>8302</v>
      </c>
    </row>
    <row r="8115" spans="1:1" x14ac:dyDescent="0.2">
      <c r="A8115">
        <v>8303</v>
      </c>
    </row>
    <row r="8116" spans="1:1" x14ac:dyDescent="0.2">
      <c r="A8116">
        <v>8304</v>
      </c>
    </row>
    <row r="8117" spans="1:1" x14ac:dyDescent="0.2">
      <c r="A8117">
        <v>8305</v>
      </c>
    </row>
    <row r="8118" spans="1:1" x14ac:dyDescent="0.2">
      <c r="A8118">
        <v>8306</v>
      </c>
    </row>
    <row r="8119" spans="1:1" x14ac:dyDescent="0.2">
      <c r="A8119">
        <v>8307</v>
      </c>
    </row>
    <row r="8120" spans="1:1" x14ac:dyDescent="0.2">
      <c r="A8120">
        <v>8308</v>
      </c>
    </row>
    <row r="8121" spans="1:1" x14ac:dyDescent="0.2">
      <c r="A8121">
        <v>8309</v>
      </c>
    </row>
    <row r="8122" spans="1:1" x14ac:dyDescent="0.2">
      <c r="A8122">
        <v>8310</v>
      </c>
    </row>
    <row r="8123" spans="1:1" x14ac:dyDescent="0.2">
      <c r="A8123">
        <v>8311</v>
      </c>
    </row>
    <row r="8124" spans="1:1" x14ac:dyDescent="0.2">
      <c r="A8124">
        <v>8312</v>
      </c>
    </row>
    <row r="8125" spans="1:1" x14ac:dyDescent="0.2">
      <c r="A8125">
        <v>8313</v>
      </c>
    </row>
    <row r="8126" spans="1:1" x14ac:dyDescent="0.2">
      <c r="A8126">
        <v>8314</v>
      </c>
    </row>
    <row r="8127" spans="1:1" x14ac:dyDescent="0.2">
      <c r="A8127">
        <v>8315</v>
      </c>
    </row>
    <row r="8128" spans="1:1" x14ac:dyDescent="0.2">
      <c r="A8128">
        <v>8316</v>
      </c>
    </row>
    <row r="8129" spans="1:1" x14ac:dyDescent="0.2">
      <c r="A8129">
        <v>8317</v>
      </c>
    </row>
    <row r="8130" spans="1:1" x14ac:dyDescent="0.2">
      <c r="A8130">
        <v>8318</v>
      </c>
    </row>
    <row r="8131" spans="1:1" x14ac:dyDescent="0.2">
      <c r="A8131">
        <v>8319</v>
      </c>
    </row>
    <row r="8132" spans="1:1" x14ac:dyDescent="0.2">
      <c r="A8132">
        <v>8320</v>
      </c>
    </row>
    <row r="8133" spans="1:1" x14ac:dyDescent="0.2">
      <c r="A8133">
        <v>8321</v>
      </c>
    </row>
    <row r="8134" spans="1:1" x14ac:dyDescent="0.2">
      <c r="A8134">
        <v>8322</v>
      </c>
    </row>
    <row r="8135" spans="1:1" x14ac:dyDescent="0.2">
      <c r="A8135">
        <v>8323</v>
      </c>
    </row>
    <row r="8136" spans="1:1" x14ac:dyDescent="0.2">
      <c r="A8136">
        <v>8324</v>
      </c>
    </row>
    <row r="8137" spans="1:1" x14ac:dyDescent="0.2">
      <c r="A8137">
        <v>8325</v>
      </c>
    </row>
    <row r="8138" spans="1:1" x14ac:dyDescent="0.2">
      <c r="A8138">
        <v>8326</v>
      </c>
    </row>
    <row r="8139" spans="1:1" x14ac:dyDescent="0.2">
      <c r="A8139">
        <v>8327</v>
      </c>
    </row>
    <row r="8140" spans="1:1" x14ac:dyDescent="0.2">
      <c r="A8140">
        <v>8328</v>
      </c>
    </row>
    <row r="8141" spans="1:1" x14ac:dyDescent="0.2">
      <c r="A8141">
        <v>8329</v>
      </c>
    </row>
    <row r="8142" spans="1:1" x14ac:dyDescent="0.2">
      <c r="A8142">
        <v>8330</v>
      </c>
    </row>
    <row r="8143" spans="1:1" x14ac:dyDescent="0.2">
      <c r="A8143">
        <v>8331</v>
      </c>
    </row>
    <row r="8144" spans="1:1" x14ac:dyDescent="0.2">
      <c r="A8144">
        <v>8332</v>
      </c>
    </row>
    <row r="8145" spans="1:1" x14ac:dyDescent="0.2">
      <c r="A8145">
        <v>8333</v>
      </c>
    </row>
    <row r="8146" spans="1:1" x14ac:dyDescent="0.2">
      <c r="A8146">
        <v>8334</v>
      </c>
    </row>
    <row r="8147" spans="1:1" x14ac:dyDescent="0.2">
      <c r="A8147">
        <v>8335</v>
      </c>
    </row>
    <row r="8148" spans="1:1" x14ac:dyDescent="0.2">
      <c r="A8148">
        <v>8336</v>
      </c>
    </row>
    <row r="8149" spans="1:1" x14ac:dyDescent="0.2">
      <c r="A8149">
        <v>8337</v>
      </c>
    </row>
    <row r="8150" spans="1:1" x14ac:dyDescent="0.2">
      <c r="A8150">
        <v>8338</v>
      </c>
    </row>
    <row r="8151" spans="1:1" x14ac:dyDescent="0.2">
      <c r="A8151">
        <v>8339</v>
      </c>
    </row>
    <row r="8152" spans="1:1" x14ac:dyDescent="0.2">
      <c r="A8152">
        <v>8340</v>
      </c>
    </row>
    <row r="8153" spans="1:1" x14ac:dyDescent="0.2">
      <c r="A8153">
        <v>8341</v>
      </c>
    </row>
    <row r="8154" spans="1:1" x14ac:dyDescent="0.2">
      <c r="A8154">
        <v>8342</v>
      </c>
    </row>
    <row r="8155" spans="1:1" x14ac:dyDescent="0.2">
      <c r="A8155">
        <v>8343</v>
      </c>
    </row>
    <row r="8156" spans="1:1" x14ac:dyDescent="0.2">
      <c r="A8156">
        <v>8344</v>
      </c>
    </row>
    <row r="8157" spans="1:1" x14ac:dyDescent="0.2">
      <c r="A8157">
        <v>8345</v>
      </c>
    </row>
    <row r="8158" spans="1:1" x14ac:dyDescent="0.2">
      <c r="A8158">
        <v>8346</v>
      </c>
    </row>
    <row r="8159" spans="1:1" x14ac:dyDescent="0.2">
      <c r="A8159">
        <v>8347</v>
      </c>
    </row>
    <row r="8160" spans="1:1" x14ac:dyDescent="0.2">
      <c r="A8160">
        <v>8348</v>
      </c>
    </row>
    <row r="8161" spans="1:1" x14ac:dyDescent="0.2">
      <c r="A8161">
        <v>8349</v>
      </c>
    </row>
    <row r="8162" spans="1:1" x14ac:dyDescent="0.2">
      <c r="A8162">
        <v>8350</v>
      </c>
    </row>
    <row r="8163" spans="1:1" x14ac:dyDescent="0.2">
      <c r="A8163">
        <v>8351</v>
      </c>
    </row>
    <row r="8164" spans="1:1" x14ac:dyDescent="0.2">
      <c r="A8164">
        <v>8352</v>
      </c>
    </row>
    <row r="8165" spans="1:1" x14ac:dyDescent="0.2">
      <c r="A8165">
        <v>8353</v>
      </c>
    </row>
    <row r="8166" spans="1:1" x14ac:dyDescent="0.2">
      <c r="A8166">
        <v>8354</v>
      </c>
    </row>
    <row r="8167" spans="1:1" x14ac:dyDescent="0.2">
      <c r="A8167">
        <v>8355</v>
      </c>
    </row>
    <row r="8168" spans="1:1" x14ac:dyDescent="0.2">
      <c r="A8168">
        <v>8356</v>
      </c>
    </row>
    <row r="8169" spans="1:1" x14ac:dyDescent="0.2">
      <c r="A8169">
        <v>8357</v>
      </c>
    </row>
    <row r="8170" spans="1:1" x14ac:dyDescent="0.2">
      <c r="A8170">
        <v>8358</v>
      </c>
    </row>
    <row r="8171" spans="1:1" x14ac:dyDescent="0.2">
      <c r="A8171">
        <v>8359</v>
      </c>
    </row>
    <row r="8172" spans="1:1" x14ac:dyDescent="0.2">
      <c r="A8172">
        <v>8360</v>
      </c>
    </row>
    <row r="8173" spans="1:1" x14ac:dyDescent="0.2">
      <c r="A8173">
        <v>8361</v>
      </c>
    </row>
    <row r="8174" spans="1:1" x14ac:dyDescent="0.2">
      <c r="A8174">
        <v>8362</v>
      </c>
    </row>
    <row r="8175" spans="1:1" x14ac:dyDescent="0.2">
      <c r="A8175">
        <v>8363</v>
      </c>
    </row>
    <row r="8176" spans="1:1" x14ac:dyDescent="0.2">
      <c r="A8176">
        <v>8364</v>
      </c>
    </row>
    <row r="8177" spans="1:1" x14ac:dyDescent="0.2">
      <c r="A8177">
        <v>8365</v>
      </c>
    </row>
    <row r="8178" spans="1:1" x14ac:dyDescent="0.2">
      <c r="A8178">
        <v>8366</v>
      </c>
    </row>
    <row r="8179" spans="1:1" x14ac:dyDescent="0.2">
      <c r="A8179">
        <v>8367</v>
      </c>
    </row>
    <row r="8180" spans="1:1" x14ac:dyDescent="0.2">
      <c r="A8180">
        <v>8368</v>
      </c>
    </row>
    <row r="8181" spans="1:1" x14ac:dyDescent="0.2">
      <c r="A8181">
        <v>8369</v>
      </c>
    </row>
    <row r="8182" spans="1:1" x14ac:dyDescent="0.2">
      <c r="A8182">
        <v>8370</v>
      </c>
    </row>
    <row r="8183" spans="1:1" x14ac:dyDescent="0.2">
      <c r="A8183">
        <v>8371</v>
      </c>
    </row>
    <row r="8184" spans="1:1" x14ac:dyDescent="0.2">
      <c r="A8184">
        <v>8372</v>
      </c>
    </row>
    <row r="8185" spans="1:1" x14ac:dyDescent="0.2">
      <c r="A8185">
        <v>8373</v>
      </c>
    </row>
    <row r="8186" spans="1:1" x14ac:dyDescent="0.2">
      <c r="A8186">
        <v>8374</v>
      </c>
    </row>
    <row r="8187" spans="1:1" x14ac:dyDescent="0.2">
      <c r="A8187">
        <v>8375</v>
      </c>
    </row>
    <row r="8188" spans="1:1" x14ac:dyDescent="0.2">
      <c r="A8188">
        <v>8376</v>
      </c>
    </row>
    <row r="8189" spans="1:1" x14ac:dyDescent="0.2">
      <c r="A8189">
        <v>8377</v>
      </c>
    </row>
    <row r="8190" spans="1:1" x14ac:dyDescent="0.2">
      <c r="A8190">
        <v>8378</v>
      </c>
    </row>
    <row r="8191" spans="1:1" x14ac:dyDescent="0.2">
      <c r="A8191">
        <v>8379</v>
      </c>
    </row>
    <row r="8192" spans="1:1" x14ac:dyDescent="0.2">
      <c r="A8192">
        <v>8380</v>
      </c>
    </row>
    <row r="8193" spans="1:1" x14ac:dyDescent="0.2">
      <c r="A8193">
        <v>8381</v>
      </c>
    </row>
    <row r="8194" spans="1:1" x14ac:dyDescent="0.2">
      <c r="A8194">
        <v>8382</v>
      </c>
    </row>
    <row r="8195" spans="1:1" x14ac:dyDescent="0.2">
      <c r="A8195">
        <v>8383</v>
      </c>
    </row>
    <row r="8196" spans="1:1" x14ac:dyDescent="0.2">
      <c r="A8196">
        <v>8384</v>
      </c>
    </row>
    <row r="8197" spans="1:1" x14ac:dyDescent="0.2">
      <c r="A8197">
        <v>8385</v>
      </c>
    </row>
    <row r="8198" spans="1:1" x14ac:dyDescent="0.2">
      <c r="A8198">
        <v>8386</v>
      </c>
    </row>
    <row r="8199" spans="1:1" x14ac:dyDescent="0.2">
      <c r="A8199">
        <v>8387</v>
      </c>
    </row>
    <row r="8200" spans="1:1" x14ac:dyDescent="0.2">
      <c r="A8200">
        <v>8388</v>
      </c>
    </row>
    <row r="8201" spans="1:1" x14ac:dyDescent="0.2">
      <c r="A8201">
        <v>8389</v>
      </c>
    </row>
    <row r="8202" spans="1:1" x14ac:dyDescent="0.2">
      <c r="A8202">
        <v>8390</v>
      </c>
    </row>
    <row r="8203" spans="1:1" x14ac:dyDescent="0.2">
      <c r="A8203">
        <v>8391</v>
      </c>
    </row>
    <row r="8204" spans="1:1" x14ac:dyDescent="0.2">
      <c r="A8204">
        <v>8392</v>
      </c>
    </row>
    <row r="8205" spans="1:1" x14ac:dyDescent="0.2">
      <c r="A8205">
        <v>8393</v>
      </c>
    </row>
    <row r="8206" spans="1:1" x14ac:dyDescent="0.2">
      <c r="A8206">
        <v>8394</v>
      </c>
    </row>
    <row r="8207" spans="1:1" x14ac:dyDescent="0.2">
      <c r="A8207">
        <v>8395</v>
      </c>
    </row>
    <row r="8208" spans="1:1" x14ac:dyDescent="0.2">
      <c r="A8208">
        <v>8396</v>
      </c>
    </row>
    <row r="8209" spans="1:1" x14ac:dyDescent="0.2">
      <c r="A8209">
        <v>8397</v>
      </c>
    </row>
    <row r="8210" spans="1:1" x14ac:dyDescent="0.2">
      <c r="A8210">
        <v>8398</v>
      </c>
    </row>
    <row r="8211" spans="1:1" x14ac:dyDescent="0.2">
      <c r="A8211">
        <v>8399</v>
      </c>
    </row>
    <row r="8212" spans="1:1" x14ac:dyDescent="0.2">
      <c r="A8212">
        <v>8400</v>
      </c>
    </row>
    <row r="8213" spans="1:1" x14ac:dyDescent="0.2">
      <c r="A8213">
        <v>8401</v>
      </c>
    </row>
    <row r="8214" spans="1:1" x14ac:dyDescent="0.2">
      <c r="A8214">
        <v>8402</v>
      </c>
    </row>
    <row r="8215" spans="1:1" x14ac:dyDescent="0.2">
      <c r="A8215">
        <v>8403</v>
      </c>
    </row>
    <row r="8216" spans="1:1" x14ac:dyDescent="0.2">
      <c r="A8216">
        <v>8404</v>
      </c>
    </row>
    <row r="8217" spans="1:1" x14ac:dyDescent="0.2">
      <c r="A8217">
        <v>8405</v>
      </c>
    </row>
    <row r="8218" spans="1:1" x14ac:dyDescent="0.2">
      <c r="A8218">
        <v>8406</v>
      </c>
    </row>
    <row r="8219" spans="1:1" x14ac:dyDescent="0.2">
      <c r="A8219">
        <v>8407</v>
      </c>
    </row>
    <row r="8220" spans="1:1" x14ac:dyDescent="0.2">
      <c r="A8220">
        <v>8408</v>
      </c>
    </row>
    <row r="8221" spans="1:1" x14ac:dyDescent="0.2">
      <c r="A8221">
        <v>8409</v>
      </c>
    </row>
    <row r="8222" spans="1:1" x14ac:dyDescent="0.2">
      <c r="A8222">
        <v>8410</v>
      </c>
    </row>
    <row r="8223" spans="1:1" x14ac:dyDescent="0.2">
      <c r="A8223">
        <v>8411</v>
      </c>
    </row>
    <row r="8224" spans="1:1" x14ac:dyDescent="0.2">
      <c r="A8224">
        <v>8412</v>
      </c>
    </row>
    <row r="8225" spans="1:1" x14ac:dyDescent="0.2">
      <c r="A8225">
        <v>8413</v>
      </c>
    </row>
    <row r="8226" spans="1:1" x14ac:dyDescent="0.2">
      <c r="A8226">
        <v>8414</v>
      </c>
    </row>
    <row r="8227" spans="1:1" x14ac:dyDescent="0.2">
      <c r="A8227">
        <v>8415</v>
      </c>
    </row>
    <row r="8228" spans="1:1" x14ac:dyDescent="0.2">
      <c r="A8228">
        <v>8416</v>
      </c>
    </row>
    <row r="8229" spans="1:1" x14ac:dyDescent="0.2">
      <c r="A8229">
        <v>8417</v>
      </c>
    </row>
    <row r="8230" spans="1:1" x14ac:dyDescent="0.2">
      <c r="A8230">
        <v>8418</v>
      </c>
    </row>
    <row r="8231" spans="1:1" x14ac:dyDescent="0.2">
      <c r="A8231">
        <v>8419</v>
      </c>
    </row>
    <row r="8232" spans="1:1" x14ac:dyDescent="0.2">
      <c r="A8232">
        <v>8420</v>
      </c>
    </row>
    <row r="8233" spans="1:1" x14ac:dyDescent="0.2">
      <c r="A8233">
        <v>8421</v>
      </c>
    </row>
    <row r="8234" spans="1:1" x14ac:dyDescent="0.2">
      <c r="A8234">
        <v>8422</v>
      </c>
    </row>
    <row r="8235" spans="1:1" x14ac:dyDescent="0.2">
      <c r="A8235">
        <v>8423</v>
      </c>
    </row>
    <row r="8236" spans="1:1" x14ac:dyDescent="0.2">
      <c r="A8236">
        <v>8424</v>
      </c>
    </row>
    <row r="8237" spans="1:1" x14ac:dyDescent="0.2">
      <c r="A8237">
        <v>8425</v>
      </c>
    </row>
    <row r="8238" spans="1:1" x14ac:dyDescent="0.2">
      <c r="A8238">
        <v>8426</v>
      </c>
    </row>
    <row r="8239" spans="1:1" x14ac:dyDescent="0.2">
      <c r="A8239">
        <v>8427</v>
      </c>
    </row>
    <row r="8240" spans="1:1" x14ac:dyDescent="0.2">
      <c r="A8240">
        <v>8428</v>
      </c>
    </row>
    <row r="8241" spans="1:1" x14ac:dyDescent="0.2">
      <c r="A8241">
        <v>8429</v>
      </c>
    </row>
    <row r="8242" spans="1:1" x14ac:dyDescent="0.2">
      <c r="A8242">
        <v>8430</v>
      </c>
    </row>
    <row r="8243" spans="1:1" x14ac:dyDescent="0.2">
      <c r="A8243">
        <v>8431</v>
      </c>
    </row>
    <row r="8244" spans="1:1" x14ac:dyDescent="0.2">
      <c r="A8244">
        <v>8432</v>
      </c>
    </row>
    <row r="8245" spans="1:1" x14ac:dyDescent="0.2">
      <c r="A8245">
        <v>8433</v>
      </c>
    </row>
    <row r="8246" spans="1:1" x14ac:dyDescent="0.2">
      <c r="A8246">
        <v>8434</v>
      </c>
    </row>
    <row r="8247" spans="1:1" x14ac:dyDescent="0.2">
      <c r="A8247">
        <v>8435</v>
      </c>
    </row>
    <row r="8248" spans="1:1" x14ac:dyDescent="0.2">
      <c r="A8248">
        <v>8436</v>
      </c>
    </row>
    <row r="8249" spans="1:1" x14ac:dyDescent="0.2">
      <c r="A8249">
        <v>8437</v>
      </c>
    </row>
    <row r="8250" spans="1:1" x14ac:dyDescent="0.2">
      <c r="A8250">
        <v>8438</v>
      </c>
    </row>
    <row r="8251" spans="1:1" x14ac:dyDescent="0.2">
      <c r="A8251">
        <v>8439</v>
      </c>
    </row>
    <row r="8252" spans="1:1" x14ac:dyDescent="0.2">
      <c r="A8252">
        <v>8440</v>
      </c>
    </row>
    <row r="8253" spans="1:1" x14ac:dyDescent="0.2">
      <c r="A8253">
        <v>8441</v>
      </c>
    </row>
    <row r="8254" spans="1:1" x14ac:dyDescent="0.2">
      <c r="A8254">
        <v>8442</v>
      </c>
    </row>
    <row r="8255" spans="1:1" x14ac:dyDescent="0.2">
      <c r="A8255">
        <v>8443</v>
      </c>
    </row>
    <row r="8256" spans="1:1" x14ac:dyDescent="0.2">
      <c r="A8256">
        <v>8444</v>
      </c>
    </row>
    <row r="8257" spans="1:1" x14ac:dyDescent="0.2">
      <c r="A8257">
        <v>8445</v>
      </c>
    </row>
    <row r="8258" spans="1:1" x14ac:dyDescent="0.2">
      <c r="A8258">
        <v>8446</v>
      </c>
    </row>
    <row r="8259" spans="1:1" x14ac:dyDescent="0.2">
      <c r="A8259">
        <v>8447</v>
      </c>
    </row>
    <row r="8260" spans="1:1" x14ac:dyDescent="0.2">
      <c r="A8260">
        <v>8448</v>
      </c>
    </row>
    <row r="8261" spans="1:1" x14ac:dyDescent="0.2">
      <c r="A8261">
        <v>8449</v>
      </c>
    </row>
    <row r="8262" spans="1:1" x14ac:dyDescent="0.2">
      <c r="A8262">
        <v>8450</v>
      </c>
    </row>
    <row r="8263" spans="1:1" x14ac:dyDescent="0.2">
      <c r="A8263">
        <v>8451</v>
      </c>
    </row>
    <row r="8264" spans="1:1" x14ac:dyDescent="0.2">
      <c r="A8264">
        <v>8452</v>
      </c>
    </row>
    <row r="8265" spans="1:1" x14ac:dyDescent="0.2">
      <c r="A8265">
        <v>8453</v>
      </c>
    </row>
    <row r="8266" spans="1:1" x14ac:dyDescent="0.2">
      <c r="A8266">
        <v>8454</v>
      </c>
    </row>
    <row r="8267" spans="1:1" x14ac:dyDescent="0.2">
      <c r="A8267">
        <v>8455</v>
      </c>
    </row>
    <row r="8268" spans="1:1" x14ac:dyDescent="0.2">
      <c r="A8268">
        <v>8456</v>
      </c>
    </row>
    <row r="8269" spans="1:1" x14ac:dyDescent="0.2">
      <c r="A8269">
        <v>8457</v>
      </c>
    </row>
    <row r="8270" spans="1:1" x14ac:dyDescent="0.2">
      <c r="A8270">
        <v>8458</v>
      </c>
    </row>
    <row r="8271" spans="1:1" x14ac:dyDescent="0.2">
      <c r="A8271">
        <v>8459</v>
      </c>
    </row>
    <row r="8272" spans="1:1" x14ac:dyDescent="0.2">
      <c r="A8272">
        <v>8460</v>
      </c>
    </row>
    <row r="8273" spans="1:1" x14ac:dyDescent="0.2">
      <c r="A8273">
        <v>8461</v>
      </c>
    </row>
    <row r="8274" spans="1:1" x14ac:dyDescent="0.2">
      <c r="A8274">
        <v>8462</v>
      </c>
    </row>
    <row r="8275" spans="1:1" x14ac:dyDescent="0.2">
      <c r="A8275">
        <v>8463</v>
      </c>
    </row>
    <row r="8276" spans="1:1" x14ac:dyDescent="0.2">
      <c r="A8276">
        <v>8464</v>
      </c>
    </row>
    <row r="8277" spans="1:1" x14ac:dyDescent="0.2">
      <c r="A8277">
        <v>8465</v>
      </c>
    </row>
    <row r="8278" spans="1:1" x14ac:dyDescent="0.2">
      <c r="A8278">
        <v>8466</v>
      </c>
    </row>
    <row r="8279" spans="1:1" x14ac:dyDescent="0.2">
      <c r="A8279">
        <v>8467</v>
      </c>
    </row>
    <row r="8280" spans="1:1" x14ac:dyDescent="0.2">
      <c r="A8280">
        <v>8468</v>
      </c>
    </row>
    <row r="8281" spans="1:1" x14ac:dyDescent="0.2">
      <c r="A8281">
        <v>8469</v>
      </c>
    </row>
    <row r="8282" spans="1:1" x14ac:dyDescent="0.2">
      <c r="A8282">
        <v>8470</v>
      </c>
    </row>
    <row r="8283" spans="1:1" x14ac:dyDescent="0.2">
      <c r="A8283">
        <v>8471</v>
      </c>
    </row>
    <row r="8284" spans="1:1" x14ac:dyDescent="0.2">
      <c r="A8284">
        <v>8472</v>
      </c>
    </row>
    <row r="8285" spans="1:1" x14ac:dyDescent="0.2">
      <c r="A8285">
        <v>8473</v>
      </c>
    </row>
    <row r="8286" spans="1:1" x14ac:dyDescent="0.2">
      <c r="A8286">
        <v>8474</v>
      </c>
    </row>
    <row r="8287" spans="1:1" x14ac:dyDescent="0.2">
      <c r="A8287">
        <v>8475</v>
      </c>
    </row>
    <row r="8288" spans="1:1" x14ac:dyDescent="0.2">
      <c r="A8288">
        <v>8476</v>
      </c>
    </row>
    <row r="8289" spans="1:1" x14ac:dyDescent="0.2">
      <c r="A8289">
        <v>8477</v>
      </c>
    </row>
    <row r="8290" spans="1:1" x14ac:dyDescent="0.2">
      <c r="A8290">
        <v>8478</v>
      </c>
    </row>
    <row r="8291" spans="1:1" x14ac:dyDescent="0.2">
      <c r="A8291">
        <v>8479</v>
      </c>
    </row>
    <row r="8292" spans="1:1" x14ac:dyDescent="0.2">
      <c r="A8292">
        <v>8480</v>
      </c>
    </row>
    <row r="8293" spans="1:1" x14ac:dyDescent="0.2">
      <c r="A8293">
        <v>8481</v>
      </c>
    </row>
    <row r="8294" spans="1:1" x14ac:dyDescent="0.2">
      <c r="A8294">
        <v>8482</v>
      </c>
    </row>
    <row r="8295" spans="1:1" x14ac:dyDescent="0.2">
      <c r="A8295">
        <v>8483</v>
      </c>
    </row>
    <row r="8296" spans="1:1" x14ac:dyDescent="0.2">
      <c r="A8296">
        <v>8484</v>
      </c>
    </row>
    <row r="8297" spans="1:1" x14ac:dyDescent="0.2">
      <c r="A8297">
        <v>8485</v>
      </c>
    </row>
    <row r="8298" spans="1:1" x14ac:dyDescent="0.2">
      <c r="A8298">
        <v>8486</v>
      </c>
    </row>
    <row r="8299" spans="1:1" x14ac:dyDescent="0.2">
      <c r="A8299">
        <v>8487</v>
      </c>
    </row>
    <row r="8300" spans="1:1" x14ac:dyDescent="0.2">
      <c r="A8300">
        <v>8488</v>
      </c>
    </row>
    <row r="8301" spans="1:1" x14ac:dyDescent="0.2">
      <c r="A8301">
        <v>8489</v>
      </c>
    </row>
    <row r="8302" spans="1:1" x14ac:dyDescent="0.2">
      <c r="A8302">
        <v>8490</v>
      </c>
    </row>
    <row r="8303" spans="1:1" x14ac:dyDescent="0.2">
      <c r="A8303">
        <v>8491</v>
      </c>
    </row>
    <row r="8304" spans="1:1" x14ac:dyDescent="0.2">
      <c r="A8304">
        <v>8492</v>
      </c>
    </row>
    <row r="8305" spans="1:1" x14ac:dyDescent="0.2">
      <c r="A8305">
        <v>8493</v>
      </c>
    </row>
    <row r="8306" spans="1:1" x14ac:dyDescent="0.2">
      <c r="A8306">
        <v>8494</v>
      </c>
    </row>
    <row r="8307" spans="1:1" x14ac:dyDescent="0.2">
      <c r="A8307">
        <v>8495</v>
      </c>
    </row>
    <row r="8308" spans="1:1" x14ac:dyDescent="0.2">
      <c r="A8308">
        <v>8496</v>
      </c>
    </row>
    <row r="8309" spans="1:1" x14ac:dyDescent="0.2">
      <c r="A8309">
        <v>8497</v>
      </c>
    </row>
    <row r="8310" spans="1:1" x14ac:dyDescent="0.2">
      <c r="A8310">
        <v>8498</v>
      </c>
    </row>
    <row r="8311" spans="1:1" x14ac:dyDescent="0.2">
      <c r="A8311">
        <v>8499</v>
      </c>
    </row>
    <row r="8312" spans="1:1" x14ac:dyDescent="0.2">
      <c r="A8312">
        <v>8500</v>
      </c>
    </row>
    <row r="8313" spans="1:1" x14ac:dyDescent="0.2">
      <c r="A8313">
        <v>8501</v>
      </c>
    </row>
    <row r="8314" spans="1:1" x14ac:dyDescent="0.2">
      <c r="A8314">
        <v>8502</v>
      </c>
    </row>
    <row r="8315" spans="1:1" x14ac:dyDescent="0.2">
      <c r="A8315">
        <v>8503</v>
      </c>
    </row>
    <row r="8316" spans="1:1" x14ac:dyDescent="0.2">
      <c r="A8316">
        <v>8504</v>
      </c>
    </row>
    <row r="8317" spans="1:1" x14ac:dyDescent="0.2">
      <c r="A8317">
        <v>8505</v>
      </c>
    </row>
    <row r="8318" spans="1:1" x14ac:dyDescent="0.2">
      <c r="A8318">
        <v>8506</v>
      </c>
    </row>
    <row r="8319" spans="1:1" x14ac:dyDescent="0.2">
      <c r="A8319">
        <v>8507</v>
      </c>
    </row>
    <row r="8320" spans="1:1" x14ac:dyDescent="0.2">
      <c r="A8320">
        <v>8508</v>
      </c>
    </row>
    <row r="8321" spans="1:1" x14ac:dyDescent="0.2">
      <c r="A8321">
        <v>8509</v>
      </c>
    </row>
    <row r="8322" spans="1:1" x14ac:dyDescent="0.2">
      <c r="A8322">
        <v>8510</v>
      </c>
    </row>
    <row r="8323" spans="1:1" x14ac:dyDescent="0.2">
      <c r="A8323">
        <v>8511</v>
      </c>
    </row>
    <row r="8324" spans="1:1" x14ac:dyDescent="0.2">
      <c r="A8324">
        <v>8512</v>
      </c>
    </row>
    <row r="8325" spans="1:1" x14ac:dyDescent="0.2">
      <c r="A8325">
        <v>8513</v>
      </c>
    </row>
    <row r="8326" spans="1:1" x14ac:dyDescent="0.2">
      <c r="A8326">
        <v>8514</v>
      </c>
    </row>
    <row r="8327" spans="1:1" x14ac:dyDescent="0.2">
      <c r="A8327">
        <v>8515</v>
      </c>
    </row>
    <row r="8328" spans="1:1" x14ac:dyDescent="0.2">
      <c r="A8328">
        <v>8516</v>
      </c>
    </row>
    <row r="8329" spans="1:1" x14ac:dyDescent="0.2">
      <c r="A8329">
        <v>8517</v>
      </c>
    </row>
    <row r="8330" spans="1:1" x14ac:dyDescent="0.2">
      <c r="A8330">
        <v>8518</v>
      </c>
    </row>
    <row r="8331" spans="1:1" x14ac:dyDescent="0.2">
      <c r="A8331">
        <v>8519</v>
      </c>
    </row>
    <row r="8332" spans="1:1" x14ac:dyDescent="0.2">
      <c r="A8332">
        <v>8520</v>
      </c>
    </row>
    <row r="8333" spans="1:1" x14ac:dyDescent="0.2">
      <c r="A8333">
        <v>8521</v>
      </c>
    </row>
    <row r="8334" spans="1:1" x14ac:dyDescent="0.2">
      <c r="A8334">
        <v>8522</v>
      </c>
    </row>
    <row r="8335" spans="1:1" x14ac:dyDescent="0.2">
      <c r="A8335">
        <v>8523</v>
      </c>
    </row>
    <row r="8336" spans="1:1" x14ac:dyDescent="0.2">
      <c r="A8336">
        <v>8524</v>
      </c>
    </row>
    <row r="8337" spans="1:1" x14ac:dyDescent="0.2">
      <c r="A8337">
        <v>8525</v>
      </c>
    </row>
    <row r="8338" spans="1:1" x14ac:dyDescent="0.2">
      <c r="A8338">
        <v>8526</v>
      </c>
    </row>
    <row r="8339" spans="1:1" x14ac:dyDescent="0.2">
      <c r="A8339">
        <v>8527</v>
      </c>
    </row>
    <row r="8340" spans="1:1" x14ac:dyDescent="0.2">
      <c r="A8340">
        <v>8528</v>
      </c>
    </row>
    <row r="8341" spans="1:1" x14ac:dyDescent="0.2">
      <c r="A8341">
        <v>8529</v>
      </c>
    </row>
    <row r="8342" spans="1:1" x14ac:dyDescent="0.2">
      <c r="A8342">
        <v>8530</v>
      </c>
    </row>
    <row r="8343" spans="1:1" x14ac:dyDescent="0.2">
      <c r="A8343">
        <v>8531</v>
      </c>
    </row>
    <row r="8344" spans="1:1" x14ac:dyDescent="0.2">
      <c r="A8344">
        <v>8532</v>
      </c>
    </row>
    <row r="8345" spans="1:1" x14ac:dyDescent="0.2">
      <c r="A8345">
        <v>8533</v>
      </c>
    </row>
    <row r="8346" spans="1:1" x14ac:dyDescent="0.2">
      <c r="A8346">
        <v>8534</v>
      </c>
    </row>
    <row r="8347" spans="1:1" x14ac:dyDescent="0.2">
      <c r="A8347">
        <v>8535</v>
      </c>
    </row>
    <row r="8348" spans="1:1" x14ac:dyDescent="0.2">
      <c r="A8348">
        <v>8536</v>
      </c>
    </row>
    <row r="8349" spans="1:1" x14ac:dyDescent="0.2">
      <c r="A8349">
        <v>8537</v>
      </c>
    </row>
    <row r="8350" spans="1:1" x14ac:dyDescent="0.2">
      <c r="A8350">
        <v>8538</v>
      </c>
    </row>
    <row r="8351" spans="1:1" x14ac:dyDescent="0.2">
      <c r="A8351">
        <v>8539</v>
      </c>
    </row>
    <row r="8352" spans="1:1" x14ac:dyDescent="0.2">
      <c r="A8352">
        <v>8540</v>
      </c>
    </row>
    <row r="8353" spans="1:1" x14ac:dyDescent="0.2">
      <c r="A8353">
        <v>8541</v>
      </c>
    </row>
    <row r="8354" spans="1:1" x14ac:dyDescent="0.2">
      <c r="A8354">
        <v>8542</v>
      </c>
    </row>
    <row r="8355" spans="1:1" x14ac:dyDescent="0.2">
      <c r="A8355">
        <v>8543</v>
      </c>
    </row>
    <row r="8356" spans="1:1" x14ac:dyDescent="0.2">
      <c r="A8356">
        <v>8544</v>
      </c>
    </row>
    <row r="8357" spans="1:1" x14ac:dyDescent="0.2">
      <c r="A8357">
        <v>8545</v>
      </c>
    </row>
    <row r="8358" spans="1:1" x14ac:dyDescent="0.2">
      <c r="A8358">
        <v>8546</v>
      </c>
    </row>
    <row r="8359" spans="1:1" x14ac:dyDescent="0.2">
      <c r="A8359">
        <v>8547</v>
      </c>
    </row>
    <row r="8360" spans="1:1" x14ac:dyDescent="0.2">
      <c r="A8360">
        <v>8548</v>
      </c>
    </row>
    <row r="8361" spans="1:1" x14ac:dyDescent="0.2">
      <c r="A8361">
        <v>8549</v>
      </c>
    </row>
    <row r="8362" spans="1:1" x14ac:dyDescent="0.2">
      <c r="A8362">
        <v>8550</v>
      </c>
    </row>
    <row r="8363" spans="1:1" x14ac:dyDescent="0.2">
      <c r="A8363">
        <v>8551</v>
      </c>
    </row>
    <row r="8364" spans="1:1" x14ac:dyDescent="0.2">
      <c r="A8364">
        <v>8552</v>
      </c>
    </row>
    <row r="8365" spans="1:1" x14ac:dyDescent="0.2">
      <c r="A8365">
        <v>8553</v>
      </c>
    </row>
    <row r="8366" spans="1:1" x14ac:dyDescent="0.2">
      <c r="A8366">
        <v>8554</v>
      </c>
    </row>
    <row r="8367" spans="1:1" x14ac:dyDescent="0.2">
      <c r="A8367">
        <v>8555</v>
      </c>
    </row>
    <row r="8368" spans="1:1" x14ac:dyDescent="0.2">
      <c r="A8368">
        <v>8556</v>
      </c>
    </row>
    <row r="8369" spans="1:1" x14ac:dyDescent="0.2">
      <c r="A8369">
        <v>8557</v>
      </c>
    </row>
    <row r="8370" spans="1:1" x14ac:dyDescent="0.2">
      <c r="A8370">
        <v>8558</v>
      </c>
    </row>
    <row r="8371" spans="1:1" x14ac:dyDescent="0.2">
      <c r="A8371">
        <v>8559</v>
      </c>
    </row>
    <row r="8372" spans="1:1" x14ac:dyDescent="0.2">
      <c r="A8372">
        <v>8560</v>
      </c>
    </row>
    <row r="8373" spans="1:1" x14ac:dyDescent="0.2">
      <c r="A8373">
        <v>8561</v>
      </c>
    </row>
    <row r="8374" spans="1:1" x14ac:dyDescent="0.2">
      <c r="A8374">
        <v>8562</v>
      </c>
    </row>
    <row r="8375" spans="1:1" x14ac:dyDescent="0.2">
      <c r="A8375">
        <v>8563</v>
      </c>
    </row>
    <row r="8376" spans="1:1" x14ac:dyDescent="0.2">
      <c r="A8376">
        <v>8564</v>
      </c>
    </row>
    <row r="8377" spans="1:1" x14ac:dyDescent="0.2">
      <c r="A8377">
        <v>8565</v>
      </c>
    </row>
    <row r="8378" spans="1:1" x14ac:dyDescent="0.2">
      <c r="A8378">
        <v>8566</v>
      </c>
    </row>
    <row r="8379" spans="1:1" x14ac:dyDescent="0.2">
      <c r="A8379">
        <v>8567</v>
      </c>
    </row>
    <row r="8380" spans="1:1" x14ac:dyDescent="0.2">
      <c r="A8380">
        <v>8568</v>
      </c>
    </row>
    <row r="8381" spans="1:1" x14ac:dyDescent="0.2">
      <c r="A8381">
        <v>8569</v>
      </c>
    </row>
    <row r="8382" spans="1:1" x14ac:dyDescent="0.2">
      <c r="A8382">
        <v>8570</v>
      </c>
    </row>
    <row r="8383" spans="1:1" x14ac:dyDescent="0.2">
      <c r="A8383">
        <v>8571</v>
      </c>
    </row>
    <row r="8384" spans="1:1" x14ac:dyDescent="0.2">
      <c r="A8384">
        <v>8572</v>
      </c>
    </row>
    <row r="8385" spans="1:1" x14ac:dyDescent="0.2">
      <c r="A8385">
        <v>8573</v>
      </c>
    </row>
    <row r="8386" spans="1:1" x14ac:dyDescent="0.2">
      <c r="A8386">
        <v>8574</v>
      </c>
    </row>
    <row r="8387" spans="1:1" x14ac:dyDescent="0.2">
      <c r="A8387">
        <v>8575</v>
      </c>
    </row>
    <row r="8388" spans="1:1" x14ac:dyDescent="0.2">
      <c r="A8388">
        <v>8576</v>
      </c>
    </row>
    <row r="8389" spans="1:1" x14ac:dyDescent="0.2">
      <c r="A8389">
        <v>8577</v>
      </c>
    </row>
    <row r="8390" spans="1:1" x14ac:dyDescent="0.2">
      <c r="A8390">
        <v>8578</v>
      </c>
    </row>
    <row r="8391" spans="1:1" x14ac:dyDescent="0.2">
      <c r="A8391">
        <v>8579</v>
      </c>
    </row>
    <row r="8392" spans="1:1" x14ac:dyDescent="0.2">
      <c r="A8392">
        <v>8580</v>
      </c>
    </row>
    <row r="8393" spans="1:1" x14ac:dyDescent="0.2">
      <c r="A8393">
        <v>8581</v>
      </c>
    </row>
    <row r="8394" spans="1:1" x14ac:dyDescent="0.2">
      <c r="A8394">
        <v>8582</v>
      </c>
    </row>
    <row r="8395" spans="1:1" x14ac:dyDescent="0.2">
      <c r="A8395">
        <v>8583</v>
      </c>
    </row>
    <row r="8396" spans="1:1" x14ac:dyDescent="0.2">
      <c r="A8396">
        <v>8584</v>
      </c>
    </row>
    <row r="8397" spans="1:1" x14ac:dyDescent="0.2">
      <c r="A8397">
        <v>8585</v>
      </c>
    </row>
    <row r="8398" spans="1:1" x14ac:dyDescent="0.2">
      <c r="A8398">
        <v>8586</v>
      </c>
    </row>
    <row r="8399" spans="1:1" x14ac:dyDescent="0.2">
      <c r="A8399">
        <v>8587</v>
      </c>
    </row>
    <row r="8400" spans="1:1" x14ac:dyDescent="0.2">
      <c r="A8400">
        <v>8588</v>
      </c>
    </row>
    <row r="8401" spans="1:1" x14ac:dyDescent="0.2">
      <c r="A8401">
        <v>8589</v>
      </c>
    </row>
    <row r="8402" spans="1:1" x14ac:dyDescent="0.2">
      <c r="A8402">
        <v>8590</v>
      </c>
    </row>
    <row r="8403" spans="1:1" x14ac:dyDescent="0.2">
      <c r="A8403">
        <v>8591</v>
      </c>
    </row>
    <row r="8404" spans="1:1" x14ac:dyDescent="0.2">
      <c r="A8404">
        <v>8592</v>
      </c>
    </row>
    <row r="8405" spans="1:1" x14ac:dyDescent="0.2">
      <c r="A8405">
        <v>8593</v>
      </c>
    </row>
    <row r="8406" spans="1:1" x14ac:dyDescent="0.2">
      <c r="A8406">
        <v>8594</v>
      </c>
    </row>
    <row r="8407" spans="1:1" x14ac:dyDescent="0.2">
      <c r="A8407">
        <v>8595</v>
      </c>
    </row>
    <row r="8408" spans="1:1" x14ac:dyDescent="0.2">
      <c r="A8408">
        <v>8596</v>
      </c>
    </row>
    <row r="8409" spans="1:1" x14ac:dyDescent="0.2">
      <c r="A8409">
        <v>8597</v>
      </c>
    </row>
    <row r="8410" spans="1:1" x14ac:dyDescent="0.2">
      <c r="A8410">
        <v>8598</v>
      </c>
    </row>
    <row r="8411" spans="1:1" x14ac:dyDescent="0.2">
      <c r="A8411">
        <v>8599</v>
      </c>
    </row>
    <row r="8412" spans="1:1" x14ac:dyDescent="0.2">
      <c r="A8412">
        <v>8600</v>
      </c>
    </row>
    <row r="8413" spans="1:1" x14ac:dyDescent="0.2">
      <c r="A8413">
        <v>8601</v>
      </c>
    </row>
    <row r="8414" spans="1:1" x14ac:dyDescent="0.2">
      <c r="A8414">
        <v>8602</v>
      </c>
    </row>
    <row r="8415" spans="1:1" x14ac:dyDescent="0.2">
      <c r="A8415">
        <v>8603</v>
      </c>
    </row>
    <row r="8416" spans="1:1" x14ac:dyDescent="0.2">
      <c r="A8416">
        <v>8604</v>
      </c>
    </row>
    <row r="8417" spans="1:1" x14ac:dyDescent="0.2">
      <c r="A8417">
        <v>8605</v>
      </c>
    </row>
    <row r="8418" spans="1:1" x14ac:dyDescent="0.2">
      <c r="A8418">
        <v>8606</v>
      </c>
    </row>
    <row r="8419" spans="1:1" x14ac:dyDescent="0.2">
      <c r="A8419">
        <v>8607</v>
      </c>
    </row>
    <row r="8420" spans="1:1" x14ac:dyDescent="0.2">
      <c r="A8420">
        <v>8608</v>
      </c>
    </row>
    <row r="8421" spans="1:1" x14ac:dyDescent="0.2">
      <c r="A8421">
        <v>8609</v>
      </c>
    </row>
    <row r="8422" spans="1:1" x14ac:dyDescent="0.2">
      <c r="A8422">
        <v>8610</v>
      </c>
    </row>
    <row r="8423" spans="1:1" x14ac:dyDescent="0.2">
      <c r="A8423">
        <v>8611</v>
      </c>
    </row>
    <row r="8424" spans="1:1" x14ac:dyDescent="0.2">
      <c r="A8424">
        <v>8612</v>
      </c>
    </row>
    <row r="8425" spans="1:1" x14ac:dyDescent="0.2">
      <c r="A8425">
        <v>8613</v>
      </c>
    </row>
    <row r="8426" spans="1:1" x14ac:dyDescent="0.2">
      <c r="A8426">
        <v>8614</v>
      </c>
    </row>
    <row r="8427" spans="1:1" x14ac:dyDescent="0.2">
      <c r="A8427">
        <v>8615</v>
      </c>
    </row>
    <row r="8428" spans="1:1" x14ac:dyDescent="0.2">
      <c r="A8428">
        <v>8616</v>
      </c>
    </row>
    <row r="8429" spans="1:1" x14ac:dyDescent="0.2">
      <c r="A8429">
        <v>8617</v>
      </c>
    </row>
    <row r="8430" spans="1:1" x14ac:dyDescent="0.2">
      <c r="A8430">
        <v>8618</v>
      </c>
    </row>
    <row r="8431" spans="1:1" x14ac:dyDescent="0.2">
      <c r="A8431">
        <v>8619</v>
      </c>
    </row>
    <row r="8432" spans="1:1" x14ac:dyDescent="0.2">
      <c r="A8432">
        <v>8620</v>
      </c>
    </row>
    <row r="8433" spans="1:1" x14ac:dyDescent="0.2">
      <c r="A8433">
        <v>8621</v>
      </c>
    </row>
    <row r="8434" spans="1:1" x14ac:dyDescent="0.2">
      <c r="A8434">
        <v>8622</v>
      </c>
    </row>
    <row r="8435" spans="1:1" x14ac:dyDescent="0.2">
      <c r="A8435">
        <v>8623</v>
      </c>
    </row>
    <row r="8436" spans="1:1" x14ac:dyDescent="0.2">
      <c r="A8436">
        <v>8624</v>
      </c>
    </row>
    <row r="8437" spans="1:1" x14ac:dyDescent="0.2">
      <c r="A8437">
        <v>8625</v>
      </c>
    </row>
    <row r="8438" spans="1:1" x14ac:dyDescent="0.2">
      <c r="A8438">
        <v>8626</v>
      </c>
    </row>
    <row r="8439" spans="1:1" x14ac:dyDescent="0.2">
      <c r="A8439">
        <v>8627</v>
      </c>
    </row>
    <row r="8440" spans="1:1" x14ac:dyDescent="0.2">
      <c r="A8440">
        <v>8628</v>
      </c>
    </row>
    <row r="8441" spans="1:1" x14ac:dyDescent="0.2">
      <c r="A8441">
        <v>8629</v>
      </c>
    </row>
    <row r="8442" spans="1:1" x14ac:dyDescent="0.2">
      <c r="A8442">
        <v>8630</v>
      </c>
    </row>
    <row r="8443" spans="1:1" x14ac:dyDescent="0.2">
      <c r="A8443">
        <v>8631</v>
      </c>
    </row>
    <row r="8444" spans="1:1" x14ac:dyDescent="0.2">
      <c r="A8444">
        <v>8632</v>
      </c>
    </row>
    <row r="8445" spans="1:1" x14ac:dyDescent="0.2">
      <c r="A8445">
        <v>8633</v>
      </c>
    </row>
    <row r="8446" spans="1:1" x14ac:dyDescent="0.2">
      <c r="A8446">
        <v>8634</v>
      </c>
    </row>
    <row r="8447" spans="1:1" x14ac:dyDescent="0.2">
      <c r="A8447">
        <v>8635</v>
      </c>
    </row>
    <row r="8448" spans="1:1" x14ac:dyDescent="0.2">
      <c r="A8448">
        <v>8636</v>
      </c>
    </row>
    <row r="8449" spans="1:1" x14ac:dyDescent="0.2">
      <c r="A8449">
        <v>8637</v>
      </c>
    </row>
    <row r="8450" spans="1:1" x14ac:dyDescent="0.2">
      <c r="A8450">
        <v>8638</v>
      </c>
    </row>
    <row r="8451" spans="1:1" x14ac:dyDescent="0.2">
      <c r="A8451">
        <v>8639</v>
      </c>
    </row>
    <row r="8452" spans="1:1" x14ac:dyDescent="0.2">
      <c r="A8452">
        <v>8640</v>
      </c>
    </row>
    <row r="8453" spans="1:1" x14ac:dyDescent="0.2">
      <c r="A8453">
        <v>8641</v>
      </c>
    </row>
    <row r="8454" spans="1:1" x14ac:dyDescent="0.2">
      <c r="A8454">
        <v>8642</v>
      </c>
    </row>
    <row r="8455" spans="1:1" x14ac:dyDescent="0.2">
      <c r="A8455">
        <v>8643</v>
      </c>
    </row>
    <row r="8456" spans="1:1" x14ac:dyDescent="0.2">
      <c r="A8456">
        <v>8644</v>
      </c>
    </row>
    <row r="8457" spans="1:1" x14ac:dyDescent="0.2">
      <c r="A8457">
        <v>8645</v>
      </c>
    </row>
    <row r="8458" spans="1:1" x14ac:dyDescent="0.2">
      <c r="A8458">
        <v>8646</v>
      </c>
    </row>
    <row r="8459" spans="1:1" x14ac:dyDescent="0.2">
      <c r="A8459">
        <v>8647</v>
      </c>
    </row>
    <row r="8460" spans="1:1" x14ac:dyDescent="0.2">
      <c r="A8460">
        <v>8648</v>
      </c>
    </row>
    <row r="8461" spans="1:1" x14ac:dyDescent="0.2">
      <c r="A8461">
        <v>8649</v>
      </c>
    </row>
    <row r="8462" spans="1:1" x14ac:dyDescent="0.2">
      <c r="A8462">
        <v>8650</v>
      </c>
    </row>
    <row r="8463" spans="1:1" x14ac:dyDescent="0.2">
      <c r="A8463">
        <v>8651</v>
      </c>
    </row>
    <row r="8464" spans="1:1" x14ac:dyDescent="0.2">
      <c r="A8464">
        <v>8652</v>
      </c>
    </row>
    <row r="8465" spans="1:1" x14ac:dyDescent="0.2">
      <c r="A8465">
        <v>8653</v>
      </c>
    </row>
    <row r="8466" spans="1:1" x14ac:dyDescent="0.2">
      <c r="A8466">
        <v>8654</v>
      </c>
    </row>
    <row r="8467" spans="1:1" x14ac:dyDescent="0.2">
      <c r="A8467">
        <v>8655</v>
      </c>
    </row>
    <row r="8468" spans="1:1" x14ac:dyDescent="0.2">
      <c r="A8468">
        <v>8656</v>
      </c>
    </row>
    <row r="8469" spans="1:1" x14ac:dyDescent="0.2">
      <c r="A8469">
        <v>8657</v>
      </c>
    </row>
    <row r="8470" spans="1:1" x14ac:dyDescent="0.2">
      <c r="A8470">
        <v>8658</v>
      </c>
    </row>
    <row r="8471" spans="1:1" x14ac:dyDescent="0.2">
      <c r="A8471">
        <v>8659</v>
      </c>
    </row>
    <row r="8472" spans="1:1" x14ac:dyDescent="0.2">
      <c r="A8472">
        <v>8660</v>
      </c>
    </row>
    <row r="8473" spans="1:1" x14ac:dyDescent="0.2">
      <c r="A8473">
        <v>8661</v>
      </c>
    </row>
    <row r="8474" spans="1:1" x14ac:dyDescent="0.2">
      <c r="A8474">
        <v>8662</v>
      </c>
    </row>
    <row r="8475" spans="1:1" x14ac:dyDescent="0.2">
      <c r="A8475">
        <v>8663</v>
      </c>
    </row>
    <row r="8476" spans="1:1" x14ac:dyDescent="0.2">
      <c r="A8476">
        <v>8664</v>
      </c>
    </row>
    <row r="8477" spans="1:1" x14ac:dyDescent="0.2">
      <c r="A8477">
        <v>8665</v>
      </c>
    </row>
    <row r="8478" spans="1:1" x14ac:dyDescent="0.2">
      <c r="A8478">
        <v>8666</v>
      </c>
    </row>
    <row r="8479" spans="1:1" x14ac:dyDescent="0.2">
      <c r="A8479">
        <v>8667</v>
      </c>
    </row>
    <row r="8480" spans="1:1" x14ac:dyDescent="0.2">
      <c r="A8480">
        <v>8668</v>
      </c>
    </row>
    <row r="8481" spans="1:1" x14ac:dyDescent="0.2">
      <c r="A8481">
        <v>8669</v>
      </c>
    </row>
    <row r="8482" spans="1:1" x14ac:dyDescent="0.2">
      <c r="A8482">
        <v>8670</v>
      </c>
    </row>
    <row r="8483" spans="1:1" x14ac:dyDescent="0.2">
      <c r="A8483">
        <v>8671</v>
      </c>
    </row>
    <row r="8484" spans="1:1" x14ac:dyDescent="0.2">
      <c r="A8484">
        <v>8672</v>
      </c>
    </row>
    <row r="8485" spans="1:1" x14ac:dyDescent="0.2">
      <c r="A8485">
        <v>8673</v>
      </c>
    </row>
    <row r="8486" spans="1:1" x14ac:dyDescent="0.2">
      <c r="A8486">
        <v>8674</v>
      </c>
    </row>
    <row r="8487" spans="1:1" x14ac:dyDescent="0.2">
      <c r="A8487">
        <v>8675</v>
      </c>
    </row>
    <row r="8488" spans="1:1" x14ac:dyDescent="0.2">
      <c r="A8488">
        <v>8676</v>
      </c>
    </row>
    <row r="8489" spans="1:1" x14ac:dyDescent="0.2">
      <c r="A8489">
        <v>8677</v>
      </c>
    </row>
    <row r="8490" spans="1:1" x14ac:dyDescent="0.2">
      <c r="A8490">
        <v>8678</v>
      </c>
    </row>
    <row r="8491" spans="1:1" x14ac:dyDescent="0.2">
      <c r="A8491">
        <v>8679</v>
      </c>
    </row>
    <row r="8492" spans="1:1" x14ac:dyDescent="0.2">
      <c r="A8492">
        <v>8680</v>
      </c>
    </row>
    <row r="8493" spans="1:1" x14ac:dyDescent="0.2">
      <c r="A8493">
        <v>8681</v>
      </c>
    </row>
    <row r="8494" spans="1:1" x14ac:dyDescent="0.2">
      <c r="A8494">
        <v>8682</v>
      </c>
    </row>
    <row r="8495" spans="1:1" x14ac:dyDescent="0.2">
      <c r="A8495">
        <v>8683</v>
      </c>
    </row>
    <row r="8496" spans="1:1" x14ac:dyDescent="0.2">
      <c r="A8496">
        <v>8684</v>
      </c>
    </row>
    <row r="8497" spans="1:1" x14ac:dyDescent="0.2">
      <c r="A8497">
        <v>8685</v>
      </c>
    </row>
    <row r="8498" spans="1:1" x14ac:dyDescent="0.2">
      <c r="A8498">
        <v>8686</v>
      </c>
    </row>
    <row r="8499" spans="1:1" x14ac:dyDescent="0.2">
      <c r="A8499">
        <v>8687</v>
      </c>
    </row>
    <row r="8500" spans="1:1" x14ac:dyDescent="0.2">
      <c r="A8500">
        <v>8688</v>
      </c>
    </row>
    <row r="8501" spans="1:1" x14ac:dyDescent="0.2">
      <c r="A8501">
        <v>8689</v>
      </c>
    </row>
    <row r="8502" spans="1:1" x14ac:dyDescent="0.2">
      <c r="A8502">
        <v>8690</v>
      </c>
    </row>
    <row r="8503" spans="1:1" x14ac:dyDescent="0.2">
      <c r="A8503">
        <v>8691</v>
      </c>
    </row>
    <row r="8504" spans="1:1" x14ac:dyDescent="0.2">
      <c r="A8504">
        <v>8692</v>
      </c>
    </row>
    <row r="8505" spans="1:1" x14ac:dyDescent="0.2">
      <c r="A8505">
        <v>8693</v>
      </c>
    </row>
    <row r="8506" spans="1:1" x14ac:dyDescent="0.2">
      <c r="A8506">
        <v>8694</v>
      </c>
    </row>
    <row r="8507" spans="1:1" x14ac:dyDescent="0.2">
      <c r="A8507">
        <v>8695</v>
      </c>
    </row>
    <row r="8508" spans="1:1" x14ac:dyDescent="0.2">
      <c r="A8508">
        <v>8696</v>
      </c>
    </row>
    <row r="8509" spans="1:1" x14ac:dyDescent="0.2">
      <c r="A8509">
        <v>8697</v>
      </c>
    </row>
    <row r="8510" spans="1:1" x14ac:dyDescent="0.2">
      <c r="A8510">
        <v>8698</v>
      </c>
    </row>
    <row r="8511" spans="1:1" x14ac:dyDescent="0.2">
      <c r="A8511">
        <v>8699</v>
      </c>
    </row>
    <row r="8512" spans="1:1" x14ac:dyDescent="0.2">
      <c r="A8512">
        <v>8700</v>
      </c>
    </row>
    <row r="8513" spans="1:1" x14ac:dyDescent="0.2">
      <c r="A8513">
        <v>8701</v>
      </c>
    </row>
    <row r="8514" spans="1:1" x14ac:dyDescent="0.2">
      <c r="A8514">
        <v>8702</v>
      </c>
    </row>
    <row r="8515" spans="1:1" x14ac:dyDescent="0.2">
      <c r="A8515">
        <v>8703</v>
      </c>
    </row>
    <row r="8516" spans="1:1" x14ac:dyDescent="0.2">
      <c r="A8516">
        <v>8704</v>
      </c>
    </row>
    <row r="8517" spans="1:1" x14ac:dyDescent="0.2">
      <c r="A8517">
        <v>8705</v>
      </c>
    </row>
    <row r="8518" spans="1:1" x14ac:dyDescent="0.2">
      <c r="A8518">
        <v>8706</v>
      </c>
    </row>
    <row r="8519" spans="1:1" x14ac:dyDescent="0.2">
      <c r="A8519">
        <v>8707</v>
      </c>
    </row>
    <row r="8520" spans="1:1" x14ac:dyDescent="0.2">
      <c r="A8520">
        <v>8708</v>
      </c>
    </row>
    <row r="8521" spans="1:1" x14ac:dyDescent="0.2">
      <c r="A8521">
        <v>8709</v>
      </c>
    </row>
    <row r="8522" spans="1:1" x14ac:dyDescent="0.2">
      <c r="A8522">
        <v>8710</v>
      </c>
    </row>
    <row r="8523" spans="1:1" x14ac:dyDescent="0.2">
      <c r="A8523">
        <v>8711</v>
      </c>
    </row>
    <row r="8524" spans="1:1" x14ac:dyDescent="0.2">
      <c r="A8524">
        <v>8712</v>
      </c>
    </row>
    <row r="8525" spans="1:1" x14ac:dyDescent="0.2">
      <c r="A8525">
        <v>8713</v>
      </c>
    </row>
    <row r="8526" spans="1:1" x14ac:dyDescent="0.2">
      <c r="A8526">
        <v>8714</v>
      </c>
    </row>
    <row r="8527" spans="1:1" x14ac:dyDescent="0.2">
      <c r="A8527">
        <v>8715</v>
      </c>
    </row>
    <row r="8528" spans="1:1" x14ac:dyDescent="0.2">
      <c r="A8528">
        <v>8716</v>
      </c>
    </row>
    <row r="8529" spans="1:1" x14ac:dyDescent="0.2">
      <c r="A8529">
        <v>8717</v>
      </c>
    </row>
    <row r="8530" spans="1:1" x14ac:dyDescent="0.2">
      <c r="A8530">
        <v>8718</v>
      </c>
    </row>
    <row r="8531" spans="1:1" x14ac:dyDescent="0.2">
      <c r="A8531">
        <v>8719</v>
      </c>
    </row>
    <row r="8532" spans="1:1" x14ac:dyDescent="0.2">
      <c r="A8532">
        <v>8720</v>
      </c>
    </row>
    <row r="8533" spans="1:1" x14ac:dyDescent="0.2">
      <c r="A8533">
        <v>8721</v>
      </c>
    </row>
    <row r="8534" spans="1:1" x14ac:dyDescent="0.2">
      <c r="A8534">
        <v>8722</v>
      </c>
    </row>
    <row r="8535" spans="1:1" x14ac:dyDescent="0.2">
      <c r="A8535">
        <v>8723</v>
      </c>
    </row>
    <row r="8536" spans="1:1" x14ac:dyDescent="0.2">
      <c r="A8536">
        <v>8724</v>
      </c>
    </row>
    <row r="8537" spans="1:1" x14ac:dyDescent="0.2">
      <c r="A8537">
        <v>8725</v>
      </c>
    </row>
    <row r="8538" spans="1:1" x14ac:dyDescent="0.2">
      <c r="A8538">
        <v>8726</v>
      </c>
    </row>
    <row r="8539" spans="1:1" x14ac:dyDescent="0.2">
      <c r="A8539">
        <v>8727</v>
      </c>
    </row>
    <row r="8540" spans="1:1" x14ac:dyDescent="0.2">
      <c r="A8540">
        <v>8728</v>
      </c>
    </row>
    <row r="8541" spans="1:1" x14ac:dyDescent="0.2">
      <c r="A8541">
        <v>8729</v>
      </c>
    </row>
    <row r="8542" spans="1:1" x14ac:dyDescent="0.2">
      <c r="A8542">
        <v>8730</v>
      </c>
    </row>
    <row r="8543" spans="1:1" x14ac:dyDescent="0.2">
      <c r="A8543">
        <v>8731</v>
      </c>
    </row>
    <row r="8544" spans="1:1" x14ac:dyDescent="0.2">
      <c r="A8544">
        <v>8732</v>
      </c>
    </row>
    <row r="8545" spans="1:1" x14ac:dyDescent="0.2">
      <c r="A8545">
        <v>8733</v>
      </c>
    </row>
    <row r="8546" spans="1:1" x14ac:dyDescent="0.2">
      <c r="A8546">
        <v>8734</v>
      </c>
    </row>
    <row r="8547" spans="1:1" x14ac:dyDescent="0.2">
      <c r="A8547">
        <v>8735</v>
      </c>
    </row>
    <row r="8548" spans="1:1" x14ac:dyDescent="0.2">
      <c r="A8548">
        <v>8736</v>
      </c>
    </row>
    <row r="8549" spans="1:1" x14ac:dyDescent="0.2">
      <c r="A8549">
        <v>8737</v>
      </c>
    </row>
    <row r="8550" spans="1:1" x14ac:dyDescent="0.2">
      <c r="A8550">
        <v>8738</v>
      </c>
    </row>
    <row r="8551" spans="1:1" x14ac:dyDescent="0.2">
      <c r="A8551">
        <v>8739</v>
      </c>
    </row>
    <row r="8552" spans="1:1" x14ac:dyDescent="0.2">
      <c r="A8552">
        <v>8740</v>
      </c>
    </row>
    <row r="8553" spans="1:1" x14ac:dyDescent="0.2">
      <c r="A8553">
        <v>8741</v>
      </c>
    </row>
    <row r="8554" spans="1:1" x14ac:dyDescent="0.2">
      <c r="A8554">
        <v>8742</v>
      </c>
    </row>
    <row r="8555" spans="1:1" x14ac:dyDescent="0.2">
      <c r="A8555">
        <v>8743</v>
      </c>
    </row>
    <row r="8556" spans="1:1" x14ac:dyDescent="0.2">
      <c r="A8556">
        <v>8744</v>
      </c>
    </row>
    <row r="8557" spans="1:1" x14ac:dyDescent="0.2">
      <c r="A8557">
        <v>8745</v>
      </c>
    </row>
    <row r="8558" spans="1:1" x14ac:dyDescent="0.2">
      <c r="A8558">
        <v>8746</v>
      </c>
    </row>
    <row r="8559" spans="1:1" x14ac:dyDescent="0.2">
      <c r="A8559">
        <v>8747</v>
      </c>
    </row>
    <row r="8560" spans="1:1" x14ac:dyDescent="0.2">
      <c r="A8560">
        <v>8748</v>
      </c>
    </row>
    <row r="8561" spans="1:1" x14ac:dyDescent="0.2">
      <c r="A8561">
        <v>8749</v>
      </c>
    </row>
    <row r="8562" spans="1:1" x14ac:dyDescent="0.2">
      <c r="A8562">
        <v>8750</v>
      </c>
    </row>
    <row r="8563" spans="1:1" x14ac:dyDescent="0.2">
      <c r="A8563">
        <v>8751</v>
      </c>
    </row>
    <row r="8564" spans="1:1" x14ac:dyDescent="0.2">
      <c r="A8564">
        <v>8752</v>
      </c>
    </row>
    <row r="8565" spans="1:1" x14ac:dyDescent="0.2">
      <c r="A8565">
        <v>8753</v>
      </c>
    </row>
    <row r="8566" spans="1:1" x14ac:dyDescent="0.2">
      <c r="A8566">
        <v>8754</v>
      </c>
    </row>
    <row r="8567" spans="1:1" x14ac:dyDescent="0.2">
      <c r="A8567">
        <v>8755</v>
      </c>
    </row>
    <row r="8568" spans="1:1" x14ac:dyDescent="0.2">
      <c r="A8568">
        <v>8756</v>
      </c>
    </row>
    <row r="8569" spans="1:1" x14ac:dyDescent="0.2">
      <c r="A8569">
        <v>8757</v>
      </c>
    </row>
    <row r="8570" spans="1:1" x14ac:dyDescent="0.2">
      <c r="A8570">
        <v>8758</v>
      </c>
    </row>
    <row r="8571" spans="1:1" x14ac:dyDescent="0.2">
      <c r="A8571">
        <v>8759</v>
      </c>
    </row>
    <row r="8572" spans="1:1" x14ac:dyDescent="0.2">
      <c r="A8572">
        <v>8760</v>
      </c>
    </row>
    <row r="8573" spans="1:1" x14ac:dyDescent="0.2">
      <c r="A8573">
        <v>8761</v>
      </c>
    </row>
    <row r="8574" spans="1:1" x14ac:dyDescent="0.2">
      <c r="A8574">
        <v>8762</v>
      </c>
    </row>
    <row r="8575" spans="1:1" x14ac:dyDescent="0.2">
      <c r="A8575">
        <v>8763</v>
      </c>
    </row>
    <row r="8576" spans="1:1" x14ac:dyDescent="0.2">
      <c r="A8576">
        <v>8764</v>
      </c>
    </row>
    <row r="8577" spans="1:1" x14ac:dyDescent="0.2">
      <c r="A8577">
        <v>8765</v>
      </c>
    </row>
    <row r="8578" spans="1:1" x14ac:dyDescent="0.2">
      <c r="A8578">
        <v>8766</v>
      </c>
    </row>
    <row r="8579" spans="1:1" x14ac:dyDescent="0.2">
      <c r="A8579">
        <v>8767</v>
      </c>
    </row>
    <row r="8580" spans="1:1" x14ac:dyDescent="0.2">
      <c r="A8580">
        <v>8768</v>
      </c>
    </row>
    <row r="8581" spans="1:1" x14ac:dyDescent="0.2">
      <c r="A8581">
        <v>8769</v>
      </c>
    </row>
    <row r="8582" spans="1:1" x14ac:dyDescent="0.2">
      <c r="A8582">
        <v>8770</v>
      </c>
    </row>
    <row r="8583" spans="1:1" x14ac:dyDescent="0.2">
      <c r="A8583">
        <v>8771</v>
      </c>
    </row>
    <row r="8584" spans="1:1" x14ac:dyDescent="0.2">
      <c r="A8584">
        <v>8772</v>
      </c>
    </row>
    <row r="8585" spans="1:1" x14ac:dyDescent="0.2">
      <c r="A8585">
        <v>8773</v>
      </c>
    </row>
    <row r="8586" spans="1:1" x14ac:dyDescent="0.2">
      <c r="A8586">
        <v>8774</v>
      </c>
    </row>
    <row r="8587" spans="1:1" x14ac:dyDescent="0.2">
      <c r="A8587">
        <v>8775</v>
      </c>
    </row>
    <row r="8588" spans="1:1" x14ac:dyDescent="0.2">
      <c r="A8588">
        <v>8776</v>
      </c>
    </row>
    <row r="8589" spans="1:1" x14ac:dyDescent="0.2">
      <c r="A8589">
        <v>8777</v>
      </c>
    </row>
    <row r="8590" spans="1:1" x14ac:dyDescent="0.2">
      <c r="A8590">
        <v>8778</v>
      </c>
    </row>
    <row r="8591" spans="1:1" x14ac:dyDescent="0.2">
      <c r="A8591">
        <v>8779</v>
      </c>
    </row>
    <row r="8592" spans="1:1" x14ac:dyDescent="0.2">
      <c r="A8592">
        <v>8780</v>
      </c>
    </row>
    <row r="8593" spans="1:1" x14ac:dyDescent="0.2">
      <c r="A8593">
        <v>8781</v>
      </c>
    </row>
    <row r="8594" spans="1:1" x14ac:dyDescent="0.2">
      <c r="A8594">
        <v>8782</v>
      </c>
    </row>
    <row r="8595" spans="1:1" x14ac:dyDescent="0.2">
      <c r="A8595">
        <v>8783</v>
      </c>
    </row>
    <row r="8596" spans="1:1" x14ac:dyDescent="0.2">
      <c r="A8596">
        <v>8784</v>
      </c>
    </row>
    <row r="8597" spans="1:1" x14ac:dyDescent="0.2">
      <c r="A8597">
        <v>8785</v>
      </c>
    </row>
    <row r="8598" spans="1:1" x14ac:dyDescent="0.2">
      <c r="A8598">
        <v>8786</v>
      </c>
    </row>
    <row r="8599" spans="1:1" x14ac:dyDescent="0.2">
      <c r="A8599">
        <v>8787</v>
      </c>
    </row>
    <row r="8600" spans="1:1" x14ac:dyDescent="0.2">
      <c r="A8600">
        <v>8788</v>
      </c>
    </row>
    <row r="8601" spans="1:1" x14ac:dyDescent="0.2">
      <c r="A8601">
        <v>8789</v>
      </c>
    </row>
    <row r="8602" spans="1:1" x14ac:dyDescent="0.2">
      <c r="A8602">
        <v>8790</v>
      </c>
    </row>
    <row r="8603" spans="1:1" x14ac:dyDescent="0.2">
      <c r="A8603">
        <v>8791</v>
      </c>
    </row>
    <row r="8604" spans="1:1" x14ac:dyDescent="0.2">
      <c r="A8604">
        <v>8792</v>
      </c>
    </row>
    <row r="8605" spans="1:1" x14ac:dyDescent="0.2">
      <c r="A8605">
        <v>8793</v>
      </c>
    </row>
    <row r="8606" spans="1:1" x14ac:dyDescent="0.2">
      <c r="A8606">
        <v>8794</v>
      </c>
    </row>
    <row r="8607" spans="1:1" x14ac:dyDescent="0.2">
      <c r="A8607">
        <v>8795</v>
      </c>
    </row>
    <row r="8608" spans="1:1" x14ac:dyDescent="0.2">
      <c r="A8608">
        <v>8796</v>
      </c>
    </row>
    <row r="8609" spans="1:1" x14ac:dyDescent="0.2">
      <c r="A8609">
        <v>8797</v>
      </c>
    </row>
    <row r="8610" spans="1:1" x14ac:dyDescent="0.2">
      <c r="A8610">
        <v>8798</v>
      </c>
    </row>
    <row r="8611" spans="1:1" x14ac:dyDescent="0.2">
      <c r="A8611">
        <v>8799</v>
      </c>
    </row>
    <row r="8612" spans="1:1" x14ac:dyDescent="0.2">
      <c r="A8612">
        <v>8800</v>
      </c>
    </row>
    <row r="8613" spans="1:1" x14ac:dyDescent="0.2">
      <c r="A8613">
        <v>8801</v>
      </c>
    </row>
    <row r="8614" spans="1:1" x14ac:dyDescent="0.2">
      <c r="A8614">
        <v>8802</v>
      </c>
    </row>
    <row r="8615" spans="1:1" x14ac:dyDescent="0.2">
      <c r="A8615">
        <v>8803</v>
      </c>
    </row>
    <row r="8616" spans="1:1" x14ac:dyDescent="0.2">
      <c r="A8616">
        <v>8804</v>
      </c>
    </row>
    <row r="8617" spans="1:1" x14ac:dyDescent="0.2">
      <c r="A8617">
        <v>8805</v>
      </c>
    </row>
    <row r="8618" spans="1:1" x14ac:dyDescent="0.2">
      <c r="A8618">
        <v>8806</v>
      </c>
    </row>
    <row r="8619" spans="1:1" x14ac:dyDescent="0.2">
      <c r="A8619">
        <v>8807</v>
      </c>
    </row>
    <row r="8620" spans="1:1" x14ac:dyDescent="0.2">
      <c r="A8620">
        <v>8808</v>
      </c>
    </row>
    <row r="8621" spans="1:1" x14ac:dyDescent="0.2">
      <c r="A8621">
        <v>8809</v>
      </c>
    </row>
    <row r="8622" spans="1:1" x14ac:dyDescent="0.2">
      <c r="A8622">
        <v>8810</v>
      </c>
    </row>
    <row r="8623" spans="1:1" x14ac:dyDescent="0.2">
      <c r="A8623">
        <v>8811</v>
      </c>
    </row>
    <row r="8624" spans="1:1" x14ac:dyDescent="0.2">
      <c r="A8624">
        <v>8812</v>
      </c>
    </row>
    <row r="8625" spans="1:1" x14ac:dyDescent="0.2">
      <c r="A8625">
        <v>8813</v>
      </c>
    </row>
    <row r="8626" spans="1:1" x14ac:dyDescent="0.2">
      <c r="A8626">
        <v>8814</v>
      </c>
    </row>
    <row r="8627" spans="1:1" x14ac:dyDescent="0.2">
      <c r="A8627">
        <v>8815</v>
      </c>
    </row>
    <row r="8628" spans="1:1" x14ac:dyDescent="0.2">
      <c r="A8628">
        <v>8816</v>
      </c>
    </row>
    <row r="8629" spans="1:1" x14ac:dyDescent="0.2">
      <c r="A8629">
        <v>8817</v>
      </c>
    </row>
    <row r="8630" spans="1:1" x14ac:dyDescent="0.2">
      <c r="A8630">
        <v>8818</v>
      </c>
    </row>
    <row r="8631" spans="1:1" x14ac:dyDescent="0.2">
      <c r="A8631">
        <v>8819</v>
      </c>
    </row>
    <row r="8632" spans="1:1" x14ac:dyDescent="0.2">
      <c r="A8632">
        <v>8820</v>
      </c>
    </row>
    <row r="8633" spans="1:1" x14ac:dyDescent="0.2">
      <c r="A8633">
        <v>8821</v>
      </c>
    </row>
    <row r="8634" spans="1:1" x14ac:dyDescent="0.2">
      <c r="A8634">
        <v>8822</v>
      </c>
    </row>
    <row r="8635" spans="1:1" x14ac:dyDescent="0.2">
      <c r="A8635">
        <v>8823</v>
      </c>
    </row>
    <row r="8636" spans="1:1" x14ac:dyDescent="0.2">
      <c r="A8636">
        <v>8824</v>
      </c>
    </row>
    <row r="8637" spans="1:1" x14ac:dyDescent="0.2">
      <c r="A8637">
        <v>8825</v>
      </c>
    </row>
    <row r="8638" spans="1:1" x14ac:dyDescent="0.2">
      <c r="A8638">
        <v>8826</v>
      </c>
    </row>
    <row r="8639" spans="1:1" x14ac:dyDescent="0.2">
      <c r="A8639">
        <v>8827</v>
      </c>
    </row>
    <row r="8640" spans="1:1" x14ac:dyDescent="0.2">
      <c r="A8640">
        <v>8828</v>
      </c>
    </row>
    <row r="8641" spans="1:1" x14ac:dyDescent="0.2">
      <c r="A8641">
        <v>8829</v>
      </c>
    </row>
    <row r="8642" spans="1:1" x14ac:dyDescent="0.2">
      <c r="A8642">
        <v>8830</v>
      </c>
    </row>
    <row r="8643" spans="1:1" x14ac:dyDescent="0.2">
      <c r="A8643">
        <v>8831</v>
      </c>
    </row>
    <row r="8644" spans="1:1" x14ac:dyDescent="0.2">
      <c r="A8644">
        <v>8832</v>
      </c>
    </row>
    <row r="8645" spans="1:1" x14ac:dyDescent="0.2">
      <c r="A8645">
        <v>8833</v>
      </c>
    </row>
    <row r="8646" spans="1:1" x14ac:dyDescent="0.2">
      <c r="A8646">
        <v>8834</v>
      </c>
    </row>
    <row r="8647" spans="1:1" x14ac:dyDescent="0.2">
      <c r="A8647">
        <v>8835</v>
      </c>
    </row>
    <row r="8648" spans="1:1" x14ac:dyDescent="0.2">
      <c r="A8648">
        <v>8836</v>
      </c>
    </row>
    <row r="8649" spans="1:1" x14ac:dyDescent="0.2">
      <c r="A8649">
        <v>8837</v>
      </c>
    </row>
    <row r="8650" spans="1:1" x14ac:dyDescent="0.2">
      <c r="A8650">
        <v>8838</v>
      </c>
    </row>
    <row r="8651" spans="1:1" x14ac:dyDescent="0.2">
      <c r="A8651">
        <v>8839</v>
      </c>
    </row>
    <row r="8652" spans="1:1" x14ac:dyDescent="0.2">
      <c r="A8652">
        <v>8840</v>
      </c>
    </row>
    <row r="8653" spans="1:1" x14ac:dyDescent="0.2">
      <c r="A8653">
        <v>8841</v>
      </c>
    </row>
    <row r="8654" spans="1:1" x14ac:dyDescent="0.2">
      <c r="A8654">
        <v>8842</v>
      </c>
    </row>
    <row r="8655" spans="1:1" x14ac:dyDescent="0.2">
      <c r="A8655">
        <v>8843</v>
      </c>
    </row>
    <row r="8656" spans="1:1" x14ac:dyDescent="0.2">
      <c r="A8656">
        <v>8844</v>
      </c>
    </row>
    <row r="8657" spans="1:1" x14ac:dyDescent="0.2">
      <c r="A8657">
        <v>8845</v>
      </c>
    </row>
    <row r="8658" spans="1:1" x14ac:dyDescent="0.2">
      <c r="A8658">
        <v>8846</v>
      </c>
    </row>
    <row r="8659" spans="1:1" x14ac:dyDescent="0.2">
      <c r="A8659">
        <v>8847</v>
      </c>
    </row>
    <row r="8660" spans="1:1" x14ac:dyDescent="0.2">
      <c r="A8660">
        <v>8848</v>
      </c>
    </row>
    <row r="8661" spans="1:1" x14ac:dyDescent="0.2">
      <c r="A8661">
        <v>8849</v>
      </c>
    </row>
    <row r="8662" spans="1:1" x14ac:dyDescent="0.2">
      <c r="A8662">
        <v>8850</v>
      </c>
    </row>
    <row r="8663" spans="1:1" x14ac:dyDescent="0.2">
      <c r="A8663">
        <v>8851</v>
      </c>
    </row>
    <row r="8664" spans="1:1" x14ac:dyDescent="0.2">
      <c r="A8664">
        <v>8852</v>
      </c>
    </row>
    <row r="8665" spans="1:1" x14ac:dyDescent="0.2">
      <c r="A8665">
        <v>8853</v>
      </c>
    </row>
    <row r="8666" spans="1:1" x14ac:dyDescent="0.2">
      <c r="A8666">
        <v>8854</v>
      </c>
    </row>
    <row r="8667" spans="1:1" x14ac:dyDescent="0.2">
      <c r="A8667">
        <v>8855</v>
      </c>
    </row>
    <row r="8668" spans="1:1" x14ac:dyDescent="0.2">
      <c r="A8668">
        <v>8856</v>
      </c>
    </row>
    <row r="8669" spans="1:1" x14ac:dyDescent="0.2">
      <c r="A8669">
        <v>8857</v>
      </c>
    </row>
    <row r="8670" spans="1:1" x14ac:dyDescent="0.2">
      <c r="A8670">
        <v>8858</v>
      </c>
    </row>
    <row r="8671" spans="1:1" x14ac:dyDescent="0.2">
      <c r="A8671">
        <v>8859</v>
      </c>
    </row>
    <row r="8672" spans="1:1" x14ac:dyDescent="0.2">
      <c r="A8672">
        <v>8860</v>
      </c>
    </row>
    <row r="8673" spans="1:1" x14ac:dyDescent="0.2">
      <c r="A8673">
        <v>8861</v>
      </c>
    </row>
    <row r="8674" spans="1:1" x14ac:dyDescent="0.2">
      <c r="A8674">
        <v>8862</v>
      </c>
    </row>
    <row r="8675" spans="1:1" x14ac:dyDescent="0.2">
      <c r="A8675">
        <v>8863</v>
      </c>
    </row>
    <row r="8676" spans="1:1" x14ac:dyDescent="0.2">
      <c r="A8676">
        <v>8864</v>
      </c>
    </row>
    <row r="8677" spans="1:1" x14ac:dyDescent="0.2">
      <c r="A8677">
        <v>8865</v>
      </c>
    </row>
    <row r="8678" spans="1:1" x14ac:dyDescent="0.2">
      <c r="A8678">
        <v>8866</v>
      </c>
    </row>
    <row r="8679" spans="1:1" x14ac:dyDescent="0.2">
      <c r="A8679">
        <v>8867</v>
      </c>
    </row>
    <row r="8680" spans="1:1" x14ac:dyDescent="0.2">
      <c r="A8680">
        <v>8868</v>
      </c>
    </row>
    <row r="8681" spans="1:1" x14ac:dyDescent="0.2">
      <c r="A8681">
        <v>8869</v>
      </c>
    </row>
    <row r="8682" spans="1:1" x14ac:dyDescent="0.2">
      <c r="A8682">
        <v>8870</v>
      </c>
    </row>
    <row r="8683" spans="1:1" x14ac:dyDescent="0.2">
      <c r="A8683">
        <v>8871</v>
      </c>
    </row>
    <row r="8684" spans="1:1" x14ac:dyDescent="0.2">
      <c r="A8684">
        <v>8872</v>
      </c>
    </row>
    <row r="8685" spans="1:1" x14ac:dyDescent="0.2">
      <c r="A8685">
        <v>8873</v>
      </c>
    </row>
    <row r="8686" spans="1:1" x14ac:dyDescent="0.2">
      <c r="A8686">
        <v>8874</v>
      </c>
    </row>
    <row r="8687" spans="1:1" x14ac:dyDescent="0.2">
      <c r="A8687">
        <v>8875</v>
      </c>
    </row>
    <row r="8688" spans="1:1" x14ac:dyDescent="0.2">
      <c r="A8688">
        <v>8876</v>
      </c>
    </row>
    <row r="8689" spans="1:1" x14ac:dyDescent="0.2">
      <c r="A8689">
        <v>8877</v>
      </c>
    </row>
    <row r="8690" spans="1:1" x14ac:dyDescent="0.2">
      <c r="A8690">
        <v>8878</v>
      </c>
    </row>
    <row r="8691" spans="1:1" x14ac:dyDescent="0.2">
      <c r="A8691">
        <v>8879</v>
      </c>
    </row>
    <row r="8692" spans="1:1" x14ac:dyDescent="0.2">
      <c r="A8692">
        <v>8880</v>
      </c>
    </row>
    <row r="8693" spans="1:1" x14ac:dyDescent="0.2">
      <c r="A8693">
        <v>8881</v>
      </c>
    </row>
    <row r="8694" spans="1:1" x14ac:dyDescent="0.2">
      <c r="A8694">
        <v>8882</v>
      </c>
    </row>
    <row r="8695" spans="1:1" x14ac:dyDescent="0.2">
      <c r="A8695">
        <v>8883</v>
      </c>
    </row>
    <row r="8696" spans="1:1" x14ac:dyDescent="0.2">
      <c r="A8696">
        <v>8884</v>
      </c>
    </row>
    <row r="8697" spans="1:1" x14ac:dyDescent="0.2">
      <c r="A8697">
        <v>8885</v>
      </c>
    </row>
    <row r="8698" spans="1:1" x14ac:dyDescent="0.2">
      <c r="A8698">
        <v>8886</v>
      </c>
    </row>
    <row r="8699" spans="1:1" x14ac:dyDescent="0.2">
      <c r="A8699">
        <v>8887</v>
      </c>
    </row>
    <row r="8700" spans="1:1" x14ac:dyDescent="0.2">
      <c r="A8700">
        <v>8888</v>
      </c>
    </row>
    <row r="8701" spans="1:1" x14ac:dyDescent="0.2">
      <c r="A8701">
        <v>8889</v>
      </c>
    </row>
    <row r="8702" spans="1:1" x14ac:dyDescent="0.2">
      <c r="A8702">
        <v>8890</v>
      </c>
    </row>
    <row r="8703" spans="1:1" x14ac:dyDescent="0.2">
      <c r="A8703">
        <v>8891</v>
      </c>
    </row>
    <row r="8704" spans="1:1" x14ac:dyDescent="0.2">
      <c r="A8704">
        <v>8892</v>
      </c>
    </row>
    <row r="8705" spans="1:1" x14ac:dyDescent="0.2">
      <c r="A8705">
        <v>8893</v>
      </c>
    </row>
    <row r="8706" spans="1:1" x14ac:dyDescent="0.2">
      <c r="A8706">
        <v>8894</v>
      </c>
    </row>
    <row r="8707" spans="1:1" x14ac:dyDescent="0.2">
      <c r="A8707">
        <v>8895</v>
      </c>
    </row>
    <row r="8708" spans="1:1" x14ac:dyDescent="0.2">
      <c r="A8708">
        <v>8896</v>
      </c>
    </row>
    <row r="8709" spans="1:1" x14ac:dyDescent="0.2">
      <c r="A8709">
        <v>8897</v>
      </c>
    </row>
    <row r="8710" spans="1:1" x14ac:dyDescent="0.2">
      <c r="A8710">
        <v>8898</v>
      </c>
    </row>
    <row r="8711" spans="1:1" x14ac:dyDescent="0.2">
      <c r="A8711">
        <v>8899</v>
      </c>
    </row>
    <row r="8712" spans="1:1" x14ac:dyDescent="0.2">
      <c r="A8712">
        <v>8900</v>
      </c>
    </row>
    <row r="8713" spans="1:1" x14ac:dyDescent="0.2">
      <c r="A8713">
        <v>8901</v>
      </c>
    </row>
    <row r="8714" spans="1:1" x14ac:dyDescent="0.2">
      <c r="A8714">
        <v>8902</v>
      </c>
    </row>
    <row r="8715" spans="1:1" x14ac:dyDescent="0.2">
      <c r="A8715">
        <v>8903</v>
      </c>
    </row>
    <row r="8716" spans="1:1" x14ac:dyDescent="0.2">
      <c r="A8716">
        <v>8904</v>
      </c>
    </row>
    <row r="8717" spans="1:1" x14ac:dyDescent="0.2">
      <c r="A8717">
        <v>8905</v>
      </c>
    </row>
    <row r="8718" spans="1:1" x14ac:dyDescent="0.2">
      <c r="A8718">
        <v>8906</v>
      </c>
    </row>
    <row r="8719" spans="1:1" x14ac:dyDescent="0.2">
      <c r="A8719">
        <v>8907</v>
      </c>
    </row>
    <row r="8720" spans="1:1" x14ac:dyDescent="0.2">
      <c r="A8720">
        <v>8908</v>
      </c>
    </row>
    <row r="8721" spans="1:1" x14ac:dyDescent="0.2">
      <c r="A8721">
        <v>8909</v>
      </c>
    </row>
    <row r="8722" spans="1:1" x14ac:dyDescent="0.2">
      <c r="A8722">
        <v>8910</v>
      </c>
    </row>
    <row r="8723" spans="1:1" x14ac:dyDescent="0.2">
      <c r="A8723">
        <v>8911</v>
      </c>
    </row>
    <row r="8724" spans="1:1" x14ac:dyDescent="0.2">
      <c r="A8724">
        <v>8912</v>
      </c>
    </row>
    <row r="8725" spans="1:1" x14ac:dyDescent="0.2">
      <c r="A8725">
        <v>8913</v>
      </c>
    </row>
    <row r="8726" spans="1:1" x14ac:dyDescent="0.2">
      <c r="A8726">
        <v>8914</v>
      </c>
    </row>
    <row r="8727" spans="1:1" x14ac:dyDescent="0.2">
      <c r="A8727">
        <v>8915</v>
      </c>
    </row>
    <row r="8728" spans="1:1" x14ac:dyDescent="0.2">
      <c r="A8728">
        <v>8916</v>
      </c>
    </row>
    <row r="8729" spans="1:1" x14ac:dyDescent="0.2">
      <c r="A8729">
        <v>8917</v>
      </c>
    </row>
    <row r="8730" spans="1:1" x14ac:dyDescent="0.2">
      <c r="A8730">
        <v>8918</v>
      </c>
    </row>
    <row r="8731" spans="1:1" x14ac:dyDescent="0.2">
      <c r="A8731">
        <v>8919</v>
      </c>
    </row>
    <row r="8732" spans="1:1" x14ac:dyDescent="0.2">
      <c r="A8732">
        <v>8920</v>
      </c>
    </row>
    <row r="8733" spans="1:1" x14ac:dyDescent="0.2">
      <c r="A8733">
        <v>8921</v>
      </c>
    </row>
    <row r="8734" spans="1:1" x14ac:dyDescent="0.2">
      <c r="A8734">
        <v>8922</v>
      </c>
    </row>
    <row r="8735" spans="1:1" x14ac:dyDescent="0.2">
      <c r="A8735">
        <v>8923</v>
      </c>
    </row>
    <row r="8736" spans="1:1" x14ac:dyDescent="0.2">
      <c r="A8736">
        <v>8924</v>
      </c>
    </row>
    <row r="8737" spans="1:1" x14ac:dyDescent="0.2">
      <c r="A8737">
        <v>8925</v>
      </c>
    </row>
    <row r="8738" spans="1:1" x14ac:dyDescent="0.2">
      <c r="A8738">
        <v>8926</v>
      </c>
    </row>
    <row r="8739" spans="1:1" x14ac:dyDescent="0.2">
      <c r="A8739">
        <v>8927</v>
      </c>
    </row>
    <row r="8740" spans="1:1" x14ac:dyDescent="0.2">
      <c r="A8740">
        <v>8928</v>
      </c>
    </row>
    <row r="8741" spans="1:1" x14ac:dyDescent="0.2">
      <c r="A8741">
        <v>8929</v>
      </c>
    </row>
    <row r="8742" spans="1:1" x14ac:dyDescent="0.2">
      <c r="A8742">
        <v>8930</v>
      </c>
    </row>
    <row r="8743" spans="1:1" x14ac:dyDescent="0.2">
      <c r="A8743">
        <v>8931</v>
      </c>
    </row>
    <row r="8744" spans="1:1" x14ac:dyDescent="0.2">
      <c r="A8744">
        <v>8932</v>
      </c>
    </row>
    <row r="8745" spans="1:1" x14ac:dyDescent="0.2">
      <c r="A8745">
        <v>8933</v>
      </c>
    </row>
    <row r="8746" spans="1:1" x14ac:dyDescent="0.2">
      <c r="A8746">
        <v>8934</v>
      </c>
    </row>
    <row r="8747" spans="1:1" x14ac:dyDescent="0.2">
      <c r="A8747">
        <v>8935</v>
      </c>
    </row>
    <row r="8748" spans="1:1" x14ac:dyDescent="0.2">
      <c r="A8748">
        <v>8936</v>
      </c>
    </row>
    <row r="8749" spans="1:1" x14ac:dyDescent="0.2">
      <c r="A8749">
        <v>8937</v>
      </c>
    </row>
    <row r="8750" spans="1:1" x14ac:dyDescent="0.2">
      <c r="A8750">
        <v>8938</v>
      </c>
    </row>
    <row r="8751" spans="1:1" x14ac:dyDescent="0.2">
      <c r="A8751">
        <v>8939</v>
      </c>
    </row>
    <row r="8752" spans="1:1" x14ac:dyDescent="0.2">
      <c r="A8752">
        <v>8940</v>
      </c>
    </row>
    <row r="8753" spans="1:1" x14ac:dyDescent="0.2">
      <c r="A8753">
        <v>8941</v>
      </c>
    </row>
    <row r="8754" spans="1:1" x14ac:dyDescent="0.2">
      <c r="A8754">
        <v>8942</v>
      </c>
    </row>
    <row r="8755" spans="1:1" x14ac:dyDescent="0.2">
      <c r="A8755">
        <v>8943</v>
      </c>
    </row>
    <row r="8756" spans="1:1" x14ac:dyDescent="0.2">
      <c r="A8756">
        <v>8944</v>
      </c>
    </row>
    <row r="8757" spans="1:1" x14ac:dyDescent="0.2">
      <c r="A8757">
        <v>8945</v>
      </c>
    </row>
    <row r="8758" spans="1:1" x14ac:dyDescent="0.2">
      <c r="A8758">
        <v>8946</v>
      </c>
    </row>
    <row r="8759" spans="1:1" x14ac:dyDescent="0.2">
      <c r="A8759">
        <v>8947</v>
      </c>
    </row>
    <row r="8760" spans="1:1" x14ac:dyDescent="0.2">
      <c r="A8760">
        <v>8948</v>
      </c>
    </row>
    <row r="8761" spans="1:1" x14ac:dyDescent="0.2">
      <c r="A8761">
        <v>8949</v>
      </c>
    </row>
    <row r="8762" spans="1:1" x14ac:dyDescent="0.2">
      <c r="A8762">
        <v>8950</v>
      </c>
    </row>
    <row r="8763" spans="1:1" x14ac:dyDescent="0.2">
      <c r="A8763">
        <v>8951</v>
      </c>
    </row>
    <row r="8764" spans="1:1" x14ac:dyDescent="0.2">
      <c r="A8764">
        <v>8952</v>
      </c>
    </row>
    <row r="8765" spans="1:1" x14ac:dyDescent="0.2">
      <c r="A8765">
        <v>8953</v>
      </c>
    </row>
    <row r="8766" spans="1:1" x14ac:dyDescent="0.2">
      <c r="A8766">
        <v>8954</v>
      </c>
    </row>
    <row r="8767" spans="1:1" x14ac:dyDescent="0.2">
      <c r="A8767">
        <v>8955</v>
      </c>
    </row>
    <row r="8768" spans="1:1" x14ac:dyDescent="0.2">
      <c r="A8768">
        <v>8956</v>
      </c>
    </row>
    <row r="8769" spans="1:1" x14ac:dyDescent="0.2">
      <c r="A8769">
        <v>8957</v>
      </c>
    </row>
    <row r="8770" spans="1:1" x14ac:dyDescent="0.2">
      <c r="A8770">
        <v>8958</v>
      </c>
    </row>
    <row r="8771" spans="1:1" x14ac:dyDescent="0.2">
      <c r="A8771">
        <v>8959</v>
      </c>
    </row>
    <row r="8772" spans="1:1" x14ac:dyDescent="0.2">
      <c r="A8772">
        <v>8960</v>
      </c>
    </row>
    <row r="8773" spans="1:1" x14ac:dyDescent="0.2">
      <c r="A8773">
        <v>8961</v>
      </c>
    </row>
    <row r="8774" spans="1:1" x14ac:dyDescent="0.2">
      <c r="A8774">
        <v>8962</v>
      </c>
    </row>
    <row r="8775" spans="1:1" x14ac:dyDescent="0.2">
      <c r="A8775">
        <v>8963</v>
      </c>
    </row>
    <row r="8776" spans="1:1" x14ac:dyDescent="0.2">
      <c r="A8776">
        <v>8964</v>
      </c>
    </row>
    <row r="8777" spans="1:1" x14ac:dyDescent="0.2">
      <c r="A8777">
        <v>8965</v>
      </c>
    </row>
    <row r="8778" spans="1:1" x14ac:dyDescent="0.2">
      <c r="A8778">
        <v>8966</v>
      </c>
    </row>
    <row r="8779" spans="1:1" x14ac:dyDescent="0.2">
      <c r="A8779">
        <v>8967</v>
      </c>
    </row>
    <row r="8780" spans="1:1" x14ac:dyDescent="0.2">
      <c r="A8780">
        <v>8968</v>
      </c>
    </row>
    <row r="8781" spans="1:1" x14ac:dyDescent="0.2">
      <c r="A8781">
        <v>8969</v>
      </c>
    </row>
    <row r="8782" spans="1:1" x14ac:dyDescent="0.2">
      <c r="A8782">
        <v>8970</v>
      </c>
    </row>
    <row r="8783" spans="1:1" x14ac:dyDescent="0.2">
      <c r="A8783">
        <v>8971</v>
      </c>
    </row>
    <row r="8784" spans="1:1" x14ac:dyDescent="0.2">
      <c r="A8784">
        <v>8972</v>
      </c>
    </row>
    <row r="8785" spans="1:1" x14ac:dyDescent="0.2">
      <c r="A8785">
        <v>8973</v>
      </c>
    </row>
    <row r="8786" spans="1:1" x14ac:dyDescent="0.2">
      <c r="A8786">
        <v>8974</v>
      </c>
    </row>
    <row r="8787" spans="1:1" x14ac:dyDescent="0.2">
      <c r="A8787">
        <v>8975</v>
      </c>
    </row>
    <row r="8788" spans="1:1" x14ac:dyDescent="0.2">
      <c r="A8788">
        <v>8976</v>
      </c>
    </row>
    <row r="8789" spans="1:1" x14ac:dyDescent="0.2">
      <c r="A8789">
        <v>8977</v>
      </c>
    </row>
    <row r="8790" spans="1:1" x14ac:dyDescent="0.2">
      <c r="A8790">
        <v>8978</v>
      </c>
    </row>
    <row r="8791" spans="1:1" x14ac:dyDescent="0.2">
      <c r="A8791">
        <v>8979</v>
      </c>
    </row>
    <row r="8792" spans="1:1" x14ac:dyDescent="0.2">
      <c r="A8792">
        <v>8980</v>
      </c>
    </row>
    <row r="8793" spans="1:1" x14ac:dyDescent="0.2">
      <c r="A8793">
        <v>8981</v>
      </c>
    </row>
    <row r="8794" spans="1:1" x14ac:dyDescent="0.2">
      <c r="A8794">
        <v>8982</v>
      </c>
    </row>
    <row r="8795" spans="1:1" x14ac:dyDescent="0.2">
      <c r="A8795">
        <v>8983</v>
      </c>
    </row>
    <row r="8796" spans="1:1" x14ac:dyDescent="0.2">
      <c r="A8796">
        <v>8984</v>
      </c>
    </row>
    <row r="8797" spans="1:1" x14ac:dyDescent="0.2">
      <c r="A8797">
        <v>8985</v>
      </c>
    </row>
    <row r="8798" spans="1:1" x14ac:dyDescent="0.2">
      <c r="A8798">
        <v>8986</v>
      </c>
    </row>
    <row r="8799" spans="1:1" x14ac:dyDescent="0.2">
      <c r="A8799">
        <v>8987</v>
      </c>
    </row>
    <row r="8800" spans="1:1" x14ac:dyDescent="0.2">
      <c r="A8800">
        <v>8988</v>
      </c>
    </row>
    <row r="8801" spans="1:1" x14ac:dyDescent="0.2">
      <c r="A8801">
        <v>8989</v>
      </c>
    </row>
    <row r="8802" spans="1:1" x14ac:dyDescent="0.2">
      <c r="A8802">
        <v>8990</v>
      </c>
    </row>
    <row r="8803" spans="1:1" x14ac:dyDescent="0.2">
      <c r="A8803">
        <v>8991</v>
      </c>
    </row>
    <row r="8804" spans="1:1" x14ac:dyDescent="0.2">
      <c r="A8804">
        <v>8992</v>
      </c>
    </row>
    <row r="8805" spans="1:1" x14ac:dyDescent="0.2">
      <c r="A8805">
        <v>8993</v>
      </c>
    </row>
    <row r="8806" spans="1:1" x14ac:dyDescent="0.2">
      <c r="A8806">
        <v>8994</v>
      </c>
    </row>
    <row r="8807" spans="1:1" x14ac:dyDescent="0.2">
      <c r="A8807">
        <v>8995</v>
      </c>
    </row>
    <row r="8808" spans="1:1" x14ac:dyDescent="0.2">
      <c r="A8808">
        <v>8996</v>
      </c>
    </row>
    <row r="8809" spans="1:1" x14ac:dyDescent="0.2">
      <c r="A8809">
        <v>8997</v>
      </c>
    </row>
    <row r="8810" spans="1:1" x14ac:dyDescent="0.2">
      <c r="A8810">
        <v>8998</v>
      </c>
    </row>
    <row r="8811" spans="1:1" x14ac:dyDescent="0.2">
      <c r="A8811">
        <v>8999</v>
      </c>
    </row>
    <row r="8812" spans="1:1" x14ac:dyDescent="0.2">
      <c r="A8812">
        <v>9000</v>
      </c>
    </row>
    <row r="8813" spans="1:1" x14ac:dyDescent="0.2">
      <c r="A8813">
        <v>9001</v>
      </c>
    </row>
    <row r="8814" spans="1:1" x14ac:dyDescent="0.2">
      <c r="A8814">
        <v>9002</v>
      </c>
    </row>
    <row r="8815" spans="1:1" x14ac:dyDescent="0.2">
      <c r="A8815">
        <v>9003</v>
      </c>
    </row>
    <row r="8816" spans="1:1" x14ac:dyDescent="0.2">
      <c r="A8816">
        <v>9004</v>
      </c>
    </row>
    <row r="8817" spans="1:1" x14ac:dyDescent="0.2">
      <c r="A8817">
        <v>9005</v>
      </c>
    </row>
    <row r="8818" spans="1:1" x14ac:dyDescent="0.2">
      <c r="A8818">
        <v>9006</v>
      </c>
    </row>
    <row r="8819" spans="1:1" x14ac:dyDescent="0.2">
      <c r="A8819">
        <v>9007</v>
      </c>
    </row>
    <row r="8820" spans="1:1" x14ac:dyDescent="0.2">
      <c r="A8820">
        <v>9008</v>
      </c>
    </row>
    <row r="8821" spans="1:1" x14ac:dyDescent="0.2">
      <c r="A8821">
        <v>9009</v>
      </c>
    </row>
    <row r="8822" spans="1:1" x14ac:dyDescent="0.2">
      <c r="A8822">
        <v>9010</v>
      </c>
    </row>
    <row r="8823" spans="1:1" x14ac:dyDescent="0.2">
      <c r="A8823">
        <v>9011</v>
      </c>
    </row>
    <row r="8824" spans="1:1" x14ac:dyDescent="0.2">
      <c r="A8824">
        <v>9012</v>
      </c>
    </row>
    <row r="8825" spans="1:1" x14ac:dyDescent="0.2">
      <c r="A8825">
        <v>9013</v>
      </c>
    </row>
    <row r="8826" spans="1:1" x14ac:dyDescent="0.2">
      <c r="A8826">
        <v>9014</v>
      </c>
    </row>
    <row r="8827" spans="1:1" x14ac:dyDescent="0.2">
      <c r="A8827">
        <v>9015</v>
      </c>
    </row>
    <row r="8828" spans="1:1" x14ac:dyDescent="0.2">
      <c r="A8828">
        <v>9016</v>
      </c>
    </row>
    <row r="8829" spans="1:1" x14ac:dyDescent="0.2">
      <c r="A8829">
        <v>9017</v>
      </c>
    </row>
    <row r="8830" spans="1:1" x14ac:dyDescent="0.2">
      <c r="A8830">
        <v>9018</v>
      </c>
    </row>
    <row r="8831" spans="1:1" x14ac:dyDescent="0.2">
      <c r="A8831">
        <v>9019</v>
      </c>
    </row>
    <row r="8832" spans="1:1" x14ac:dyDescent="0.2">
      <c r="A8832">
        <v>9020</v>
      </c>
    </row>
    <row r="8833" spans="1:1" x14ac:dyDescent="0.2">
      <c r="A8833">
        <v>9021</v>
      </c>
    </row>
    <row r="8834" spans="1:1" x14ac:dyDescent="0.2">
      <c r="A8834">
        <v>9022</v>
      </c>
    </row>
    <row r="8835" spans="1:1" x14ac:dyDescent="0.2">
      <c r="A8835">
        <v>9023</v>
      </c>
    </row>
    <row r="8836" spans="1:1" x14ac:dyDescent="0.2">
      <c r="A8836">
        <v>9024</v>
      </c>
    </row>
    <row r="8837" spans="1:1" x14ac:dyDescent="0.2">
      <c r="A8837">
        <v>9025</v>
      </c>
    </row>
    <row r="8838" spans="1:1" x14ac:dyDescent="0.2">
      <c r="A8838">
        <v>9026</v>
      </c>
    </row>
    <row r="8839" spans="1:1" x14ac:dyDescent="0.2">
      <c r="A8839">
        <v>9027</v>
      </c>
    </row>
    <row r="8840" spans="1:1" x14ac:dyDescent="0.2">
      <c r="A8840">
        <v>9028</v>
      </c>
    </row>
    <row r="8841" spans="1:1" x14ac:dyDescent="0.2">
      <c r="A8841">
        <v>9029</v>
      </c>
    </row>
    <row r="8842" spans="1:1" x14ac:dyDescent="0.2">
      <c r="A8842">
        <v>9030</v>
      </c>
    </row>
    <row r="8843" spans="1:1" x14ac:dyDescent="0.2">
      <c r="A8843">
        <v>9031</v>
      </c>
    </row>
    <row r="8844" spans="1:1" x14ac:dyDescent="0.2">
      <c r="A8844">
        <v>9032</v>
      </c>
    </row>
    <row r="8845" spans="1:1" x14ac:dyDescent="0.2">
      <c r="A8845">
        <v>9033</v>
      </c>
    </row>
    <row r="8846" spans="1:1" x14ac:dyDescent="0.2">
      <c r="A8846">
        <v>9034</v>
      </c>
    </row>
    <row r="8847" spans="1:1" x14ac:dyDescent="0.2">
      <c r="A8847">
        <v>9035</v>
      </c>
    </row>
    <row r="8848" spans="1:1" x14ac:dyDescent="0.2">
      <c r="A8848">
        <v>9036</v>
      </c>
    </row>
    <row r="8849" spans="1:1" x14ac:dyDescent="0.2">
      <c r="A8849">
        <v>9037</v>
      </c>
    </row>
    <row r="8850" spans="1:1" x14ac:dyDescent="0.2">
      <c r="A8850">
        <v>9038</v>
      </c>
    </row>
    <row r="8851" spans="1:1" x14ac:dyDescent="0.2">
      <c r="A8851">
        <v>9039</v>
      </c>
    </row>
    <row r="8852" spans="1:1" x14ac:dyDescent="0.2">
      <c r="A8852">
        <v>9040</v>
      </c>
    </row>
    <row r="8853" spans="1:1" x14ac:dyDescent="0.2">
      <c r="A8853">
        <v>9041</v>
      </c>
    </row>
    <row r="8854" spans="1:1" x14ac:dyDescent="0.2">
      <c r="A8854">
        <v>9042</v>
      </c>
    </row>
    <row r="8855" spans="1:1" x14ac:dyDescent="0.2">
      <c r="A8855">
        <v>9043</v>
      </c>
    </row>
    <row r="8856" spans="1:1" x14ac:dyDescent="0.2">
      <c r="A8856">
        <v>9044</v>
      </c>
    </row>
    <row r="8857" spans="1:1" x14ac:dyDescent="0.2">
      <c r="A8857">
        <v>9045</v>
      </c>
    </row>
    <row r="8858" spans="1:1" x14ac:dyDescent="0.2">
      <c r="A8858">
        <v>9046</v>
      </c>
    </row>
    <row r="8859" spans="1:1" x14ac:dyDescent="0.2">
      <c r="A8859">
        <v>9047</v>
      </c>
    </row>
    <row r="8860" spans="1:1" x14ac:dyDescent="0.2">
      <c r="A8860">
        <v>9048</v>
      </c>
    </row>
    <row r="8861" spans="1:1" x14ac:dyDescent="0.2">
      <c r="A8861">
        <v>9049</v>
      </c>
    </row>
    <row r="8862" spans="1:1" x14ac:dyDescent="0.2">
      <c r="A8862">
        <v>9050</v>
      </c>
    </row>
    <row r="8863" spans="1:1" x14ac:dyDescent="0.2">
      <c r="A8863">
        <v>9051</v>
      </c>
    </row>
    <row r="8864" spans="1:1" x14ac:dyDescent="0.2">
      <c r="A8864">
        <v>9052</v>
      </c>
    </row>
    <row r="8865" spans="1:1" x14ac:dyDescent="0.2">
      <c r="A8865">
        <v>9053</v>
      </c>
    </row>
    <row r="8866" spans="1:1" x14ac:dyDescent="0.2">
      <c r="A8866">
        <v>9054</v>
      </c>
    </row>
    <row r="8867" spans="1:1" x14ac:dyDescent="0.2">
      <c r="A8867">
        <v>9055</v>
      </c>
    </row>
    <row r="8868" spans="1:1" x14ac:dyDescent="0.2">
      <c r="A8868">
        <v>9056</v>
      </c>
    </row>
    <row r="8869" spans="1:1" x14ac:dyDescent="0.2">
      <c r="A8869">
        <v>9057</v>
      </c>
    </row>
    <row r="8870" spans="1:1" x14ac:dyDescent="0.2">
      <c r="A8870">
        <v>9058</v>
      </c>
    </row>
    <row r="8871" spans="1:1" x14ac:dyDescent="0.2">
      <c r="A8871">
        <v>9059</v>
      </c>
    </row>
    <row r="8872" spans="1:1" x14ac:dyDescent="0.2">
      <c r="A8872">
        <v>9060</v>
      </c>
    </row>
    <row r="8873" spans="1:1" x14ac:dyDescent="0.2">
      <c r="A8873">
        <v>9061</v>
      </c>
    </row>
    <row r="8874" spans="1:1" x14ac:dyDescent="0.2">
      <c r="A8874">
        <v>9062</v>
      </c>
    </row>
    <row r="8875" spans="1:1" x14ac:dyDescent="0.2">
      <c r="A8875">
        <v>9063</v>
      </c>
    </row>
    <row r="8876" spans="1:1" x14ac:dyDescent="0.2">
      <c r="A8876">
        <v>9064</v>
      </c>
    </row>
    <row r="8877" spans="1:1" x14ac:dyDescent="0.2">
      <c r="A8877">
        <v>9065</v>
      </c>
    </row>
    <row r="8878" spans="1:1" x14ac:dyDescent="0.2">
      <c r="A8878">
        <v>9066</v>
      </c>
    </row>
    <row r="8879" spans="1:1" x14ac:dyDescent="0.2">
      <c r="A8879">
        <v>9067</v>
      </c>
    </row>
    <row r="8880" spans="1:1" x14ac:dyDescent="0.2">
      <c r="A8880">
        <v>9068</v>
      </c>
    </row>
    <row r="8881" spans="1:1" x14ac:dyDescent="0.2">
      <c r="A8881">
        <v>9069</v>
      </c>
    </row>
    <row r="8882" spans="1:1" x14ac:dyDescent="0.2">
      <c r="A8882">
        <v>9070</v>
      </c>
    </row>
    <row r="8883" spans="1:1" x14ac:dyDescent="0.2">
      <c r="A8883">
        <v>9071</v>
      </c>
    </row>
    <row r="8884" spans="1:1" x14ac:dyDescent="0.2">
      <c r="A8884">
        <v>9072</v>
      </c>
    </row>
    <row r="8885" spans="1:1" x14ac:dyDescent="0.2">
      <c r="A8885">
        <v>9073</v>
      </c>
    </row>
    <row r="8886" spans="1:1" x14ac:dyDescent="0.2">
      <c r="A8886">
        <v>9074</v>
      </c>
    </row>
    <row r="8887" spans="1:1" x14ac:dyDescent="0.2">
      <c r="A8887">
        <v>9075</v>
      </c>
    </row>
    <row r="8888" spans="1:1" x14ac:dyDescent="0.2">
      <c r="A8888">
        <v>9076</v>
      </c>
    </row>
    <row r="8889" spans="1:1" x14ac:dyDescent="0.2">
      <c r="A8889">
        <v>9077</v>
      </c>
    </row>
    <row r="8890" spans="1:1" x14ac:dyDescent="0.2">
      <c r="A8890">
        <v>9078</v>
      </c>
    </row>
    <row r="8891" spans="1:1" x14ac:dyDescent="0.2">
      <c r="A8891">
        <v>9079</v>
      </c>
    </row>
    <row r="8892" spans="1:1" x14ac:dyDescent="0.2">
      <c r="A8892">
        <v>9080</v>
      </c>
    </row>
    <row r="8893" spans="1:1" x14ac:dyDescent="0.2">
      <c r="A8893">
        <v>9081</v>
      </c>
    </row>
    <row r="8894" spans="1:1" x14ac:dyDescent="0.2">
      <c r="A8894">
        <v>9082</v>
      </c>
    </row>
    <row r="8895" spans="1:1" x14ac:dyDescent="0.2">
      <c r="A8895">
        <v>9083</v>
      </c>
    </row>
    <row r="8896" spans="1:1" x14ac:dyDescent="0.2">
      <c r="A8896">
        <v>9084</v>
      </c>
    </row>
    <row r="8897" spans="1:1" x14ac:dyDescent="0.2">
      <c r="A8897">
        <v>9085</v>
      </c>
    </row>
    <row r="8898" spans="1:1" x14ac:dyDescent="0.2">
      <c r="A8898">
        <v>9086</v>
      </c>
    </row>
    <row r="8899" spans="1:1" x14ac:dyDescent="0.2">
      <c r="A8899">
        <v>9087</v>
      </c>
    </row>
    <row r="8900" spans="1:1" x14ac:dyDescent="0.2">
      <c r="A8900">
        <v>9088</v>
      </c>
    </row>
    <row r="8901" spans="1:1" x14ac:dyDescent="0.2">
      <c r="A8901">
        <v>9089</v>
      </c>
    </row>
    <row r="8902" spans="1:1" x14ac:dyDescent="0.2">
      <c r="A8902">
        <v>9090</v>
      </c>
    </row>
    <row r="8903" spans="1:1" x14ac:dyDescent="0.2">
      <c r="A8903">
        <v>9091</v>
      </c>
    </row>
    <row r="8904" spans="1:1" x14ac:dyDescent="0.2">
      <c r="A8904">
        <v>9092</v>
      </c>
    </row>
    <row r="8905" spans="1:1" x14ac:dyDescent="0.2">
      <c r="A8905">
        <v>9093</v>
      </c>
    </row>
    <row r="8906" spans="1:1" x14ac:dyDescent="0.2">
      <c r="A8906">
        <v>9094</v>
      </c>
    </row>
    <row r="8907" spans="1:1" x14ac:dyDescent="0.2">
      <c r="A8907">
        <v>9095</v>
      </c>
    </row>
    <row r="8908" spans="1:1" x14ac:dyDescent="0.2">
      <c r="A8908">
        <v>9096</v>
      </c>
    </row>
    <row r="8909" spans="1:1" x14ac:dyDescent="0.2">
      <c r="A8909">
        <v>9097</v>
      </c>
    </row>
    <row r="8910" spans="1:1" x14ac:dyDescent="0.2">
      <c r="A8910">
        <v>9098</v>
      </c>
    </row>
    <row r="8911" spans="1:1" x14ac:dyDescent="0.2">
      <c r="A8911">
        <v>9099</v>
      </c>
    </row>
    <row r="8912" spans="1:1" x14ac:dyDescent="0.2">
      <c r="A8912">
        <v>9100</v>
      </c>
    </row>
    <row r="8913" spans="1:1" x14ac:dyDescent="0.2">
      <c r="A8913">
        <v>9101</v>
      </c>
    </row>
    <row r="8914" spans="1:1" x14ac:dyDescent="0.2">
      <c r="A8914">
        <v>9102</v>
      </c>
    </row>
    <row r="8915" spans="1:1" x14ac:dyDescent="0.2">
      <c r="A8915">
        <v>9103</v>
      </c>
    </row>
    <row r="8916" spans="1:1" x14ac:dyDescent="0.2">
      <c r="A8916">
        <v>9104</v>
      </c>
    </row>
    <row r="8917" spans="1:1" x14ac:dyDescent="0.2">
      <c r="A8917">
        <v>9105</v>
      </c>
    </row>
    <row r="8918" spans="1:1" x14ac:dyDescent="0.2">
      <c r="A8918">
        <v>9106</v>
      </c>
    </row>
    <row r="8919" spans="1:1" x14ac:dyDescent="0.2">
      <c r="A8919">
        <v>9107</v>
      </c>
    </row>
    <row r="8920" spans="1:1" x14ac:dyDescent="0.2">
      <c r="A8920">
        <v>9108</v>
      </c>
    </row>
    <row r="8921" spans="1:1" x14ac:dyDescent="0.2">
      <c r="A8921">
        <v>9109</v>
      </c>
    </row>
    <row r="8922" spans="1:1" x14ac:dyDescent="0.2">
      <c r="A8922">
        <v>9110</v>
      </c>
    </row>
    <row r="8923" spans="1:1" x14ac:dyDescent="0.2">
      <c r="A8923">
        <v>9111</v>
      </c>
    </row>
    <row r="8924" spans="1:1" x14ac:dyDescent="0.2">
      <c r="A8924">
        <v>9112</v>
      </c>
    </row>
    <row r="8925" spans="1:1" x14ac:dyDescent="0.2">
      <c r="A8925">
        <v>9113</v>
      </c>
    </row>
    <row r="8926" spans="1:1" x14ac:dyDescent="0.2">
      <c r="A8926">
        <v>9114</v>
      </c>
    </row>
    <row r="8927" spans="1:1" x14ac:dyDescent="0.2">
      <c r="A8927">
        <v>9115</v>
      </c>
    </row>
    <row r="8928" spans="1:1" x14ac:dyDescent="0.2">
      <c r="A8928">
        <v>9116</v>
      </c>
    </row>
    <row r="8929" spans="1:1" x14ac:dyDescent="0.2">
      <c r="A8929">
        <v>9117</v>
      </c>
    </row>
    <row r="8930" spans="1:1" x14ac:dyDescent="0.2">
      <c r="A8930">
        <v>9118</v>
      </c>
    </row>
    <row r="8931" spans="1:1" x14ac:dyDescent="0.2">
      <c r="A8931">
        <v>9119</v>
      </c>
    </row>
    <row r="8932" spans="1:1" x14ac:dyDescent="0.2">
      <c r="A8932">
        <v>9120</v>
      </c>
    </row>
    <row r="8933" spans="1:1" x14ac:dyDescent="0.2">
      <c r="A8933">
        <v>9121</v>
      </c>
    </row>
    <row r="8934" spans="1:1" x14ac:dyDescent="0.2">
      <c r="A8934">
        <v>9122</v>
      </c>
    </row>
    <row r="8935" spans="1:1" x14ac:dyDescent="0.2">
      <c r="A8935">
        <v>9123</v>
      </c>
    </row>
    <row r="8936" spans="1:1" x14ac:dyDescent="0.2">
      <c r="A8936">
        <v>9124</v>
      </c>
    </row>
    <row r="8937" spans="1:1" x14ac:dyDescent="0.2">
      <c r="A8937">
        <v>9125</v>
      </c>
    </row>
    <row r="8938" spans="1:1" x14ac:dyDescent="0.2">
      <c r="A8938">
        <v>9126</v>
      </c>
    </row>
    <row r="8939" spans="1:1" x14ac:dyDescent="0.2">
      <c r="A8939">
        <v>9127</v>
      </c>
    </row>
    <row r="8940" spans="1:1" x14ac:dyDescent="0.2">
      <c r="A8940">
        <v>9128</v>
      </c>
    </row>
    <row r="8941" spans="1:1" x14ac:dyDescent="0.2">
      <c r="A8941">
        <v>9129</v>
      </c>
    </row>
    <row r="8942" spans="1:1" x14ac:dyDescent="0.2">
      <c r="A8942">
        <v>9130</v>
      </c>
    </row>
    <row r="8943" spans="1:1" x14ac:dyDescent="0.2">
      <c r="A8943">
        <v>9131</v>
      </c>
    </row>
    <row r="8944" spans="1:1" x14ac:dyDescent="0.2">
      <c r="A8944">
        <v>9132</v>
      </c>
    </row>
    <row r="8945" spans="1:1" x14ac:dyDescent="0.2">
      <c r="A8945">
        <v>9133</v>
      </c>
    </row>
    <row r="8946" spans="1:1" x14ac:dyDescent="0.2">
      <c r="A8946">
        <v>9134</v>
      </c>
    </row>
    <row r="8947" spans="1:1" x14ac:dyDescent="0.2">
      <c r="A8947">
        <v>9135</v>
      </c>
    </row>
    <row r="8948" spans="1:1" x14ac:dyDescent="0.2">
      <c r="A8948">
        <v>9136</v>
      </c>
    </row>
    <row r="8949" spans="1:1" x14ac:dyDescent="0.2">
      <c r="A8949">
        <v>9137</v>
      </c>
    </row>
    <row r="8950" spans="1:1" x14ac:dyDescent="0.2">
      <c r="A8950">
        <v>9138</v>
      </c>
    </row>
    <row r="8951" spans="1:1" x14ac:dyDescent="0.2">
      <c r="A8951">
        <v>9139</v>
      </c>
    </row>
    <row r="8952" spans="1:1" x14ac:dyDescent="0.2">
      <c r="A8952">
        <v>9140</v>
      </c>
    </row>
    <row r="8953" spans="1:1" x14ac:dyDescent="0.2">
      <c r="A8953">
        <v>9141</v>
      </c>
    </row>
    <row r="8954" spans="1:1" x14ac:dyDescent="0.2">
      <c r="A8954">
        <v>9142</v>
      </c>
    </row>
    <row r="8955" spans="1:1" x14ac:dyDescent="0.2">
      <c r="A8955">
        <v>9143</v>
      </c>
    </row>
    <row r="8956" spans="1:1" x14ac:dyDescent="0.2">
      <c r="A8956">
        <v>9144</v>
      </c>
    </row>
    <row r="8957" spans="1:1" x14ac:dyDescent="0.2">
      <c r="A8957">
        <v>9145</v>
      </c>
    </row>
    <row r="8958" spans="1:1" x14ac:dyDescent="0.2">
      <c r="A8958">
        <v>9146</v>
      </c>
    </row>
    <row r="8959" spans="1:1" x14ac:dyDescent="0.2">
      <c r="A8959">
        <v>9147</v>
      </c>
    </row>
    <row r="8960" spans="1:1" x14ac:dyDescent="0.2">
      <c r="A8960">
        <v>9148</v>
      </c>
    </row>
    <row r="8961" spans="1:1" x14ac:dyDescent="0.2">
      <c r="A8961">
        <v>9149</v>
      </c>
    </row>
    <row r="8962" spans="1:1" x14ac:dyDescent="0.2">
      <c r="A8962">
        <v>9150</v>
      </c>
    </row>
    <row r="8963" spans="1:1" x14ac:dyDescent="0.2">
      <c r="A8963">
        <v>9151</v>
      </c>
    </row>
    <row r="8964" spans="1:1" x14ac:dyDescent="0.2">
      <c r="A8964">
        <v>9152</v>
      </c>
    </row>
    <row r="8965" spans="1:1" x14ac:dyDescent="0.2">
      <c r="A8965">
        <v>9153</v>
      </c>
    </row>
    <row r="8966" spans="1:1" x14ac:dyDescent="0.2">
      <c r="A8966">
        <v>9154</v>
      </c>
    </row>
    <row r="8967" spans="1:1" x14ac:dyDescent="0.2">
      <c r="A8967">
        <v>9155</v>
      </c>
    </row>
    <row r="8968" spans="1:1" x14ac:dyDescent="0.2">
      <c r="A8968">
        <v>9156</v>
      </c>
    </row>
    <row r="8969" spans="1:1" x14ac:dyDescent="0.2">
      <c r="A8969">
        <v>9157</v>
      </c>
    </row>
    <row r="8970" spans="1:1" x14ac:dyDescent="0.2">
      <c r="A8970">
        <v>9158</v>
      </c>
    </row>
    <row r="8971" spans="1:1" x14ac:dyDescent="0.2">
      <c r="A8971">
        <v>9159</v>
      </c>
    </row>
    <row r="8972" spans="1:1" x14ac:dyDescent="0.2">
      <c r="A8972">
        <v>9160</v>
      </c>
    </row>
    <row r="8973" spans="1:1" x14ac:dyDescent="0.2">
      <c r="A8973">
        <v>9161</v>
      </c>
    </row>
    <row r="8974" spans="1:1" x14ac:dyDescent="0.2">
      <c r="A8974">
        <v>9162</v>
      </c>
    </row>
    <row r="8975" spans="1:1" x14ac:dyDescent="0.2">
      <c r="A8975">
        <v>9163</v>
      </c>
    </row>
    <row r="8976" spans="1:1" x14ac:dyDescent="0.2">
      <c r="A8976">
        <v>9164</v>
      </c>
    </row>
    <row r="8977" spans="1:1" x14ac:dyDescent="0.2">
      <c r="A8977">
        <v>9165</v>
      </c>
    </row>
    <row r="8978" spans="1:1" x14ac:dyDescent="0.2">
      <c r="A8978">
        <v>9166</v>
      </c>
    </row>
    <row r="8979" spans="1:1" x14ac:dyDescent="0.2">
      <c r="A8979">
        <v>9167</v>
      </c>
    </row>
    <row r="8980" spans="1:1" x14ac:dyDescent="0.2">
      <c r="A8980">
        <v>9168</v>
      </c>
    </row>
    <row r="8981" spans="1:1" x14ac:dyDescent="0.2">
      <c r="A8981">
        <v>9169</v>
      </c>
    </row>
    <row r="8982" spans="1:1" x14ac:dyDescent="0.2">
      <c r="A8982">
        <v>9170</v>
      </c>
    </row>
    <row r="8983" spans="1:1" x14ac:dyDescent="0.2">
      <c r="A8983">
        <v>9171</v>
      </c>
    </row>
    <row r="8984" spans="1:1" x14ac:dyDescent="0.2">
      <c r="A8984">
        <v>9172</v>
      </c>
    </row>
    <row r="8985" spans="1:1" x14ac:dyDescent="0.2">
      <c r="A8985">
        <v>9173</v>
      </c>
    </row>
    <row r="8986" spans="1:1" x14ac:dyDescent="0.2">
      <c r="A8986">
        <v>9174</v>
      </c>
    </row>
    <row r="8987" spans="1:1" x14ac:dyDescent="0.2">
      <c r="A8987">
        <v>9175</v>
      </c>
    </row>
    <row r="8988" spans="1:1" x14ac:dyDescent="0.2">
      <c r="A8988">
        <v>9176</v>
      </c>
    </row>
    <row r="8989" spans="1:1" x14ac:dyDescent="0.2">
      <c r="A8989">
        <v>9177</v>
      </c>
    </row>
    <row r="8990" spans="1:1" x14ac:dyDescent="0.2">
      <c r="A8990">
        <v>9178</v>
      </c>
    </row>
    <row r="8991" spans="1:1" x14ac:dyDescent="0.2">
      <c r="A8991">
        <v>9179</v>
      </c>
    </row>
    <row r="8992" spans="1:1" x14ac:dyDescent="0.2">
      <c r="A8992">
        <v>9180</v>
      </c>
    </row>
    <row r="8993" spans="1:1" x14ac:dyDescent="0.2">
      <c r="A8993">
        <v>9181</v>
      </c>
    </row>
    <row r="8994" spans="1:1" x14ac:dyDescent="0.2">
      <c r="A8994">
        <v>9182</v>
      </c>
    </row>
    <row r="8995" spans="1:1" x14ac:dyDescent="0.2">
      <c r="A8995">
        <v>9183</v>
      </c>
    </row>
    <row r="8996" spans="1:1" x14ac:dyDescent="0.2">
      <c r="A8996">
        <v>9184</v>
      </c>
    </row>
    <row r="8997" spans="1:1" x14ac:dyDescent="0.2">
      <c r="A8997">
        <v>9185</v>
      </c>
    </row>
    <row r="8998" spans="1:1" x14ac:dyDescent="0.2">
      <c r="A8998">
        <v>9186</v>
      </c>
    </row>
    <row r="8999" spans="1:1" x14ac:dyDescent="0.2">
      <c r="A8999">
        <v>9187</v>
      </c>
    </row>
    <row r="9000" spans="1:1" x14ac:dyDescent="0.2">
      <c r="A9000">
        <v>9188</v>
      </c>
    </row>
    <row r="9001" spans="1:1" x14ac:dyDescent="0.2">
      <c r="A9001">
        <v>9189</v>
      </c>
    </row>
    <row r="9002" spans="1:1" x14ac:dyDescent="0.2">
      <c r="A9002">
        <v>9190</v>
      </c>
    </row>
    <row r="9003" spans="1:1" x14ac:dyDescent="0.2">
      <c r="A9003">
        <v>9191</v>
      </c>
    </row>
    <row r="9004" spans="1:1" x14ac:dyDescent="0.2">
      <c r="A9004">
        <v>9192</v>
      </c>
    </row>
    <row r="9005" spans="1:1" x14ac:dyDescent="0.2">
      <c r="A9005">
        <v>9193</v>
      </c>
    </row>
    <row r="9006" spans="1:1" x14ac:dyDescent="0.2">
      <c r="A9006">
        <v>9194</v>
      </c>
    </row>
    <row r="9007" spans="1:1" x14ac:dyDescent="0.2">
      <c r="A9007">
        <v>9195</v>
      </c>
    </row>
    <row r="9008" spans="1:1" x14ac:dyDescent="0.2">
      <c r="A9008">
        <v>9196</v>
      </c>
    </row>
    <row r="9009" spans="1:1" x14ac:dyDescent="0.2">
      <c r="A9009">
        <v>9197</v>
      </c>
    </row>
    <row r="9010" spans="1:1" x14ac:dyDescent="0.2">
      <c r="A9010">
        <v>9198</v>
      </c>
    </row>
    <row r="9011" spans="1:1" x14ac:dyDescent="0.2">
      <c r="A9011">
        <v>9199</v>
      </c>
    </row>
    <row r="9012" spans="1:1" x14ac:dyDescent="0.2">
      <c r="A9012">
        <v>9200</v>
      </c>
    </row>
    <row r="9013" spans="1:1" x14ac:dyDescent="0.2">
      <c r="A9013">
        <v>9201</v>
      </c>
    </row>
    <row r="9014" spans="1:1" x14ac:dyDescent="0.2">
      <c r="A9014">
        <v>9202</v>
      </c>
    </row>
    <row r="9015" spans="1:1" x14ac:dyDescent="0.2">
      <c r="A9015">
        <v>9203</v>
      </c>
    </row>
    <row r="9016" spans="1:1" x14ac:dyDescent="0.2">
      <c r="A9016">
        <v>9204</v>
      </c>
    </row>
    <row r="9017" spans="1:1" x14ac:dyDescent="0.2">
      <c r="A9017">
        <v>9205</v>
      </c>
    </row>
    <row r="9018" spans="1:1" x14ac:dyDescent="0.2">
      <c r="A9018">
        <v>9206</v>
      </c>
    </row>
    <row r="9019" spans="1:1" x14ac:dyDescent="0.2">
      <c r="A9019">
        <v>9207</v>
      </c>
    </row>
    <row r="9020" spans="1:1" x14ac:dyDescent="0.2">
      <c r="A9020">
        <v>9208</v>
      </c>
    </row>
    <row r="9021" spans="1:1" x14ac:dyDescent="0.2">
      <c r="A9021">
        <v>9209</v>
      </c>
    </row>
    <row r="9022" spans="1:1" x14ac:dyDescent="0.2">
      <c r="A9022">
        <v>9210</v>
      </c>
    </row>
    <row r="9023" spans="1:1" x14ac:dyDescent="0.2">
      <c r="A9023">
        <v>9211</v>
      </c>
    </row>
    <row r="9024" spans="1:1" x14ac:dyDescent="0.2">
      <c r="A9024">
        <v>9212</v>
      </c>
    </row>
    <row r="9025" spans="1:1" x14ac:dyDescent="0.2">
      <c r="A9025">
        <v>9213</v>
      </c>
    </row>
    <row r="9026" spans="1:1" x14ac:dyDescent="0.2">
      <c r="A9026">
        <v>9214</v>
      </c>
    </row>
    <row r="9027" spans="1:1" x14ac:dyDescent="0.2">
      <c r="A9027">
        <v>9215</v>
      </c>
    </row>
    <row r="9028" spans="1:1" x14ac:dyDescent="0.2">
      <c r="A9028">
        <v>9216</v>
      </c>
    </row>
    <row r="9029" spans="1:1" x14ac:dyDescent="0.2">
      <c r="A9029">
        <v>9217</v>
      </c>
    </row>
    <row r="9030" spans="1:1" x14ac:dyDescent="0.2">
      <c r="A9030">
        <v>9218</v>
      </c>
    </row>
    <row r="9031" spans="1:1" x14ac:dyDescent="0.2">
      <c r="A9031">
        <v>9219</v>
      </c>
    </row>
    <row r="9032" spans="1:1" x14ac:dyDescent="0.2">
      <c r="A9032">
        <v>9220</v>
      </c>
    </row>
    <row r="9033" spans="1:1" x14ac:dyDescent="0.2">
      <c r="A9033">
        <v>9221</v>
      </c>
    </row>
    <row r="9034" spans="1:1" x14ac:dyDescent="0.2">
      <c r="A9034">
        <v>9222</v>
      </c>
    </row>
    <row r="9035" spans="1:1" x14ac:dyDescent="0.2">
      <c r="A9035">
        <v>9223</v>
      </c>
    </row>
    <row r="9036" spans="1:1" x14ac:dyDescent="0.2">
      <c r="A9036">
        <v>9224</v>
      </c>
    </row>
    <row r="9037" spans="1:1" x14ac:dyDescent="0.2">
      <c r="A9037">
        <v>9225</v>
      </c>
    </row>
    <row r="9038" spans="1:1" x14ac:dyDescent="0.2">
      <c r="A9038">
        <v>9226</v>
      </c>
    </row>
    <row r="9039" spans="1:1" x14ac:dyDescent="0.2">
      <c r="A9039">
        <v>9227</v>
      </c>
    </row>
    <row r="9040" spans="1:1" x14ac:dyDescent="0.2">
      <c r="A9040">
        <v>9228</v>
      </c>
    </row>
    <row r="9041" spans="1:1" x14ac:dyDescent="0.2">
      <c r="A9041">
        <v>9229</v>
      </c>
    </row>
    <row r="9042" spans="1:1" x14ac:dyDescent="0.2">
      <c r="A9042">
        <v>9230</v>
      </c>
    </row>
    <row r="9043" spans="1:1" x14ac:dyDescent="0.2">
      <c r="A9043">
        <v>9231</v>
      </c>
    </row>
    <row r="9044" spans="1:1" x14ac:dyDescent="0.2">
      <c r="A9044">
        <v>9232</v>
      </c>
    </row>
    <row r="9045" spans="1:1" x14ac:dyDescent="0.2">
      <c r="A9045">
        <v>9233</v>
      </c>
    </row>
    <row r="9046" spans="1:1" x14ac:dyDescent="0.2">
      <c r="A9046">
        <v>9234</v>
      </c>
    </row>
    <row r="9047" spans="1:1" x14ac:dyDescent="0.2">
      <c r="A9047">
        <v>9235</v>
      </c>
    </row>
    <row r="9048" spans="1:1" x14ac:dyDescent="0.2">
      <c r="A9048">
        <v>9236</v>
      </c>
    </row>
    <row r="9049" spans="1:1" x14ac:dyDescent="0.2">
      <c r="A9049">
        <v>9237</v>
      </c>
    </row>
    <row r="9050" spans="1:1" x14ac:dyDescent="0.2">
      <c r="A9050">
        <v>9238</v>
      </c>
    </row>
    <row r="9051" spans="1:1" x14ac:dyDescent="0.2">
      <c r="A9051">
        <v>9239</v>
      </c>
    </row>
    <row r="9052" spans="1:1" x14ac:dyDescent="0.2">
      <c r="A9052">
        <v>9240</v>
      </c>
    </row>
    <row r="9053" spans="1:1" x14ac:dyDescent="0.2">
      <c r="A9053">
        <v>9241</v>
      </c>
    </row>
    <row r="9054" spans="1:1" x14ac:dyDescent="0.2">
      <c r="A9054">
        <v>9242</v>
      </c>
    </row>
    <row r="9055" spans="1:1" x14ac:dyDescent="0.2">
      <c r="A9055">
        <v>9243</v>
      </c>
    </row>
    <row r="9056" spans="1:1" x14ac:dyDescent="0.2">
      <c r="A9056">
        <v>9244</v>
      </c>
    </row>
    <row r="9057" spans="1:1" x14ac:dyDescent="0.2">
      <c r="A9057">
        <v>9245</v>
      </c>
    </row>
    <row r="9058" spans="1:1" x14ac:dyDescent="0.2">
      <c r="A9058">
        <v>9246</v>
      </c>
    </row>
    <row r="9059" spans="1:1" x14ac:dyDescent="0.2">
      <c r="A9059">
        <v>9247</v>
      </c>
    </row>
    <row r="9060" spans="1:1" x14ac:dyDescent="0.2">
      <c r="A9060">
        <v>9248</v>
      </c>
    </row>
    <row r="9061" spans="1:1" x14ac:dyDescent="0.2">
      <c r="A9061">
        <v>9249</v>
      </c>
    </row>
    <row r="9062" spans="1:1" x14ac:dyDescent="0.2">
      <c r="A9062">
        <v>9250</v>
      </c>
    </row>
    <row r="9063" spans="1:1" x14ac:dyDescent="0.2">
      <c r="A9063">
        <v>9251</v>
      </c>
    </row>
    <row r="9064" spans="1:1" x14ac:dyDescent="0.2">
      <c r="A9064">
        <v>9252</v>
      </c>
    </row>
    <row r="9065" spans="1:1" x14ac:dyDescent="0.2">
      <c r="A9065">
        <v>9253</v>
      </c>
    </row>
    <row r="9066" spans="1:1" x14ac:dyDescent="0.2">
      <c r="A9066">
        <v>9254</v>
      </c>
    </row>
    <row r="9067" spans="1:1" x14ac:dyDescent="0.2">
      <c r="A9067">
        <v>9255</v>
      </c>
    </row>
    <row r="9068" spans="1:1" x14ac:dyDescent="0.2">
      <c r="A9068">
        <v>9256</v>
      </c>
    </row>
    <row r="9069" spans="1:1" x14ac:dyDescent="0.2">
      <c r="A9069">
        <v>9257</v>
      </c>
    </row>
    <row r="9070" spans="1:1" x14ac:dyDescent="0.2">
      <c r="A9070">
        <v>9258</v>
      </c>
    </row>
    <row r="9071" spans="1:1" x14ac:dyDescent="0.2">
      <c r="A9071">
        <v>9259</v>
      </c>
    </row>
    <row r="9072" spans="1:1" x14ac:dyDescent="0.2">
      <c r="A9072">
        <v>9260</v>
      </c>
    </row>
    <row r="9073" spans="1:1" x14ac:dyDescent="0.2">
      <c r="A9073">
        <v>9261</v>
      </c>
    </row>
    <row r="9074" spans="1:1" x14ac:dyDescent="0.2">
      <c r="A9074">
        <v>9262</v>
      </c>
    </row>
    <row r="9075" spans="1:1" x14ac:dyDescent="0.2">
      <c r="A9075">
        <v>9263</v>
      </c>
    </row>
    <row r="9076" spans="1:1" x14ac:dyDescent="0.2">
      <c r="A9076">
        <v>9264</v>
      </c>
    </row>
    <row r="9077" spans="1:1" x14ac:dyDescent="0.2">
      <c r="A9077">
        <v>9265</v>
      </c>
    </row>
    <row r="9078" spans="1:1" x14ac:dyDescent="0.2">
      <c r="A9078">
        <v>9266</v>
      </c>
    </row>
    <row r="9079" spans="1:1" x14ac:dyDescent="0.2">
      <c r="A9079">
        <v>9267</v>
      </c>
    </row>
    <row r="9080" spans="1:1" x14ac:dyDescent="0.2">
      <c r="A9080">
        <v>9268</v>
      </c>
    </row>
    <row r="9081" spans="1:1" x14ac:dyDescent="0.2">
      <c r="A9081">
        <v>9269</v>
      </c>
    </row>
    <row r="9082" spans="1:1" x14ac:dyDescent="0.2">
      <c r="A9082">
        <v>9270</v>
      </c>
    </row>
    <row r="9083" spans="1:1" x14ac:dyDescent="0.2">
      <c r="A9083">
        <v>9271</v>
      </c>
    </row>
    <row r="9084" spans="1:1" x14ac:dyDescent="0.2">
      <c r="A9084">
        <v>9272</v>
      </c>
    </row>
    <row r="9085" spans="1:1" x14ac:dyDescent="0.2">
      <c r="A9085">
        <v>9273</v>
      </c>
    </row>
    <row r="9086" spans="1:1" x14ac:dyDescent="0.2">
      <c r="A9086">
        <v>9274</v>
      </c>
    </row>
    <row r="9087" spans="1:1" x14ac:dyDescent="0.2">
      <c r="A9087">
        <v>9275</v>
      </c>
    </row>
    <row r="9088" spans="1:1" x14ac:dyDescent="0.2">
      <c r="A9088">
        <v>9276</v>
      </c>
    </row>
    <row r="9089" spans="1:1" x14ac:dyDescent="0.2">
      <c r="A9089">
        <v>9277</v>
      </c>
    </row>
    <row r="9090" spans="1:1" x14ac:dyDescent="0.2">
      <c r="A9090">
        <v>9278</v>
      </c>
    </row>
    <row r="9091" spans="1:1" x14ac:dyDescent="0.2">
      <c r="A9091">
        <v>9279</v>
      </c>
    </row>
    <row r="9092" spans="1:1" x14ac:dyDescent="0.2">
      <c r="A9092">
        <v>9280</v>
      </c>
    </row>
    <row r="9093" spans="1:1" x14ac:dyDescent="0.2">
      <c r="A9093">
        <v>9281</v>
      </c>
    </row>
    <row r="9094" spans="1:1" x14ac:dyDescent="0.2">
      <c r="A9094">
        <v>9282</v>
      </c>
    </row>
    <row r="9095" spans="1:1" x14ac:dyDescent="0.2">
      <c r="A9095">
        <v>9283</v>
      </c>
    </row>
    <row r="9096" spans="1:1" x14ac:dyDescent="0.2">
      <c r="A9096">
        <v>9284</v>
      </c>
    </row>
    <row r="9097" spans="1:1" x14ac:dyDescent="0.2">
      <c r="A9097">
        <v>9285</v>
      </c>
    </row>
    <row r="9098" spans="1:1" x14ac:dyDescent="0.2">
      <c r="A9098">
        <v>9286</v>
      </c>
    </row>
    <row r="9099" spans="1:1" x14ac:dyDescent="0.2">
      <c r="A9099">
        <v>9287</v>
      </c>
    </row>
    <row r="9100" spans="1:1" x14ac:dyDescent="0.2">
      <c r="A9100">
        <v>9288</v>
      </c>
    </row>
    <row r="9101" spans="1:1" x14ac:dyDescent="0.2">
      <c r="A9101">
        <v>9289</v>
      </c>
    </row>
    <row r="9102" spans="1:1" x14ac:dyDescent="0.2">
      <c r="A9102">
        <v>9290</v>
      </c>
    </row>
    <row r="9103" spans="1:1" x14ac:dyDescent="0.2">
      <c r="A9103">
        <v>9291</v>
      </c>
    </row>
    <row r="9104" spans="1:1" x14ac:dyDescent="0.2">
      <c r="A9104">
        <v>9292</v>
      </c>
    </row>
    <row r="9105" spans="1:1" x14ac:dyDescent="0.2">
      <c r="A9105">
        <v>9293</v>
      </c>
    </row>
    <row r="9106" spans="1:1" x14ac:dyDescent="0.2">
      <c r="A9106">
        <v>9294</v>
      </c>
    </row>
    <row r="9107" spans="1:1" x14ac:dyDescent="0.2">
      <c r="A9107">
        <v>9295</v>
      </c>
    </row>
    <row r="9108" spans="1:1" x14ac:dyDescent="0.2">
      <c r="A9108">
        <v>9296</v>
      </c>
    </row>
    <row r="9109" spans="1:1" x14ac:dyDescent="0.2">
      <c r="A9109">
        <v>9297</v>
      </c>
    </row>
    <row r="9110" spans="1:1" x14ac:dyDescent="0.2">
      <c r="A9110">
        <v>9298</v>
      </c>
    </row>
    <row r="9111" spans="1:1" x14ac:dyDescent="0.2">
      <c r="A9111">
        <v>9299</v>
      </c>
    </row>
    <row r="9112" spans="1:1" x14ac:dyDescent="0.2">
      <c r="A9112">
        <v>9300</v>
      </c>
    </row>
    <row r="9113" spans="1:1" x14ac:dyDescent="0.2">
      <c r="A9113">
        <v>9301</v>
      </c>
    </row>
    <row r="9114" spans="1:1" x14ac:dyDescent="0.2">
      <c r="A9114">
        <v>9302</v>
      </c>
    </row>
    <row r="9115" spans="1:1" x14ac:dyDescent="0.2">
      <c r="A9115">
        <v>9303</v>
      </c>
    </row>
    <row r="9116" spans="1:1" x14ac:dyDescent="0.2">
      <c r="A9116">
        <v>9304</v>
      </c>
    </row>
    <row r="9117" spans="1:1" x14ac:dyDescent="0.2">
      <c r="A9117">
        <v>9305</v>
      </c>
    </row>
    <row r="9118" spans="1:1" x14ac:dyDescent="0.2">
      <c r="A9118">
        <v>9306</v>
      </c>
    </row>
    <row r="9119" spans="1:1" x14ac:dyDescent="0.2">
      <c r="A9119">
        <v>9307</v>
      </c>
    </row>
    <row r="9120" spans="1:1" x14ac:dyDescent="0.2">
      <c r="A9120">
        <v>9308</v>
      </c>
    </row>
    <row r="9121" spans="1:1" x14ac:dyDescent="0.2">
      <c r="A9121">
        <v>9309</v>
      </c>
    </row>
    <row r="9122" spans="1:1" x14ac:dyDescent="0.2">
      <c r="A9122">
        <v>9310</v>
      </c>
    </row>
    <row r="9123" spans="1:1" x14ac:dyDescent="0.2">
      <c r="A9123">
        <v>9311</v>
      </c>
    </row>
    <row r="9124" spans="1:1" x14ac:dyDescent="0.2">
      <c r="A9124">
        <v>9312</v>
      </c>
    </row>
    <row r="9125" spans="1:1" x14ac:dyDescent="0.2">
      <c r="A9125">
        <v>9313</v>
      </c>
    </row>
    <row r="9126" spans="1:1" x14ac:dyDescent="0.2">
      <c r="A9126">
        <v>9314</v>
      </c>
    </row>
    <row r="9127" spans="1:1" x14ac:dyDescent="0.2">
      <c r="A9127">
        <v>9315</v>
      </c>
    </row>
    <row r="9128" spans="1:1" x14ac:dyDescent="0.2">
      <c r="A9128">
        <v>9316</v>
      </c>
    </row>
    <row r="9129" spans="1:1" x14ac:dyDescent="0.2">
      <c r="A9129">
        <v>9317</v>
      </c>
    </row>
    <row r="9130" spans="1:1" x14ac:dyDescent="0.2">
      <c r="A9130">
        <v>9318</v>
      </c>
    </row>
    <row r="9131" spans="1:1" x14ac:dyDescent="0.2">
      <c r="A9131">
        <v>9319</v>
      </c>
    </row>
    <row r="9132" spans="1:1" x14ac:dyDescent="0.2">
      <c r="A9132">
        <v>9320</v>
      </c>
    </row>
    <row r="9133" spans="1:1" x14ac:dyDescent="0.2">
      <c r="A9133">
        <v>9321</v>
      </c>
    </row>
    <row r="9134" spans="1:1" x14ac:dyDescent="0.2">
      <c r="A9134">
        <v>9322</v>
      </c>
    </row>
    <row r="9135" spans="1:1" x14ac:dyDescent="0.2">
      <c r="A9135">
        <v>9323</v>
      </c>
    </row>
    <row r="9136" spans="1:1" x14ac:dyDescent="0.2">
      <c r="A9136">
        <v>9324</v>
      </c>
    </row>
    <row r="9137" spans="1:1" x14ac:dyDescent="0.2">
      <c r="A9137">
        <v>9325</v>
      </c>
    </row>
    <row r="9138" spans="1:1" x14ac:dyDescent="0.2">
      <c r="A9138">
        <v>9326</v>
      </c>
    </row>
    <row r="9139" spans="1:1" x14ac:dyDescent="0.2">
      <c r="A9139">
        <v>9327</v>
      </c>
    </row>
    <row r="9140" spans="1:1" x14ac:dyDescent="0.2">
      <c r="A9140">
        <v>9328</v>
      </c>
    </row>
    <row r="9141" spans="1:1" x14ac:dyDescent="0.2">
      <c r="A9141">
        <v>9329</v>
      </c>
    </row>
    <row r="9142" spans="1:1" x14ac:dyDescent="0.2">
      <c r="A9142">
        <v>9330</v>
      </c>
    </row>
    <row r="9143" spans="1:1" x14ac:dyDescent="0.2">
      <c r="A9143">
        <v>9331</v>
      </c>
    </row>
    <row r="9144" spans="1:1" x14ac:dyDescent="0.2">
      <c r="A9144">
        <v>9332</v>
      </c>
    </row>
    <row r="9145" spans="1:1" x14ac:dyDescent="0.2">
      <c r="A9145">
        <v>9333</v>
      </c>
    </row>
    <row r="9146" spans="1:1" x14ac:dyDescent="0.2">
      <c r="A9146">
        <v>9334</v>
      </c>
    </row>
    <row r="9147" spans="1:1" x14ac:dyDescent="0.2">
      <c r="A9147">
        <v>9335</v>
      </c>
    </row>
    <row r="9148" spans="1:1" x14ac:dyDescent="0.2">
      <c r="A9148">
        <v>9336</v>
      </c>
    </row>
    <row r="9149" spans="1:1" x14ac:dyDescent="0.2">
      <c r="A9149">
        <v>9337</v>
      </c>
    </row>
    <row r="9150" spans="1:1" x14ac:dyDescent="0.2">
      <c r="A9150">
        <v>9338</v>
      </c>
    </row>
    <row r="9151" spans="1:1" x14ac:dyDescent="0.2">
      <c r="A9151">
        <v>9339</v>
      </c>
    </row>
    <row r="9152" spans="1:1" x14ac:dyDescent="0.2">
      <c r="A9152">
        <v>9340</v>
      </c>
    </row>
    <row r="9153" spans="1:1" x14ac:dyDescent="0.2">
      <c r="A9153">
        <v>9341</v>
      </c>
    </row>
    <row r="9154" spans="1:1" x14ac:dyDescent="0.2">
      <c r="A9154">
        <v>9342</v>
      </c>
    </row>
    <row r="9155" spans="1:1" x14ac:dyDescent="0.2">
      <c r="A9155">
        <v>9343</v>
      </c>
    </row>
    <row r="9156" spans="1:1" x14ac:dyDescent="0.2">
      <c r="A9156">
        <v>9344</v>
      </c>
    </row>
    <row r="9157" spans="1:1" x14ac:dyDescent="0.2">
      <c r="A9157">
        <v>9345</v>
      </c>
    </row>
    <row r="9158" spans="1:1" x14ac:dyDescent="0.2">
      <c r="A9158">
        <v>9346</v>
      </c>
    </row>
    <row r="9159" spans="1:1" x14ac:dyDescent="0.2">
      <c r="A9159">
        <v>9347</v>
      </c>
    </row>
    <row r="9160" spans="1:1" x14ac:dyDescent="0.2">
      <c r="A9160">
        <v>9348</v>
      </c>
    </row>
    <row r="9161" spans="1:1" x14ac:dyDescent="0.2">
      <c r="A9161">
        <v>9349</v>
      </c>
    </row>
    <row r="9162" spans="1:1" x14ac:dyDescent="0.2">
      <c r="A9162">
        <v>9350</v>
      </c>
    </row>
    <row r="9163" spans="1:1" x14ac:dyDescent="0.2">
      <c r="A9163">
        <v>9351</v>
      </c>
    </row>
    <row r="9164" spans="1:1" x14ac:dyDescent="0.2">
      <c r="A9164">
        <v>9352</v>
      </c>
    </row>
    <row r="9165" spans="1:1" x14ac:dyDescent="0.2">
      <c r="A9165">
        <v>9353</v>
      </c>
    </row>
    <row r="9166" spans="1:1" x14ac:dyDescent="0.2">
      <c r="A9166">
        <v>9354</v>
      </c>
    </row>
    <row r="9167" spans="1:1" x14ac:dyDescent="0.2">
      <c r="A9167">
        <v>9355</v>
      </c>
    </row>
    <row r="9168" spans="1:1" x14ac:dyDescent="0.2">
      <c r="A9168">
        <v>9356</v>
      </c>
    </row>
    <row r="9169" spans="1:1" x14ac:dyDescent="0.2">
      <c r="A9169">
        <v>9357</v>
      </c>
    </row>
    <row r="9170" spans="1:1" x14ac:dyDescent="0.2">
      <c r="A9170">
        <v>9358</v>
      </c>
    </row>
    <row r="9171" spans="1:1" x14ac:dyDescent="0.2">
      <c r="A9171">
        <v>9359</v>
      </c>
    </row>
    <row r="9172" spans="1:1" x14ac:dyDescent="0.2">
      <c r="A9172">
        <v>9360</v>
      </c>
    </row>
    <row r="9173" spans="1:1" x14ac:dyDescent="0.2">
      <c r="A9173">
        <v>9361</v>
      </c>
    </row>
    <row r="9174" spans="1:1" x14ac:dyDescent="0.2">
      <c r="A9174">
        <v>9362</v>
      </c>
    </row>
    <row r="9175" spans="1:1" x14ac:dyDescent="0.2">
      <c r="A9175">
        <v>9363</v>
      </c>
    </row>
    <row r="9176" spans="1:1" x14ac:dyDescent="0.2">
      <c r="A9176">
        <v>9364</v>
      </c>
    </row>
    <row r="9177" spans="1:1" x14ac:dyDescent="0.2">
      <c r="A9177">
        <v>9365</v>
      </c>
    </row>
    <row r="9178" spans="1:1" x14ac:dyDescent="0.2">
      <c r="A9178">
        <v>9366</v>
      </c>
    </row>
    <row r="9179" spans="1:1" x14ac:dyDescent="0.2">
      <c r="A9179">
        <v>9367</v>
      </c>
    </row>
    <row r="9180" spans="1:1" x14ac:dyDescent="0.2">
      <c r="A9180">
        <v>9368</v>
      </c>
    </row>
    <row r="9181" spans="1:1" x14ac:dyDescent="0.2">
      <c r="A9181">
        <v>9369</v>
      </c>
    </row>
    <row r="9182" spans="1:1" x14ac:dyDescent="0.2">
      <c r="A9182">
        <v>9370</v>
      </c>
    </row>
    <row r="9183" spans="1:1" x14ac:dyDescent="0.2">
      <c r="A9183">
        <v>9371</v>
      </c>
    </row>
    <row r="9184" spans="1:1" x14ac:dyDescent="0.2">
      <c r="A9184">
        <v>9372</v>
      </c>
    </row>
    <row r="9185" spans="1:1" x14ac:dyDescent="0.2">
      <c r="A9185">
        <v>9373</v>
      </c>
    </row>
    <row r="9186" spans="1:1" x14ac:dyDescent="0.2">
      <c r="A9186">
        <v>9374</v>
      </c>
    </row>
    <row r="9187" spans="1:1" x14ac:dyDescent="0.2">
      <c r="A9187">
        <v>9375</v>
      </c>
    </row>
    <row r="9188" spans="1:1" x14ac:dyDescent="0.2">
      <c r="A9188">
        <v>9376</v>
      </c>
    </row>
    <row r="9189" spans="1:1" x14ac:dyDescent="0.2">
      <c r="A9189">
        <v>9377</v>
      </c>
    </row>
    <row r="9190" spans="1:1" x14ac:dyDescent="0.2">
      <c r="A9190">
        <v>9378</v>
      </c>
    </row>
    <row r="9191" spans="1:1" x14ac:dyDescent="0.2">
      <c r="A9191">
        <v>9379</v>
      </c>
    </row>
    <row r="9192" spans="1:1" x14ac:dyDescent="0.2">
      <c r="A9192">
        <v>9380</v>
      </c>
    </row>
    <row r="9193" spans="1:1" x14ac:dyDescent="0.2">
      <c r="A9193">
        <v>9381</v>
      </c>
    </row>
    <row r="9194" spans="1:1" x14ac:dyDescent="0.2">
      <c r="A9194">
        <v>9382</v>
      </c>
    </row>
    <row r="9195" spans="1:1" x14ac:dyDescent="0.2">
      <c r="A9195">
        <v>9383</v>
      </c>
    </row>
    <row r="9196" spans="1:1" x14ac:dyDescent="0.2">
      <c r="A9196">
        <v>9384</v>
      </c>
    </row>
    <row r="9197" spans="1:1" x14ac:dyDescent="0.2">
      <c r="A9197">
        <v>9385</v>
      </c>
    </row>
    <row r="9198" spans="1:1" x14ac:dyDescent="0.2">
      <c r="A9198">
        <v>9386</v>
      </c>
    </row>
    <row r="9199" spans="1:1" x14ac:dyDescent="0.2">
      <c r="A9199">
        <v>9387</v>
      </c>
    </row>
    <row r="9200" spans="1:1" x14ac:dyDescent="0.2">
      <c r="A9200">
        <v>9388</v>
      </c>
    </row>
    <row r="9201" spans="1:1" x14ac:dyDescent="0.2">
      <c r="A9201">
        <v>9389</v>
      </c>
    </row>
    <row r="9202" spans="1:1" x14ac:dyDescent="0.2">
      <c r="A9202">
        <v>9390</v>
      </c>
    </row>
    <row r="9203" spans="1:1" x14ac:dyDescent="0.2">
      <c r="A9203">
        <v>9391</v>
      </c>
    </row>
    <row r="9204" spans="1:1" x14ac:dyDescent="0.2">
      <c r="A9204">
        <v>9392</v>
      </c>
    </row>
    <row r="9205" spans="1:1" x14ac:dyDescent="0.2">
      <c r="A9205">
        <v>9393</v>
      </c>
    </row>
    <row r="9206" spans="1:1" x14ac:dyDescent="0.2">
      <c r="A9206">
        <v>9394</v>
      </c>
    </row>
    <row r="9207" spans="1:1" x14ac:dyDescent="0.2">
      <c r="A9207">
        <v>9395</v>
      </c>
    </row>
    <row r="9208" spans="1:1" x14ac:dyDescent="0.2">
      <c r="A9208">
        <v>9396</v>
      </c>
    </row>
    <row r="9209" spans="1:1" x14ac:dyDescent="0.2">
      <c r="A9209">
        <v>9397</v>
      </c>
    </row>
    <row r="9210" spans="1:1" x14ac:dyDescent="0.2">
      <c r="A9210">
        <v>9398</v>
      </c>
    </row>
    <row r="9211" spans="1:1" x14ac:dyDescent="0.2">
      <c r="A9211">
        <v>9399</v>
      </c>
    </row>
    <row r="9212" spans="1:1" x14ac:dyDescent="0.2">
      <c r="A9212">
        <v>9400</v>
      </c>
    </row>
    <row r="9213" spans="1:1" x14ac:dyDescent="0.2">
      <c r="A9213">
        <v>9401</v>
      </c>
    </row>
    <row r="9214" spans="1:1" x14ac:dyDescent="0.2">
      <c r="A9214">
        <v>9402</v>
      </c>
    </row>
    <row r="9215" spans="1:1" x14ac:dyDescent="0.2">
      <c r="A9215">
        <v>9403</v>
      </c>
    </row>
    <row r="9216" spans="1:1" x14ac:dyDescent="0.2">
      <c r="A9216">
        <v>9404</v>
      </c>
    </row>
    <row r="9217" spans="1:1" x14ac:dyDescent="0.2">
      <c r="A9217">
        <v>9405</v>
      </c>
    </row>
    <row r="9218" spans="1:1" x14ac:dyDescent="0.2">
      <c r="A9218">
        <v>9406</v>
      </c>
    </row>
    <row r="9219" spans="1:1" x14ac:dyDescent="0.2">
      <c r="A9219">
        <v>9407</v>
      </c>
    </row>
    <row r="9220" spans="1:1" x14ac:dyDescent="0.2">
      <c r="A9220">
        <v>9408</v>
      </c>
    </row>
    <row r="9221" spans="1:1" x14ac:dyDescent="0.2">
      <c r="A9221">
        <v>9409</v>
      </c>
    </row>
    <row r="9222" spans="1:1" x14ac:dyDescent="0.2">
      <c r="A9222">
        <v>9410</v>
      </c>
    </row>
    <row r="9223" spans="1:1" x14ac:dyDescent="0.2">
      <c r="A9223">
        <v>9411</v>
      </c>
    </row>
    <row r="9224" spans="1:1" x14ac:dyDescent="0.2">
      <c r="A9224">
        <v>9412</v>
      </c>
    </row>
    <row r="9225" spans="1:1" x14ac:dyDescent="0.2">
      <c r="A9225">
        <v>9413</v>
      </c>
    </row>
    <row r="9226" spans="1:1" x14ac:dyDescent="0.2">
      <c r="A9226">
        <v>9414</v>
      </c>
    </row>
    <row r="9227" spans="1:1" x14ac:dyDescent="0.2">
      <c r="A9227">
        <v>9415</v>
      </c>
    </row>
    <row r="9228" spans="1:1" x14ac:dyDescent="0.2">
      <c r="A9228">
        <v>9416</v>
      </c>
    </row>
    <row r="9229" spans="1:1" x14ac:dyDescent="0.2">
      <c r="A9229">
        <v>9417</v>
      </c>
    </row>
    <row r="9230" spans="1:1" x14ac:dyDescent="0.2">
      <c r="A9230">
        <v>9418</v>
      </c>
    </row>
    <row r="9231" spans="1:1" x14ac:dyDescent="0.2">
      <c r="A9231">
        <v>9419</v>
      </c>
    </row>
    <row r="9232" spans="1:1" x14ac:dyDescent="0.2">
      <c r="A9232">
        <v>9420</v>
      </c>
    </row>
    <row r="9233" spans="1:1" x14ac:dyDescent="0.2">
      <c r="A9233">
        <v>9421</v>
      </c>
    </row>
    <row r="9234" spans="1:1" x14ac:dyDescent="0.2">
      <c r="A9234">
        <v>9422</v>
      </c>
    </row>
    <row r="9235" spans="1:1" x14ac:dyDescent="0.2">
      <c r="A9235">
        <v>9423</v>
      </c>
    </row>
    <row r="9236" spans="1:1" x14ac:dyDescent="0.2">
      <c r="A9236">
        <v>9424</v>
      </c>
    </row>
    <row r="9237" spans="1:1" x14ac:dyDescent="0.2">
      <c r="A9237">
        <v>9425</v>
      </c>
    </row>
    <row r="9238" spans="1:1" x14ac:dyDescent="0.2">
      <c r="A9238">
        <v>9426</v>
      </c>
    </row>
    <row r="9239" spans="1:1" x14ac:dyDescent="0.2">
      <c r="A9239">
        <v>9427</v>
      </c>
    </row>
    <row r="9240" spans="1:1" x14ac:dyDescent="0.2">
      <c r="A9240">
        <v>9428</v>
      </c>
    </row>
    <row r="9241" spans="1:1" x14ac:dyDescent="0.2">
      <c r="A9241">
        <v>9429</v>
      </c>
    </row>
    <row r="9242" spans="1:1" x14ac:dyDescent="0.2">
      <c r="A9242">
        <v>9430</v>
      </c>
    </row>
    <row r="9243" spans="1:1" x14ac:dyDescent="0.2">
      <c r="A9243">
        <v>9431</v>
      </c>
    </row>
    <row r="9244" spans="1:1" x14ac:dyDescent="0.2">
      <c r="A9244">
        <v>9432</v>
      </c>
    </row>
    <row r="9245" spans="1:1" x14ac:dyDescent="0.2">
      <c r="A9245">
        <v>9433</v>
      </c>
    </row>
    <row r="9246" spans="1:1" x14ac:dyDescent="0.2">
      <c r="A9246">
        <v>9434</v>
      </c>
    </row>
    <row r="9247" spans="1:1" x14ac:dyDescent="0.2">
      <c r="A9247">
        <v>9435</v>
      </c>
    </row>
    <row r="9248" spans="1:1" x14ac:dyDescent="0.2">
      <c r="A9248">
        <v>9436</v>
      </c>
    </row>
    <row r="9249" spans="1:1" x14ac:dyDescent="0.2">
      <c r="A9249">
        <v>9437</v>
      </c>
    </row>
    <row r="9250" spans="1:1" x14ac:dyDescent="0.2">
      <c r="A9250">
        <v>9438</v>
      </c>
    </row>
    <row r="9251" spans="1:1" x14ac:dyDescent="0.2">
      <c r="A9251">
        <v>9439</v>
      </c>
    </row>
    <row r="9252" spans="1:1" x14ac:dyDescent="0.2">
      <c r="A9252">
        <v>9440</v>
      </c>
    </row>
    <row r="9253" spans="1:1" x14ac:dyDescent="0.2">
      <c r="A9253">
        <v>9441</v>
      </c>
    </row>
    <row r="9254" spans="1:1" x14ac:dyDescent="0.2">
      <c r="A9254">
        <v>9442</v>
      </c>
    </row>
    <row r="9255" spans="1:1" x14ac:dyDescent="0.2">
      <c r="A9255">
        <v>9443</v>
      </c>
    </row>
    <row r="9256" spans="1:1" x14ac:dyDescent="0.2">
      <c r="A9256">
        <v>9444</v>
      </c>
    </row>
    <row r="9257" spans="1:1" x14ac:dyDescent="0.2">
      <c r="A9257">
        <v>9445</v>
      </c>
    </row>
    <row r="9258" spans="1:1" x14ac:dyDescent="0.2">
      <c r="A9258">
        <v>9446</v>
      </c>
    </row>
    <row r="9259" spans="1:1" x14ac:dyDescent="0.2">
      <c r="A9259">
        <v>9447</v>
      </c>
    </row>
    <row r="9260" spans="1:1" x14ac:dyDescent="0.2">
      <c r="A9260">
        <v>9448</v>
      </c>
    </row>
    <row r="9261" spans="1:1" x14ac:dyDescent="0.2">
      <c r="A9261">
        <v>9449</v>
      </c>
    </row>
    <row r="9262" spans="1:1" x14ac:dyDescent="0.2">
      <c r="A9262">
        <v>9450</v>
      </c>
    </row>
    <row r="9263" spans="1:1" x14ac:dyDescent="0.2">
      <c r="A9263">
        <v>9451</v>
      </c>
    </row>
    <row r="9264" spans="1:1" x14ac:dyDescent="0.2">
      <c r="A9264">
        <v>9452</v>
      </c>
    </row>
    <row r="9265" spans="1:1" x14ac:dyDescent="0.2">
      <c r="A9265">
        <v>9453</v>
      </c>
    </row>
    <row r="9266" spans="1:1" x14ac:dyDescent="0.2">
      <c r="A9266">
        <v>9454</v>
      </c>
    </row>
    <row r="9267" spans="1:1" x14ac:dyDescent="0.2">
      <c r="A9267">
        <v>9455</v>
      </c>
    </row>
    <row r="9268" spans="1:1" x14ac:dyDescent="0.2">
      <c r="A9268">
        <v>9456</v>
      </c>
    </row>
    <row r="9269" spans="1:1" x14ac:dyDescent="0.2">
      <c r="A9269">
        <v>9457</v>
      </c>
    </row>
    <row r="9270" spans="1:1" x14ac:dyDescent="0.2">
      <c r="A9270">
        <v>9458</v>
      </c>
    </row>
    <row r="9271" spans="1:1" x14ac:dyDescent="0.2">
      <c r="A9271">
        <v>9459</v>
      </c>
    </row>
    <row r="9272" spans="1:1" x14ac:dyDescent="0.2">
      <c r="A9272">
        <v>9460</v>
      </c>
    </row>
    <row r="9273" spans="1:1" x14ac:dyDescent="0.2">
      <c r="A9273">
        <v>9461</v>
      </c>
    </row>
    <row r="9274" spans="1:1" x14ac:dyDescent="0.2">
      <c r="A9274">
        <v>9462</v>
      </c>
    </row>
    <row r="9275" spans="1:1" x14ac:dyDescent="0.2">
      <c r="A9275">
        <v>9463</v>
      </c>
    </row>
    <row r="9276" spans="1:1" x14ac:dyDescent="0.2">
      <c r="A9276">
        <v>9464</v>
      </c>
    </row>
    <row r="9277" spans="1:1" x14ac:dyDescent="0.2">
      <c r="A9277">
        <v>9465</v>
      </c>
    </row>
    <row r="9278" spans="1:1" x14ac:dyDescent="0.2">
      <c r="A9278">
        <v>9466</v>
      </c>
    </row>
    <row r="9279" spans="1:1" x14ac:dyDescent="0.2">
      <c r="A9279">
        <v>9467</v>
      </c>
    </row>
    <row r="9280" spans="1:1" x14ac:dyDescent="0.2">
      <c r="A9280">
        <v>9468</v>
      </c>
    </row>
    <row r="9281" spans="1:1" x14ac:dyDescent="0.2">
      <c r="A9281">
        <v>9469</v>
      </c>
    </row>
    <row r="9282" spans="1:1" x14ac:dyDescent="0.2">
      <c r="A9282">
        <v>9470</v>
      </c>
    </row>
    <row r="9283" spans="1:1" x14ac:dyDescent="0.2">
      <c r="A9283">
        <v>9471</v>
      </c>
    </row>
    <row r="9284" spans="1:1" x14ac:dyDescent="0.2">
      <c r="A9284">
        <v>9472</v>
      </c>
    </row>
    <row r="9285" spans="1:1" x14ac:dyDescent="0.2">
      <c r="A9285">
        <v>9473</v>
      </c>
    </row>
    <row r="9286" spans="1:1" x14ac:dyDescent="0.2">
      <c r="A9286">
        <v>9474</v>
      </c>
    </row>
    <row r="9287" spans="1:1" x14ac:dyDescent="0.2">
      <c r="A9287">
        <v>9475</v>
      </c>
    </row>
    <row r="9288" spans="1:1" x14ac:dyDescent="0.2">
      <c r="A9288">
        <v>9476</v>
      </c>
    </row>
    <row r="9289" spans="1:1" x14ac:dyDescent="0.2">
      <c r="A9289">
        <v>9477</v>
      </c>
    </row>
    <row r="9290" spans="1:1" x14ac:dyDescent="0.2">
      <c r="A9290">
        <v>9478</v>
      </c>
    </row>
    <row r="9291" spans="1:1" x14ac:dyDescent="0.2">
      <c r="A9291">
        <v>9479</v>
      </c>
    </row>
    <row r="9292" spans="1:1" x14ac:dyDescent="0.2">
      <c r="A9292">
        <v>9480</v>
      </c>
    </row>
    <row r="9293" spans="1:1" x14ac:dyDescent="0.2">
      <c r="A9293">
        <v>9481</v>
      </c>
    </row>
    <row r="9294" spans="1:1" x14ac:dyDescent="0.2">
      <c r="A9294">
        <v>9482</v>
      </c>
    </row>
    <row r="9295" spans="1:1" x14ac:dyDescent="0.2">
      <c r="A9295">
        <v>9483</v>
      </c>
    </row>
    <row r="9296" spans="1:1" x14ac:dyDescent="0.2">
      <c r="A9296">
        <v>9484</v>
      </c>
    </row>
    <row r="9297" spans="1:1" x14ac:dyDescent="0.2">
      <c r="A9297">
        <v>9485</v>
      </c>
    </row>
    <row r="9298" spans="1:1" x14ac:dyDescent="0.2">
      <c r="A9298">
        <v>9486</v>
      </c>
    </row>
    <row r="9299" spans="1:1" x14ac:dyDescent="0.2">
      <c r="A9299">
        <v>9487</v>
      </c>
    </row>
    <row r="9300" spans="1:1" x14ac:dyDescent="0.2">
      <c r="A9300">
        <v>9488</v>
      </c>
    </row>
    <row r="9301" spans="1:1" x14ac:dyDescent="0.2">
      <c r="A9301">
        <v>9489</v>
      </c>
    </row>
    <row r="9302" spans="1:1" x14ac:dyDescent="0.2">
      <c r="A9302">
        <v>9490</v>
      </c>
    </row>
    <row r="9303" spans="1:1" x14ac:dyDescent="0.2">
      <c r="A9303">
        <v>9491</v>
      </c>
    </row>
    <row r="9304" spans="1:1" x14ac:dyDescent="0.2">
      <c r="A9304">
        <v>9492</v>
      </c>
    </row>
    <row r="9305" spans="1:1" x14ac:dyDescent="0.2">
      <c r="A9305">
        <v>9493</v>
      </c>
    </row>
    <row r="9306" spans="1:1" x14ac:dyDescent="0.2">
      <c r="A9306">
        <v>9494</v>
      </c>
    </row>
    <row r="9307" spans="1:1" x14ac:dyDescent="0.2">
      <c r="A9307">
        <v>9495</v>
      </c>
    </row>
    <row r="9308" spans="1:1" x14ac:dyDescent="0.2">
      <c r="A9308">
        <v>9496</v>
      </c>
    </row>
    <row r="9309" spans="1:1" x14ac:dyDescent="0.2">
      <c r="A9309">
        <v>9497</v>
      </c>
    </row>
    <row r="9310" spans="1:1" x14ac:dyDescent="0.2">
      <c r="A9310">
        <v>9498</v>
      </c>
    </row>
    <row r="9311" spans="1:1" x14ac:dyDescent="0.2">
      <c r="A9311">
        <v>9499</v>
      </c>
    </row>
    <row r="9312" spans="1:1" x14ac:dyDescent="0.2">
      <c r="A9312">
        <v>9500</v>
      </c>
    </row>
    <row r="9313" spans="1:1" x14ac:dyDescent="0.2">
      <c r="A9313">
        <v>9501</v>
      </c>
    </row>
    <row r="9314" spans="1:1" x14ac:dyDescent="0.2">
      <c r="A9314">
        <v>9502</v>
      </c>
    </row>
    <row r="9315" spans="1:1" x14ac:dyDescent="0.2">
      <c r="A9315">
        <v>9503</v>
      </c>
    </row>
    <row r="9316" spans="1:1" x14ac:dyDescent="0.2">
      <c r="A9316">
        <v>9504</v>
      </c>
    </row>
    <row r="9317" spans="1:1" x14ac:dyDescent="0.2">
      <c r="A9317">
        <v>9505</v>
      </c>
    </row>
    <row r="9318" spans="1:1" x14ac:dyDescent="0.2">
      <c r="A9318">
        <v>9506</v>
      </c>
    </row>
    <row r="9319" spans="1:1" x14ac:dyDescent="0.2">
      <c r="A9319">
        <v>9507</v>
      </c>
    </row>
    <row r="9320" spans="1:1" x14ac:dyDescent="0.2">
      <c r="A9320">
        <v>9508</v>
      </c>
    </row>
    <row r="9321" spans="1:1" x14ac:dyDescent="0.2">
      <c r="A9321">
        <v>9509</v>
      </c>
    </row>
    <row r="9322" spans="1:1" x14ac:dyDescent="0.2">
      <c r="A9322">
        <v>9510</v>
      </c>
    </row>
    <row r="9323" spans="1:1" x14ac:dyDescent="0.2">
      <c r="A9323">
        <v>9511</v>
      </c>
    </row>
    <row r="9324" spans="1:1" x14ac:dyDescent="0.2">
      <c r="A9324">
        <v>9512</v>
      </c>
    </row>
    <row r="9325" spans="1:1" x14ac:dyDescent="0.2">
      <c r="A9325">
        <v>9513</v>
      </c>
    </row>
    <row r="9326" spans="1:1" x14ac:dyDescent="0.2">
      <c r="A9326">
        <v>9514</v>
      </c>
    </row>
    <row r="9327" spans="1:1" x14ac:dyDescent="0.2">
      <c r="A9327">
        <v>9515</v>
      </c>
    </row>
    <row r="9328" spans="1:1" x14ac:dyDescent="0.2">
      <c r="A9328">
        <v>9516</v>
      </c>
    </row>
    <row r="9329" spans="1:1" x14ac:dyDescent="0.2">
      <c r="A9329">
        <v>9517</v>
      </c>
    </row>
    <row r="9330" spans="1:1" x14ac:dyDescent="0.2">
      <c r="A9330">
        <v>9518</v>
      </c>
    </row>
    <row r="9331" spans="1:1" x14ac:dyDescent="0.2">
      <c r="A9331">
        <v>9519</v>
      </c>
    </row>
    <row r="9332" spans="1:1" x14ac:dyDescent="0.2">
      <c r="A9332">
        <v>9520</v>
      </c>
    </row>
    <row r="9333" spans="1:1" x14ac:dyDescent="0.2">
      <c r="A9333">
        <v>9521</v>
      </c>
    </row>
    <row r="9334" spans="1:1" x14ac:dyDescent="0.2">
      <c r="A9334">
        <v>9522</v>
      </c>
    </row>
    <row r="9335" spans="1:1" x14ac:dyDescent="0.2">
      <c r="A9335">
        <v>9523</v>
      </c>
    </row>
    <row r="9336" spans="1:1" x14ac:dyDescent="0.2">
      <c r="A9336">
        <v>9524</v>
      </c>
    </row>
    <row r="9337" spans="1:1" x14ac:dyDescent="0.2">
      <c r="A9337">
        <v>9525</v>
      </c>
    </row>
    <row r="9338" spans="1:1" x14ac:dyDescent="0.2">
      <c r="A9338">
        <v>9526</v>
      </c>
    </row>
    <row r="9339" spans="1:1" x14ac:dyDescent="0.2">
      <c r="A9339">
        <v>9527</v>
      </c>
    </row>
    <row r="9340" spans="1:1" x14ac:dyDescent="0.2">
      <c r="A9340">
        <v>9528</v>
      </c>
    </row>
    <row r="9341" spans="1:1" x14ac:dyDescent="0.2">
      <c r="A9341">
        <v>9529</v>
      </c>
    </row>
    <row r="9342" spans="1:1" x14ac:dyDescent="0.2">
      <c r="A9342">
        <v>9530</v>
      </c>
    </row>
    <row r="9343" spans="1:1" x14ac:dyDescent="0.2">
      <c r="A9343">
        <v>9531</v>
      </c>
    </row>
    <row r="9344" spans="1:1" x14ac:dyDescent="0.2">
      <c r="A9344">
        <v>9532</v>
      </c>
    </row>
    <row r="9345" spans="1:1" x14ac:dyDescent="0.2">
      <c r="A9345">
        <v>9533</v>
      </c>
    </row>
    <row r="9346" spans="1:1" x14ac:dyDescent="0.2">
      <c r="A9346">
        <v>9534</v>
      </c>
    </row>
    <row r="9347" spans="1:1" x14ac:dyDescent="0.2">
      <c r="A9347">
        <v>9535</v>
      </c>
    </row>
    <row r="9348" spans="1:1" x14ac:dyDescent="0.2">
      <c r="A9348">
        <v>9536</v>
      </c>
    </row>
    <row r="9349" spans="1:1" x14ac:dyDescent="0.2">
      <c r="A9349">
        <v>9537</v>
      </c>
    </row>
    <row r="9350" spans="1:1" x14ac:dyDescent="0.2">
      <c r="A9350">
        <v>9538</v>
      </c>
    </row>
    <row r="9351" spans="1:1" x14ac:dyDescent="0.2">
      <c r="A9351">
        <v>9539</v>
      </c>
    </row>
    <row r="9352" spans="1:1" x14ac:dyDescent="0.2">
      <c r="A9352">
        <v>9540</v>
      </c>
    </row>
    <row r="9353" spans="1:1" x14ac:dyDescent="0.2">
      <c r="A9353">
        <v>9541</v>
      </c>
    </row>
    <row r="9354" spans="1:1" x14ac:dyDescent="0.2">
      <c r="A9354">
        <v>9542</v>
      </c>
    </row>
    <row r="9355" spans="1:1" x14ac:dyDescent="0.2">
      <c r="A9355">
        <v>9543</v>
      </c>
    </row>
    <row r="9356" spans="1:1" x14ac:dyDescent="0.2">
      <c r="A9356">
        <v>9544</v>
      </c>
    </row>
    <row r="9357" spans="1:1" x14ac:dyDescent="0.2">
      <c r="A9357">
        <v>9545</v>
      </c>
    </row>
    <row r="9358" spans="1:1" x14ac:dyDescent="0.2">
      <c r="A9358">
        <v>9546</v>
      </c>
    </row>
    <row r="9359" spans="1:1" x14ac:dyDescent="0.2">
      <c r="A9359">
        <v>9547</v>
      </c>
    </row>
    <row r="9360" spans="1:1" x14ac:dyDescent="0.2">
      <c r="A9360">
        <v>9548</v>
      </c>
    </row>
    <row r="9361" spans="1:1" x14ac:dyDescent="0.2">
      <c r="A9361">
        <v>9549</v>
      </c>
    </row>
    <row r="9362" spans="1:1" x14ac:dyDescent="0.2">
      <c r="A9362">
        <v>9550</v>
      </c>
    </row>
    <row r="9363" spans="1:1" x14ac:dyDescent="0.2">
      <c r="A9363">
        <v>9551</v>
      </c>
    </row>
    <row r="9364" spans="1:1" x14ac:dyDescent="0.2">
      <c r="A9364">
        <v>9552</v>
      </c>
    </row>
    <row r="9365" spans="1:1" x14ac:dyDescent="0.2">
      <c r="A9365">
        <v>9553</v>
      </c>
    </row>
    <row r="9366" spans="1:1" x14ac:dyDescent="0.2">
      <c r="A9366">
        <v>9554</v>
      </c>
    </row>
    <row r="9367" spans="1:1" x14ac:dyDescent="0.2">
      <c r="A9367">
        <v>9555</v>
      </c>
    </row>
    <row r="9368" spans="1:1" x14ac:dyDescent="0.2">
      <c r="A9368">
        <v>9556</v>
      </c>
    </row>
    <row r="9369" spans="1:1" x14ac:dyDescent="0.2">
      <c r="A9369">
        <v>9557</v>
      </c>
    </row>
    <row r="9370" spans="1:1" x14ac:dyDescent="0.2">
      <c r="A9370">
        <v>9558</v>
      </c>
    </row>
    <row r="9371" spans="1:1" x14ac:dyDescent="0.2">
      <c r="A9371">
        <v>9559</v>
      </c>
    </row>
    <row r="9372" spans="1:1" x14ac:dyDescent="0.2">
      <c r="A9372">
        <v>9560</v>
      </c>
    </row>
    <row r="9373" spans="1:1" x14ac:dyDescent="0.2">
      <c r="A9373">
        <v>9561</v>
      </c>
    </row>
    <row r="9374" spans="1:1" x14ac:dyDescent="0.2">
      <c r="A9374">
        <v>9562</v>
      </c>
    </row>
    <row r="9375" spans="1:1" x14ac:dyDescent="0.2">
      <c r="A9375">
        <v>9563</v>
      </c>
    </row>
    <row r="9376" spans="1:1" x14ac:dyDescent="0.2">
      <c r="A9376">
        <v>9564</v>
      </c>
    </row>
    <row r="9377" spans="1:1" x14ac:dyDescent="0.2">
      <c r="A9377">
        <v>9565</v>
      </c>
    </row>
    <row r="9378" spans="1:1" x14ac:dyDescent="0.2">
      <c r="A9378">
        <v>9566</v>
      </c>
    </row>
    <row r="9379" spans="1:1" x14ac:dyDescent="0.2">
      <c r="A9379">
        <v>9567</v>
      </c>
    </row>
    <row r="9380" spans="1:1" x14ac:dyDescent="0.2">
      <c r="A9380">
        <v>9568</v>
      </c>
    </row>
    <row r="9381" spans="1:1" x14ac:dyDescent="0.2">
      <c r="A9381">
        <v>9569</v>
      </c>
    </row>
    <row r="9382" spans="1:1" x14ac:dyDescent="0.2">
      <c r="A9382">
        <v>9570</v>
      </c>
    </row>
    <row r="9383" spans="1:1" x14ac:dyDescent="0.2">
      <c r="A9383">
        <v>9571</v>
      </c>
    </row>
    <row r="9384" spans="1:1" x14ac:dyDescent="0.2">
      <c r="A9384">
        <v>9572</v>
      </c>
    </row>
    <row r="9385" spans="1:1" x14ac:dyDescent="0.2">
      <c r="A9385">
        <v>9573</v>
      </c>
    </row>
    <row r="9386" spans="1:1" x14ac:dyDescent="0.2">
      <c r="A9386">
        <v>9574</v>
      </c>
    </row>
    <row r="9387" spans="1:1" x14ac:dyDescent="0.2">
      <c r="A9387">
        <v>9575</v>
      </c>
    </row>
    <row r="9388" spans="1:1" x14ac:dyDescent="0.2">
      <c r="A9388">
        <v>9576</v>
      </c>
    </row>
    <row r="9389" spans="1:1" x14ac:dyDescent="0.2">
      <c r="A9389">
        <v>9577</v>
      </c>
    </row>
    <row r="9390" spans="1:1" x14ac:dyDescent="0.2">
      <c r="A9390">
        <v>9578</v>
      </c>
    </row>
    <row r="9391" spans="1:1" x14ac:dyDescent="0.2">
      <c r="A9391">
        <v>9579</v>
      </c>
    </row>
    <row r="9392" spans="1:1" x14ac:dyDescent="0.2">
      <c r="A9392">
        <v>9580</v>
      </c>
    </row>
    <row r="9393" spans="1:1" x14ac:dyDescent="0.2">
      <c r="A9393">
        <v>9581</v>
      </c>
    </row>
    <row r="9394" spans="1:1" x14ac:dyDescent="0.2">
      <c r="A9394">
        <v>9582</v>
      </c>
    </row>
    <row r="9395" spans="1:1" x14ac:dyDescent="0.2">
      <c r="A9395">
        <v>9583</v>
      </c>
    </row>
    <row r="9396" spans="1:1" x14ac:dyDescent="0.2">
      <c r="A9396">
        <v>9584</v>
      </c>
    </row>
    <row r="9397" spans="1:1" x14ac:dyDescent="0.2">
      <c r="A9397">
        <v>9585</v>
      </c>
    </row>
    <row r="9398" spans="1:1" x14ac:dyDescent="0.2">
      <c r="A9398">
        <v>9586</v>
      </c>
    </row>
    <row r="9399" spans="1:1" x14ac:dyDescent="0.2">
      <c r="A9399">
        <v>9587</v>
      </c>
    </row>
    <row r="9400" spans="1:1" x14ac:dyDescent="0.2">
      <c r="A9400">
        <v>9588</v>
      </c>
    </row>
    <row r="9401" spans="1:1" x14ac:dyDescent="0.2">
      <c r="A9401">
        <v>9589</v>
      </c>
    </row>
    <row r="9402" spans="1:1" x14ac:dyDescent="0.2">
      <c r="A9402">
        <v>9590</v>
      </c>
    </row>
    <row r="9403" spans="1:1" x14ac:dyDescent="0.2">
      <c r="A9403">
        <v>9591</v>
      </c>
    </row>
    <row r="9404" spans="1:1" x14ac:dyDescent="0.2">
      <c r="A9404">
        <v>9592</v>
      </c>
    </row>
    <row r="9405" spans="1:1" x14ac:dyDescent="0.2">
      <c r="A9405">
        <v>9593</v>
      </c>
    </row>
    <row r="9406" spans="1:1" x14ac:dyDescent="0.2">
      <c r="A9406">
        <v>9594</v>
      </c>
    </row>
    <row r="9407" spans="1:1" x14ac:dyDescent="0.2">
      <c r="A9407">
        <v>9595</v>
      </c>
    </row>
    <row r="9408" spans="1:1" x14ac:dyDescent="0.2">
      <c r="A9408">
        <v>9596</v>
      </c>
    </row>
    <row r="9409" spans="1:1" x14ac:dyDescent="0.2">
      <c r="A9409">
        <v>9597</v>
      </c>
    </row>
    <row r="9410" spans="1:1" x14ac:dyDescent="0.2">
      <c r="A9410">
        <v>9598</v>
      </c>
    </row>
    <row r="9411" spans="1:1" x14ac:dyDescent="0.2">
      <c r="A9411">
        <v>9599</v>
      </c>
    </row>
    <row r="9412" spans="1:1" x14ac:dyDescent="0.2">
      <c r="A9412">
        <v>9600</v>
      </c>
    </row>
    <row r="9413" spans="1:1" x14ac:dyDescent="0.2">
      <c r="A9413">
        <v>9601</v>
      </c>
    </row>
    <row r="9414" spans="1:1" x14ac:dyDescent="0.2">
      <c r="A9414">
        <v>9602</v>
      </c>
    </row>
    <row r="9415" spans="1:1" x14ac:dyDescent="0.2">
      <c r="A9415">
        <v>9603</v>
      </c>
    </row>
    <row r="9416" spans="1:1" x14ac:dyDescent="0.2">
      <c r="A9416">
        <v>9604</v>
      </c>
    </row>
    <row r="9417" spans="1:1" x14ac:dyDescent="0.2">
      <c r="A9417">
        <v>9605</v>
      </c>
    </row>
    <row r="9418" spans="1:1" x14ac:dyDescent="0.2">
      <c r="A9418">
        <v>9606</v>
      </c>
    </row>
    <row r="9419" spans="1:1" x14ac:dyDescent="0.2">
      <c r="A9419">
        <v>9607</v>
      </c>
    </row>
    <row r="9420" spans="1:1" x14ac:dyDescent="0.2">
      <c r="A9420">
        <v>9608</v>
      </c>
    </row>
    <row r="9421" spans="1:1" x14ac:dyDescent="0.2">
      <c r="A9421">
        <v>9609</v>
      </c>
    </row>
    <row r="9422" spans="1:1" x14ac:dyDescent="0.2">
      <c r="A9422">
        <v>9610</v>
      </c>
    </row>
    <row r="9423" spans="1:1" x14ac:dyDescent="0.2">
      <c r="A9423">
        <v>9611</v>
      </c>
    </row>
    <row r="9424" spans="1:1" x14ac:dyDescent="0.2">
      <c r="A9424">
        <v>9612</v>
      </c>
    </row>
    <row r="9425" spans="1:1" x14ac:dyDescent="0.2">
      <c r="A9425">
        <v>9613</v>
      </c>
    </row>
    <row r="9426" spans="1:1" x14ac:dyDescent="0.2">
      <c r="A9426">
        <v>9614</v>
      </c>
    </row>
    <row r="9427" spans="1:1" x14ac:dyDescent="0.2">
      <c r="A9427">
        <v>9615</v>
      </c>
    </row>
    <row r="9428" spans="1:1" x14ac:dyDescent="0.2">
      <c r="A9428">
        <v>9616</v>
      </c>
    </row>
    <row r="9429" spans="1:1" x14ac:dyDescent="0.2">
      <c r="A9429">
        <v>9617</v>
      </c>
    </row>
    <row r="9430" spans="1:1" x14ac:dyDescent="0.2">
      <c r="A9430">
        <v>9618</v>
      </c>
    </row>
    <row r="9431" spans="1:1" x14ac:dyDescent="0.2">
      <c r="A9431">
        <v>9619</v>
      </c>
    </row>
    <row r="9432" spans="1:1" x14ac:dyDescent="0.2">
      <c r="A9432">
        <v>9620</v>
      </c>
    </row>
    <row r="9433" spans="1:1" x14ac:dyDescent="0.2">
      <c r="A9433">
        <v>9621</v>
      </c>
    </row>
    <row r="9434" spans="1:1" x14ac:dyDescent="0.2">
      <c r="A9434">
        <v>9622</v>
      </c>
    </row>
    <row r="9435" spans="1:1" x14ac:dyDescent="0.2">
      <c r="A9435">
        <v>9623</v>
      </c>
    </row>
    <row r="9436" spans="1:1" x14ac:dyDescent="0.2">
      <c r="A9436">
        <v>9624</v>
      </c>
    </row>
    <row r="9437" spans="1:1" x14ac:dyDescent="0.2">
      <c r="A9437">
        <v>9625</v>
      </c>
    </row>
    <row r="9438" spans="1:1" x14ac:dyDescent="0.2">
      <c r="A9438">
        <v>9626</v>
      </c>
    </row>
    <row r="9439" spans="1:1" x14ac:dyDescent="0.2">
      <c r="A9439">
        <v>9627</v>
      </c>
    </row>
    <row r="9440" spans="1:1" x14ac:dyDescent="0.2">
      <c r="A9440">
        <v>9628</v>
      </c>
    </row>
    <row r="9441" spans="1:1" x14ac:dyDescent="0.2">
      <c r="A9441">
        <v>9629</v>
      </c>
    </row>
    <row r="9442" spans="1:1" x14ac:dyDescent="0.2">
      <c r="A9442">
        <v>9630</v>
      </c>
    </row>
    <row r="9443" spans="1:1" x14ac:dyDescent="0.2">
      <c r="A9443">
        <v>9631</v>
      </c>
    </row>
    <row r="9444" spans="1:1" x14ac:dyDescent="0.2">
      <c r="A9444">
        <v>9632</v>
      </c>
    </row>
    <row r="9445" spans="1:1" x14ac:dyDescent="0.2">
      <c r="A9445">
        <v>9633</v>
      </c>
    </row>
    <row r="9446" spans="1:1" x14ac:dyDescent="0.2">
      <c r="A9446">
        <v>9634</v>
      </c>
    </row>
    <row r="9447" spans="1:1" x14ac:dyDescent="0.2">
      <c r="A9447">
        <v>9635</v>
      </c>
    </row>
    <row r="9448" spans="1:1" x14ac:dyDescent="0.2">
      <c r="A9448">
        <v>9636</v>
      </c>
    </row>
    <row r="9449" spans="1:1" x14ac:dyDescent="0.2">
      <c r="A9449">
        <v>9637</v>
      </c>
    </row>
    <row r="9450" spans="1:1" x14ac:dyDescent="0.2">
      <c r="A9450">
        <v>9638</v>
      </c>
    </row>
    <row r="9451" spans="1:1" x14ac:dyDescent="0.2">
      <c r="A9451">
        <v>9639</v>
      </c>
    </row>
    <row r="9452" spans="1:1" x14ac:dyDescent="0.2">
      <c r="A9452">
        <v>9640</v>
      </c>
    </row>
    <row r="9453" spans="1:1" x14ac:dyDescent="0.2">
      <c r="A9453">
        <v>9641</v>
      </c>
    </row>
    <row r="9454" spans="1:1" x14ac:dyDescent="0.2">
      <c r="A9454">
        <v>9642</v>
      </c>
    </row>
    <row r="9455" spans="1:1" x14ac:dyDescent="0.2">
      <c r="A9455">
        <v>9643</v>
      </c>
    </row>
    <row r="9456" spans="1:1" x14ac:dyDescent="0.2">
      <c r="A9456">
        <v>9644</v>
      </c>
    </row>
    <row r="9457" spans="1:1" x14ac:dyDescent="0.2">
      <c r="A9457">
        <v>9645</v>
      </c>
    </row>
    <row r="9458" spans="1:1" x14ac:dyDescent="0.2">
      <c r="A9458">
        <v>9646</v>
      </c>
    </row>
    <row r="9459" spans="1:1" x14ac:dyDescent="0.2">
      <c r="A9459">
        <v>9647</v>
      </c>
    </row>
    <row r="9460" spans="1:1" x14ac:dyDescent="0.2">
      <c r="A9460">
        <v>9648</v>
      </c>
    </row>
    <row r="9461" spans="1:1" x14ac:dyDescent="0.2">
      <c r="A9461">
        <v>9649</v>
      </c>
    </row>
    <row r="9462" spans="1:1" x14ac:dyDescent="0.2">
      <c r="A9462">
        <v>9650</v>
      </c>
    </row>
    <row r="9463" spans="1:1" x14ac:dyDescent="0.2">
      <c r="A9463">
        <v>9651</v>
      </c>
    </row>
    <row r="9464" spans="1:1" x14ac:dyDescent="0.2">
      <c r="A9464">
        <v>9652</v>
      </c>
    </row>
    <row r="9465" spans="1:1" x14ac:dyDescent="0.2">
      <c r="A9465">
        <v>9653</v>
      </c>
    </row>
    <row r="9466" spans="1:1" x14ac:dyDescent="0.2">
      <c r="A9466">
        <v>9654</v>
      </c>
    </row>
    <row r="9467" spans="1:1" x14ac:dyDescent="0.2">
      <c r="A9467">
        <v>9655</v>
      </c>
    </row>
    <row r="9468" spans="1:1" x14ac:dyDescent="0.2">
      <c r="A9468">
        <v>9656</v>
      </c>
    </row>
    <row r="9469" spans="1:1" x14ac:dyDescent="0.2">
      <c r="A9469">
        <v>9657</v>
      </c>
    </row>
    <row r="9470" spans="1:1" x14ac:dyDescent="0.2">
      <c r="A9470">
        <v>9658</v>
      </c>
    </row>
    <row r="9471" spans="1:1" x14ac:dyDescent="0.2">
      <c r="A9471">
        <v>9659</v>
      </c>
    </row>
    <row r="9472" spans="1:1" x14ac:dyDescent="0.2">
      <c r="A9472">
        <v>9660</v>
      </c>
    </row>
    <row r="9473" spans="1:1" x14ac:dyDescent="0.2">
      <c r="A9473">
        <v>9661</v>
      </c>
    </row>
    <row r="9474" spans="1:1" x14ac:dyDescent="0.2">
      <c r="A9474">
        <v>9662</v>
      </c>
    </row>
    <row r="9475" spans="1:1" x14ac:dyDescent="0.2">
      <c r="A9475">
        <v>9663</v>
      </c>
    </row>
    <row r="9476" spans="1:1" x14ac:dyDescent="0.2">
      <c r="A9476">
        <v>9664</v>
      </c>
    </row>
    <row r="9477" spans="1:1" x14ac:dyDescent="0.2">
      <c r="A9477">
        <v>9665</v>
      </c>
    </row>
    <row r="9478" spans="1:1" x14ac:dyDescent="0.2">
      <c r="A9478">
        <v>9666</v>
      </c>
    </row>
    <row r="9479" spans="1:1" x14ac:dyDescent="0.2">
      <c r="A9479">
        <v>9667</v>
      </c>
    </row>
    <row r="9480" spans="1:1" x14ac:dyDescent="0.2">
      <c r="A9480">
        <v>9668</v>
      </c>
    </row>
    <row r="9481" spans="1:1" x14ac:dyDescent="0.2">
      <c r="A9481">
        <v>9669</v>
      </c>
    </row>
    <row r="9482" spans="1:1" x14ac:dyDescent="0.2">
      <c r="A9482">
        <v>9670</v>
      </c>
    </row>
    <row r="9483" spans="1:1" x14ac:dyDescent="0.2">
      <c r="A9483">
        <v>9671</v>
      </c>
    </row>
    <row r="9484" spans="1:1" x14ac:dyDescent="0.2">
      <c r="A9484">
        <v>9672</v>
      </c>
    </row>
    <row r="9485" spans="1:1" x14ac:dyDescent="0.2">
      <c r="A9485">
        <v>9673</v>
      </c>
    </row>
    <row r="9486" spans="1:1" x14ac:dyDescent="0.2">
      <c r="A9486">
        <v>9674</v>
      </c>
    </row>
    <row r="9487" spans="1:1" x14ac:dyDescent="0.2">
      <c r="A9487">
        <v>9675</v>
      </c>
    </row>
    <row r="9488" spans="1:1" x14ac:dyDescent="0.2">
      <c r="A9488">
        <v>9676</v>
      </c>
    </row>
    <row r="9489" spans="1:1" x14ac:dyDescent="0.2">
      <c r="A9489">
        <v>9677</v>
      </c>
    </row>
    <row r="9490" spans="1:1" x14ac:dyDescent="0.2">
      <c r="A9490">
        <v>9678</v>
      </c>
    </row>
    <row r="9491" spans="1:1" x14ac:dyDescent="0.2">
      <c r="A9491">
        <v>9679</v>
      </c>
    </row>
    <row r="9492" spans="1:1" x14ac:dyDescent="0.2">
      <c r="A9492">
        <v>9680</v>
      </c>
    </row>
    <row r="9493" spans="1:1" x14ac:dyDescent="0.2">
      <c r="A9493">
        <v>9681</v>
      </c>
    </row>
    <row r="9494" spans="1:1" x14ac:dyDescent="0.2">
      <c r="A9494">
        <v>9682</v>
      </c>
    </row>
    <row r="9495" spans="1:1" x14ac:dyDescent="0.2">
      <c r="A9495">
        <v>9683</v>
      </c>
    </row>
    <row r="9496" spans="1:1" x14ac:dyDescent="0.2">
      <c r="A9496">
        <v>9684</v>
      </c>
    </row>
    <row r="9497" spans="1:1" x14ac:dyDescent="0.2">
      <c r="A9497">
        <v>9685</v>
      </c>
    </row>
    <row r="9498" spans="1:1" x14ac:dyDescent="0.2">
      <c r="A9498">
        <v>9686</v>
      </c>
    </row>
    <row r="9499" spans="1:1" x14ac:dyDescent="0.2">
      <c r="A9499">
        <v>9687</v>
      </c>
    </row>
    <row r="9500" spans="1:1" x14ac:dyDescent="0.2">
      <c r="A9500">
        <v>9688</v>
      </c>
    </row>
    <row r="9501" spans="1:1" x14ac:dyDescent="0.2">
      <c r="A9501">
        <v>9689</v>
      </c>
    </row>
    <row r="9502" spans="1:1" x14ac:dyDescent="0.2">
      <c r="A9502">
        <v>9690</v>
      </c>
    </row>
    <row r="9503" spans="1:1" x14ac:dyDescent="0.2">
      <c r="A9503">
        <v>9691</v>
      </c>
    </row>
    <row r="9504" spans="1:1" x14ac:dyDescent="0.2">
      <c r="A9504">
        <v>9692</v>
      </c>
    </row>
    <row r="9505" spans="1:1" x14ac:dyDescent="0.2">
      <c r="A9505">
        <v>9693</v>
      </c>
    </row>
    <row r="9506" spans="1:1" x14ac:dyDescent="0.2">
      <c r="A9506">
        <v>9694</v>
      </c>
    </row>
    <row r="9507" spans="1:1" x14ac:dyDescent="0.2">
      <c r="A9507">
        <v>9695</v>
      </c>
    </row>
    <row r="9508" spans="1:1" x14ac:dyDescent="0.2">
      <c r="A9508">
        <v>9696</v>
      </c>
    </row>
    <row r="9509" spans="1:1" x14ac:dyDescent="0.2">
      <c r="A9509">
        <v>9697</v>
      </c>
    </row>
    <row r="9510" spans="1:1" x14ac:dyDescent="0.2">
      <c r="A9510">
        <v>9698</v>
      </c>
    </row>
    <row r="9511" spans="1:1" x14ac:dyDescent="0.2">
      <c r="A9511">
        <v>9699</v>
      </c>
    </row>
    <row r="9512" spans="1:1" x14ac:dyDescent="0.2">
      <c r="A9512">
        <v>9700</v>
      </c>
    </row>
    <row r="9513" spans="1:1" x14ac:dyDescent="0.2">
      <c r="A9513">
        <v>9701</v>
      </c>
    </row>
    <row r="9514" spans="1:1" x14ac:dyDescent="0.2">
      <c r="A9514">
        <v>9702</v>
      </c>
    </row>
    <row r="9515" spans="1:1" x14ac:dyDescent="0.2">
      <c r="A9515">
        <v>9703</v>
      </c>
    </row>
    <row r="9516" spans="1:1" x14ac:dyDescent="0.2">
      <c r="A9516">
        <v>9704</v>
      </c>
    </row>
    <row r="9517" spans="1:1" x14ac:dyDescent="0.2">
      <c r="A9517">
        <v>9705</v>
      </c>
    </row>
    <row r="9518" spans="1:1" x14ac:dyDescent="0.2">
      <c r="A9518">
        <v>9706</v>
      </c>
    </row>
    <row r="9519" spans="1:1" x14ac:dyDescent="0.2">
      <c r="A9519">
        <v>9707</v>
      </c>
    </row>
    <row r="9520" spans="1:1" x14ac:dyDescent="0.2">
      <c r="A9520">
        <v>9708</v>
      </c>
    </row>
    <row r="9521" spans="1:1" x14ac:dyDescent="0.2">
      <c r="A9521">
        <v>9709</v>
      </c>
    </row>
    <row r="9522" spans="1:1" x14ac:dyDescent="0.2">
      <c r="A9522">
        <v>9710</v>
      </c>
    </row>
    <row r="9523" spans="1:1" x14ac:dyDescent="0.2">
      <c r="A9523">
        <v>9711</v>
      </c>
    </row>
    <row r="9524" spans="1:1" x14ac:dyDescent="0.2">
      <c r="A9524">
        <v>9712</v>
      </c>
    </row>
    <row r="9525" spans="1:1" x14ac:dyDescent="0.2">
      <c r="A9525">
        <v>9713</v>
      </c>
    </row>
    <row r="9526" spans="1:1" x14ac:dyDescent="0.2">
      <c r="A9526">
        <v>9714</v>
      </c>
    </row>
    <row r="9527" spans="1:1" x14ac:dyDescent="0.2">
      <c r="A9527">
        <v>9715</v>
      </c>
    </row>
    <row r="9528" spans="1:1" x14ac:dyDescent="0.2">
      <c r="A9528">
        <v>9716</v>
      </c>
    </row>
    <row r="9529" spans="1:1" x14ac:dyDescent="0.2">
      <c r="A9529">
        <v>9717</v>
      </c>
    </row>
    <row r="9530" spans="1:1" x14ac:dyDescent="0.2">
      <c r="A9530">
        <v>9718</v>
      </c>
    </row>
    <row r="9531" spans="1:1" x14ac:dyDescent="0.2">
      <c r="A9531">
        <v>9719</v>
      </c>
    </row>
    <row r="9532" spans="1:1" x14ac:dyDescent="0.2">
      <c r="A9532">
        <v>9720</v>
      </c>
    </row>
    <row r="9533" spans="1:1" x14ac:dyDescent="0.2">
      <c r="A9533">
        <v>9721</v>
      </c>
    </row>
    <row r="9534" spans="1:1" x14ac:dyDescent="0.2">
      <c r="A9534">
        <v>9722</v>
      </c>
    </row>
    <row r="9535" spans="1:1" x14ac:dyDescent="0.2">
      <c r="A9535">
        <v>9723</v>
      </c>
    </row>
    <row r="9536" spans="1:1" x14ac:dyDescent="0.2">
      <c r="A9536">
        <v>9724</v>
      </c>
    </row>
    <row r="9537" spans="1:1" x14ac:dyDescent="0.2">
      <c r="A9537">
        <v>9725</v>
      </c>
    </row>
    <row r="9538" spans="1:1" x14ac:dyDescent="0.2">
      <c r="A9538">
        <v>9726</v>
      </c>
    </row>
    <row r="9539" spans="1:1" x14ac:dyDescent="0.2">
      <c r="A9539">
        <v>9727</v>
      </c>
    </row>
    <row r="9540" spans="1:1" x14ac:dyDescent="0.2">
      <c r="A9540">
        <v>9728</v>
      </c>
    </row>
    <row r="9541" spans="1:1" x14ac:dyDescent="0.2">
      <c r="A9541">
        <v>9729</v>
      </c>
    </row>
    <row r="9542" spans="1:1" x14ac:dyDescent="0.2">
      <c r="A9542">
        <v>9730</v>
      </c>
    </row>
    <row r="9543" spans="1:1" x14ac:dyDescent="0.2">
      <c r="A9543">
        <v>9731</v>
      </c>
    </row>
    <row r="9544" spans="1:1" x14ac:dyDescent="0.2">
      <c r="A9544">
        <v>9732</v>
      </c>
    </row>
    <row r="9545" spans="1:1" x14ac:dyDescent="0.2">
      <c r="A9545">
        <v>9733</v>
      </c>
    </row>
    <row r="9546" spans="1:1" x14ac:dyDescent="0.2">
      <c r="A9546">
        <v>9734</v>
      </c>
    </row>
    <row r="9547" spans="1:1" x14ac:dyDescent="0.2">
      <c r="A9547">
        <v>9735</v>
      </c>
    </row>
    <row r="9548" spans="1:1" x14ac:dyDescent="0.2">
      <c r="A9548">
        <v>9736</v>
      </c>
    </row>
    <row r="9549" spans="1:1" x14ac:dyDescent="0.2">
      <c r="A9549">
        <v>9737</v>
      </c>
    </row>
    <row r="9550" spans="1:1" x14ac:dyDescent="0.2">
      <c r="A9550">
        <v>9738</v>
      </c>
    </row>
    <row r="9551" spans="1:1" x14ac:dyDescent="0.2">
      <c r="A9551">
        <v>9739</v>
      </c>
    </row>
    <row r="9552" spans="1:1" x14ac:dyDescent="0.2">
      <c r="A9552">
        <v>9740</v>
      </c>
    </row>
    <row r="9553" spans="1:1" x14ac:dyDescent="0.2">
      <c r="A9553">
        <v>9741</v>
      </c>
    </row>
    <row r="9554" spans="1:1" x14ac:dyDescent="0.2">
      <c r="A9554">
        <v>9742</v>
      </c>
    </row>
    <row r="9555" spans="1:1" x14ac:dyDescent="0.2">
      <c r="A9555">
        <v>9743</v>
      </c>
    </row>
    <row r="9556" spans="1:1" x14ac:dyDescent="0.2">
      <c r="A9556">
        <v>9744</v>
      </c>
    </row>
    <row r="9557" spans="1:1" x14ac:dyDescent="0.2">
      <c r="A9557">
        <v>9745</v>
      </c>
    </row>
    <row r="9558" spans="1:1" x14ac:dyDescent="0.2">
      <c r="A9558">
        <v>9746</v>
      </c>
    </row>
    <row r="9559" spans="1:1" x14ac:dyDescent="0.2">
      <c r="A9559">
        <v>9747</v>
      </c>
    </row>
    <row r="9560" spans="1:1" x14ac:dyDescent="0.2">
      <c r="A9560">
        <v>9748</v>
      </c>
    </row>
    <row r="9561" spans="1:1" x14ac:dyDescent="0.2">
      <c r="A9561">
        <v>9749</v>
      </c>
    </row>
    <row r="9562" spans="1:1" x14ac:dyDescent="0.2">
      <c r="A9562">
        <v>9750</v>
      </c>
    </row>
    <row r="9563" spans="1:1" x14ac:dyDescent="0.2">
      <c r="A9563">
        <v>9751</v>
      </c>
    </row>
    <row r="9564" spans="1:1" x14ac:dyDescent="0.2">
      <c r="A9564">
        <v>9752</v>
      </c>
    </row>
    <row r="9565" spans="1:1" x14ac:dyDescent="0.2">
      <c r="A9565">
        <v>9753</v>
      </c>
    </row>
    <row r="9566" spans="1:1" x14ac:dyDescent="0.2">
      <c r="A9566">
        <v>9754</v>
      </c>
    </row>
    <row r="9567" spans="1:1" x14ac:dyDescent="0.2">
      <c r="A9567">
        <v>9755</v>
      </c>
    </row>
    <row r="9568" spans="1:1" x14ac:dyDescent="0.2">
      <c r="A9568">
        <v>9756</v>
      </c>
    </row>
    <row r="9569" spans="1:1" x14ac:dyDescent="0.2">
      <c r="A9569">
        <v>9757</v>
      </c>
    </row>
    <row r="9570" spans="1:1" x14ac:dyDescent="0.2">
      <c r="A9570">
        <v>9758</v>
      </c>
    </row>
    <row r="9571" spans="1:1" x14ac:dyDescent="0.2">
      <c r="A9571">
        <v>9759</v>
      </c>
    </row>
    <row r="9572" spans="1:1" x14ac:dyDescent="0.2">
      <c r="A9572">
        <v>9760</v>
      </c>
    </row>
    <row r="9573" spans="1:1" x14ac:dyDescent="0.2">
      <c r="A9573">
        <v>9761</v>
      </c>
    </row>
    <row r="9574" spans="1:1" x14ac:dyDescent="0.2">
      <c r="A9574">
        <v>9762</v>
      </c>
    </row>
    <row r="9575" spans="1:1" x14ac:dyDescent="0.2">
      <c r="A9575">
        <v>9763</v>
      </c>
    </row>
    <row r="9576" spans="1:1" x14ac:dyDescent="0.2">
      <c r="A9576">
        <v>9764</v>
      </c>
    </row>
    <row r="9577" spans="1:1" x14ac:dyDescent="0.2">
      <c r="A9577">
        <v>9765</v>
      </c>
    </row>
    <row r="9578" spans="1:1" x14ac:dyDescent="0.2">
      <c r="A9578">
        <v>9766</v>
      </c>
    </row>
    <row r="9579" spans="1:1" x14ac:dyDescent="0.2">
      <c r="A9579">
        <v>9767</v>
      </c>
    </row>
    <row r="9580" spans="1:1" x14ac:dyDescent="0.2">
      <c r="A9580">
        <v>9768</v>
      </c>
    </row>
    <row r="9581" spans="1:1" x14ac:dyDescent="0.2">
      <c r="A9581">
        <v>9769</v>
      </c>
    </row>
    <row r="9582" spans="1:1" x14ac:dyDescent="0.2">
      <c r="A9582">
        <v>9770</v>
      </c>
    </row>
    <row r="9583" spans="1:1" x14ac:dyDescent="0.2">
      <c r="A9583">
        <v>9771</v>
      </c>
    </row>
    <row r="9584" spans="1:1" x14ac:dyDescent="0.2">
      <c r="A9584">
        <v>9772</v>
      </c>
    </row>
    <row r="9585" spans="1:1" x14ac:dyDescent="0.2">
      <c r="A9585">
        <v>9773</v>
      </c>
    </row>
    <row r="9586" spans="1:1" x14ac:dyDescent="0.2">
      <c r="A9586">
        <v>9774</v>
      </c>
    </row>
    <row r="9587" spans="1:1" x14ac:dyDescent="0.2">
      <c r="A9587">
        <v>9775</v>
      </c>
    </row>
    <row r="9588" spans="1:1" x14ac:dyDescent="0.2">
      <c r="A9588">
        <v>9776</v>
      </c>
    </row>
    <row r="9589" spans="1:1" x14ac:dyDescent="0.2">
      <c r="A9589">
        <v>9777</v>
      </c>
    </row>
    <row r="9590" spans="1:1" x14ac:dyDescent="0.2">
      <c r="A9590">
        <v>9778</v>
      </c>
    </row>
    <row r="9591" spans="1:1" x14ac:dyDescent="0.2">
      <c r="A9591">
        <v>9779</v>
      </c>
    </row>
    <row r="9592" spans="1:1" x14ac:dyDescent="0.2">
      <c r="A9592">
        <v>9780</v>
      </c>
    </row>
    <row r="9593" spans="1:1" x14ac:dyDescent="0.2">
      <c r="A9593">
        <v>9781</v>
      </c>
    </row>
    <row r="9594" spans="1:1" x14ac:dyDescent="0.2">
      <c r="A9594">
        <v>9782</v>
      </c>
    </row>
    <row r="9595" spans="1:1" x14ac:dyDescent="0.2">
      <c r="A9595">
        <v>9783</v>
      </c>
    </row>
    <row r="9596" spans="1:1" x14ac:dyDescent="0.2">
      <c r="A9596">
        <v>9784</v>
      </c>
    </row>
    <row r="9597" spans="1:1" x14ac:dyDescent="0.2">
      <c r="A9597">
        <v>9785</v>
      </c>
    </row>
    <row r="9598" spans="1:1" x14ac:dyDescent="0.2">
      <c r="A9598">
        <v>9786</v>
      </c>
    </row>
    <row r="9599" spans="1:1" x14ac:dyDescent="0.2">
      <c r="A9599">
        <v>9787</v>
      </c>
    </row>
    <row r="9600" spans="1:1" x14ac:dyDescent="0.2">
      <c r="A9600">
        <v>9788</v>
      </c>
    </row>
    <row r="9601" spans="1:1" x14ac:dyDescent="0.2">
      <c r="A9601">
        <v>9789</v>
      </c>
    </row>
    <row r="9602" spans="1:1" x14ac:dyDescent="0.2">
      <c r="A9602">
        <v>9790</v>
      </c>
    </row>
    <row r="9603" spans="1:1" x14ac:dyDescent="0.2">
      <c r="A9603">
        <v>9791</v>
      </c>
    </row>
    <row r="9604" spans="1:1" x14ac:dyDescent="0.2">
      <c r="A9604">
        <v>9792</v>
      </c>
    </row>
    <row r="9605" spans="1:1" x14ac:dyDescent="0.2">
      <c r="A9605">
        <v>9793</v>
      </c>
    </row>
    <row r="9606" spans="1:1" x14ac:dyDescent="0.2">
      <c r="A9606">
        <v>9794</v>
      </c>
    </row>
    <row r="9607" spans="1:1" x14ac:dyDescent="0.2">
      <c r="A9607">
        <v>9795</v>
      </c>
    </row>
    <row r="9608" spans="1:1" x14ac:dyDescent="0.2">
      <c r="A9608">
        <v>9796</v>
      </c>
    </row>
    <row r="9609" spans="1:1" x14ac:dyDescent="0.2">
      <c r="A9609">
        <v>9797</v>
      </c>
    </row>
    <row r="9610" spans="1:1" x14ac:dyDescent="0.2">
      <c r="A9610">
        <v>9798</v>
      </c>
    </row>
    <row r="9611" spans="1:1" x14ac:dyDescent="0.2">
      <c r="A9611">
        <v>9799</v>
      </c>
    </row>
    <row r="9612" spans="1:1" x14ac:dyDescent="0.2">
      <c r="A9612">
        <v>9800</v>
      </c>
    </row>
    <row r="9613" spans="1:1" x14ac:dyDescent="0.2">
      <c r="A9613">
        <v>9801</v>
      </c>
    </row>
    <row r="9614" spans="1:1" x14ac:dyDescent="0.2">
      <c r="A9614">
        <v>9802</v>
      </c>
    </row>
    <row r="9615" spans="1:1" x14ac:dyDescent="0.2">
      <c r="A9615">
        <v>9803</v>
      </c>
    </row>
    <row r="9616" spans="1:1" x14ac:dyDescent="0.2">
      <c r="A9616">
        <v>9804</v>
      </c>
    </row>
    <row r="9617" spans="1:1" x14ac:dyDescent="0.2">
      <c r="A9617">
        <v>9805</v>
      </c>
    </row>
    <row r="9618" spans="1:1" x14ac:dyDescent="0.2">
      <c r="A9618">
        <v>9806</v>
      </c>
    </row>
    <row r="9619" spans="1:1" x14ac:dyDescent="0.2">
      <c r="A9619">
        <v>9807</v>
      </c>
    </row>
    <row r="9620" spans="1:1" x14ac:dyDescent="0.2">
      <c r="A9620">
        <v>9808</v>
      </c>
    </row>
    <row r="9621" spans="1:1" x14ac:dyDescent="0.2">
      <c r="A9621">
        <v>9809</v>
      </c>
    </row>
    <row r="9622" spans="1:1" x14ac:dyDescent="0.2">
      <c r="A9622">
        <v>9810</v>
      </c>
    </row>
    <row r="9623" spans="1:1" x14ac:dyDescent="0.2">
      <c r="A9623">
        <v>9811</v>
      </c>
    </row>
    <row r="9624" spans="1:1" x14ac:dyDescent="0.2">
      <c r="A9624">
        <v>9812</v>
      </c>
    </row>
    <row r="9625" spans="1:1" x14ac:dyDescent="0.2">
      <c r="A9625">
        <v>9813</v>
      </c>
    </row>
    <row r="9626" spans="1:1" x14ac:dyDescent="0.2">
      <c r="A9626">
        <v>9814</v>
      </c>
    </row>
    <row r="9627" spans="1:1" x14ac:dyDescent="0.2">
      <c r="A9627">
        <v>9815</v>
      </c>
    </row>
    <row r="9628" spans="1:1" x14ac:dyDescent="0.2">
      <c r="A9628">
        <v>9816</v>
      </c>
    </row>
    <row r="9629" spans="1:1" x14ac:dyDescent="0.2">
      <c r="A9629">
        <v>9817</v>
      </c>
    </row>
    <row r="9630" spans="1:1" x14ac:dyDescent="0.2">
      <c r="A9630">
        <v>9818</v>
      </c>
    </row>
    <row r="9631" spans="1:1" x14ac:dyDescent="0.2">
      <c r="A9631">
        <v>9819</v>
      </c>
    </row>
    <row r="9632" spans="1:1" x14ac:dyDescent="0.2">
      <c r="A9632">
        <v>9820</v>
      </c>
    </row>
    <row r="9633" spans="1:1" x14ac:dyDescent="0.2">
      <c r="A9633">
        <v>9821</v>
      </c>
    </row>
    <row r="9634" spans="1:1" x14ac:dyDescent="0.2">
      <c r="A9634">
        <v>9822</v>
      </c>
    </row>
    <row r="9635" spans="1:1" x14ac:dyDescent="0.2">
      <c r="A9635">
        <v>9823</v>
      </c>
    </row>
    <row r="9636" spans="1:1" x14ac:dyDescent="0.2">
      <c r="A9636">
        <v>9824</v>
      </c>
    </row>
    <row r="9637" spans="1:1" x14ac:dyDescent="0.2">
      <c r="A9637">
        <v>9825</v>
      </c>
    </row>
    <row r="9638" spans="1:1" x14ac:dyDescent="0.2">
      <c r="A9638">
        <v>9826</v>
      </c>
    </row>
    <row r="9639" spans="1:1" x14ac:dyDescent="0.2">
      <c r="A9639">
        <v>9827</v>
      </c>
    </row>
    <row r="9640" spans="1:1" x14ac:dyDescent="0.2">
      <c r="A9640">
        <v>9828</v>
      </c>
    </row>
    <row r="9641" spans="1:1" x14ac:dyDescent="0.2">
      <c r="A9641">
        <v>9829</v>
      </c>
    </row>
    <row r="9642" spans="1:1" x14ac:dyDescent="0.2">
      <c r="A9642">
        <v>9830</v>
      </c>
    </row>
    <row r="9643" spans="1:1" x14ac:dyDescent="0.2">
      <c r="A9643">
        <v>9831</v>
      </c>
    </row>
    <row r="9644" spans="1:1" x14ac:dyDescent="0.2">
      <c r="A9644">
        <v>9832</v>
      </c>
    </row>
    <row r="9645" spans="1:1" x14ac:dyDescent="0.2">
      <c r="A9645">
        <v>9833</v>
      </c>
    </row>
    <row r="9646" spans="1:1" x14ac:dyDescent="0.2">
      <c r="A9646">
        <v>9834</v>
      </c>
    </row>
    <row r="9647" spans="1:1" x14ac:dyDescent="0.2">
      <c r="A9647">
        <v>9835</v>
      </c>
    </row>
    <row r="9648" spans="1:1" x14ac:dyDescent="0.2">
      <c r="A9648">
        <v>9836</v>
      </c>
    </row>
    <row r="9649" spans="1:1" x14ac:dyDescent="0.2">
      <c r="A9649">
        <v>9837</v>
      </c>
    </row>
    <row r="9650" spans="1:1" x14ac:dyDescent="0.2">
      <c r="A9650">
        <v>9838</v>
      </c>
    </row>
    <row r="9651" spans="1:1" x14ac:dyDescent="0.2">
      <c r="A9651">
        <v>9839</v>
      </c>
    </row>
    <row r="9652" spans="1:1" x14ac:dyDescent="0.2">
      <c r="A9652">
        <v>9840</v>
      </c>
    </row>
    <row r="9653" spans="1:1" x14ac:dyDescent="0.2">
      <c r="A9653">
        <v>9841</v>
      </c>
    </row>
    <row r="9654" spans="1:1" x14ac:dyDescent="0.2">
      <c r="A9654">
        <v>9842</v>
      </c>
    </row>
    <row r="9655" spans="1:1" x14ac:dyDescent="0.2">
      <c r="A9655">
        <v>9843</v>
      </c>
    </row>
    <row r="9656" spans="1:1" x14ac:dyDescent="0.2">
      <c r="A9656">
        <v>9844</v>
      </c>
    </row>
    <row r="9657" spans="1:1" x14ac:dyDescent="0.2">
      <c r="A9657">
        <v>9845</v>
      </c>
    </row>
    <row r="9658" spans="1:1" x14ac:dyDescent="0.2">
      <c r="A9658">
        <v>9846</v>
      </c>
    </row>
    <row r="9659" spans="1:1" x14ac:dyDescent="0.2">
      <c r="A9659">
        <v>9847</v>
      </c>
    </row>
    <row r="9660" spans="1:1" x14ac:dyDescent="0.2">
      <c r="A9660">
        <v>9848</v>
      </c>
    </row>
    <row r="9661" spans="1:1" x14ac:dyDescent="0.2">
      <c r="A9661">
        <v>9849</v>
      </c>
    </row>
    <row r="9662" spans="1:1" x14ac:dyDescent="0.2">
      <c r="A9662">
        <v>9850</v>
      </c>
    </row>
    <row r="9663" spans="1:1" x14ac:dyDescent="0.2">
      <c r="A9663">
        <v>9851</v>
      </c>
    </row>
    <row r="9664" spans="1:1" x14ac:dyDescent="0.2">
      <c r="A9664">
        <v>9852</v>
      </c>
    </row>
    <row r="9665" spans="1:1" x14ac:dyDescent="0.2">
      <c r="A9665">
        <v>9853</v>
      </c>
    </row>
    <row r="9666" spans="1:1" x14ac:dyDescent="0.2">
      <c r="A9666">
        <v>9854</v>
      </c>
    </row>
    <row r="9667" spans="1:1" x14ac:dyDescent="0.2">
      <c r="A9667">
        <v>9855</v>
      </c>
    </row>
    <row r="9668" spans="1:1" x14ac:dyDescent="0.2">
      <c r="A9668">
        <v>9856</v>
      </c>
    </row>
    <row r="9669" spans="1:1" x14ac:dyDescent="0.2">
      <c r="A9669">
        <v>9857</v>
      </c>
    </row>
    <row r="9670" spans="1:1" x14ac:dyDescent="0.2">
      <c r="A9670">
        <v>9858</v>
      </c>
    </row>
    <row r="9671" spans="1:1" x14ac:dyDescent="0.2">
      <c r="A9671">
        <v>9859</v>
      </c>
    </row>
    <row r="9672" spans="1:1" x14ac:dyDescent="0.2">
      <c r="A9672">
        <v>9860</v>
      </c>
    </row>
    <row r="9673" spans="1:1" x14ac:dyDescent="0.2">
      <c r="A9673">
        <v>9861</v>
      </c>
    </row>
    <row r="9674" spans="1:1" x14ac:dyDescent="0.2">
      <c r="A9674">
        <v>9862</v>
      </c>
    </row>
    <row r="9675" spans="1:1" x14ac:dyDescent="0.2">
      <c r="A9675">
        <v>9863</v>
      </c>
    </row>
    <row r="9676" spans="1:1" x14ac:dyDescent="0.2">
      <c r="A9676">
        <v>9864</v>
      </c>
    </row>
    <row r="9677" spans="1:1" x14ac:dyDescent="0.2">
      <c r="A9677">
        <v>9865</v>
      </c>
    </row>
    <row r="9678" spans="1:1" x14ac:dyDescent="0.2">
      <c r="A9678">
        <v>9866</v>
      </c>
    </row>
    <row r="9679" spans="1:1" x14ac:dyDescent="0.2">
      <c r="A9679">
        <v>9867</v>
      </c>
    </row>
    <row r="9680" spans="1:1" x14ac:dyDescent="0.2">
      <c r="A9680">
        <v>9868</v>
      </c>
    </row>
    <row r="9681" spans="1:1" x14ac:dyDescent="0.2">
      <c r="A9681">
        <v>9869</v>
      </c>
    </row>
    <row r="9682" spans="1:1" x14ac:dyDescent="0.2">
      <c r="A9682">
        <v>9870</v>
      </c>
    </row>
    <row r="9683" spans="1:1" x14ac:dyDescent="0.2">
      <c r="A9683">
        <v>9871</v>
      </c>
    </row>
    <row r="9684" spans="1:1" x14ac:dyDescent="0.2">
      <c r="A9684">
        <v>9872</v>
      </c>
    </row>
    <row r="9685" spans="1:1" x14ac:dyDescent="0.2">
      <c r="A9685">
        <v>9873</v>
      </c>
    </row>
    <row r="9686" spans="1:1" x14ac:dyDescent="0.2">
      <c r="A9686">
        <v>9874</v>
      </c>
    </row>
    <row r="9687" spans="1:1" x14ac:dyDescent="0.2">
      <c r="A9687">
        <v>9875</v>
      </c>
    </row>
    <row r="9688" spans="1:1" x14ac:dyDescent="0.2">
      <c r="A9688">
        <v>9876</v>
      </c>
    </row>
    <row r="9689" spans="1:1" x14ac:dyDescent="0.2">
      <c r="A9689">
        <v>9877</v>
      </c>
    </row>
    <row r="9690" spans="1:1" x14ac:dyDescent="0.2">
      <c r="A9690">
        <v>9878</v>
      </c>
    </row>
    <row r="9691" spans="1:1" x14ac:dyDescent="0.2">
      <c r="A9691">
        <v>9879</v>
      </c>
    </row>
    <row r="9692" spans="1:1" x14ac:dyDescent="0.2">
      <c r="A9692">
        <v>9880</v>
      </c>
    </row>
    <row r="9693" spans="1:1" x14ac:dyDescent="0.2">
      <c r="A9693">
        <v>9881</v>
      </c>
    </row>
    <row r="9694" spans="1:1" x14ac:dyDescent="0.2">
      <c r="A9694">
        <v>9882</v>
      </c>
    </row>
    <row r="9695" spans="1:1" x14ac:dyDescent="0.2">
      <c r="A9695">
        <v>9883</v>
      </c>
    </row>
    <row r="9696" spans="1:1" x14ac:dyDescent="0.2">
      <c r="A9696">
        <v>9884</v>
      </c>
    </row>
    <row r="9697" spans="1:1" x14ac:dyDescent="0.2">
      <c r="A9697">
        <v>9885</v>
      </c>
    </row>
    <row r="9698" spans="1:1" x14ac:dyDescent="0.2">
      <c r="A9698">
        <v>9886</v>
      </c>
    </row>
    <row r="9699" spans="1:1" x14ac:dyDescent="0.2">
      <c r="A9699">
        <v>9887</v>
      </c>
    </row>
    <row r="9700" spans="1:1" x14ac:dyDescent="0.2">
      <c r="A9700">
        <v>9888</v>
      </c>
    </row>
    <row r="9701" spans="1:1" x14ac:dyDescent="0.2">
      <c r="A9701">
        <v>9889</v>
      </c>
    </row>
    <row r="9702" spans="1:1" x14ac:dyDescent="0.2">
      <c r="A9702">
        <v>9890</v>
      </c>
    </row>
    <row r="9703" spans="1:1" x14ac:dyDescent="0.2">
      <c r="A9703">
        <v>9891</v>
      </c>
    </row>
    <row r="9704" spans="1:1" x14ac:dyDescent="0.2">
      <c r="A9704">
        <v>9892</v>
      </c>
    </row>
    <row r="9705" spans="1:1" x14ac:dyDescent="0.2">
      <c r="A9705">
        <v>9893</v>
      </c>
    </row>
    <row r="9706" spans="1:1" x14ac:dyDescent="0.2">
      <c r="A9706">
        <v>9894</v>
      </c>
    </row>
    <row r="9707" spans="1:1" x14ac:dyDescent="0.2">
      <c r="A9707">
        <v>9895</v>
      </c>
    </row>
    <row r="9708" spans="1:1" x14ac:dyDescent="0.2">
      <c r="A9708">
        <v>9896</v>
      </c>
    </row>
    <row r="9709" spans="1:1" x14ac:dyDescent="0.2">
      <c r="A9709">
        <v>9897</v>
      </c>
    </row>
    <row r="9710" spans="1:1" x14ac:dyDescent="0.2">
      <c r="A9710">
        <v>9898</v>
      </c>
    </row>
    <row r="9711" spans="1:1" x14ac:dyDescent="0.2">
      <c r="A9711">
        <v>9899</v>
      </c>
    </row>
    <row r="9712" spans="1:1" x14ac:dyDescent="0.2">
      <c r="A9712">
        <v>9900</v>
      </c>
    </row>
    <row r="9713" spans="1:1" x14ac:dyDescent="0.2">
      <c r="A9713">
        <v>9901</v>
      </c>
    </row>
    <row r="9714" spans="1:1" x14ac:dyDescent="0.2">
      <c r="A9714">
        <v>9902</v>
      </c>
    </row>
    <row r="9715" spans="1:1" x14ac:dyDescent="0.2">
      <c r="A9715">
        <v>9903</v>
      </c>
    </row>
    <row r="9716" spans="1:1" x14ac:dyDescent="0.2">
      <c r="A9716">
        <v>9904</v>
      </c>
    </row>
    <row r="9717" spans="1:1" x14ac:dyDescent="0.2">
      <c r="A9717">
        <v>9905</v>
      </c>
    </row>
    <row r="9718" spans="1:1" x14ac:dyDescent="0.2">
      <c r="A9718">
        <v>9906</v>
      </c>
    </row>
    <row r="9719" spans="1:1" x14ac:dyDescent="0.2">
      <c r="A9719">
        <v>9907</v>
      </c>
    </row>
    <row r="9720" spans="1:1" x14ac:dyDescent="0.2">
      <c r="A9720">
        <v>9908</v>
      </c>
    </row>
    <row r="9721" spans="1:1" x14ac:dyDescent="0.2">
      <c r="A9721">
        <v>9909</v>
      </c>
    </row>
    <row r="9722" spans="1:1" x14ac:dyDescent="0.2">
      <c r="A9722">
        <v>9910</v>
      </c>
    </row>
    <row r="9723" spans="1:1" x14ac:dyDescent="0.2">
      <c r="A9723">
        <v>9911</v>
      </c>
    </row>
    <row r="9724" spans="1:1" x14ac:dyDescent="0.2">
      <c r="A9724">
        <v>9912</v>
      </c>
    </row>
    <row r="9725" spans="1:1" x14ac:dyDescent="0.2">
      <c r="A9725">
        <v>9913</v>
      </c>
    </row>
    <row r="9726" spans="1:1" x14ac:dyDescent="0.2">
      <c r="A9726">
        <v>9914</v>
      </c>
    </row>
    <row r="9727" spans="1:1" x14ac:dyDescent="0.2">
      <c r="A9727">
        <v>9915</v>
      </c>
    </row>
    <row r="9728" spans="1:1" x14ac:dyDescent="0.2">
      <c r="A9728">
        <v>9916</v>
      </c>
    </row>
    <row r="9729" spans="1:1" x14ac:dyDescent="0.2">
      <c r="A9729">
        <v>9917</v>
      </c>
    </row>
    <row r="9730" spans="1:1" x14ac:dyDescent="0.2">
      <c r="A9730">
        <v>9918</v>
      </c>
    </row>
    <row r="9731" spans="1:1" x14ac:dyDescent="0.2">
      <c r="A9731">
        <v>9919</v>
      </c>
    </row>
    <row r="9732" spans="1:1" x14ac:dyDescent="0.2">
      <c r="A9732">
        <v>9920</v>
      </c>
    </row>
    <row r="9733" spans="1:1" x14ac:dyDescent="0.2">
      <c r="A9733">
        <v>9921</v>
      </c>
    </row>
    <row r="9734" spans="1:1" x14ac:dyDescent="0.2">
      <c r="A9734">
        <v>9922</v>
      </c>
    </row>
    <row r="9735" spans="1:1" x14ac:dyDescent="0.2">
      <c r="A9735">
        <v>9923</v>
      </c>
    </row>
    <row r="9736" spans="1:1" x14ac:dyDescent="0.2">
      <c r="A9736">
        <v>9924</v>
      </c>
    </row>
    <row r="9737" spans="1:1" x14ac:dyDescent="0.2">
      <c r="A9737">
        <v>9925</v>
      </c>
    </row>
    <row r="9738" spans="1:1" x14ac:dyDescent="0.2">
      <c r="A9738">
        <v>9926</v>
      </c>
    </row>
    <row r="9739" spans="1:1" x14ac:dyDescent="0.2">
      <c r="A9739">
        <v>9927</v>
      </c>
    </row>
    <row r="9740" spans="1:1" x14ac:dyDescent="0.2">
      <c r="A9740">
        <v>9928</v>
      </c>
    </row>
    <row r="9741" spans="1:1" x14ac:dyDescent="0.2">
      <c r="A9741">
        <v>9929</v>
      </c>
    </row>
    <row r="9742" spans="1:1" x14ac:dyDescent="0.2">
      <c r="A9742">
        <v>9930</v>
      </c>
    </row>
    <row r="9743" spans="1:1" x14ac:dyDescent="0.2">
      <c r="A9743">
        <v>9931</v>
      </c>
    </row>
    <row r="9744" spans="1:1" x14ac:dyDescent="0.2">
      <c r="A9744">
        <v>9932</v>
      </c>
    </row>
    <row r="9745" spans="1:1" x14ac:dyDescent="0.2">
      <c r="A9745">
        <v>9933</v>
      </c>
    </row>
    <row r="9746" spans="1:1" x14ac:dyDescent="0.2">
      <c r="A9746">
        <v>9934</v>
      </c>
    </row>
    <row r="9747" spans="1:1" x14ac:dyDescent="0.2">
      <c r="A9747">
        <v>9935</v>
      </c>
    </row>
    <row r="9748" spans="1:1" x14ac:dyDescent="0.2">
      <c r="A9748">
        <v>9936</v>
      </c>
    </row>
    <row r="9749" spans="1:1" x14ac:dyDescent="0.2">
      <c r="A9749">
        <v>9937</v>
      </c>
    </row>
    <row r="9750" spans="1:1" x14ac:dyDescent="0.2">
      <c r="A9750">
        <v>9938</v>
      </c>
    </row>
    <row r="9751" spans="1:1" x14ac:dyDescent="0.2">
      <c r="A9751">
        <v>9939</v>
      </c>
    </row>
    <row r="9752" spans="1:1" x14ac:dyDescent="0.2">
      <c r="A9752">
        <v>9940</v>
      </c>
    </row>
    <row r="9753" spans="1:1" x14ac:dyDescent="0.2">
      <c r="A9753">
        <v>9941</v>
      </c>
    </row>
    <row r="9754" spans="1:1" x14ac:dyDescent="0.2">
      <c r="A9754">
        <v>9942</v>
      </c>
    </row>
    <row r="9755" spans="1:1" x14ac:dyDescent="0.2">
      <c r="A9755">
        <v>9943</v>
      </c>
    </row>
    <row r="9756" spans="1:1" x14ac:dyDescent="0.2">
      <c r="A9756">
        <v>9944</v>
      </c>
    </row>
    <row r="9757" spans="1:1" x14ac:dyDescent="0.2">
      <c r="A9757">
        <v>9945</v>
      </c>
    </row>
    <row r="9758" spans="1:1" x14ac:dyDescent="0.2">
      <c r="A9758">
        <v>9946</v>
      </c>
    </row>
    <row r="9759" spans="1:1" x14ac:dyDescent="0.2">
      <c r="A9759">
        <v>9947</v>
      </c>
    </row>
    <row r="9760" spans="1:1" x14ac:dyDescent="0.2">
      <c r="A9760">
        <v>9948</v>
      </c>
    </row>
    <row r="9761" spans="1:1" x14ac:dyDescent="0.2">
      <c r="A9761">
        <v>9949</v>
      </c>
    </row>
    <row r="9762" spans="1:1" x14ac:dyDescent="0.2">
      <c r="A9762">
        <v>9950</v>
      </c>
    </row>
    <row r="9763" spans="1:1" x14ac:dyDescent="0.2">
      <c r="A9763">
        <v>9951</v>
      </c>
    </row>
    <row r="9764" spans="1:1" x14ac:dyDescent="0.2">
      <c r="A9764">
        <v>9952</v>
      </c>
    </row>
    <row r="9765" spans="1:1" x14ac:dyDescent="0.2">
      <c r="A9765">
        <v>9953</v>
      </c>
    </row>
    <row r="9766" spans="1:1" x14ac:dyDescent="0.2">
      <c r="A9766">
        <v>9954</v>
      </c>
    </row>
    <row r="9767" spans="1:1" x14ac:dyDescent="0.2">
      <c r="A9767">
        <v>9955</v>
      </c>
    </row>
    <row r="9768" spans="1:1" x14ac:dyDescent="0.2">
      <c r="A9768">
        <v>9956</v>
      </c>
    </row>
    <row r="9769" spans="1:1" x14ac:dyDescent="0.2">
      <c r="A9769">
        <v>9957</v>
      </c>
    </row>
    <row r="9770" spans="1:1" x14ac:dyDescent="0.2">
      <c r="A9770">
        <v>9958</v>
      </c>
    </row>
    <row r="9771" spans="1:1" x14ac:dyDescent="0.2">
      <c r="A9771">
        <v>9959</v>
      </c>
    </row>
    <row r="9772" spans="1:1" x14ac:dyDescent="0.2">
      <c r="A9772">
        <v>9960</v>
      </c>
    </row>
    <row r="9773" spans="1:1" x14ac:dyDescent="0.2">
      <c r="A9773">
        <v>9961</v>
      </c>
    </row>
    <row r="9774" spans="1:1" x14ac:dyDescent="0.2">
      <c r="A9774">
        <v>9962</v>
      </c>
    </row>
    <row r="9775" spans="1:1" x14ac:dyDescent="0.2">
      <c r="A9775">
        <v>9963</v>
      </c>
    </row>
    <row r="9776" spans="1:1" x14ac:dyDescent="0.2">
      <c r="A9776">
        <v>9964</v>
      </c>
    </row>
    <row r="9777" spans="1:1" x14ac:dyDescent="0.2">
      <c r="A9777">
        <v>9965</v>
      </c>
    </row>
    <row r="9778" spans="1:1" x14ac:dyDescent="0.2">
      <c r="A9778">
        <v>9966</v>
      </c>
    </row>
    <row r="9779" spans="1:1" x14ac:dyDescent="0.2">
      <c r="A9779">
        <v>9967</v>
      </c>
    </row>
    <row r="9780" spans="1:1" x14ac:dyDescent="0.2">
      <c r="A9780">
        <v>9968</v>
      </c>
    </row>
    <row r="9781" spans="1:1" x14ac:dyDescent="0.2">
      <c r="A9781">
        <v>9969</v>
      </c>
    </row>
    <row r="9782" spans="1:1" x14ac:dyDescent="0.2">
      <c r="A9782">
        <v>9970</v>
      </c>
    </row>
    <row r="9783" spans="1:1" x14ac:dyDescent="0.2">
      <c r="A9783">
        <v>9971</v>
      </c>
    </row>
    <row r="9784" spans="1:1" x14ac:dyDescent="0.2">
      <c r="A9784">
        <v>9972</v>
      </c>
    </row>
    <row r="9785" spans="1:1" x14ac:dyDescent="0.2">
      <c r="A9785">
        <v>9973</v>
      </c>
    </row>
    <row r="9786" spans="1:1" x14ac:dyDescent="0.2">
      <c r="A9786">
        <v>9974</v>
      </c>
    </row>
    <row r="9787" spans="1:1" x14ac:dyDescent="0.2">
      <c r="A9787">
        <v>9975</v>
      </c>
    </row>
    <row r="9788" spans="1:1" x14ac:dyDescent="0.2">
      <c r="A9788">
        <v>9976</v>
      </c>
    </row>
    <row r="9789" spans="1:1" x14ac:dyDescent="0.2">
      <c r="A9789">
        <v>9977</v>
      </c>
    </row>
    <row r="9790" spans="1:1" x14ac:dyDescent="0.2">
      <c r="A9790">
        <v>9978</v>
      </c>
    </row>
    <row r="9791" spans="1:1" x14ac:dyDescent="0.2">
      <c r="A9791">
        <v>9979</v>
      </c>
    </row>
    <row r="9792" spans="1:1" x14ac:dyDescent="0.2">
      <c r="A9792">
        <v>9980</v>
      </c>
    </row>
    <row r="9793" spans="1:1" x14ac:dyDescent="0.2">
      <c r="A9793">
        <v>9981</v>
      </c>
    </row>
    <row r="9794" spans="1:1" x14ac:dyDescent="0.2">
      <c r="A9794">
        <v>9982</v>
      </c>
    </row>
    <row r="9795" spans="1:1" x14ac:dyDescent="0.2">
      <c r="A9795">
        <v>9983</v>
      </c>
    </row>
    <row r="9796" spans="1:1" x14ac:dyDescent="0.2">
      <c r="A9796">
        <v>9984</v>
      </c>
    </row>
    <row r="9797" spans="1:1" x14ac:dyDescent="0.2">
      <c r="A9797">
        <v>9985</v>
      </c>
    </row>
    <row r="9798" spans="1:1" x14ac:dyDescent="0.2">
      <c r="A9798">
        <v>9986</v>
      </c>
    </row>
    <row r="9799" spans="1:1" x14ac:dyDescent="0.2">
      <c r="A9799">
        <v>9987</v>
      </c>
    </row>
    <row r="9800" spans="1:1" x14ac:dyDescent="0.2">
      <c r="A9800">
        <v>9988</v>
      </c>
    </row>
    <row r="9801" spans="1:1" x14ac:dyDescent="0.2">
      <c r="A9801">
        <v>9989</v>
      </c>
    </row>
    <row r="9802" spans="1:1" x14ac:dyDescent="0.2">
      <c r="A9802">
        <v>9990</v>
      </c>
    </row>
    <row r="9803" spans="1:1" x14ac:dyDescent="0.2">
      <c r="A9803">
        <v>9991</v>
      </c>
    </row>
    <row r="9804" spans="1:1" x14ac:dyDescent="0.2">
      <c r="A9804">
        <v>9992</v>
      </c>
    </row>
    <row r="9805" spans="1:1" x14ac:dyDescent="0.2">
      <c r="A9805">
        <v>9993</v>
      </c>
    </row>
    <row r="9806" spans="1:1" x14ac:dyDescent="0.2">
      <c r="A9806">
        <v>9994</v>
      </c>
    </row>
    <row r="9807" spans="1:1" x14ac:dyDescent="0.2">
      <c r="A9807">
        <v>9995</v>
      </c>
    </row>
    <row r="9808" spans="1:1" x14ac:dyDescent="0.2">
      <c r="A9808">
        <v>9996</v>
      </c>
    </row>
    <row r="9809" spans="1:1" x14ac:dyDescent="0.2">
      <c r="A9809">
        <v>9997</v>
      </c>
    </row>
    <row r="9810" spans="1:1" x14ac:dyDescent="0.2">
      <c r="A9810">
        <v>9998</v>
      </c>
    </row>
    <row r="9811" spans="1:1" x14ac:dyDescent="0.2">
      <c r="A9811">
        <v>9999</v>
      </c>
    </row>
    <row r="9812" spans="1:1" x14ac:dyDescent="0.2">
      <c r="A9812">
        <v>10000</v>
      </c>
    </row>
    <row r="9813" spans="1:1" x14ac:dyDescent="0.2">
      <c r="A9813">
        <v>10001</v>
      </c>
    </row>
    <row r="9814" spans="1:1" x14ac:dyDescent="0.2">
      <c r="A9814">
        <v>10002</v>
      </c>
    </row>
    <row r="9815" spans="1:1" x14ac:dyDescent="0.2">
      <c r="A9815">
        <v>10003</v>
      </c>
    </row>
    <row r="9816" spans="1:1" x14ac:dyDescent="0.2">
      <c r="A9816">
        <v>10004</v>
      </c>
    </row>
    <row r="9817" spans="1:1" x14ac:dyDescent="0.2">
      <c r="A9817">
        <v>10005</v>
      </c>
    </row>
    <row r="9818" spans="1:1" x14ac:dyDescent="0.2">
      <c r="A9818">
        <v>10006</v>
      </c>
    </row>
    <row r="9819" spans="1:1" x14ac:dyDescent="0.2">
      <c r="A9819">
        <v>10007</v>
      </c>
    </row>
    <row r="9820" spans="1:1" x14ac:dyDescent="0.2">
      <c r="A9820">
        <v>10008</v>
      </c>
    </row>
    <row r="9821" spans="1:1" x14ac:dyDescent="0.2">
      <c r="A9821">
        <v>10009</v>
      </c>
    </row>
    <row r="9822" spans="1:1" x14ac:dyDescent="0.2">
      <c r="A9822">
        <v>10010</v>
      </c>
    </row>
    <row r="9823" spans="1:1" x14ac:dyDescent="0.2">
      <c r="A9823">
        <v>10011</v>
      </c>
    </row>
    <row r="9824" spans="1:1" x14ac:dyDescent="0.2">
      <c r="A9824">
        <v>10012</v>
      </c>
    </row>
    <row r="9825" spans="1:1" x14ac:dyDescent="0.2">
      <c r="A9825">
        <v>10013</v>
      </c>
    </row>
    <row r="9826" spans="1:1" x14ac:dyDescent="0.2">
      <c r="A9826">
        <v>10014</v>
      </c>
    </row>
    <row r="9827" spans="1:1" x14ac:dyDescent="0.2">
      <c r="A9827">
        <v>10015</v>
      </c>
    </row>
    <row r="9828" spans="1:1" x14ac:dyDescent="0.2">
      <c r="A9828">
        <v>10016</v>
      </c>
    </row>
    <row r="9829" spans="1:1" x14ac:dyDescent="0.2">
      <c r="A9829">
        <v>10017</v>
      </c>
    </row>
    <row r="9830" spans="1:1" x14ac:dyDescent="0.2">
      <c r="A9830">
        <v>10018</v>
      </c>
    </row>
    <row r="9831" spans="1:1" x14ac:dyDescent="0.2">
      <c r="A9831">
        <v>10019</v>
      </c>
    </row>
    <row r="9832" spans="1:1" x14ac:dyDescent="0.2">
      <c r="A9832">
        <v>10020</v>
      </c>
    </row>
    <row r="9833" spans="1:1" x14ac:dyDescent="0.2">
      <c r="A9833">
        <v>10021</v>
      </c>
    </row>
    <row r="9834" spans="1:1" x14ac:dyDescent="0.2">
      <c r="A9834">
        <v>10022</v>
      </c>
    </row>
    <row r="9835" spans="1:1" x14ac:dyDescent="0.2">
      <c r="A9835">
        <v>10023</v>
      </c>
    </row>
    <row r="9836" spans="1:1" x14ac:dyDescent="0.2">
      <c r="A9836">
        <v>10024</v>
      </c>
    </row>
    <row r="9837" spans="1:1" x14ac:dyDescent="0.2">
      <c r="A9837">
        <v>10025</v>
      </c>
    </row>
    <row r="9838" spans="1:1" x14ac:dyDescent="0.2">
      <c r="A9838">
        <v>10026</v>
      </c>
    </row>
    <row r="9839" spans="1:1" x14ac:dyDescent="0.2">
      <c r="A9839">
        <v>10027</v>
      </c>
    </row>
    <row r="9840" spans="1:1" x14ac:dyDescent="0.2">
      <c r="A9840">
        <v>10028</v>
      </c>
    </row>
    <row r="9841" spans="1:1" x14ac:dyDescent="0.2">
      <c r="A9841">
        <v>10029</v>
      </c>
    </row>
    <row r="9842" spans="1:1" x14ac:dyDescent="0.2">
      <c r="A9842">
        <v>10030</v>
      </c>
    </row>
    <row r="9843" spans="1:1" x14ac:dyDescent="0.2">
      <c r="A9843">
        <v>10031</v>
      </c>
    </row>
    <row r="9844" spans="1:1" x14ac:dyDescent="0.2">
      <c r="A9844">
        <v>10032</v>
      </c>
    </row>
    <row r="9845" spans="1:1" x14ac:dyDescent="0.2">
      <c r="A9845">
        <v>10033</v>
      </c>
    </row>
    <row r="9846" spans="1:1" x14ac:dyDescent="0.2">
      <c r="A9846">
        <v>10034</v>
      </c>
    </row>
    <row r="9847" spans="1:1" x14ac:dyDescent="0.2">
      <c r="A9847">
        <v>10035</v>
      </c>
    </row>
    <row r="9848" spans="1:1" x14ac:dyDescent="0.2">
      <c r="A9848">
        <v>10036</v>
      </c>
    </row>
    <row r="9849" spans="1:1" x14ac:dyDescent="0.2">
      <c r="A9849">
        <v>10037</v>
      </c>
    </row>
    <row r="9850" spans="1:1" x14ac:dyDescent="0.2">
      <c r="A9850">
        <v>10038</v>
      </c>
    </row>
    <row r="9851" spans="1:1" x14ac:dyDescent="0.2">
      <c r="A9851">
        <v>10039</v>
      </c>
    </row>
    <row r="9852" spans="1:1" x14ac:dyDescent="0.2">
      <c r="A9852">
        <v>10040</v>
      </c>
    </row>
    <row r="9853" spans="1:1" x14ac:dyDescent="0.2">
      <c r="A9853">
        <v>10041</v>
      </c>
    </row>
    <row r="9854" spans="1:1" x14ac:dyDescent="0.2">
      <c r="A9854">
        <v>10042</v>
      </c>
    </row>
    <row r="9855" spans="1:1" x14ac:dyDescent="0.2">
      <c r="A9855">
        <v>10043</v>
      </c>
    </row>
    <row r="9856" spans="1:1" x14ac:dyDescent="0.2">
      <c r="A9856">
        <v>10044</v>
      </c>
    </row>
    <row r="9857" spans="1:1" x14ac:dyDescent="0.2">
      <c r="A9857">
        <v>10045</v>
      </c>
    </row>
    <row r="9858" spans="1:1" x14ac:dyDescent="0.2">
      <c r="A9858">
        <v>10046</v>
      </c>
    </row>
    <row r="9859" spans="1:1" x14ac:dyDescent="0.2">
      <c r="A9859">
        <v>10047</v>
      </c>
    </row>
    <row r="9860" spans="1:1" x14ac:dyDescent="0.2">
      <c r="A9860">
        <v>10048</v>
      </c>
    </row>
    <row r="9861" spans="1:1" x14ac:dyDescent="0.2">
      <c r="A9861">
        <v>10049</v>
      </c>
    </row>
    <row r="9862" spans="1:1" x14ac:dyDescent="0.2">
      <c r="A9862">
        <v>10050</v>
      </c>
    </row>
    <row r="9863" spans="1:1" x14ac:dyDescent="0.2">
      <c r="A9863">
        <v>10051</v>
      </c>
    </row>
    <row r="9864" spans="1:1" x14ac:dyDescent="0.2">
      <c r="A9864">
        <v>10052</v>
      </c>
    </row>
    <row r="9865" spans="1:1" x14ac:dyDescent="0.2">
      <c r="A9865">
        <v>10053</v>
      </c>
    </row>
    <row r="9866" spans="1:1" x14ac:dyDescent="0.2">
      <c r="A9866">
        <v>10054</v>
      </c>
    </row>
    <row r="9867" spans="1:1" x14ac:dyDescent="0.2">
      <c r="A9867">
        <v>10055</v>
      </c>
    </row>
    <row r="9868" spans="1:1" x14ac:dyDescent="0.2">
      <c r="A9868">
        <v>10056</v>
      </c>
    </row>
    <row r="9869" spans="1:1" x14ac:dyDescent="0.2">
      <c r="A9869">
        <v>10057</v>
      </c>
    </row>
    <row r="9870" spans="1:1" x14ac:dyDescent="0.2">
      <c r="A9870">
        <v>10058</v>
      </c>
    </row>
    <row r="9871" spans="1:1" x14ac:dyDescent="0.2">
      <c r="A9871">
        <v>10059</v>
      </c>
    </row>
    <row r="9872" spans="1:1" x14ac:dyDescent="0.2">
      <c r="A9872">
        <v>10060</v>
      </c>
    </row>
    <row r="9873" spans="1:1" x14ac:dyDescent="0.2">
      <c r="A9873">
        <v>10061</v>
      </c>
    </row>
    <row r="9874" spans="1:1" x14ac:dyDescent="0.2">
      <c r="A9874">
        <v>10062</v>
      </c>
    </row>
    <row r="9875" spans="1:1" x14ac:dyDescent="0.2">
      <c r="A9875">
        <v>10063</v>
      </c>
    </row>
    <row r="9876" spans="1:1" x14ac:dyDescent="0.2">
      <c r="A9876">
        <v>10064</v>
      </c>
    </row>
    <row r="9877" spans="1:1" x14ac:dyDescent="0.2">
      <c r="A9877">
        <v>10065</v>
      </c>
    </row>
    <row r="9878" spans="1:1" x14ac:dyDescent="0.2">
      <c r="A9878">
        <v>10066</v>
      </c>
    </row>
    <row r="9879" spans="1:1" x14ac:dyDescent="0.2">
      <c r="A9879">
        <v>10067</v>
      </c>
    </row>
    <row r="9880" spans="1:1" x14ac:dyDescent="0.2">
      <c r="A9880">
        <v>10068</v>
      </c>
    </row>
    <row r="9881" spans="1:1" x14ac:dyDescent="0.2">
      <c r="A9881">
        <v>10069</v>
      </c>
    </row>
    <row r="9882" spans="1:1" x14ac:dyDescent="0.2">
      <c r="A9882">
        <v>10070</v>
      </c>
    </row>
    <row r="9883" spans="1:1" x14ac:dyDescent="0.2">
      <c r="A9883">
        <v>10071</v>
      </c>
    </row>
    <row r="9884" spans="1:1" x14ac:dyDescent="0.2">
      <c r="A9884">
        <v>10072</v>
      </c>
    </row>
    <row r="9885" spans="1:1" x14ac:dyDescent="0.2">
      <c r="A9885">
        <v>10073</v>
      </c>
    </row>
    <row r="9886" spans="1:1" x14ac:dyDescent="0.2">
      <c r="A9886">
        <v>10074</v>
      </c>
    </row>
    <row r="9887" spans="1:1" x14ac:dyDescent="0.2">
      <c r="A9887">
        <v>10075</v>
      </c>
    </row>
    <row r="9888" spans="1:1" x14ac:dyDescent="0.2">
      <c r="A9888">
        <v>10076</v>
      </c>
    </row>
    <row r="9889" spans="1:1" x14ac:dyDescent="0.2">
      <c r="A9889">
        <v>10077</v>
      </c>
    </row>
    <row r="9890" spans="1:1" x14ac:dyDescent="0.2">
      <c r="A9890">
        <v>10078</v>
      </c>
    </row>
    <row r="9891" spans="1:1" x14ac:dyDescent="0.2">
      <c r="A9891">
        <v>10079</v>
      </c>
    </row>
    <row r="9892" spans="1:1" x14ac:dyDescent="0.2">
      <c r="A9892">
        <v>10080</v>
      </c>
    </row>
    <row r="9893" spans="1:1" x14ac:dyDescent="0.2">
      <c r="A9893">
        <v>10081</v>
      </c>
    </row>
    <row r="9894" spans="1:1" x14ac:dyDescent="0.2">
      <c r="A9894">
        <v>10082</v>
      </c>
    </row>
    <row r="9895" spans="1:1" x14ac:dyDescent="0.2">
      <c r="A9895">
        <v>10083</v>
      </c>
    </row>
    <row r="9896" spans="1:1" x14ac:dyDescent="0.2">
      <c r="A9896">
        <v>10084</v>
      </c>
    </row>
    <row r="9897" spans="1:1" x14ac:dyDescent="0.2">
      <c r="A9897">
        <v>10085</v>
      </c>
    </row>
    <row r="9898" spans="1:1" x14ac:dyDescent="0.2">
      <c r="A9898">
        <v>10086</v>
      </c>
    </row>
    <row r="9899" spans="1:1" x14ac:dyDescent="0.2">
      <c r="A9899">
        <v>10087</v>
      </c>
    </row>
    <row r="9900" spans="1:1" x14ac:dyDescent="0.2">
      <c r="A9900">
        <v>10088</v>
      </c>
    </row>
    <row r="9901" spans="1:1" x14ac:dyDescent="0.2">
      <c r="A9901">
        <v>10089</v>
      </c>
    </row>
    <row r="9902" spans="1:1" x14ac:dyDescent="0.2">
      <c r="A9902">
        <v>10090</v>
      </c>
    </row>
    <row r="9903" spans="1:1" x14ac:dyDescent="0.2">
      <c r="A9903">
        <v>10091</v>
      </c>
    </row>
    <row r="9904" spans="1:1" x14ac:dyDescent="0.2">
      <c r="A9904">
        <v>10092</v>
      </c>
    </row>
    <row r="9905" spans="1:1" x14ac:dyDescent="0.2">
      <c r="A9905">
        <v>10093</v>
      </c>
    </row>
    <row r="9906" spans="1:1" x14ac:dyDescent="0.2">
      <c r="A9906">
        <v>10094</v>
      </c>
    </row>
    <row r="9907" spans="1:1" x14ac:dyDescent="0.2">
      <c r="A9907">
        <v>10095</v>
      </c>
    </row>
    <row r="9908" spans="1:1" x14ac:dyDescent="0.2">
      <c r="A9908">
        <v>10096</v>
      </c>
    </row>
    <row r="9909" spans="1:1" x14ac:dyDescent="0.2">
      <c r="A9909">
        <v>10097</v>
      </c>
    </row>
    <row r="9910" spans="1:1" x14ac:dyDescent="0.2">
      <c r="A9910">
        <v>10098</v>
      </c>
    </row>
    <row r="9911" spans="1:1" x14ac:dyDescent="0.2">
      <c r="A9911">
        <v>10099</v>
      </c>
    </row>
    <row r="9912" spans="1:1" x14ac:dyDescent="0.2">
      <c r="A9912">
        <v>10100</v>
      </c>
    </row>
    <row r="9913" spans="1:1" x14ac:dyDescent="0.2">
      <c r="A9913">
        <v>10101</v>
      </c>
    </row>
    <row r="9914" spans="1:1" x14ac:dyDescent="0.2">
      <c r="A9914">
        <v>10102</v>
      </c>
    </row>
    <row r="9915" spans="1:1" x14ac:dyDescent="0.2">
      <c r="A9915">
        <v>10103</v>
      </c>
    </row>
    <row r="9916" spans="1:1" x14ac:dyDescent="0.2">
      <c r="A9916">
        <v>10104</v>
      </c>
    </row>
    <row r="9917" spans="1:1" x14ac:dyDescent="0.2">
      <c r="A9917">
        <v>10105</v>
      </c>
    </row>
    <row r="9918" spans="1:1" x14ac:dyDescent="0.2">
      <c r="A9918">
        <v>10106</v>
      </c>
    </row>
    <row r="9919" spans="1:1" x14ac:dyDescent="0.2">
      <c r="A9919">
        <v>10107</v>
      </c>
    </row>
    <row r="9920" spans="1:1" x14ac:dyDescent="0.2">
      <c r="A9920">
        <v>10108</v>
      </c>
    </row>
    <row r="9921" spans="1:1" x14ac:dyDescent="0.2">
      <c r="A9921">
        <v>10109</v>
      </c>
    </row>
    <row r="9922" spans="1:1" x14ac:dyDescent="0.2">
      <c r="A9922">
        <v>10110</v>
      </c>
    </row>
    <row r="9923" spans="1:1" x14ac:dyDescent="0.2">
      <c r="A9923">
        <v>10111</v>
      </c>
    </row>
    <row r="9924" spans="1:1" x14ac:dyDescent="0.2">
      <c r="A9924">
        <v>10112</v>
      </c>
    </row>
    <row r="9925" spans="1:1" x14ac:dyDescent="0.2">
      <c r="A9925">
        <v>10113</v>
      </c>
    </row>
    <row r="9926" spans="1:1" x14ac:dyDescent="0.2">
      <c r="A9926">
        <v>10114</v>
      </c>
    </row>
    <row r="9927" spans="1:1" x14ac:dyDescent="0.2">
      <c r="A9927">
        <v>10115</v>
      </c>
    </row>
    <row r="9928" spans="1:1" x14ac:dyDescent="0.2">
      <c r="A9928">
        <v>10116</v>
      </c>
    </row>
    <row r="9929" spans="1:1" x14ac:dyDescent="0.2">
      <c r="A9929">
        <v>10117</v>
      </c>
    </row>
    <row r="9930" spans="1:1" x14ac:dyDescent="0.2">
      <c r="A9930">
        <v>10118</v>
      </c>
    </row>
    <row r="9931" spans="1:1" x14ac:dyDescent="0.2">
      <c r="A9931">
        <v>10119</v>
      </c>
    </row>
    <row r="9932" spans="1:1" x14ac:dyDescent="0.2">
      <c r="A9932">
        <v>10120</v>
      </c>
    </row>
    <row r="9933" spans="1:1" x14ac:dyDescent="0.2">
      <c r="A9933">
        <v>10121</v>
      </c>
    </row>
    <row r="9934" spans="1:1" x14ac:dyDescent="0.2">
      <c r="A9934">
        <v>10122</v>
      </c>
    </row>
    <row r="9935" spans="1:1" x14ac:dyDescent="0.2">
      <c r="A9935">
        <v>10123</v>
      </c>
    </row>
    <row r="9936" spans="1:1" x14ac:dyDescent="0.2">
      <c r="A9936">
        <v>10124</v>
      </c>
    </row>
    <row r="9937" spans="1:1" x14ac:dyDescent="0.2">
      <c r="A9937">
        <v>10125</v>
      </c>
    </row>
    <row r="9938" spans="1:1" x14ac:dyDescent="0.2">
      <c r="A9938">
        <v>10126</v>
      </c>
    </row>
    <row r="9939" spans="1:1" x14ac:dyDescent="0.2">
      <c r="A9939">
        <v>10127</v>
      </c>
    </row>
    <row r="9940" spans="1:1" x14ac:dyDescent="0.2">
      <c r="A9940">
        <v>10128</v>
      </c>
    </row>
    <row r="9941" spans="1:1" x14ac:dyDescent="0.2">
      <c r="A9941">
        <v>10129</v>
      </c>
    </row>
    <row r="9942" spans="1:1" x14ac:dyDescent="0.2">
      <c r="A9942">
        <v>10130</v>
      </c>
    </row>
    <row r="9943" spans="1:1" x14ac:dyDescent="0.2">
      <c r="A9943">
        <v>10131</v>
      </c>
    </row>
    <row r="9944" spans="1:1" x14ac:dyDescent="0.2">
      <c r="A9944">
        <v>10132</v>
      </c>
    </row>
    <row r="9945" spans="1:1" x14ac:dyDescent="0.2">
      <c r="A9945">
        <v>10133</v>
      </c>
    </row>
    <row r="9946" spans="1:1" x14ac:dyDescent="0.2">
      <c r="A9946">
        <v>10134</v>
      </c>
    </row>
    <row r="9947" spans="1:1" x14ac:dyDescent="0.2">
      <c r="A9947">
        <v>10135</v>
      </c>
    </row>
    <row r="9948" spans="1:1" x14ac:dyDescent="0.2">
      <c r="A9948">
        <v>10136</v>
      </c>
    </row>
    <row r="9949" spans="1:1" x14ac:dyDescent="0.2">
      <c r="A9949">
        <v>10137</v>
      </c>
    </row>
    <row r="9950" spans="1:1" x14ac:dyDescent="0.2">
      <c r="A9950">
        <v>10138</v>
      </c>
    </row>
    <row r="9951" spans="1:1" x14ac:dyDescent="0.2">
      <c r="A9951">
        <v>10139</v>
      </c>
    </row>
    <row r="9952" spans="1:1" x14ac:dyDescent="0.2">
      <c r="A9952">
        <v>10140</v>
      </c>
    </row>
    <row r="9953" spans="1:1" x14ac:dyDescent="0.2">
      <c r="A9953">
        <v>10141</v>
      </c>
    </row>
    <row r="9954" spans="1:1" x14ac:dyDescent="0.2">
      <c r="A9954">
        <v>10142</v>
      </c>
    </row>
    <row r="9955" spans="1:1" x14ac:dyDescent="0.2">
      <c r="A9955">
        <v>10143</v>
      </c>
    </row>
    <row r="9956" spans="1:1" x14ac:dyDescent="0.2">
      <c r="A9956">
        <v>10144</v>
      </c>
    </row>
    <row r="9957" spans="1:1" x14ac:dyDescent="0.2">
      <c r="A9957">
        <v>10145</v>
      </c>
    </row>
    <row r="9958" spans="1:1" x14ac:dyDescent="0.2">
      <c r="A9958">
        <v>10146</v>
      </c>
    </row>
    <row r="9959" spans="1:1" x14ac:dyDescent="0.2">
      <c r="A9959">
        <v>10147</v>
      </c>
    </row>
    <row r="9960" spans="1:1" x14ac:dyDescent="0.2">
      <c r="A9960">
        <v>10148</v>
      </c>
    </row>
    <row r="9961" spans="1:1" x14ac:dyDescent="0.2">
      <c r="A9961">
        <v>10149</v>
      </c>
    </row>
    <row r="9962" spans="1:1" x14ac:dyDescent="0.2">
      <c r="A9962">
        <v>10150</v>
      </c>
    </row>
    <row r="9963" spans="1:1" x14ac:dyDescent="0.2">
      <c r="A9963">
        <v>10151</v>
      </c>
    </row>
    <row r="9964" spans="1:1" x14ac:dyDescent="0.2">
      <c r="A9964">
        <v>10152</v>
      </c>
    </row>
    <row r="9965" spans="1:1" x14ac:dyDescent="0.2">
      <c r="A9965">
        <v>10153</v>
      </c>
    </row>
    <row r="9966" spans="1:1" x14ac:dyDescent="0.2">
      <c r="A9966">
        <v>10154</v>
      </c>
    </row>
    <row r="9967" spans="1:1" x14ac:dyDescent="0.2">
      <c r="A9967">
        <v>10155</v>
      </c>
    </row>
    <row r="9968" spans="1:1" x14ac:dyDescent="0.2">
      <c r="A9968">
        <v>10156</v>
      </c>
    </row>
    <row r="9969" spans="1:1" x14ac:dyDescent="0.2">
      <c r="A9969">
        <v>10157</v>
      </c>
    </row>
    <row r="9970" spans="1:1" x14ac:dyDescent="0.2">
      <c r="A9970">
        <v>10158</v>
      </c>
    </row>
    <row r="9971" spans="1:1" x14ac:dyDescent="0.2">
      <c r="A9971">
        <v>10159</v>
      </c>
    </row>
    <row r="9972" spans="1:1" x14ac:dyDescent="0.2">
      <c r="A9972">
        <v>10160</v>
      </c>
    </row>
    <row r="9973" spans="1:1" x14ac:dyDescent="0.2">
      <c r="A9973">
        <v>10161</v>
      </c>
    </row>
    <row r="9974" spans="1:1" x14ac:dyDescent="0.2">
      <c r="A9974">
        <v>10162</v>
      </c>
    </row>
    <row r="9975" spans="1:1" x14ac:dyDescent="0.2">
      <c r="A9975">
        <v>10163</v>
      </c>
    </row>
    <row r="9976" spans="1:1" x14ac:dyDescent="0.2">
      <c r="A9976">
        <v>10164</v>
      </c>
    </row>
    <row r="9977" spans="1:1" x14ac:dyDescent="0.2">
      <c r="A9977">
        <v>10165</v>
      </c>
    </row>
    <row r="9978" spans="1:1" x14ac:dyDescent="0.2">
      <c r="A9978">
        <v>10166</v>
      </c>
    </row>
    <row r="9979" spans="1:1" x14ac:dyDescent="0.2">
      <c r="A9979">
        <v>10167</v>
      </c>
    </row>
    <row r="9980" spans="1:1" x14ac:dyDescent="0.2">
      <c r="A9980">
        <v>10168</v>
      </c>
    </row>
    <row r="9981" spans="1:1" x14ac:dyDescent="0.2">
      <c r="A9981">
        <v>10169</v>
      </c>
    </row>
    <row r="9982" spans="1:1" x14ac:dyDescent="0.2">
      <c r="A9982">
        <v>10170</v>
      </c>
    </row>
    <row r="9983" spans="1:1" x14ac:dyDescent="0.2">
      <c r="A9983">
        <v>10171</v>
      </c>
    </row>
    <row r="9984" spans="1:1" x14ac:dyDescent="0.2">
      <c r="A9984">
        <v>10172</v>
      </c>
    </row>
    <row r="9985" spans="1:1" x14ac:dyDescent="0.2">
      <c r="A9985">
        <v>10173</v>
      </c>
    </row>
    <row r="9986" spans="1:1" x14ac:dyDescent="0.2">
      <c r="A9986">
        <v>10174</v>
      </c>
    </row>
    <row r="9987" spans="1:1" x14ac:dyDescent="0.2">
      <c r="A9987">
        <v>10175</v>
      </c>
    </row>
    <row r="9988" spans="1:1" x14ac:dyDescent="0.2">
      <c r="A9988">
        <v>10176</v>
      </c>
    </row>
    <row r="9989" spans="1:1" x14ac:dyDescent="0.2">
      <c r="A9989">
        <v>10177</v>
      </c>
    </row>
    <row r="9990" spans="1:1" x14ac:dyDescent="0.2">
      <c r="A9990">
        <v>10178</v>
      </c>
    </row>
    <row r="9991" spans="1:1" x14ac:dyDescent="0.2">
      <c r="A9991">
        <v>10179</v>
      </c>
    </row>
    <row r="9992" spans="1:1" x14ac:dyDescent="0.2">
      <c r="A9992">
        <v>10180</v>
      </c>
    </row>
    <row r="9993" spans="1:1" x14ac:dyDescent="0.2">
      <c r="A9993">
        <v>10181</v>
      </c>
    </row>
    <row r="9994" spans="1:1" x14ac:dyDescent="0.2">
      <c r="A9994">
        <v>10182</v>
      </c>
    </row>
    <row r="9995" spans="1:1" x14ac:dyDescent="0.2">
      <c r="A9995">
        <v>10183</v>
      </c>
    </row>
    <row r="9996" spans="1:1" x14ac:dyDescent="0.2">
      <c r="A9996">
        <v>10184</v>
      </c>
    </row>
    <row r="9997" spans="1:1" x14ac:dyDescent="0.2">
      <c r="A9997">
        <v>10185</v>
      </c>
    </row>
    <row r="9998" spans="1:1" x14ac:dyDescent="0.2">
      <c r="A9998">
        <v>10186</v>
      </c>
    </row>
    <row r="9999" spans="1:1" x14ac:dyDescent="0.2">
      <c r="A9999">
        <v>10187</v>
      </c>
    </row>
    <row r="10000" spans="1:1" x14ac:dyDescent="0.2">
      <c r="A10000">
        <v>10188</v>
      </c>
    </row>
    <row r="10001" spans="1:1" x14ac:dyDescent="0.2">
      <c r="A10001">
        <v>10189</v>
      </c>
    </row>
    <row r="10002" spans="1:1" x14ac:dyDescent="0.2">
      <c r="A10002">
        <v>10190</v>
      </c>
    </row>
    <row r="10003" spans="1:1" x14ac:dyDescent="0.2">
      <c r="A10003">
        <v>10191</v>
      </c>
    </row>
    <row r="10004" spans="1:1" x14ac:dyDescent="0.2">
      <c r="A10004">
        <v>10192</v>
      </c>
    </row>
    <row r="10005" spans="1:1" x14ac:dyDescent="0.2">
      <c r="A10005">
        <v>10193</v>
      </c>
    </row>
    <row r="10006" spans="1:1" x14ac:dyDescent="0.2">
      <c r="A10006">
        <v>10194</v>
      </c>
    </row>
    <row r="10007" spans="1:1" x14ac:dyDescent="0.2">
      <c r="A10007">
        <v>10195</v>
      </c>
    </row>
    <row r="10008" spans="1:1" x14ac:dyDescent="0.2">
      <c r="A10008">
        <v>10196</v>
      </c>
    </row>
    <row r="10009" spans="1:1" x14ac:dyDescent="0.2">
      <c r="A10009">
        <v>10197</v>
      </c>
    </row>
    <row r="10010" spans="1:1" x14ac:dyDescent="0.2">
      <c r="A10010">
        <v>10198</v>
      </c>
    </row>
    <row r="10011" spans="1:1" x14ac:dyDescent="0.2">
      <c r="A10011">
        <v>10199</v>
      </c>
    </row>
    <row r="10012" spans="1:1" x14ac:dyDescent="0.2">
      <c r="A10012">
        <v>10200</v>
      </c>
    </row>
    <row r="10013" spans="1:1" x14ac:dyDescent="0.2">
      <c r="A10013">
        <v>10201</v>
      </c>
    </row>
    <row r="10014" spans="1:1" x14ac:dyDescent="0.2">
      <c r="A10014">
        <v>10202</v>
      </c>
    </row>
    <row r="10015" spans="1:1" x14ac:dyDescent="0.2">
      <c r="A10015">
        <v>10203</v>
      </c>
    </row>
    <row r="10016" spans="1:1" x14ac:dyDescent="0.2">
      <c r="A10016">
        <v>10204</v>
      </c>
    </row>
    <row r="10017" spans="1:1" x14ac:dyDescent="0.2">
      <c r="A10017">
        <v>10205</v>
      </c>
    </row>
    <row r="10018" spans="1:1" x14ac:dyDescent="0.2">
      <c r="A10018">
        <v>10206</v>
      </c>
    </row>
    <row r="10019" spans="1:1" x14ac:dyDescent="0.2">
      <c r="A10019">
        <v>10207</v>
      </c>
    </row>
    <row r="10020" spans="1:1" x14ac:dyDescent="0.2">
      <c r="A10020">
        <v>10208</v>
      </c>
    </row>
    <row r="10021" spans="1:1" x14ac:dyDescent="0.2">
      <c r="A10021">
        <v>10209</v>
      </c>
    </row>
    <row r="10022" spans="1:1" x14ac:dyDescent="0.2">
      <c r="A10022">
        <v>10210</v>
      </c>
    </row>
    <row r="10023" spans="1:1" x14ac:dyDescent="0.2">
      <c r="A10023">
        <v>10211</v>
      </c>
    </row>
    <row r="10024" spans="1:1" x14ac:dyDescent="0.2">
      <c r="A10024">
        <v>10212</v>
      </c>
    </row>
    <row r="10025" spans="1:1" x14ac:dyDescent="0.2">
      <c r="A10025">
        <v>10213</v>
      </c>
    </row>
    <row r="10026" spans="1:1" x14ac:dyDescent="0.2">
      <c r="A10026">
        <v>10214</v>
      </c>
    </row>
    <row r="10027" spans="1:1" x14ac:dyDescent="0.2">
      <c r="A10027">
        <v>10215</v>
      </c>
    </row>
    <row r="10028" spans="1:1" x14ac:dyDescent="0.2">
      <c r="A10028">
        <v>10216</v>
      </c>
    </row>
    <row r="10029" spans="1:1" x14ac:dyDescent="0.2">
      <c r="A10029">
        <v>10217</v>
      </c>
    </row>
    <row r="10030" spans="1:1" x14ac:dyDescent="0.2">
      <c r="A10030">
        <v>10218</v>
      </c>
    </row>
    <row r="10031" spans="1:1" x14ac:dyDescent="0.2">
      <c r="A10031">
        <v>10219</v>
      </c>
    </row>
    <row r="10032" spans="1:1" x14ac:dyDescent="0.2">
      <c r="A10032">
        <v>10220</v>
      </c>
    </row>
    <row r="10033" spans="1:1" x14ac:dyDescent="0.2">
      <c r="A10033">
        <v>10221</v>
      </c>
    </row>
    <row r="10034" spans="1:1" x14ac:dyDescent="0.2">
      <c r="A10034">
        <v>10222</v>
      </c>
    </row>
    <row r="10035" spans="1:1" x14ac:dyDescent="0.2">
      <c r="A10035">
        <v>10223</v>
      </c>
    </row>
    <row r="10036" spans="1:1" x14ac:dyDescent="0.2">
      <c r="A10036">
        <v>10224</v>
      </c>
    </row>
    <row r="10037" spans="1:1" x14ac:dyDescent="0.2">
      <c r="A10037">
        <v>10225</v>
      </c>
    </row>
    <row r="10038" spans="1:1" x14ac:dyDescent="0.2">
      <c r="A10038">
        <v>10226</v>
      </c>
    </row>
    <row r="10039" spans="1:1" x14ac:dyDescent="0.2">
      <c r="A10039">
        <v>10227</v>
      </c>
    </row>
    <row r="10040" spans="1:1" x14ac:dyDescent="0.2">
      <c r="A10040">
        <v>10228</v>
      </c>
    </row>
    <row r="10041" spans="1:1" x14ac:dyDescent="0.2">
      <c r="A10041">
        <v>10229</v>
      </c>
    </row>
    <row r="10042" spans="1:1" x14ac:dyDescent="0.2">
      <c r="A10042">
        <v>10230</v>
      </c>
    </row>
    <row r="10043" spans="1:1" x14ac:dyDescent="0.2">
      <c r="A10043">
        <v>10231</v>
      </c>
    </row>
    <row r="10044" spans="1:1" x14ac:dyDescent="0.2">
      <c r="A10044">
        <v>10232</v>
      </c>
    </row>
    <row r="10045" spans="1:1" x14ac:dyDescent="0.2">
      <c r="A10045">
        <v>10233</v>
      </c>
    </row>
    <row r="10046" spans="1:1" x14ac:dyDescent="0.2">
      <c r="A10046">
        <v>10234</v>
      </c>
    </row>
    <row r="10047" spans="1:1" x14ac:dyDescent="0.2">
      <c r="A10047">
        <v>10235</v>
      </c>
    </row>
    <row r="10048" spans="1:1" x14ac:dyDescent="0.2">
      <c r="A10048">
        <v>10236</v>
      </c>
    </row>
    <row r="10049" spans="1:1" x14ac:dyDescent="0.2">
      <c r="A10049">
        <v>10237</v>
      </c>
    </row>
    <row r="10050" spans="1:1" x14ac:dyDescent="0.2">
      <c r="A10050">
        <v>10238</v>
      </c>
    </row>
    <row r="10051" spans="1:1" x14ac:dyDescent="0.2">
      <c r="A10051">
        <v>10239</v>
      </c>
    </row>
    <row r="10052" spans="1:1" x14ac:dyDescent="0.2">
      <c r="A10052">
        <v>10240</v>
      </c>
    </row>
    <row r="10053" spans="1:1" x14ac:dyDescent="0.2">
      <c r="A10053">
        <v>10241</v>
      </c>
    </row>
    <row r="10054" spans="1:1" x14ac:dyDescent="0.2">
      <c r="A10054">
        <v>10242</v>
      </c>
    </row>
    <row r="10055" spans="1:1" x14ac:dyDescent="0.2">
      <c r="A10055">
        <v>10243</v>
      </c>
    </row>
    <row r="10056" spans="1:1" x14ac:dyDescent="0.2">
      <c r="A10056">
        <v>10244</v>
      </c>
    </row>
    <row r="10057" spans="1:1" x14ac:dyDescent="0.2">
      <c r="A10057">
        <v>10245</v>
      </c>
    </row>
    <row r="10058" spans="1:1" x14ac:dyDescent="0.2">
      <c r="A10058">
        <v>10246</v>
      </c>
    </row>
    <row r="10059" spans="1:1" x14ac:dyDescent="0.2">
      <c r="A10059">
        <v>10247</v>
      </c>
    </row>
    <row r="10060" spans="1:1" x14ac:dyDescent="0.2">
      <c r="A10060">
        <v>10248</v>
      </c>
    </row>
    <row r="10061" spans="1:1" x14ac:dyDescent="0.2">
      <c r="A10061">
        <v>10249</v>
      </c>
    </row>
    <row r="10062" spans="1:1" x14ac:dyDescent="0.2">
      <c r="A10062">
        <v>10250</v>
      </c>
    </row>
    <row r="10063" spans="1:1" x14ac:dyDescent="0.2">
      <c r="A10063">
        <v>10251</v>
      </c>
    </row>
    <row r="10064" spans="1:1" x14ac:dyDescent="0.2">
      <c r="A10064">
        <v>10252</v>
      </c>
    </row>
    <row r="10065" spans="1:1" x14ac:dyDescent="0.2">
      <c r="A10065">
        <v>10253</v>
      </c>
    </row>
    <row r="10066" spans="1:1" x14ac:dyDescent="0.2">
      <c r="A10066">
        <v>10254</v>
      </c>
    </row>
    <row r="10067" spans="1:1" x14ac:dyDescent="0.2">
      <c r="A10067">
        <v>10255</v>
      </c>
    </row>
    <row r="10068" spans="1:1" x14ac:dyDescent="0.2">
      <c r="A10068">
        <v>10256</v>
      </c>
    </row>
    <row r="10069" spans="1:1" x14ac:dyDescent="0.2">
      <c r="A10069">
        <v>10257</v>
      </c>
    </row>
    <row r="10070" spans="1:1" x14ac:dyDescent="0.2">
      <c r="A10070">
        <v>10258</v>
      </c>
    </row>
    <row r="10071" spans="1:1" x14ac:dyDescent="0.2">
      <c r="A10071">
        <v>10259</v>
      </c>
    </row>
    <row r="10072" spans="1:1" x14ac:dyDescent="0.2">
      <c r="A10072">
        <v>10260</v>
      </c>
    </row>
    <row r="10073" spans="1:1" x14ac:dyDescent="0.2">
      <c r="A10073">
        <v>10261</v>
      </c>
    </row>
    <row r="10074" spans="1:1" x14ac:dyDescent="0.2">
      <c r="A10074">
        <v>10262</v>
      </c>
    </row>
    <row r="10075" spans="1:1" x14ac:dyDescent="0.2">
      <c r="A10075">
        <v>10263</v>
      </c>
    </row>
    <row r="10076" spans="1:1" x14ac:dyDescent="0.2">
      <c r="A10076">
        <v>10264</v>
      </c>
    </row>
    <row r="10077" spans="1:1" x14ac:dyDescent="0.2">
      <c r="A10077">
        <v>10265</v>
      </c>
    </row>
    <row r="10078" spans="1:1" x14ac:dyDescent="0.2">
      <c r="A10078">
        <v>10266</v>
      </c>
    </row>
    <row r="10079" spans="1:1" x14ac:dyDescent="0.2">
      <c r="A10079">
        <v>10267</v>
      </c>
    </row>
    <row r="10080" spans="1:1" x14ac:dyDescent="0.2">
      <c r="A10080">
        <v>10268</v>
      </c>
    </row>
    <row r="10081" spans="1:1" x14ac:dyDescent="0.2">
      <c r="A10081">
        <v>10269</v>
      </c>
    </row>
    <row r="10082" spans="1:1" x14ac:dyDescent="0.2">
      <c r="A10082">
        <v>10270</v>
      </c>
    </row>
    <row r="10083" spans="1:1" x14ac:dyDescent="0.2">
      <c r="A10083">
        <v>10271</v>
      </c>
    </row>
    <row r="10084" spans="1:1" x14ac:dyDescent="0.2">
      <c r="A10084">
        <v>10272</v>
      </c>
    </row>
    <row r="10085" spans="1:1" x14ac:dyDescent="0.2">
      <c r="A10085">
        <v>10273</v>
      </c>
    </row>
    <row r="10086" spans="1:1" x14ac:dyDescent="0.2">
      <c r="A10086">
        <v>10274</v>
      </c>
    </row>
    <row r="10087" spans="1:1" x14ac:dyDescent="0.2">
      <c r="A10087">
        <v>10275</v>
      </c>
    </row>
    <row r="10088" spans="1:1" x14ac:dyDescent="0.2">
      <c r="A10088">
        <v>10276</v>
      </c>
    </row>
    <row r="10089" spans="1:1" x14ac:dyDescent="0.2">
      <c r="A10089">
        <v>10277</v>
      </c>
    </row>
    <row r="10090" spans="1:1" x14ac:dyDescent="0.2">
      <c r="A10090">
        <v>10278</v>
      </c>
    </row>
    <row r="10091" spans="1:1" x14ac:dyDescent="0.2">
      <c r="A10091">
        <v>10279</v>
      </c>
    </row>
    <row r="10092" spans="1:1" x14ac:dyDescent="0.2">
      <c r="A10092">
        <v>10280</v>
      </c>
    </row>
    <row r="10093" spans="1:1" x14ac:dyDescent="0.2">
      <c r="A10093">
        <v>10281</v>
      </c>
    </row>
    <row r="10094" spans="1:1" x14ac:dyDescent="0.2">
      <c r="A10094">
        <v>10282</v>
      </c>
    </row>
    <row r="10095" spans="1:1" x14ac:dyDescent="0.2">
      <c r="A10095">
        <v>10283</v>
      </c>
    </row>
    <row r="10096" spans="1:1" x14ac:dyDescent="0.2">
      <c r="A10096">
        <v>10284</v>
      </c>
    </row>
    <row r="10097" spans="1:1" x14ac:dyDescent="0.2">
      <c r="A10097">
        <v>10285</v>
      </c>
    </row>
    <row r="10098" spans="1:1" x14ac:dyDescent="0.2">
      <c r="A10098">
        <v>10286</v>
      </c>
    </row>
    <row r="10099" spans="1:1" x14ac:dyDescent="0.2">
      <c r="A10099">
        <v>10287</v>
      </c>
    </row>
    <row r="10100" spans="1:1" x14ac:dyDescent="0.2">
      <c r="A10100">
        <v>10288</v>
      </c>
    </row>
    <row r="10101" spans="1:1" x14ac:dyDescent="0.2">
      <c r="A10101">
        <v>10289</v>
      </c>
    </row>
    <row r="10102" spans="1:1" x14ac:dyDescent="0.2">
      <c r="A10102">
        <v>10290</v>
      </c>
    </row>
    <row r="10103" spans="1:1" x14ac:dyDescent="0.2">
      <c r="A10103">
        <v>10291</v>
      </c>
    </row>
    <row r="10104" spans="1:1" x14ac:dyDescent="0.2">
      <c r="A10104">
        <v>10292</v>
      </c>
    </row>
    <row r="10105" spans="1:1" x14ac:dyDescent="0.2">
      <c r="A10105">
        <v>10293</v>
      </c>
    </row>
    <row r="10106" spans="1:1" x14ac:dyDescent="0.2">
      <c r="A10106">
        <v>10294</v>
      </c>
    </row>
    <row r="10107" spans="1:1" x14ac:dyDescent="0.2">
      <c r="A10107">
        <v>10295</v>
      </c>
    </row>
    <row r="10108" spans="1:1" x14ac:dyDescent="0.2">
      <c r="A10108">
        <v>10296</v>
      </c>
    </row>
    <row r="10109" spans="1:1" x14ac:dyDescent="0.2">
      <c r="A10109">
        <v>10297</v>
      </c>
    </row>
    <row r="10110" spans="1:1" x14ac:dyDescent="0.2">
      <c r="A10110">
        <v>10298</v>
      </c>
    </row>
    <row r="10111" spans="1:1" x14ac:dyDescent="0.2">
      <c r="A10111">
        <v>10299</v>
      </c>
    </row>
    <row r="10112" spans="1:1" x14ac:dyDescent="0.2">
      <c r="A10112">
        <v>10300</v>
      </c>
    </row>
    <row r="10113" spans="1:1" x14ac:dyDescent="0.2">
      <c r="A10113">
        <v>10301</v>
      </c>
    </row>
    <row r="10114" spans="1:1" x14ac:dyDescent="0.2">
      <c r="A10114">
        <v>10302</v>
      </c>
    </row>
    <row r="10115" spans="1:1" x14ac:dyDescent="0.2">
      <c r="A10115">
        <v>10303</v>
      </c>
    </row>
    <row r="10116" spans="1:1" x14ac:dyDescent="0.2">
      <c r="A10116">
        <v>10304</v>
      </c>
    </row>
    <row r="10117" spans="1:1" x14ac:dyDescent="0.2">
      <c r="A10117">
        <v>10305</v>
      </c>
    </row>
    <row r="10118" spans="1:1" x14ac:dyDescent="0.2">
      <c r="A10118">
        <v>10306</v>
      </c>
    </row>
    <row r="10119" spans="1:1" x14ac:dyDescent="0.2">
      <c r="A10119">
        <v>10307</v>
      </c>
    </row>
    <row r="10120" spans="1:1" x14ac:dyDescent="0.2">
      <c r="A10120">
        <v>10308</v>
      </c>
    </row>
    <row r="10121" spans="1:1" x14ac:dyDescent="0.2">
      <c r="A10121">
        <v>10309</v>
      </c>
    </row>
    <row r="10122" spans="1:1" x14ac:dyDescent="0.2">
      <c r="A10122">
        <v>10310</v>
      </c>
    </row>
    <row r="10123" spans="1:1" x14ac:dyDescent="0.2">
      <c r="A10123">
        <v>10311</v>
      </c>
    </row>
    <row r="10124" spans="1:1" x14ac:dyDescent="0.2">
      <c r="A10124">
        <v>10312</v>
      </c>
    </row>
    <row r="10125" spans="1:1" x14ac:dyDescent="0.2">
      <c r="A10125">
        <v>10313</v>
      </c>
    </row>
    <row r="10126" spans="1:1" x14ac:dyDescent="0.2">
      <c r="A10126">
        <v>10314</v>
      </c>
    </row>
    <row r="10127" spans="1:1" x14ac:dyDescent="0.2">
      <c r="A10127">
        <v>10315</v>
      </c>
    </row>
    <row r="10128" spans="1:1" x14ac:dyDescent="0.2">
      <c r="A10128">
        <v>10316</v>
      </c>
    </row>
    <row r="10129" spans="1:1" x14ac:dyDescent="0.2">
      <c r="A10129">
        <v>10317</v>
      </c>
    </row>
    <row r="10130" spans="1:1" x14ac:dyDescent="0.2">
      <c r="A10130">
        <v>10318</v>
      </c>
    </row>
    <row r="10131" spans="1:1" x14ac:dyDescent="0.2">
      <c r="A10131">
        <v>10319</v>
      </c>
    </row>
    <row r="10132" spans="1:1" x14ac:dyDescent="0.2">
      <c r="A10132">
        <v>10320</v>
      </c>
    </row>
    <row r="10133" spans="1:1" x14ac:dyDescent="0.2">
      <c r="A10133">
        <v>10321</v>
      </c>
    </row>
    <row r="10134" spans="1:1" x14ac:dyDescent="0.2">
      <c r="A10134">
        <v>10322</v>
      </c>
    </row>
    <row r="10135" spans="1:1" x14ac:dyDescent="0.2">
      <c r="A10135">
        <v>10323</v>
      </c>
    </row>
    <row r="10136" spans="1:1" x14ac:dyDescent="0.2">
      <c r="A10136">
        <v>10324</v>
      </c>
    </row>
    <row r="10137" spans="1:1" x14ac:dyDescent="0.2">
      <c r="A10137">
        <v>10325</v>
      </c>
    </row>
    <row r="10138" spans="1:1" x14ac:dyDescent="0.2">
      <c r="A10138">
        <v>10326</v>
      </c>
    </row>
    <row r="10139" spans="1:1" x14ac:dyDescent="0.2">
      <c r="A10139">
        <v>10327</v>
      </c>
    </row>
    <row r="10140" spans="1:1" x14ac:dyDescent="0.2">
      <c r="A10140">
        <v>10328</v>
      </c>
    </row>
    <row r="10141" spans="1:1" x14ac:dyDescent="0.2">
      <c r="A10141">
        <v>10329</v>
      </c>
    </row>
    <row r="10142" spans="1:1" x14ac:dyDescent="0.2">
      <c r="A10142">
        <v>10330</v>
      </c>
    </row>
    <row r="10143" spans="1:1" x14ac:dyDescent="0.2">
      <c r="A10143">
        <v>10331</v>
      </c>
    </row>
    <row r="10144" spans="1:1" x14ac:dyDescent="0.2">
      <c r="A10144">
        <v>10332</v>
      </c>
    </row>
    <row r="10145" spans="1:1" x14ac:dyDescent="0.2">
      <c r="A10145">
        <v>10333</v>
      </c>
    </row>
    <row r="10146" spans="1:1" x14ac:dyDescent="0.2">
      <c r="A10146">
        <v>10334</v>
      </c>
    </row>
    <row r="10147" spans="1:1" x14ac:dyDescent="0.2">
      <c r="A10147">
        <v>10335</v>
      </c>
    </row>
    <row r="10148" spans="1:1" x14ac:dyDescent="0.2">
      <c r="A10148">
        <v>10336</v>
      </c>
    </row>
    <row r="10149" spans="1:1" x14ac:dyDescent="0.2">
      <c r="A10149">
        <v>10337</v>
      </c>
    </row>
    <row r="10150" spans="1:1" x14ac:dyDescent="0.2">
      <c r="A10150">
        <v>10338</v>
      </c>
    </row>
    <row r="10151" spans="1:1" x14ac:dyDescent="0.2">
      <c r="A10151">
        <v>10339</v>
      </c>
    </row>
    <row r="10152" spans="1:1" x14ac:dyDescent="0.2">
      <c r="A10152">
        <v>10340</v>
      </c>
    </row>
    <row r="10153" spans="1:1" x14ac:dyDescent="0.2">
      <c r="A10153">
        <v>10341</v>
      </c>
    </row>
    <row r="10154" spans="1:1" x14ac:dyDescent="0.2">
      <c r="A10154">
        <v>10342</v>
      </c>
    </row>
    <row r="10155" spans="1:1" x14ac:dyDescent="0.2">
      <c r="A10155">
        <v>10343</v>
      </c>
    </row>
    <row r="10156" spans="1:1" x14ac:dyDescent="0.2">
      <c r="A10156">
        <v>10344</v>
      </c>
    </row>
    <row r="10157" spans="1:1" x14ac:dyDescent="0.2">
      <c r="A10157">
        <v>10345</v>
      </c>
    </row>
    <row r="10158" spans="1:1" x14ac:dyDescent="0.2">
      <c r="A10158">
        <v>10346</v>
      </c>
    </row>
    <row r="10159" spans="1:1" x14ac:dyDescent="0.2">
      <c r="A10159">
        <v>10347</v>
      </c>
    </row>
    <row r="10160" spans="1:1" x14ac:dyDescent="0.2">
      <c r="A10160">
        <v>10348</v>
      </c>
    </row>
    <row r="10161" spans="1:1" x14ac:dyDescent="0.2">
      <c r="A10161">
        <v>10349</v>
      </c>
    </row>
    <row r="10162" spans="1:1" x14ac:dyDescent="0.2">
      <c r="A10162">
        <v>10350</v>
      </c>
    </row>
    <row r="10163" spans="1:1" x14ac:dyDescent="0.2">
      <c r="A10163">
        <v>10351</v>
      </c>
    </row>
    <row r="10164" spans="1:1" x14ac:dyDescent="0.2">
      <c r="A10164">
        <v>10352</v>
      </c>
    </row>
    <row r="10165" spans="1:1" x14ac:dyDescent="0.2">
      <c r="A10165">
        <v>10353</v>
      </c>
    </row>
    <row r="10166" spans="1:1" x14ac:dyDescent="0.2">
      <c r="A10166">
        <v>10354</v>
      </c>
    </row>
    <row r="10167" spans="1:1" x14ac:dyDescent="0.2">
      <c r="A10167">
        <v>10355</v>
      </c>
    </row>
    <row r="10168" spans="1:1" x14ac:dyDescent="0.2">
      <c r="A10168">
        <v>10356</v>
      </c>
    </row>
    <row r="10169" spans="1:1" x14ac:dyDescent="0.2">
      <c r="A10169">
        <v>10357</v>
      </c>
    </row>
    <row r="10170" spans="1:1" x14ac:dyDescent="0.2">
      <c r="A10170">
        <v>10358</v>
      </c>
    </row>
    <row r="10171" spans="1:1" x14ac:dyDescent="0.2">
      <c r="A10171">
        <v>10359</v>
      </c>
    </row>
    <row r="10172" spans="1:1" x14ac:dyDescent="0.2">
      <c r="A10172">
        <v>10360</v>
      </c>
    </row>
    <row r="10173" spans="1:1" x14ac:dyDescent="0.2">
      <c r="A10173">
        <v>10361</v>
      </c>
    </row>
    <row r="10174" spans="1:1" x14ac:dyDescent="0.2">
      <c r="A10174">
        <v>10362</v>
      </c>
    </row>
    <row r="10175" spans="1:1" x14ac:dyDescent="0.2">
      <c r="A10175">
        <v>10363</v>
      </c>
    </row>
    <row r="10176" spans="1:1" x14ac:dyDescent="0.2">
      <c r="A10176">
        <v>10364</v>
      </c>
    </row>
    <row r="10177" spans="1:1" x14ac:dyDescent="0.2">
      <c r="A10177">
        <v>10365</v>
      </c>
    </row>
    <row r="10178" spans="1:1" x14ac:dyDescent="0.2">
      <c r="A10178">
        <v>10366</v>
      </c>
    </row>
    <row r="10179" spans="1:1" x14ac:dyDescent="0.2">
      <c r="A10179">
        <v>10367</v>
      </c>
    </row>
    <row r="10180" spans="1:1" x14ac:dyDescent="0.2">
      <c r="A10180">
        <v>10368</v>
      </c>
    </row>
    <row r="10181" spans="1:1" x14ac:dyDescent="0.2">
      <c r="A10181">
        <v>10369</v>
      </c>
    </row>
    <row r="10182" spans="1:1" x14ac:dyDescent="0.2">
      <c r="A10182">
        <v>10370</v>
      </c>
    </row>
    <row r="10183" spans="1:1" x14ac:dyDescent="0.2">
      <c r="A10183">
        <v>10371</v>
      </c>
    </row>
    <row r="10184" spans="1:1" x14ac:dyDescent="0.2">
      <c r="A10184">
        <v>10372</v>
      </c>
    </row>
    <row r="10185" spans="1:1" x14ac:dyDescent="0.2">
      <c r="A10185">
        <v>10373</v>
      </c>
    </row>
    <row r="10186" spans="1:1" x14ac:dyDescent="0.2">
      <c r="A10186">
        <v>10374</v>
      </c>
    </row>
    <row r="10187" spans="1:1" x14ac:dyDescent="0.2">
      <c r="A10187">
        <v>10375</v>
      </c>
    </row>
    <row r="10188" spans="1:1" x14ac:dyDescent="0.2">
      <c r="A10188">
        <v>10376</v>
      </c>
    </row>
    <row r="10189" spans="1:1" x14ac:dyDescent="0.2">
      <c r="A10189">
        <v>10377</v>
      </c>
    </row>
    <row r="10190" spans="1:1" x14ac:dyDescent="0.2">
      <c r="A10190">
        <v>10378</v>
      </c>
    </row>
    <row r="10191" spans="1:1" x14ac:dyDescent="0.2">
      <c r="A10191">
        <v>10379</v>
      </c>
    </row>
    <row r="10192" spans="1:1" x14ac:dyDescent="0.2">
      <c r="A10192">
        <v>10380</v>
      </c>
    </row>
    <row r="10193" spans="1:1" x14ac:dyDescent="0.2">
      <c r="A10193">
        <v>10381</v>
      </c>
    </row>
    <row r="10194" spans="1:1" x14ac:dyDescent="0.2">
      <c r="A10194">
        <v>10382</v>
      </c>
    </row>
    <row r="10195" spans="1:1" x14ac:dyDescent="0.2">
      <c r="A10195">
        <v>10383</v>
      </c>
    </row>
    <row r="10196" spans="1:1" x14ac:dyDescent="0.2">
      <c r="A10196">
        <v>10384</v>
      </c>
    </row>
    <row r="10197" spans="1:1" x14ac:dyDescent="0.2">
      <c r="A10197">
        <v>10385</v>
      </c>
    </row>
    <row r="10198" spans="1:1" x14ac:dyDescent="0.2">
      <c r="A10198">
        <v>10386</v>
      </c>
    </row>
    <row r="10199" spans="1:1" x14ac:dyDescent="0.2">
      <c r="A10199">
        <v>10387</v>
      </c>
    </row>
    <row r="10200" spans="1:1" x14ac:dyDescent="0.2">
      <c r="A10200">
        <v>10388</v>
      </c>
    </row>
    <row r="10201" spans="1:1" x14ac:dyDescent="0.2">
      <c r="A10201">
        <v>10389</v>
      </c>
    </row>
    <row r="10202" spans="1:1" x14ac:dyDescent="0.2">
      <c r="A10202">
        <v>10390</v>
      </c>
    </row>
    <row r="10203" spans="1:1" x14ac:dyDescent="0.2">
      <c r="A10203">
        <v>10391</v>
      </c>
    </row>
    <row r="10204" spans="1:1" x14ac:dyDescent="0.2">
      <c r="A10204">
        <v>10392</v>
      </c>
    </row>
    <row r="10205" spans="1:1" x14ac:dyDescent="0.2">
      <c r="A10205">
        <v>10393</v>
      </c>
    </row>
    <row r="10206" spans="1:1" x14ac:dyDescent="0.2">
      <c r="A10206">
        <v>10394</v>
      </c>
    </row>
    <row r="10207" spans="1:1" x14ac:dyDescent="0.2">
      <c r="A10207">
        <v>10395</v>
      </c>
    </row>
    <row r="10208" spans="1:1" x14ac:dyDescent="0.2">
      <c r="A10208">
        <v>10396</v>
      </c>
    </row>
    <row r="10209" spans="1:1" x14ac:dyDescent="0.2">
      <c r="A10209">
        <v>10397</v>
      </c>
    </row>
    <row r="10210" spans="1:1" x14ac:dyDescent="0.2">
      <c r="A10210">
        <v>10398</v>
      </c>
    </row>
    <row r="10211" spans="1:1" x14ac:dyDescent="0.2">
      <c r="A10211">
        <v>10399</v>
      </c>
    </row>
    <row r="10212" spans="1:1" x14ac:dyDescent="0.2">
      <c r="A10212">
        <v>10400</v>
      </c>
    </row>
    <row r="10213" spans="1:1" x14ac:dyDescent="0.2">
      <c r="A10213">
        <v>10401</v>
      </c>
    </row>
    <row r="10214" spans="1:1" x14ac:dyDescent="0.2">
      <c r="A10214">
        <v>10402</v>
      </c>
    </row>
    <row r="10215" spans="1:1" x14ac:dyDescent="0.2">
      <c r="A10215">
        <v>10403</v>
      </c>
    </row>
    <row r="10216" spans="1:1" x14ac:dyDescent="0.2">
      <c r="A10216">
        <v>10404</v>
      </c>
    </row>
    <row r="10217" spans="1:1" x14ac:dyDescent="0.2">
      <c r="A10217">
        <v>10405</v>
      </c>
    </row>
    <row r="10218" spans="1:1" x14ac:dyDescent="0.2">
      <c r="A10218">
        <v>10406</v>
      </c>
    </row>
    <row r="10219" spans="1:1" x14ac:dyDescent="0.2">
      <c r="A10219">
        <v>10407</v>
      </c>
    </row>
    <row r="10220" spans="1:1" x14ac:dyDescent="0.2">
      <c r="A10220">
        <v>10408</v>
      </c>
    </row>
    <row r="10221" spans="1:1" x14ac:dyDescent="0.2">
      <c r="A10221">
        <v>10409</v>
      </c>
    </row>
    <row r="10222" spans="1:1" x14ac:dyDescent="0.2">
      <c r="A10222">
        <v>10410</v>
      </c>
    </row>
    <row r="10223" spans="1:1" x14ac:dyDescent="0.2">
      <c r="A10223">
        <v>10411</v>
      </c>
    </row>
    <row r="10224" spans="1:1" x14ac:dyDescent="0.2">
      <c r="A10224">
        <v>10412</v>
      </c>
    </row>
    <row r="10225" spans="1:1" x14ac:dyDescent="0.2">
      <c r="A10225">
        <v>10413</v>
      </c>
    </row>
    <row r="10226" spans="1:1" x14ac:dyDescent="0.2">
      <c r="A10226">
        <v>10414</v>
      </c>
    </row>
    <row r="10227" spans="1:1" x14ac:dyDescent="0.2">
      <c r="A10227">
        <v>10415</v>
      </c>
    </row>
    <row r="10228" spans="1:1" x14ac:dyDescent="0.2">
      <c r="A10228">
        <v>10416</v>
      </c>
    </row>
    <row r="10229" spans="1:1" x14ac:dyDescent="0.2">
      <c r="A10229">
        <v>10417</v>
      </c>
    </row>
    <row r="10230" spans="1:1" x14ac:dyDescent="0.2">
      <c r="A10230">
        <v>10418</v>
      </c>
    </row>
    <row r="10231" spans="1:1" x14ac:dyDescent="0.2">
      <c r="A10231">
        <v>10419</v>
      </c>
    </row>
    <row r="10232" spans="1:1" x14ac:dyDescent="0.2">
      <c r="A10232">
        <v>10420</v>
      </c>
    </row>
    <row r="10233" spans="1:1" x14ac:dyDescent="0.2">
      <c r="A10233">
        <v>10421</v>
      </c>
    </row>
    <row r="10234" spans="1:1" x14ac:dyDescent="0.2">
      <c r="A10234">
        <v>10422</v>
      </c>
    </row>
    <row r="10235" spans="1:1" x14ac:dyDescent="0.2">
      <c r="A10235">
        <v>10423</v>
      </c>
    </row>
    <row r="10236" spans="1:1" x14ac:dyDescent="0.2">
      <c r="A10236">
        <v>10424</v>
      </c>
    </row>
    <row r="10237" spans="1:1" x14ac:dyDescent="0.2">
      <c r="A10237">
        <v>10425</v>
      </c>
    </row>
    <row r="10238" spans="1:1" x14ac:dyDescent="0.2">
      <c r="A10238">
        <v>10426</v>
      </c>
    </row>
    <row r="10239" spans="1:1" x14ac:dyDescent="0.2">
      <c r="A10239">
        <v>10427</v>
      </c>
    </row>
    <row r="10240" spans="1:1" x14ac:dyDescent="0.2">
      <c r="A10240">
        <v>10428</v>
      </c>
    </row>
    <row r="10241" spans="1:1" x14ac:dyDescent="0.2">
      <c r="A10241">
        <v>10429</v>
      </c>
    </row>
    <row r="10242" spans="1:1" x14ac:dyDescent="0.2">
      <c r="A10242">
        <v>10430</v>
      </c>
    </row>
    <row r="10243" spans="1:1" x14ac:dyDescent="0.2">
      <c r="A10243">
        <v>10431</v>
      </c>
    </row>
    <row r="10244" spans="1:1" x14ac:dyDescent="0.2">
      <c r="A10244">
        <v>10432</v>
      </c>
    </row>
    <row r="10245" spans="1:1" x14ac:dyDescent="0.2">
      <c r="A10245">
        <v>10433</v>
      </c>
    </row>
    <row r="10246" spans="1:1" x14ac:dyDescent="0.2">
      <c r="A10246">
        <v>10434</v>
      </c>
    </row>
    <row r="10247" spans="1:1" x14ac:dyDescent="0.2">
      <c r="A10247">
        <v>10435</v>
      </c>
    </row>
    <row r="10248" spans="1:1" x14ac:dyDescent="0.2">
      <c r="A10248">
        <v>10436</v>
      </c>
    </row>
    <row r="10249" spans="1:1" x14ac:dyDescent="0.2">
      <c r="A10249">
        <v>10437</v>
      </c>
    </row>
    <row r="10250" spans="1:1" x14ac:dyDescent="0.2">
      <c r="A10250">
        <v>10438</v>
      </c>
    </row>
    <row r="10251" spans="1:1" x14ac:dyDescent="0.2">
      <c r="A10251">
        <v>10439</v>
      </c>
    </row>
    <row r="10252" spans="1:1" x14ac:dyDescent="0.2">
      <c r="A10252">
        <v>10440</v>
      </c>
    </row>
    <row r="10253" spans="1:1" x14ac:dyDescent="0.2">
      <c r="A10253">
        <v>10441</v>
      </c>
    </row>
    <row r="10254" spans="1:1" x14ac:dyDescent="0.2">
      <c r="A10254">
        <v>10442</v>
      </c>
    </row>
    <row r="10255" spans="1:1" x14ac:dyDescent="0.2">
      <c r="A10255">
        <v>10443</v>
      </c>
    </row>
    <row r="10256" spans="1:1" x14ac:dyDescent="0.2">
      <c r="A10256">
        <v>10444</v>
      </c>
    </row>
    <row r="10257" spans="1:1" x14ac:dyDescent="0.2">
      <c r="A10257">
        <v>10445</v>
      </c>
    </row>
    <row r="10258" spans="1:1" x14ac:dyDescent="0.2">
      <c r="A10258">
        <v>10446</v>
      </c>
    </row>
    <row r="10259" spans="1:1" x14ac:dyDescent="0.2">
      <c r="A10259">
        <v>10447</v>
      </c>
    </row>
    <row r="10260" spans="1:1" x14ac:dyDescent="0.2">
      <c r="A10260">
        <v>10448</v>
      </c>
    </row>
    <row r="10261" spans="1:1" x14ac:dyDescent="0.2">
      <c r="A10261">
        <v>10449</v>
      </c>
    </row>
    <row r="10262" spans="1:1" x14ac:dyDescent="0.2">
      <c r="A10262">
        <v>10450</v>
      </c>
    </row>
    <row r="10263" spans="1:1" x14ac:dyDescent="0.2">
      <c r="A10263">
        <v>10451</v>
      </c>
    </row>
    <row r="10264" spans="1:1" x14ac:dyDescent="0.2">
      <c r="A10264">
        <v>10452</v>
      </c>
    </row>
    <row r="10265" spans="1:1" x14ac:dyDescent="0.2">
      <c r="A10265">
        <v>10453</v>
      </c>
    </row>
    <row r="10266" spans="1:1" x14ac:dyDescent="0.2">
      <c r="A10266">
        <v>10454</v>
      </c>
    </row>
    <row r="10267" spans="1:1" x14ac:dyDescent="0.2">
      <c r="A10267">
        <v>10455</v>
      </c>
    </row>
    <row r="10268" spans="1:1" x14ac:dyDescent="0.2">
      <c r="A10268">
        <v>10456</v>
      </c>
    </row>
    <row r="10269" spans="1:1" x14ac:dyDescent="0.2">
      <c r="A10269">
        <v>10457</v>
      </c>
    </row>
    <row r="10270" spans="1:1" x14ac:dyDescent="0.2">
      <c r="A10270">
        <v>10458</v>
      </c>
    </row>
    <row r="10271" spans="1:1" x14ac:dyDescent="0.2">
      <c r="A10271">
        <v>10459</v>
      </c>
    </row>
    <row r="10272" spans="1:1" x14ac:dyDescent="0.2">
      <c r="A10272">
        <v>10460</v>
      </c>
    </row>
    <row r="10273" spans="1:1" x14ac:dyDescent="0.2">
      <c r="A10273">
        <v>10461</v>
      </c>
    </row>
    <row r="10274" spans="1:1" x14ac:dyDescent="0.2">
      <c r="A10274">
        <v>10462</v>
      </c>
    </row>
    <row r="10275" spans="1:1" x14ac:dyDescent="0.2">
      <c r="A10275">
        <v>10463</v>
      </c>
    </row>
    <row r="10276" spans="1:1" x14ac:dyDescent="0.2">
      <c r="A10276">
        <v>10464</v>
      </c>
    </row>
    <row r="10277" spans="1:1" x14ac:dyDescent="0.2">
      <c r="A10277">
        <v>10465</v>
      </c>
    </row>
    <row r="10278" spans="1:1" x14ac:dyDescent="0.2">
      <c r="A10278">
        <v>10466</v>
      </c>
    </row>
    <row r="10279" spans="1:1" x14ac:dyDescent="0.2">
      <c r="A10279">
        <v>10467</v>
      </c>
    </row>
    <row r="10280" spans="1:1" x14ac:dyDescent="0.2">
      <c r="A10280">
        <v>10468</v>
      </c>
    </row>
    <row r="10281" spans="1:1" x14ac:dyDescent="0.2">
      <c r="A10281">
        <v>10469</v>
      </c>
    </row>
    <row r="10282" spans="1:1" x14ac:dyDescent="0.2">
      <c r="A10282">
        <v>10470</v>
      </c>
    </row>
    <row r="10283" spans="1:1" x14ac:dyDescent="0.2">
      <c r="A10283">
        <v>10471</v>
      </c>
    </row>
    <row r="10284" spans="1:1" x14ac:dyDescent="0.2">
      <c r="A10284">
        <v>10472</v>
      </c>
    </row>
    <row r="10285" spans="1:1" x14ac:dyDescent="0.2">
      <c r="A10285">
        <v>10473</v>
      </c>
    </row>
    <row r="10286" spans="1:1" x14ac:dyDescent="0.2">
      <c r="A10286">
        <v>10474</v>
      </c>
    </row>
    <row r="10287" spans="1:1" x14ac:dyDescent="0.2">
      <c r="A10287">
        <v>10475</v>
      </c>
    </row>
    <row r="10288" spans="1:1" x14ac:dyDescent="0.2">
      <c r="A10288">
        <v>10476</v>
      </c>
    </row>
    <row r="10289" spans="1:1" x14ac:dyDescent="0.2">
      <c r="A10289">
        <v>10477</v>
      </c>
    </row>
    <row r="10290" spans="1:1" x14ac:dyDescent="0.2">
      <c r="A10290">
        <v>10478</v>
      </c>
    </row>
    <row r="10291" spans="1:1" x14ac:dyDescent="0.2">
      <c r="A10291">
        <v>10479</v>
      </c>
    </row>
    <row r="10292" spans="1:1" x14ac:dyDescent="0.2">
      <c r="A10292">
        <v>10480</v>
      </c>
    </row>
    <row r="10293" spans="1:1" x14ac:dyDescent="0.2">
      <c r="A10293">
        <v>10481</v>
      </c>
    </row>
    <row r="10294" spans="1:1" x14ac:dyDescent="0.2">
      <c r="A10294">
        <v>10482</v>
      </c>
    </row>
    <row r="10295" spans="1:1" x14ac:dyDescent="0.2">
      <c r="A10295">
        <v>10483</v>
      </c>
    </row>
    <row r="10296" spans="1:1" x14ac:dyDescent="0.2">
      <c r="A10296">
        <v>10484</v>
      </c>
    </row>
    <row r="10297" spans="1:1" x14ac:dyDescent="0.2">
      <c r="A10297">
        <v>10485</v>
      </c>
    </row>
    <row r="10298" spans="1:1" x14ac:dyDescent="0.2">
      <c r="A10298">
        <v>10486</v>
      </c>
    </row>
    <row r="10299" spans="1:1" x14ac:dyDescent="0.2">
      <c r="A10299">
        <v>10487</v>
      </c>
    </row>
    <row r="10300" spans="1:1" x14ac:dyDescent="0.2">
      <c r="A10300">
        <v>10488</v>
      </c>
    </row>
    <row r="10301" spans="1:1" x14ac:dyDescent="0.2">
      <c r="A10301">
        <v>10489</v>
      </c>
    </row>
    <row r="10302" spans="1:1" x14ac:dyDescent="0.2">
      <c r="A10302">
        <v>10490</v>
      </c>
    </row>
    <row r="10303" spans="1:1" x14ac:dyDescent="0.2">
      <c r="A10303">
        <v>10491</v>
      </c>
    </row>
    <row r="10304" spans="1:1" x14ac:dyDescent="0.2">
      <c r="A10304">
        <v>10492</v>
      </c>
    </row>
    <row r="10305" spans="1:1" x14ac:dyDescent="0.2">
      <c r="A10305">
        <v>10493</v>
      </c>
    </row>
    <row r="10306" spans="1:1" x14ac:dyDescent="0.2">
      <c r="A10306">
        <v>10494</v>
      </c>
    </row>
    <row r="10307" spans="1:1" x14ac:dyDescent="0.2">
      <c r="A10307">
        <v>10495</v>
      </c>
    </row>
    <row r="10308" spans="1:1" x14ac:dyDescent="0.2">
      <c r="A10308">
        <v>10496</v>
      </c>
    </row>
    <row r="10309" spans="1:1" x14ac:dyDescent="0.2">
      <c r="A10309">
        <v>10497</v>
      </c>
    </row>
    <row r="10310" spans="1:1" x14ac:dyDescent="0.2">
      <c r="A10310">
        <v>10498</v>
      </c>
    </row>
    <row r="10311" spans="1:1" x14ac:dyDescent="0.2">
      <c r="A10311">
        <v>10499</v>
      </c>
    </row>
    <row r="10312" spans="1:1" x14ac:dyDescent="0.2">
      <c r="A10312">
        <v>10500</v>
      </c>
    </row>
    <row r="10313" spans="1:1" x14ac:dyDescent="0.2">
      <c r="A10313">
        <v>10501</v>
      </c>
    </row>
    <row r="10314" spans="1:1" x14ac:dyDescent="0.2">
      <c r="A10314">
        <v>10502</v>
      </c>
    </row>
    <row r="10315" spans="1:1" x14ac:dyDescent="0.2">
      <c r="A10315">
        <v>10503</v>
      </c>
    </row>
    <row r="10316" spans="1:1" x14ac:dyDescent="0.2">
      <c r="A10316">
        <v>10504</v>
      </c>
    </row>
    <row r="10317" spans="1:1" x14ac:dyDescent="0.2">
      <c r="A10317">
        <v>10505</v>
      </c>
    </row>
    <row r="10318" spans="1:1" x14ac:dyDescent="0.2">
      <c r="A10318">
        <v>10506</v>
      </c>
    </row>
    <row r="10319" spans="1:1" x14ac:dyDescent="0.2">
      <c r="A10319">
        <v>10507</v>
      </c>
    </row>
    <row r="10320" spans="1:1" x14ac:dyDescent="0.2">
      <c r="A10320">
        <v>10508</v>
      </c>
    </row>
    <row r="10321" spans="1:1" x14ac:dyDescent="0.2">
      <c r="A10321">
        <v>10509</v>
      </c>
    </row>
    <row r="10322" spans="1:1" x14ac:dyDescent="0.2">
      <c r="A10322">
        <v>10510</v>
      </c>
    </row>
    <row r="10323" spans="1:1" x14ac:dyDescent="0.2">
      <c r="A10323">
        <v>10511</v>
      </c>
    </row>
    <row r="10324" spans="1:1" x14ac:dyDescent="0.2">
      <c r="A10324">
        <v>10512</v>
      </c>
    </row>
    <row r="10325" spans="1:1" x14ac:dyDescent="0.2">
      <c r="A10325">
        <v>10513</v>
      </c>
    </row>
    <row r="10326" spans="1:1" x14ac:dyDescent="0.2">
      <c r="A10326">
        <v>10514</v>
      </c>
    </row>
    <row r="10327" spans="1:1" x14ac:dyDescent="0.2">
      <c r="A10327">
        <v>10515</v>
      </c>
    </row>
    <row r="10328" spans="1:1" x14ac:dyDescent="0.2">
      <c r="A10328">
        <v>10516</v>
      </c>
    </row>
    <row r="10329" spans="1:1" x14ac:dyDescent="0.2">
      <c r="A10329">
        <v>10517</v>
      </c>
    </row>
    <row r="10330" spans="1:1" x14ac:dyDescent="0.2">
      <c r="A10330">
        <v>10518</v>
      </c>
    </row>
    <row r="10331" spans="1:1" x14ac:dyDescent="0.2">
      <c r="A10331">
        <v>10519</v>
      </c>
    </row>
    <row r="10332" spans="1:1" x14ac:dyDescent="0.2">
      <c r="A10332">
        <v>10520</v>
      </c>
    </row>
    <row r="10333" spans="1:1" x14ac:dyDescent="0.2">
      <c r="A10333">
        <v>10521</v>
      </c>
    </row>
    <row r="10334" spans="1:1" x14ac:dyDescent="0.2">
      <c r="A10334">
        <v>10522</v>
      </c>
    </row>
    <row r="10335" spans="1:1" x14ac:dyDescent="0.2">
      <c r="A10335">
        <v>10523</v>
      </c>
    </row>
    <row r="10336" spans="1:1" x14ac:dyDescent="0.2">
      <c r="A10336">
        <v>10524</v>
      </c>
    </row>
    <row r="10337" spans="1:1" x14ac:dyDescent="0.2">
      <c r="A10337">
        <v>10525</v>
      </c>
    </row>
    <row r="10338" spans="1:1" x14ac:dyDescent="0.2">
      <c r="A10338">
        <v>10526</v>
      </c>
    </row>
    <row r="10339" spans="1:1" x14ac:dyDescent="0.2">
      <c r="A10339">
        <v>10527</v>
      </c>
    </row>
    <row r="10340" spans="1:1" x14ac:dyDescent="0.2">
      <c r="A10340">
        <v>10528</v>
      </c>
    </row>
    <row r="10341" spans="1:1" x14ac:dyDescent="0.2">
      <c r="A10341">
        <v>10529</v>
      </c>
    </row>
    <row r="10342" spans="1:1" x14ac:dyDescent="0.2">
      <c r="A10342">
        <v>10530</v>
      </c>
    </row>
    <row r="10343" spans="1:1" x14ac:dyDescent="0.2">
      <c r="A10343">
        <v>10531</v>
      </c>
    </row>
    <row r="10344" spans="1:1" x14ac:dyDescent="0.2">
      <c r="A10344">
        <v>10532</v>
      </c>
    </row>
    <row r="10345" spans="1:1" x14ac:dyDescent="0.2">
      <c r="A10345">
        <v>10533</v>
      </c>
    </row>
    <row r="10346" spans="1:1" x14ac:dyDescent="0.2">
      <c r="A10346">
        <v>10534</v>
      </c>
    </row>
    <row r="10347" spans="1:1" x14ac:dyDescent="0.2">
      <c r="A10347">
        <v>10535</v>
      </c>
    </row>
    <row r="10348" spans="1:1" x14ac:dyDescent="0.2">
      <c r="A10348">
        <v>10536</v>
      </c>
    </row>
    <row r="10349" spans="1:1" x14ac:dyDescent="0.2">
      <c r="A10349">
        <v>10537</v>
      </c>
    </row>
    <row r="10350" spans="1:1" x14ac:dyDescent="0.2">
      <c r="A10350">
        <v>10538</v>
      </c>
    </row>
    <row r="10351" spans="1:1" x14ac:dyDescent="0.2">
      <c r="A10351">
        <v>10539</v>
      </c>
    </row>
    <row r="10352" spans="1:1" x14ac:dyDescent="0.2">
      <c r="A10352">
        <v>10540</v>
      </c>
    </row>
    <row r="10353" spans="1:1" x14ac:dyDescent="0.2">
      <c r="A10353">
        <v>10541</v>
      </c>
    </row>
    <row r="10354" spans="1:1" x14ac:dyDescent="0.2">
      <c r="A10354">
        <v>10542</v>
      </c>
    </row>
    <row r="10355" spans="1:1" x14ac:dyDescent="0.2">
      <c r="A10355">
        <v>10543</v>
      </c>
    </row>
    <row r="10356" spans="1:1" x14ac:dyDescent="0.2">
      <c r="A10356">
        <v>10544</v>
      </c>
    </row>
    <row r="10357" spans="1:1" x14ac:dyDescent="0.2">
      <c r="A10357">
        <v>10545</v>
      </c>
    </row>
    <row r="10358" spans="1:1" x14ac:dyDescent="0.2">
      <c r="A10358">
        <v>10546</v>
      </c>
    </row>
    <row r="10359" spans="1:1" x14ac:dyDescent="0.2">
      <c r="A10359">
        <v>10547</v>
      </c>
    </row>
    <row r="10360" spans="1:1" x14ac:dyDescent="0.2">
      <c r="A10360">
        <v>10548</v>
      </c>
    </row>
    <row r="10361" spans="1:1" x14ac:dyDescent="0.2">
      <c r="A10361">
        <v>10549</v>
      </c>
    </row>
    <row r="10362" spans="1:1" x14ac:dyDescent="0.2">
      <c r="A10362">
        <v>10550</v>
      </c>
    </row>
    <row r="10363" spans="1:1" x14ac:dyDescent="0.2">
      <c r="A10363">
        <v>10551</v>
      </c>
    </row>
    <row r="10364" spans="1:1" x14ac:dyDescent="0.2">
      <c r="A10364">
        <v>10552</v>
      </c>
    </row>
    <row r="10365" spans="1:1" x14ac:dyDescent="0.2">
      <c r="A10365">
        <v>10553</v>
      </c>
    </row>
    <row r="10366" spans="1:1" x14ac:dyDescent="0.2">
      <c r="A10366">
        <v>10554</v>
      </c>
    </row>
    <row r="10367" spans="1:1" x14ac:dyDescent="0.2">
      <c r="A10367">
        <v>10555</v>
      </c>
    </row>
    <row r="10368" spans="1:1" x14ac:dyDescent="0.2">
      <c r="A10368">
        <v>10556</v>
      </c>
    </row>
    <row r="10369" spans="1:1" x14ac:dyDescent="0.2">
      <c r="A10369">
        <v>10557</v>
      </c>
    </row>
    <row r="10370" spans="1:1" x14ac:dyDescent="0.2">
      <c r="A10370">
        <v>10558</v>
      </c>
    </row>
    <row r="10371" spans="1:1" x14ac:dyDescent="0.2">
      <c r="A10371">
        <v>10559</v>
      </c>
    </row>
    <row r="10372" spans="1:1" x14ac:dyDescent="0.2">
      <c r="A10372">
        <v>10560</v>
      </c>
    </row>
    <row r="10373" spans="1:1" x14ac:dyDescent="0.2">
      <c r="A10373">
        <v>10561</v>
      </c>
    </row>
    <row r="10374" spans="1:1" x14ac:dyDescent="0.2">
      <c r="A10374">
        <v>10562</v>
      </c>
    </row>
    <row r="10375" spans="1:1" x14ac:dyDescent="0.2">
      <c r="A10375">
        <v>10563</v>
      </c>
    </row>
    <row r="10376" spans="1:1" x14ac:dyDescent="0.2">
      <c r="A10376">
        <v>10564</v>
      </c>
    </row>
    <row r="10377" spans="1:1" x14ac:dyDescent="0.2">
      <c r="A10377">
        <v>10565</v>
      </c>
    </row>
    <row r="10378" spans="1:1" x14ac:dyDescent="0.2">
      <c r="A10378">
        <v>10566</v>
      </c>
    </row>
    <row r="10379" spans="1:1" x14ac:dyDescent="0.2">
      <c r="A10379">
        <v>10567</v>
      </c>
    </row>
    <row r="10380" spans="1:1" x14ac:dyDescent="0.2">
      <c r="A10380">
        <v>10568</v>
      </c>
    </row>
    <row r="10381" spans="1:1" x14ac:dyDescent="0.2">
      <c r="A10381">
        <v>10569</v>
      </c>
    </row>
    <row r="10382" spans="1:1" x14ac:dyDescent="0.2">
      <c r="A10382">
        <v>10570</v>
      </c>
    </row>
    <row r="10383" spans="1:1" x14ac:dyDescent="0.2">
      <c r="A10383">
        <v>10571</v>
      </c>
    </row>
    <row r="10384" spans="1:1" x14ac:dyDescent="0.2">
      <c r="A10384">
        <v>10572</v>
      </c>
    </row>
    <row r="10385" spans="1:1" x14ac:dyDescent="0.2">
      <c r="A10385">
        <v>10573</v>
      </c>
    </row>
    <row r="10386" spans="1:1" x14ac:dyDescent="0.2">
      <c r="A10386">
        <v>10574</v>
      </c>
    </row>
    <row r="10387" spans="1:1" x14ac:dyDescent="0.2">
      <c r="A10387">
        <v>10575</v>
      </c>
    </row>
    <row r="10388" spans="1:1" x14ac:dyDescent="0.2">
      <c r="A10388">
        <v>10576</v>
      </c>
    </row>
    <row r="10389" spans="1:1" x14ac:dyDescent="0.2">
      <c r="A10389">
        <v>10577</v>
      </c>
    </row>
    <row r="10390" spans="1:1" x14ac:dyDescent="0.2">
      <c r="A10390">
        <v>10578</v>
      </c>
    </row>
    <row r="10391" spans="1:1" x14ac:dyDescent="0.2">
      <c r="A10391">
        <v>10579</v>
      </c>
    </row>
    <row r="10392" spans="1:1" x14ac:dyDescent="0.2">
      <c r="A10392">
        <v>10580</v>
      </c>
    </row>
    <row r="10393" spans="1:1" x14ac:dyDescent="0.2">
      <c r="A10393">
        <v>10581</v>
      </c>
    </row>
    <row r="10394" spans="1:1" x14ac:dyDescent="0.2">
      <c r="A10394">
        <v>10582</v>
      </c>
    </row>
    <row r="10395" spans="1:1" x14ac:dyDescent="0.2">
      <c r="A10395">
        <v>10583</v>
      </c>
    </row>
    <row r="10396" spans="1:1" x14ac:dyDescent="0.2">
      <c r="A10396">
        <v>10584</v>
      </c>
    </row>
    <row r="10397" spans="1:1" x14ac:dyDescent="0.2">
      <c r="A10397">
        <v>10585</v>
      </c>
    </row>
    <row r="10398" spans="1:1" x14ac:dyDescent="0.2">
      <c r="A10398">
        <v>10586</v>
      </c>
    </row>
    <row r="10399" spans="1:1" x14ac:dyDescent="0.2">
      <c r="A10399">
        <v>10587</v>
      </c>
    </row>
    <row r="10400" spans="1:1" x14ac:dyDescent="0.2">
      <c r="A10400">
        <v>10588</v>
      </c>
    </row>
    <row r="10401" spans="1:1" x14ac:dyDescent="0.2">
      <c r="A10401">
        <v>10589</v>
      </c>
    </row>
    <row r="10402" spans="1:1" x14ac:dyDescent="0.2">
      <c r="A10402">
        <v>10590</v>
      </c>
    </row>
    <row r="10403" spans="1:1" x14ac:dyDescent="0.2">
      <c r="A10403">
        <v>10591</v>
      </c>
    </row>
    <row r="10404" spans="1:1" x14ac:dyDescent="0.2">
      <c r="A10404">
        <v>10592</v>
      </c>
    </row>
    <row r="10405" spans="1:1" x14ac:dyDescent="0.2">
      <c r="A10405">
        <v>10593</v>
      </c>
    </row>
    <row r="10406" spans="1:1" x14ac:dyDescent="0.2">
      <c r="A10406">
        <v>10594</v>
      </c>
    </row>
    <row r="10407" spans="1:1" x14ac:dyDescent="0.2">
      <c r="A10407">
        <v>10595</v>
      </c>
    </row>
    <row r="10408" spans="1:1" x14ac:dyDescent="0.2">
      <c r="A10408">
        <v>10596</v>
      </c>
    </row>
    <row r="10409" spans="1:1" x14ac:dyDescent="0.2">
      <c r="A10409">
        <v>10597</v>
      </c>
    </row>
    <row r="10410" spans="1:1" x14ac:dyDescent="0.2">
      <c r="A10410">
        <v>10598</v>
      </c>
    </row>
    <row r="10411" spans="1:1" x14ac:dyDescent="0.2">
      <c r="A10411">
        <v>10599</v>
      </c>
    </row>
    <row r="10412" spans="1:1" x14ac:dyDescent="0.2">
      <c r="A10412">
        <v>10600</v>
      </c>
    </row>
    <row r="10413" spans="1:1" x14ac:dyDescent="0.2">
      <c r="A10413">
        <v>10601</v>
      </c>
    </row>
    <row r="10414" spans="1:1" x14ac:dyDescent="0.2">
      <c r="A10414">
        <v>10602</v>
      </c>
    </row>
    <row r="10415" spans="1:1" x14ac:dyDescent="0.2">
      <c r="A10415">
        <v>10603</v>
      </c>
    </row>
    <row r="10416" spans="1:1" x14ac:dyDescent="0.2">
      <c r="A10416">
        <v>10604</v>
      </c>
    </row>
    <row r="10417" spans="1:1" x14ac:dyDescent="0.2">
      <c r="A10417">
        <v>10605</v>
      </c>
    </row>
    <row r="10418" spans="1:1" x14ac:dyDescent="0.2">
      <c r="A10418">
        <v>10606</v>
      </c>
    </row>
    <row r="10419" spans="1:1" x14ac:dyDescent="0.2">
      <c r="A10419">
        <v>10607</v>
      </c>
    </row>
    <row r="10420" spans="1:1" x14ac:dyDescent="0.2">
      <c r="A10420">
        <v>10608</v>
      </c>
    </row>
    <row r="10421" spans="1:1" x14ac:dyDescent="0.2">
      <c r="A10421">
        <v>10609</v>
      </c>
    </row>
    <row r="10422" spans="1:1" x14ac:dyDescent="0.2">
      <c r="A10422">
        <v>10610</v>
      </c>
    </row>
    <row r="10423" spans="1:1" x14ac:dyDescent="0.2">
      <c r="A10423">
        <v>10611</v>
      </c>
    </row>
    <row r="10424" spans="1:1" x14ac:dyDescent="0.2">
      <c r="A10424">
        <v>10612</v>
      </c>
    </row>
    <row r="10425" spans="1:1" x14ac:dyDescent="0.2">
      <c r="A10425">
        <v>10613</v>
      </c>
    </row>
    <row r="10426" spans="1:1" x14ac:dyDescent="0.2">
      <c r="A10426">
        <v>10614</v>
      </c>
    </row>
    <row r="10427" spans="1:1" x14ac:dyDescent="0.2">
      <c r="A10427">
        <v>10615</v>
      </c>
    </row>
    <row r="10428" spans="1:1" x14ac:dyDescent="0.2">
      <c r="A10428">
        <v>10616</v>
      </c>
    </row>
    <row r="10429" spans="1:1" x14ac:dyDescent="0.2">
      <c r="A10429">
        <v>10617</v>
      </c>
    </row>
    <row r="10430" spans="1:1" x14ac:dyDescent="0.2">
      <c r="A10430">
        <v>10618</v>
      </c>
    </row>
    <row r="10431" spans="1:1" x14ac:dyDescent="0.2">
      <c r="A10431">
        <v>10619</v>
      </c>
    </row>
    <row r="10432" spans="1:1" x14ac:dyDescent="0.2">
      <c r="A10432">
        <v>10620</v>
      </c>
    </row>
    <row r="10433" spans="1:1" x14ac:dyDescent="0.2">
      <c r="A10433">
        <v>10621</v>
      </c>
    </row>
    <row r="10434" spans="1:1" x14ac:dyDescent="0.2">
      <c r="A10434">
        <v>10622</v>
      </c>
    </row>
    <row r="10435" spans="1:1" x14ac:dyDescent="0.2">
      <c r="A10435">
        <v>10623</v>
      </c>
    </row>
    <row r="10436" spans="1:1" x14ac:dyDescent="0.2">
      <c r="A10436">
        <v>10624</v>
      </c>
    </row>
    <row r="10437" spans="1:1" x14ac:dyDescent="0.2">
      <c r="A10437">
        <v>10625</v>
      </c>
    </row>
    <row r="10438" spans="1:1" x14ac:dyDescent="0.2">
      <c r="A10438">
        <v>10626</v>
      </c>
    </row>
    <row r="10439" spans="1:1" x14ac:dyDescent="0.2">
      <c r="A10439">
        <v>10627</v>
      </c>
    </row>
    <row r="10440" spans="1:1" x14ac:dyDescent="0.2">
      <c r="A10440">
        <v>10628</v>
      </c>
    </row>
    <row r="10441" spans="1:1" x14ac:dyDescent="0.2">
      <c r="A10441">
        <v>10629</v>
      </c>
    </row>
    <row r="10442" spans="1:1" x14ac:dyDescent="0.2">
      <c r="A10442">
        <v>10630</v>
      </c>
    </row>
    <row r="10443" spans="1:1" x14ac:dyDescent="0.2">
      <c r="A10443">
        <v>10631</v>
      </c>
    </row>
    <row r="10444" spans="1:1" x14ac:dyDescent="0.2">
      <c r="A10444">
        <v>10632</v>
      </c>
    </row>
    <row r="10445" spans="1:1" x14ac:dyDescent="0.2">
      <c r="A10445">
        <v>10633</v>
      </c>
    </row>
    <row r="10446" spans="1:1" x14ac:dyDescent="0.2">
      <c r="A10446">
        <v>10634</v>
      </c>
    </row>
    <row r="10447" spans="1:1" x14ac:dyDescent="0.2">
      <c r="A10447">
        <v>10635</v>
      </c>
    </row>
    <row r="10448" spans="1:1" x14ac:dyDescent="0.2">
      <c r="A10448">
        <v>10636</v>
      </c>
    </row>
    <row r="10449" spans="1:1" x14ac:dyDescent="0.2">
      <c r="A10449">
        <v>10637</v>
      </c>
    </row>
    <row r="10450" spans="1:1" x14ac:dyDescent="0.2">
      <c r="A10450">
        <v>10638</v>
      </c>
    </row>
    <row r="10451" spans="1:1" x14ac:dyDescent="0.2">
      <c r="A10451">
        <v>10639</v>
      </c>
    </row>
    <row r="10452" spans="1:1" x14ac:dyDescent="0.2">
      <c r="A10452">
        <v>10640</v>
      </c>
    </row>
    <row r="10453" spans="1:1" x14ac:dyDescent="0.2">
      <c r="A10453">
        <v>10641</v>
      </c>
    </row>
    <row r="10454" spans="1:1" x14ac:dyDescent="0.2">
      <c r="A10454">
        <v>10642</v>
      </c>
    </row>
    <row r="10455" spans="1:1" x14ac:dyDescent="0.2">
      <c r="A10455">
        <v>10643</v>
      </c>
    </row>
    <row r="10456" spans="1:1" x14ac:dyDescent="0.2">
      <c r="A10456">
        <v>10644</v>
      </c>
    </row>
    <row r="10457" spans="1:1" x14ac:dyDescent="0.2">
      <c r="A10457">
        <v>10645</v>
      </c>
    </row>
    <row r="10458" spans="1:1" x14ac:dyDescent="0.2">
      <c r="A10458">
        <v>10646</v>
      </c>
    </row>
    <row r="10459" spans="1:1" x14ac:dyDescent="0.2">
      <c r="A10459">
        <v>10647</v>
      </c>
    </row>
    <row r="10460" spans="1:1" x14ac:dyDescent="0.2">
      <c r="A10460">
        <v>10648</v>
      </c>
    </row>
    <row r="10461" spans="1:1" x14ac:dyDescent="0.2">
      <c r="A10461">
        <v>10649</v>
      </c>
    </row>
    <row r="10462" spans="1:1" x14ac:dyDescent="0.2">
      <c r="A10462">
        <v>10650</v>
      </c>
    </row>
    <row r="10463" spans="1:1" x14ac:dyDescent="0.2">
      <c r="A10463">
        <v>10651</v>
      </c>
    </row>
    <row r="10464" spans="1:1" x14ac:dyDescent="0.2">
      <c r="A10464">
        <v>10652</v>
      </c>
    </row>
    <row r="10465" spans="1:1" x14ac:dyDescent="0.2">
      <c r="A10465">
        <v>10653</v>
      </c>
    </row>
    <row r="10466" spans="1:1" x14ac:dyDescent="0.2">
      <c r="A10466">
        <v>10654</v>
      </c>
    </row>
    <row r="10467" spans="1:1" x14ac:dyDescent="0.2">
      <c r="A10467">
        <v>10655</v>
      </c>
    </row>
    <row r="10468" spans="1:1" x14ac:dyDescent="0.2">
      <c r="A10468">
        <v>10656</v>
      </c>
    </row>
    <row r="10469" spans="1:1" x14ac:dyDescent="0.2">
      <c r="A10469">
        <v>10657</v>
      </c>
    </row>
    <row r="10470" spans="1:1" x14ac:dyDescent="0.2">
      <c r="A10470">
        <v>10658</v>
      </c>
    </row>
    <row r="10471" spans="1:1" x14ac:dyDescent="0.2">
      <c r="A10471">
        <v>10659</v>
      </c>
    </row>
    <row r="10472" spans="1:1" x14ac:dyDescent="0.2">
      <c r="A10472">
        <v>10660</v>
      </c>
    </row>
    <row r="10473" spans="1:1" x14ac:dyDescent="0.2">
      <c r="A10473">
        <v>10661</v>
      </c>
    </row>
    <row r="10474" spans="1:1" x14ac:dyDescent="0.2">
      <c r="A10474">
        <v>10662</v>
      </c>
    </row>
    <row r="10475" spans="1:1" x14ac:dyDescent="0.2">
      <c r="A10475">
        <v>10663</v>
      </c>
    </row>
    <row r="10476" spans="1:1" x14ac:dyDescent="0.2">
      <c r="A10476">
        <v>10664</v>
      </c>
    </row>
    <row r="10477" spans="1:1" x14ac:dyDescent="0.2">
      <c r="A10477">
        <v>10665</v>
      </c>
    </row>
    <row r="10478" spans="1:1" x14ac:dyDescent="0.2">
      <c r="A10478">
        <v>10666</v>
      </c>
    </row>
    <row r="10479" spans="1:1" x14ac:dyDescent="0.2">
      <c r="A10479">
        <v>10667</v>
      </c>
    </row>
    <row r="10480" spans="1:1" x14ac:dyDescent="0.2">
      <c r="A10480">
        <v>10668</v>
      </c>
    </row>
    <row r="10481" spans="1:1" x14ac:dyDescent="0.2">
      <c r="A10481">
        <v>10669</v>
      </c>
    </row>
    <row r="10482" spans="1:1" x14ac:dyDescent="0.2">
      <c r="A10482">
        <v>10670</v>
      </c>
    </row>
    <row r="10483" spans="1:1" x14ac:dyDescent="0.2">
      <c r="A10483">
        <v>10671</v>
      </c>
    </row>
    <row r="10484" spans="1:1" x14ac:dyDescent="0.2">
      <c r="A10484">
        <v>10672</v>
      </c>
    </row>
    <row r="10485" spans="1:1" x14ac:dyDescent="0.2">
      <c r="A10485">
        <v>10673</v>
      </c>
    </row>
    <row r="10486" spans="1:1" x14ac:dyDescent="0.2">
      <c r="A10486">
        <v>10674</v>
      </c>
    </row>
    <row r="10487" spans="1:1" x14ac:dyDescent="0.2">
      <c r="A10487">
        <v>10675</v>
      </c>
    </row>
    <row r="10488" spans="1:1" x14ac:dyDescent="0.2">
      <c r="A10488">
        <v>10676</v>
      </c>
    </row>
    <row r="10489" spans="1:1" x14ac:dyDescent="0.2">
      <c r="A10489">
        <v>10677</v>
      </c>
    </row>
    <row r="10490" spans="1:1" x14ac:dyDescent="0.2">
      <c r="A10490">
        <v>10678</v>
      </c>
    </row>
    <row r="10491" spans="1:1" x14ac:dyDescent="0.2">
      <c r="A10491">
        <v>10679</v>
      </c>
    </row>
    <row r="10492" spans="1:1" x14ac:dyDescent="0.2">
      <c r="A10492">
        <v>10680</v>
      </c>
    </row>
    <row r="10493" spans="1:1" x14ac:dyDescent="0.2">
      <c r="A10493">
        <v>10681</v>
      </c>
    </row>
    <row r="10494" spans="1:1" x14ac:dyDescent="0.2">
      <c r="A10494">
        <v>10682</v>
      </c>
    </row>
    <row r="10495" spans="1:1" x14ac:dyDescent="0.2">
      <c r="A10495">
        <v>10683</v>
      </c>
    </row>
    <row r="10496" spans="1:1" x14ac:dyDescent="0.2">
      <c r="A10496">
        <v>10684</v>
      </c>
    </row>
    <row r="10497" spans="1:1" x14ac:dyDescent="0.2">
      <c r="A10497">
        <v>10685</v>
      </c>
    </row>
    <row r="10498" spans="1:1" x14ac:dyDescent="0.2">
      <c r="A10498">
        <v>10686</v>
      </c>
    </row>
    <row r="10499" spans="1:1" x14ac:dyDescent="0.2">
      <c r="A10499">
        <v>10687</v>
      </c>
    </row>
    <row r="10500" spans="1:1" x14ac:dyDescent="0.2">
      <c r="A10500">
        <v>10688</v>
      </c>
    </row>
    <row r="10501" spans="1:1" x14ac:dyDescent="0.2">
      <c r="A10501">
        <v>10689</v>
      </c>
    </row>
    <row r="10502" spans="1:1" x14ac:dyDescent="0.2">
      <c r="A10502">
        <v>10690</v>
      </c>
    </row>
    <row r="10503" spans="1:1" x14ac:dyDescent="0.2">
      <c r="A10503">
        <v>10691</v>
      </c>
    </row>
    <row r="10504" spans="1:1" x14ac:dyDescent="0.2">
      <c r="A10504">
        <v>10692</v>
      </c>
    </row>
    <row r="10505" spans="1:1" x14ac:dyDescent="0.2">
      <c r="A10505">
        <v>10693</v>
      </c>
    </row>
    <row r="10506" spans="1:1" x14ac:dyDescent="0.2">
      <c r="A10506">
        <v>10694</v>
      </c>
    </row>
    <row r="10507" spans="1:1" x14ac:dyDescent="0.2">
      <c r="A10507">
        <v>10695</v>
      </c>
    </row>
    <row r="10508" spans="1:1" x14ac:dyDescent="0.2">
      <c r="A10508">
        <v>10696</v>
      </c>
    </row>
    <row r="10509" spans="1:1" x14ac:dyDescent="0.2">
      <c r="A10509">
        <v>10697</v>
      </c>
    </row>
    <row r="10510" spans="1:1" x14ac:dyDescent="0.2">
      <c r="A10510">
        <v>10698</v>
      </c>
    </row>
    <row r="10511" spans="1:1" x14ac:dyDescent="0.2">
      <c r="A10511">
        <v>10699</v>
      </c>
    </row>
    <row r="10512" spans="1:1" x14ac:dyDescent="0.2">
      <c r="A10512">
        <v>10700</v>
      </c>
    </row>
    <row r="10513" spans="1:1" x14ac:dyDescent="0.2">
      <c r="A10513">
        <v>10701</v>
      </c>
    </row>
    <row r="10514" spans="1:1" x14ac:dyDescent="0.2">
      <c r="A10514">
        <v>10702</v>
      </c>
    </row>
    <row r="10515" spans="1:1" x14ac:dyDescent="0.2">
      <c r="A10515">
        <v>10703</v>
      </c>
    </row>
    <row r="10516" spans="1:1" x14ac:dyDescent="0.2">
      <c r="A10516">
        <v>10704</v>
      </c>
    </row>
    <row r="10517" spans="1:1" x14ac:dyDescent="0.2">
      <c r="A10517">
        <v>10705</v>
      </c>
    </row>
    <row r="10518" spans="1:1" x14ac:dyDescent="0.2">
      <c r="A10518">
        <v>10706</v>
      </c>
    </row>
    <row r="10519" spans="1:1" x14ac:dyDescent="0.2">
      <c r="A10519">
        <v>10707</v>
      </c>
    </row>
    <row r="10520" spans="1:1" x14ac:dyDescent="0.2">
      <c r="A10520">
        <v>10708</v>
      </c>
    </row>
    <row r="10521" spans="1:1" x14ac:dyDescent="0.2">
      <c r="A10521">
        <v>10709</v>
      </c>
    </row>
    <row r="10522" spans="1:1" x14ac:dyDescent="0.2">
      <c r="A10522">
        <v>10710</v>
      </c>
    </row>
    <row r="10523" spans="1:1" x14ac:dyDescent="0.2">
      <c r="A10523">
        <v>10711</v>
      </c>
    </row>
    <row r="10524" spans="1:1" x14ac:dyDescent="0.2">
      <c r="A10524">
        <v>10712</v>
      </c>
    </row>
    <row r="10525" spans="1:1" x14ac:dyDescent="0.2">
      <c r="A10525">
        <v>10713</v>
      </c>
    </row>
    <row r="10526" spans="1:1" x14ac:dyDescent="0.2">
      <c r="A10526">
        <v>10714</v>
      </c>
    </row>
    <row r="10527" spans="1:1" x14ac:dyDescent="0.2">
      <c r="A10527">
        <v>10715</v>
      </c>
    </row>
    <row r="10528" spans="1:1" x14ac:dyDescent="0.2">
      <c r="A10528">
        <v>10716</v>
      </c>
    </row>
    <row r="10529" spans="1:1" x14ac:dyDescent="0.2">
      <c r="A10529">
        <v>10717</v>
      </c>
    </row>
    <row r="10530" spans="1:1" x14ac:dyDescent="0.2">
      <c r="A10530">
        <v>10718</v>
      </c>
    </row>
    <row r="10531" spans="1:1" x14ac:dyDescent="0.2">
      <c r="A10531">
        <v>10719</v>
      </c>
    </row>
    <row r="10532" spans="1:1" x14ac:dyDescent="0.2">
      <c r="A10532">
        <v>10720</v>
      </c>
    </row>
    <row r="10533" spans="1:1" x14ac:dyDescent="0.2">
      <c r="A10533">
        <v>10721</v>
      </c>
    </row>
    <row r="10534" spans="1:1" x14ac:dyDescent="0.2">
      <c r="A10534">
        <v>10722</v>
      </c>
    </row>
    <row r="10535" spans="1:1" x14ac:dyDescent="0.2">
      <c r="A10535">
        <v>10723</v>
      </c>
    </row>
    <row r="10536" spans="1:1" x14ac:dyDescent="0.2">
      <c r="A10536">
        <v>10724</v>
      </c>
    </row>
    <row r="10537" spans="1:1" x14ac:dyDescent="0.2">
      <c r="A10537">
        <v>10725</v>
      </c>
    </row>
    <row r="10538" spans="1:1" x14ac:dyDescent="0.2">
      <c r="A10538">
        <v>10726</v>
      </c>
    </row>
    <row r="10539" spans="1:1" x14ac:dyDescent="0.2">
      <c r="A10539">
        <v>10727</v>
      </c>
    </row>
    <row r="10540" spans="1:1" x14ac:dyDescent="0.2">
      <c r="A10540">
        <v>10728</v>
      </c>
    </row>
    <row r="10541" spans="1:1" x14ac:dyDescent="0.2">
      <c r="A10541">
        <v>10729</v>
      </c>
    </row>
    <row r="10542" spans="1:1" x14ac:dyDescent="0.2">
      <c r="A10542">
        <v>10730</v>
      </c>
    </row>
    <row r="10543" spans="1:1" x14ac:dyDescent="0.2">
      <c r="A10543">
        <v>10731</v>
      </c>
    </row>
    <row r="10544" spans="1:1" x14ac:dyDescent="0.2">
      <c r="A10544">
        <v>10732</v>
      </c>
    </row>
    <row r="10545" spans="1:1" x14ac:dyDescent="0.2">
      <c r="A10545">
        <v>10733</v>
      </c>
    </row>
    <row r="10546" spans="1:1" x14ac:dyDescent="0.2">
      <c r="A10546">
        <v>10734</v>
      </c>
    </row>
    <row r="10547" spans="1:1" x14ac:dyDescent="0.2">
      <c r="A10547">
        <v>10735</v>
      </c>
    </row>
    <row r="10548" spans="1:1" x14ac:dyDescent="0.2">
      <c r="A10548">
        <v>10736</v>
      </c>
    </row>
    <row r="10549" spans="1:1" x14ac:dyDescent="0.2">
      <c r="A10549">
        <v>10737</v>
      </c>
    </row>
    <row r="10550" spans="1:1" x14ac:dyDescent="0.2">
      <c r="A10550">
        <v>10738</v>
      </c>
    </row>
    <row r="10551" spans="1:1" x14ac:dyDescent="0.2">
      <c r="A10551">
        <v>10739</v>
      </c>
    </row>
    <row r="10552" spans="1:1" x14ac:dyDescent="0.2">
      <c r="A10552">
        <v>10740</v>
      </c>
    </row>
    <row r="10553" spans="1:1" x14ac:dyDescent="0.2">
      <c r="A10553">
        <v>10741</v>
      </c>
    </row>
    <row r="10554" spans="1:1" x14ac:dyDescent="0.2">
      <c r="A10554">
        <v>10742</v>
      </c>
    </row>
    <row r="10555" spans="1:1" x14ac:dyDescent="0.2">
      <c r="A10555">
        <v>10743</v>
      </c>
    </row>
    <row r="10556" spans="1:1" x14ac:dyDescent="0.2">
      <c r="A10556">
        <v>10744</v>
      </c>
    </row>
    <row r="10557" spans="1:1" x14ac:dyDescent="0.2">
      <c r="A10557">
        <v>10745</v>
      </c>
    </row>
    <row r="10558" spans="1:1" x14ac:dyDescent="0.2">
      <c r="A10558">
        <v>10746</v>
      </c>
    </row>
    <row r="10559" spans="1:1" x14ac:dyDescent="0.2">
      <c r="A10559">
        <v>10747</v>
      </c>
    </row>
    <row r="10560" spans="1:1" x14ac:dyDescent="0.2">
      <c r="A10560">
        <v>10748</v>
      </c>
    </row>
    <row r="10561" spans="1:1" x14ac:dyDescent="0.2">
      <c r="A10561">
        <v>10749</v>
      </c>
    </row>
    <row r="10562" spans="1:1" x14ac:dyDescent="0.2">
      <c r="A10562">
        <v>10750</v>
      </c>
    </row>
    <row r="10563" spans="1:1" x14ac:dyDescent="0.2">
      <c r="A10563">
        <v>10751</v>
      </c>
    </row>
    <row r="10564" spans="1:1" x14ac:dyDescent="0.2">
      <c r="A10564">
        <v>10752</v>
      </c>
    </row>
    <row r="10565" spans="1:1" x14ac:dyDescent="0.2">
      <c r="A10565">
        <v>10753</v>
      </c>
    </row>
    <row r="10566" spans="1:1" x14ac:dyDescent="0.2">
      <c r="A10566">
        <v>10754</v>
      </c>
    </row>
    <row r="10567" spans="1:1" x14ac:dyDescent="0.2">
      <c r="A10567">
        <v>10755</v>
      </c>
    </row>
    <row r="10568" spans="1:1" x14ac:dyDescent="0.2">
      <c r="A10568">
        <v>10756</v>
      </c>
    </row>
    <row r="10569" spans="1:1" x14ac:dyDescent="0.2">
      <c r="A10569">
        <v>10757</v>
      </c>
    </row>
    <row r="10570" spans="1:1" x14ac:dyDescent="0.2">
      <c r="A10570">
        <v>10758</v>
      </c>
    </row>
    <row r="10571" spans="1:1" x14ac:dyDescent="0.2">
      <c r="A10571">
        <v>10759</v>
      </c>
    </row>
    <row r="10572" spans="1:1" x14ac:dyDescent="0.2">
      <c r="A10572">
        <v>10760</v>
      </c>
    </row>
    <row r="10573" spans="1:1" x14ac:dyDescent="0.2">
      <c r="A10573">
        <v>10761</v>
      </c>
    </row>
    <row r="10574" spans="1:1" x14ac:dyDescent="0.2">
      <c r="A10574">
        <v>10762</v>
      </c>
    </row>
    <row r="10575" spans="1:1" x14ac:dyDescent="0.2">
      <c r="A10575">
        <v>10763</v>
      </c>
    </row>
    <row r="10576" spans="1:1" x14ac:dyDescent="0.2">
      <c r="A10576">
        <v>10764</v>
      </c>
    </row>
    <row r="10577" spans="1:1" x14ac:dyDescent="0.2">
      <c r="A10577">
        <v>10765</v>
      </c>
    </row>
    <row r="10578" spans="1:1" x14ac:dyDescent="0.2">
      <c r="A10578">
        <v>10766</v>
      </c>
    </row>
    <row r="10579" spans="1:1" x14ac:dyDescent="0.2">
      <c r="A10579">
        <v>10767</v>
      </c>
    </row>
    <row r="10580" spans="1:1" x14ac:dyDescent="0.2">
      <c r="A10580">
        <v>10768</v>
      </c>
    </row>
    <row r="10581" spans="1:1" x14ac:dyDescent="0.2">
      <c r="A10581">
        <v>10769</v>
      </c>
    </row>
    <row r="10582" spans="1:1" x14ac:dyDescent="0.2">
      <c r="A10582">
        <v>10770</v>
      </c>
    </row>
    <row r="10583" spans="1:1" x14ac:dyDescent="0.2">
      <c r="A10583">
        <v>10771</v>
      </c>
    </row>
    <row r="10584" spans="1:1" x14ac:dyDescent="0.2">
      <c r="A10584">
        <v>10772</v>
      </c>
    </row>
    <row r="10585" spans="1:1" x14ac:dyDescent="0.2">
      <c r="A10585">
        <v>10773</v>
      </c>
    </row>
    <row r="10586" spans="1:1" x14ac:dyDescent="0.2">
      <c r="A10586">
        <v>10774</v>
      </c>
    </row>
    <row r="10587" spans="1:1" x14ac:dyDescent="0.2">
      <c r="A10587">
        <v>10775</v>
      </c>
    </row>
    <row r="10588" spans="1:1" x14ac:dyDescent="0.2">
      <c r="A10588">
        <v>10776</v>
      </c>
    </row>
    <row r="10589" spans="1:1" x14ac:dyDescent="0.2">
      <c r="A10589">
        <v>10777</v>
      </c>
    </row>
    <row r="10590" spans="1:1" x14ac:dyDescent="0.2">
      <c r="A10590">
        <v>10778</v>
      </c>
    </row>
    <row r="10591" spans="1:1" x14ac:dyDescent="0.2">
      <c r="A10591">
        <v>10779</v>
      </c>
    </row>
    <row r="10592" spans="1:1" x14ac:dyDescent="0.2">
      <c r="A10592">
        <v>10780</v>
      </c>
    </row>
    <row r="10593" spans="1:1" x14ac:dyDescent="0.2">
      <c r="A10593">
        <v>10781</v>
      </c>
    </row>
    <row r="10594" spans="1:1" x14ac:dyDescent="0.2">
      <c r="A10594">
        <v>10782</v>
      </c>
    </row>
    <row r="10595" spans="1:1" x14ac:dyDescent="0.2">
      <c r="A10595">
        <v>10783</v>
      </c>
    </row>
    <row r="10596" spans="1:1" x14ac:dyDescent="0.2">
      <c r="A10596">
        <v>10784</v>
      </c>
    </row>
    <row r="10597" spans="1:1" x14ac:dyDescent="0.2">
      <c r="A10597">
        <v>10785</v>
      </c>
    </row>
    <row r="10598" spans="1:1" x14ac:dyDescent="0.2">
      <c r="A10598">
        <v>10786</v>
      </c>
    </row>
    <row r="10599" spans="1:1" x14ac:dyDescent="0.2">
      <c r="A10599">
        <v>10787</v>
      </c>
    </row>
    <row r="10600" spans="1:1" x14ac:dyDescent="0.2">
      <c r="A10600">
        <v>10788</v>
      </c>
    </row>
    <row r="10601" spans="1:1" x14ac:dyDescent="0.2">
      <c r="A10601">
        <v>10789</v>
      </c>
    </row>
    <row r="10602" spans="1:1" x14ac:dyDescent="0.2">
      <c r="A10602">
        <v>10790</v>
      </c>
    </row>
    <row r="10603" spans="1:1" x14ac:dyDescent="0.2">
      <c r="A10603">
        <v>10791</v>
      </c>
    </row>
    <row r="10604" spans="1:1" x14ac:dyDescent="0.2">
      <c r="A10604">
        <v>10792</v>
      </c>
    </row>
    <row r="10605" spans="1:1" x14ac:dyDescent="0.2">
      <c r="A10605">
        <v>10793</v>
      </c>
    </row>
    <row r="10606" spans="1:1" x14ac:dyDescent="0.2">
      <c r="A10606">
        <v>10794</v>
      </c>
    </row>
    <row r="10607" spans="1:1" x14ac:dyDescent="0.2">
      <c r="A10607">
        <v>10795</v>
      </c>
    </row>
    <row r="10608" spans="1:1" x14ac:dyDescent="0.2">
      <c r="A10608">
        <v>10796</v>
      </c>
    </row>
    <row r="10609" spans="1:1" x14ac:dyDescent="0.2">
      <c r="A10609">
        <v>10797</v>
      </c>
    </row>
    <row r="10610" spans="1:1" x14ac:dyDescent="0.2">
      <c r="A10610">
        <v>10798</v>
      </c>
    </row>
    <row r="10611" spans="1:1" x14ac:dyDescent="0.2">
      <c r="A10611">
        <v>10799</v>
      </c>
    </row>
    <row r="10612" spans="1:1" x14ac:dyDescent="0.2">
      <c r="A10612">
        <v>10800</v>
      </c>
    </row>
    <row r="10613" spans="1:1" x14ac:dyDescent="0.2">
      <c r="A10613">
        <v>10801</v>
      </c>
    </row>
    <row r="10614" spans="1:1" x14ac:dyDescent="0.2">
      <c r="A10614">
        <v>10802</v>
      </c>
    </row>
    <row r="10615" spans="1:1" x14ac:dyDescent="0.2">
      <c r="A10615">
        <v>10803</v>
      </c>
    </row>
    <row r="10616" spans="1:1" x14ac:dyDescent="0.2">
      <c r="A10616">
        <v>10804</v>
      </c>
    </row>
    <row r="10617" spans="1:1" x14ac:dyDescent="0.2">
      <c r="A10617">
        <v>10805</v>
      </c>
    </row>
    <row r="10618" spans="1:1" x14ac:dyDescent="0.2">
      <c r="A10618">
        <v>10806</v>
      </c>
    </row>
    <row r="10619" spans="1:1" x14ac:dyDescent="0.2">
      <c r="A10619">
        <v>10807</v>
      </c>
    </row>
    <row r="10620" spans="1:1" x14ac:dyDescent="0.2">
      <c r="A10620">
        <v>10808</v>
      </c>
    </row>
    <row r="10621" spans="1:1" x14ac:dyDescent="0.2">
      <c r="A10621">
        <v>10809</v>
      </c>
    </row>
    <row r="10622" spans="1:1" x14ac:dyDescent="0.2">
      <c r="A10622">
        <v>10810</v>
      </c>
    </row>
    <row r="10623" spans="1:1" x14ac:dyDescent="0.2">
      <c r="A10623">
        <v>10811</v>
      </c>
    </row>
    <row r="10624" spans="1:1" x14ac:dyDescent="0.2">
      <c r="A10624">
        <v>10812</v>
      </c>
    </row>
    <row r="10625" spans="1:1" x14ac:dyDescent="0.2">
      <c r="A10625">
        <v>10813</v>
      </c>
    </row>
    <row r="10626" spans="1:1" x14ac:dyDescent="0.2">
      <c r="A10626">
        <v>10814</v>
      </c>
    </row>
    <row r="10627" spans="1:1" x14ac:dyDescent="0.2">
      <c r="A10627">
        <v>10815</v>
      </c>
    </row>
    <row r="10628" spans="1:1" x14ac:dyDescent="0.2">
      <c r="A10628">
        <v>10816</v>
      </c>
    </row>
    <row r="10629" spans="1:1" x14ac:dyDescent="0.2">
      <c r="A10629">
        <v>10817</v>
      </c>
    </row>
    <row r="10630" spans="1:1" x14ac:dyDescent="0.2">
      <c r="A10630">
        <v>10818</v>
      </c>
    </row>
    <row r="10631" spans="1:1" x14ac:dyDescent="0.2">
      <c r="A10631">
        <v>10819</v>
      </c>
    </row>
    <row r="10632" spans="1:1" x14ac:dyDescent="0.2">
      <c r="A10632">
        <v>10820</v>
      </c>
    </row>
    <row r="10633" spans="1:1" x14ac:dyDescent="0.2">
      <c r="A10633">
        <v>10821</v>
      </c>
    </row>
    <row r="10634" spans="1:1" x14ac:dyDescent="0.2">
      <c r="A10634">
        <v>10822</v>
      </c>
    </row>
    <row r="10635" spans="1:1" x14ac:dyDescent="0.2">
      <c r="A10635">
        <v>10823</v>
      </c>
    </row>
    <row r="10636" spans="1:1" x14ac:dyDescent="0.2">
      <c r="A10636">
        <v>10824</v>
      </c>
    </row>
    <row r="10637" spans="1:1" x14ac:dyDescent="0.2">
      <c r="A10637">
        <v>10825</v>
      </c>
    </row>
    <row r="10638" spans="1:1" x14ac:dyDescent="0.2">
      <c r="A10638">
        <v>10826</v>
      </c>
    </row>
    <row r="10639" spans="1:1" x14ac:dyDescent="0.2">
      <c r="A10639">
        <v>10827</v>
      </c>
    </row>
    <row r="10640" spans="1:1" x14ac:dyDescent="0.2">
      <c r="A10640">
        <v>10828</v>
      </c>
    </row>
    <row r="10641" spans="1:1" x14ac:dyDescent="0.2">
      <c r="A10641">
        <v>10829</v>
      </c>
    </row>
    <row r="10642" spans="1:1" x14ac:dyDescent="0.2">
      <c r="A10642">
        <v>10830</v>
      </c>
    </row>
    <row r="10643" spans="1:1" x14ac:dyDescent="0.2">
      <c r="A10643">
        <v>10831</v>
      </c>
    </row>
    <row r="10644" spans="1:1" x14ac:dyDescent="0.2">
      <c r="A10644">
        <v>10832</v>
      </c>
    </row>
    <row r="10645" spans="1:1" x14ac:dyDescent="0.2">
      <c r="A10645">
        <v>10833</v>
      </c>
    </row>
    <row r="10646" spans="1:1" x14ac:dyDescent="0.2">
      <c r="A10646">
        <v>10834</v>
      </c>
    </row>
    <row r="10647" spans="1:1" x14ac:dyDescent="0.2">
      <c r="A10647">
        <v>10835</v>
      </c>
    </row>
    <row r="10648" spans="1:1" x14ac:dyDescent="0.2">
      <c r="A10648">
        <v>10836</v>
      </c>
    </row>
    <row r="10649" spans="1:1" x14ac:dyDescent="0.2">
      <c r="A10649">
        <v>10837</v>
      </c>
    </row>
    <row r="10650" spans="1:1" x14ac:dyDescent="0.2">
      <c r="A10650">
        <v>10838</v>
      </c>
    </row>
    <row r="10651" spans="1:1" x14ac:dyDescent="0.2">
      <c r="A10651">
        <v>10839</v>
      </c>
    </row>
    <row r="10652" spans="1:1" x14ac:dyDescent="0.2">
      <c r="A10652">
        <v>10840</v>
      </c>
    </row>
    <row r="10653" spans="1:1" x14ac:dyDescent="0.2">
      <c r="A10653">
        <v>10841</v>
      </c>
    </row>
    <row r="10654" spans="1:1" x14ac:dyDescent="0.2">
      <c r="A10654">
        <v>10842</v>
      </c>
    </row>
    <row r="10655" spans="1:1" x14ac:dyDescent="0.2">
      <c r="A10655">
        <v>10843</v>
      </c>
    </row>
    <row r="10656" spans="1:1" x14ac:dyDescent="0.2">
      <c r="A10656">
        <v>10844</v>
      </c>
    </row>
    <row r="10657" spans="1:1" x14ac:dyDescent="0.2">
      <c r="A10657">
        <v>10845</v>
      </c>
    </row>
    <row r="10658" spans="1:1" x14ac:dyDescent="0.2">
      <c r="A10658">
        <v>10846</v>
      </c>
    </row>
    <row r="10659" spans="1:1" x14ac:dyDescent="0.2">
      <c r="A10659">
        <v>10847</v>
      </c>
    </row>
    <row r="10660" spans="1:1" x14ac:dyDescent="0.2">
      <c r="A10660">
        <v>10848</v>
      </c>
    </row>
    <row r="10661" spans="1:1" x14ac:dyDescent="0.2">
      <c r="A10661">
        <v>10849</v>
      </c>
    </row>
    <row r="10662" spans="1:1" x14ac:dyDescent="0.2">
      <c r="A10662">
        <v>10850</v>
      </c>
    </row>
    <row r="10663" spans="1:1" x14ac:dyDescent="0.2">
      <c r="A10663">
        <v>10851</v>
      </c>
    </row>
    <row r="10664" spans="1:1" x14ac:dyDescent="0.2">
      <c r="A10664">
        <v>10852</v>
      </c>
    </row>
    <row r="10665" spans="1:1" x14ac:dyDescent="0.2">
      <c r="A10665">
        <v>10853</v>
      </c>
    </row>
    <row r="10666" spans="1:1" x14ac:dyDescent="0.2">
      <c r="A10666">
        <v>10854</v>
      </c>
    </row>
    <row r="10667" spans="1:1" x14ac:dyDescent="0.2">
      <c r="A10667">
        <v>10855</v>
      </c>
    </row>
    <row r="10668" spans="1:1" x14ac:dyDescent="0.2">
      <c r="A10668">
        <v>10856</v>
      </c>
    </row>
    <row r="10669" spans="1:1" x14ac:dyDescent="0.2">
      <c r="A10669">
        <v>10857</v>
      </c>
    </row>
    <row r="10670" spans="1:1" x14ac:dyDescent="0.2">
      <c r="A10670">
        <v>10858</v>
      </c>
    </row>
    <row r="10671" spans="1:1" x14ac:dyDescent="0.2">
      <c r="A10671">
        <v>10859</v>
      </c>
    </row>
    <row r="10672" spans="1:1" x14ac:dyDescent="0.2">
      <c r="A10672">
        <v>10860</v>
      </c>
    </row>
    <row r="10673" spans="1:1" x14ac:dyDescent="0.2">
      <c r="A10673">
        <v>10861</v>
      </c>
    </row>
    <row r="10674" spans="1:1" x14ac:dyDescent="0.2">
      <c r="A10674">
        <v>10862</v>
      </c>
    </row>
    <row r="10675" spans="1:1" x14ac:dyDescent="0.2">
      <c r="A10675">
        <v>10863</v>
      </c>
    </row>
    <row r="10676" spans="1:1" x14ac:dyDescent="0.2">
      <c r="A10676">
        <v>10864</v>
      </c>
    </row>
    <row r="10677" spans="1:1" x14ac:dyDescent="0.2">
      <c r="A10677">
        <v>10865</v>
      </c>
    </row>
    <row r="10678" spans="1:1" x14ac:dyDescent="0.2">
      <c r="A10678">
        <v>10866</v>
      </c>
    </row>
    <row r="10679" spans="1:1" x14ac:dyDescent="0.2">
      <c r="A10679">
        <v>10867</v>
      </c>
    </row>
    <row r="10680" spans="1:1" x14ac:dyDescent="0.2">
      <c r="A10680">
        <v>10868</v>
      </c>
    </row>
    <row r="10681" spans="1:1" x14ac:dyDescent="0.2">
      <c r="A10681">
        <v>10869</v>
      </c>
    </row>
    <row r="10682" spans="1:1" x14ac:dyDescent="0.2">
      <c r="A10682">
        <v>10870</v>
      </c>
    </row>
    <row r="10683" spans="1:1" x14ac:dyDescent="0.2">
      <c r="A10683">
        <v>10871</v>
      </c>
    </row>
    <row r="10684" spans="1:1" x14ac:dyDescent="0.2">
      <c r="A10684">
        <v>10872</v>
      </c>
    </row>
    <row r="10685" spans="1:1" x14ac:dyDescent="0.2">
      <c r="A10685">
        <v>10873</v>
      </c>
    </row>
    <row r="10686" spans="1:1" x14ac:dyDescent="0.2">
      <c r="A10686">
        <v>10874</v>
      </c>
    </row>
    <row r="10687" spans="1:1" x14ac:dyDescent="0.2">
      <c r="A10687">
        <v>10875</v>
      </c>
    </row>
    <row r="10688" spans="1:1" x14ac:dyDescent="0.2">
      <c r="A10688">
        <v>10876</v>
      </c>
    </row>
    <row r="10689" spans="1:1" x14ac:dyDescent="0.2">
      <c r="A10689">
        <v>10877</v>
      </c>
    </row>
    <row r="10690" spans="1:1" x14ac:dyDescent="0.2">
      <c r="A10690">
        <v>10878</v>
      </c>
    </row>
    <row r="10691" spans="1:1" x14ac:dyDescent="0.2">
      <c r="A10691">
        <v>10879</v>
      </c>
    </row>
    <row r="10692" spans="1:1" x14ac:dyDescent="0.2">
      <c r="A10692">
        <v>10880</v>
      </c>
    </row>
    <row r="10693" spans="1:1" x14ac:dyDescent="0.2">
      <c r="A10693">
        <v>10881</v>
      </c>
    </row>
    <row r="10694" spans="1:1" x14ac:dyDescent="0.2">
      <c r="A10694">
        <v>10882</v>
      </c>
    </row>
    <row r="10695" spans="1:1" x14ac:dyDescent="0.2">
      <c r="A10695">
        <v>10883</v>
      </c>
    </row>
    <row r="10696" spans="1:1" x14ac:dyDescent="0.2">
      <c r="A10696">
        <v>10884</v>
      </c>
    </row>
    <row r="10697" spans="1:1" x14ac:dyDescent="0.2">
      <c r="A10697">
        <v>10885</v>
      </c>
    </row>
    <row r="10698" spans="1:1" x14ac:dyDescent="0.2">
      <c r="A10698">
        <v>10886</v>
      </c>
    </row>
    <row r="10699" spans="1:1" x14ac:dyDescent="0.2">
      <c r="A10699">
        <v>10887</v>
      </c>
    </row>
    <row r="10700" spans="1:1" x14ac:dyDescent="0.2">
      <c r="A10700">
        <v>10888</v>
      </c>
    </row>
    <row r="10701" spans="1:1" x14ac:dyDescent="0.2">
      <c r="A10701">
        <v>10889</v>
      </c>
    </row>
    <row r="10702" spans="1:1" x14ac:dyDescent="0.2">
      <c r="A10702">
        <v>10890</v>
      </c>
    </row>
    <row r="10703" spans="1:1" x14ac:dyDescent="0.2">
      <c r="A10703">
        <v>10891</v>
      </c>
    </row>
    <row r="10704" spans="1:1" x14ac:dyDescent="0.2">
      <c r="A10704">
        <v>10892</v>
      </c>
    </row>
    <row r="10705" spans="1:1" x14ac:dyDescent="0.2">
      <c r="A10705">
        <v>10893</v>
      </c>
    </row>
    <row r="10706" spans="1:1" x14ac:dyDescent="0.2">
      <c r="A10706">
        <v>10894</v>
      </c>
    </row>
    <row r="10707" spans="1:1" x14ac:dyDescent="0.2">
      <c r="A10707">
        <v>10895</v>
      </c>
    </row>
    <row r="10708" spans="1:1" x14ac:dyDescent="0.2">
      <c r="A10708">
        <v>10896</v>
      </c>
    </row>
    <row r="10709" spans="1:1" x14ac:dyDescent="0.2">
      <c r="A10709">
        <v>10897</v>
      </c>
    </row>
    <row r="10710" spans="1:1" x14ac:dyDescent="0.2">
      <c r="A10710">
        <v>10898</v>
      </c>
    </row>
    <row r="10711" spans="1:1" x14ac:dyDescent="0.2">
      <c r="A10711">
        <v>10899</v>
      </c>
    </row>
    <row r="10712" spans="1:1" x14ac:dyDescent="0.2">
      <c r="A10712">
        <v>10900</v>
      </c>
    </row>
    <row r="10713" spans="1:1" x14ac:dyDescent="0.2">
      <c r="A10713">
        <v>10901</v>
      </c>
    </row>
    <row r="10714" spans="1:1" x14ac:dyDescent="0.2">
      <c r="A10714">
        <v>10902</v>
      </c>
    </row>
    <row r="10715" spans="1:1" x14ac:dyDescent="0.2">
      <c r="A10715">
        <v>10903</v>
      </c>
    </row>
    <row r="10716" spans="1:1" x14ac:dyDescent="0.2">
      <c r="A10716">
        <v>10904</v>
      </c>
    </row>
    <row r="10717" spans="1:1" x14ac:dyDescent="0.2">
      <c r="A10717">
        <v>10905</v>
      </c>
    </row>
    <row r="10718" spans="1:1" x14ac:dyDescent="0.2">
      <c r="A10718">
        <v>10906</v>
      </c>
    </row>
    <row r="10719" spans="1:1" x14ac:dyDescent="0.2">
      <c r="A10719">
        <v>10907</v>
      </c>
    </row>
    <row r="10720" spans="1:1" x14ac:dyDescent="0.2">
      <c r="A10720">
        <v>10908</v>
      </c>
    </row>
    <row r="10721" spans="1:1" x14ac:dyDescent="0.2">
      <c r="A10721">
        <v>10909</v>
      </c>
    </row>
    <row r="10722" spans="1:1" x14ac:dyDescent="0.2">
      <c r="A10722">
        <v>10910</v>
      </c>
    </row>
    <row r="10723" spans="1:1" x14ac:dyDescent="0.2">
      <c r="A10723">
        <v>10911</v>
      </c>
    </row>
    <row r="10724" spans="1:1" x14ac:dyDescent="0.2">
      <c r="A10724">
        <v>10912</v>
      </c>
    </row>
    <row r="10725" spans="1:1" x14ac:dyDescent="0.2">
      <c r="A10725">
        <v>10913</v>
      </c>
    </row>
    <row r="10726" spans="1:1" x14ac:dyDescent="0.2">
      <c r="A10726">
        <v>10914</v>
      </c>
    </row>
    <row r="10727" spans="1:1" x14ac:dyDescent="0.2">
      <c r="A10727">
        <v>10915</v>
      </c>
    </row>
    <row r="10728" spans="1:1" x14ac:dyDescent="0.2">
      <c r="A10728">
        <v>10916</v>
      </c>
    </row>
    <row r="10729" spans="1:1" x14ac:dyDescent="0.2">
      <c r="A10729">
        <v>10917</v>
      </c>
    </row>
    <row r="10730" spans="1:1" x14ac:dyDescent="0.2">
      <c r="A10730">
        <v>10918</v>
      </c>
    </row>
    <row r="10731" spans="1:1" x14ac:dyDescent="0.2">
      <c r="A10731">
        <v>10919</v>
      </c>
    </row>
    <row r="10732" spans="1:1" x14ac:dyDescent="0.2">
      <c r="A10732">
        <v>10920</v>
      </c>
    </row>
    <row r="10733" spans="1:1" x14ac:dyDescent="0.2">
      <c r="A10733">
        <v>10921</v>
      </c>
    </row>
    <row r="10734" spans="1:1" x14ac:dyDescent="0.2">
      <c r="A10734">
        <v>10922</v>
      </c>
    </row>
    <row r="10735" spans="1:1" x14ac:dyDescent="0.2">
      <c r="A10735">
        <v>10923</v>
      </c>
    </row>
    <row r="10736" spans="1:1" x14ac:dyDescent="0.2">
      <c r="A10736">
        <v>10924</v>
      </c>
    </row>
    <row r="10737" spans="1:1" x14ac:dyDescent="0.2">
      <c r="A10737">
        <v>10925</v>
      </c>
    </row>
    <row r="10738" spans="1:1" x14ac:dyDescent="0.2">
      <c r="A10738">
        <v>10926</v>
      </c>
    </row>
    <row r="10739" spans="1:1" x14ac:dyDescent="0.2">
      <c r="A10739">
        <v>10927</v>
      </c>
    </row>
    <row r="10740" spans="1:1" x14ac:dyDescent="0.2">
      <c r="A10740">
        <v>10928</v>
      </c>
    </row>
    <row r="10741" spans="1:1" x14ac:dyDescent="0.2">
      <c r="A10741">
        <v>10929</v>
      </c>
    </row>
    <row r="10742" spans="1:1" x14ac:dyDescent="0.2">
      <c r="A10742">
        <v>10930</v>
      </c>
    </row>
    <row r="10743" spans="1:1" x14ac:dyDescent="0.2">
      <c r="A10743">
        <v>10931</v>
      </c>
    </row>
    <row r="10744" spans="1:1" x14ac:dyDescent="0.2">
      <c r="A10744">
        <v>10932</v>
      </c>
    </row>
    <row r="10745" spans="1:1" x14ac:dyDescent="0.2">
      <c r="A10745">
        <v>10933</v>
      </c>
    </row>
    <row r="10746" spans="1:1" x14ac:dyDescent="0.2">
      <c r="A10746">
        <v>10934</v>
      </c>
    </row>
    <row r="10747" spans="1:1" x14ac:dyDescent="0.2">
      <c r="A10747">
        <v>10935</v>
      </c>
    </row>
    <row r="10748" spans="1:1" x14ac:dyDescent="0.2">
      <c r="A10748">
        <v>10936</v>
      </c>
    </row>
    <row r="10749" spans="1:1" x14ac:dyDescent="0.2">
      <c r="A10749">
        <v>10937</v>
      </c>
    </row>
    <row r="10750" spans="1:1" x14ac:dyDescent="0.2">
      <c r="A10750">
        <v>10938</v>
      </c>
    </row>
    <row r="10751" spans="1:1" x14ac:dyDescent="0.2">
      <c r="A10751">
        <v>10939</v>
      </c>
    </row>
    <row r="10752" spans="1:1" x14ac:dyDescent="0.2">
      <c r="A10752">
        <v>10940</v>
      </c>
    </row>
    <row r="10753" spans="1:1" x14ac:dyDescent="0.2">
      <c r="A10753">
        <v>10941</v>
      </c>
    </row>
    <row r="10754" spans="1:1" x14ac:dyDescent="0.2">
      <c r="A10754">
        <v>10942</v>
      </c>
    </row>
    <row r="10755" spans="1:1" x14ac:dyDescent="0.2">
      <c r="A10755">
        <v>10943</v>
      </c>
    </row>
    <row r="10756" spans="1:1" x14ac:dyDescent="0.2">
      <c r="A10756">
        <v>10944</v>
      </c>
    </row>
    <row r="10757" spans="1:1" x14ac:dyDescent="0.2">
      <c r="A10757">
        <v>10945</v>
      </c>
    </row>
    <row r="10758" spans="1:1" x14ac:dyDescent="0.2">
      <c r="A10758">
        <v>10946</v>
      </c>
    </row>
    <row r="10759" spans="1:1" x14ac:dyDescent="0.2">
      <c r="A10759">
        <v>10947</v>
      </c>
    </row>
    <row r="10760" spans="1:1" x14ac:dyDescent="0.2">
      <c r="A10760">
        <v>10948</v>
      </c>
    </row>
    <row r="10761" spans="1:1" x14ac:dyDescent="0.2">
      <c r="A10761">
        <v>10949</v>
      </c>
    </row>
    <row r="10762" spans="1:1" x14ac:dyDescent="0.2">
      <c r="A10762">
        <v>10950</v>
      </c>
    </row>
    <row r="10763" spans="1:1" x14ac:dyDescent="0.2">
      <c r="A10763">
        <v>10951</v>
      </c>
    </row>
    <row r="10764" spans="1:1" x14ac:dyDescent="0.2">
      <c r="A10764">
        <v>10952</v>
      </c>
    </row>
    <row r="10765" spans="1:1" x14ac:dyDescent="0.2">
      <c r="A10765">
        <v>10953</v>
      </c>
    </row>
    <row r="10766" spans="1:1" x14ac:dyDescent="0.2">
      <c r="A10766">
        <v>10954</v>
      </c>
    </row>
    <row r="10767" spans="1:1" x14ac:dyDescent="0.2">
      <c r="A10767">
        <v>10955</v>
      </c>
    </row>
    <row r="10768" spans="1:1" x14ac:dyDescent="0.2">
      <c r="A10768">
        <v>10956</v>
      </c>
    </row>
    <row r="10769" spans="1:1" x14ac:dyDescent="0.2">
      <c r="A10769">
        <v>10957</v>
      </c>
    </row>
    <row r="10770" spans="1:1" x14ac:dyDescent="0.2">
      <c r="A10770">
        <v>10958</v>
      </c>
    </row>
    <row r="10771" spans="1:1" x14ac:dyDescent="0.2">
      <c r="A10771">
        <v>10959</v>
      </c>
    </row>
    <row r="10772" spans="1:1" x14ac:dyDescent="0.2">
      <c r="A10772">
        <v>10960</v>
      </c>
    </row>
    <row r="10773" spans="1:1" x14ac:dyDescent="0.2">
      <c r="A10773">
        <v>10961</v>
      </c>
    </row>
    <row r="10774" spans="1:1" x14ac:dyDescent="0.2">
      <c r="A10774">
        <v>10962</v>
      </c>
    </row>
    <row r="10775" spans="1:1" x14ac:dyDescent="0.2">
      <c r="A10775">
        <v>10963</v>
      </c>
    </row>
    <row r="10776" spans="1:1" x14ac:dyDescent="0.2">
      <c r="A10776">
        <v>10964</v>
      </c>
    </row>
    <row r="10777" spans="1:1" x14ac:dyDescent="0.2">
      <c r="A10777">
        <v>10965</v>
      </c>
    </row>
    <row r="10778" spans="1:1" x14ac:dyDescent="0.2">
      <c r="A10778">
        <v>10966</v>
      </c>
    </row>
    <row r="10779" spans="1:1" x14ac:dyDescent="0.2">
      <c r="A10779">
        <v>10967</v>
      </c>
    </row>
    <row r="10780" spans="1:1" x14ac:dyDescent="0.2">
      <c r="A10780">
        <v>10968</v>
      </c>
    </row>
    <row r="10781" spans="1:1" x14ac:dyDescent="0.2">
      <c r="A10781">
        <v>10969</v>
      </c>
    </row>
    <row r="10782" spans="1:1" x14ac:dyDescent="0.2">
      <c r="A10782">
        <v>10970</v>
      </c>
    </row>
    <row r="10783" spans="1:1" x14ac:dyDescent="0.2">
      <c r="A10783">
        <v>10971</v>
      </c>
    </row>
    <row r="10784" spans="1:1" x14ac:dyDescent="0.2">
      <c r="A10784">
        <v>10972</v>
      </c>
    </row>
    <row r="10785" spans="1:1" x14ac:dyDescent="0.2">
      <c r="A10785">
        <v>10973</v>
      </c>
    </row>
    <row r="10786" spans="1:1" x14ac:dyDescent="0.2">
      <c r="A10786">
        <v>10974</v>
      </c>
    </row>
    <row r="10787" spans="1:1" x14ac:dyDescent="0.2">
      <c r="A10787">
        <v>10975</v>
      </c>
    </row>
    <row r="10788" spans="1:1" x14ac:dyDescent="0.2">
      <c r="A10788">
        <v>10976</v>
      </c>
    </row>
    <row r="10789" spans="1:1" x14ac:dyDescent="0.2">
      <c r="A10789">
        <v>10977</v>
      </c>
    </row>
    <row r="10790" spans="1:1" x14ac:dyDescent="0.2">
      <c r="A10790">
        <v>10978</v>
      </c>
    </row>
    <row r="10791" spans="1:1" x14ac:dyDescent="0.2">
      <c r="A10791">
        <v>10979</v>
      </c>
    </row>
    <row r="10792" spans="1:1" x14ac:dyDescent="0.2">
      <c r="A10792">
        <v>10980</v>
      </c>
    </row>
    <row r="10793" spans="1:1" x14ac:dyDescent="0.2">
      <c r="A10793">
        <v>10981</v>
      </c>
    </row>
    <row r="10794" spans="1:1" x14ac:dyDescent="0.2">
      <c r="A10794">
        <v>10982</v>
      </c>
    </row>
    <row r="10795" spans="1:1" x14ac:dyDescent="0.2">
      <c r="A10795">
        <v>10983</v>
      </c>
    </row>
    <row r="10796" spans="1:1" x14ac:dyDescent="0.2">
      <c r="A10796">
        <v>10984</v>
      </c>
    </row>
    <row r="10797" spans="1:1" x14ac:dyDescent="0.2">
      <c r="A10797">
        <v>10985</v>
      </c>
    </row>
    <row r="10798" spans="1:1" x14ac:dyDescent="0.2">
      <c r="A10798">
        <v>10986</v>
      </c>
    </row>
    <row r="10799" spans="1:1" x14ac:dyDescent="0.2">
      <c r="A10799">
        <v>10987</v>
      </c>
    </row>
    <row r="10800" spans="1:1" x14ac:dyDescent="0.2">
      <c r="A10800">
        <v>10988</v>
      </c>
    </row>
    <row r="10801" spans="1:1" x14ac:dyDescent="0.2">
      <c r="A10801">
        <v>10989</v>
      </c>
    </row>
    <row r="10802" spans="1:1" x14ac:dyDescent="0.2">
      <c r="A10802">
        <v>10990</v>
      </c>
    </row>
    <row r="10803" spans="1:1" x14ac:dyDescent="0.2">
      <c r="A10803">
        <v>10991</v>
      </c>
    </row>
    <row r="10804" spans="1:1" x14ac:dyDescent="0.2">
      <c r="A10804">
        <v>10992</v>
      </c>
    </row>
    <row r="10805" spans="1:1" x14ac:dyDescent="0.2">
      <c r="A10805">
        <v>10993</v>
      </c>
    </row>
    <row r="10806" spans="1:1" x14ac:dyDescent="0.2">
      <c r="A10806">
        <v>10994</v>
      </c>
    </row>
    <row r="10807" spans="1:1" x14ac:dyDescent="0.2">
      <c r="A10807">
        <v>10995</v>
      </c>
    </row>
    <row r="10808" spans="1:1" x14ac:dyDescent="0.2">
      <c r="A10808">
        <v>10996</v>
      </c>
    </row>
    <row r="10809" spans="1:1" x14ac:dyDescent="0.2">
      <c r="A10809">
        <v>10997</v>
      </c>
    </row>
    <row r="10810" spans="1:1" x14ac:dyDescent="0.2">
      <c r="A10810">
        <v>10998</v>
      </c>
    </row>
    <row r="10811" spans="1:1" x14ac:dyDescent="0.2">
      <c r="A10811">
        <v>10999</v>
      </c>
    </row>
    <row r="10812" spans="1:1" x14ac:dyDescent="0.2">
      <c r="A10812">
        <v>11000</v>
      </c>
    </row>
    <row r="10813" spans="1:1" x14ac:dyDescent="0.2">
      <c r="A10813">
        <v>11001</v>
      </c>
    </row>
    <row r="10814" spans="1:1" x14ac:dyDescent="0.2">
      <c r="A10814">
        <v>11002</v>
      </c>
    </row>
    <row r="10815" spans="1:1" x14ac:dyDescent="0.2">
      <c r="A10815">
        <v>11003</v>
      </c>
    </row>
    <row r="10816" spans="1:1" x14ac:dyDescent="0.2">
      <c r="A10816">
        <v>11004</v>
      </c>
    </row>
    <row r="10817" spans="1:1" x14ac:dyDescent="0.2">
      <c r="A10817">
        <v>11005</v>
      </c>
    </row>
    <row r="10818" spans="1:1" x14ac:dyDescent="0.2">
      <c r="A10818">
        <v>11006</v>
      </c>
    </row>
    <row r="10819" spans="1:1" x14ac:dyDescent="0.2">
      <c r="A10819">
        <v>11007</v>
      </c>
    </row>
    <row r="10820" spans="1:1" x14ac:dyDescent="0.2">
      <c r="A10820">
        <v>11008</v>
      </c>
    </row>
    <row r="10821" spans="1:1" x14ac:dyDescent="0.2">
      <c r="A10821">
        <v>11009</v>
      </c>
    </row>
    <row r="10822" spans="1:1" x14ac:dyDescent="0.2">
      <c r="A10822">
        <v>11010</v>
      </c>
    </row>
    <row r="10823" spans="1:1" x14ac:dyDescent="0.2">
      <c r="A10823">
        <v>11011</v>
      </c>
    </row>
    <row r="10824" spans="1:1" x14ac:dyDescent="0.2">
      <c r="A10824">
        <v>11012</v>
      </c>
    </row>
    <row r="10825" spans="1:1" x14ac:dyDescent="0.2">
      <c r="A10825">
        <v>11013</v>
      </c>
    </row>
    <row r="10826" spans="1:1" x14ac:dyDescent="0.2">
      <c r="A10826">
        <v>11014</v>
      </c>
    </row>
    <row r="10827" spans="1:1" x14ac:dyDescent="0.2">
      <c r="A10827">
        <v>11015</v>
      </c>
    </row>
    <row r="10828" spans="1:1" x14ac:dyDescent="0.2">
      <c r="A10828">
        <v>11016</v>
      </c>
    </row>
    <row r="10829" spans="1:1" x14ac:dyDescent="0.2">
      <c r="A10829">
        <v>11017</v>
      </c>
    </row>
    <row r="10830" spans="1:1" x14ac:dyDescent="0.2">
      <c r="A10830">
        <v>11018</v>
      </c>
    </row>
    <row r="10831" spans="1:1" x14ac:dyDescent="0.2">
      <c r="A10831">
        <v>11019</v>
      </c>
    </row>
    <row r="10832" spans="1:1" x14ac:dyDescent="0.2">
      <c r="A10832">
        <v>11020</v>
      </c>
    </row>
    <row r="10833" spans="1:1" x14ac:dyDescent="0.2">
      <c r="A10833">
        <v>11021</v>
      </c>
    </row>
    <row r="10834" spans="1:1" x14ac:dyDescent="0.2">
      <c r="A10834">
        <v>11022</v>
      </c>
    </row>
    <row r="10835" spans="1:1" x14ac:dyDescent="0.2">
      <c r="A10835">
        <v>11023</v>
      </c>
    </row>
    <row r="10836" spans="1:1" x14ac:dyDescent="0.2">
      <c r="A10836">
        <v>11024</v>
      </c>
    </row>
    <row r="10837" spans="1:1" x14ac:dyDescent="0.2">
      <c r="A10837">
        <v>11025</v>
      </c>
    </row>
    <row r="10838" spans="1:1" x14ac:dyDescent="0.2">
      <c r="A10838">
        <v>11026</v>
      </c>
    </row>
    <row r="10839" spans="1:1" x14ac:dyDescent="0.2">
      <c r="A10839">
        <v>11027</v>
      </c>
    </row>
    <row r="10840" spans="1:1" x14ac:dyDescent="0.2">
      <c r="A10840">
        <v>11028</v>
      </c>
    </row>
    <row r="10841" spans="1:1" x14ac:dyDescent="0.2">
      <c r="A10841">
        <v>11029</v>
      </c>
    </row>
    <row r="10842" spans="1:1" x14ac:dyDescent="0.2">
      <c r="A10842">
        <v>11030</v>
      </c>
    </row>
    <row r="10843" spans="1:1" x14ac:dyDescent="0.2">
      <c r="A10843">
        <v>11031</v>
      </c>
    </row>
    <row r="10844" spans="1:1" x14ac:dyDescent="0.2">
      <c r="A10844">
        <v>11032</v>
      </c>
    </row>
    <row r="10845" spans="1:1" x14ac:dyDescent="0.2">
      <c r="A10845">
        <v>11033</v>
      </c>
    </row>
    <row r="10846" spans="1:1" x14ac:dyDescent="0.2">
      <c r="A10846">
        <v>11034</v>
      </c>
    </row>
    <row r="10847" spans="1:1" x14ac:dyDescent="0.2">
      <c r="A10847">
        <v>11035</v>
      </c>
    </row>
    <row r="10848" spans="1:1" x14ac:dyDescent="0.2">
      <c r="A10848">
        <v>11036</v>
      </c>
    </row>
    <row r="10849" spans="1:1" x14ac:dyDescent="0.2">
      <c r="A10849">
        <v>11037</v>
      </c>
    </row>
    <row r="10850" spans="1:1" x14ac:dyDescent="0.2">
      <c r="A10850">
        <v>11038</v>
      </c>
    </row>
    <row r="10851" spans="1:1" x14ac:dyDescent="0.2">
      <c r="A10851">
        <v>11039</v>
      </c>
    </row>
    <row r="10852" spans="1:1" x14ac:dyDescent="0.2">
      <c r="A10852">
        <v>11040</v>
      </c>
    </row>
    <row r="10853" spans="1:1" x14ac:dyDescent="0.2">
      <c r="A10853">
        <v>11041</v>
      </c>
    </row>
    <row r="10854" spans="1:1" x14ac:dyDescent="0.2">
      <c r="A10854">
        <v>11042</v>
      </c>
    </row>
    <row r="10855" spans="1:1" x14ac:dyDescent="0.2">
      <c r="A10855">
        <v>11043</v>
      </c>
    </row>
    <row r="10856" spans="1:1" x14ac:dyDescent="0.2">
      <c r="A10856">
        <v>11044</v>
      </c>
    </row>
    <row r="10857" spans="1:1" x14ac:dyDescent="0.2">
      <c r="A10857">
        <v>11045</v>
      </c>
    </row>
    <row r="10858" spans="1:1" x14ac:dyDescent="0.2">
      <c r="A10858">
        <v>11046</v>
      </c>
    </row>
    <row r="10859" spans="1:1" x14ac:dyDescent="0.2">
      <c r="A10859">
        <v>11047</v>
      </c>
    </row>
    <row r="10860" spans="1:1" x14ac:dyDescent="0.2">
      <c r="A10860">
        <v>11048</v>
      </c>
    </row>
    <row r="10861" spans="1:1" x14ac:dyDescent="0.2">
      <c r="A10861">
        <v>11049</v>
      </c>
    </row>
    <row r="10862" spans="1:1" x14ac:dyDescent="0.2">
      <c r="A10862">
        <v>11050</v>
      </c>
    </row>
    <row r="10863" spans="1:1" x14ac:dyDescent="0.2">
      <c r="A10863">
        <v>11051</v>
      </c>
    </row>
    <row r="10864" spans="1:1" x14ac:dyDescent="0.2">
      <c r="A10864">
        <v>11052</v>
      </c>
    </row>
    <row r="10865" spans="1:1" x14ac:dyDescent="0.2">
      <c r="A10865">
        <v>11053</v>
      </c>
    </row>
    <row r="10866" spans="1:1" x14ac:dyDescent="0.2">
      <c r="A10866">
        <v>11054</v>
      </c>
    </row>
    <row r="10867" spans="1:1" x14ac:dyDescent="0.2">
      <c r="A10867">
        <v>11055</v>
      </c>
    </row>
    <row r="10868" spans="1:1" x14ac:dyDescent="0.2">
      <c r="A10868">
        <v>11056</v>
      </c>
    </row>
    <row r="10869" spans="1:1" x14ac:dyDescent="0.2">
      <c r="A10869">
        <v>11057</v>
      </c>
    </row>
    <row r="10870" spans="1:1" x14ac:dyDescent="0.2">
      <c r="A10870">
        <v>11058</v>
      </c>
    </row>
    <row r="10871" spans="1:1" x14ac:dyDescent="0.2">
      <c r="A10871">
        <v>11059</v>
      </c>
    </row>
    <row r="10872" spans="1:1" x14ac:dyDescent="0.2">
      <c r="A10872">
        <v>11060</v>
      </c>
    </row>
    <row r="10873" spans="1:1" x14ac:dyDescent="0.2">
      <c r="A10873">
        <v>11061</v>
      </c>
    </row>
    <row r="10874" spans="1:1" x14ac:dyDescent="0.2">
      <c r="A10874">
        <v>11062</v>
      </c>
    </row>
    <row r="10875" spans="1:1" x14ac:dyDescent="0.2">
      <c r="A10875">
        <v>11063</v>
      </c>
    </row>
    <row r="10876" spans="1:1" x14ac:dyDescent="0.2">
      <c r="A10876">
        <v>11064</v>
      </c>
    </row>
    <row r="10877" spans="1:1" x14ac:dyDescent="0.2">
      <c r="A10877">
        <v>11065</v>
      </c>
    </row>
    <row r="10878" spans="1:1" x14ac:dyDescent="0.2">
      <c r="A10878">
        <v>11066</v>
      </c>
    </row>
    <row r="10879" spans="1:1" x14ac:dyDescent="0.2">
      <c r="A10879">
        <v>11067</v>
      </c>
    </row>
    <row r="10880" spans="1:1" x14ac:dyDescent="0.2">
      <c r="A10880">
        <v>11068</v>
      </c>
    </row>
    <row r="10881" spans="1:1" x14ac:dyDescent="0.2">
      <c r="A10881">
        <v>11069</v>
      </c>
    </row>
    <row r="10882" spans="1:1" x14ac:dyDescent="0.2">
      <c r="A10882">
        <v>11070</v>
      </c>
    </row>
    <row r="10883" spans="1:1" x14ac:dyDescent="0.2">
      <c r="A10883">
        <v>11071</v>
      </c>
    </row>
    <row r="10884" spans="1:1" x14ac:dyDescent="0.2">
      <c r="A10884">
        <v>11072</v>
      </c>
    </row>
    <row r="10885" spans="1:1" x14ac:dyDescent="0.2">
      <c r="A10885">
        <v>11073</v>
      </c>
    </row>
    <row r="10886" spans="1:1" x14ac:dyDescent="0.2">
      <c r="A10886">
        <v>11074</v>
      </c>
    </row>
    <row r="10887" spans="1:1" x14ac:dyDescent="0.2">
      <c r="A10887">
        <v>11075</v>
      </c>
    </row>
    <row r="10888" spans="1:1" x14ac:dyDescent="0.2">
      <c r="A10888">
        <v>11076</v>
      </c>
    </row>
    <row r="10889" spans="1:1" x14ac:dyDescent="0.2">
      <c r="A10889">
        <v>11077</v>
      </c>
    </row>
    <row r="10890" spans="1:1" x14ac:dyDescent="0.2">
      <c r="A10890">
        <v>11078</v>
      </c>
    </row>
    <row r="10891" spans="1:1" x14ac:dyDescent="0.2">
      <c r="A10891">
        <v>11079</v>
      </c>
    </row>
    <row r="10892" spans="1:1" x14ac:dyDescent="0.2">
      <c r="A10892">
        <v>11080</v>
      </c>
    </row>
    <row r="10893" spans="1:1" x14ac:dyDescent="0.2">
      <c r="A10893">
        <v>11081</v>
      </c>
    </row>
    <row r="10894" spans="1:1" x14ac:dyDescent="0.2">
      <c r="A10894">
        <v>11082</v>
      </c>
    </row>
    <row r="10895" spans="1:1" x14ac:dyDescent="0.2">
      <c r="A10895">
        <v>11083</v>
      </c>
    </row>
    <row r="10896" spans="1:1" x14ac:dyDescent="0.2">
      <c r="A10896">
        <v>11084</v>
      </c>
    </row>
    <row r="10897" spans="1:1" x14ac:dyDescent="0.2">
      <c r="A10897">
        <v>11085</v>
      </c>
    </row>
    <row r="10898" spans="1:1" x14ac:dyDescent="0.2">
      <c r="A10898">
        <v>11086</v>
      </c>
    </row>
    <row r="10899" spans="1:1" x14ac:dyDescent="0.2">
      <c r="A10899">
        <v>11087</v>
      </c>
    </row>
    <row r="10900" spans="1:1" x14ac:dyDescent="0.2">
      <c r="A10900">
        <v>11088</v>
      </c>
    </row>
    <row r="10901" spans="1:1" x14ac:dyDescent="0.2">
      <c r="A10901">
        <v>11089</v>
      </c>
    </row>
    <row r="10902" spans="1:1" x14ac:dyDescent="0.2">
      <c r="A10902">
        <v>11090</v>
      </c>
    </row>
    <row r="10903" spans="1:1" x14ac:dyDescent="0.2">
      <c r="A10903">
        <v>11091</v>
      </c>
    </row>
    <row r="10904" spans="1:1" x14ac:dyDescent="0.2">
      <c r="A10904">
        <v>11092</v>
      </c>
    </row>
    <row r="10905" spans="1:1" x14ac:dyDescent="0.2">
      <c r="A10905">
        <v>11093</v>
      </c>
    </row>
    <row r="10906" spans="1:1" x14ac:dyDescent="0.2">
      <c r="A10906">
        <v>11094</v>
      </c>
    </row>
    <row r="10907" spans="1:1" x14ac:dyDescent="0.2">
      <c r="A10907">
        <v>11095</v>
      </c>
    </row>
    <row r="10908" spans="1:1" x14ac:dyDescent="0.2">
      <c r="A10908">
        <v>11096</v>
      </c>
    </row>
    <row r="10909" spans="1:1" x14ac:dyDescent="0.2">
      <c r="A10909">
        <v>11097</v>
      </c>
    </row>
    <row r="10910" spans="1:1" x14ac:dyDescent="0.2">
      <c r="A10910">
        <v>11098</v>
      </c>
    </row>
    <row r="10911" spans="1:1" x14ac:dyDescent="0.2">
      <c r="A10911">
        <v>11099</v>
      </c>
    </row>
    <row r="10912" spans="1:1" x14ac:dyDescent="0.2">
      <c r="A10912">
        <v>11100</v>
      </c>
    </row>
    <row r="10913" spans="1:1" x14ac:dyDescent="0.2">
      <c r="A10913">
        <v>11101</v>
      </c>
    </row>
    <row r="10914" spans="1:1" x14ac:dyDescent="0.2">
      <c r="A10914">
        <v>11102</v>
      </c>
    </row>
    <row r="10915" spans="1:1" x14ac:dyDescent="0.2">
      <c r="A10915">
        <v>11103</v>
      </c>
    </row>
    <row r="10916" spans="1:1" x14ac:dyDescent="0.2">
      <c r="A10916">
        <v>11104</v>
      </c>
    </row>
    <row r="10917" spans="1:1" x14ac:dyDescent="0.2">
      <c r="A10917">
        <v>11105</v>
      </c>
    </row>
    <row r="10918" spans="1:1" x14ac:dyDescent="0.2">
      <c r="A10918">
        <v>11106</v>
      </c>
    </row>
    <row r="10919" spans="1:1" x14ac:dyDescent="0.2">
      <c r="A10919">
        <v>11107</v>
      </c>
    </row>
    <row r="10920" spans="1:1" x14ac:dyDescent="0.2">
      <c r="A10920">
        <v>11108</v>
      </c>
    </row>
    <row r="10921" spans="1:1" x14ac:dyDescent="0.2">
      <c r="A10921">
        <v>11109</v>
      </c>
    </row>
    <row r="10922" spans="1:1" x14ac:dyDescent="0.2">
      <c r="A10922">
        <v>11110</v>
      </c>
    </row>
    <row r="10923" spans="1:1" x14ac:dyDescent="0.2">
      <c r="A10923">
        <v>11111</v>
      </c>
    </row>
    <row r="10924" spans="1:1" x14ac:dyDescent="0.2">
      <c r="A10924">
        <v>11112</v>
      </c>
    </row>
    <row r="10925" spans="1:1" x14ac:dyDescent="0.2">
      <c r="A10925">
        <v>11113</v>
      </c>
    </row>
    <row r="10926" spans="1:1" x14ac:dyDescent="0.2">
      <c r="A10926">
        <v>11114</v>
      </c>
    </row>
    <row r="10927" spans="1:1" x14ac:dyDescent="0.2">
      <c r="A10927">
        <v>11115</v>
      </c>
    </row>
    <row r="10928" spans="1:1" x14ac:dyDescent="0.2">
      <c r="A10928">
        <v>11116</v>
      </c>
    </row>
    <row r="10929" spans="1:1" x14ac:dyDescent="0.2">
      <c r="A10929">
        <v>11117</v>
      </c>
    </row>
    <row r="10930" spans="1:1" x14ac:dyDescent="0.2">
      <c r="A10930">
        <v>11118</v>
      </c>
    </row>
    <row r="10931" spans="1:1" x14ac:dyDescent="0.2">
      <c r="A10931">
        <v>11119</v>
      </c>
    </row>
    <row r="10932" spans="1:1" x14ac:dyDescent="0.2">
      <c r="A10932">
        <v>11120</v>
      </c>
    </row>
    <row r="10933" spans="1:1" x14ac:dyDescent="0.2">
      <c r="A10933">
        <v>11121</v>
      </c>
    </row>
    <row r="10934" spans="1:1" x14ac:dyDescent="0.2">
      <c r="A10934">
        <v>11122</v>
      </c>
    </row>
    <row r="10935" spans="1:1" x14ac:dyDescent="0.2">
      <c r="A10935">
        <v>11123</v>
      </c>
    </row>
    <row r="10936" spans="1:1" x14ac:dyDescent="0.2">
      <c r="A10936">
        <v>11124</v>
      </c>
    </row>
    <row r="10937" spans="1:1" x14ac:dyDescent="0.2">
      <c r="A10937">
        <v>11125</v>
      </c>
    </row>
    <row r="10938" spans="1:1" x14ac:dyDescent="0.2">
      <c r="A10938">
        <v>11126</v>
      </c>
    </row>
    <row r="10939" spans="1:1" x14ac:dyDescent="0.2">
      <c r="A10939">
        <v>11127</v>
      </c>
    </row>
    <row r="10940" spans="1:1" x14ac:dyDescent="0.2">
      <c r="A10940">
        <v>11128</v>
      </c>
    </row>
    <row r="10941" spans="1:1" x14ac:dyDescent="0.2">
      <c r="A10941">
        <v>11129</v>
      </c>
    </row>
    <row r="10942" spans="1:1" x14ac:dyDescent="0.2">
      <c r="A10942">
        <v>11130</v>
      </c>
    </row>
    <row r="10943" spans="1:1" x14ac:dyDescent="0.2">
      <c r="A10943">
        <v>11131</v>
      </c>
    </row>
    <row r="10944" spans="1:1" x14ac:dyDescent="0.2">
      <c r="A10944">
        <v>11132</v>
      </c>
    </row>
    <row r="10945" spans="1:1" x14ac:dyDescent="0.2">
      <c r="A10945">
        <v>11133</v>
      </c>
    </row>
    <row r="10946" spans="1:1" x14ac:dyDescent="0.2">
      <c r="A10946">
        <v>11134</v>
      </c>
    </row>
    <row r="10947" spans="1:1" x14ac:dyDescent="0.2">
      <c r="A10947">
        <v>11135</v>
      </c>
    </row>
    <row r="10948" spans="1:1" x14ac:dyDescent="0.2">
      <c r="A10948">
        <v>11136</v>
      </c>
    </row>
    <row r="10949" spans="1:1" x14ac:dyDescent="0.2">
      <c r="A10949">
        <v>11137</v>
      </c>
    </row>
    <row r="10950" spans="1:1" x14ac:dyDescent="0.2">
      <c r="A10950">
        <v>11138</v>
      </c>
    </row>
    <row r="10951" spans="1:1" x14ac:dyDescent="0.2">
      <c r="A10951">
        <v>11139</v>
      </c>
    </row>
    <row r="10952" spans="1:1" x14ac:dyDescent="0.2">
      <c r="A10952">
        <v>11140</v>
      </c>
    </row>
    <row r="10953" spans="1:1" x14ac:dyDescent="0.2">
      <c r="A10953">
        <v>11141</v>
      </c>
    </row>
    <row r="10954" spans="1:1" x14ac:dyDescent="0.2">
      <c r="A10954">
        <v>11142</v>
      </c>
    </row>
    <row r="10955" spans="1:1" x14ac:dyDescent="0.2">
      <c r="A10955">
        <v>11143</v>
      </c>
    </row>
    <row r="10956" spans="1:1" x14ac:dyDescent="0.2">
      <c r="A10956">
        <v>11144</v>
      </c>
    </row>
    <row r="10957" spans="1:1" x14ac:dyDescent="0.2">
      <c r="A10957">
        <v>11145</v>
      </c>
    </row>
    <row r="10958" spans="1:1" x14ac:dyDescent="0.2">
      <c r="A10958">
        <v>11146</v>
      </c>
    </row>
    <row r="10959" spans="1:1" x14ac:dyDescent="0.2">
      <c r="A10959">
        <v>11147</v>
      </c>
    </row>
    <row r="10960" spans="1:1" x14ac:dyDescent="0.2">
      <c r="A10960">
        <v>11148</v>
      </c>
    </row>
    <row r="10961" spans="1:1" x14ac:dyDescent="0.2">
      <c r="A10961">
        <v>11149</v>
      </c>
    </row>
    <row r="10962" spans="1:1" x14ac:dyDescent="0.2">
      <c r="A10962">
        <v>11150</v>
      </c>
    </row>
    <row r="10963" spans="1:1" x14ac:dyDescent="0.2">
      <c r="A10963">
        <v>11151</v>
      </c>
    </row>
    <row r="10964" spans="1:1" x14ac:dyDescent="0.2">
      <c r="A10964">
        <v>11152</v>
      </c>
    </row>
    <row r="10965" spans="1:1" x14ac:dyDescent="0.2">
      <c r="A10965">
        <v>11153</v>
      </c>
    </row>
    <row r="10966" spans="1:1" x14ac:dyDescent="0.2">
      <c r="A10966">
        <v>11154</v>
      </c>
    </row>
    <row r="10967" spans="1:1" x14ac:dyDescent="0.2">
      <c r="A10967">
        <v>11155</v>
      </c>
    </row>
    <row r="10968" spans="1:1" x14ac:dyDescent="0.2">
      <c r="A10968">
        <v>11156</v>
      </c>
    </row>
    <row r="10969" spans="1:1" x14ac:dyDescent="0.2">
      <c r="A10969">
        <v>11157</v>
      </c>
    </row>
    <row r="10970" spans="1:1" x14ac:dyDescent="0.2">
      <c r="A10970">
        <v>11158</v>
      </c>
    </row>
    <row r="10971" spans="1:1" x14ac:dyDescent="0.2">
      <c r="A10971">
        <v>11159</v>
      </c>
    </row>
    <row r="10972" spans="1:1" x14ac:dyDescent="0.2">
      <c r="A10972">
        <v>11160</v>
      </c>
    </row>
    <row r="10973" spans="1:1" x14ac:dyDescent="0.2">
      <c r="A10973">
        <v>11161</v>
      </c>
    </row>
    <row r="10974" spans="1:1" x14ac:dyDescent="0.2">
      <c r="A10974">
        <v>11162</v>
      </c>
    </row>
    <row r="10975" spans="1:1" x14ac:dyDescent="0.2">
      <c r="A10975">
        <v>11163</v>
      </c>
    </row>
    <row r="10976" spans="1:1" x14ac:dyDescent="0.2">
      <c r="A10976">
        <v>11164</v>
      </c>
    </row>
    <row r="10977" spans="1:1" x14ac:dyDescent="0.2">
      <c r="A10977">
        <v>11165</v>
      </c>
    </row>
    <row r="10978" spans="1:1" x14ac:dyDescent="0.2">
      <c r="A10978">
        <v>11166</v>
      </c>
    </row>
    <row r="10979" spans="1:1" x14ac:dyDescent="0.2">
      <c r="A10979">
        <v>11167</v>
      </c>
    </row>
    <row r="10980" spans="1:1" x14ac:dyDescent="0.2">
      <c r="A10980">
        <v>11168</v>
      </c>
    </row>
    <row r="10981" spans="1:1" x14ac:dyDescent="0.2">
      <c r="A10981">
        <v>11169</v>
      </c>
    </row>
    <row r="10982" spans="1:1" x14ac:dyDescent="0.2">
      <c r="A10982">
        <v>11170</v>
      </c>
    </row>
    <row r="10983" spans="1:1" x14ac:dyDescent="0.2">
      <c r="A10983">
        <v>11171</v>
      </c>
    </row>
    <row r="10984" spans="1:1" x14ac:dyDescent="0.2">
      <c r="A10984">
        <v>11172</v>
      </c>
    </row>
    <row r="10985" spans="1:1" x14ac:dyDescent="0.2">
      <c r="A10985">
        <v>11173</v>
      </c>
    </row>
    <row r="10986" spans="1:1" x14ac:dyDescent="0.2">
      <c r="A10986">
        <v>11174</v>
      </c>
    </row>
    <row r="10987" spans="1:1" x14ac:dyDescent="0.2">
      <c r="A10987">
        <v>11175</v>
      </c>
    </row>
    <row r="10988" spans="1:1" x14ac:dyDescent="0.2">
      <c r="A10988">
        <v>11176</v>
      </c>
    </row>
    <row r="10989" spans="1:1" x14ac:dyDescent="0.2">
      <c r="A10989">
        <v>11177</v>
      </c>
    </row>
    <row r="10990" spans="1:1" x14ac:dyDescent="0.2">
      <c r="A10990">
        <v>11178</v>
      </c>
    </row>
    <row r="10991" spans="1:1" x14ac:dyDescent="0.2">
      <c r="A10991">
        <v>11179</v>
      </c>
    </row>
    <row r="10992" spans="1:1" x14ac:dyDescent="0.2">
      <c r="A10992">
        <v>11180</v>
      </c>
    </row>
    <row r="10993" spans="1:1" x14ac:dyDescent="0.2">
      <c r="A10993">
        <v>11181</v>
      </c>
    </row>
    <row r="10994" spans="1:1" x14ac:dyDescent="0.2">
      <c r="A10994">
        <v>11182</v>
      </c>
    </row>
    <row r="10995" spans="1:1" x14ac:dyDescent="0.2">
      <c r="A10995">
        <v>11183</v>
      </c>
    </row>
    <row r="10996" spans="1:1" x14ac:dyDescent="0.2">
      <c r="A10996">
        <v>11184</v>
      </c>
    </row>
    <row r="10997" spans="1:1" x14ac:dyDescent="0.2">
      <c r="A10997">
        <v>11185</v>
      </c>
    </row>
    <row r="10998" spans="1:1" x14ac:dyDescent="0.2">
      <c r="A10998">
        <v>11186</v>
      </c>
    </row>
    <row r="10999" spans="1:1" x14ac:dyDescent="0.2">
      <c r="A10999">
        <v>11187</v>
      </c>
    </row>
    <row r="11000" spans="1:1" x14ac:dyDescent="0.2">
      <c r="A11000">
        <v>11188</v>
      </c>
    </row>
    <row r="11001" spans="1:1" x14ac:dyDescent="0.2">
      <c r="A11001">
        <v>11189</v>
      </c>
    </row>
    <row r="11002" spans="1:1" x14ac:dyDescent="0.2">
      <c r="A11002">
        <v>11190</v>
      </c>
    </row>
    <row r="11003" spans="1:1" x14ac:dyDescent="0.2">
      <c r="A11003">
        <v>11191</v>
      </c>
    </row>
    <row r="11004" spans="1:1" x14ac:dyDescent="0.2">
      <c r="A11004">
        <v>11192</v>
      </c>
    </row>
    <row r="11005" spans="1:1" x14ac:dyDescent="0.2">
      <c r="A11005">
        <v>11193</v>
      </c>
    </row>
    <row r="11006" spans="1:1" x14ac:dyDescent="0.2">
      <c r="A11006">
        <v>11194</v>
      </c>
    </row>
    <row r="11007" spans="1:1" x14ac:dyDescent="0.2">
      <c r="A11007">
        <v>11195</v>
      </c>
    </row>
    <row r="11008" spans="1:1" x14ac:dyDescent="0.2">
      <c r="A11008">
        <v>11196</v>
      </c>
    </row>
    <row r="11009" spans="1:1" x14ac:dyDescent="0.2">
      <c r="A11009">
        <v>11197</v>
      </c>
    </row>
    <row r="11010" spans="1:1" x14ac:dyDescent="0.2">
      <c r="A11010">
        <v>11198</v>
      </c>
    </row>
    <row r="11011" spans="1:1" x14ac:dyDescent="0.2">
      <c r="A11011">
        <v>11199</v>
      </c>
    </row>
    <row r="11012" spans="1:1" x14ac:dyDescent="0.2">
      <c r="A11012">
        <v>11200</v>
      </c>
    </row>
    <row r="11013" spans="1:1" x14ac:dyDescent="0.2">
      <c r="A11013">
        <v>11201</v>
      </c>
    </row>
    <row r="11014" spans="1:1" x14ac:dyDescent="0.2">
      <c r="A11014">
        <v>11202</v>
      </c>
    </row>
    <row r="11015" spans="1:1" x14ac:dyDescent="0.2">
      <c r="A11015">
        <v>11203</v>
      </c>
    </row>
    <row r="11016" spans="1:1" x14ac:dyDescent="0.2">
      <c r="A11016">
        <v>11204</v>
      </c>
    </row>
    <row r="11017" spans="1:1" x14ac:dyDescent="0.2">
      <c r="A11017">
        <v>11205</v>
      </c>
    </row>
    <row r="11018" spans="1:1" x14ac:dyDescent="0.2">
      <c r="A11018">
        <v>11206</v>
      </c>
    </row>
    <row r="11019" spans="1:1" x14ac:dyDescent="0.2">
      <c r="A11019">
        <v>11207</v>
      </c>
    </row>
    <row r="11020" spans="1:1" x14ac:dyDescent="0.2">
      <c r="A11020">
        <v>11208</v>
      </c>
    </row>
    <row r="11021" spans="1:1" x14ac:dyDescent="0.2">
      <c r="A11021">
        <v>11209</v>
      </c>
    </row>
    <row r="11022" spans="1:1" x14ac:dyDescent="0.2">
      <c r="A11022">
        <v>11210</v>
      </c>
    </row>
    <row r="11023" spans="1:1" x14ac:dyDescent="0.2">
      <c r="A11023">
        <v>11211</v>
      </c>
    </row>
    <row r="11024" spans="1:1" x14ac:dyDescent="0.2">
      <c r="A11024">
        <v>11212</v>
      </c>
    </row>
    <row r="11025" spans="1:1" x14ac:dyDescent="0.2">
      <c r="A11025">
        <v>11213</v>
      </c>
    </row>
    <row r="11026" spans="1:1" x14ac:dyDescent="0.2">
      <c r="A11026">
        <v>11214</v>
      </c>
    </row>
    <row r="11027" spans="1:1" x14ac:dyDescent="0.2">
      <c r="A11027">
        <v>11215</v>
      </c>
    </row>
    <row r="11028" spans="1:1" x14ac:dyDescent="0.2">
      <c r="A11028">
        <v>11216</v>
      </c>
    </row>
    <row r="11029" spans="1:1" x14ac:dyDescent="0.2">
      <c r="A11029">
        <v>11217</v>
      </c>
    </row>
    <row r="11030" spans="1:1" x14ac:dyDescent="0.2">
      <c r="A11030">
        <v>11218</v>
      </c>
    </row>
    <row r="11031" spans="1:1" x14ac:dyDescent="0.2">
      <c r="A11031">
        <v>11219</v>
      </c>
    </row>
    <row r="11032" spans="1:1" x14ac:dyDescent="0.2">
      <c r="A11032">
        <v>11220</v>
      </c>
    </row>
    <row r="11033" spans="1:1" x14ac:dyDescent="0.2">
      <c r="A11033">
        <v>11221</v>
      </c>
    </row>
    <row r="11034" spans="1:1" x14ac:dyDescent="0.2">
      <c r="A11034">
        <v>11222</v>
      </c>
    </row>
    <row r="11035" spans="1:1" x14ac:dyDescent="0.2">
      <c r="A11035">
        <v>11223</v>
      </c>
    </row>
    <row r="11036" spans="1:1" x14ac:dyDescent="0.2">
      <c r="A11036">
        <v>11224</v>
      </c>
    </row>
    <row r="11037" spans="1:1" x14ac:dyDescent="0.2">
      <c r="A11037">
        <v>11225</v>
      </c>
    </row>
    <row r="11038" spans="1:1" x14ac:dyDescent="0.2">
      <c r="A11038">
        <v>11226</v>
      </c>
    </row>
    <row r="11039" spans="1:1" x14ac:dyDescent="0.2">
      <c r="A11039">
        <v>11227</v>
      </c>
    </row>
    <row r="11040" spans="1:1" x14ac:dyDescent="0.2">
      <c r="A11040">
        <v>11228</v>
      </c>
    </row>
    <row r="11041" spans="1:1" x14ac:dyDescent="0.2">
      <c r="A11041">
        <v>11229</v>
      </c>
    </row>
    <row r="11042" spans="1:1" x14ac:dyDescent="0.2">
      <c r="A11042">
        <v>11230</v>
      </c>
    </row>
    <row r="11043" spans="1:1" x14ac:dyDescent="0.2">
      <c r="A11043">
        <v>11231</v>
      </c>
    </row>
    <row r="11044" spans="1:1" x14ac:dyDescent="0.2">
      <c r="A11044">
        <v>11232</v>
      </c>
    </row>
    <row r="11045" spans="1:1" x14ac:dyDescent="0.2">
      <c r="A11045">
        <v>11233</v>
      </c>
    </row>
    <row r="11046" spans="1:1" x14ac:dyDescent="0.2">
      <c r="A11046">
        <v>11234</v>
      </c>
    </row>
    <row r="11047" spans="1:1" x14ac:dyDescent="0.2">
      <c r="A11047">
        <v>11235</v>
      </c>
    </row>
    <row r="11048" spans="1:1" x14ac:dyDescent="0.2">
      <c r="A11048">
        <v>11236</v>
      </c>
    </row>
    <row r="11049" spans="1:1" x14ac:dyDescent="0.2">
      <c r="A11049">
        <v>11237</v>
      </c>
    </row>
    <row r="11050" spans="1:1" x14ac:dyDescent="0.2">
      <c r="A11050">
        <v>11238</v>
      </c>
    </row>
    <row r="11051" spans="1:1" x14ac:dyDescent="0.2">
      <c r="A11051">
        <v>11239</v>
      </c>
    </row>
    <row r="11052" spans="1:1" x14ac:dyDescent="0.2">
      <c r="A11052">
        <v>11240</v>
      </c>
    </row>
    <row r="11053" spans="1:1" x14ac:dyDescent="0.2">
      <c r="A11053">
        <v>11241</v>
      </c>
    </row>
    <row r="11054" spans="1:1" x14ac:dyDescent="0.2">
      <c r="A11054">
        <v>11242</v>
      </c>
    </row>
    <row r="11055" spans="1:1" x14ac:dyDescent="0.2">
      <c r="A11055">
        <v>11243</v>
      </c>
    </row>
    <row r="11056" spans="1:1" x14ac:dyDescent="0.2">
      <c r="A11056">
        <v>11244</v>
      </c>
    </row>
    <row r="11057" spans="1:1" x14ac:dyDescent="0.2">
      <c r="A11057">
        <v>11245</v>
      </c>
    </row>
    <row r="11058" spans="1:1" x14ac:dyDescent="0.2">
      <c r="A11058">
        <v>11246</v>
      </c>
    </row>
    <row r="11059" spans="1:1" x14ac:dyDescent="0.2">
      <c r="A11059">
        <v>11247</v>
      </c>
    </row>
    <row r="11060" spans="1:1" x14ac:dyDescent="0.2">
      <c r="A11060">
        <v>11248</v>
      </c>
    </row>
    <row r="11061" spans="1:1" x14ac:dyDescent="0.2">
      <c r="A11061">
        <v>11249</v>
      </c>
    </row>
    <row r="11062" spans="1:1" x14ac:dyDescent="0.2">
      <c r="A11062">
        <v>11250</v>
      </c>
    </row>
    <row r="11063" spans="1:1" x14ac:dyDescent="0.2">
      <c r="A11063">
        <v>11251</v>
      </c>
    </row>
    <row r="11064" spans="1:1" x14ac:dyDescent="0.2">
      <c r="A11064">
        <v>11252</v>
      </c>
    </row>
    <row r="11065" spans="1:1" x14ac:dyDescent="0.2">
      <c r="A11065">
        <v>11253</v>
      </c>
    </row>
    <row r="11066" spans="1:1" x14ac:dyDescent="0.2">
      <c r="A11066">
        <v>11254</v>
      </c>
    </row>
    <row r="11067" spans="1:1" x14ac:dyDescent="0.2">
      <c r="A11067">
        <v>11255</v>
      </c>
    </row>
    <row r="11068" spans="1:1" x14ac:dyDescent="0.2">
      <c r="A11068">
        <v>11256</v>
      </c>
    </row>
    <row r="11069" spans="1:1" x14ac:dyDescent="0.2">
      <c r="A11069">
        <v>11257</v>
      </c>
    </row>
    <row r="11070" spans="1:1" x14ac:dyDescent="0.2">
      <c r="A11070">
        <v>11258</v>
      </c>
    </row>
    <row r="11071" spans="1:1" x14ac:dyDescent="0.2">
      <c r="A11071">
        <v>11259</v>
      </c>
    </row>
    <row r="11072" spans="1:1" x14ac:dyDescent="0.2">
      <c r="A11072">
        <v>11260</v>
      </c>
    </row>
    <row r="11073" spans="1:1" x14ac:dyDescent="0.2">
      <c r="A11073">
        <v>11261</v>
      </c>
    </row>
    <row r="11074" spans="1:1" x14ac:dyDescent="0.2">
      <c r="A11074">
        <v>11262</v>
      </c>
    </row>
    <row r="11075" spans="1:1" x14ac:dyDescent="0.2">
      <c r="A11075">
        <v>11263</v>
      </c>
    </row>
    <row r="11076" spans="1:1" x14ac:dyDescent="0.2">
      <c r="A11076">
        <v>11264</v>
      </c>
    </row>
    <row r="11077" spans="1:1" x14ac:dyDescent="0.2">
      <c r="A11077">
        <v>11265</v>
      </c>
    </row>
    <row r="11078" spans="1:1" x14ac:dyDescent="0.2">
      <c r="A11078">
        <v>11266</v>
      </c>
    </row>
    <row r="11079" spans="1:1" x14ac:dyDescent="0.2">
      <c r="A11079">
        <v>11267</v>
      </c>
    </row>
    <row r="11080" spans="1:1" x14ac:dyDescent="0.2">
      <c r="A11080">
        <v>11268</v>
      </c>
    </row>
    <row r="11081" spans="1:1" x14ac:dyDescent="0.2">
      <c r="A11081">
        <v>11269</v>
      </c>
    </row>
    <row r="11082" spans="1:1" x14ac:dyDescent="0.2">
      <c r="A11082">
        <v>11270</v>
      </c>
    </row>
    <row r="11083" spans="1:1" x14ac:dyDescent="0.2">
      <c r="A11083">
        <v>11271</v>
      </c>
    </row>
    <row r="11084" spans="1:1" x14ac:dyDescent="0.2">
      <c r="A11084">
        <v>11272</v>
      </c>
    </row>
    <row r="11085" spans="1:1" x14ac:dyDescent="0.2">
      <c r="A11085">
        <v>11273</v>
      </c>
    </row>
    <row r="11086" spans="1:1" x14ac:dyDescent="0.2">
      <c r="A11086">
        <v>11274</v>
      </c>
    </row>
    <row r="11087" spans="1:1" x14ac:dyDescent="0.2">
      <c r="A11087">
        <v>11275</v>
      </c>
    </row>
    <row r="11088" spans="1:1" x14ac:dyDescent="0.2">
      <c r="A11088">
        <v>11276</v>
      </c>
    </row>
    <row r="11089" spans="1:1" x14ac:dyDescent="0.2">
      <c r="A11089">
        <v>11277</v>
      </c>
    </row>
    <row r="11090" spans="1:1" x14ac:dyDescent="0.2">
      <c r="A11090">
        <v>11278</v>
      </c>
    </row>
    <row r="11091" spans="1:1" x14ac:dyDescent="0.2">
      <c r="A11091">
        <v>11279</v>
      </c>
    </row>
    <row r="11092" spans="1:1" x14ac:dyDescent="0.2">
      <c r="A11092">
        <v>11280</v>
      </c>
    </row>
    <row r="11093" spans="1:1" x14ac:dyDescent="0.2">
      <c r="A11093">
        <v>11281</v>
      </c>
    </row>
    <row r="11094" spans="1:1" x14ac:dyDescent="0.2">
      <c r="A11094">
        <v>11282</v>
      </c>
    </row>
    <row r="11095" spans="1:1" x14ac:dyDescent="0.2">
      <c r="A11095">
        <v>11283</v>
      </c>
    </row>
    <row r="11096" spans="1:1" x14ac:dyDescent="0.2">
      <c r="A11096">
        <v>11284</v>
      </c>
    </row>
    <row r="11097" spans="1:1" x14ac:dyDescent="0.2">
      <c r="A11097">
        <v>11285</v>
      </c>
    </row>
    <row r="11098" spans="1:1" x14ac:dyDescent="0.2">
      <c r="A11098">
        <v>11286</v>
      </c>
    </row>
    <row r="11099" spans="1:1" x14ac:dyDescent="0.2">
      <c r="A11099">
        <v>11287</v>
      </c>
    </row>
    <row r="11100" spans="1:1" x14ac:dyDescent="0.2">
      <c r="A11100">
        <v>11288</v>
      </c>
    </row>
    <row r="11101" spans="1:1" x14ac:dyDescent="0.2">
      <c r="A11101">
        <v>11289</v>
      </c>
    </row>
    <row r="11102" spans="1:1" x14ac:dyDescent="0.2">
      <c r="A11102">
        <v>11290</v>
      </c>
    </row>
    <row r="11103" spans="1:1" x14ac:dyDescent="0.2">
      <c r="A11103">
        <v>11291</v>
      </c>
    </row>
    <row r="11104" spans="1:1" x14ac:dyDescent="0.2">
      <c r="A11104">
        <v>11292</v>
      </c>
    </row>
    <row r="11105" spans="1:1" x14ac:dyDescent="0.2">
      <c r="A11105">
        <v>11293</v>
      </c>
    </row>
    <row r="11106" spans="1:1" x14ac:dyDescent="0.2">
      <c r="A11106">
        <v>11294</v>
      </c>
    </row>
    <row r="11107" spans="1:1" x14ac:dyDescent="0.2">
      <c r="A11107">
        <v>11295</v>
      </c>
    </row>
    <row r="11108" spans="1:1" x14ac:dyDescent="0.2">
      <c r="A11108">
        <v>11296</v>
      </c>
    </row>
    <row r="11109" spans="1:1" x14ac:dyDescent="0.2">
      <c r="A11109">
        <v>11297</v>
      </c>
    </row>
    <row r="11110" spans="1:1" x14ac:dyDescent="0.2">
      <c r="A11110">
        <v>11298</v>
      </c>
    </row>
    <row r="11111" spans="1:1" x14ac:dyDescent="0.2">
      <c r="A11111">
        <v>11299</v>
      </c>
    </row>
    <row r="11112" spans="1:1" x14ac:dyDescent="0.2">
      <c r="A11112">
        <v>11300</v>
      </c>
    </row>
    <row r="11113" spans="1:1" x14ac:dyDescent="0.2">
      <c r="A11113">
        <v>11301</v>
      </c>
    </row>
    <row r="11114" spans="1:1" x14ac:dyDescent="0.2">
      <c r="A11114">
        <v>11302</v>
      </c>
    </row>
    <row r="11115" spans="1:1" x14ac:dyDescent="0.2">
      <c r="A11115">
        <v>11303</v>
      </c>
    </row>
    <row r="11116" spans="1:1" x14ac:dyDescent="0.2">
      <c r="A11116">
        <v>11304</v>
      </c>
    </row>
    <row r="11117" spans="1:1" x14ac:dyDescent="0.2">
      <c r="A11117">
        <v>11305</v>
      </c>
    </row>
    <row r="11118" spans="1:1" x14ac:dyDescent="0.2">
      <c r="A11118">
        <v>11306</v>
      </c>
    </row>
    <row r="11119" spans="1:1" x14ac:dyDescent="0.2">
      <c r="A11119">
        <v>11307</v>
      </c>
    </row>
    <row r="11120" spans="1:1" x14ac:dyDescent="0.2">
      <c r="A11120">
        <v>11308</v>
      </c>
    </row>
    <row r="11121" spans="1:1" x14ac:dyDescent="0.2">
      <c r="A11121">
        <v>11309</v>
      </c>
    </row>
    <row r="11122" spans="1:1" x14ac:dyDescent="0.2">
      <c r="A11122">
        <v>11310</v>
      </c>
    </row>
    <row r="11123" spans="1:1" x14ac:dyDescent="0.2">
      <c r="A11123">
        <v>11311</v>
      </c>
    </row>
    <row r="11124" spans="1:1" x14ac:dyDescent="0.2">
      <c r="A11124">
        <v>11312</v>
      </c>
    </row>
    <row r="11125" spans="1:1" x14ac:dyDescent="0.2">
      <c r="A11125">
        <v>11313</v>
      </c>
    </row>
    <row r="11126" spans="1:1" x14ac:dyDescent="0.2">
      <c r="A11126">
        <v>11314</v>
      </c>
    </row>
    <row r="11127" spans="1:1" x14ac:dyDescent="0.2">
      <c r="A11127">
        <v>11315</v>
      </c>
    </row>
    <row r="11128" spans="1:1" x14ac:dyDescent="0.2">
      <c r="A11128">
        <v>11316</v>
      </c>
    </row>
    <row r="11129" spans="1:1" x14ac:dyDescent="0.2">
      <c r="A11129">
        <v>11317</v>
      </c>
    </row>
    <row r="11130" spans="1:1" x14ac:dyDescent="0.2">
      <c r="A11130">
        <v>11318</v>
      </c>
    </row>
    <row r="11131" spans="1:1" x14ac:dyDescent="0.2">
      <c r="A11131">
        <v>11319</v>
      </c>
    </row>
    <row r="11132" spans="1:1" x14ac:dyDescent="0.2">
      <c r="A11132">
        <v>11320</v>
      </c>
    </row>
    <row r="11133" spans="1:1" x14ac:dyDescent="0.2">
      <c r="A11133">
        <v>11321</v>
      </c>
    </row>
    <row r="11134" spans="1:1" x14ac:dyDescent="0.2">
      <c r="A11134">
        <v>11322</v>
      </c>
    </row>
    <row r="11135" spans="1:1" x14ac:dyDescent="0.2">
      <c r="A11135">
        <v>11323</v>
      </c>
    </row>
    <row r="11136" spans="1:1" x14ac:dyDescent="0.2">
      <c r="A11136">
        <v>11324</v>
      </c>
    </row>
    <row r="11137" spans="1:1" x14ac:dyDescent="0.2">
      <c r="A11137">
        <v>11325</v>
      </c>
    </row>
    <row r="11138" spans="1:1" x14ac:dyDescent="0.2">
      <c r="A11138">
        <v>11326</v>
      </c>
    </row>
    <row r="11139" spans="1:1" x14ac:dyDescent="0.2">
      <c r="A11139">
        <v>11327</v>
      </c>
    </row>
    <row r="11140" spans="1:1" x14ac:dyDescent="0.2">
      <c r="A11140">
        <v>11328</v>
      </c>
    </row>
    <row r="11141" spans="1:1" x14ac:dyDescent="0.2">
      <c r="A11141">
        <v>11329</v>
      </c>
    </row>
    <row r="11142" spans="1:1" x14ac:dyDescent="0.2">
      <c r="A11142">
        <v>11330</v>
      </c>
    </row>
    <row r="11143" spans="1:1" x14ac:dyDescent="0.2">
      <c r="A11143">
        <v>11331</v>
      </c>
    </row>
    <row r="11144" spans="1:1" x14ac:dyDescent="0.2">
      <c r="A11144">
        <v>11332</v>
      </c>
    </row>
    <row r="11145" spans="1:1" x14ac:dyDescent="0.2">
      <c r="A11145">
        <v>11333</v>
      </c>
    </row>
    <row r="11146" spans="1:1" x14ac:dyDescent="0.2">
      <c r="A11146">
        <v>11334</v>
      </c>
    </row>
    <row r="11147" spans="1:1" x14ac:dyDescent="0.2">
      <c r="A11147">
        <v>11335</v>
      </c>
    </row>
    <row r="11148" spans="1:1" x14ac:dyDescent="0.2">
      <c r="A11148">
        <v>11336</v>
      </c>
    </row>
    <row r="11149" spans="1:1" x14ac:dyDescent="0.2">
      <c r="A11149">
        <v>11337</v>
      </c>
    </row>
    <row r="11150" spans="1:1" x14ac:dyDescent="0.2">
      <c r="A11150">
        <v>11338</v>
      </c>
    </row>
    <row r="11151" spans="1:1" x14ac:dyDescent="0.2">
      <c r="A11151">
        <v>11339</v>
      </c>
    </row>
    <row r="11152" spans="1:1" x14ac:dyDescent="0.2">
      <c r="A11152">
        <v>11340</v>
      </c>
    </row>
    <row r="11153" spans="1:1" x14ac:dyDescent="0.2">
      <c r="A11153">
        <v>11341</v>
      </c>
    </row>
    <row r="11154" spans="1:1" x14ac:dyDescent="0.2">
      <c r="A11154">
        <v>11342</v>
      </c>
    </row>
    <row r="11155" spans="1:1" x14ac:dyDescent="0.2">
      <c r="A11155">
        <v>11343</v>
      </c>
    </row>
    <row r="11156" spans="1:1" x14ac:dyDescent="0.2">
      <c r="A11156">
        <v>11344</v>
      </c>
    </row>
    <row r="11157" spans="1:1" x14ac:dyDescent="0.2">
      <c r="A11157">
        <v>11345</v>
      </c>
    </row>
    <row r="11158" spans="1:1" x14ac:dyDescent="0.2">
      <c r="A11158">
        <v>11346</v>
      </c>
    </row>
    <row r="11159" spans="1:1" x14ac:dyDescent="0.2">
      <c r="A11159">
        <v>11347</v>
      </c>
    </row>
    <row r="11160" spans="1:1" x14ac:dyDescent="0.2">
      <c r="A11160">
        <v>11348</v>
      </c>
    </row>
    <row r="11161" spans="1:1" x14ac:dyDescent="0.2">
      <c r="A11161">
        <v>11349</v>
      </c>
    </row>
    <row r="11162" spans="1:1" x14ac:dyDescent="0.2">
      <c r="A11162">
        <v>11350</v>
      </c>
    </row>
    <row r="11163" spans="1:1" x14ac:dyDescent="0.2">
      <c r="A11163">
        <v>11351</v>
      </c>
    </row>
    <row r="11164" spans="1:1" x14ac:dyDescent="0.2">
      <c r="A11164">
        <v>11352</v>
      </c>
    </row>
    <row r="11165" spans="1:1" x14ac:dyDescent="0.2">
      <c r="A11165">
        <v>11353</v>
      </c>
    </row>
    <row r="11166" spans="1:1" x14ac:dyDescent="0.2">
      <c r="A11166">
        <v>11354</v>
      </c>
    </row>
    <row r="11167" spans="1:1" x14ac:dyDescent="0.2">
      <c r="A11167">
        <v>11355</v>
      </c>
    </row>
    <row r="11168" spans="1:1" x14ac:dyDescent="0.2">
      <c r="A11168">
        <v>11356</v>
      </c>
    </row>
    <row r="11169" spans="1:1" x14ac:dyDescent="0.2">
      <c r="A11169">
        <v>11357</v>
      </c>
    </row>
    <row r="11170" spans="1:1" x14ac:dyDescent="0.2">
      <c r="A11170">
        <v>11358</v>
      </c>
    </row>
    <row r="11171" spans="1:1" x14ac:dyDescent="0.2">
      <c r="A11171">
        <v>11359</v>
      </c>
    </row>
    <row r="11172" spans="1:1" x14ac:dyDescent="0.2">
      <c r="A11172">
        <v>11360</v>
      </c>
    </row>
    <row r="11173" spans="1:1" x14ac:dyDescent="0.2">
      <c r="A11173">
        <v>11361</v>
      </c>
    </row>
    <row r="11174" spans="1:1" x14ac:dyDescent="0.2">
      <c r="A11174">
        <v>11362</v>
      </c>
    </row>
    <row r="11175" spans="1:1" x14ac:dyDescent="0.2">
      <c r="A11175">
        <v>11363</v>
      </c>
    </row>
    <row r="11176" spans="1:1" x14ac:dyDescent="0.2">
      <c r="A11176">
        <v>11364</v>
      </c>
    </row>
    <row r="11177" spans="1:1" x14ac:dyDescent="0.2">
      <c r="A11177">
        <v>11365</v>
      </c>
    </row>
    <row r="11178" spans="1:1" x14ac:dyDescent="0.2">
      <c r="A11178">
        <v>11366</v>
      </c>
    </row>
    <row r="11179" spans="1:1" x14ac:dyDescent="0.2">
      <c r="A11179">
        <v>11367</v>
      </c>
    </row>
    <row r="11180" spans="1:1" x14ac:dyDescent="0.2">
      <c r="A11180">
        <v>11368</v>
      </c>
    </row>
    <row r="11181" spans="1:1" x14ac:dyDescent="0.2">
      <c r="A11181">
        <v>11369</v>
      </c>
    </row>
    <row r="11182" spans="1:1" x14ac:dyDescent="0.2">
      <c r="A11182">
        <v>11370</v>
      </c>
    </row>
    <row r="11183" spans="1:1" x14ac:dyDescent="0.2">
      <c r="A11183">
        <v>11371</v>
      </c>
    </row>
    <row r="11184" spans="1:1" x14ac:dyDescent="0.2">
      <c r="A11184">
        <v>11372</v>
      </c>
    </row>
    <row r="11185" spans="1:1" x14ac:dyDescent="0.2">
      <c r="A11185">
        <v>11373</v>
      </c>
    </row>
    <row r="11186" spans="1:1" x14ac:dyDescent="0.2">
      <c r="A11186">
        <v>11374</v>
      </c>
    </row>
    <row r="11187" spans="1:1" x14ac:dyDescent="0.2">
      <c r="A11187">
        <v>11375</v>
      </c>
    </row>
    <row r="11188" spans="1:1" x14ac:dyDescent="0.2">
      <c r="A11188">
        <v>11376</v>
      </c>
    </row>
    <row r="11189" spans="1:1" x14ac:dyDescent="0.2">
      <c r="A11189">
        <v>11377</v>
      </c>
    </row>
    <row r="11190" spans="1:1" x14ac:dyDescent="0.2">
      <c r="A11190">
        <v>11378</v>
      </c>
    </row>
    <row r="11191" spans="1:1" x14ac:dyDescent="0.2">
      <c r="A11191">
        <v>11379</v>
      </c>
    </row>
    <row r="11192" spans="1:1" x14ac:dyDescent="0.2">
      <c r="A11192">
        <v>11380</v>
      </c>
    </row>
    <row r="11193" spans="1:1" x14ac:dyDescent="0.2">
      <c r="A11193">
        <v>11381</v>
      </c>
    </row>
    <row r="11194" spans="1:1" x14ac:dyDescent="0.2">
      <c r="A11194">
        <v>11382</v>
      </c>
    </row>
    <row r="11195" spans="1:1" x14ac:dyDescent="0.2">
      <c r="A11195">
        <v>11383</v>
      </c>
    </row>
    <row r="11196" spans="1:1" x14ac:dyDescent="0.2">
      <c r="A11196">
        <v>11384</v>
      </c>
    </row>
    <row r="11197" spans="1:1" x14ac:dyDescent="0.2">
      <c r="A11197">
        <v>11385</v>
      </c>
    </row>
    <row r="11198" spans="1:1" x14ac:dyDescent="0.2">
      <c r="A11198">
        <v>11386</v>
      </c>
    </row>
    <row r="11199" spans="1:1" x14ac:dyDescent="0.2">
      <c r="A11199">
        <v>11387</v>
      </c>
    </row>
    <row r="11200" spans="1:1" x14ac:dyDescent="0.2">
      <c r="A11200">
        <v>11388</v>
      </c>
    </row>
    <row r="11201" spans="1:1" x14ac:dyDescent="0.2">
      <c r="A11201">
        <v>11389</v>
      </c>
    </row>
    <row r="11202" spans="1:1" x14ac:dyDescent="0.2">
      <c r="A11202">
        <v>11390</v>
      </c>
    </row>
    <row r="11203" spans="1:1" x14ac:dyDescent="0.2">
      <c r="A11203">
        <v>11391</v>
      </c>
    </row>
    <row r="11204" spans="1:1" x14ac:dyDescent="0.2">
      <c r="A11204">
        <v>11392</v>
      </c>
    </row>
    <row r="11205" spans="1:1" x14ac:dyDescent="0.2">
      <c r="A11205">
        <v>11393</v>
      </c>
    </row>
    <row r="11206" spans="1:1" x14ac:dyDescent="0.2">
      <c r="A11206">
        <v>11394</v>
      </c>
    </row>
    <row r="11207" spans="1:1" x14ac:dyDescent="0.2">
      <c r="A11207">
        <v>11395</v>
      </c>
    </row>
    <row r="11208" spans="1:1" x14ac:dyDescent="0.2">
      <c r="A11208">
        <v>11396</v>
      </c>
    </row>
    <row r="11209" spans="1:1" x14ac:dyDescent="0.2">
      <c r="A11209">
        <v>11397</v>
      </c>
    </row>
    <row r="11210" spans="1:1" x14ac:dyDescent="0.2">
      <c r="A11210">
        <v>11398</v>
      </c>
    </row>
    <row r="11211" spans="1:1" x14ac:dyDescent="0.2">
      <c r="A11211">
        <v>11399</v>
      </c>
    </row>
    <row r="11212" spans="1:1" x14ac:dyDescent="0.2">
      <c r="A11212">
        <v>11400</v>
      </c>
    </row>
    <row r="11213" spans="1:1" x14ac:dyDescent="0.2">
      <c r="A11213">
        <v>11401</v>
      </c>
    </row>
    <row r="11214" spans="1:1" x14ac:dyDescent="0.2">
      <c r="A11214">
        <v>11402</v>
      </c>
    </row>
    <row r="11215" spans="1:1" x14ac:dyDescent="0.2">
      <c r="A11215">
        <v>11403</v>
      </c>
    </row>
    <row r="11216" spans="1:1" x14ac:dyDescent="0.2">
      <c r="A11216">
        <v>11404</v>
      </c>
    </row>
    <row r="11217" spans="1:1" x14ac:dyDescent="0.2">
      <c r="A11217">
        <v>11405</v>
      </c>
    </row>
    <row r="11218" spans="1:1" x14ac:dyDescent="0.2">
      <c r="A11218">
        <v>11406</v>
      </c>
    </row>
    <row r="11219" spans="1:1" x14ac:dyDescent="0.2">
      <c r="A11219">
        <v>11407</v>
      </c>
    </row>
    <row r="11220" spans="1:1" x14ac:dyDescent="0.2">
      <c r="A11220">
        <v>11408</v>
      </c>
    </row>
    <row r="11221" spans="1:1" x14ac:dyDescent="0.2">
      <c r="A11221">
        <v>11409</v>
      </c>
    </row>
    <row r="11222" spans="1:1" x14ac:dyDescent="0.2">
      <c r="A11222">
        <v>11410</v>
      </c>
    </row>
    <row r="11223" spans="1:1" x14ac:dyDescent="0.2">
      <c r="A11223">
        <v>11411</v>
      </c>
    </row>
    <row r="11224" spans="1:1" x14ac:dyDescent="0.2">
      <c r="A11224">
        <v>11412</v>
      </c>
    </row>
    <row r="11225" spans="1:1" x14ac:dyDescent="0.2">
      <c r="A11225">
        <v>11413</v>
      </c>
    </row>
    <row r="11226" spans="1:1" x14ac:dyDescent="0.2">
      <c r="A11226">
        <v>11414</v>
      </c>
    </row>
    <row r="11227" spans="1:1" x14ac:dyDescent="0.2">
      <c r="A11227">
        <v>11415</v>
      </c>
    </row>
    <row r="11228" spans="1:1" x14ac:dyDescent="0.2">
      <c r="A11228">
        <v>11416</v>
      </c>
    </row>
    <row r="11229" spans="1:1" x14ac:dyDescent="0.2">
      <c r="A11229">
        <v>11417</v>
      </c>
    </row>
    <row r="11230" spans="1:1" x14ac:dyDescent="0.2">
      <c r="A11230">
        <v>11418</v>
      </c>
    </row>
    <row r="11231" spans="1:1" x14ac:dyDescent="0.2">
      <c r="A11231">
        <v>11419</v>
      </c>
    </row>
    <row r="11232" spans="1:1" x14ac:dyDescent="0.2">
      <c r="A11232">
        <v>11420</v>
      </c>
    </row>
    <row r="11233" spans="1:1" x14ac:dyDescent="0.2">
      <c r="A11233">
        <v>11421</v>
      </c>
    </row>
    <row r="11234" spans="1:1" x14ac:dyDescent="0.2">
      <c r="A11234">
        <v>11422</v>
      </c>
    </row>
    <row r="11235" spans="1:1" x14ac:dyDescent="0.2">
      <c r="A11235">
        <v>11423</v>
      </c>
    </row>
    <row r="11236" spans="1:1" x14ac:dyDescent="0.2">
      <c r="A11236">
        <v>11424</v>
      </c>
    </row>
    <row r="11237" spans="1:1" x14ac:dyDescent="0.2">
      <c r="A11237">
        <v>11425</v>
      </c>
    </row>
    <row r="11238" spans="1:1" x14ac:dyDescent="0.2">
      <c r="A11238">
        <v>11426</v>
      </c>
    </row>
    <row r="11239" spans="1:1" x14ac:dyDescent="0.2">
      <c r="A11239">
        <v>11427</v>
      </c>
    </row>
    <row r="11240" spans="1:1" x14ac:dyDescent="0.2">
      <c r="A11240">
        <v>11428</v>
      </c>
    </row>
    <row r="11241" spans="1:1" x14ac:dyDescent="0.2">
      <c r="A11241">
        <v>11429</v>
      </c>
    </row>
    <row r="11242" spans="1:1" x14ac:dyDescent="0.2">
      <c r="A11242">
        <v>11430</v>
      </c>
    </row>
    <row r="11243" spans="1:1" x14ac:dyDescent="0.2">
      <c r="A11243">
        <v>11431</v>
      </c>
    </row>
    <row r="11244" spans="1:1" x14ac:dyDescent="0.2">
      <c r="A11244">
        <v>11432</v>
      </c>
    </row>
    <row r="11245" spans="1:1" x14ac:dyDescent="0.2">
      <c r="A11245">
        <v>11433</v>
      </c>
    </row>
    <row r="11246" spans="1:1" x14ac:dyDescent="0.2">
      <c r="A11246">
        <v>11434</v>
      </c>
    </row>
    <row r="11247" spans="1:1" x14ac:dyDescent="0.2">
      <c r="A11247">
        <v>11435</v>
      </c>
    </row>
    <row r="11248" spans="1:1" x14ac:dyDescent="0.2">
      <c r="A11248">
        <v>11436</v>
      </c>
    </row>
    <row r="11249" spans="1:1" x14ac:dyDescent="0.2">
      <c r="A11249">
        <v>11437</v>
      </c>
    </row>
    <row r="11250" spans="1:1" x14ac:dyDescent="0.2">
      <c r="A11250">
        <v>11438</v>
      </c>
    </row>
    <row r="11251" spans="1:1" x14ac:dyDescent="0.2">
      <c r="A11251">
        <v>11439</v>
      </c>
    </row>
    <row r="11252" spans="1:1" x14ac:dyDescent="0.2">
      <c r="A11252">
        <v>11440</v>
      </c>
    </row>
    <row r="11253" spans="1:1" x14ac:dyDescent="0.2">
      <c r="A11253">
        <v>11441</v>
      </c>
    </row>
    <row r="11254" spans="1:1" x14ac:dyDescent="0.2">
      <c r="A11254">
        <v>11442</v>
      </c>
    </row>
    <row r="11255" spans="1:1" x14ac:dyDescent="0.2">
      <c r="A11255">
        <v>11443</v>
      </c>
    </row>
    <row r="11256" spans="1:1" x14ac:dyDescent="0.2">
      <c r="A11256">
        <v>11444</v>
      </c>
    </row>
    <row r="11257" spans="1:1" x14ac:dyDescent="0.2">
      <c r="A11257">
        <v>11445</v>
      </c>
    </row>
    <row r="11258" spans="1:1" x14ac:dyDescent="0.2">
      <c r="A11258">
        <v>11446</v>
      </c>
    </row>
    <row r="11259" spans="1:1" x14ac:dyDescent="0.2">
      <c r="A11259">
        <v>11447</v>
      </c>
    </row>
    <row r="11260" spans="1:1" x14ac:dyDescent="0.2">
      <c r="A11260">
        <v>11448</v>
      </c>
    </row>
    <row r="11261" spans="1:1" x14ac:dyDescent="0.2">
      <c r="A11261">
        <v>11449</v>
      </c>
    </row>
    <row r="11262" spans="1:1" x14ac:dyDescent="0.2">
      <c r="A11262">
        <v>11450</v>
      </c>
    </row>
    <row r="11263" spans="1:1" x14ac:dyDescent="0.2">
      <c r="A11263">
        <v>11451</v>
      </c>
    </row>
    <row r="11264" spans="1:1" x14ac:dyDescent="0.2">
      <c r="A11264">
        <v>11452</v>
      </c>
    </row>
    <row r="11265" spans="1:1" x14ac:dyDescent="0.2">
      <c r="A11265">
        <v>11453</v>
      </c>
    </row>
    <row r="11266" spans="1:1" x14ac:dyDescent="0.2">
      <c r="A11266">
        <v>11454</v>
      </c>
    </row>
    <row r="11267" spans="1:1" x14ac:dyDescent="0.2">
      <c r="A11267">
        <v>11455</v>
      </c>
    </row>
    <row r="11268" spans="1:1" x14ac:dyDescent="0.2">
      <c r="A11268">
        <v>11456</v>
      </c>
    </row>
    <row r="11269" spans="1:1" x14ac:dyDescent="0.2">
      <c r="A11269">
        <v>11457</v>
      </c>
    </row>
    <row r="11270" spans="1:1" x14ac:dyDescent="0.2">
      <c r="A11270">
        <v>11458</v>
      </c>
    </row>
    <row r="11271" spans="1:1" x14ac:dyDescent="0.2">
      <c r="A11271">
        <v>11459</v>
      </c>
    </row>
    <row r="11272" spans="1:1" x14ac:dyDescent="0.2">
      <c r="A11272">
        <v>11460</v>
      </c>
    </row>
    <row r="11273" spans="1:1" x14ac:dyDescent="0.2">
      <c r="A11273">
        <v>11461</v>
      </c>
    </row>
    <row r="11274" spans="1:1" x14ac:dyDescent="0.2">
      <c r="A11274">
        <v>11462</v>
      </c>
    </row>
    <row r="11275" spans="1:1" x14ac:dyDescent="0.2">
      <c r="A11275">
        <v>11463</v>
      </c>
    </row>
    <row r="11276" spans="1:1" x14ac:dyDescent="0.2">
      <c r="A11276">
        <v>11464</v>
      </c>
    </row>
    <row r="11277" spans="1:1" x14ac:dyDescent="0.2">
      <c r="A11277">
        <v>11465</v>
      </c>
    </row>
    <row r="11278" spans="1:1" x14ac:dyDescent="0.2">
      <c r="A11278">
        <v>11466</v>
      </c>
    </row>
    <row r="11279" spans="1:1" x14ac:dyDescent="0.2">
      <c r="A11279">
        <v>11467</v>
      </c>
    </row>
    <row r="11280" spans="1:1" x14ac:dyDescent="0.2">
      <c r="A11280">
        <v>11468</v>
      </c>
    </row>
    <row r="11281" spans="1:1" x14ac:dyDescent="0.2">
      <c r="A11281">
        <v>11469</v>
      </c>
    </row>
    <row r="11282" spans="1:1" x14ac:dyDescent="0.2">
      <c r="A11282">
        <v>11470</v>
      </c>
    </row>
    <row r="11283" spans="1:1" x14ac:dyDescent="0.2">
      <c r="A11283">
        <v>11471</v>
      </c>
    </row>
    <row r="11284" spans="1:1" x14ac:dyDescent="0.2">
      <c r="A11284">
        <v>11472</v>
      </c>
    </row>
    <row r="11285" spans="1:1" x14ac:dyDescent="0.2">
      <c r="A11285">
        <v>11473</v>
      </c>
    </row>
    <row r="11286" spans="1:1" x14ac:dyDescent="0.2">
      <c r="A11286">
        <v>11474</v>
      </c>
    </row>
    <row r="11287" spans="1:1" x14ac:dyDescent="0.2">
      <c r="A11287">
        <v>11475</v>
      </c>
    </row>
    <row r="11288" spans="1:1" x14ac:dyDescent="0.2">
      <c r="A11288">
        <v>11476</v>
      </c>
    </row>
    <row r="11289" spans="1:1" x14ac:dyDescent="0.2">
      <c r="A11289">
        <v>11477</v>
      </c>
    </row>
    <row r="11290" spans="1:1" x14ac:dyDescent="0.2">
      <c r="A11290">
        <v>11478</v>
      </c>
    </row>
    <row r="11291" spans="1:1" x14ac:dyDescent="0.2">
      <c r="A11291">
        <v>11479</v>
      </c>
    </row>
    <row r="11292" spans="1:1" x14ac:dyDescent="0.2">
      <c r="A11292">
        <v>11480</v>
      </c>
    </row>
    <row r="11293" spans="1:1" x14ac:dyDescent="0.2">
      <c r="A11293">
        <v>11481</v>
      </c>
    </row>
    <row r="11294" spans="1:1" x14ac:dyDescent="0.2">
      <c r="A11294">
        <v>11482</v>
      </c>
    </row>
    <row r="11295" spans="1:1" x14ac:dyDescent="0.2">
      <c r="A11295">
        <v>11483</v>
      </c>
    </row>
    <row r="11296" spans="1:1" x14ac:dyDescent="0.2">
      <c r="A11296">
        <v>11484</v>
      </c>
    </row>
    <row r="11297" spans="1:1" x14ac:dyDescent="0.2">
      <c r="A11297">
        <v>11485</v>
      </c>
    </row>
    <row r="11298" spans="1:1" x14ac:dyDescent="0.2">
      <c r="A11298">
        <v>11486</v>
      </c>
    </row>
    <row r="11299" spans="1:1" x14ac:dyDescent="0.2">
      <c r="A11299">
        <v>11487</v>
      </c>
    </row>
    <row r="11300" spans="1:1" x14ac:dyDescent="0.2">
      <c r="A11300">
        <v>11488</v>
      </c>
    </row>
    <row r="11301" spans="1:1" x14ac:dyDescent="0.2">
      <c r="A11301">
        <v>11489</v>
      </c>
    </row>
    <row r="11302" spans="1:1" x14ac:dyDescent="0.2">
      <c r="A11302">
        <v>11490</v>
      </c>
    </row>
    <row r="11303" spans="1:1" x14ac:dyDescent="0.2">
      <c r="A11303">
        <v>11491</v>
      </c>
    </row>
    <row r="11304" spans="1:1" x14ac:dyDescent="0.2">
      <c r="A11304">
        <v>11492</v>
      </c>
    </row>
    <row r="11305" spans="1:1" x14ac:dyDescent="0.2">
      <c r="A11305">
        <v>11493</v>
      </c>
    </row>
    <row r="11306" spans="1:1" x14ac:dyDescent="0.2">
      <c r="A11306">
        <v>11494</v>
      </c>
    </row>
    <row r="11307" spans="1:1" x14ac:dyDescent="0.2">
      <c r="A11307">
        <v>11495</v>
      </c>
    </row>
    <row r="11308" spans="1:1" x14ac:dyDescent="0.2">
      <c r="A11308">
        <v>11496</v>
      </c>
    </row>
    <row r="11309" spans="1:1" x14ac:dyDescent="0.2">
      <c r="A11309">
        <v>11497</v>
      </c>
    </row>
    <row r="11310" spans="1:1" x14ac:dyDescent="0.2">
      <c r="A11310">
        <v>11498</v>
      </c>
    </row>
    <row r="11311" spans="1:1" x14ac:dyDescent="0.2">
      <c r="A11311">
        <v>11499</v>
      </c>
    </row>
    <row r="11312" spans="1:1" x14ac:dyDescent="0.2">
      <c r="A11312">
        <v>11500</v>
      </c>
    </row>
    <row r="11313" spans="1:1" x14ac:dyDescent="0.2">
      <c r="A11313">
        <v>11501</v>
      </c>
    </row>
    <row r="11314" spans="1:1" x14ac:dyDescent="0.2">
      <c r="A11314">
        <v>11502</v>
      </c>
    </row>
    <row r="11315" spans="1:1" x14ac:dyDescent="0.2">
      <c r="A11315">
        <v>11503</v>
      </c>
    </row>
    <row r="11316" spans="1:1" x14ac:dyDescent="0.2">
      <c r="A11316">
        <v>11504</v>
      </c>
    </row>
    <row r="11317" spans="1:1" x14ac:dyDescent="0.2">
      <c r="A11317">
        <v>11505</v>
      </c>
    </row>
    <row r="11318" spans="1:1" x14ac:dyDescent="0.2">
      <c r="A11318">
        <v>11506</v>
      </c>
    </row>
    <row r="11319" spans="1:1" x14ac:dyDescent="0.2">
      <c r="A11319">
        <v>11507</v>
      </c>
    </row>
    <row r="11320" spans="1:1" x14ac:dyDescent="0.2">
      <c r="A11320">
        <v>11508</v>
      </c>
    </row>
    <row r="11321" spans="1:1" x14ac:dyDescent="0.2">
      <c r="A11321">
        <v>11509</v>
      </c>
    </row>
    <row r="11322" spans="1:1" x14ac:dyDescent="0.2">
      <c r="A11322">
        <v>11510</v>
      </c>
    </row>
    <row r="11323" spans="1:1" x14ac:dyDescent="0.2">
      <c r="A11323">
        <v>11511</v>
      </c>
    </row>
    <row r="11324" spans="1:1" x14ac:dyDescent="0.2">
      <c r="A11324">
        <v>11512</v>
      </c>
    </row>
    <row r="11325" spans="1:1" x14ac:dyDescent="0.2">
      <c r="A11325">
        <v>11513</v>
      </c>
    </row>
    <row r="11326" spans="1:1" x14ac:dyDescent="0.2">
      <c r="A11326">
        <v>11514</v>
      </c>
    </row>
    <row r="11327" spans="1:1" x14ac:dyDescent="0.2">
      <c r="A11327">
        <v>11515</v>
      </c>
    </row>
    <row r="11328" spans="1:1" x14ac:dyDescent="0.2">
      <c r="A11328">
        <v>11516</v>
      </c>
    </row>
    <row r="11329" spans="1:1" x14ac:dyDescent="0.2">
      <c r="A11329">
        <v>11517</v>
      </c>
    </row>
    <row r="11330" spans="1:1" x14ac:dyDescent="0.2">
      <c r="A11330">
        <v>11518</v>
      </c>
    </row>
    <row r="11331" spans="1:1" x14ac:dyDescent="0.2">
      <c r="A11331">
        <v>11519</v>
      </c>
    </row>
    <row r="11332" spans="1:1" x14ac:dyDescent="0.2">
      <c r="A11332">
        <v>11520</v>
      </c>
    </row>
    <row r="11333" spans="1:1" x14ac:dyDescent="0.2">
      <c r="A11333">
        <v>11521</v>
      </c>
    </row>
    <row r="11334" spans="1:1" x14ac:dyDescent="0.2">
      <c r="A11334">
        <v>11522</v>
      </c>
    </row>
    <row r="11335" spans="1:1" x14ac:dyDescent="0.2">
      <c r="A11335">
        <v>11523</v>
      </c>
    </row>
    <row r="11336" spans="1:1" x14ac:dyDescent="0.2">
      <c r="A11336">
        <v>11524</v>
      </c>
    </row>
    <row r="11337" spans="1:1" x14ac:dyDescent="0.2">
      <c r="A11337">
        <v>11525</v>
      </c>
    </row>
    <row r="11338" spans="1:1" x14ac:dyDescent="0.2">
      <c r="A11338">
        <v>11526</v>
      </c>
    </row>
    <row r="11339" spans="1:1" x14ac:dyDescent="0.2">
      <c r="A11339">
        <v>11527</v>
      </c>
    </row>
    <row r="11340" spans="1:1" x14ac:dyDescent="0.2">
      <c r="A11340">
        <v>11528</v>
      </c>
    </row>
    <row r="11341" spans="1:1" x14ac:dyDescent="0.2">
      <c r="A11341">
        <v>11529</v>
      </c>
    </row>
    <row r="11342" spans="1:1" x14ac:dyDescent="0.2">
      <c r="A11342">
        <v>11530</v>
      </c>
    </row>
    <row r="11343" spans="1:1" x14ac:dyDescent="0.2">
      <c r="A11343">
        <v>11531</v>
      </c>
    </row>
    <row r="11344" spans="1:1" x14ac:dyDescent="0.2">
      <c r="A11344">
        <v>11532</v>
      </c>
    </row>
    <row r="11345" spans="1:1" x14ac:dyDescent="0.2">
      <c r="A11345">
        <v>11533</v>
      </c>
    </row>
    <row r="11346" spans="1:1" x14ac:dyDescent="0.2">
      <c r="A11346">
        <v>11534</v>
      </c>
    </row>
    <row r="11347" spans="1:1" x14ac:dyDescent="0.2">
      <c r="A11347">
        <v>11535</v>
      </c>
    </row>
    <row r="11348" spans="1:1" x14ac:dyDescent="0.2">
      <c r="A11348">
        <v>11536</v>
      </c>
    </row>
    <row r="11349" spans="1:1" x14ac:dyDescent="0.2">
      <c r="A11349">
        <v>11537</v>
      </c>
    </row>
    <row r="11350" spans="1:1" x14ac:dyDescent="0.2">
      <c r="A11350">
        <v>11538</v>
      </c>
    </row>
    <row r="11351" spans="1:1" x14ac:dyDescent="0.2">
      <c r="A11351">
        <v>11539</v>
      </c>
    </row>
    <row r="11352" spans="1:1" x14ac:dyDescent="0.2">
      <c r="A11352">
        <v>11540</v>
      </c>
    </row>
    <row r="11353" spans="1:1" x14ac:dyDescent="0.2">
      <c r="A11353">
        <v>11541</v>
      </c>
    </row>
    <row r="11354" spans="1:1" x14ac:dyDescent="0.2">
      <c r="A11354">
        <v>11542</v>
      </c>
    </row>
    <row r="11355" spans="1:1" x14ac:dyDescent="0.2">
      <c r="A11355">
        <v>11543</v>
      </c>
    </row>
    <row r="11356" spans="1:1" x14ac:dyDescent="0.2">
      <c r="A11356">
        <v>11544</v>
      </c>
    </row>
    <row r="11357" spans="1:1" x14ac:dyDescent="0.2">
      <c r="A11357">
        <v>11545</v>
      </c>
    </row>
    <row r="11358" spans="1:1" x14ac:dyDescent="0.2">
      <c r="A11358">
        <v>11546</v>
      </c>
    </row>
    <row r="11359" spans="1:1" x14ac:dyDescent="0.2">
      <c r="A11359">
        <v>11547</v>
      </c>
    </row>
    <row r="11360" spans="1:1" x14ac:dyDescent="0.2">
      <c r="A11360">
        <v>11548</v>
      </c>
    </row>
    <row r="11361" spans="1:1" x14ac:dyDescent="0.2">
      <c r="A11361">
        <v>11549</v>
      </c>
    </row>
    <row r="11362" spans="1:1" x14ac:dyDescent="0.2">
      <c r="A11362">
        <v>11550</v>
      </c>
    </row>
    <row r="11363" spans="1:1" x14ac:dyDescent="0.2">
      <c r="A11363">
        <v>11551</v>
      </c>
    </row>
    <row r="11364" spans="1:1" x14ac:dyDescent="0.2">
      <c r="A11364">
        <v>11552</v>
      </c>
    </row>
    <row r="11365" spans="1:1" x14ac:dyDescent="0.2">
      <c r="A11365">
        <v>11553</v>
      </c>
    </row>
    <row r="11366" spans="1:1" x14ac:dyDescent="0.2">
      <c r="A11366">
        <v>11554</v>
      </c>
    </row>
    <row r="11367" spans="1:1" x14ac:dyDescent="0.2">
      <c r="A11367">
        <v>11555</v>
      </c>
    </row>
    <row r="11368" spans="1:1" x14ac:dyDescent="0.2">
      <c r="A11368">
        <v>11556</v>
      </c>
    </row>
    <row r="11369" spans="1:1" x14ac:dyDescent="0.2">
      <c r="A11369">
        <v>11557</v>
      </c>
    </row>
    <row r="11370" spans="1:1" x14ac:dyDescent="0.2">
      <c r="A11370">
        <v>11558</v>
      </c>
    </row>
    <row r="11371" spans="1:1" x14ac:dyDescent="0.2">
      <c r="A11371">
        <v>11559</v>
      </c>
    </row>
    <row r="11372" spans="1:1" x14ac:dyDescent="0.2">
      <c r="A11372">
        <v>11560</v>
      </c>
    </row>
    <row r="11373" spans="1:1" x14ac:dyDescent="0.2">
      <c r="A11373">
        <v>11561</v>
      </c>
    </row>
    <row r="11374" spans="1:1" x14ac:dyDescent="0.2">
      <c r="A11374">
        <v>11562</v>
      </c>
    </row>
    <row r="11375" spans="1:1" x14ac:dyDescent="0.2">
      <c r="A11375">
        <v>11563</v>
      </c>
    </row>
    <row r="11376" spans="1:1" x14ac:dyDescent="0.2">
      <c r="A11376">
        <v>11564</v>
      </c>
    </row>
    <row r="11377" spans="1:1" x14ac:dyDescent="0.2">
      <c r="A11377">
        <v>11565</v>
      </c>
    </row>
    <row r="11378" spans="1:1" x14ac:dyDescent="0.2">
      <c r="A11378">
        <v>11566</v>
      </c>
    </row>
    <row r="11379" spans="1:1" x14ac:dyDescent="0.2">
      <c r="A11379">
        <v>11567</v>
      </c>
    </row>
    <row r="11380" spans="1:1" x14ac:dyDescent="0.2">
      <c r="A11380">
        <v>11568</v>
      </c>
    </row>
    <row r="11381" spans="1:1" x14ac:dyDescent="0.2">
      <c r="A11381">
        <v>11569</v>
      </c>
    </row>
    <row r="11382" spans="1:1" x14ac:dyDescent="0.2">
      <c r="A11382">
        <v>11570</v>
      </c>
    </row>
    <row r="11383" spans="1:1" x14ac:dyDescent="0.2">
      <c r="A11383">
        <v>11571</v>
      </c>
    </row>
    <row r="11384" spans="1:1" x14ac:dyDescent="0.2">
      <c r="A11384">
        <v>11572</v>
      </c>
    </row>
    <row r="11385" spans="1:1" x14ac:dyDescent="0.2">
      <c r="A11385">
        <v>11573</v>
      </c>
    </row>
    <row r="11386" spans="1:1" x14ac:dyDescent="0.2">
      <c r="A11386">
        <v>11574</v>
      </c>
    </row>
    <row r="11387" spans="1:1" x14ac:dyDescent="0.2">
      <c r="A11387">
        <v>11575</v>
      </c>
    </row>
    <row r="11388" spans="1:1" x14ac:dyDescent="0.2">
      <c r="A11388">
        <v>11576</v>
      </c>
    </row>
    <row r="11389" spans="1:1" x14ac:dyDescent="0.2">
      <c r="A11389">
        <v>11577</v>
      </c>
    </row>
    <row r="11390" spans="1:1" x14ac:dyDescent="0.2">
      <c r="A11390">
        <v>11578</v>
      </c>
    </row>
    <row r="11391" spans="1:1" x14ac:dyDescent="0.2">
      <c r="A11391">
        <v>11579</v>
      </c>
    </row>
    <row r="11392" spans="1:1" x14ac:dyDescent="0.2">
      <c r="A11392">
        <v>11580</v>
      </c>
    </row>
    <row r="11393" spans="1:1" x14ac:dyDescent="0.2">
      <c r="A11393">
        <v>11581</v>
      </c>
    </row>
    <row r="11394" spans="1:1" x14ac:dyDescent="0.2">
      <c r="A11394">
        <v>11582</v>
      </c>
    </row>
    <row r="11395" spans="1:1" x14ac:dyDescent="0.2">
      <c r="A11395">
        <v>11583</v>
      </c>
    </row>
    <row r="11396" spans="1:1" x14ac:dyDescent="0.2">
      <c r="A11396">
        <v>11584</v>
      </c>
    </row>
    <row r="11397" spans="1:1" x14ac:dyDescent="0.2">
      <c r="A11397">
        <v>11585</v>
      </c>
    </row>
    <row r="11398" spans="1:1" x14ac:dyDescent="0.2">
      <c r="A11398">
        <v>11586</v>
      </c>
    </row>
    <row r="11399" spans="1:1" x14ac:dyDescent="0.2">
      <c r="A11399">
        <v>11587</v>
      </c>
    </row>
    <row r="11400" spans="1:1" x14ac:dyDescent="0.2">
      <c r="A11400">
        <v>11588</v>
      </c>
    </row>
    <row r="11401" spans="1:1" x14ac:dyDescent="0.2">
      <c r="A11401">
        <v>11589</v>
      </c>
    </row>
    <row r="11402" spans="1:1" x14ac:dyDescent="0.2">
      <c r="A11402">
        <v>11590</v>
      </c>
    </row>
    <row r="11403" spans="1:1" x14ac:dyDescent="0.2">
      <c r="A11403">
        <v>11591</v>
      </c>
    </row>
    <row r="11404" spans="1:1" x14ac:dyDescent="0.2">
      <c r="A11404">
        <v>11592</v>
      </c>
    </row>
    <row r="11405" spans="1:1" x14ac:dyDescent="0.2">
      <c r="A11405">
        <v>11593</v>
      </c>
    </row>
    <row r="11406" spans="1:1" x14ac:dyDescent="0.2">
      <c r="A11406">
        <v>11594</v>
      </c>
    </row>
    <row r="11407" spans="1:1" x14ac:dyDescent="0.2">
      <c r="A11407">
        <v>11595</v>
      </c>
    </row>
    <row r="11408" spans="1:1" x14ac:dyDescent="0.2">
      <c r="A11408">
        <v>11596</v>
      </c>
    </row>
    <row r="11409" spans="1:1" x14ac:dyDescent="0.2">
      <c r="A11409">
        <v>11597</v>
      </c>
    </row>
    <row r="11410" spans="1:1" x14ac:dyDescent="0.2">
      <c r="A11410">
        <v>11598</v>
      </c>
    </row>
    <row r="11411" spans="1:1" x14ac:dyDescent="0.2">
      <c r="A11411">
        <v>11599</v>
      </c>
    </row>
    <row r="11412" spans="1:1" x14ac:dyDescent="0.2">
      <c r="A11412">
        <v>11600</v>
      </c>
    </row>
    <row r="11413" spans="1:1" x14ac:dyDescent="0.2">
      <c r="A11413">
        <v>11601</v>
      </c>
    </row>
    <row r="11414" spans="1:1" x14ac:dyDescent="0.2">
      <c r="A11414">
        <v>11602</v>
      </c>
    </row>
    <row r="11415" spans="1:1" x14ac:dyDescent="0.2">
      <c r="A11415">
        <v>11603</v>
      </c>
    </row>
    <row r="11416" spans="1:1" x14ac:dyDescent="0.2">
      <c r="A11416">
        <v>11604</v>
      </c>
    </row>
    <row r="11417" spans="1:1" x14ac:dyDescent="0.2">
      <c r="A11417">
        <v>11605</v>
      </c>
    </row>
    <row r="11418" spans="1:1" x14ac:dyDescent="0.2">
      <c r="A11418">
        <v>11606</v>
      </c>
    </row>
    <row r="11419" spans="1:1" x14ac:dyDescent="0.2">
      <c r="A11419">
        <v>11607</v>
      </c>
    </row>
    <row r="11420" spans="1:1" x14ac:dyDescent="0.2">
      <c r="A11420">
        <v>11608</v>
      </c>
    </row>
    <row r="11421" spans="1:1" x14ac:dyDescent="0.2">
      <c r="A11421">
        <v>11609</v>
      </c>
    </row>
    <row r="11422" spans="1:1" x14ac:dyDescent="0.2">
      <c r="A11422">
        <v>11610</v>
      </c>
    </row>
    <row r="11423" spans="1:1" x14ac:dyDescent="0.2">
      <c r="A11423">
        <v>11611</v>
      </c>
    </row>
    <row r="11424" spans="1:1" x14ac:dyDescent="0.2">
      <c r="A11424">
        <v>11612</v>
      </c>
    </row>
    <row r="11425" spans="1:1" x14ac:dyDescent="0.2">
      <c r="A11425">
        <v>11613</v>
      </c>
    </row>
    <row r="11426" spans="1:1" x14ac:dyDescent="0.2">
      <c r="A11426">
        <v>11614</v>
      </c>
    </row>
    <row r="11427" spans="1:1" x14ac:dyDescent="0.2">
      <c r="A11427">
        <v>11615</v>
      </c>
    </row>
    <row r="11428" spans="1:1" x14ac:dyDescent="0.2">
      <c r="A11428">
        <v>11616</v>
      </c>
    </row>
    <row r="11429" spans="1:1" x14ac:dyDescent="0.2">
      <c r="A11429">
        <v>11617</v>
      </c>
    </row>
    <row r="11430" spans="1:1" x14ac:dyDescent="0.2">
      <c r="A11430">
        <v>11618</v>
      </c>
    </row>
    <row r="11431" spans="1:1" x14ac:dyDescent="0.2">
      <c r="A11431">
        <v>11619</v>
      </c>
    </row>
    <row r="11432" spans="1:1" x14ac:dyDescent="0.2">
      <c r="A11432">
        <v>11620</v>
      </c>
    </row>
    <row r="11433" spans="1:1" x14ac:dyDescent="0.2">
      <c r="A11433">
        <v>11621</v>
      </c>
    </row>
    <row r="11434" spans="1:1" x14ac:dyDescent="0.2">
      <c r="A11434">
        <v>11622</v>
      </c>
    </row>
    <row r="11435" spans="1:1" x14ac:dyDescent="0.2">
      <c r="A11435">
        <v>11623</v>
      </c>
    </row>
    <row r="11436" spans="1:1" x14ac:dyDescent="0.2">
      <c r="A11436">
        <v>11624</v>
      </c>
    </row>
    <row r="11437" spans="1:1" x14ac:dyDescent="0.2">
      <c r="A11437">
        <v>11625</v>
      </c>
    </row>
    <row r="11438" spans="1:1" x14ac:dyDescent="0.2">
      <c r="A11438">
        <v>11626</v>
      </c>
    </row>
    <row r="11439" spans="1:1" x14ac:dyDescent="0.2">
      <c r="A11439">
        <v>11627</v>
      </c>
    </row>
    <row r="11440" spans="1:1" x14ac:dyDescent="0.2">
      <c r="A11440">
        <v>11628</v>
      </c>
    </row>
    <row r="11441" spans="1:1" x14ac:dyDescent="0.2">
      <c r="A11441">
        <v>11629</v>
      </c>
    </row>
    <row r="11442" spans="1:1" x14ac:dyDescent="0.2">
      <c r="A11442">
        <v>11630</v>
      </c>
    </row>
    <row r="11443" spans="1:1" x14ac:dyDescent="0.2">
      <c r="A11443">
        <v>11631</v>
      </c>
    </row>
    <row r="11444" spans="1:1" x14ac:dyDescent="0.2">
      <c r="A11444">
        <v>11632</v>
      </c>
    </row>
    <row r="11445" spans="1:1" x14ac:dyDescent="0.2">
      <c r="A11445">
        <v>11633</v>
      </c>
    </row>
    <row r="11446" spans="1:1" x14ac:dyDescent="0.2">
      <c r="A11446">
        <v>11634</v>
      </c>
    </row>
    <row r="11447" spans="1:1" x14ac:dyDescent="0.2">
      <c r="A11447">
        <v>11635</v>
      </c>
    </row>
    <row r="11448" spans="1:1" x14ac:dyDescent="0.2">
      <c r="A11448">
        <v>11636</v>
      </c>
    </row>
    <row r="11449" spans="1:1" x14ac:dyDescent="0.2">
      <c r="A11449">
        <v>11637</v>
      </c>
    </row>
    <row r="11450" spans="1:1" x14ac:dyDescent="0.2">
      <c r="A11450">
        <v>11638</v>
      </c>
    </row>
    <row r="11451" spans="1:1" x14ac:dyDescent="0.2">
      <c r="A11451">
        <v>11639</v>
      </c>
    </row>
    <row r="11452" spans="1:1" x14ac:dyDescent="0.2">
      <c r="A11452">
        <v>11640</v>
      </c>
    </row>
    <row r="11453" spans="1:1" x14ac:dyDescent="0.2">
      <c r="A11453">
        <v>11641</v>
      </c>
    </row>
    <row r="11454" spans="1:1" x14ac:dyDescent="0.2">
      <c r="A11454">
        <v>11642</v>
      </c>
    </row>
    <row r="11455" spans="1:1" x14ac:dyDescent="0.2">
      <c r="A11455">
        <v>11643</v>
      </c>
    </row>
    <row r="11456" spans="1:1" x14ac:dyDescent="0.2">
      <c r="A11456">
        <v>11644</v>
      </c>
    </row>
    <row r="11457" spans="1:1" x14ac:dyDescent="0.2">
      <c r="A11457">
        <v>11645</v>
      </c>
    </row>
    <row r="11458" spans="1:1" x14ac:dyDescent="0.2">
      <c r="A11458">
        <v>11646</v>
      </c>
    </row>
    <row r="11459" spans="1:1" x14ac:dyDescent="0.2">
      <c r="A11459">
        <v>11647</v>
      </c>
    </row>
    <row r="11460" spans="1:1" x14ac:dyDescent="0.2">
      <c r="A11460">
        <v>11648</v>
      </c>
    </row>
    <row r="11461" spans="1:1" x14ac:dyDescent="0.2">
      <c r="A11461">
        <v>11649</v>
      </c>
    </row>
    <row r="11462" spans="1:1" x14ac:dyDescent="0.2">
      <c r="A11462">
        <v>11650</v>
      </c>
    </row>
    <row r="11463" spans="1:1" x14ac:dyDescent="0.2">
      <c r="A11463">
        <v>11651</v>
      </c>
    </row>
    <row r="11464" spans="1:1" x14ac:dyDescent="0.2">
      <c r="A11464">
        <v>11652</v>
      </c>
    </row>
    <row r="11465" spans="1:1" x14ac:dyDescent="0.2">
      <c r="A11465">
        <v>11653</v>
      </c>
    </row>
    <row r="11466" spans="1:1" x14ac:dyDescent="0.2">
      <c r="A11466">
        <v>11654</v>
      </c>
    </row>
    <row r="11467" spans="1:1" x14ac:dyDescent="0.2">
      <c r="A11467">
        <v>11655</v>
      </c>
    </row>
    <row r="11468" spans="1:1" x14ac:dyDescent="0.2">
      <c r="A11468">
        <v>11656</v>
      </c>
    </row>
    <row r="11469" spans="1:1" x14ac:dyDescent="0.2">
      <c r="A11469">
        <v>11657</v>
      </c>
    </row>
    <row r="11470" spans="1:1" x14ac:dyDescent="0.2">
      <c r="A11470">
        <v>11658</v>
      </c>
    </row>
    <row r="11471" spans="1:1" x14ac:dyDescent="0.2">
      <c r="A11471">
        <v>11659</v>
      </c>
    </row>
    <row r="11472" spans="1:1" x14ac:dyDescent="0.2">
      <c r="A11472">
        <v>11660</v>
      </c>
    </row>
    <row r="11473" spans="1:1" x14ac:dyDescent="0.2">
      <c r="A11473">
        <v>11661</v>
      </c>
    </row>
    <row r="11474" spans="1:1" x14ac:dyDescent="0.2">
      <c r="A11474">
        <v>11662</v>
      </c>
    </row>
    <row r="11475" spans="1:1" x14ac:dyDescent="0.2">
      <c r="A11475">
        <v>11663</v>
      </c>
    </row>
    <row r="11476" spans="1:1" x14ac:dyDescent="0.2">
      <c r="A11476">
        <v>11664</v>
      </c>
    </row>
    <row r="11477" spans="1:1" x14ac:dyDescent="0.2">
      <c r="A11477">
        <v>11665</v>
      </c>
    </row>
    <row r="11478" spans="1:1" x14ac:dyDescent="0.2">
      <c r="A11478">
        <v>11666</v>
      </c>
    </row>
    <row r="11479" spans="1:1" x14ac:dyDescent="0.2">
      <c r="A11479">
        <v>11667</v>
      </c>
    </row>
    <row r="11480" spans="1:1" x14ac:dyDescent="0.2">
      <c r="A11480">
        <v>11668</v>
      </c>
    </row>
    <row r="11481" spans="1:1" x14ac:dyDescent="0.2">
      <c r="A11481">
        <v>11669</v>
      </c>
    </row>
    <row r="11482" spans="1:1" x14ac:dyDescent="0.2">
      <c r="A11482">
        <v>11670</v>
      </c>
    </row>
    <row r="11483" spans="1:1" x14ac:dyDescent="0.2">
      <c r="A11483">
        <v>11671</v>
      </c>
    </row>
    <row r="11484" spans="1:1" x14ac:dyDescent="0.2">
      <c r="A11484">
        <v>11672</v>
      </c>
    </row>
    <row r="11485" spans="1:1" x14ac:dyDescent="0.2">
      <c r="A11485">
        <v>11673</v>
      </c>
    </row>
    <row r="11486" spans="1:1" x14ac:dyDescent="0.2">
      <c r="A11486">
        <v>11674</v>
      </c>
    </row>
    <row r="11487" spans="1:1" x14ac:dyDescent="0.2">
      <c r="A11487">
        <v>11675</v>
      </c>
    </row>
    <row r="11488" spans="1:1" x14ac:dyDescent="0.2">
      <c r="A11488">
        <v>11676</v>
      </c>
    </row>
    <row r="11489" spans="1:1" x14ac:dyDescent="0.2">
      <c r="A11489">
        <v>11677</v>
      </c>
    </row>
    <row r="11490" spans="1:1" x14ac:dyDescent="0.2">
      <c r="A11490">
        <v>11678</v>
      </c>
    </row>
    <row r="11491" spans="1:1" x14ac:dyDescent="0.2">
      <c r="A11491">
        <v>11679</v>
      </c>
    </row>
    <row r="11492" spans="1:1" x14ac:dyDescent="0.2">
      <c r="A11492">
        <v>11680</v>
      </c>
    </row>
    <row r="11493" spans="1:1" x14ac:dyDescent="0.2">
      <c r="A11493">
        <v>11681</v>
      </c>
    </row>
    <row r="11494" spans="1:1" x14ac:dyDescent="0.2">
      <c r="A11494">
        <v>11682</v>
      </c>
    </row>
    <row r="11495" spans="1:1" x14ac:dyDescent="0.2">
      <c r="A11495">
        <v>11683</v>
      </c>
    </row>
    <row r="11496" spans="1:1" x14ac:dyDescent="0.2">
      <c r="A11496">
        <v>11684</v>
      </c>
    </row>
    <row r="11497" spans="1:1" x14ac:dyDescent="0.2">
      <c r="A11497">
        <v>11685</v>
      </c>
    </row>
    <row r="11498" spans="1:1" x14ac:dyDescent="0.2">
      <c r="A11498">
        <v>11686</v>
      </c>
    </row>
    <row r="11499" spans="1:1" x14ac:dyDescent="0.2">
      <c r="A11499">
        <v>11687</v>
      </c>
    </row>
    <row r="11500" spans="1:1" x14ac:dyDescent="0.2">
      <c r="A11500">
        <v>11688</v>
      </c>
    </row>
    <row r="11501" spans="1:1" x14ac:dyDescent="0.2">
      <c r="A11501">
        <v>11689</v>
      </c>
    </row>
    <row r="11502" spans="1:1" x14ac:dyDescent="0.2">
      <c r="A11502">
        <v>11690</v>
      </c>
    </row>
    <row r="11503" spans="1:1" x14ac:dyDescent="0.2">
      <c r="A11503">
        <v>11691</v>
      </c>
    </row>
    <row r="11504" spans="1:1" x14ac:dyDescent="0.2">
      <c r="A11504">
        <v>11692</v>
      </c>
    </row>
    <row r="11505" spans="1:1" x14ac:dyDescent="0.2">
      <c r="A11505">
        <v>11693</v>
      </c>
    </row>
    <row r="11506" spans="1:1" x14ac:dyDescent="0.2">
      <c r="A11506">
        <v>11694</v>
      </c>
    </row>
    <row r="11507" spans="1:1" x14ac:dyDescent="0.2">
      <c r="A11507">
        <v>11695</v>
      </c>
    </row>
    <row r="11508" spans="1:1" x14ac:dyDescent="0.2">
      <c r="A11508">
        <v>11696</v>
      </c>
    </row>
    <row r="11509" spans="1:1" x14ac:dyDescent="0.2">
      <c r="A11509">
        <v>11697</v>
      </c>
    </row>
    <row r="11510" spans="1:1" x14ac:dyDescent="0.2">
      <c r="A11510">
        <v>11698</v>
      </c>
    </row>
    <row r="11511" spans="1:1" x14ac:dyDescent="0.2">
      <c r="A11511">
        <v>11699</v>
      </c>
    </row>
    <row r="11512" spans="1:1" x14ac:dyDescent="0.2">
      <c r="A11512">
        <v>11700</v>
      </c>
    </row>
    <row r="11513" spans="1:1" x14ac:dyDescent="0.2">
      <c r="A11513">
        <v>11701</v>
      </c>
    </row>
    <row r="11514" spans="1:1" x14ac:dyDescent="0.2">
      <c r="A11514">
        <v>11702</v>
      </c>
    </row>
    <row r="11515" spans="1:1" x14ac:dyDescent="0.2">
      <c r="A11515">
        <v>11703</v>
      </c>
    </row>
    <row r="11516" spans="1:1" x14ac:dyDescent="0.2">
      <c r="A11516">
        <v>11704</v>
      </c>
    </row>
    <row r="11517" spans="1:1" x14ac:dyDescent="0.2">
      <c r="A11517">
        <v>11705</v>
      </c>
    </row>
    <row r="11518" spans="1:1" x14ac:dyDescent="0.2">
      <c r="A11518">
        <v>11706</v>
      </c>
    </row>
    <row r="11519" spans="1:1" x14ac:dyDescent="0.2">
      <c r="A11519">
        <v>11707</v>
      </c>
    </row>
    <row r="11520" spans="1:1" x14ac:dyDescent="0.2">
      <c r="A11520">
        <v>11708</v>
      </c>
    </row>
    <row r="11521" spans="1:1" x14ac:dyDescent="0.2">
      <c r="A11521">
        <v>11709</v>
      </c>
    </row>
    <row r="11522" spans="1:1" x14ac:dyDescent="0.2">
      <c r="A11522">
        <v>11710</v>
      </c>
    </row>
    <row r="11523" spans="1:1" x14ac:dyDescent="0.2">
      <c r="A11523">
        <v>11711</v>
      </c>
    </row>
    <row r="11524" spans="1:1" x14ac:dyDescent="0.2">
      <c r="A11524">
        <v>11712</v>
      </c>
    </row>
    <row r="11525" spans="1:1" x14ac:dyDescent="0.2">
      <c r="A11525">
        <v>11713</v>
      </c>
    </row>
    <row r="11526" spans="1:1" x14ac:dyDescent="0.2">
      <c r="A11526">
        <v>11714</v>
      </c>
    </row>
    <row r="11527" spans="1:1" x14ac:dyDescent="0.2">
      <c r="A11527">
        <v>11715</v>
      </c>
    </row>
    <row r="11528" spans="1:1" x14ac:dyDescent="0.2">
      <c r="A11528">
        <v>11716</v>
      </c>
    </row>
    <row r="11529" spans="1:1" x14ac:dyDescent="0.2">
      <c r="A11529">
        <v>11717</v>
      </c>
    </row>
    <row r="11530" spans="1:1" x14ac:dyDescent="0.2">
      <c r="A11530">
        <v>11718</v>
      </c>
    </row>
    <row r="11531" spans="1:1" x14ac:dyDescent="0.2">
      <c r="A11531">
        <v>11719</v>
      </c>
    </row>
    <row r="11532" spans="1:1" x14ac:dyDescent="0.2">
      <c r="A11532">
        <v>11720</v>
      </c>
    </row>
    <row r="11533" spans="1:1" x14ac:dyDescent="0.2">
      <c r="A11533">
        <v>11721</v>
      </c>
    </row>
    <row r="11534" spans="1:1" x14ac:dyDescent="0.2">
      <c r="A11534">
        <v>11722</v>
      </c>
    </row>
    <row r="11535" spans="1:1" x14ac:dyDescent="0.2">
      <c r="A11535">
        <v>11723</v>
      </c>
    </row>
    <row r="11536" spans="1:1" x14ac:dyDescent="0.2">
      <c r="A11536">
        <v>11724</v>
      </c>
    </row>
    <row r="11537" spans="1:1" x14ac:dyDescent="0.2">
      <c r="A11537">
        <v>11725</v>
      </c>
    </row>
    <row r="11538" spans="1:1" x14ac:dyDescent="0.2">
      <c r="A11538">
        <v>11726</v>
      </c>
    </row>
    <row r="11539" spans="1:1" x14ac:dyDescent="0.2">
      <c r="A11539">
        <v>11727</v>
      </c>
    </row>
    <row r="11540" spans="1:1" x14ac:dyDescent="0.2">
      <c r="A11540">
        <v>11728</v>
      </c>
    </row>
    <row r="11541" spans="1:1" x14ac:dyDescent="0.2">
      <c r="A11541">
        <v>11729</v>
      </c>
    </row>
    <row r="11542" spans="1:1" x14ac:dyDescent="0.2">
      <c r="A11542">
        <v>11730</v>
      </c>
    </row>
    <row r="11543" spans="1:1" x14ac:dyDescent="0.2">
      <c r="A11543">
        <v>11731</v>
      </c>
    </row>
    <row r="11544" spans="1:1" x14ac:dyDescent="0.2">
      <c r="A11544">
        <v>11732</v>
      </c>
    </row>
    <row r="11545" spans="1:1" x14ac:dyDescent="0.2">
      <c r="A11545">
        <v>11733</v>
      </c>
    </row>
    <row r="11546" spans="1:1" x14ac:dyDescent="0.2">
      <c r="A11546">
        <v>11734</v>
      </c>
    </row>
    <row r="11547" spans="1:1" x14ac:dyDescent="0.2">
      <c r="A11547">
        <v>11735</v>
      </c>
    </row>
    <row r="11548" spans="1:1" x14ac:dyDescent="0.2">
      <c r="A11548">
        <v>11736</v>
      </c>
    </row>
    <row r="11549" spans="1:1" x14ac:dyDescent="0.2">
      <c r="A11549">
        <v>11737</v>
      </c>
    </row>
    <row r="11550" spans="1:1" x14ac:dyDescent="0.2">
      <c r="A11550">
        <v>11738</v>
      </c>
    </row>
    <row r="11551" spans="1:1" x14ac:dyDescent="0.2">
      <c r="A11551">
        <v>11739</v>
      </c>
    </row>
    <row r="11552" spans="1:1" x14ac:dyDescent="0.2">
      <c r="A11552">
        <v>11740</v>
      </c>
    </row>
    <row r="11553" spans="1:1" x14ac:dyDescent="0.2">
      <c r="A11553">
        <v>11741</v>
      </c>
    </row>
    <row r="11554" spans="1:1" x14ac:dyDescent="0.2">
      <c r="A11554">
        <v>11742</v>
      </c>
    </row>
    <row r="11555" spans="1:1" x14ac:dyDescent="0.2">
      <c r="A11555">
        <v>11743</v>
      </c>
    </row>
    <row r="11556" spans="1:1" x14ac:dyDescent="0.2">
      <c r="A11556">
        <v>11744</v>
      </c>
    </row>
    <row r="11557" spans="1:1" x14ac:dyDescent="0.2">
      <c r="A11557">
        <v>11745</v>
      </c>
    </row>
    <row r="11558" spans="1:1" x14ac:dyDescent="0.2">
      <c r="A11558">
        <v>11746</v>
      </c>
    </row>
    <row r="11559" spans="1:1" x14ac:dyDescent="0.2">
      <c r="A11559">
        <v>11747</v>
      </c>
    </row>
    <row r="11560" spans="1:1" x14ac:dyDescent="0.2">
      <c r="A11560">
        <v>11748</v>
      </c>
    </row>
    <row r="11561" spans="1:1" x14ac:dyDescent="0.2">
      <c r="A11561">
        <v>11749</v>
      </c>
    </row>
    <row r="11562" spans="1:1" x14ac:dyDescent="0.2">
      <c r="A11562">
        <v>11750</v>
      </c>
    </row>
    <row r="11563" spans="1:1" x14ac:dyDescent="0.2">
      <c r="A11563">
        <v>11751</v>
      </c>
    </row>
    <row r="11564" spans="1:1" x14ac:dyDescent="0.2">
      <c r="A11564">
        <v>11752</v>
      </c>
    </row>
    <row r="11565" spans="1:1" x14ac:dyDescent="0.2">
      <c r="A11565">
        <v>11753</v>
      </c>
    </row>
    <row r="11566" spans="1:1" x14ac:dyDescent="0.2">
      <c r="A11566">
        <v>11754</v>
      </c>
    </row>
    <row r="11567" spans="1:1" x14ac:dyDescent="0.2">
      <c r="A11567">
        <v>11755</v>
      </c>
    </row>
    <row r="11568" spans="1:1" x14ac:dyDescent="0.2">
      <c r="A11568">
        <v>11756</v>
      </c>
    </row>
    <row r="11569" spans="1:1" x14ac:dyDescent="0.2">
      <c r="A11569">
        <v>11757</v>
      </c>
    </row>
    <row r="11570" spans="1:1" x14ac:dyDescent="0.2">
      <c r="A11570">
        <v>11758</v>
      </c>
    </row>
    <row r="11571" spans="1:1" x14ac:dyDescent="0.2">
      <c r="A11571">
        <v>11759</v>
      </c>
    </row>
    <row r="11572" spans="1:1" x14ac:dyDescent="0.2">
      <c r="A11572">
        <v>11760</v>
      </c>
    </row>
    <row r="11573" spans="1:1" x14ac:dyDescent="0.2">
      <c r="A11573">
        <v>11761</v>
      </c>
    </row>
    <row r="11574" spans="1:1" x14ac:dyDescent="0.2">
      <c r="A11574">
        <v>11762</v>
      </c>
    </row>
    <row r="11575" spans="1:1" x14ac:dyDescent="0.2">
      <c r="A11575">
        <v>11763</v>
      </c>
    </row>
    <row r="11576" spans="1:1" x14ac:dyDescent="0.2">
      <c r="A11576">
        <v>11764</v>
      </c>
    </row>
    <row r="11577" spans="1:1" x14ac:dyDescent="0.2">
      <c r="A11577">
        <v>11765</v>
      </c>
    </row>
    <row r="11578" spans="1:1" x14ac:dyDescent="0.2">
      <c r="A11578">
        <v>11766</v>
      </c>
    </row>
    <row r="11579" spans="1:1" x14ac:dyDescent="0.2">
      <c r="A11579">
        <v>11767</v>
      </c>
    </row>
    <row r="11580" spans="1:1" x14ac:dyDescent="0.2">
      <c r="A11580">
        <v>11768</v>
      </c>
    </row>
    <row r="11581" spans="1:1" x14ac:dyDescent="0.2">
      <c r="A11581">
        <v>11769</v>
      </c>
    </row>
    <row r="11582" spans="1:1" x14ac:dyDescent="0.2">
      <c r="A11582">
        <v>11770</v>
      </c>
    </row>
    <row r="11583" spans="1:1" x14ac:dyDescent="0.2">
      <c r="A11583">
        <v>11771</v>
      </c>
    </row>
    <row r="11584" spans="1:1" x14ac:dyDescent="0.2">
      <c r="A11584">
        <v>11772</v>
      </c>
    </row>
    <row r="11585" spans="1:1" x14ac:dyDescent="0.2">
      <c r="A11585">
        <v>11773</v>
      </c>
    </row>
    <row r="11586" spans="1:1" x14ac:dyDescent="0.2">
      <c r="A11586">
        <v>11774</v>
      </c>
    </row>
    <row r="11587" spans="1:1" x14ac:dyDescent="0.2">
      <c r="A11587">
        <v>11775</v>
      </c>
    </row>
    <row r="11588" spans="1:1" x14ac:dyDescent="0.2">
      <c r="A11588">
        <v>11776</v>
      </c>
    </row>
    <row r="11589" spans="1:1" x14ac:dyDescent="0.2">
      <c r="A11589">
        <v>11777</v>
      </c>
    </row>
    <row r="11590" spans="1:1" x14ac:dyDescent="0.2">
      <c r="A11590">
        <v>11778</v>
      </c>
    </row>
    <row r="11591" spans="1:1" x14ac:dyDescent="0.2">
      <c r="A11591">
        <v>11779</v>
      </c>
    </row>
    <row r="11592" spans="1:1" x14ac:dyDescent="0.2">
      <c r="A11592">
        <v>11780</v>
      </c>
    </row>
    <row r="11593" spans="1:1" x14ac:dyDescent="0.2">
      <c r="A11593">
        <v>11781</v>
      </c>
    </row>
    <row r="11594" spans="1:1" x14ac:dyDescent="0.2">
      <c r="A11594">
        <v>11782</v>
      </c>
    </row>
    <row r="11595" spans="1:1" x14ac:dyDescent="0.2">
      <c r="A11595">
        <v>11783</v>
      </c>
    </row>
    <row r="11596" spans="1:1" x14ac:dyDescent="0.2">
      <c r="A11596">
        <v>11784</v>
      </c>
    </row>
    <row r="11597" spans="1:1" x14ac:dyDescent="0.2">
      <c r="A11597">
        <v>11785</v>
      </c>
    </row>
    <row r="11598" spans="1:1" x14ac:dyDescent="0.2">
      <c r="A11598">
        <v>11786</v>
      </c>
    </row>
    <row r="11599" spans="1:1" x14ac:dyDescent="0.2">
      <c r="A11599">
        <v>11787</v>
      </c>
    </row>
    <row r="11600" spans="1:1" x14ac:dyDescent="0.2">
      <c r="A11600">
        <v>11788</v>
      </c>
    </row>
    <row r="11601" spans="1:1" x14ac:dyDescent="0.2">
      <c r="A11601">
        <v>11789</v>
      </c>
    </row>
    <row r="11602" spans="1:1" x14ac:dyDescent="0.2">
      <c r="A11602">
        <v>11790</v>
      </c>
    </row>
    <row r="11603" spans="1:1" x14ac:dyDescent="0.2">
      <c r="A11603">
        <v>11791</v>
      </c>
    </row>
    <row r="11604" spans="1:1" x14ac:dyDescent="0.2">
      <c r="A11604">
        <v>11792</v>
      </c>
    </row>
    <row r="11605" spans="1:1" x14ac:dyDescent="0.2">
      <c r="A11605">
        <v>11793</v>
      </c>
    </row>
    <row r="11606" spans="1:1" x14ac:dyDescent="0.2">
      <c r="A11606">
        <v>11794</v>
      </c>
    </row>
    <row r="11607" spans="1:1" x14ac:dyDescent="0.2">
      <c r="A11607">
        <v>11795</v>
      </c>
    </row>
    <row r="11608" spans="1:1" x14ac:dyDescent="0.2">
      <c r="A11608">
        <v>11796</v>
      </c>
    </row>
    <row r="11609" spans="1:1" x14ac:dyDescent="0.2">
      <c r="A11609">
        <v>11797</v>
      </c>
    </row>
    <row r="11610" spans="1:1" x14ac:dyDescent="0.2">
      <c r="A11610">
        <v>11798</v>
      </c>
    </row>
    <row r="11611" spans="1:1" x14ac:dyDescent="0.2">
      <c r="A11611">
        <v>11799</v>
      </c>
    </row>
    <row r="11612" spans="1:1" x14ac:dyDescent="0.2">
      <c r="A11612">
        <v>11800</v>
      </c>
    </row>
    <row r="11613" spans="1:1" x14ac:dyDescent="0.2">
      <c r="A11613">
        <v>11801</v>
      </c>
    </row>
    <row r="11614" spans="1:1" x14ac:dyDescent="0.2">
      <c r="A11614">
        <v>11802</v>
      </c>
    </row>
    <row r="11615" spans="1:1" x14ac:dyDescent="0.2">
      <c r="A11615">
        <v>11803</v>
      </c>
    </row>
    <row r="11616" spans="1:1" x14ac:dyDescent="0.2">
      <c r="A11616">
        <v>11804</v>
      </c>
    </row>
    <row r="11617" spans="1:1" x14ac:dyDescent="0.2">
      <c r="A11617">
        <v>11805</v>
      </c>
    </row>
    <row r="11618" spans="1:1" x14ac:dyDescent="0.2">
      <c r="A11618">
        <v>11806</v>
      </c>
    </row>
    <row r="11619" spans="1:1" x14ac:dyDescent="0.2">
      <c r="A11619">
        <v>11807</v>
      </c>
    </row>
    <row r="11620" spans="1:1" x14ac:dyDescent="0.2">
      <c r="A11620">
        <v>11808</v>
      </c>
    </row>
    <row r="11621" spans="1:1" x14ac:dyDescent="0.2">
      <c r="A11621">
        <v>11809</v>
      </c>
    </row>
    <row r="11622" spans="1:1" x14ac:dyDescent="0.2">
      <c r="A11622">
        <v>11810</v>
      </c>
    </row>
    <row r="11623" spans="1:1" x14ac:dyDescent="0.2">
      <c r="A11623">
        <v>11811</v>
      </c>
    </row>
    <row r="11624" spans="1:1" x14ac:dyDescent="0.2">
      <c r="A11624">
        <v>11812</v>
      </c>
    </row>
    <row r="11625" spans="1:1" x14ac:dyDescent="0.2">
      <c r="A11625">
        <v>11813</v>
      </c>
    </row>
    <row r="11626" spans="1:1" x14ac:dyDescent="0.2">
      <c r="A11626">
        <v>11814</v>
      </c>
    </row>
    <row r="11627" spans="1:1" x14ac:dyDescent="0.2">
      <c r="A11627">
        <v>11815</v>
      </c>
    </row>
    <row r="11628" spans="1:1" x14ac:dyDescent="0.2">
      <c r="A11628">
        <v>11816</v>
      </c>
    </row>
    <row r="11629" spans="1:1" x14ac:dyDescent="0.2">
      <c r="A11629">
        <v>11817</v>
      </c>
    </row>
    <row r="11630" spans="1:1" x14ac:dyDescent="0.2">
      <c r="A11630">
        <v>11818</v>
      </c>
    </row>
    <row r="11631" spans="1:1" x14ac:dyDescent="0.2">
      <c r="A11631">
        <v>11819</v>
      </c>
    </row>
    <row r="11632" spans="1:1" x14ac:dyDescent="0.2">
      <c r="A11632">
        <v>11820</v>
      </c>
    </row>
    <row r="11633" spans="1:1" x14ac:dyDescent="0.2">
      <c r="A11633">
        <v>11821</v>
      </c>
    </row>
    <row r="11634" spans="1:1" x14ac:dyDescent="0.2">
      <c r="A11634">
        <v>11822</v>
      </c>
    </row>
    <row r="11635" spans="1:1" x14ac:dyDescent="0.2">
      <c r="A11635">
        <v>11823</v>
      </c>
    </row>
    <row r="11636" spans="1:1" x14ac:dyDescent="0.2">
      <c r="A11636">
        <v>11824</v>
      </c>
    </row>
    <row r="11637" spans="1:1" x14ac:dyDescent="0.2">
      <c r="A11637">
        <v>11825</v>
      </c>
    </row>
    <row r="11638" spans="1:1" x14ac:dyDescent="0.2">
      <c r="A11638">
        <v>11826</v>
      </c>
    </row>
    <row r="11639" spans="1:1" x14ac:dyDescent="0.2">
      <c r="A11639">
        <v>11827</v>
      </c>
    </row>
    <row r="11640" spans="1:1" x14ac:dyDescent="0.2">
      <c r="A11640">
        <v>11828</v>
      </c>
    </row>
    <row r="11641" spans="1:1" x14ac:dyDescent="0.2">
      <c r="A11641">
        <v>11829</v>
      </c>
    </row>
    <row r="11642" spans="1:1" x14ac:dyDescent="0.2">
      <c r="A11642">
        <v>11830</v>
      </c>
    </row>
    <row r="11643" spans="1:1" x14ac:dyDescent="0.2">
      <c r="A11643">
        <v>11831</v>
      </c>
    </row>
    <row r="11644" spans="1:1" x14ac:dyDescent="0.2">
      <c r="A11644">
        <v>11832</v>
      </c>
    </row>
    <row r="11645" spans="1:1" x14ac:dyDescent="0.2">
      <c r="A11645">
        <v>11833</v>
      </c>
    </row>
    <row r="11646" spans="1:1" x14ac:dyDescent="0.2">
      <c r="A11646">
        <v>11834</v>
      </c>
    </row>
    <row r="11647" spans="1:1" x14ac:dyDescent="0.2">
      <c r="A11647">
        <v>11835</v>
      </c>
    </row>
    <row r="11648" spans="1:1" x14ac:dyDescent="0.2">
      <c r="A11648">
        <v>11836</v>
      </c>
    </row>
    <row r="11649" spans="1:1" x14ac:dyDescent="0.2">
      <c r="A11649">
        <v>11837</v>
      </c>
    </row>
    <row r="11650" spans="1:1" x14ac:dyDescent="0.2">
      <c r="A11650">
        <v>11838</v>
      </c>
    </row>
    <row r="11651" spans="1:1" x14ac:dyDescent="0.2">
      <c r="A11651">
        <v>11839</v>
      </c>
    </row>
    <row r="11652" spans="1:1" x14ac:dyDescent="0.2">
      <c r="A11652">
        <v>11840</v>
      </c>
    </row>
    <row r="11653" spans="1:1" x14ac:dyDescent="0.2">
      <c r="A11653">
        <v>11841</v>
      </c>
    </row>
    <row r="11654" spans="1:1" x14ac:dyDescent="0.2">
      <c r="A11654">
        <v>11842</v>
      </c>
    </row>
    <row r="11655" spans="1:1" x14ac:dyDescent="0.2">
      <c r="A11655">
        <v>11843</v>
      </c>
    </row>
    <row r="11656" spans="1:1" x14ac:dyDescent="0.2">
      <c r="A11656">
        <v>11844</v>
      </c>
    </row>
    <row r="11657" spans="1:1" x14ac:dyDescent="0.2">
      <c r="A11657">
        <v>11845</v>
      </c>
    </row>
    <row r="11658" spans="1:1" x14ac:dyDescent="0.2">
      <c r="A11658">
        <v>11846</v>
      </c>
    </row>
    <row r="11659" spans="1:1" x14ac:dyDescent="0.2">
      <c r="A11659">
        <v>11847</v>
      </c>
    </row>
    <row r="11660" spans="1:1" x14ac:dyDescent="0.2">
      <c r="A11660">
        <v>11848</v>
      </c>
    </row>
    <row r="11661" spans="1:1" x14ac:dyDescent="0.2">
      <c r="A11661">
        <v>11849</v>
      </c>
    </row>
    <row r="11662" spans="1:1" x14ac:dyDescent="0.2">
      <c r="A11662">
        <v>11850</v>
      </c>
    </row>
    <row r="11663" spans="1:1" x14ac:dyDescent="0.2">
      <c r="A11663">
        <v>11851</v>
      </c>
    </row>
    <row r="11664" spans="1:1" x14ac:dyDescent="0.2">
      <c r="A11664">
        <v>11852</v>
      </c>
    </row>
    <row r="11665" spans="1:1" x14ac:dyDescent="0.2">
      <c r="A11665">
        <v>11853</v>
      </c>
    </row>
    <row r="11666" spans="1:1" x14ac:dyDescent="0.2">
      <c r="A11666">
        <v>11854</v>
      </c>
    </row>
    <row r="11667" spans="1:1" x14ac:dyDescent="0.2">
      <c r="A11667">
        <v>11855</v>
      </c>
    </row>
    <row r="11668" spans="1:1" x14ac:dyDescent="0.2">
      <c r="A11668">
        <v>11856</v>
      </c>
    </row>
    <row r="11669" spans="1:1" x14ac:dyDescent="0.2">
      <c r="A11669">
        <v>11857</v>
      </c>
    </row>
    <row r="11670" spans="1:1" x14ac:dyDescent="0.2">
      <c r="A11670">
        <v>11858</v>
      </c>
    </row>
    <row r="11671" spans="1:1" x14ac:dyDescent="0.2">
      <c r="A11671">
        <v>11859</v>
      </c>
    </row>
    <row r="11672" spans="1:1" x14ac:dyDescent="0.2">
      <c r="A11672">
        <v>11860</v>
      </c>
    </row>
    <row r="11673" spans="1:1" x14ac:dyDescent="0.2">
      <c r="A11673">
        <v>11861</v>
      </c>
    </row>
    <row r="11674" spans="1:1" x14ac:dyDescent="0.2">
      <c r="A11674">
        <v>11862</v>
      </c>
    </row>
    <row r="11675" spans="1:1" x14ac:dyDescent="0.2">
      <c r="A11675">
        <v>11863</v>
      </c>
    </row>
    <row r="11676" spans="1:1" x14ac:dyDescent="0.2">
      <c r="A11676">
        <v>11864</v>
      </c>
    </row>
    <row r="11677" spans="1:1" x14ac:dyDescent="0.2">
      <c r="A11677">
        <v>11865</v>
      </c>
    </row>
    <row r="11678" spans="1:1" x14ac:dyDescent="0.2">
      <c r="A11678">
        <v>11866</v>
      </c>
    </row>
    <row r="11679" spans="1:1" x14ac:dyDescent="0.2">
      <c r="A11679">
        <v>11867</v>
      </c>
    </row>
    <row r="11680" spans="1:1" x14ac:dyDescent="0.2">
      <c r="A11680">
        <v>11868</v>
      </c>
    </row>
    <row r="11681" spans="1:1" x14ac:dyDescent="0.2">
      <c r="A11681">
        <v>11869</v>
      </c>
    </row>
    <row r="11682" spans="1:1" x14ac:dyDescent="0.2">
      <c r="A11682">
        <v>11870</v>
      </c>
    </row>
    <row r="11683" spans="1:1" x14ac:dyDescent="0.2">
      <c r="A11683">
        <v>11871</v>
      </c>
    </row>
    <row r="11684" spans="1:1" x14ac:dyDescent="0.2">
      <c r="A11684">
        <v>11872</v>
      </c>
    </row>
    <row r="11685" spans="1:1" x14ac:dyDescent="0.2">
      <c r="A11685">
        <v>11873</v>
      </c>
    </row>
    <row r="11686" spans="1:1" x14ac:dyDescent="0.2">
      <c r="A11686">
        <v>11874</v>
      </c>
    </row>
    <row r="11687" spans="1:1" x14ac:dyDescent="0.2">
      <c r="A11687">
        <v>11875</v>
      </c>
    </row>
    <row r="11688" spans="1:1" x14ac:dyDescent="0.2">
      <c r="A11688">
        <v>11876</v>
      </c>
    </row>
    <row r="11689" spans="1:1" x14ac:dyDescent="0.2">
      <c r="A11689">
        <v>11877</v>
      </c>
    </row>
    <row r="11690" spans="1:1" x14ac:dyDescent="0.2">
      <c r="A11690">
        <v>11878</v>
      </c>
    </row>
    <row r="11691" spans="1:1" x14ac:dyDescent="0.2">
      <c r="A11691">
        <v>11879</v>
      </c>
    </row>
    <row r="11692" spans="1:1" x14ac:dyDescent="0.2">
      <c r="A11692">
        <v>11880</v>
      </c>
    </row>
    <row r="11693" spans="1:1" x14ac:dyDescent="0.2">
      <c r="A11693">
        <v>11881</v>
      </c>
    </row>
    <row r="11694" spans="1:1" x14ac:dyDescent="0.2">
      <c r="A11694">
        <v>11882</v>
      </c>
    </row>
    <row r="11695" spans="1:1" x14ac:dyDescent="0.2">
      <c r="A11695">
        <v>11883</v>
      </c>
    </row>
    <row r="11696" spans="1:1" x14ac:dyDescent="0.2">
      <c r="A11696">
        <v>11884</v>
      </c>
    </row>
    <row r="11697" spans="1:1" x14ac:dyDescent="0.2">
      <c r="A11697">
        <v>11885</v>
      </c>
    </row>
    <row r="11698" spans="1:1" x14ac:dyDescent="0.2">
      <c r="A11698">
        <v>11886</v>
      </c>
    </row>
    <row r="11699" spans="1:1" x14ac:dyDescent="0.2">
      <c r="A11699">
        <v>11887</v>
      </c>
    </row>
    <row r="11700" spans="1:1" x14ac:dyDescent="0.2">
      <c r="A11700">
        <v>11888</v>
      </c>
    </row>
    <row r="11701" spans="1:1" x14ac:dyDescent="0.2">
      <c r="A11701">
        <v>11889</v>
      </c>
    </row>
    <row r="11702" spans="1:1" x14ac:dyDescent="0.2">
      <c r="A11702">
        <v>11890</v>
      </c>
    </row>
    <row r="11703" spans="1:1" x14ac:dyDescent="0.2">
      <c r="A11703">
        <v>11891</v>
      </c>
    </row>
    <row r="11704" spans="1:1" x14ac:dyDescent="0.2">
      <c r="A11704">
        <v>11892</v>
      </c>
    </row>
    <row r="11705" spans="1:1" x14ac:dyDescent="0.2">
      <c r="A11705">
        <v>11893</v>
      </c>
    </row>
    <row r="11706" spans="1:1" x14ac:dyDescent="0.2">
      <c r="A11706">
        <v>11894</v>
      </c>
    </row>
    <row r="11707" spans="1:1" x14ac:dyDescent="0.2">
      <c r="A11707">
        <v>11895</v>
      </c>
    </row>
    <row r="11708" spans="1:1" x14ac:dyDescent="0.2">
      <c r="A11708">
        <v>11896</v>
      </c>
    </row>
    <row r="11709" spans="1:1" x14ac:dyDescent="0.2">
      <c r="A11709">
        <v>11897</v>
      </c>
    </row>
    <row r="11710" spans="1:1" x14ac:dyDescent="0.2">
      <c r="A11710">
        <v>11898</v>
      </c>
    </row>
    <row r="11711" spans="1:1" x14ac:dyDescent="0.2">
      <c r="A11711">
        <v>11899</v>
      </c>
    </row>
    <row r="11712" spans="1:1" x14ac:dyDescent="0.2">
      <c r="A11712">
        <v>11900</v>
      </c>
    </row>
    <row r="11713" spans="1:1" x14ac:dyDescent="0.2">
      <c r="A11713">
        <v>11901</v>
      </c>
    </row>
    <row r="11714" spans="1:1" x14ac:dyDescent="0.2">
      <c r="A11714">
        <v>11902</v>
      </c>
    </row>
    <row r="11715" spans="1:1" x14ac:dyDescent="0.2">
      <c r="A11715">
        <v>11903</v>
      </c>
    </row>
    <row r="11716" spans="1:1" x14ac:dyDescent="0.2">
      <c r="A11716">
        <v>11904</v>
      </c>
    </row>
    <row r="11717" spans="1:1" x14ac:dyDescent="0.2">
      <c r="A11717">
        <v>11905</v>
      </c>
    </row>
    <row r="11718" spans="1:1" x14ac:dyDescent="0.2">
      <c r="A11718">
        <v>11906</v>
      </c>
    </row>
    <row r="11719" spans="1:1" x14ac:dyDescent="0.2">
      <c r="A11719">
        <v>11907</v>
      </c>
    </row>
    <row r="11720" spans="1:1" x14ac:dyDescent="0.2">
      <c r="A11720">
        <v>11908</v>
      </c>
    </row>
    <row r="11721" spans="1:1" x14ac:dyDescent="0.2">
      <c r="A11721">
        <v>11909</v>
      </c>
    </row>
    <row r="11722" spans="1:1" x14ac:dyDescent="0.2">
      <c r="A11722">
        <v>11910</v>
      </c>
    </row>
    <row r="11723" spans="1:1" x14ac:dyDescent="0.2">
      <c r="A11723">
        <v>11911</v>
      </c>
    </row>
    <row r="11724" spans="1:1" x14ac:dyDescent="0.2">
      <c r="A11724">
        <v>11912</v>
      </c>
    </row>
    <row r="11725" spans="1:1" x14ac:dyDescent="0.2">
      <c r="A11725">
        <v>11913</v>
      </c>
    </row>
    <row r="11726" spans="1:1" x14ac:dyDescent="0.2">
      <c r="A11726">
        <v>11914</v>
      </c>
    </row>
    <row r="11727" spans="1:1" x14ac:dyDescent="0.2">
      <c r="A11727">
        <v>11915</v>
      </c>
    </row>
    <row r="11728" spans="1:1" x14ac:dyDescent="0.2">
      <c r="A11728">
        <v>11916</v>
      </c>
    </row>
    <row r="11729" spans="1:1" x14ac:dyDescent="0.2">
      <c r="A11729">
        <v>11917</v>
      </c>
    </row>
    <row r="11730" spans="1:1" x14ac:dyDescent="0.2">
      <c r="A11730">
        <v>11918</v>
      </c>
    </row>
    <row r="11731" spans="1:1" x14ac:dyDescent="0.2">
      <c r="A11731">
        <v>11919</v>
      </c>
    </row>
    <row r="11732" spans="1:1" x14ac:dyDescent="0.2">
      <c r="A11732">
        <v>11920</v>
      </c>
    </row>
    <row r="11733" spans="1:1" x14ac:dyDescent="0.2">
      <c r="A11733">
        <v>11921</v>
      </c>
    </row>
    <row r="11734" spans="1:1" x14ac:dyDescent="0.2">
      <c r="A11734">
        <v>11922</v>
      </c>
    </row>
    <row r="11735" spans="1:1" x14ac:dyDescent="0.2">
      <c r="A11735">
        <v>11923</v>
      </c>
    </row>
    <row r="11736" spans="1:1" x14ac:dyDescent="0.2">
      <c r="A11736">
        <v>11924</v>
      </c>
    </row>
    <row r="11737" spans="1:1" x14ac:dyDescent="0.2">
      <c r="A11737">
        <v>11925</v>
      </c>
    </row>
    <row r="11738" spans="1:1" x14ac:dyDescent="0.2">
      <c r="A11738">
        <v>11926</v>
      </c>
    </row>
    <row r="11739" spans="1:1" x14ac:dyDescent="0.2">
      <c r="A11739">
        <v>11927</v>
      </c>
    </row>
    <row r="11740" spans="1:1" x14ac:dyDescent="0.2">
      <c r="A11740">
        <v>11928</v>
      </c>
    </row>
    <row r="11741" spans="1:1" x14ac:dyDescent="0.2">
      <c r="A11741">
        <v>11929</v>
      </c>
    </row>
    <row r="11742" spans="1:1" x14ac:dyDescent="0.2">
      <c r="A11742">
        <v>11930</v>
      </c>
    </row>
    <row r="11743" spans="1:1" x14ac:dyDescent="0.2">
      <c r="A11743">
        <v>11931</v>
      </c>
    </row>
    <row r="11744" spans="1:1" x14ac:dyDescent="0.2">
      <c r="A11744">
        <v>11932</v>
      </c>
    </row>
    <row r="11745" spans="1:1" x14ac:dyDescent="0.2">
      <c r="A11745">
        <v>11933</v>
      </c>
    </row>
    <row r="11746" spans="1:1" x14ac:dyDescent="0.2">
      <c r="A11746">
        <v>11934</v>
      </c>
    </row>
    <row r="11747" spans="1:1" x14ac:dyDescent="0.2">
      <c r="A11747">
        <v>11935</v>
      </c>
    </row>
    <row r="11748" spans="1:1" x14ac:dyDescent="0.2">
      <c r="A11748">
        <v>11936</v>
      </c>
    </row>
    <row r="11749" spans="1:1" x14ac:dyDescent="0.2">
      <c r="A11749">
        <v>11937</v>
      </c>
    </row>
    <row r="11750" spans="1:1" x14ac:dyDescent="0.2">
      <c r="A11750">
        <v>11938</v>
      </c>
    </row>
    <row r="11751" spans="1:1" x14ac:dyDescent="0.2">
      <c r="A11751">
        <v>11939</v>
      </c>
    </row>
    <row r="11752" spans="1:1" x14ac:dyDescent="0.2">
      <c r="A11752">
        <v>11940</v>
      </c>
    </row>
    <row r="11753" spans="1:1" x14ac:dyDescent="0.2">
      <c r="A11753">
        <v>11941</v>
      </c>
    </row>
    <row r="11754" spans="1:1" x14ac:dyDescent="0.2">
      <c r="A11754">
        <v>11942</v>
      </c>
    </row>
    <row r="11755" spans="1:1" x14ac:dyDescent="0.2">
      <c r="A11755">
        <v>11943</v>
      </c>
    </row>
    <row r="11756" spans="1:1" x14ac:dyDescent="0.2">
      <c r="A11756">
        <v>11944</v>
      </c>
    </row>
    <row r="11757" spans="1:1" x14ac:dyDescent="0.2">
      <c r="A11757">
        <v>11945</v>
      </c>
    </row>
    <row r="11758" spans="1:1" x14ac:dyDescent="0.2">
      <c r="A11758">
        <v>11946</v>
      </c>
    </row>
    <row r="11759" spans="1:1" x14ac:dyDescent="0.2">
      <c r="A11759">
        <v>11947</v>
      </c>
    </row>
    <row r="11760" spans="1:1" x14ac:dyDescent="0.2">
      <c r="A11760">
        <v>11948</v>
      </c>
    </row>
    <row r="11761" spans="1:1" x14ac:dyDescent="0.2">
      <c r="A11761">
        <v>11949</v>
      </c>
    </row>
    <row r="11762" spans="1:1" x14ac:dyDescent="0.2">
      <c r="A11762">
        <v>11950</v>
      </c>
    </row>
    <row r="11763" spans="1:1" x14ac:dyDescent="0.2">
      <c r="A11763">
        <v>11951</v>
      </c>
    </row>
    <row r="11764" spans="1:1" x14ac:dyDescent="0.2">
      <c r="A11764">
        <v>11952</v>
      </c>
    </row>
    <row r="11765" spans="1:1" x14ac:dyDescent="0.2">
      <c r="A11765">
        <v>11953</v>
      </c>
    </row>
    <row r="11766" spans="1:1" x14ac:dyDescent="0.2">
      <c r="A11766">
        <v>11954</v>
      </c>
    </row>
    <row r="11767" spans="1:1" x14ac:dyDescent="0.2">
      <c r="A11767">
        <v>11955</v>
      </c>
    </row>
    <row r="11768" spans="1:1" x14ac:dyDescent="0.2">
      <c r="A11768">
        <v>11956</v>
      </c>
    </row>
    <row r="11769" spans="1:1" x14ac:dyDescent="0.2">
      <c r="A11769">
        <v>11957</v>
      </c>
    </row>
    <row r="11770" spans="1:1" x14ac:dyDescent="0.2">
      <c r="A11770">
        <v>11958</v>
      </c>
    </row>
    <row r="11771" spans="1:1" x14ac:dyDescent="0.2">
      <c r="A11771">
        <v>11959</v>
      </c>
    </row>
    <row r="11772" spans="1:1" x14ac:dyDescent="0.2">
      <c r="A11772">
        <v>11960</v>
      </c>
    </row>
    <row r="11773" spans="1:1" x14ac:dyDescent="0.2">
      <c r="A11773">
        <v>11961</v>
      </c>
    </row>
    <row r="11774" spans="1:1" x14ac:dyDescent="0.2">
      <c r="A11774">
        <v>11962</v>
      </c>
    </row>
    <row r="11775" spans="1:1" x14ac:dyDescent="0.2">
      <c r="A11775">
        <v>11963</v>
      </c>
    </row>
    <row r="11776" spans="1:1" x14ac:dyDescent="0.2">
      <c r="A11776">
        <v>11964</v>
      </c>
    </row>
    <row r="11777" spans="1:1" x14ac:dyDescent="0.2">
      <c r="A11777">
        <v>11965</v>
      </c>
    </row>
    <row r="11778" spans="1:1" x14ac:dyDescent="0.2">
      <c r="A11778">
        <v>11966</v>
      </c>
    </row>
    <row r="11779" spans="1:1" x14ac:dyDescent="0.2">
      <c r="A11779">
        <v>11967</v>
      </c>
    </row>
    <row r="11780" spans="1:1" x14ac:dyDescent="0.2">
      <c r="A11780">
        <v>11968</v>
      </c>
    </row>
    <row r="11781" spans="1:1" x14ac:dyDescent="0.2">
      <c r="A11781">
        <v>11969</v>
      </c>
    </row>
    <row r="11782" spans="1:1" x14ac:dyDescent="0.2">
      <c r="A11782">
        <v>11970</v>
      </c>
    </row>
    <row r="11783" spans="1:1" x14ac:dyDescent="0.2">
      <c r="A11783">
        <v>11971</v>
      </c>
    </row>
    <row r="11784" spans="1:1" x14ac:dyDescent="0.2">
      <c r="A11784">
        <v>11972</v>
      </c>
    </row>
    <row r="11785" spans="1:1" x14ac:dyDescent="0.2">
      <c r="A11785">
        <v>11973</v>
      </c>
    </row>
    <row r="11786" spans="1:1" x14ac:dyDescent="0.2">
      <c r="A11786">
        <v>11974</v>
      </c>
    </row>
    <row r="11787" spans="1:1" x14ac:dyDescent="0.2">
      <c r="A11787">
        <v>11975</v>
      </c>
    </row>
    <row r="11788" spans="1:1" x14ac:dyDescent="0.2">
      <c r="A11788">
        <v>11976</v>
      </c>
    </row>
    <row r="11789" spans="1:1" x14ac:dyDescent="0.2">
      <c r="A11789">
        <v>11977</v>
      </c>
    </row>
    <row r="11790" spans="1:1" x14ac:dyDescent="0.2">
      <c r="A11790">
        <v>11978</v>
      </c>
    </row>
    <row r="11791" spans="1:1" x14ac:dyDescent="0.2">
      <c r="A11791">
        <v>11979</v>
      </c>
    </row>
    <row r="11792" spans="1:1" x14ac:dyDescent="0.2">
      <c r="A11792">
        <v>11980</v>
      </c>
    </row>
    <row r="11793" spans="1:1" x14ac:dyDescent="0.2">
      <c r="A11793">
        <v>11981</v>
      </c>
    </row>
    <row r="11794" spans="1:1" x14ac:dyDescent="0.2">
      <c r="A11794">
        <v>11982</v>
      </c>
    </row>
    <row r="11795" spans="1:1" x14ac:dyDescent="0.2">
      <c r="A11795">
        <v>11983</v>
      </c>
    </row>
    <row r="11796" spans="1:1" x14ac:dyDescent="0.2">
      <c r="A11796">
        <v>11984</v>
      </c>
    </row>
    <row r="11797" spans="1:1" x14ac:dyDescent="0.2">
      <c r="A11797">
        <v>11985</v>
      </c>
    </row>
    <row r="11798" spans="1:1" x14ac:dyDescent="0.2">
      <c r="A11798">
        <v>11986</v>
      </c>
    </row>
    <row r="11799" spans="1:1" x14ac:dyDescent="0.2">
      <c r="A11799">
        <v>11987</v>
      </c>
    </row>
    <row r="11800" spans="1:1" x14ac:dyDescent="0.2">
      <c r="A11800">
        <v>11988</v>
      </c>
    </row>
    <row r="11801" spans="1:1" x14ac:dyDescent="0.2">
      <c r="A11801">
        <v>11989</v>
      </c>
    </row>
    <row r="11802" spans="1:1" x14ac:dyDescent="0.2">
      <c r="A11802">
        <v>11990</v>
      </c>
    </row>
    <row r="11803" spans="1:1" x14ac:dyDescent="0.2">
      <c r="A11803">
        <v>11991</v>
      </c>
    </row>
    <row r="11804" spans="1:1" x14ac:dyDescent="0.2">
      <c r="A11804">
        <v>11992</v>
      </c>
    </row>
    <row r="11805" spans="1:1" x14ac:dyDescent="0.2">
      <c r="A11805">
        <v>11993</v>
      </c>
    </row>
    <row r="11806" spans="1:1" x14ac:dyDescent="0.2">
      <c r="A11806">
        <v>11994</v>
      </c>
    </row>
    <row r="11807" spans="1:1" x14ac:dyDescent="0.2">
      <c r="A11807">
        <v>11995</v>
      </c>
    </row>
    <row r="11808" spans="1:1" x14ac:dyDescent="0.2">
      <c r="A11808">
        <v>11996</v>
      </c>
    </row>
    <row r="11809" spans="1:1" x14ac:dyDescent="0.2">
      <c r="A11809">
        <v>11997</v>
      </c>
    </row>
    <row r="11810" spans="1:1" x14ac:dyDescent="0.2">
      <c r="A11810">
        <v>11998</v>
      </c>
    </row>
    <row r="11811" spans="1:1" x14ac:dyDescent="0.2">
      <c r="A11811">
        <v>11999</v>
      </c>
    </row>
    <row r="11812" spans="1:1" x14ac:dyDescent="0.2">
      <c r="A11812">
        <v>12000</v>
      </c>
    </row>
    <row r="11813" spans="1:1" x14ac:dyDescent="0.2">
      <c r="A11813">
        <v>12001</v>
      </c>
    </row>
    <row r="11814" spans="1:1" x14ac:dyDescent="0.2">
      <c r="A11814">
        <v>12002</v>
      </c>
    </row>
    <row r="11815" spans="1:1" x14ac:dyDescent="0.2">
      <c r="A11815">
        <v>12003</v>
      </c>
    </row>
    <row r="11816" spans="1:1" x14ac:dyDescent="0.2">
      <c r="A11816">
        <v>12004</v>
      </c>
    </row>
    <row r="11817" spans="1:1" x14ac:dyDescent="0.2">
      <c r="A11817">
        <v>12005</v>
      </c>
    </row>
    <row r="11818" spans="1:1" x14ac:dyDescent="0.2">
      <c r="A11818">
        <v>12006</v>
      </c>
    </row>
    <row r="11819" spans="1:1" x14ac:dyDescent="0.2">
      <c r="A11819">
        <v>12007</v>
      </c>
    </row>
    <row r="11820" spans="1:1" x14ac:dyDescent="0.2">
      <c r="A11820">
        <v>12008</v>
      </c>
    </row>
    <row r="11821" spans="1:1" x14ac:dyDescent="0.2">
      <c r="A11821">
        <v>12009</v>
      </c>
    </row>
    <row r="11822" spans="1:1" x14ac:dyDescent="0.2">
      <c r="A11822">
        <v>12010</v>
      </c>
    </row>
    <row r="11823" spans="1:1" x14ac:dyDescent="0.2">
      <c r="A11823">
        <v>12011</v>
      </c>
    </row>
    <row r="11824" spans="1:1" x14ac:dyDescent="0.2">
      <c r="A11824">
        <v>12012</v>
      </c>
    </row>
    <row r="11825" spans="1:1" x14ac:dyDescent="0.2">
      <c r="A11825">
        <v>12013</v>
      </c>
    </row>
    <row r="11826" spans="1:1" x14ac:dyDescent="0.2">
      <c r="A11826">
        <v>12014</v>
      </c>
    </row>
    <row r="11827" spans="1:1" x14ac:dyDescent="0.2">
      <c r="A11827">
        <v>12015</v>
      </c>
    </row>
    <row r="11828" spans="1:1" x14ac:dyDescent="0.2">
      <c r="A11828">
        <v>12016</v>
      </c>
    </row>
    <row r="11829" spans="1:1" x14ac:dyDescent="0.2">
      <c r="A11829">
        <v>12017</v>
      </c>
    </row>
    <row r="11830" spans="1:1" x14ac:dyDescent="0.2">
      <c r="A11830">
        <v>12018</v>
      </c>
    </row>
    <row r="11831" spans="1:1" x14ac:dyDescent="0.2">
      <c r="A11831">
        <v>12019</v>
      </c>
    </row>
    <row r="11832" spans="1:1" x14ac:dyDescent="0.2">
      <c r="A11832">
        <v>12020</v>
      </c>
    </row>
    <row r="11833" spans="1:1" x14ac:dyDescent="0.2">
      <c r="A11833">
        <v>12021</v>
      </c>
    </row>
    <row r="11834" spans="1:1" x14ac:dyDescent="0.2">
      <c r="A11834">
        <v>12022</v>
      </c>
    </row>
    <row r="11835" spans="1:1" x14ac:dyDescent="0.2">
      <c r="A11835">
        <v>12023</v>
      </c>
    </row>
    <row r="11836" spans="1:1" x14ac:dyDescent="0.2">
      <c r="A11836">
        <v>12024</v>
      </c>
    </row>
    <row r="11837" spans="1:1" x14ac:dyDescent="0.2">
      <c r="A11837">
        <v>12025</v>
      </c>
    </row>
    <row r="11838" spans="1:1" x14ac:dyDescent="0.2">
      <c r="A11838">
        <v>12026</v>
      </c>
    </row>
    <row r="11839" spans="1:1" x14ac:dyDescent="0.2">
      <c r="A11839">
        <v>12027</v>
      </c>
    </row>
    <row r="11840" spans="1:1" x14ac:dyDescent="0.2">
      <c r="A11840">
        <v>12028</v>
      </c>
    </row>
    <row r="11841" spans="1:1" x14ac:dyDescent="0.2">
      <c r="A11841">
        <v>12029</v>
      </c>
    </row>
    <row r="11842" spans="1:1" x14ac:dyDescent="0.2">
      <c r="A11842">
        <v>12030</v>
      </c>
    </row>
    <row r="11843" spans="1:1" x14ac:dyDescent="0.2">
      <c r="A11843">
        <v>12031</v>
      </c>
    </row>
    <row r="11844" spans="1:1" x14ac:dyDescent="0.2">
      <c r="A11844">
        <v>12032</v>
      </c>
    </row>
    <row r="11845" spans="1:1" x14ac:dyDescent="0.2">
      <c r="A11845">
        <v>12033</v>
      </c>
    </row>
    <row r="11846" spans="1:1" x14ac:dyDescent="0.2">
      <c r="A11846">
        <v>12034</v>
      </c>
    </row>
    <row r="11847" spans="1:1" x14ac:dyDescent="0.2">
      <c r="A11847">
        <v>12035</v>
      </c>
    </row>
    <row r="11848" spans="1:1" x14ac:dyDescent="0.2">
      <c r="A11848">
        <v>12036</v>
      </c>
    </row>
    <row r="11849" spans="1:1" x14ac:dyDescent="0.2">
      <c r="A11849">
        <v>12037</v>
      </c>
    </row>
    <row r="11850" spans="1:1" x14ac:dyDescent="0.2">
      <c r="A11850">
        <v>12038</v>
      </c>
    </row>
    <row r="11851" spans="1:1" x14ac:dyDescent="0.2">
      <c r="A11851">
        <v>12039</v>
      </c>
    </row>
    <row r="11852" spans="1:1" x14ac:dyDescent="0.2">
      <c r="A11852">
        <v>12040</v>
      </c>
    </row>
    <row r="11853" spans="1:1" x14ac:dyDescent="0.2">
      <c r="A11853">
        <v>12041</v>
      </c>
    </row>
    <row r="11854" spans="1:1" x14ac:dyDescent="0.2">
      <c r="A11854">
        <v>12042</v>
      </c>
    </row>
    <row r="11855" spans="1:1" x14ac:dyDescent="0.2">
      <c r="A11855">
        <v>12043</v>
      </c>
    </row>
    <row r="11856" spans="1:1" x14ac:dyDescent="0.2">
      <c r="A11856">
        <v>12044</v>
      </c>
    </row>
    <row r="11857" spans="1:1" x14ac:dyDescent="0.2">
      <c r="A11857">
        <v>12045</v>
      </c>
    </row>
    <row r="11858" spans="1:1" x14ac:dyDescent="0.2">
      <c r="A11858">
        <v>12046</v>
      </c>
    </row>
    <row r="11859" spans="1:1" x14ac:dyDescent="0.2">
      <c r="A11859">
        <v>12047</v>
      </c>
    </row>
    <row r="11860" spans="1:1" x14ac:dyDescent="0.2">
      <c r="A11860">
        <v>12048</v>
      </c>
    </row>
    <row r="11861" spans="1:1" x14ac:dyDescent="0.2">
      <c r="A11861">
        <v>12049</v>
      </c>
    </row>
    <row r="11862" spans="1:1" x14ac:dyDescent="0.2">
      <c r="A11862">
        <v>12050</v>
      </c>
    </row>
    <row r="11863" spans="1:1" x14ac:dyDescent="0.2">
      <c r="A11863">
        <v>12051</v>
      </c>
    </row>
    <row r="11864" spans="1:1" x14ac:dyDescent="0.2">
      <c r="A11864">
        <v>12052</v>
      </c>
    </row>
    <row r="11865" spans="1:1" x14ac:dyDescent="0.2">
      <c r="A11865">
        <v>12053</v>
      </c>
    </row>
    <row r="11866" spans="1:1" x14ac:dyDescent="0.2">
      <c r="A11866">
        <v>12054</v>
      </c>
    </row>
    <row r="11867" spans="1:1" x14ac:dyDescent="0.2">
      <c r="A11867">
        <v>12055</v>
      </c>
    </row>
    <row r="11868" spans="1:1" x14ac:dyDescent="0.2">
      <c r="A11868">
        <v>12056</v>
      </c>
    </row>
    <row r="11869" spans="1:1" x14ac:dyDescent="0.2">
      <c r="A11869">
        <v>12057</v>
      </c>
    </row>
    <row r="11870" spans="1:1" x14ac:dyDescent="0.2">
      <c r="A11870">
        <v>12058</v>
      </c>
    </row>
    <row r="11871" spans="1:1" x14ac:dyDescent="0.2">
      <c r="A11871">
        <v>12059</v>
      </c>
    </row>
    <row r="11872" spans="1:1" x14ac:dyDescent="0.2">
      <c r="A11872">
        <v>12060</v>
      </c>
    </row>
    <row r="11873" spans="1:1" x14ac:dyDescent="0.2">
      <c r="A11873">
        <v>12061</v>
      </c>
    </row>
    <row r="11874" spans="1:1" x14ac:dyDescent="0.2">
      <c r="A11874">
        <v>12062</v>
      </c>
    </row>
    <row r="11875" spans="1:1" x14ac:dyDescent="0.2">
      <c r="A11875">
        <v>12063</v>
      </c>
    </row>
    <row r="11876" spans="1:1" x14ac:dyDescent="0.2">
      <c r="A11876">
        <v>12064</v>
      </c>
    </row>
    <row r="11877" spans="1:1" x14ac:dyDescent="0.2">
      <c r="A11877">
        <v>12065</v>
      </c>
    </row>
    <row r="11878" spans="1:1" x14ac:dyDescent="0.2">
      <c r="A11878">
        <v>12066</v>
      </c>
    </row>
    <row r="11879" spans="1:1" x14ac:dyDescent="0.2">
      <c r="A11879">
        <v>12067</v>
      </c>
    </row>
    <row r="11880" spans="1:1" x14ac:dyDescent="0.2">
      <c r="A11880">
        <v>12068</v>
      </c>
    </row>
    <row r="11881" spans="1:1" x14ac:dyDescent="0.2">
      <c r="A11881">
        <v>12069</v>
      </c>
    </row>
    <row r="11882" spans="1:1" x14ac:dyDescent="0.2">
      <c r="A11882">
        <v>12070</v>
      </c>
    </row>
    <row r="11883" spans="1:1" x14ac:dyDescent="0.2">
      <c r="A11883">
        <v>12071</v>
      </c>
    </row>
    <row r="11884" spans="1:1" x14ac:dyDescent="0.2">
      <c r="A11884">
        <v>12072</v>
      </c>
    </row>
    <row r="11885" spans="1:1" x14ac:dyDescent="0.2">
      <c r="A11885">
        <v>12073</v>
      </c>
    </row>
    <row r="11886" spans="1:1" x14ac:dyDescent="0.2">
      <c r="A11886">
        <v>12074</v>
      </c>
    </row>
    <row r="11887" spans="1:1" x14ac:dyDescent="0.2">
      <c r="A11887">
        <v>12075</v>
      </c>
    </row>
    <row r="11888" spans="1:1" x14ac:dyDescent="0.2">
      <c r="A11888">
        <v>12076</v>
      </c>
    </row>
    <row r="11889" spans="1:1" x14ac:dyDescent="0.2">
      <c r="A11889">
        <v>12077</v>
      </c>
    </row>
    <row r="11890" spans="1:1" x14ac:dyDescent="0.2">
      <c r="A11890">
        <v>12078</v>
      </c>
    </row>
    <row r="11891" spans="1:1" x14ac:dyDescent="0.2">
      <c r="A11891">
        <v>12079</v>
      </c>
    </row>
    <row r="11892" spans="1:1" x14ac:dyDescent="0.2">
      <c r="A11892">
        <v>12080</v>
      </c>
    </row>
    <row r="11893" spans="1:1" x14ac:dyDescent="0.2">
      <c r="A11893">
        <v>12081</v>
      </c>
    </row>
    <row r="11894" spans="1:1" x14ac:dyDescent="0.2">
      <c r="A11894">
        <v>12082</v>
      </c>
    </row>
    <row r="11895" spans="1:1" x14ac:dyDescent="0.2">
      <c r="A11895">
        <v>12083</v>
      </c>
    </row>
    <row r="11896" spans="1:1" x14ac:dyDescent="0.2">
      <c r="A11896">
        <v>12084</v>
      </c>
    </row>
    <row r="11897" spans="1:1" x14ac:dyDescent="0.2">
      <c r="A11897">
        <v>12085</v>
      </c>
    </row>
    <row r="11898" spans="1:1" x14ac:dyDescent="0.2">
      <c r="A11898">
        <v>12086</v>
      </c>
    </row>
    <row r="11899" spans="1:1" x14ac:dyDescent="0.2">
      <c r="A11899">
        <v>12087</v>
      </c>
    </row>
    <row r="11900" spans="1:1" x14ac:dyDescent="0.2">
      <c r="A11900">
        <v>12088</v>
      </c>
    </row>
    <row r="11901" spans="1:1" x14ac:dyDescent="0.2">
      <c r="A11901">
        <v>12089</v>
      </c>
    </row>
    <row r="11902" spans="1:1" x14ac:dyDescent="0.2">
      <c r="A11902">
        <v>12090</v>
      </c>
    </row>
    <row r="11903" spans="1:1" x14ac:dyDescent="0.2">
      <c r="A11903">
        <v>12091</v>
      </c>
    </row>
    <row r="11904" spans="1:1" x14ac:dyDescent="0.2">
      <c r="A11904">
        <v>12092</v>
      </c>
    </row>
    <row r="11905" spans="1:1" x14ac:dyDescent="0.2">
      <c r="A11905">
        <v>12093</v>
      </c>
    </row>
    <row r="11906" spans="1:1" x14ac:dyDescent="0.2">
      <c r="A11906">
        <v>12094</v>
      </c>
    </row>
    <row r="11907" spans="1:1" x14ac:dyDescent="0.2">
      <c r="A11907">
        <v>12095</v>
      </c>
    </row>
    <row r="11908" spans="1:1" x14ac:dyDescent="0.2">
      <c r="A11908">
        <v>12096</v>
      </c>
    </row>
    <row r="11909" spans="1:1" x14ac:dyDescent="0.2">
      <c r="A11909">
        <v>12097</v>
      </c>
    </row>
    <row r="11910" spans="1:1" x14ac:dyDescent="0.2">
      <c r="A11910">
        <v>12098</v>
      </c>
    </row>
    <row r="11911" spans="1:1" x14ac:dyDescent="0.2">
      <c r="A11911">
        <v>12099</v>
      </c>
    </row>
    <row r="11912" spans="1:1" x14ac:dyDescent="0.2">
      <c r="A11912">
        <v>12100</v>
      </c>
    </row>
    <row r="11913" spans="1:1" x14ac:dyDescent="0.2">
      <c r="A11913">
        <v>12101</v>
      </c>
    </row>
    <row r="11914" spans="1:1" x14ac:dyDescent="0.2">
      <c r="A11914">
        <v>12102</v>
      </c>
    </row>
    <row r="11915" spans="1:1" x14ac:dyDescent="0.2">
      <c r="A11915">
        <v>12103</v>
      </c>
    </row>
    <row r="11916" spans="1:1" x14ac:dyDescent="0.2">
      <c r="A11916">
        <v>12104</v>
      </c>
    </row>
    <row r="11917" spans="1:1" x14ac:dyDescent="0.2">
      <c r="A11917">
        <v>12105</v>
      </c>
    </row>
    <row r="11918" spans="1:1" x14ac:dyDescent="0.2">
      <c r="A11918">
        <v>12106</v>
      </c>
    </row>
    <row r="11919" spans="1:1" x14ac:dyDescent="0.2">
      <c r="A11919">
        <v>12107</v>
      </c>
    </row>
    <row r="11920" spans="1:1" x14ac:dyDescent="0.2">
      <c r="A11920">
        <v>12108</v>
      </c>
    </row>
    <row r="11921" spans="1:1" x14ac:dyDescent="0.2">
      <c r="A11921">
        <v>12109</v>
      </c>
    </row>
    <row r="11922" spans="1:1" x14ac:dyDescent="0.2">
      <c r="A11922">
        <v>12110</v>
      </c>
    </row>
    <row r="11923" spans="1:1" x14ac:dyDescent="0.2">
      <c r="A11923">
        <v>12111</v>
      </c>
    </row>
    <row r="11924" spans="1:1" x14ac:dyDescent="0.2">
      <c r="A11924">
        <v>12112</v>
      </c>
    </row>
    <row r="11925" spans="1:1" x14ac:dyDescent="0.2">
      <c r="A11925">
        <v>12113</v>
      </c>
    </row>
    <row r="11926" spans="1:1" x14ac:dyDescent="0.2">
      <c r="A11926">
        <v>12114</v>
      </c>
    </row>
    <row r="11927" spans="1:1" x14ac:dyDescent="0.2">
      <c r="A11927">
        <v>12115</v>
      </c>
    </row>
    <row r="11928" spans="1:1" x14ac:dyDescent="0.2">
      <c r="A11928">
        <v>12116</v>
      </c>
    </row>
    <row r="11929" spans="1:1" x14ac:dyDescent="0.2">
      <c r="A11929">
        <v>12117</v>
      </c>
    </row>
    <row r="11930" spans="1:1" x14ac:dyDescent="0.2">
      <c r="A11930">
        <v>12118</v>
      </c>
    </row>
    <row r="11931" spans="1:1" x14ac:dyDescent="0.2">
      <c r="A11931">
        <v>12119</v>
      </c>
    </row>
    <row r="11932" spans="1:1" x14ac:dyDescent="0.2">
      <c r="A11932">
        <v>12120</v>
      </c>
    </row>
    <row r="11933" spans="1:1" x14ac:dyDescent="0.2">
      <c r="A11933">
        <v>12121</v>
      </c>
    </row>
    <row r="11934" spans="1:1" x14ac:dyDescent="0.2">
      <c r="A11934">
        <v>12122</v>
      </c>
    </row>
    <row r="11935" spans="1:1" x14ac:dyDescent="0.2">
      <c r="A11935">
        <v>12123</v>
      </c>
    </row>
    <row r="11936" spans="1:1" x14ac:dyDescent="0.2">
      <c r="A11936">
        <v>12124</v>
      </c>
    </row>
    <row r="11937" spans="1:1" x14ac:dyDescent="0.2">
      <c r="A11937">
        <v>12125</v>
      </c>
    </row>
    <row r="11938" spans="1:1" x14ac:dyDescent="0.2">
      <c r="A11938">
        <v>12126</v>
      </c>
    </row>
    <row r="11939" spans="1:1" x14ac:dyDescent="0.2">
      <c r="A11939">
        <v>12127</v>
      </c>
    </row>
    <row r="11940" spans="1:1" x14ac:dyDescent="0.2">
      <c r="A11940">
        <v>12128</v>
      </c>
    </row>
    <row r="11941" spans="1:1" x14ac:dyDescent="0.2">
      <c r="A11941">
        <v>12129</v>
      </c>
    </row>
    <row r="11942" spans="1:1" x14ac:dyDescent="0.2">
      <c r="A11942">
        <v>12130</v>
      </c>
    </row>
    <row r="11943" spans="1:1" x14ac:dyDescent="0.2">
      <c r="A11943">
        <v>12131</v>
      </c>
    </row>
    <row r="11944" spans="1:1" x14ac:dyDescent="0.2">
      <c r="A11944">
        <v>12132</v>
      </c>
    </row>
    <row r="11945" spans="1:1" x14ac:dyDescent="0.2">
      <c r="A11945">
        <v>12133</v>
      </c>
    </row>
    <row r="11946" spans="1:1" x14ac:dyDescent="0.2">
      <c r="A11946">
        <v>12134</v>
      </c>
    </row>
    <row r="11947" spans="1:1" x14ac:dyDescent="0.2">
      <c r="A11947">
        <v>12135</v>
      </c>
    </row>
    <row r="11948" spans="1:1" x14ac:dyDescent="0.2">
      <c r="A11948">
        <v>12136</v>
      </c>
    </row>
    <row r="11949" spans="1:1" x14ac:dyDescent="0.2">
      <c r="A11949">
        <v>12137</v>
      </c>
    </row>
    <row r="11950" spans="1:1" x14ac:dyDescent="0.2">
      <c r="A11950">
        <v>12138</v>
      </c>
    </row>
    <row r="11951" spans="1:1" x14ac:dyDescent="0.2">
      <c r="A11951">
        <v>12139</v>
      </c>
    </row>
    <row r="11952" spans="1:1" x14ac:dyDescent="0.2">
      <c r="A11952">
        <v>12140</v>
      </c>
    </row>
    <row r="11953" spans="1:1" x14ac:dyDescent="0.2">
      <c r="A11953">
        <v>12141</v>
      </c>
    </row>
    <row r="11954" spans="1:1" x14ac:dyDescent="0.2">
      <c r="A11954">
        <v>12142</v>
      </c>
    </row>
    <row r="11955" spans="1:1" x14ac:dyDescent="0.2">
      <c r="A11955">
        <v>12143</v>
      </c>
    </row>
    <row r="11956" spans="1:1" x14ac:dyDescent="0.2">
      <c r="A11956">
        <v>12144</v>
      </c>
    </row>
    <row r="11957" spans="1:1" x14ac:dyDescent="0.2">
      <c r="A11957">
        <v>12145</v>
      </c>
    </row>
    <row r="11958" spans="1:1" x14ac:dyDescent="0.2">
      <c r="A11958">
        <v>12146</v>
      </c>
    </row>
    <row r="11959" spans="1:1" x14ac:dyDescent="0.2">
      <c r="A11959">
        <v>12147</v>
      </c>
    </row>
    <row r="11960" spans="1:1" x14ac:dyDescent="0.2">
      <c r="A11960">
        <v>12148</v>
      </c>
    </row>
    <row r="11961" spans="1:1" x14ac:dyDescent="0.2">
      <c r="A11961">
        <v>12149</v>
      </c>
    </row>
    <row r="11962" spans="1:1" x14ac:dyDescent="0.2">
      <c r="A11962">
        <v>12150</v>
      </c>
    </row>
    <row r="11963" spans="1:1" x14ac:dyDescent="0.2">
      <c r="A11963">
        <v>12151</v>
      </c>
    </row>
    <row r="11964" spans="1:1" x14ac:dyDescent="0.2">
      <c r="A11964">
        <v>12152</v>
      </c>
    </row>
    <row r="11965" spans="1:1" x14ac:dyDescent="0.2">
      <c r="A11965">
        <v>12153</v>
      </c>
    </row>
    <row r="11966" spans="1:1" x14ac:dyDescent="0.2">
      <c r="A11966">
        <v>12154</v>
      </c>
    </row>
    <row r="11967" spans="1:1" x14ac:dyDescent="0.2">
      <c r="A11967">
        <v>12155</v>
      </c>
    </row>
    <row r="11968" spans="1:1" x14ac:dyDescent="0.2">
      <c r="A11968">
        <v>12156</v>
      </c>
    </row>
    <row r="11969" spans="1:1" x14ac:dyDescent="0.2">
      <c r="A11969">
        <v>12157</v>
      </c>
    </row>
    <row r="11970" spans="1:1" x14ac:dyDescent="0.2">
      <c r="A11970">
        <v>12158</v>
      </c>
    </row>
    <row r="11971" spans="1:1" x14ac:dyDescent="0.2">
      <c r="A11971">
        <v>12159</v>
      </c>
    </row>
    <row r="11972" spans="1:1" x14ac:dyDescent="0.2">
      <c r="A11972">
        <v>12160</v>
      </c>
    </row>
    <row r="11973" spans="1:1" x14ac:dyDescent="0.2">
      <c r="A11973">
        <v>12161</v>
      </c>
    </row>
    <row r="11974" spans="1:1" x14ac:dyDescent="0.2">
      <c r="A11974">
        <v>12162</v>
      </c>
    </row>
    <row r="11975" spans="1:1" x14ac:dyDescent="0.2">
      <c r="A11975">
        <v>12163</v>
      </c>
    </row>
    <row r="11976" spans="1:1" x14ac:dyDescent="0.2">
      <c r="A11976">
        <v>12164</v>
      </c>
    </row>
    <row r="11977" spans="1:1" x14ac:dyDescent="0.2">
      <c r="A11977">
        <v>12165</v>
      </c>
    </row>
    <row r="11978" spans="1:1" x14ac:dyDescent="0.2">
      <c r="A11978">
        <v>12166</v>
      </c>
    </row>
    <row r="11979" spans="1:1" x14ac:dyDescent="0.2">
      <c r="A11979">
        <v>12167</v>
      </c>
    </row>
    <row r="11980" spans="1:1" x14ac:dyDescent="0.2">
      <c r="A11980">
        <v>12168</v>
      </c>
    </row>
    <row r="11981" spans="1:1" x14ac:dyDescent="0.2">
      <c r="A11981">
        <v>12169</v>
      </c>
    </row>
    <row r="11982" spans="1:1" x14ac:dyDescent="0.2">
      <c r="A11982">
        <v>12170</v>
      </c>
    </row>
    <row r="11983" spans="1:1" x14ac:dyDescent="0.2">
      <c r="A11983">
        <v>12171</v>
      </c>
    </row>
    <row r="11984" spans="1:1" x14ac:dyDescent="0.2">
      <c r="A11984">
        <v>12172</v>
      </c>
    </row>
    <row r="11985" spans="1:1" x14ac:dyDescent="0.2">
      <c r="A11985">
        <v>12173</v>
      </c>
    </row>
    <row r="11986" spans="1:1" x14ac:dyDescent="0.2">
      <c r="A11986">
        <v>12174</v>
      </c>
    </row>
    <row r="11987" spans="1:1" x14ac:dyDescent="0.2">
      <c r="A11987">
        <v>12175</v>
      </c>
    </row>
    <row r="11988" spans="1:1" x14ac:dyDescent="0.2">
      <c r="A11988">
        <v>12176</v>
      </c>
    </row>
    <row r="11989" spans="1:1" x14ac:dyDescent="0.2">
      <c r="A11989">
        <v>12177</v>
      </c>
    </row>
    <row r="11990" spans="1:1" x14ac:dyDescent="0.2">
      <c r="A11990">
        <v>12178</v>
      </c>
    </row>
    <row r="11991" spans="1:1" x14ac:dyDescent="0.2">
      <c r="A11991">
        <v>12179</v>
      </c>
    </row>
    <row r="11992" spans="1:1" x14ac:dyDescent="0.2">
      <c r="A11992">
        <v>12180</v>
      </c>
    </row>
    <row r="11993" spans="1:1" x14ac:dyDescent="0.2">
      <c r="A11993">
        <v>12181</v>
      </c>
    </row>
    <row r="11994" spans="1:1" x14ac:dyDescent="0.2">
      <c r="A11994">
        <v>12182</v>
      </c>
    </row>
    <row r="11995" spans="1:1" x14ac:dyDescent="0.2">
      <c r="A11995">
        <v>12183</v>
      </c>
    </row>
    <row r="11996" spans="1:1" x14ac:dyDescent="0.2">
      <c r="A11996">
        <v>12184</v>
      </c>
    </row>
    <row r="11997" spans="1:1" x14ac:dyDescent="0.2">
      <c r="A11997">
        <v>12185</v>
      </c>
    </row>
    <row r="11998" spans="1:1" x14ac:dyDescent="0.2">
      <c r="A11998">
        <v>12186</v>
      </c>
    </row>
    <row r="11999" spans="1:1" x14ac:dyDescent="0.2">
      <c r="A11999">
        <v>12187</v>
      </c>
    </row>
    <row r="12000" spans="1:1" x14ac:dyDescent="0.2">
      <c r="A12000">
        <v>12188</v>
      </c>
    </row>
    <row r="12001" spans="1:1" x14ac:dyDescent="0.2">
      <c r="A12001">
        <v>12189</v>
      </c>
    </row>
    <row r="12002" spans="1:1" x14ac:dyDescent="0.2">
      <c r="A12002">
        <v>12190</v>
      </c>
    </row>
    <row r="12003" spans="1:1" x14ac:dyDescent="0.2">
      <c r="A12003">
        <v>12191</v>
      </c>
    </row>
    <row r="12004" spans="1:1" x14ac:dyDescent="0.2">
      <c r="A12004">
        <v>12192</v>
      </c>
    </row>
    <row r="12005" spans="1:1" x14ac:dyDescent="0.2">
      <c r="A12005">
        <v>12193</v>
      </c>
    </row>
    <row r="12006" spans="1:1" x14ac:dyDescent="0.2">
      <c r="A12006">
        <v>12194</v>
      </c>
    </row>
    <row r="12007" spans="1:1" x14ac:dyDescent="0.2">
      <c r="A12007">
        <v>12195</v>
      </c>
    </row>
    <row r="12008" spans="1:1" x14ac:dyDescent="0.2">
      <c r="A12008">
        <v>12196</v>
      </c>
    </row>
    <row r="12009" spans="1:1" x14ac:dyDescent="0.2">
      <c r="A12009">
        <v>12197</v>
      </c>
    </row>
    <row r="12010" spans="1:1" x14ac:dyDescent="0.2">
      <c r="A12010">
        <v>12198</v>
      </c>
    </row>
    <row r="12011" spans="1:1" x14ac:dyDescent="0.2">
      <c r="A12011">
        <v>12199</v>
      </c>
    </row>
    <row r="12012" spans="1:1" x14ac:dyDescent="0.2">
      <c r="A12012">
        <v>12200</v>
      </c>
    </row>
    <row r="12013" spans="1:1" x14ac:dyDescent="0.2">
      <c r="A12013">
        <v>12201</v>
      </c>
    </row>
    <row r="12014" spans="1:1" x14ac:dyDescent="0.2">
      <c r="A12014">
        <v>12202</v>
      </c>
    </row>
    <row r="12015" spans="1:1" x14ac:dyDescent="0.2">
      <c r="A12015">
        <v>12203</v>
      </c>
    </row>
    <row r="12016" spans="1:1" x14ac:dyDescent="0.2">
      <c r="A12016">
        <v>12204</v>
      </c>
    </row>
    <row r="12017" spans="1:1" x14ac:dyDescent="0.2">
      <c r="A12017">
        <v>12205</v>
      </c>
    </row>
    <row r="12018" spans="1:1" x14ac:dyDescent="0.2">
      <c r="A12018">
        <v>12206</v>
      </c>
    </row>
    <row r="12019" spans="1:1" x14ac:dyDescent="0.2">
      <c r="A12019">
        <v>12207</v>
      </c>
    </row>
    <row r="12020" spans="1:1" x14ac:dyDescent="0.2">
      <c r="A12020">
        <v>12208</v>
      </c>
    </row>
    <row r="12021" spans="1:1" x14ac:dyDescent="0.2">
      <c r="A12021">
        <v>12209</v>
      </c>
    </row>
    <row r="12022" spans="1:1" x14ac:dyDescent="0.2">
      <c r="A12022">
        <v>12210</v>
      </c>
    </row>
    <row r="12023" spans="1:1" x14ac:dyDescent="0.2">
      <c r="A12023">
        <v>12211</v>
      </c>
    </row>
    <row r="12024" spans="1:1" x14ac:dyDescent="0.2">
      <c r="A12024">
        <v>12212</v>
      </c>
    </row>
    <row r="12025" spans="1:1" x14ac:dyDescent="0.2">
      <c r="A12025">
        <v>12213</v>
      </c>
    </row>
    <row r="12026" spans="1:1" x14ac:dyDescent="0.2">
      <c r="A12026">
        <v>12214</v>
      </c>
    </row>
    <row r="12027" spans="1:1" x14ac:dyDescent="0.2">
      <c r="A12027">
        <v>12215</v>
      </c>
    </row>
    <row r="12028" spans="1:1" x14ac:dyDescent="0.2">
      <c r="A12028">
        <v>12216</v>
      </c>
    </row>
    <row r="12029" spans="1:1" x14ac:dyDescent="0.2">
      <c r="A12029">
        <v>12217</v>
      </c>
    </row>
    <row r="12030" spans="1:1" x14ac:dyDescent="0.2">
      <c r="A12030">
        <v>12218</v>
      </c>
    </row>
    <row r="12031" spans="1:1" x14ac:dyDescent="0.2">
      <c r="A12031">
        <v>12219</v>
      </c>
    </row>
    <row r="12032" spans="1:1" x14ac:dyDescent="0.2">
      <c r="A12032">
        <v>12220</v>
      </c>
    </row>
    <row r="12033" spans="1:1" x14ac:dyDescent="0.2">
      <c r="A12033">
        <v>12221</v>
      </c>
    </row>
    <row r="12034" spans="1:1" x14ac:dyDescent="0.2">
      <c r="A12034">
        <v>12222</v>
      </c>
    </row>
    <row r="12035" spans="1:1" x14ac:dyDescent="0.2">
      <c r="A12035">
        <v>12223</v>
      </c>
    </row>
    <row r="12036" spans="1:1" x14ac:dyDescent="0.2">
      <c r="A12036">
        <v>12224</v>
      </c>
    </row>
    <row r="12037" spans="1:1" x14ac:dyDescent="0.2">
      <c r="A12037">
        <v>12225</v>
      </c>
    </row>
    <row r="12038" spans="1:1" x14ac:dyDescent="0.2">
      <c r="A12038">
        <v>12226</v>
      </c>
    </row>
    <row r="12039" spans="1:1" x14ac:dyDescent="0.2">
      <c r="A12039">
        <v>12227</v>
      </c>
    </row>
    <row r="12040" spans="1:1" x14ac:dyDescent="0.2">
      <c r="A12040">
        <v>12228</v>
      </c>
    </row>
    <row r="12041" spans="1:1" x14ac:dyDescent="0.2">
      <c r="A12041">
        <v>12229</v>
      </c>
    </row>
    <row r="12042" spans="1:1" x14ac:dyDescent="0.2">
      <c r="A12042">
        <v>12230</v>
      </c>
    </row>
    <row r="12043" spans="1:1" x14ac:dyDescent="0.2">
      <c r="A12043">
        <v>12231</v>
      </c>
    </row>
    <row r="12044" spans="1:1" x14ac:dyDescent="0.2">
      <c r="A12044">
        <v>12232</v>
      </c>
    </row>
    <row r="12045" spans="1:1" x14ac:dyDescent="0.2">
      <c r="A12045">
        <v>12233</v>
      </c>
    </row>
    <row r="12046" spans="1:1" x14ac:dyDescent="0.2">
      <c r="A12046">
        <v>12234</v>
      </c>
    </row>
    <row r="12047" spans="1:1" x14ac:dyDescent="0.2">
      <c r="A12047">
        <v>12235</v>
      </c>
    </row>
    <row r="12048" spans="1:1" x14ac:dyDescent="0.2">
      <c r="A12048">
        <v>12236</v>
      </c>
    </row>
    <row r="12049" spans="1:1" x14ac:dyDescent="0.2">
      <c r="A12049">
        <v>12237</v>
      </c>
    </row>
    <row r="12050" spans="1:1" x14ac:dyDescent="0.2">
      <c r="A12050">
        <v>12238</v>
      </c>
    </row>
    <row r="12051" spans="1:1" x14ac:dyDescent="0.2">
      <c r="A12051">
        <v>12239</v>
      </c>
    </row>
    <row r="12052" spans="1:1" x14ac:dyDescent="0.2">
      <c r="A12052">
        <v>12240</v>
      </c>
    </row>
    <row r="12053" spans="1:1" x14ac:dyDescent="0.2">
      <c r="A12053">
        <v>12241</v>
      </c>
    </row>
    <row r="12054" spans="1:1" x14ac:dyDescent="0.2">
      <c r="A12054">
        <v>12242</v>
      </c>
    </row>
    <row r="12055" spans="1:1" x14ac:dyDescent="0.2">
      <c r="A12055">
        <v>12243</v>
      </c>
    </row>
    <row r="12056" spans="1:1" x14ac:dyDescent="0.2">
      <c r="A12056">
        <v>12244</v>
      </c>
    </row>
    <row r="12057" spans="1:1" x14ac:dyDescent="0.2">
      <c r="A12057">
        <v>12245</v>
      </c>
    </row>
    <row r="12058" spans="1:1" x14ac:dyDescent="0.2">
      <c r="A12058">
        <v>12246</v>
      </c>
    </row>
    <row r="12059" spans="1:1" x14ac:dyDescent="0.2">
      <c r="A12059">
        <v>12247</v>
      </c>
    </row>
    <row r="12060" spans="1:1" x14ac:dyDescent="0.2">
      <c r="A12060">
        <v>12248</v>
      </c>
    </row>
    <row r="12061" spans="1:1" x14ac:dyDescent="0.2">
      <c r="A12061">
        <v>12249</v>
      </c>
    </row>
    <row r="12062" spans="1:1" x14ac:dyDescent="0.2">
      <c r="A12062">
        <v>12250</v>
      </c>
    </row>
    <row r="12063" spans="1:1" x14ac:dyDescent="0.2">
      <c r="A12063">
        <v>12251</v>
      </c>
    </row>
    <row r="12064" spans="1:1" x14ac:dyDescent="0.2">
      <c r="A12064">
        <v>12252</v>
      </c>
    </row>
    <row r="12065" spans="1:1" x14ac:dyDescent="0.2">
      <c r="A12065">
        <v>12253</v>
      </c>
    </row>
    <row r="12066" spans="1:1" x14ac:dyDescent="0.2">
      <c r="A12066">
        <v>12254</v>
      </c>
    </row>
    <row r="12067" spans="1:1" x14ac:dyDescent="0.2">
      <c r="A12067">
        <v>12255</v>
      </c>
    </row>
    <row r="12068" spans="1:1" x14ac:dyDescent="0.2">
      <c r="A12068">
        <v>12256</v>
      </c>
    </row>
    <row r="12069" spans="1:1" x14ac:dyDescent="0.2">
      <c r="A12069">
        <v>12257</v>
      </c>
    </row>
    <row r="12070" spans="1:1" x14ac:dyDescent="0.2">
      <c r="A12070">
        <v>12258</v>
      </c>
    </row>
    <row r="12071" spans="1:1" x14ac:dyDescent="0.2">
      <c r="A12071">
        <v>12259</v>
      </c>
    </row>
    <row r="12072" spans="1:1" x14ac:dyDescent="0.2">
      <c r="A12072">
        <v>12260</v>
      </c>
    </row>
    <row r="12073" spans="1:1" x14ac:dyDescent="0.2">
      <c r="A12073">
        <v>12261</v>
      </c>
    </row>
    <row r="12074" spans="1:1" x14ac:dyDescent="0.2">
      <c r="A12074">
        <v>12262</v>
      </c>
    </row>
    <row r="12075" spans="1:1" x14ac:dyDescent="0.2">
      <c r="A12075">
        <v>12263</v>
      </c>
    </row>
    <row r="12076" spans="1:1" x14ac:dyDescent="0.2">
      <c r="A12076">
        <v>12264</v>
      </c>
    </row>
    <row r="12077" spans="1:1" x14ac:dyDescent="0.2">
      <c r="A12077">
        <v>12265</v>
      </c>
    </row>
    <row r="12078" spans="1:1" x14ac:dyDescent="0.2">
      <c r="A12078">
        <v>12266</v>
      </c>
    </row>
    <row r="12079" spans="1:1" x14ac:dyDescent="0.2">
      <c r="A12079">
        <v>12267</v>
      </c>
    </row>
    <row r="12080" spans="1:1" x14ac:dyDescent="0.2">
      <c r="A12080">
        <v>12268</v>
      </c>
    </row>
    <row r="12081" spans="1:1" x14ac:dyDescent="0.2">
      <c r="A12081">
        <v>12269</v>
      </c>
    </row>
    <row r="12082" spans="1:1" x14ac:dyDescent="0.2">
      <c r="A12082">
        <v>12270</v>
      </c>
    </row>
    <row r="12083" spans="1:1" x14ac:dyDescent="0.2">
      <c r="A12083">
        <v>12271</v>
      </c>
    </row>
    <row r="12084" spans="1:1" x14ac:dyDescent="0.2">
      <c r="A12084">
        <v>12272</v>
      </c>
    </row>
    <row r="12085" spans="1:1" x14ac:dyDescent="0.2">
      <c r="A12085">
        <v>12273</v>
      </c>
    </row>
    <row r="12086" spans="1:1" x14ac:dyDescent="0.2">
      <c r="A12086">
        <v>12274</v>
      </c>
    </row>
    <row r="12087" spans="1:1" x14ac:dyDescent="0.2">
      <c r="A12087">
        <v>12275</v>
      </c>
    </row>
    <row r="12088" spans="1:1" x14ac:dyDescent="0.2">
      <c r="A12088">
        <v>12276</v>
      </c>
    </row>
    <row r="12089" spans="1:1" x14ac:dyDescent="0.2">
      <c r="A12089">
        <v>12277</v>
      </c>
    </row>
    <row r="12090" spans="1:1" x14ac:dyDescent="0.2">
      <c r="A12090">
        <v>12278</v>
      </c>
    </row>
    <row r="12091" spans="1:1" x14ac:dyDescent="0.2">
      <c r="A12091">
        <v>12279</v>
      </c>
    </row>
    <row r="12092" spans="1:1" x14ac:dyDescent="0.2">
      <c r="A12092">
        <v>12280</v>
      </c>
    </row>
    <row r="12093" spans="1:1" x14ac:dyDescent="0.2">
      <c r="A12093">
        <v>12281</v>
      </c>
    </row>
    <row r="12094" spans="1:1" x14ac:dyDescent="0.2">
      <c r="A12094">
        <v>12282</v>
      </c>
    </row>
    <row r="12095" spans="1:1" x14ac:dyDescent="0.2">
      <c r="A12095">
        <v>12283</v>
      </c>
    </row>
    <row r="12096" spans="1:1" x14ac:dyDescent="0.2">
      <c r="A12096">
        <v>12284</v>
      </c>
    </row>
    <row r="12097" spans="1:1" x14ac:dyDescent="0.2">
      <c r="A12097">
        <v>12285</v>
      </c>
    </row>
    <row r="12098" spans="1:1" x14ac:dyDescent="0.2">
      <c r="A12098">
        <v>12286</v>
      </c>
    </row>
    <row r="12099" spans="1:1" x14ac:dyDescent="0.2">
      <c r="A12099">
        <v>12287</v>
      </c>
    </row>
    <row r="12100" spans="1:1" x14ac:dyDescent="0.2">
      <c r="A12100">
        <v>12288</v>
      </c>
    </row>
    <row r="12101" spans="1:1" x14ac:dyDescent="0.2">
      <c r="A12101">
        <v>12289</v>
      </c>
    </row>
    <row r="12102" spans="1:1" x14ac:dyDescent="0.2">
      <c r="A12102">
        <v>12290</v>
      </c>
    </row>
    <row r="12103" spans="1:1" x14ac:dyDescent="0.2">
      <c r="A12103">
        <v>12291</v>
      </c>
    </row>
    <row r="12104" spans="1:1" x14ac:dyDescent="0.2">
      <c r="A12104">
        <v>12292</v>
      </c>
    </row>
    <row r="12105" spans="1:1" x14ac:dyDescent="0.2">
      <c r="A12105">
        <v>12293</v>
      </c>
    </row>
    <row r="12106" spans="1:1" x14ac:dyDescent="0.2">
      <c r="A12106">
        <v>12294</v>
      </c>
    </row>
    <row r="12107" spans="1:1" x14ac:dyDescent="0.2">
      <c r="A12107">
        <v>12295</v>
      </c>
    </row>
    <row r="12108" spans="1:1" x14ac:dyDescent="0.2">
      <c r="A12108">
        <v>12296</v>
      </c>
    </row>
    <row r="12109" spans="1:1" x14ac:dyDescent="0.2">
      <c r="A12109">
        <v>12297</v>
      </c>
    </row>
    <row r="12110" spans="1:1" x14ac:dyDescent="0.2">
      <c r="A12110">
        <v>12298</v>
      </c>
    </row>
    <row r="12111" spans="1:1" x14ac:dyDescent="0.2">
      <c r="A12111">
        <v>12299</v>
      </c>
    </row>
    <row r="12112" spans="1:1" x14ac:dyDescent="0.2">
      <c r="A12112">
        <v>12300</v>
      </c>
    </row>
    <row r="12113" spans="1:1" x14ac:dyDescent="0.2">
      <c r="A12113">
        <v>12301</v>
      </c>
    </row>
    <row r="12114" spans="1:1" x14ac:dyDescent="0.2">
      <c r="A12114">
        <v>12302</v>
      </c>
    </row>
    <row r="12115" spans="1:1" x14ac:dyDescent="0.2">
      <c r="A12115">
        <v>12303</v>
      </c>
    </row>
    <row r="12116" spans="1:1" x14ac:dyDescent="0.2">
      <c r="A12116">
        <v>12304</v>
      </c>
    </row>
    <row r="12117" spans="1:1" x14ac:dyDescent="0.2">
      <c r="A12117">
        <v>12305</v>
      </c>
    </row>
    <row r="12118" spans="1:1" x14ac:dyDescent="0.2">
      <c r="A12118">
        <v>12306</v>
      </c>
    </row>
    <row r="12119" spans="1:1" x14ac:dyDescent="0.2">
      <c r="A12119">
        <v>12307</v>
      </c>
    </row>
    <row r="12120" spans="1:1" x14ac:dyDescent="0.2">
      <c r="A12120">
        <v>12308</v>
      </c>
    </row>
    <row r="12121" spans="1:1" x14ac:dyDescent="0.2">
      <c r="A12121">
        <v>12309</v>
      </c>
    </row>
    <row r="12122" spans="1:1" x14ac:dyDescent="0.2">
      <c r="A12122">
        <v>12310</v>
      </c>
    </row>
    <row r="12123" spans="1:1" x14ac:dyDescent="0.2">
      <c r="A12123">
        <v>12311</v>
      </c>
    </row>
    <row r="12124" spans="1:1" x14ac:dyDescent="0.2">
      <c r="A12124">
        <v>12312</v>
      </c>
    </row>
    <row r="12125" spans="1:1" x14ac:dyDescent="0.2">
      <c r="A12125">
        <v>12313</v>
      </c>
    </row>
    <row r="12126" spans="1:1" x14ac:dyDescent="0.2">
      <c r="A12126">
        <v>12314</v>
      </c>
    </row>
    <row r="12127" spans="1:1" x14ac:dyDescent="0.2">
      <c r="A12127">
        <v>12315</v>
      </c>
    </row>
    <row r="12128" spans="1:1" x14ac:dyDescent="0.2">
      <c r="A12128">
        <v>12316</v>
      </c>
    </row>
    <row r="12129" spans="1:1" x14ac:dyDescent="0.2">
      <c r="A12129">
        <v>12317</v>
      </c>
    </row>
    <row r="12130" spans="1:1" x14ac:dyDescent="0.2">
      <c r="A12130">
        <v>12318</v>
      </c>
    </row>
    <row r="12131" spans="1:1" x14ac:dyDescent="0.2">
      <c r="A12131">
        <v>12319</v>
      </c>
    </row>
    <row r="12132" spans="1:1" x14ac:dyDescent="0.2">
      <c r="A12132">
        <v>12320</v>
      </c>
    </row>
    <row r="12133" spans="1:1" x14ac:dyDescent="0.2">
      <c r="A12133">
        <v>12321</v>
      </c>
    </row>
    <row r="12134" spans="1:1" x14ac:dyDescent="0.2">
      <c r="A12134">
        <v>12322</v>
      </c>
    </row>
    <row r="12135" spans="1:1" x14ac:dyDescent="0.2">
      <c r="A12135">
        <v>12323</v>
      </c>
    </row>
    <row r="12136" spans="1:1" x14ac:dyDescent="0.2">
      <c r="A12136">
        <v>12324</v>
      </c>
    </row>
    <row r="12137" spans="1:1" x14ac:dyDescent="0.2">
      <c r="A12137">
        <v>12325</v>
      </c>
    </row>
    <row r="12138" spans="1:1" x14ac:dyDescent="0.2">
      <c r="A12138">
        <v>12326</v>
      </c>
    </row>
    <row r="12139" spans="1:1" x14ac:dyDescent="0.2">
      <c r="A12139">
        <v>12327</v>
      </c>
    </row>
    <row r="12140" spans="1:1" x14ac:dyDescent="0.2">
      <c r="A12140">
        <v>12328</v>
      </c>
    </row>
    <row r="12141" spans="1:1" x14ac:dyDescent="0.2">
      <c r="A12141">
        <v>12329</v>
      </c>
    </row>
    <row r="12142" spans="1:1" x14ac:dyDescent="0.2">
      <c r="A12142">
        <v>12330</v>
      </c>
    </row>
    <row r="12143" spans="1:1" x14ac:dyDescent="0.2">
      <c r="A12143">
        <v>12331</v>
      </c>
    </row>
    <row r="12144" spans="1:1" x14ac:dyDescent="0.2">
      <c r="A12144">
        <v>12332</v>
      </c>
    </row>
    <row r="12145" spans="1:1" x14ac:dyDescent="0.2">
      <c r="A12145">
        <v>12333</v>
      </c>
    </row>
    <row r="12146" spans="1:1" x14ac:dyDescent="0.2">
      <c r="A12146">
        <v>12334</v>
      </c>
    </row>
    <row r="12147" spans="1:1" x14ac:dyDescent="0.2">
      <c r="A12147">
        <v>12335</v>
      </c>
    </row>
    <row r="12148" spans="1:1" x14ac:dyDescent="0.2">
      <c r="A12148">
        <v>12336</v>
      </c>
    </row>
    <row r="12149" spans="1:1" x14ac:dyDescent="0.2">
      <c r="A12149">
        <v>12337</v>
      </c>
    </row>
    <row r="12150" spans="1:1" x14ac:dyDescent="0.2">
      <c r="A12150">
        <v>12338</v>
      </c>
    </row>
    <row r="12151" spans="1:1" x14ac:dyDescent="0.2">
      <c r="A12151">
        <v>12339</v>
      </c>
    </row>
    <row r="12152" spans="1:1" x14ac:dyDescent="0.2">
      <c r="A12152">
        <v>12340</v>
      </c>
    </row>
    <row r="12153" spans="1:1" x14ac:dyDescent="0.2">
      <c r="A12153">
        <v>12341</v>
      </c>
    </row>
    <row r="12154" spans="1:1" x14ac:dyDescent="0.2">
      <c r="A12154">
        <v>12342</v>
      </c>
    </row>
    <row r="12155" spans="1:1" x14ac:dyDescent="0.2">
      <c r="A12155">
        <v>12343</v>
      </c>
    </row>
    <row r="12156" spans="1:1" x14ac:dyDescent="0.2">
      <c r="A12156">
        <v>12344</v>
      </c>
    </row>
    <row r="12157" spans="1:1" x14ac:dyDescent="0.2">
      <c r="A12157">
        <v>12345</v>
      </c>
    </row>
    <row r="12158" spans="1:1" x14ac:dyDescent="0.2">
      <c r="A12158">
        <v>12346</v>
      </c>
    </row>
    <row r="12159" spans="1:1" x14ac:dyDescent="0.2">
      <c r="A12159">
        <v>12347</v>
      </c>
    </row>
    <row r="12160" spans="1:1" x14ac:dyDescent="0.2">
      <c r="A12160">
        <v>12348</v>
      </c>
    </row>
    <row r="12161" spans="1:1" x14ac:dyDescent="0.2">
      <c r="A12161">
        <v>12349</v>
      </c>
    </row>
    <row r="12162" spans="1:1" x14ac:dyDescent="0.2">
      <c r="A12162">
        <v>12350</v>
      </c>
    </row>
    <row r="12163" spans="1:1" x14ac:dyDescent="0.2">
      <c r="A12163">
        <v>12351</v>
      </c>
    </row>
    <row r="12164" spans="1:1" x14ac:dyDescent="0.2">
      <c r="A12164">
        <v>12352</v>
      </c>
    </row>
    <row r="12165" spans="1:1" x14ac:dyDescent="0.2">
      <c r="A12165">
        <v>12353</v>
      </c>
    </row>
    <row r="12166" spans="1:1" x14ac:dyDescent="0.2">
      <c r="A12166">
        <v>12354</v>
      </c>
    </row>
    <row r="12167" spans="1:1" x14ac:dyDescent="0.2">
      <c r="A12167">
        <v>12355</v>
      </c>
    </row>
    <row r="12168" spans="1:1" x14ac:dyDescent="0.2">
      <c r="A12168">
        <v>12356</v>
      </c>
    </row>
    <row r="12169" spans="1:1" x14ac:dyDescent="0.2">
      <c r="A12169">
        <v>12357</v>
      </c>
    </row>
    <row r="12170" spans="1:1" x14ac:dyDescent="0.2">
      <c r="A12170">
        <v>12358</v>
      </c>
    </row>
    <row r="12171" spans="1:1" x14ac:dyDescent="0.2">
      <c r="A12171">
        <v>12359</v>
      </c>
    </row>
    <row r="12172" spans="1:1" x14ac:dyDescent="0.2">
      <c r="A12172">
        <v>12360</v>
      </c>
    </row>
    <row r="12173" spans="1:1" x14ac:dyDescent="0.2">
      <c r="A12173">
        <v>12361</v>
      </c>
    </row>
    <row r="12174" spans="1:1" x14ac:dyDescent="0.2">
      <c r="A12174">
        <v>12362</v>
      </c>
    </row>
    <row r="12175" spans="1:1" x14ac:dyDescent="0.2">
      <c r="A12175">
        <v>12363</v>
      </c>
    </row>
    <row r="12176" spans="1:1" x14ac:dyDescent="0.2">
      <c r="A12176">
        <v>12364</v>
      </c>
    </row>
    <row r="12177" spans="1:1" x14ac:dyDescent="0.2">
      <c r="A12177">
        <v>12365</v>
      </c>
    </row>
    <row r="12178" spans="1:1" x14ac:dyDescent="0.2">
      <c r="A12178">
        <v>12366</v>
      </c>
    </row>
    <row r="12179" spans="1:1" x14ac:dyDescent="0.2">
      <c r="A12179">
        <v>12367</v>
      </c>
    </row>
    <row r="12180" spans="1:1" x14ac:dyDescent="0.2">
      <c r="A12180">
        <v>12368</v>
      </c>
    </row>
    <row r="12181" spans="1:1" x14ac:dyDescent="0.2">
      <c r="A12181">
        <v>12369</v>
      </c>
    </row>
    <row r="12182" spans="1:1" x14ac:dyDescent="0.2">
      <c r="A12182">
        <v>12370</v>
      </c>
    </row>
    <row r="12183" spans="1:1" x14ac:dyDescent="0.2">
      <c r="A12183">
        <v>12371</v>
      </c>
    </row>
    <row r="12184" spans="1:1" x14ac:dyDescent="0.2">
      <c r="A12184">
        <v>12372</v>
      </c>
    </row>
    <row r="12185" spans="1:1" x14ac:dyDescent="0.2">
      <c r="A12185">
        <v>12373</v>
      </c>
    </row>
    <row r="12186" spans="1:1" x14ac:dyDescent="0.2">
      <c r="A12186">
        <v>12374</v>
      </c>
    </row>
    <row r="12187" spans="1:1" x14ac:dyDescent="0.2">
      <c r="A12187">
        <v>12375</v>
      </c>
    </row>
    <row r="12188" spans="1:1" x14ac:dyDescent="0.2">
      <c r="A12188">
        <v>12376</v>
      </c>
    </row>
    <row r="12189" spans="1:1" x14ac:dyDescent="0.2">
      <c r="A12189">
        <v>12377</v>
      </c>
    </row>
    <row r="12190" spans="1:1" x14ac:dyDescent="0.2">
      <c r="A12190">
        <v>12378</v>
      </c>
    </row>
    <row r="12191" spans="1:1" x14ac:dyDescent="0.2">
      <c r="A12191">
        <v>12379</v>
      </c>
    </row>
    <row r="12192" spans="1:1" x14ac:dyDescent="0.2">
      <c r="A12192">
        <v>12380</v>
      </c>
    </row>
    <row r="12193" spans="1:1" x14ac:dyDescent="0.2">
      <c r="A12193">
        <v>12381</v>
      </c>
    </row>
    <row r="12194" spans="1:1" x14ac:dyDescent="0.2">
      <c r="A12194">
        <v>12382</v>
      </c>
    </row>
    <row r="12195" spans="1:1" x14ac:dyDescent="0.2">
      <c r="A12195">
        <v>12383</v>
      </c>
    </row>
    <row r="12196" spans="1:1" x14ac:dyDescent="0.2">
      <c r="A12196">
        <v>12384</v>
      </c>
    </row>
    <row r="12197" spans="1:1" x14ac:dyDescent="0.2">
      <c r="A12197">
        <v>12385</v>
      </c>
    </row>
    <row r="12198" spans="1:1" x14ac:dyDescent="0.2">
      <c r="A12198">
        <v>12386</v>
      </c>
    </row>
    <row r="12199" spans="1:1" x14ac:dyDescent="0.2">
      <c r="A12199">
        <v>12387</v>
      </c>
    </row>
    <row r="12200" spans="1:1" x14ac:dyDescent="0.2">
      <c r="A12200">
        <v>12388</v>
      </c>
    </row>
    <row r="12201" spans="1:1" x14ac:dyDescent="0.2">
      <c r="A12201">
        <v>12389</v>
      </c>
    </row>
    <row r="12202" spans="1:1" x14ac:dyDescent="0.2">
      <c r="A12202">
        <v>12390</v>
      </c>
    </row>
    <row r="12203" spans="1:1" x14ac:dyDescent="0.2">
      <c r="A12203">
        <v>12391</v>
      </c>
    </row>
    <row r="12204" spans="1:1" x14ac:dyDescent="0.2">
      <c r="A12204">
        <v>12392</v>
      </c>
    </row>
    <row r="12205" spans="1:1" x14ac:dyDescent="0.2">
      <c r="A12205">
        <v>12393</v>
      </c>
    </row>
    <row r="12206" spans="1:1" x14ac:dyDescent="0.2">
      <c r="A12206">
        <v>12394</v>
      </c>
    </row>
    <row r="12207" spans="1:1" x14ac:dyDescent="0.2">
      <c r="A12207">
        <v>12395</v>
      </c>
    </row>
    <row r="12208" spans="1:1" x14ac:dyDescent="0.2">
      <c r="A12208">
        <v>12396</v>
      </c>
    </row>
    <row r="12209" spans="1:1" x14ac:dyDescent="0.2">
      <c r="A12209">
        <v>12397</v>
      </c>
    </row>
    <row r="12210" spans="1:1" x14ac:dyDescent="0.2">
      <c r="A12210">
        <v>12398</v>
      </c>
    </row>
    <row r="12211" spans="1:1" x14ac:dyDescent="0.2">
      <c r="A12211">
        <v>12399</v>
      </c>
    </row>
    <row r="12212" spans="1:1" x14ac:dyDescent="0.2">
      <c r="A12212">
        <v>12400</v>
      </c>
    </row>
    <row r="12213" spans="1:1" x14ac:dyDescent="0.2">
      <c r="A12213">
        <v>12401</v>
      </c>
    </row>
    <row r="12214" spans="1:1" x14ac:dyDescent="0.2">
      <c r="A12214">
        <v>12402</v>
      </c>
    </row>
    <row r="12215" spans="1:1" x14ac:dyDescent="0.2">
      <c r="A12215">
        <v>12403</v>
      </c>
    </row>
    <row r="12216" spans="1:1" x14ac:dyDescent="0.2">
      <c r="A12216">
        <v>12404</v>
      </c>
    </row>
    <row r="12217" spans="1:1" x14ac:dyDescent="0.2">
      <c r="A12217">
        <v>12405</v>
      </c>
    </row>
    <row r="12218" spans="1:1" x14ac:dyDescent="0.2">
      <c r="A12218">
        <v>12406</v>
      </c>
    </row>
    <row r="12219" spans="1:1" x14ac:dyDescent="0.2">
      <c r="A12219">
        <v>12407</v>
      </c>
    </row>
    <row r="12220" spans="1:1" x14ac:dyDescent="0.2">
      <c r="A12220">
        <v>12408</v>
      </c>
    </row>
    <row r="12221" spans="1:1" x14ac:dyDescent="0.2">
      <c r="A12221">
        <v>12409</v>
      </c>
    </row>
    <row r="12222" spans="1:1" x14ac:dyDescent="0.2">
      <c r="A12222">
        <v>12410</v>
      </c>
    </row>
    <row r="12223" spans="1:1" x14ac:dyDescent="0.2">
      <c r="A12223">
        <v>12411</v>
      </c>
    </row>
    <row r="12224" spans="1:1" x14ac:dyDescent="0.2">
      <c r="A12224">
        <v>12412</v>
      </c>
    </row>
    <row r="12225" spans="1:1" x14ac:dyDescent="0.2">
      <c r="A12225">
        <v>12413</v>
      </c>
    </row>
    <row r="12226" spans="1:1" x14ac:dyDescent="0.2">
      <c r="A12226">
        <v>12414</v>
      </c>
    </row>
    <row r="12227" spans="1:1" x14ac:dyDescent="0.2">
      <c r="A12227">
        <v>12415</v>
      </c>
    </row>
    <row r="12228" spans="1:1" x14ac:dyDescent="0.2">
      <c r="A12228">
        <v>12416</v>
      </c>
    </row>
    <row r="12229" spans="1:1" x14ac:dyDescent="0.2">
      <c r="A12229">
        <v>12417</v>
      </c>
    </row>
    <row r="12230" spans="1:1" x14ac:dyDescent="0.2">
      <c r="A12230">
        <v>12418</v>
      </c>
    </row>
    <row r="12231" spans="1:1" x14ac:dyDescent="0.2">
      <c r="A12231">
        <v>12419</v>
      </c>
    </row>
    <row r="12232" spans="1:1" x14ac:dyDescent="0.2">
      <c r="A12232">
        <v>12420</v>
      </c>
    </row>
    <row r="12233" spans="1:1" x14ac:dyDescent="0.2">
      <c r="A12233">
        <v>12421</v>
      </c>
    </row>
    <row r="12234" spans="1:1" x14ac:dyDescent="0.2">
      <c r="A12234">
        <v>12422</v>
      </c>
    </row>
    <row r="12235" spans="1:1" x14ac:dyDescent="0.2">
      <c r="A12235">
        <v>12423</v>
      </c>
    </row>
    <row r="12236" spans="1:1" x14ac:dyDescent="0.2">
      <c r="A12236">
        <v>12424</v>
      </c>
    </row>
    <row r="12237" spans="1:1" x14ac:dyDescent="0.2">
      <c r="A12237">
        <v>12425</v>
      </c>
    </row>
    <row r="12238" spans="1:1" x14ac:dyDescent="0.2">
      <c r="A12238">
        <v>12426</v>
      </c>
    </row>
    <row r="12239" spans="1:1" x14ac:dyDescent="0.2">
      <c r="A12239">
        <v>12427</v>
      </c>
    </row>
    <row r="12240" spans="1:1" x14ac:dyDescent="0.2">
      <c r="A12240">
        <v>12428</v>
      </c>
    </row>
    <row r="12241" spans="1:1" x14ac:dyDescent="0.2">
      <c r="A12241">
        <v>12429</v>
      </c>
    </row>
    <row r="12242" spans="1:1" x14ac:dyDescent="0.2">
      <c r="A12242">
        <v>12430</v>
      </c>
    </row>
    <row r="12243" spans="1:1" x14ac:dyDescent="0.2">
      <c r="A12243">
        <v>12431</v>
      </c>
    </row>
    <row r="12244" spans="1:1" x14ac:dyDescent="0.2">
      <c r="A12244">
        <v>12432</v>
      </c>
    </row>
    <row r="12245" spans="1:1" x14ac:dyDescent="0.2">
      <c r="A12245">
        <v>12433</v>
      </c>
    </row>
    <row r="12246" spans="1:1" x14ac:dyDescent="0.2">
      <c r="A12246">
        <v>12434</v>
      </c>
    </row>
    <row r="12247" spans="1:1" x14ac:dyDescent="0.2">
      <c r="A12247">
        <v>12435</v>
      </c>
    </row>
    <row r="12248" spans="1:1" x14ac:dyDescent="0.2">
      <c r="A12248">
        <v>12436</v>
      </c>
    </row>
    <row r="12249" spans="1:1" x14ac:dyDescent="0.2">
      <c r="A12249">
        <v>12437</v>
      </c>
    </row>
    <row r="12250" spans="1:1" x14ac:dyDescent="0.2">
      <c r="A12250">
        <v>12438</v>
      </c>
    </row>
    <row r="12251" spans="1:1" x14ac:dyDescent="0.2">
      <c r="A12251">
        <v>12439</v>
      </c>
    </row>
    <row r="12252" spans="1:1" x14ac:dyDescent="0.2">
      <c r="A12252">
        <v>12440</v>
      </c>
    </row>
    <row r="12253" spans="1:1" x14ac:dyDescent="0.2">
      <c r="A12253">
        <v>12441</v>
      </c>
    </row>
    <row r="12254" spans="1:1" x14ac:dyDescent="0.2">
      <c r="A12254">
        <v>12442</v>
      </c>
    </row>
    <row r="12255" spans="1:1" x14ac:dyDescent="0.2">
      <c r="A12255">
        <v>12443</v>
      </c>
    </row>
    <row r="12256" spans="1:1" x14ac:dyDescent="0.2">
      <c r="A12256">
        <v>12444</v>
      </c>
    </row>
    <row r="12257" spans="1:1" x14ac:dyDescent="0.2">
      <c r="A12257">
        <v>12445</v>
      </c>
    </row>
    <row r="12258" spans="1:1" x14ac:dyDescent="0.2">
      <c r="A12258">
        <v>12446</v>
      </c>
    </row>
    <row r="12259" spans="1:1" x14ac:dyDescent="0.2">
      <c r="A12259">
        <v>12447</v>
      </c>
    </row>
    <row r="12260" spans="1:1" x14ac:dyDescent="0.2">
      <c r="A12260">
        <v>12448</v>
      </c>
    </row>
    <row r="12261" spans="1:1" x14ac:dyDescent="0.2">
      <c r="A12261">
        <v>12449</v>
      </c>
    </row>
    <row r="12262" spans="1:1" x14ac:dyDescent="0.2">
      <c r="A12262">
        <v>12450</v>
      </c>
    </row>
    <row r="12263" spans="1:1" x14ac:dyDescent="0.2">
      <c r="A12263">
        <v>12451</v>
      </c>
    </row>
    <row r="12264" spans="1:1" x14ac:dyDescent="0.2">
      <c r="A12264">
        <v>12452</v>
      </c>
    </row>
    <row r="12265" spans="1:1" x14ac:dyDescent="0.2">
      <c r="A12265">
        <v>12453</v>
      </c>
    </row>
    <row r="12266" spans="1:1" x14ac:dyDescent="0.2">
      <c r="A12266">
        <v>12454</v>
      </c>
    </row>
    <row r="12267" spans="1:1" x14ac:dyDescent="0.2">
      <c r="A12267">
        <v>12455</v>
      </c>
    </row>
    <row r="12268" spans="1:1" x14ac:dyDescent="0.2">
      <c r="A12268">
        <v>12456</v>
      </c>
    </row>
    <row r="12269" spans="1:1" x14ac:dyDescent="0.2">
      <c r="A12269">
        <v>12457</v>
      </c>
    </row>
    <row r="12270" spans="1:1" x14ac:dyDescent="0.2">
      <c r="A12270">
        <v>12458</v>
      </c>
    </row>
    <row r="12271" spans="1:1" x14ac:dyDescent="0.2">
      <c r="A12271">
        <v>12459</v>
      </c>
    </row>
    <row r="12272" spans="1:1" x14ac:dyDescent="0.2">
      <c r="A12272">
        <v>12460</v>
      </c>
    </row>
    <row r="12273" spans="1:1" x14ac:dyDescent="0.2">
      <c r="A12273">
        <v>12461</v>
      </c>
    </row>
    <row r="12274" spans="1:1" x14ac:dyDescent="0.2">
      <c r="A12274">
        <v>12462</v>
      </c>
    </row>
    <row r="12275" spans="1:1" x14ac:dyDescent="0.2">
      <c r="A12275">
        <v>12463</v>
      </c>
    </row>
    <row r="12276" spans="1:1" x14ac:dyDescent="0.2">
      <c r="A12276">
        <v>12464</v>
      </c>
    </row>
    <row r="12277" spans="1:1" x14ac:dyDescent="0.2">
      <c r="A12277">
        <v>12465</v>
      </c>
    </row>
    <row r="12278" spans="1:1" x14ac:dyDescent="0.2">
      <c r="A12278">
        <v>12466</v>
      </c>
    </row>
    <row r="12279" spans="1:1" x14ac:dyDescent="0.2">
      <c r="A12279">
        <v>12467</v>
      </c>
    </row>
    <row r="12280" spans="1:1" x14ac:dyDescent="0.2">
      <c r="A12280">
        <v>12468</v>
      </c>
    </row>
    <row r="12281" spans="1:1" x14ac:dyDescent="0.2">
      <c r="A12281">
        <v>12469</v>
      </c>
    </row>
    <row r="12282" spans="1:1" x14ac:dyDescent="0.2">
      <c r="A12282">
        <v>12470</v>
      </c>
    </row>
    <row r="12283" spans="1:1" x14ac:dyDescent="0.2">
      <c r="A12283">
        <v>12471</v>
      </c>
    </row>
    <row r="12284" spans="1:1" x14ac:dyDescent="0.2">
      <c r="A12284">
        <v>12472</v>
      </c>
    </row>
    <row r="12285" spans="1:1" x14ac:dyDescent="0.2">
      <c r="A12285">
        <v>12473</v>
      </c>
    </row>
    <row r="12286" spans="1:1" x14ac:dyDescent="0.2">
      <c r="A12286">
        <v>12474</v>
      </c>
    </row>
    <row r="12287" spans="1:1" x14ac:dyDescent="0.2">
      <c r="A12287">
        <v>12475</v>
      </c>
    </row>
    <row r="12288" spans="1:1" x14ac:dyDescent="0.2">
      <c r="A12288">
        <v>12476</v>
      </c>
    </row>
    <row r="12289" spans="1:1" x14ac:dyDescent="0.2">
      <c r="A12289">
        <v>12477</v>
      </c>
    </row>
    <row r="12290" spans="1:1" x14ac:dyDescent="0.2">
      <c r="A12290">
        <v>12478</v>
      </c>
    </row>
    <row r="12291" spans="1:1" x14ac:dyDescent="0.2">
      <c r="A12291">
        <v>12479</v>
      </c>
    </row>
    <row r="12292" spans="1:1" x14ac:dyDescent="0.2">
      <c r="A12292">
        <v>12480</v>
      </c>
    </row>
    <row r="12293" spans="1:1" x14ac:dyDescent="0.2">
      <c r="A12293">
        <v>12481</v>
      </c>
    </row>
    <row r="12294" spans="1:1" x14ac:dyDescent="0.2">
      <c r="A12294">
        <v>12482</v>
      </c>
    </row>
    <row r="12295" spans="1:1" x14ac:dyDescent="0.2">
      <c r="A12295">
        <v>12483</v>
      </c>
    </row>
    <row r="12296" spans="1:1" x14ac:dyDescent="0.2">
      <c r="A12296">
        <v>12484</v>
      </c>
    </row>
    <row r="12297" spans="1:1" x14ac:dyDescent="0.2">
      <c r="A12297">
        <v>12485</v>
      </c>
    </row>
    <row r="12298" spans="1:1" x14ac:dyDescent="0.2">
      <c r="A12298">
        <v>12486</v>
      </c>
    </row>
    <row r="12299" spans="1:1" x14ac:dyDescent="0.2">
      <c r="A12299">
        <v>12487</v>
      </c>
    </row>
    <row r="12300" spans="1:1" x14ac:dyDescent="0.2">
      <c r="A12300">
        <v>12488</v>
      </c>
    </row>
    <row r="12301" spans="1:1" x14ac:dyDescent="0.2">
      <c r="A12301">
        <v>12489</v>
      </c>
    </row>
    <row r="12302" spans="1:1" x14ac:dyDescent="0.2">
      <c r="A12302">
        <v>12490</v>
      </c>
    </row>
    <row r="12303" spans="1:1" x14ac:dyDescent="0.2">
      <c r="A12303">
        <v>12491</v>
      </c>
    </row>
    <row r="12304" spans="1:1" x14ac:dyDescent="0.2">
      <c r="A12304">
        <v>12492</v>
      </c>
    </row>
    <row r="12305" spans="1:1" x14ac:dyDescent="0.2">
      <c r="A12305">
        <v>12493</v>
      </c>
    </row>
    <row r="12306" spans="1:1" x14ac:dyDescent="0.2">
      <c r="A12306">
        <v>12494</v>
      </c>
    </row>
    <row r="12307" spans="1:1" x14ac:dyDescent="0.2">
      <c r="A12307">
        <v>12495</v>
      </c>
    </row>
    <row r="12308" spans="1:1" x14ac:dyDescent="0.2">
      <c r="A12308">
        <v>12496</v>
      </c>
    </row>
    <row r="12309" spans="1:1" x14ac:dyDescent="0.2">
      <c r="A12309">
        <v>12497</v>
      </c>
    </row>
    <row r="12310" spans="1:1" x14ac:dyDescent="0.2">
      <c r="A12310">
        <v>12498</v>
      </c>
    </row>
    <row r="12311" spans="1:1" x14ac:dyDescent="0.2">
      <c r="A12311">
        <v>12499</v>
      </c>
    </row>
    <row r="12312" spans="1:1" x14ac:dyDescent="0.2">
      <c r="A12312">
        <v>12500</v>
      </c>
    </row>
    <row r="12313" spans="1:1" x14ac:dyDescent="0.2">
      <c r="A12313">
        <v>12501</v>
      </c>
    </row>
    <row r="12314" spans="1:1" x14ac:dyDescent="0.2">
      <c r="A12314">
        <v>12502</v>
      </c>
    </row>
    <row r="12315" spans="1:1" x14ac:dyDescent="0.2">
      <c r="A12315">
        <v>12503</v>
      </c>
    </row>
    <row r="12316" spans="1:1" x14ac:dyDescent="0.2">
      <c r="A12316">
        <v>12504</v>
      </c>
    </row>
    <row r="12317" spans="1:1" x14ac:dyDescent="0.2">
      <c r="A12317">
        <v>12505</v>
      </c>
    </row>
    <row r="12318" spans="1:1" x14ac:dyDescent="0.2">
      <c r="A12318">
        <v>12506</v>
      </c>
    </row>
    <row r="12319" spans="1:1" x14ac:dyDescent="0.2">
      <c r="A12319">
        <v>12507</v>
      </c>
    </row>
    <row r="12320" spans="1:1" x14ac:dyDescent="0.2">
      <c r="A12320">
        <v>12508</v>
      </c>
    </row>
    <row r="12321" spans="1:1" x14ac:dyDescent="0.2">
      <c r="A12321">
        <v>12509</v>
      </c>
    </row>
    <row r="12322" spans="1:1" x14ac:dyDescent="0.2">
      <c r="A12322">
        <v>12510</v>
      </c>
    </row>
    <row r="12323" spans="1:1" x14ac:dyDescent="0.2">
      <c r="A12323">
        <v>12511</v>
      </c>
    </row>
    <row r="12324" spans="1:1" x14ac:dyDescent="0.2">
      <c r="A12324">
        <v>12512</v>
      </c>
    </row>
    <row r="12325" spans="1:1" x14ac:dyDescent="0.2">
      <c r="A12325">
        <v>12513</v>
      </c>
    </row>
    <row r="12326" spans="1:1" x14ac:dyDescent="0.2">
      <c r="A12326">
        <v>12514</v>
      </c>
    </row>
    <row r="12327" spans="1:1" x14ac:dyDescent="0.2">
      <c r="A12327">
        <v>12515</v>
      </c>
    </row>
    <row r="12328" spans="1:1" x14ac:dyDescent="0.2">
      <c r="A12328">
        <v>12516</v>
      </c>
    </row>
    <row r="12329" spans="1:1" x14ac:dyDescent="0.2">
      <c r="A12329">
        <v>12517</v>
      </c>
    </row>
    <row r="12330" spans="1:1" x14ac:dyDescent="0.2">
      <c r="A12330">
        <v>12518</v>
      </c>
    </row>
    <row r="12331" spans="1:1" x14ac:dyDescent="0.2">
      <c r="A12331">
        <v>12519</v>
      </c>
    </row>
    <row r="12332" spans="1:1" x14ac:dyDescent="0.2">
      <c r="A12332">
        <v>12520</v>
      </c>
    </row>
    <row r="12333" spans="1:1" x14ac:dyDescent="0.2">
      <c r="A12333">
        <v>12521</v>
      </c>
    </row>
    <row r="12334" spans="1:1" x14ac:dyDescent="0.2">
      <c r="A12334">
        <v>12522</v>
      </c>
    </row>
    <row r="12335" spans="1:1" x14ac:dyDescent="0.2">
      <c r="A12335">
        <v>12523</v>
      </c>
    </row>
    <row r="12336" spans="1:1" x14ac:dyDescent="0.2">
      <c r="A12336">
        <v>12524</v>
      </c>
    </row>
    <row r="12337" spans="1:1" x14ac:dyDescent="0.2">
      <c r="A12337">
        <v>12525</v>
      </c>
    </row>
    <row r="12338" spans="1:1" x14ac:dyDescent="0.2">
      <c r="A12338">
        <v>12526</v>
      </c>
    </row>
    <row r="12339" spans="1:1" x14ac:dyDescent="0.2">
      <c r="A12339">
        <v>12527</v>
      </c>
    </row>
    <row r="12340" spans="1:1" x14ac:dyDescent="0.2">
      <c r="A12340">
        <v>12528</v>
      </c>
    </row>
    <row r="12341" spans="1:1" x14ac:dyDescent="0.2">
      <c r="A12341">
        <v>12529</v>
      </c>
    </row>
    <row r="12342" spans="1:1" x14ac:dyDescent="0.2">
      <c r="A12342">
        <v>12530</v>
      </c>
    </row>
    <row r="12343" spans="1:1" x14ac:dyDescent="0.2">
      <c r="A12343">
        <v>12531</v>
      </c>
    </row>
    <row r="12344" spans="1:1" x14ac:dyDescent="0.2">
      <c r="A12344">
        <v>12532</v>
      </c>
    </row>
    <row r="12345" spans="1:1" x14ac:dyDescent="0.2">
      <c r="A12345">
        <v>12533</v>
      </c>
    </row>
    <row r="12346" spans="1:1" x14ac:dyDescent="0.2">
      <c r="A12346">
        <v>12534</v>
      </c>
    </row>
    <row r="12347" spans="1:1" x14ac:dyDescent="0.2">
      <c r="A12347">
        <v>12535</v>
      </c>
    </row>
    <row r="12348" spans="1:1" x14ac:dyDescent="0.2">
      <c r="A12348">
        <v>12536</v>
      </c>
    </row>
    <row r="12349" spans="1:1" x14ac:dyDescent="0.2">
      <c r="A12349">
        <v>12537</v>
      </c>
    </row>
    <row r="12350" spans="1:1" x14ac:dyDescent="0.2">
      <c r="A12350">
        <v>12538</v>
      </c>
    </row>
    <row r="12351" spans="1:1" x14ac:dyDescent="0.2">
      <c r="A12351">
        <v>12539</v>
      </c>
    </row>
    <row r="12352" spans="1:1" x14ac:dyDescent="0.2">
      <c r="A12352">
        <v>12540</v>
      </c>
    </row>
    <row r="12353" spans="1:1" x14ac:dyDescent="0.2">
      <c r="A12353">
        <v>12541</v>
      </c>
    </row>
    <row r="12354" spans="1:1" x14ac:dyDescent="0.2">
      <c r="A12354">
        <v>12542</v>
      </c>
    </row>
    <row r="12355" spans="1:1" x14ac:dyDescent="0.2">
      <c r="A12355">
        <v>12543</v>
      </c>
    </row>
    <row r="12356" spans="1:1" x14ac:dyDescent="0.2">
      <c r="A12356">
        <v>12544</v>
      </c>
    </row>
    <row r="12357" spans="1:1" x14ac:dyDescent="0.2">
      <c r="A12357">
        <v>12545</v>
      </c>
    </row>
    <row r="12358" spans="1:1" x14ac:dyDescent="0.2">
      <c r="A12358">
        <v>12546</v>
      </c>
    </row>
    <row r="12359" spans="1:1" x14ac:dyDescent="0.2">
      <c r="A12359">
        <v>12547</v>
      </c>
    </row>
    <row r="12360" spans="1:1" x14ac:dyDescent="0.2">
      <c r="A12360">
        <v>12548</v>
      </c>
    </row>
    <row r="12361" spans="1:1" x14ac:dyDescent="0.2">
      <c r="A12361">
        <v>12549</v>
      </c>
    </row>
    <row r="12362" spans="1:1" x14ac:dyDescent="0.2">
      <c r="A12362">
        <v>12550</v>
      </c>
    </row>
    <row r="12363" spans="1:1" x14ac:dyDescent="0.2">
      <c r="A12363">
        <v>12551</v>
      </c>
    </row>
    <row r="12364" spans="1:1" x14ac:dyDescent="0.2">
      <c r="A12364">
        <v>12552</v>
      </c>
    </row>
    <row r="12365" spans="1:1" x14ac:dyDescent="0.2">
      <c r="A12365">
        <v>12553</v>
      </c>
    </row>
    <row r="12366" spans="1:1" x14ac:dyDescent="0.2">
      <c r="A12366">
        <v>12554</v>
      </c>
    </row>
    <row r="12367" spans="1:1" x14ac:dyDescent="0.2">
      <c r="A12367">
        <v>12555</v>
      </c>
    </row>
    <row r="12368" spans="1:1" x14ac:dyDescent="0.2">
      <c r="A12368">
        <v>12556</v>
      </c>
    </row>
    <row r="12369" spans="1:1" x14ac:dyDescent="0.2">
      <c r="A12369">
        <v>12557</v>
      </c>
    </row>
    <row r="12370" spans="1:1" x14ac:dyDescent="0.2">
      <c r="A12370">
        <v>12558</v>
      </c>
    </row>
    <row r="12371" spans="1:1" x14ac:dyDescent="0.2">
      <c r="A12371">
        <v>12559</v>
      </c>
    </row>
    <row r="12372" spans="1:1" x14ac:dyDescent="0.2">
      <c r="A12372">
        <v>12560</v>
      </c>
    </row>
    <row r="12373" spans="1:1" x14ac:dyDescent="0.2">
      <c r="A12373">
        <v>12561</v>
      </c>
    </row>
    <row r="12374" spans="1:1" x14ac:dyDescent="0.2">
      <c r="A12374">
        <v>12562</v>
      </c>
    </row>
    <row r="12375" spans="1:1" x14ac:dyDescent="0.2">
      <c r="A12375">
        <v>12563</v>
      </c>
    </row>
    <row r="12376" spans="1:1" x14ac:dyDescent="0.2">
      <c r="A12376">
        <v>12564</v>
      </c>
    </row>
    <row r="12377" spans="1:1" x14ac:dyDescent="0.2">
      <c r="A12377">
        <v>12565</v>
      </c>
    </row>
    <row r="12378" spans="1:1" x14ac:dyDescent="0.2">
      <c r="A12378">
        <v>12566</v>
      </c>
    </row>
    <row r="12379" spans="1:1" x14ac:dyDescent="0.2">
      <c r="A12379">
        <v>12567</v>
      </c>
    </row>
    <row r="12380" spans="1:1" x14ac:dyDescent="0.2">
      <c r="A12380">
        <v>12568</v>
      </c>
    </row>
    <row r="12381" spans="1:1" x14ac:dyDescent="0.2">
      <c r="A12381">
        <v>12569</v>
      </c>
    </row>
    <row r="12382" spans="1:1" x14ac:dyDescent="0.2">
      <c r="A12382">
        <v>12570</v>
      </c>
    </row>
    <row r="12383" spans="1:1" x14ac:dyDescent="0.2">
      <c r="A12383">
        <v>12571</v>
      </c>
    </row>
    <row r="12384" spans="1:1" x14ac:dyDescent="0.2">
      <c r="A12384">
        <v>12572</v>
      </c>
    </row>
    <row r="12385" spans="1:1" x14ac:dyDescent="0.2">
      <c r="A12385">
        <v>12573</v>
      </c>
    </row>
    <row r="12386" spans="1:1" x14ac:dyDescent="0.2">
      <c r="A12386">
        <v>12574</v>
      </c>
    </row>
    <row r="12387" spans="1:1" x14ac:dyDescent="0.2">
      <c r="A12387">
        <v>12575</v>
      </c>
    </row>
    <row r="12388" spans="1:1" x14ac:dyDescent="0.2">
      <c r="A12388">
        <v>12576</v>
      </c>
    </row>
    <row r="12389" spans="1:1" x14ac:dyDescent="0.2">
      <c r="A12389">
        <v>12577</v>
      </c>
    </row>
    <row r="12390" spans="1:1" x14ac:dyDescent="0.2">
      <c r="A12390">
        <v>12578</v>
      </c>
    </row>
    <row r="12391" spans="1:1" x14ac:dyDescent="0.2">
      <c r="A12391">
        <v>12579</v>
      </c>
    </row>
    <row r="12392" spans="1:1" x14ac:dyDescent="0.2">
      <c r="A12392">
        <v>12580</v>
      </c>
    </row>
    <row r="12393" spans="1:1" x14ac:dyDescent="0.2">
      <c r="A12393">
        <v>12581</v>
      </c>
    </row>
    <row r="12394" spans="1:1" x14ac:dyDescent="0.2">
      <c r="A12394">
        <v>12582</v>
      </c>
    </row>
    <row r="12395" spans="1:1" x14ac:dyDescent="0.2">
      <c r="A12395">
        <v>12583</v>
      </c>
    </row>
    <row r="12396" spans="1:1" x14ac:dyDescent="0.2">
      <c r="A12396">
        <v>12584</v>
      </c>
    </row>
    <row r="12397" spans="1:1" x14ac:dyDescent="0.2">
      <c r="A12397">
        <v>12585</v>
      </c>
    </row>
    <row r="12398" spans="1:1" x14ac:dyDescent="0.2">
      <c r="A12398">
        <v>12586</v>
      </c>
    </row>
    <row r="12399" spans="1:1" x14ac:dyDescent="0.2">
      <c r="A12399">
        <v>12587</v>
      </c>
    </row>
    <row r="12400" spans="1:1" x14ac:dyDescent="0.2">
      <c r="A12400">
        <v>12588</v>
      </c>
    </row>
    <row r="12401" spans="1:1" x14ac:dyDescent="0.2">
      <c r="A12401">
        <v>12589</v>
      </c>
    </row>
    <row r="12402" spans="1:1" x14ac:dyDescent="0.2">
      <c r="A12402">
        <v>12590</v>
      </c>
    </row>
    <row r="12403" spans="1:1" x14ac:dyDescent="0.2">
      <c r="A12403">
        <v>12591</v>
      </c>
    </row>
    <row r="12404" spans="1:1" x14ac:dyDescent="0.2">
      <c r="A12404">
        <v>12592</v>
      </c>
    </row>
    <row r="12405" spans="1:1" x14ac:dyDescent="0.2">
      <c r="A12405">
        <v>12593</v>
      </c>
    </row>
    <row r="12406" spans="1:1" x14ac:dyDescent="0.2">
      <c r="A12406">
        <v>12594</v>
      </c>
    </row>
    <row r="12407" spans="1:1" x14ac:dyDescent="0.2">
      <c r="A12407">
        <v>12595</v>
      </c>
    </row>
    <row r="12408" spans="1:1" x14ac:dyDescent="0.2">
      <c r="A12408">
        <v>12596</v>
      </c>
    </row>
    <row r="12409" spans="1:1" x14ac:dyDescent="0.2">
      <c r="A12409">
        <v>12597</v>
      </c>
    </row>
    <row r="12410" spans="1:1" x14ac:dyDescent="0.2">
      <c r="A12410">
        <v>12598</v>
      </c>
    </row>
    <row r="12411" spans="1:1" x14ac:dyDescent="0.2">
      <c r="A12411">
        <v>12599</v>
      </c>
    </row>
    <row r="12412" spans="1:1" x14ac:dyDescent="0.2">
      <c r="A12412">
        <v>12600</v>
      </c>
    </row>
    <row r="12413" spans="1:1" x14ac:dyDescent="0.2">
      <c r="A12413">
        <v>12601</v>
      </c>
    </row>
    <row r="12414" spans="1:1" x14ac:dyDescent="0.2">
      <c r="A12414">
        <v>12602</v>
      </c>
    </row>
    <row r="12415" spans="1:1" x14ac:dyDescent="0.2">
      <c r="A12415">
        <v>12603</v>
      </c>
    </row>
    <row r="12416" spans="1:1" x14ac:dyDescent="0.2">
      <c r="A12416">
        <v>12604</v>
      </c>
    </row>
    <row r="12417" spans="1:1" x14ac:dyDescent="0.2">
      <c r="A12417">
        <v>12605</v>
      </c>
    </row>
    <row r="12418" spans="1:1" x14ac:dyDescent="0.2">
      <c r="A12418">
        <v>12606</v>
      </c>
    </row>
    <row r="12419" spans="1:1" x14ac:dyDescent="0.2">
      <c r="A12419">
        <v>12607</v>
      </c>
    </row>
    <row r="12420" spans="1:1" x14ac:dyDescent="0.2">
      <c r="A12420">
        <v>12608</v>
      </c>
    </row>
    <row r="12421" spans="1:1" x14ac:dyDescent="0.2">
      <c r="A12421">
        <v>12609</v>
      </c>
    </row>
    <row r="12422" spans="1:1" x14ac:dyDescent="0.2">
      <c r="A12422">
        <v>12610</v>
      </c>
    </row>
    <row r="12423" spans="1:1" x14ac:dyDescent="0.2">
      <c r="A12423">
        <v>12611</v>
      </c>
    </row>
    <row r="12424" spans="1:1" x14ac:dyDescent="0.2">
      <c r="A12424">
        <v>12612</v>
      </c>
    </row>
    <row r="12425" spans="1:1" x14ac:dyDescent="0.2">
      <c r="A12425">
        <v>12613</v>
      </c>
    </row>
    <row r="12426" spans="1:1" x14ac:dyDescent="0.2">
      <c r="A12426">
        <v>12614</v>
      </c>
    </row>
    <row r="12427" spans="1:1" x14ac:dyDescent="0.2">
      <c r="A12427">
        <v>12615</v>
      </c>
    </row>
    <row r="12428" spans="1:1" x14ac:dyDescent="0.2">
      <c r="A12428">
        <v>12616</v>
      </c>
    </row>
    <row r="12429" spans="1:1" x14ac:dyDescent="0.2">
      <c r="A12429">
        <v>12617</v>
      </c>
    </row>
    <row r="12430" spans="1:1" x14ac:dyDescent="0.2">
      <c r="A12430">
        <v>12618</v>
      </c>
    </row>
    <row r="12431" spans="1:1" x14ac:dyDescent="0.2">
      <c r="A12431">
        <v>12619</v>
      </c>
    </row>
    <row r="12432" spans="1:1" x14ac:dyDescent="0.2">
      <c r="A12432">
        <v>12620</v>
      </c>
    </row>
    <row r="12433" spans="1:1" x14ac:dyDescent="0.2">
      <c r="A12433">
        <v>12621</v>
      </c>
    </row>
    <row r="12434" spans="1:1" x14ac:dyDescent="0.2">
      <c r="A12434">
        <v>12622</v>
      </c>
    </row>
    <row r="12435" spans="1:1" x14ac:dyDescent="0.2">
      <c r="A12435">
        <v>12623</v>
      </c>
    </row>
    <row r="12436" spans="1:1" x14ac:dyDescent="0.2">
      <c r="A12436">
        <v>12624</v>
      </c>
    </row>
    <row r="12437" spans="1:1" x14ac:dyDescent="0.2">
      <c r="A12437">
        <v>12625</v>
      </c>
    </row>
    <row r="12438" spans="1:1" x14ac:dyDescent="0.2">
      <c r="A12438">
        <v>12626</v>
      </c>
    </row>
    <row r="12439" spans="1:1" x14ac:dyDescent="0.2">
      <c r="A12439">
        <v>12627</v>
      </c>
    </row>
    <row r="12440" spans="1:1" x14ac:dyDescent="0.2">
      <c r="A12440">
        <v>12628</v>
      </c>
    </row>
    <row r="12441" spans="1:1" x14ac:dyDescent="0.2">
      <c r="A12441">
        <v>12629</v>
      </c>
    </row>
    <row r="12442" spans="1:1" x14ac:dyDescent="0.2">
      <c r="A12442">
        <v>12630</v>
      </c>
    </row>
    <row r="12443" spans="1:1" x14ac:dyDescent="0.2">
      <c r="A12443">
        <v>12631</v>
      </c>
    </row>
    <row r="12444" spans="1:1" x14ac:dyDescent="0.2">
      <c r="A12444">
        <v>12632</v>
      </c>
    </row>
    <row r="12445" spans="1:1" x14ac:dyDescent="0.2">
      <c r="A12445">
        <v>12633</v>
      </c>
    </row>
    <row r="12446" spans="1:1" x14ac:dyDescent="0.2">
      <c r="A12446">
        <v>12634</v>
      </c>
    </row>
    <row r="12447" spans="1:1" x14ac:dyDescent="0.2">
      <c r="A12447">
        <v>12635</v>
      </c>
    </row>
    <row r="12448" spans="1:1" x14ac:dyDescent="0.2">
      <c r="A12448">
        <v>12636</v>
      </c>
    </row>
    <row r="12449" spans="1:1" x14ac:dyDescent="0.2">
      <c r="A12449">
        <v>12637</v>
      </c>
    </row>
    <row r="12450" spans="1:1" x14ac:dyDescent="0.2">
      <c r="A12450">
        <v>12638</v>
      </c>
    </row>
    <row r="12451" spans="1:1" x14ac:dyDescent="0.2">
      <c r="A12451">
        <v>12639</v>
      </c>
    </row>
    <row r="12452" spans="1:1" x14ac:dyDescent="0.2">
      <c r="A12452">
        <v>12640</v>
      </c>
    </row>
    <row r="12453" spans="1:1" x14ac:dyDescent="0.2">
      <c r="A12453">
        <v>12641</v>
      </c>
    </row>
    <row r="12454" spans="1:1" x14ac:dyDescent="0.2">
      <c r="A12454">
        <v>12642</v>
      </c>
    </row>
    <row r="12455" spans="1:1" x14ac:dyDescent="0.2">
      <c r="A12455">
        <v>12643</v>
      </c>
    </row>
    <row r="12456" spans="1:1" x14ac:dyDescent="0.2">
      <c r="A12456">
        <v>12644</v>
      </c>
    </row>
    <row r="12457" spans="1:1" x14ac:dyDescent="0.2">
      <c r="A12457">
        <v>12645</v>
      </c>
    </row>
    <row r="12458" spans="1:1" x14ac:dyDescent="0.2">
      <c r="A12458">
        <v>12646</v>
      </c>
    </row>
    <row r="12459" spans="1:1" x14ac:dyDescent="0.2">
      <c r="A12459">
        <v>12647</v>
      </c>
    </row>
    <row r="12460" spans="1:1" x14ac:dyDescent="0.2">
      <c r="A12460">
        <v>12648</v>
      </c>
    </row>
    <row r="12461" spans="1:1" x14ac:dyDescent="0.2">
      <c r="A12461">
        <v>12649</v>
      </c>
    </row>
    <row r="12462" spans="1:1" x14ac:dyDescent="0.2">
      <c r="A12462">
        <v>12650</v>
      </c>
    </row>
    <row r="12463" spans="1:1" x14ac:dyDescent="0.2">
      <c r="A12463">
        <v>12651</v>
      </c>
    </row>
    <row r="12464" spans="1:1" x14ac:dyDescent="0.2">
      <c r="A12464">
        <v>12652</v>
      </c>
    </row>
    <row r="12465" spans="1:1" x14ac:dyDescent="0.2">
      <c r="A12465">
        <v>12653</v>
      </c>
    </row>
    <row r="12466" spans="1:1" x14ac:dyDescent="0.2">
      <c r="A12466">
        <v>12654</v>
      </c>
    </row>
    <row r="12467" spans="1:1" x14ac:dyDescent="0.2">
      <c r="A12467">
        <v>12655</v>
      </c>
    </row>
    <row r="12468" spans="1:1" x14ac:dyDescent="0.2">
      <c r="A12468">
        <v>12656</v>
      </c>
    </row>
    <row r="12469" spans="1:1" x14ac:dyDescent="0.2">
      <c r="A12469">
        <v>12657</v>
      </c>
    </row>
    <row r="12470" spans="1:1" x14ac:dyDescent="0.2">
      <c r="A12470">
        <v>12658</v>
      </c>
    </row>
    <row r="12471" spans="1:1" x14ac:dyDescent="0.2">
      <c r="A12471">
        <v>12659</v>
      </c>
    </row>
    <row r="12472" spans="1:1" x14ac:dyDescent="0.2">
      <c r="A12472">
        <v>12660</v>
      </c>
    </row>
    <row r="12473" spans="1:1" x14ac:dyDescent="0.2">
      <c r="A12473">
        <v>12661</v>
      </c>
    </row>
    <row r="12474" spans="1:1" x14ac:dyDescent="0.2">
      <c r="A12474">
        <v>12662</v>
      </c>
    </row>
    <row r="12475" spans="1:1" x14ac:dyDescent="0.2">
      <c r="A12475">
        <v>12663</v>
      </c>
    </row>
    <row r="12476" spans="1:1" x14ac:dyDescent="0.2">
      <c r="A12476">
        <v>12664</v>
      </c>
    </row>
    <row r="12477" spans="1:1" x14ac:dyDescent="0.2">
      <c r="A12477">
        <v>12665</v>
      </c>
    </row>
    <row r="12478" spans="1:1" x14ac:dyDescent="0.2">
      <c r="A12478">
        <v>12666</v>
      </c>
    </row>
    <row r="12479" spans="1:1" x14ac:dyDescent="0.2">
      <c r="A12479">
        <v>12667</v>
      </c>
    </row>
    <row r="12480" spans="1:1" x14ac:dyDescent="0.2">
      <c r="A12480">
        <v>12668</v>
      </c>
    </row>
    <row r="12481" spans="1:1" x14ac:dyDescent="0.2">
      <c r="A12481">
        <v>12669</v>
      </c>
    </row>
    <row r="12482" spans="1:1" x14ac:dyDescent="0.2">
      <c r="A12482">
        <v>12670</v>
      </c>
    </row>
    <row r="12483" spans="1:1" x14ac:dyDescent="0.2">
      <c r="A12483">
        <v>12671</v>
      </c>
    </row>
    <row r="12484" spans="1:1" x14ac:dyDescent="0.2">
      <c r="A12484">
        <v>12672</v>
      </c>
    </row>
    <row r="12485" spans="1:1" x14ac:dyDescent="0.2">
      <c r="A12485">
        <v>12673</v>
      </c>
    </row>
    <row r="12486" spans="1:1" x14ac:dyDescent="0.2">
      <c r="A12486">
        <v>12674</v>
      </c>
    </row>
    <row r="12487" spans="1:1" x14ac:dyDescent="0.2">
      <c r="A12487">
        <v>12675</v>
      </c>
    </row>
    <row r="12488" spans="1:1" x14ac:dyDescent="0.2">
      <c r="A12488">
        <v>12676</v>
      </c>
    </row>
    <row r="12489" spans="1:1" x14ac:dyDescent="0.2">
      <c r="A12489">
        <v>12677</v>
      </c>
    </row>
    <row r="12490" spans="1:1" x14ac:dyDescent="0.2">
      <c r="A12490">
        <v>12678</v>
      </c>
    </row>
    <row r="12491" spans="1:1" x14ac:dyDescent="0.2">
      <c r="A12491">
        <v>12679</v>
      </c>
    </row>
    <row r="12492" spans="1:1" x14ac:dyDescent="0.2">
      <c r="A12492">
        <v>12680</v>
      </c>
    </row>
    <row r="12493" spans="1:1" x14ac:dyDescent="0.2">
      <c r="A12493">
        <v>12681</v>
      </c>
    </row>
    <row r="12494" spans="1:1" x14ac:dyDescent="0.2">
      <c r="A12494">
        <v>12682</v>
      </c>
    </row>
    <row r="12495" spans="1:1" x14ac:dyDescent="0.2">
      <c r="A12495">
        <v>12683</v>
      </c>
    </row>
    <row r="12496" spans="1:1" x14ac:dyDescent="0.2">
      <c r="A12496">
        <v>12684</v>
      </c>
    </row>
    <row r="12497" spans="1:1" x14ac:dyDescent="0.2">
      <c r="A12497">
        <v>12685</v>
      </c>
    </row>
    <row r="12498" spans="1:1" x14ac:dyDescent="0.2">
      <c r="A12498">
        <v>12686</v>
      </c>
    </row>
    <row r="12499" spans="1:1" x14ac:dyDescent="0.2">
      <c r="A12499">
        <v>12687</v>
      </c>
    </row>
    <row r="12500" spans="1:1" x14ac:dyDescent="0.2">
      <c r="A12500">
        <v>12688</v>
      </c>
    </row>
    <row r="12501" spans="1:1" x14ac:dyDescent="0.2">
      <c r="A12501">
        <v>12689</v>
      </c>
    </row>
    <row r="12502" spans="1:1" x14ac:dyDescent="0.2">
      <c r="A12502">
        <v>12690</v>
      </c>
    </row>
    <row r="12503" spans="1:1" x14ac:dyDescent="0.2">
      <c r="A12503">
        <v>12691</v>
      </c>
    </row>
    <row r="12504" spans="1:1" x14ac:dyDescent="0.2">
      <c r="A12504">
        <v>12692</v>
      </c>
    </row>
    <row r="12505" spans="1:1" x14ac:dyDescent="0.2">
      <c r="A12505">
        <v>12693</v>
      </c>
    </row>
    <row r="12506" spans="1:1" x14ac:dyDescent="0.2">
      <c r="A12506">
        <v>12694</v>
      </c>
    </row>
    <row r="12507" spans="1:1" x14ac:dyDescent="0.2">
      <c r="A12507">
        <v>12695</v>
      </c>
    </row>
    <row r="12508" spans="1:1" x14ac:dyDescent="0.2">
      <c r="A12508">
        <v>12696</v>
      </c>
    </row>
    <row r="12509" spans="1:1" x14ac:dyDescent="0.2">
      <c r="A12509">
        <v>12697</v>
      </c>
    </row>
    <row r="12510" spans="1:1" x14ac:dyDescent="0.2">
      <c r="A12510">
        <v>12698</v>
      </c>
    </row>
    <row r="12511" spans="1:1" x14ac:dyDescent="0.2">
      <c r="A12511">
        <v>12699</v>
      </c>
    </row>
    <row r="12512" spans="1:1" x14ac:dyDescent="0.2">
      <c r="A12512">
        <v>12700</v>
      </c>
    </row>
    <row r="12513" spans="1:1" x14ac:dyDescent="0.2">
      <c r="A12513">
        <v>12701</v>
      </c>
    </row>
    <row r="12514" spans="1:1" x14ac:dyDescent="0.2">
      <c r="A12514">
        <v>12702</v>
      </c>
    </row>
    <row r="12515" spans="1:1" x14ac:dyDescent="0.2">
      <c r="A12515">
        <v>12703</v>
      </c>
    </row>
    <row r="12516" spans="1:1" x14ac:dyDescent="0.2">
      <c r="A12516">
        <v>12704</v>
      </c>
    </row>
    <row r="12517" spans="1:1" x14ac:dyDescent="0.2">
      <c r="A12517">
        <v>12705</v>
      </c>
    </row>
    <row r="12518" spans="1:1" x14ac:dyDescent="0.2">
      <c r="A12518">
        <v>12706</v>
      </c>
    </row>
    <row r="12519" spans="1:1" x14ac:dyDescent="0.2">
      <c r="A12519">
        <v>12707</v>
      </c>
    </row>
    <row r="12520" spans="1:1" x14ac:dyDescent="0.2">
      <c r="A12520">
        <v>12708</v>
      </c>
    </row>
    <row r="12521" spans="1:1" x14ac:dyDescent="0.2">
      <c r="A12521">
        <v>12709</v>
      </c>
    </row>
    <row r="12522" spans="1:1" x14ac:dyDescent="0.2">
      <c r="A12522">
        <v>12710</v>
      </c>
    </row>
    <row r="12523" spans="1:1" x14ac:dyDescent="0.2">
      <c r="A12523">
        <v>12711</v>
      </c>
    </row>
    <row r="12524" spans="1:1" x14ac:dyDescent="0.2">
      <c r="A12524">
        <v>12712</v>
      </c>
    </row>
    <row r="12525" spans="1:1" x14ac:dyDescent="0.2">
      <c r="A12525">
        <v>12713</v>
      </c>
    </row>
    <row r="12526" spans="1:1" x14ac:dyDescent="0.2">
      <c r="A12526">
        <v>12714</v>
      </c>
    </row>
    <row r="12527" spans="1:1" x14ac:dyDescent="0.2">
      <c r="A12527">
        <v>12715</v>
      </c>
    </row>
    <row r="12528" spans="1:1" x14ac:dyDescent="0.2">
      <c r="A12528">
        <v>12716</v>
      </c>
    </row>
    <row r="12529" spans="1:1" x14ac:dyDescent="0.2">
      <c r="A12529">
        <v>12717</v>
      </c>
    </row>
    <row r="12530" spans="1:1" x14ac:dyDescent="0.2">
      <c r="A12530">
        <v>12718</v>
      </c>
    </row>
    <row r="12531" spans="1:1" x14ac:dyDescent="0.2">
      <c r="A12531">
        <v>12719</v>
      </c>
    </row>
    <row r="12532" spans="1:1" x14ac:dyDescent="0.2">
      <c r="A12532">
        <v>12720</v>
      </c>
    </row>
    <row r="12533" spans="1:1" x14ac:dyDescent="0.2">
      <c r="A12533">
        <v>12721</v>
      </c>
    </row>
    <row r="12534" spans="1:1" x14ac:dyDescent="0.2">
      <c r="A12534">
        <v>12722</v>
      </c>
    </row>
    <row r="12535" spans="1:1" x14ac:dyDescent="0.2">
      <c r="A12535">
        <v>12723</v>
      </c>
    </row>
    <row r="12536" spans="1:1" x14ac:dyDescent="0.2">
      <c r="A12536">
        <v>12724</v>
      </c>
    </row>
    <row r="12537" spans="1:1" x14ac:dyDescent="0.2">
      <c r="A12537">
        <v>12725</v>
      </c>
    </row>
    <row r="12538" spans="1:1" x14ac:dyDescent="0.2">
      <c r="A12538">
        <v>12726</v>
      </c>
    </row>
    <row r="12539" spans="1:1" x14ac:dyDescent="0.2">
      <c r="A12539">
        <v>12727</v>
      </c>
    </row>
    <row r="12540" spans="1:1" x14ac:dyDescent="0.2">
      <c r="A12540">
        <v>12728</v>
      </c>
    </row>
    <row r="12541" spans="1:1" x14ac:dyDescent="0.2">
      <c r="A12541">
        <v>12729</v>
      </c>
    </row>
    <row r="12542" spans="1:1" x14ac:dyDescent="0.2">
      <c r="A12542">
        <v>12730</v>
      </c>
    </row>
    <row r="12543" spans="1:1" x14ac:dyDescent="0.2">
      <c r="A12543">
        <v>12731</v>
      </c>
    </row>
    <row r="12544" spans="1:1" x14ac:dyDescent="0.2">
      <c r="A12544">
        <v>12732</v>
      </c>
    </row>
    <row r="12545" spans="1:1" x14ac:dyDescent="0.2">
      <c r="A12545">
        <v>12733</v>
      </c>
    </row>
    <row r="12546" spans="1:1" x14ac:dyDescent="0.2">
      <c r="A12546">
        <v>12734</v>
      </c>
    </row>
    <row r="12547" spans="1:1" x14ac:dyDescent="0.2">
      <c r="A12547">
        <v>12735</v>
      </c>
    </row>
    <row r="12548" spans="1:1" x14ac:dyDescent="0.2">
      <c r="A12548">
        <v>12736</v>
      </c>
    </row>
    <row r="12549" spans="1:1" x14ac:dyDescent="0.2">
      <c r="A12549">
        <v>12737</v>
      </c>
    </row>
    <row r="12550" spans="1:1" x14ac:dyDescent="0.2">
      <c r="A12550">
        <v>12738</v>
      </c>
    </row>
    <row r="12551" spans="1:1" x14ac:dyDescent="0.2">
      <c r="A12551">
        <v>12739</v>
      </c>
    </row>
    <row r="12552" spans="1:1" x14ac:dyDescent="0.2">
      <c r="A12552">
        <v>12740</v>
      </c>
    </row>
    <row r="12553" spans="1:1" x14ac:dyDescent="0.2">
      <c r="A12553">
        <v>12741</v>
      </c>
    </row>
    <row r="12554" spans="1:1" x14ac:dyDescent="0.2">
      <c r="A12554">
        <v>12742</v>
      </c>
    </row>
    <row r="12555" spans="1:1" x14ac:dyDescent="0.2">
      <c r="A12555">
        <v>12743</v>
      </c>
    </row>
    <row r="12556" spans="1:1" x14ac:dyDescent="0.2">
      <c r="A12556">
        <v>12744</v>
      </c>
    </row>
    <row r="12557" spans="1:1" x14ac:dyDescent="0.2">
      <c r="A12557">
        <v>12745</v>
      </c>
    </row>
    <row r="12558" spans="1:1" x14ac:dyDescent="0.2">
      <c r="A12558">
        <v>12746</v>
      </c>
    </row>
    <row r="12559" spans="1:1" x14ac:dyDescent="0.2">
      <c r="A12559">
        <v>12747</v>
      </c>
    </row>
    <row r="12560" spans="1:1" x14ac:dyDescent="0.2">
      <c r="A12560">
        <v>12748</v>
      </c>
    </row>
    <row r="12561" spans="1:1" x14ac:dyDescent="0.2">
      <c r="A12561">
        <v>12749</v>
      </c>
    </row>
    <row r="12562" spans="1:1" x14ac:dyDescent="0.2">
      <c r="A12562">
        <v>12750</v>
      </c>
    </row>
    <row r="12563" spans="1:1" x14ac:dyDescent="0.2">
      <c r="A12563">
        <v>12751</v>
      </c>
    </row>
    <row r="12564" spans="1:1" x14ac:dyDescent="0.2">
      <c r="A12564">
        <v>12752</v>
      </c>
    </row>
    <row r="12565" spans="1:1" x14ac:dyDescent="0.2">
      <c r="A12565">
        <v>12753</v>
      </c>
    </row>
    <row r="12566" spans="1:1" x14ac:dyDescent="0.2">
      <c r="A12566">
        <v>12754</v>
      </c>
    </row>
    <row r="12567" spans="1:1" x14ac:dyDescent="0.2">
      <c r="A12567">
        <v>12755</v>
      </c>
    </row>
    <row r="12568" spans="1:1" x14ac:dyDescent="0.2">
      <c r="A12568">
        <v>12756</v>
      </c>
    </row>
    <row r="12569" spans="1:1" x14ac:dyDescent="0.2">
      <c r="A12569">
        <v>12757</v>
      </c>
    </row>
    <row r="12570" spans="1:1" x14ac:dyDescent="0.2">
      <c r="A12570">
        <v>12758</v>
      </c>
    </row>
    <row r="12571" spans="1:1" x14ac:dyDescent="0.2">
      <c r="A12571">
        <v>12759</v>
      </c>
    </row>
    <row r="12572" spans="1:1" x14ac:dyDescent="0.2">
      <c r="A12572">
        <v>12760</v>
      </c>
    </row>
    <row r="12573" spans="1:1" x14ac:dyDescent="0.2">
      <c r="A12573">
        <v>12761</v>
      </c>
    </row>
    <row r="12574" spans="1:1" x14ac:dyDescent="0.2">
      <c r="A12574">
        <v>12762</v>
      </c>
    </row>
    <row r="12575" spans="1:1" x14ac:dyDescent="0.2">
      <c r="A12575">
        <v>12763</v>
      </c>
    </row>
    <row r="12576" spans="1:1" x14ac:dyDescent="0.2">
      <c r="A12576">
        <v>12764</v>
      </c>
    </row>
    <row r="12577" spans="1:1" x14ac:dyDescent="0.2">
      <c r="A12577">
        <v>12765</v>
      </c>
    </row>
    <row r="12578" spans="1:1" x14ac:dyDescent="0.2">
      <c r="A12578">
        <v>12766</v>
      </c>
    </row>
    <row r="12579" spans="1:1" x14ac:dyDescent="0.2">
      <c r="A12579">
        <v>12767</v>
      </c>
    </row>
    <row r="12580" spans="1:1" x14ac:dyDescent="0.2">
      <c r="A12580">
        <v>12768</v>
      </c>
    </row>
    <row r="12581" spans="1:1" x14ac:dyDescent="0.2">
      <c r="A12581">
        <v>12769</v>
      </c>
    </row>
    <row r="12582" spans="1:1" x14ac:dyDescent="0.2">
      <c r="A12582">
        <v>12770</v>
      </c>
    </row>
    <row r="12583" spans="1:1" x14ac:dyDescent="0.2">
      <c r="A12583">
        <v>12771</v>
      </c>
    </row>
    <row r="12584" spans="1:1" x14ac:dyDescent="0.2">
      <c r="A12584">
        <v>12772</v>
      </c>
    </row>
    <row r="12585" spans="1:1" x14ac:dyDescent="0.2">
      <c r="A12585">
        <v>12773</v>
      </c>
    </row>
    <row r="12586" spans="1:1" x14ac:dyDescent="0.2">
      <c r="A12586">
        <v>12774</v>
      </c>
    </row>
    <row r="12587" spans="1:1" x14ac:dyDescent="0.2">
      <c r="A12587">
        <v>12775</v>
      </c>
    </row>
    <row r="12588" spans="1:1" x14ac:dyDescent="0.2">
      <c r="A12588">
        <v>12776</v>
      </c>
    </row>
    <row r="12589" spans="1:1" x14ac:dyDescent="0.2">
      <c r="A12589">
        <v>12777</v>
      </c>
    </row>
    <row r="12590" spans="1:1" x14ac:dyDescent="0.2">
      <c r="A12590">
        <v>12778</v>
      </c>
    </row>
    <row r="12591" spans="1:1" x14ac:dyDescent="0.2">
      <c r="A12591">
        <v>12779</v>
      </c>
    </row>
    <row r="12592" spans="1:1" x14ac:dyDescent="0.2">
      <c r="A12592">
        <v>12780</v>
      </c>
    </row>
    <row r="12593" spans="1:1" x14ac:dyDescent="0.2">
      <c r="A12593">
        <v>12781</v>
      </c>
    </row>
    <row r="12594" spans="1:1" x14ac:dyDescent="0.2">
      <c r="A12594">
        <v>12782</v>
      </c>
    </row>
    <row r="12595" spans="1:1" x14ac:dyDescent="0.2">
      <c r="A12595">
        <v>12783</v>
      </c>
    </row>
    <row r="12596" spans="1:1" x14ac:dyDescent="0.2">
      <c r="A12596">
        <v>12784</v>
      </c>
    </row>
    <row r="12597" spans="1:1" x14ac:dyDescent="0.2">
      <c r="A12597">
        <v>12785</v>
      </c>
    </row>
    <row r="12598" spans="1:1" x14ac:dyDescent="0.2">
      <c r="A12598">
        <v>12786</v>
      </c>
    </row>
    <row r="12599" spans="1:1" x14ac:dyDescent="0.2">
      <c r="A12599">
        <v>12787</v>
      </c>
    </row>
    <row r="12600" spans="1:1" x14ac:dyDescent="0.2">
      <c r="A12600">
        <v>12788</v>
      </c>
    </row>
    <row r="12601" spans="1:1" x14ac:dyDescent="0.2">
      <c r="A12601">
        <v>12789</v>
      </c>
    </row>
    <row r="12602" spans="1:1" x14ac:dyDescent="0.2">
      <c r="A12602">
        <v>12790</v>
      </c>
    </row>
    <row r="12603" spans="1:1" x14ac:dyDescent="0.2">
      <c r="A12603">
        <v>12791</v>
      </c>
    </row>
    <row r="12604" spans="1:1" x14ac:dyDescent="0.2">
      <c r="A12604">
        <v>12792</v>
      </c>
    </row>
    <row r="12605" spans="1:1" x14ac:dyDescent="0.2">
      <c r="A12605">
        <v>12793</v>
      </c>
    </row>
    <row r="12606" spans="1:1" x14ac:dyDescent="0.2">
      <c r="A12606">
        <v>12794</v>
      </c>
    </row>
    <row r="12607" spans="1:1" x14ac:dyDescent="0.2">
      <c r="A12607">
        <v>12795</v>
      </c>
    </row>
    <row r="12608" spans="1:1" x14ac:dyDescent="0.2">
      <c r="A12608">
        <v>12796</v>
      </c>
    </row>
    <row r="12609" spans="1:1" x14ac:dyDescent="0.2">
      <c r="A12609">
        <v>12797</v>
      </c>
    </row>
    <row r="12610" spans="1:1" x14ac:dyDescent="0.2">
      <c r="A12610">
        <v>12798</v>
      </c>
    </row>
    <row r="12611" spans="1:1" x14ac:dyDescent="0.2">
      <c r="A12611">
        <v>12799</v>
      </c>
    </row>
    <row r="12612" spans="1:1" x14ac:dyDescent="0.2">
      <c r="A12612">
        <v>12800</v>
      </c>
    </row>
    <row r="12613" spans="1:1" x14ac:dyDescent="0.2">
      <c r="A12613">
        <v>12801</v>
      </c>
    </row>
    <row r="12614" spans="1:1" x14ac:dyDescent="0.2">
      <c r="A12614">
        <v>12802</v>
      </c>
    </row>
    <row r="12615" spans="1:1" x14ac:dyDescent="0.2">
      <c r="A12615">
        <v>12803</v>
      </c>
    </row>
    <row r="12616" spans="1:1" x14ac:dyDescent="0.2">
      <c r="A12616">
        <v>12804</v>
      </c>
    </row>
    <row r="12617" spans="1:1" x14ac:dyDescent="0.2">
      <c r="A12617">
        <v>12805</v>
      </c>
    </row>
    <row r="12618" spans="1:1" x14ac:dyDescent="0.2">
      <c r="A12618">
        <v>12806</v>
      </c>
    </row>
    <row r="12619" spans="1:1" x14ac:dyDescent="0.2">
      <c r="A12619">
        <v>12807</v>
      </c>
    </row>
    <row r="12620" spans="1:1" x14ac:dyDescent="0.2">
      <c r="A12620">
        <v>12808</v>
      </c>
    </row>
    <row r="12621" spans="1:1" x14ac:dyDescent="0.2">
      <c r="A12621">
        <v>12809</v>
      </c>
    </row>
    <row r="12622" spans="1:1" x14ac:dyDescent="0.2">
      <c r="A12622">
        <v>12810</v>
      </c>
    </row>
    <row r="12623" spans="1:1" x14ac:dyDescent="0.2">
      <c r="A12623">
        <v>12811</v>
      </c>
    </row>
    <row r="12624" spans="1:1" x14ac:dyDescent="0.2">
      <c r="A12624">
        <v>12812</v>
      </c>
    </row>
    <row r="12625" spans="1:1" x14ac:dyDescent="0.2">
      <c r="A12625">
        <v>12813</v>
      </c>
    </row>
    <row r="12626" spans="1:1" x14ac:dyDescent="0.2">
      <c r="A12626">
        <v>12814</v>
      </c>
    </row>
    <row r="12627" spans="1:1" x14ac:dyDescent="0.2">
      <c r="A12627">
        <v>12815</v>
      </c>
    </row>
    <row r="12628" spans="1:1" x14ac:dyDescent="0.2">
      <c r="A12628">
        <v>12816</v>
      </c>
    </row>
    <row r="12629" spans="1:1" x14ac:dyDescent="0.2">
      <c r="A12629">
        <v>12817</v>
      </c>
    </row>
    <row r="12630" spans="1:1" x14ac:dyDescent="0.2">
      <c r="A12630">
        <v>12818</v>
      </c>
    </row>
    <row r="12631" spans="1:1" x14ac:dyDescent="0.2">
      <c r="A12631">
        <v>12819</v>
      </c>
    </row>
    <row r="12632" spans="1:1" x14ac:dyDescent="0.2">
      <c r="A12632">
        <v>12820</v>
      </c>
    </row>
    <row r="12633" spans="1:1" x14ac:dyDescent="0.2">
      <c r="A12633">
        <v>12821</v>
      </c>
    </row>
    <row r="12634" spans="1:1" x14ac:dyDescent="0.2">
      <c r="A12634">
        <v>12822</v>
      </c>
    </row>
    <row r="12635" spans="1:1" x14ac:dyDescent="0.2">
      <c r="A12635">
        <v>12823</v>
      </c>
    </row>
    <row r="12636" spans="1:1" x14ac:dyDescent="0.2">
      <c r="A12636">
        <v>12824</v>
      </c>
    </row>
    <row r="12637" spans="1:1" x14ac:dyDescent="0.2">
      <c r="A12637">
        <v>12825</v>
      </c>
    </row>
    <row r="12638" spans="1:1" x14ac:dyDescent="0.2">
      <c r="A12638">
        <v>12826</v>
      </c>
    </row>
    <row r="12639" spans="1:1" x14ac:dyDescent="0.2">
      <c r="A12639">
        <v>12827</v>
      </c>
    </row>
    <row r="12640" spans="1:1" x14ac:dyDescent="0.2">
      <c r="A12640">
        <v>12828</v>
      </c>
    </row>
    <row r="12641" spans="1:1" x14ac:dyDescent="0.2">
      <c r="A12641">
        <v>12829</v>
      </c>
    </row>
    <row r="12642" spans="1:1" x14ac:dyDescent="0.2">
      <c r="A12642">
        <v>12830</v>
      </c>
    </row>
    <row r="12643" spans="1:1" x14ac:dyDescent="0.2">
      <c r="A12643">
        <v>12831</v>
      </c>
    </row>
    <row r="12644" spans="1:1" x14ac:dyDescent="0.2">
      <c r="A12644">
        <v>12832</v>
      </c>
    </row>
    <row r="12645" spans="1:1" x14ac:dyDescent="0.2">
      <c r="A12645">
        <v>12833</v>
      </c>
    </row>
    <row r="12646" spans="1:1" x14ac:dyDescent="0.2">
      <c r="A12646">
        <v>12834</v>
      </c>
    </row>
    <row r="12647" spans="1:1" x14ac:dyDescent="0.2">
      <c r="A12647">
        <v>12835</v>
      </c>
    </row>
    <row r="12648" spans="1:1" x14ac:dyDescent="0.2">
      <c r="A12648">
        <v>12836</v>
      </c>
    </row>
    <row r="12649" spans="1:1" x14ac:dyDescent="0.2">
      <c r="A12649">
        <v>12837</v>
      </c>
    </row>
    <row r="12650" spans="1:1" x14ac:dyDescent="0.2">
      <c r="A12650">
        <v>12838</v>
      </c>
    </row>
    <row r="12651" spans="1:1" x14ac:dyDescent="0.2">
      <c r="A12651">
        <v>12839</v>
      </c>
    </row>
    <row r="12652" spans="1:1" x14ac:dyDescent="0.2">
      <c r="A12652">
        <v>12840</v>
      </c>
    </row>
    <row r="12653" spans="1:1" x14ac:dyDescent="0.2">
      <c r="A12653">
        <v>12841</v>
      </c>
    </row>
    <row r="12654" spans="1:1" x14ac:dyDescent="0.2">
      <c r="A12654">
        <v>12842</v>
      </c>
    </row>
    <row r="12655" spans="1:1" x14ac:dyDescent="0.2">
      <c r="A12655">
        <v>12843</v>
      </c>
    </row>
    <row r="12656" spans="1:1" x14ac:dyDescent="0.2">
      <c r="A12656">
        <v>12844</v>
      </c>
    </row>
    <row r="12657" spans="1:1" x14ac:dyDescent="0.2">
      <c r="A12657">
        <v>12845</v>
      </c>
    </row>
    <row r="12658" spans="1:1" x14ac:dyDescent="0.2">
      <c r="A12658">
        <v>12846</v>
      </c>
    </row>
    <row r="12659" spans="1:1" x14ac:dyDescent="0.2">
      <c r="A12659">
        <v>12847</v>
      </c>
    </row>
    <row r="12660" spans="1:1" x14ac:dyDescent="0.2">
      <c r="A12660">
        <v>12848</v>
      </c>
    </row>
    <row r="12661" spans="1:1" x14ac:dyDescent="0.2">
      <c r="A12661">
        <v>12849</v>
      </c>
    </row>
    <row r="12662" spans="1:1" x14ac:dyDescent="0.2">
      <c r="A12662">
        <v>12850</v>
      </c>
    </row>
    <row r="12663" spans="1:1" x14ac:dyDescent="0.2">
      <c r="A12663">
        <v>12851</v>
      </c>
    </row>
    <row r="12664" spans="1:1" x14ac:dyDescent="0.2">
      <c r="A12664">
        <v>12852</v>
      </c>
    </row>
    <row r="12665" spans="1:1" x14ac:dyDescent="0.2">
      <c r="A12665">
        <v>12853</v>
      </c>
    </row>
    <row r="12666" spans="1:1" x14ac:dyDescent="0.2">
      <c r="A12666">
        <v>12854</v>
      </c>
    </row>
    <row r="12667" spans="1:1" x14ac:dyDescent="0.2">
      <c r="A12667">
        <v>12855</v>
      </c>
    </row>
    <row r="12668" spans="1:1" x14ac:dyDescent="0.2">
      <c r="A12668">
        <v>12856</v>
      </c>
    </row>
    <row r="12669" spans="1:1" x14ac:dyDescent="0.2">
      <c r="A12669">
        <v>12857</v>
      </c>
    </row>
    <row r="12670" spans="1:1" x14ac:dyDescent="0.2">
      <c r="A12670">
        <v>12858</v>
      </c>
    </row>
    <row r="12671" spans="1:1" x14ac:dyDescent="0.2">
      <c r="A12671">
        <v>12859</v>
      </c>
    </row>
    <row r="12672" spans="1:1" x14ac:dyDescent="0.2">
      <c r="A12672">
        <v>12860</v>
      </c>
    </row>
    <row r="12673" spans="1:1" x14ac:dyDescent="0.2">
      <c r="A12673">
        <v>12861</v>
      </c>
    </row>
    <row r="12674" spans="1:1" x14ac:dyDescent="0.2">
      <c r="A12674">
        <v>12862</v>
      </c>
    </row>
    <row r="12675" spans="1:1" x14ac:dyDescent="0.2">
      <c r="A12675">
        <v>12863</v>
      </c>
    </row>
    <row r="12676" spans="1:1" x14ac:dyDescent="0.2">
      <c r="A12676">
        <v>12864</v>
      </c>
    </row>
    <row r="12677" spans="1:1" x14ac:dyDescent="0.2">
      <c r="A12677">
        <v>12865</v>
      </c>
    </row>
    <row r="12678" spans="1:1" x14ac:dyDescent="0.2">
      <c r="A12678">
        <v>12866</v>
      </c>
    </row>
    <row r="12679" spans="1:1" x14ac:dyDescent="0.2">
      <c r="A12679">
        <v>12867</v>
      </c>
    </row>
    <row r="12680" spans="1:1" x14ac:dyDescent="0.2">
      <c r="A12680">
        <v>12868</v>
      </c>
    </row>
    <row r="12681" spans="1:1" x14ac:dyDescent="0.2">
      <c r="A12681">
        <v>12869</v>
      </c>
    </row>
    <row r="12682" spans="1:1" x14ac:dyDescent="0.2">
      <c r="A12682">
        <v>12870</v>
      </c>
    </row>
    <row r="12683" spans="1:1" x14ac:dyDescent="0.2">
      <c r="A12683">
        <v>12871</v>
      </c>
    </row>
    <row r="12684" spans="1:1" x14ac:dyDescent="0.2">
      <c r="A12684">
        <v>12872</v>
      </c>
    </row>
    <row r="12685" spans="1:1" x14ac:dyDescent="0.2">
      <c r="A12685">
        <v>12873</v>
      </c>
    </row>
    <row r="12686" spans="1:1" x14ac:dyDescent="0.2">
      <c r="A12686">
        <v>12874</v>
      </c>
    </row>
    <row r="12687" spans="1:1" x14ac:dyDescent="0.2">
      <c r="A12687">
        <v>12875</v>
      </c>
    </row>
    <row r="12688" spans="1:1" x14ac:dyDescent="0.2">
      <c r="A12688">
        <v>12876</v>
      </c>
    </row>
    <row r="12689" spans="1:1" x14ac:dyDescent="0.2">
      <c r="A12689">
        <v>12877</v>
      </c>
    </row>
    <row r="12690" spans="1:1" x14ac:dyDescent="0.2">
      <c r="A12690">
        <v>12878</v>
      </c>
    </row>
    <row r="12691" spans="1:1" x14ac:dyDescent="0.2">
      <c r="A12691">
        <v>12879</v>
      </c>
    </row>
    <row r="12692" spans="1:1" x14ac:dyDescent="0.2">
      <c r="A12692">
        <v>12880</v>
      </c>
    </row>
    <row r="12693" spans="1:1" x14ac:dyDescent="0.2">
      <c r="A12693">
        <v>12881</v>
      </c>
    </row>
    <row r="12694" spans="1:1" x14ac:dyDescent="0.2">
      <c r="A12694">
        <v>12882</v>
      </c>
    </row>
    <row r="12695" spans="1:1" x14ac:dyDescent="0.2">
      <c r="A12695">
        <v>12883</v>
      </c>
    </row>
    <row r="12696" spans="1:1" x14ac:dyDescent="0.2">
      <c r="A12696">
        <v>12884</v>
      </c>
    </row>
    <row r="12697" spans="1:1" x14ac:dyDescent="0.2">
      <c r="A12697">
        <v>12885</v>
      </c>
    </row>
    <row r="12698" spans="1:1" x14ac:dyDescent="0.2">
      <c r="A12698">
        <v>12886</v>
      </c>
    </row>
    <row r="12699" spans="1:1" x14ac:dyDescent="0.2">
      <c r="A12699">
        <v>12887</v>
      </c>
    </row>
    <row r="12700" spans="1:1" x14ac:dyDescent="0.2">
      <c r="A12700">
        <v>12888</v>
      </c>
    </row>
    <row r="12701" spans="1:1" x14ac:dyDescent="0.2">
      <c r="A12701">
        <v>12889</v>
      </c>
    </row>
    <row r="12702" spans="1:1" x14ac:dyDescent="0.2">
      <c r="A12702">
        <v>12890</v>
      </c>
    </row>
    <row r="12703" spans="1:1" x14ac:dyDescent="0.2">
      <c r="A12703">
        <v>12891</v>
      </c>
    </row>
    <row r="12704" spans="1:1" x14ac:dyDescent="0.2">
      <c r="A12704">
        <v>12892</v>
      </c>
    </row>
    <row r="12705" spans="1:1" x14ac:dyDescent="0.2">
      <c r="A12705">
        <v>12893</v>
      </c>
    </row>
    <row r="12706" spans="1:1" x14ac:dyDescent="0.2">
      <c r="A12706">
        <v>12894</v>
      </c>
    </row>
    <row r="12707" spans="1:1" x14ac:dyDescent="0.2">
      <c r="A12707">
        <v>12895</v>
      </c>
    </row>
    <row r="12708" spans="1:1" x14ac:dyDescent="0.2">
      <c r="A12708">
        <v>12896</v>
      </c>
    </row>
    <row r="12709" spans="1:1" x14ac:dyDescent="0.2">
      <c r="A12709">
        <v>12897</v>
      </c>
    </row>
    <row r="12710" spans="1:1" x14ac:dyDescent="0.2">
      <c r="A12710">
        <v>12898</v>
      </c>
    </row>
    <row r="12711" spans="1:1" x14ac:dyDescent="0.2">
      <c r="A12711">
        <v>12899</v>
      </c>
    </row>
    <row r="12712" spans="1:1" x14ac:dyDescent="0.2">
      <c r="A12712">
        <v>12900</v>
      </c>
    </row>
    <row r="12713" spans="1:1" x14ac:dyDescent="0.2">
      <c r="A12713">
        <v>12901</v>
      </c>
    </row>
    <row r="12714" spans="1:1" x14ac:dyDescent="0.2">
      <c r="A12714">
        <v>12902</v>
      </c>
    </row>
    <row r="12715" spans="1:1" x14ac:dyDescent="0.2">
      <c r="A12715">
        <v>12903</v>
      </c>
    </row>
    <row r="12716" spans="1:1" x14ac:dyDescent="0.2">
      <c r="A12716">
        <v>12904</v>
      </c>
    </row>
    <row r="12717" spans="1:1" x14ac:dyDescent="0.2">
      <c r="A12717">
        <v>12905</v>
      </c>
    </row>
    <row r="12718" spans="1:1" x14ac:dyDescent="0.2">
      <c r="A12718">
        <v>12906</v>
      </c>
    </row>
    <row r="12719" spans="1:1" x14ac:dyDescent="0.2">
      <c r="A12719">
        <v>12907</v>
      </c>
    </row>
    <row r="12720" spans="1:1" x14ac:dyDescent="0.2">
      <c r="A12720">
        <v>12908</v>
      </c>
    </row>
    <row r="12721" spans="1:1" x14ac:dyDescent="0.2">
      <c r="A12721">
        <v>12909</v>
      </c>
    </row>
    <row r="12722" spans="1:1" x14ac:dyDescent="0.2">
      <c r="A12722">
        <v>12910</v>
      </c>
    </row>
    <row r="12723" spans="1:1" x14ac:dyDescent="0.2">
      <c r="A12723">
        <v>12911</v>
      </c>
    </row>
    <row r="12724" spans="1:1" x14ac:dyDescent="0.2">
      <c r="A12724">
        <v>12912</v>
      </c>
    </row>
    <row r="12725" spans="1:1" x14ac:dyDescent="0.2">
      <c r="A12725">
        <v>12913</v>
      </c>
    </row>
    <row r="12726" spans="1:1" x14ac:dyDescent="0.2">
      <c r="A12726">
        <v>12914</v>
      </c>
    </row>
    <row r="12727" spans="1:1" x14ac:dyDescent="0.2">
      <c r="A12727">
        <v>12915</v>
      </c>
    </row>
    <row r="12728" spans="1:1" x14ac:dyDescent="0.2">
      <c r="A12728">
        <v>12916</v>
      </c>
    </row>
    <row r="12729" spans="1:1" x14ac:dyDescent="0.2">
      <c r="A12729">
        <v>12917</v>
      </c>
    </row>
    <row r="12730" spans="1:1" x14ac:dyDescent="0.2">
      <c r="A12730">
        <v>12918</v>
      </c>
    </row>
    <row r="12731" spans="1:1" x14ac:dyDescent="0.2">
      <c r="A12731">
        <v>12919</v>
      </c>
    </row>
    <row r="12732" spans="1:1" x14ac:dyDescent="0.2">
      <c r="A12732">
        <v>12920</v>
      </c>
    </row>
    <row r="12733" spans="1:1" x14ac:dyDescent="0.2">
      <c r="A12733">
        <v>12921</v>
      </c>
    </row>
    <row r="12734" spans="1:1" x14ac:dyDescent="0.2">
      <c r="A12734">
        <v>12922</v>
      </c>
    </row>
    <row r="12735" spans="1:1" x14ac:dyDescent="0.2">
      <c r="A12735">
        <v>12923</v>
      </c>
    </row>
    <row r="12736" spans="1:1" x14ac:dyDescent="0.2">
      <c r="A12736">
        <v>12924</v>
      </c>
    </row>
    <row r="12737" spans="1:1" x14ac:dyDescent="0.2">
      <c r="A12737">
        <v>12925</v>
      </c>
    </row>
    <row r="12738" spans="1:1" x14ac:dyDescent="0.2">
      <c r="A12738">
        <v>12926</v>
      </c>
    </row>
    <row r="12739" spans="1:1" x14ac:dyDescent="0.2">
      <c r="A12739">
        <v>12927</v>
      </c>
    </row>
    <row r="12740" spans="1:1" x14ac:dyDescent="0.2">
      <c r="A12740">
        <v>12928</v>
      </c>
    </row>
    <row r="12741" spans="1:1" x14ac:dyDescent="0.2">
      <c r="A12741">
        <v>12929</v>
      </c>
    </row>
    <row r="12742" spans="1:1" x14ac:dyDescent="0.2">
      <c r="A12742">
        <v>12930</v>
      </c>
    </row>
    <row r="12743" spans="1:1" x14ac:dyDescent="0.2">
      <c r="A12743">
        <v>12931</v>
      </c>
    </row>
    <row r="12744" spans="1:1" x14ac:dyDescent="0.2">
      <c r="A12744">
        <v>12932</v>
      </c>
    </row>
    <row r="12745" spans="1:1" x14ac:dyDescent="0.2">
      <c r="A12745">
        <v>12933</v>
      </c>
    </row>
    <row r="12746" spans="1:1" x14ac:dyDescent="0.2">
      <c r="A12746">
        <v>12934</v>
      </c>
    </row>
    <row r="12747" spans="1:1" x14ac:dyDescent="0.2">
      <c r="A12747">
        <v>12935</v>
      </c>
    </row>
    <row r="12748" spans="1:1" x14ac:dyDescent="0.2">
      <c r="A12748">
        <v>12936</v>
      </c>
    </row>
    <row r="12749" spans="1:1" x14ac:dyDescent="0.2">
      <c r="A12749">
        <v>12937</v>
      </c>
    </row>
    <row r="12750" spans="1:1" x14ac:dyDescent="0.2">
      <c r="A12750">
        <v>12938</v>
      </c>
    </row>
    <row r="12751" spans="1:1" x14ac:dyDescent="0.2">
      <c r="A12751">
        <v>12939</v>
      </c>
    </row>
    <row r="12752" spans="1:1" x14ac:dyDescent="0.2">
      <c r="A12752">
        <v>12940</v>
      </c>
    </row>
    <row r="12753" spans="1:1" x14ac:dyDescent="0.2">
      <c r="A12753">
        <v>12941</v>
      </c>
    </row>
    <row r="12754" spans="1:1" x14ac:dyDescent="0.2">
      <c r="A12754">
        <v>12942</v>
      </c>
    </row>
    <row r="12755" spans="1:1" x14ac:dyDescent="0.2">
      <c r="A12755">
        <v>12943</v>
      </c>
    </row>
    <row r="12756" spans="1:1" x14ac:dyDescent="0.2">
      <c r="A12756">
        <v>12944</v>
      </c>
    </row>
    <row r="12757" spans="1:1" x14ac:dyDescent="0.2">
      <c r="A12757">
        <v>12945</v>
      </c>
    </row>
    <row r="12758" spans="1:1" x14ac:dyDescent="0.2">
      <c r="A12758">
        <v>12946</v>
      </c>
    </row>
    <row r="12759" spans="1:1" x14ac:dyDescent="0.2">
      <c r="A12759">
        <v>12947</v>
      </c>
    </row>
    <row r="12760" spans="1:1" x14ac:dyDescent="0.2">
      <c r="A12760">
        <v>12948</v>
      </c>
    </row>
    <row r="12761" spans="1:1" x14ac:dyDescent="0.2">
      <c r="A12761">
        <v>12949</v>
      </c>
    </row>
    <row r="12762" spans="1:1" x14ac:dyDescent="0.2">
      <c r="A12762">
        <v>12950</v>
      </c>
    </row>
    <row r="12763" spans="1:1" x14ac:dyDescent="0.2">
      <c r="A12763">
        <v>12951</v>
      </c>
    </row>
    <row r="12764" spans="1:1" x14ac:dyDescent="0.2">
      <c r="A12764">
        <v>12952</v>
      </c>
    </row>
    <row r="12765" spans="1:1" x14ac:dyDescent="0.2">
      <c r="A12765">
        <v>12953</v>
      </c>
    </row>
    <row r="12766" spans="1:1" x14ac:dyDescent="0.2">
      <c r="A12766">
        <v>12954</v>
      </c>
    </row>
    <row r="12767" spans="1:1" x14ac:dyDescent="0.2">
      <c r="A12767">
        <v>12955</v>
      </c>
    </row>
    <row r="12768" spans="1:1" x14ac:dyDescent="0.2">
      <c r="A12768">
        <v>12956</v>
      </c>
    </row>
    <row r="12769" spans="1:1" x14ac:dyDescent="0.2">
      <c r="A12769">
        <v>12957</v>
      </c>
    </row>
    <row r="12770" spans="1:1" x14ac:dyDescent="0.2">
      <c r="A12770">
        <v>12958</v>
      </c>
    </row>
    <row r="12771" spans="1:1" x14ac:dyDescent="0.2">
      <c r="A12771">
        <v>12959</v>
      </c>
    </row>
    <row r="12772" spans="1:1" x14ac:dyDescent="0.2">
      <c r="A12772">
        <v>12960</v>
      </c>
    </row>
    <row r="12773" spans="1:1" x14ac:dyDescent="0.2">
      <c r="A12773">
        <v>12961</v>
      </c>
    </row>
    <row r="12774" spans="1:1" x14ac:dyDescent="0.2">
      <c r="A12774">
        <v>12962</v>
      </c>
    </row>
    <row r="12775" spans="1:1" x14ac:dyDescent="0.2">
      <c r="A12775">
        <v>12963</v>
      </c>
    </row>
    <row r="12776" spans="1:1" x14ac:dyDescent="0.2">
      <c r="A12776">
        <v>12964</v>
      </c>
    </row>
    <row r="12777" spans="1:1" x14ac:dyDescent="0.2">
      <c r="A12777">
        <v>12965</v>
      </c>
    </row>
    <row r="12778" spans="1:1" x14ac:dyDescent="0.2">
      <c r="A12778">
        <v>12966</v>
      </c>
    </row>
    <row r="12779" spans="1:1" x14ac:dyDescent="0.2">
      <c r="A12779">
        <v>12967</v>
      </c>
    </row>
    <row r="12780" spans="1:1" x14ac:dyDescent="0.2">
      <c r="A12780">
        <v>12968</v>
      </c>
    </row>
    <row r="12781" spans="1:1" x14ac:dyDescent="0.2">
      <c r="A12781">
        <v>12969</v>
      </c>
    </row>
    <row r="12782" spans="1:1" x14ac:dyDescent="0.2">
      <c r="A12782">
        <v>12970</v>
      </c>
    </row>
    <row r="12783" spans="1:1" x14ac:dyDescent="0.2">
      <c r="A12783">
        <v>12971</v>
      </c>
    </row>
    <row r="12784" spans="1:1" x14ac:dyDescent="0.2">
      <c r="A12784">
        <v>12972</v>
      </c>
    </row>
    <row r="12785" spans="1:1" x14ac:dyDescent="0.2">
      <c r="A12785">
        <v>12973</v>
      </c>
    </row>
    <row r="12786" spans="1:1" x14ac:dyDescent="0.2">
      <c r="A12786">
        <v>12974</v>
      </c>
    </row>
    <row r="12787" spans="1:1" x14ac:dyDescent="0.2">
      <c r="A12787">
        <v>12975</v>
      </c>
    </row>
    <row r="12788" spans="1:1" x14ac:dyDescent="0.2">
      <c r="A12788">
        <v>12976</v>
      </c>
    </row>
    <row r="12789" spans="1:1" x14ac:dyDescent="0.2">
      <c r="A12789">
        <v>12977</v>
      </c>
    </row>
    <row r="12790" spans="1:1" x14ac:dyDescent="0.2">
      <c r="A12790">
        <v>12978</v>
      </c>
    </row>
    <row r="12791" spans="1:1" x14ac:dyDescent="0.2">
      <c r="A12791">
        <v>12979</v>
      </c>
    </row>
    <row r="12792" spans="1:1" x14ac:dyDescent="0.2">
      <c r="A12792">
        <v>12980</v>
      </c>
    </row>
    <row r="12793" spans="1:1" x14ac:dyDescent="0.2">
      <c r="A12793">
        <v>12981</v>
      </c>
    </row>
    <row r="12794" spans="1:1" x14ac:dyDescent="0.2">
      <c r="A12794">
        <v>12982</v>
      </c>
    </row>
    <row r="12795" spans="1:1" x14ac:dyDescent="0.2">
      <c r="A12795">
        <v>12983</v>
      </c>
    </row>
    <row r="12796" spans="1:1" x14ac:dyDescent="0.2">
      <c r="A12796">
        <v>12984</v>
      </c>
    </row>
    <row r="12797" spans="1:1" x14ac:dyDescent="0.2">
      <c r="A12797">
        <v>12985</v>
      </c>
    </row>
    <row r="12798" spans="1:1" x14ac:dyDescent="0.2">
      <c r="A12798">
        <v>12986</v>
      </c>
    </row>
    <row r="12799" spans="1:1" x14ac:dyDescent="0.2">
      <c r="A12799">
        <v>12987</v>
      </c>
    </row>
    <row r="12800" spans="1:1" x14ac:dyDescent="0.2">
      <c r="A12800">
        <v>12988</v>
      </c>
    </row>
    <row r="12801" spans="1:1" x14ac:dyDescent="0.2">
      <c r="A12801">
        <v>12989</v>
      </c>
    </row>
    <row r="12802" spans="1:1" x14ac:dyDescent="0.2">
      <c r="A12802">
        <v>12990</v>
      </c>
    </row>
    <row r="12803" spans="1:1" x14ac:dyDescent="0.2">
      <c r="A12803">
        <v>12991</v>
      </c>
    </row>
    <row r="12804" spans="1:1" x14ac:dyDescent="0.2">
      <c r="A12804">
        <v>12992</v>
      </c>
    </row>
    <row r="12805" spans="1:1" x14ac:dyDescent="0.2">
      <c r="A12805">
        <v>12993</v>
      </c>
    </row>
    <row r="12806" spans="1:1" x14ac:dyDescent="0.2">
      <c r="A12806">
        <v>12994</v>
      </c>
    </row>
    <row r="12807" spans="1:1" x14ac:dyDescent="0.2">
      <c r="A12807">
        <v>12995</v>
      </c>
    </row>
    <row r="12808" spans="1:1" x14ac:dyDescent="0.2">
      <c r="A12808">
        <v>12996</v>
      </c>
    </row>
    <row r="12809" spans="1:1" x14ac:dyDescent="0.2">
      <c r="A12809">
        <v>12997</v>
      </c>
    </row>
    <row r="12810" spans="1:1" x14ac:dyDescent="0.2">
      <c r="A12810">
        <v>12998</v>
      </c>
    </row>
    <row r="12811" spans="1:1" x14ac:dyDescent="0.2">
      <c r="A12811">
        <v>12999</v>
      </c>
    </row>
    <row r="12812" spans="1:1" x14ac:dyDescent="0.2">
      <c r="A12812">
        <v>13000</v>
      </c>
    </row>
    <row r="12813" spans="1:1" x14ac:dyDescent="0.2">
      <c r="A12813">
        <v>13001</v>
      </c>
    </row>
    <row r="12814" spans="1:1" x14ac:dyDescent="0.2">
      <c r="A12814">
        <v>13002</v>
      </c>
    </row>
    <row r="12815" spans="1:1" x14ac:dyDescent="0.2">
      <c r="A12815">
        <v>13003</v>
      </c>
    </row>
    <row r="12816" spans="1:1" x14ac:dyDescent="0.2">
      <c r="A12816">
        <v>13004</v>
      </c>
    </row>
    <row r="12817" spans="1:1" x14ac:dyDescent="0.2">
      <c r="A12817">
        <v>13005</v>
      </c>
    </row>
    <row r="12818" spans="1:1" x14ac:dyDescent="0.2">
      <c r="A12818">
        <v>13006</v>
      </c>
    </row>
    <row r="12819" spans="1:1" x14ac:dyDescent="0.2">
      <c r="A12819">
        <v>13007</v>
      </c>
    </row>
    <row r="12820" spans="1:1" x14ac:dyDescent="0.2">
      <c r="A12820">
        <v>13008</v>
      </c>
    </row>
    <row r="12821" spans="1:1" x14ac:dyDescent="0.2">
      <c r="A12821">
        <v>13009</v>
      </c>
    </row>
    <row r="12822" spans="1:1" x14ac:dyDescent="0.2">
      <c r="A12822">
        <v>13010</v>
      </c>
    </row>
    <row r="12823" spans="1:1" x14ac:dyDescent="0.2">
      <c r="A12823">
        <v>13011</v>
      </c>
    </row>
    <row r="12824" spans="1:1" x14ac:dyDescent="0.2">
      <c r="A12824">
        <v>13012</v>
      </c>
    </row>
    <row r="12825" spans="1:1" x14ac:dyDescent="0.2">
      <c r="A12825">
        <v>13013</v>
      </c>
    </row>
    <row r="12826" spans="1:1" x14ac:dyDescent="0.2">
      <c r="A12826">
        <v>13014</v>
      </c>
    </row>
    <row r="12827" spans="1:1" x14ac:dyDescent="0.2">
      <c r="A12827">
        <v>13015</v>
      </c>
    </row>
    <row r="12828" spans="1:1" x14ac:dyDescent="0.2">
      <c r="A12828">
        <v>13016</v>
      </c>
    </row>
    <row r="12829" spans="1:1" x14ac:dyDescent="0.2">
      <c r="A12829">
        <v>13017</v>
      </c>
    </row>
    <row r="12830" spans="1:1" x14ac:dyDescent="0.2">
      <c r="A12830">
        <v>13018</v>
      </c>
    </row>
    <row r="12831" spans="1:1" x14ac:dyDescent="0.2">
      <c r="A12831">
        <v>13019</v>
      </c>
    </row>
    <row r="12832" spans="1:1" x14ac:dyDescent="0.2">
      <c r="A12832">
        <v>13020</v>
      </c>
    </row>
    <row r="12833" spans="1:1" x14ac:dyDescent="0.2">
      <c r="A12833">
        <v>13021</v>
      </c>
    </row>
    <row r="12834" spans="1:1" x14ac:dyDescent="0.2">
      <c r="A12834">
        <v>13022</v>
      </c>
    </row>
    <row r="12835" spans="1:1" x14ac:dyDescent="0.2">
      <c r="A12835">
        <v>13023</v>
      </c>
    </row>
    <row r="12836" spans="1:1" x14ac:dyDescent="0.2">
      <c r="A12836">
        <v>13024</v>
      </c>
    </row>
    <row r="12837" spans="1:1" x14ac:dyDescent="0.2">
      <c r="A12837">
        <v>13025</v>
      </c>
    </row>
    <row r="12838" spans="1:1" x14ac:dyDescent="0.2">
      <c r="A12838">
        <v>13026</v>
      </c>
    </row>
    <row r="12839" spans="1:1" x14ac:dyDescent="0.2">
      <c r="A12839">
        <v>13027</v>
      </c>
    </row>
    <row r="12840" spans="1:1" x14ac:dyDescent="0.2">
      <c r="A12840">
        <v>13028</v>
      </c>
    </row>
    <row r="12841" spans="1:1" x14ac:dyDescent="0.2">
      <c r="A12841">
        <v>13029</v>
      </c>
    </row>
    <row r="12842" spans="1:1" x14ac:dyDescent="0.2">
      <c r="A12842">
        <v>13030</v>
      </c>
    </row>
    <row r="12843" spans="1:1" x14ac:dyDescent="0.2">
      <c r="A12843">
        <v>13031</v>
      </c>
    </row>
    <row r="12844" spans="1:1" x14ac:dyDescent="0.2">
      <c r="A12844">
        <v>13032</v>
      </c>
    </row>
    <row r="12845" spans="1:1" x14ac:dyDescent="0.2">
      <c r="A12845">
        <v>13033</v>
      </c>
    </row>
    <row r="12846" spans="1:1" x14ac:dyDescent="0.2">
      <c r="A12846">
        <v>13034</v>
      </c>
    </row>
    <row r="12847" spans="1:1" x14ac:dyDescent="0.2">
      <c r="A12847">
        <v>13035</v>
      </c>
    </row>
    <row r="12848" spans="1:1" x14ac:dyDescent="0.2">
      <c r="A12848">
        <v>13036</v>
      </c>
    </row>
    <row r="12849" spans="1:1" x14ac:dyDescent="0.2">
      <c r="A12849">
        <v>13037</v>
      </c>
    </row>
    <row r="12850" spans="1:1" x14ac:dyDescent="0.2">
      <c r="A12850">
        <v>13038</v>
      </c>
    </row>
    <row r="12851" spans="1:1" x14ac:dyDescent="0.2">
      <c r="A12851">
        <v>13039</v>
      </c>
    </row>
    <row r="12852" spans="1:1" x14ac:dyDescent="0.2">
      <c r="A12852">
        <v>13040</v>
      </c>
    </row>
    <row r="12853" spans="1:1" x14ac:dyDescent="0.2">
      <c r="A12853">
        <v>13041</v>
      </c>
    </row>
    <row r="12854" spans="1:1" x14ac:dyDescent="0.2">
      <c r="A12854">
        <v>13042</v>
      </c>
    </row>
    <row r="12855" spans="1:1" x14ac:dyDescent="0.2">
      <c r="A12855">
        <v>13043</v>
      </c>
    </row>
    <row r="12856" spans="1:1" x14ac:dyDescent="0.2">
      <c r="A12856">
        <v>13044</v>
      </c>
    </row>
    <row r="12857" spans="1:1" x14ac:dyDescent="0.2">
      <c r="A12857">
        <v>13045</v>
      </c>
    </row>
    <row r="12858" spans="1:1" x14ac:dyDescent="0.2">
      <c r="A12858">
        <v>13046</v>
      </c>
    </row>
    <row r="12859" spans="1:1" x14ac:dyDescent="0.2">
      <c r="A12859">
        <v>13047</v>
      </c>
    </row>
    <row r="12860" spans="1:1" x14ac:dyDescent="0.2">
      <c r="A12860">
        <v>13048</v>
      </c>
    </row>
    <row r="12861" spans="1:1" x14ac:dyDescent="0.2">
      <c r="A12861">
        <v>13049</v>
      </c>
    </row>
    <row r="12862" spans="1:1" x14ac:dyDescent="0.2">
      <c r="A12862">
        <v>13050</v>
      </c>
    </row>
    <row r="12863" spans="1:1" x14ac:dyDescent="0.2">
      <c r="A12863">
        <v>13051</v>
      </c>
    </row>
    <row r="12864" spans="1:1" x14ac:dyDescent="0.2">
      <c r="A12864">
        <v>13052</v>
      </c>
    </row>
    <row r="12865" spans="1:1" x14ac:dyDescent="0.2">
      <c r="A12865">
        <v>13053</v>
      </c>
    </row>
    <row r="12866" spans="1:1" x14ac:dyDescent="0.2">
      <c r="A12866">
        <v>13054</v>
      </c>
    </row>
    <row r="12867" spans="1:1" x14ac:dyDescent="0.2">
      <c r="A12867">
        <v>13055</v>
      </c>
    </row>
    <row r="12868" spans="1:1" x14ac:dyDescent="0.2">
      <c r="A12868">
        <v>13056</v>
      </c>
    </row>
    <row r="12869" spans="1:1" x14ac:dyDescent="0.2">
      <c r="A12869">
        <v>13057</v>
      </c>
    </row>
    <row r="12870" spans="1:1" x14ac:dyDescent="0.2">
      <c r="A12870">
        <v>13058</v>
      </c>
    </row>
    <row r="12871" spans="1:1" x14ac:dyDescent="0.2">
      <c r="A12871">
        <v>13059</v>
      </c>
    </row>
    <row r="12872" spans="1:1" x14ac:dyDescent="0.2">
      <c r="A12872">
        <v>13060</v>
      </c>
    </row>
    <row r="12873" spans="1:1" x14ac:dyDescent="0.2">
      <c r="A12873">
        <v>13061</v>
      </c>
    </row>
    <row r="12874" spans="1:1" x14ac:dyDescent="0.2">
      <c r="A12874">
        <v>13062</v>
      </c>
    </row>
    <row r="12875" spans="1:1" x14ac:dyDescent="0.2">
      <c r="A12875">
        <v>13063</v>
      </c>
    </row>
    <row r="12876" spans="1:1" x14ac:dyDescent="0.2">
      <c r="A12876">
        <v>13064</v>
      </c>
    </row>
    <row r="12877" spans="1:1" x14ac:dyDescent="0.2">
      <c r="A12877">
        <v>13065</v>
      </c>
    </row>
    <row r="12878" spans="1:1" x14ac:dyDescent="0.2">
      <c r="A12878">
        <v>13066</v>
      </c>
    </row>
    <row r="12879" spans="1:1" x14ac:dyDescent="0.2">
      <c r="A12879">
        <v>13067</v>
      </c>
    </row>
    <row r="12880" spans="1:1" x14ac:dyDescent="0.2">
      <c r="A12880">
        <v>13068</v>
      </c>
    </row>
    <row r="12881" spans="1:1" x14ac:dyDescent="0.2">
      <c r="A12881">
        <v>13069</v>
      </c>
    </row>
    <row r="12882" spans="1:1" x14ac:dyDescent="0.2">
      <c r="A12882">
        <v>13070</v>
      </c>
    </row>
    <row r="12883" spans="1:1" x14ac:dyDescent="0.2">
      <c r="A12883">
        <v>13071</v>
      </c>
    </row>
    <row r="12884" spans="1:1" x14ac:dyDescent="0.2">
      <c r="A12884">
        <v>13072</v>
      </c>
    </row>
    <row r="12885" spans="1:1" x14ac:dyDescent="0.2">
      <c r="A12885">
        <v>13073</v>
      </c>
    </row>
    <row r="12886" spans="1:1" x14ac:dyDescent="0.2">
      <c r="A12886">
        <v>13074</v>
      </c>
    </row>
    <row r="12887" spans="1:1" x14ac:dyDescent="0.2">
      <c r="A12887">
        <v>13075</v>
      </c>
    </row>
    <row r="12888" spans="1:1" x14ac:dyDescent="0.2">
      <c r="A12888">
        <v>13076</v>
      </c>
    </row>
    <row r="12889" spans="1:1" x14ac:dyDescent="0.2">
      <c r="A12889">
        <v>13077</v>
      </c>
    </row>
    <row r="12890" spans="1:1" x14ac:dyDescent="0.2">
      <c r="A12890">
        <v>13078</v>
      </c>
    </row>
    <row r="12891" spans="1:1" x14ac:dyDescent="0.2">
      <c r="A12891">
        <v>13079</v>
      </c>
    </row>
    <row r="12892" spans="1:1" x14ac:dyDescent="0.2">
      <c r="A12892">
        <v>13080</v>
      </c>
    </row>
    <row r="12893" spans="1:1" x14ac:dyDescent="0.2">
      <c r="A12893">
        <v>13081</v>
      </c>
    </row>
    <row r="12894" spans="1:1" x14ac:dyDescent="0.2">
      <c r="A12894">
        <v>13082</v>
      </c>
    </row>
    <row r="12895" spans="1:1" x14ac:dyDescent="0.2">
      <c r="A12895">
        <v>13083</v>
      </c>
    </row>
    <row r="12896" spans="1:1" x14ac:dyDescent="0.2">
      <c r="A12896">
        <v>13084</v>
      </c>
    </row>
    <row r="12897" spans="1:1" x14ac:dyDescent="0.2">
      <c r="A12897">
        <v>13085</v>
      </c>
    </row>
    <row r="12898" spans="1:1" x14ac:dyDescent="0.2">
      <c r="A12898">
        <v>13086</v>
      </c>
    </row>
    <row r="12899" spans="1:1" x14ac:dyDescent="0.2">
      <c r="A12899">
        <v>13087</v>
      </c>
    </row>
    <row r="12900" spans="1:1" x14ac:dyDescent="0.2">
      <c r="A12900">
        <v>13088</v>
      </c>
    </row>
    <row r="12901" spans="1:1" x14ac:dyDescent="0.2">
      <c r="A12901">
        <v>13089</v>
      </c>
    </row>
    <row r="12902" spans="1:1" x14ac:dyDescent="0.2">
      <c r="A12902">
        <v>13090</v>
      </c>
    </row>
    <row r="12903" spans="1:1" x14ac:dyDescent="0.2">
      <c r="A12903">
        <v>13091</v>
      </c>
    </row>
    <row r="12904" spans="1:1" x14ac:dyDescent="0.2">
      <c r="A12904">
        <v>13092</v>
      </c>
    </row>
    <row r="12905" spans="1:1" x14ac:dyDescent="0.2">
      <c r="A12905">
        <v>13093</v>
      </c>
    </row>
    <row r="12906" spans="1:1" x14ac:dyDescent="0.2">
      <c r="A12906">
        <v>13094</v>
      </c>
    </row>
    <row r="12907" spans="1:1" x14ac:dyDescent="0.2">
      <c r="A12907">
        <v>13095</v>
      </c>
    </row>
    <row r="12908" spans="1:1" x14ac:dyDescent="0.2">
      <c r="A12908">
        <v>13096</v>
      </c>
    </row>
    <row r="12909" spans="1:1" x14ac:dyDescent="0.2">
      <c r="A12909">
        <v>13097</v>
      </c>
    </row>
    <row r="12910" spans="1:1" x14ac:dyDescent="0.2">
      <c r="A12910">
        <v>13098</v>
      </c>
    </row>
    <row r="12911" spans="1:1" x14ac:dyDescent="0.2">
      <c r="A12911">
        <v>13099</v>
      </c>
    </row>
    <row r="12912" spans="1:1" x14ac:dyDescent="0.2">
      <c r="A12912">
        <v>13100</v>
      </c>
    </row>
    <row r="12913" spans="1:1" x14ac:dyDescent="0.2">
      <c r="A12913">
        <v>13101</v>
      </c>
    </row>
    <row r="12914" spans="1:1" x14ac:dyDescent="0.2">
      <c r="A12914">
        <v>13102</v>
      </c>
    </row>
    <row r="12915" spans="1:1" x14ac:dyDescent="0.2">
      <c r="A12915">
        <v>13103</v>
      </c>
    </row>
    <row r="12916" spans="1:1" x14ac:dyDescent="0.2">
      <c r="A12916">
        <v>13104</v>
      </c>
    </row>
    <row r="12917" spans="1:1" x14ac:dyDescent="0.2">
      <c r="A12917">
        <v>13105</v>
      </c>
    </row>
    <row r="12918" spans="1:1" x14ac:dyDescent="0.2">
      <c r="A12918">
        <v>13106</v>
      </c>
    </row>
    <row r="12919" spans="1:1" x14ac:dyDescent="0.2">
      <c r="A12919">
        <v>13107</v>
      </c>
    </row>
    <row r="12920" spans="1:1" x14ac:dyDescent="0.2">
      <c r="A12920">
        <v>13108</v>
      </c>
    </row>
    <row r="12921" spans="1:1" x14ac:dyDescent="0.2">
      <c r="A12921">
        <v>13109</v>
      </c>
    </row>
    <row r="12922" spans="1:1" x14ac:dyDescent="0.2">
      <c r="A12922">
        <v>13110</v>
      </c>
    </row>
    <row r="12923" spans="1:1" x14ac:dyDescent="0.2">
      <c r="A12923">
        <v>13111</v>
      </c>
    </row>
    <row r="12924" spans="1:1" x14ac:dyDescent="0.2">
      <c r="A12924">
        <v>13112</v>
      </c>
    </row>
    <row r="12925" spans="1:1" x14ac:dyDescent="0.2">
      <c r="A12925">
        <v>13113</v>
      </c>
    </row>
    <row r="12926" spans="1:1" x14ac:dyDescent="0.2">
      <c r="A12926">
        <v>13114</v>
      </c>
    </row>
    <row r="12927" spans="1:1" x14ac:dyDescent="0.2">
      <c r="A12927">
        <v>13115</v>
      </c>
    </row>
    <row r="12928" spans="1:1" x14ac:dyDescent="0.2">
      <c r="A12928">
        <v>13116</v>
      </c>
    </row>
    <row r="12929" spans="1:1" x14ac:dyDescent="0.2">
      <c r="A12929">
        <v>13117</v>
      </c>
    </row>
    <row r="12930" spans="1:1" x14ac:dyDescent="0.2">
      <c r="A12930">
        <v>13118</v>
      </c>
    </row>
    <row r="12931" spans="1:1" x14ac:dyDescent="0.2">
      <c r="A12931">
        <v>13119</v>
      </c>
    </row>
    <row r="12932" spans="1:1" x14ac:dyDescent="0.2">
      <c r="A12932">
        <v>13120</v>
      </c>
    </row>
    <row r="12933" spans="1:1" x14ac:dyDescent="0.2">
      <c r="A12933">
        <v>13121</v>
      </c>
    </row>
    <row r="12934" spans="1:1" x14ac:dyDescent="0.2">
      <c r="A12934">
        <v>13122</v>
      </c>
    </row>
    <row r="12935" spans="1:1" x14ac:dyDescent="0.2">
      <c r="A12935">
        <v>13123</v>
      </c>
    </row>
    <row r="12936" spans="1:1" x14ac:dyDescent="0.2">
      <c r="A12936">
        <v>13124</v>
      </c>
    </row>
    <row r="12937" spans="1:1" x14ac:dyDescent="0.2">
      <c r="A12937">
        <v>13125</v>
      </c>
    </row>
    <row r="12938" spans="1:1" x14ac:dyDescent="0.2">
      <c r="A12938">
        <v>13126</v>
      </c>
    </row>
    <row r="12939" spans="1:1" x14ac:dyDescent="0.2">
      <c r="A12939">
        <v>13127</v>
      </c>
    </row>
    <row r="12940" spans="1:1" x14ac:dyDescent="0.2">
      <c r="A12940">
        <v>13128</v>
      </c>
    </row>
    <row r="12941" spans="1:1" x14ac:dyDescent="0.2">
      <c r="A12941">
        <v>13129</v>
      </c>
    </row>
    <row r="12942" spans="1:1" x14ac:dyDescent="0.2">
      <c r="A12942">
        <v>13130</v>
      </c>
    </row>
    <row r="12943" spans="1:1" x14ac:dyDescent="0.2">
      <c r="A12943">
        <v>13131</v>
      </c>
    </row>
    <row r="12944" spans="1:1" x14ac:dyDescent="0.2">
      <c r="A12944">
        <v>13132</v>
      </c>
    </row>
    <row r="12945" spans="1:1" x14ac:dyDescent="0.2">
      <c r="A12945">
        <v>13133</v>
      </c>
    </row>
    <row r="12946" spans="1:1" x14ac:dyDescent="0.2">
      <c r="A12946">
        <v>13134</v>
      </c>
    </row>
    <row r="12947" spans="1:1" x14ac:dyDescent="0.2">
      <c r="A12947">
        <v>13135</v>
      </c>
    </row>
    <row r="12948" spans="1:1" x14ac:dyDescent="0.2">
      <c r="A12948">
        <v>13136</v>
      </c>
    </row>
    <row r="12949" spans="1:1" x14ac:dyDescent="0.2">
      <c r="A12949">
        <v>13137</v>
      </c>
    </row>
    <row r="12950" spans="1:1" x14ac:dyDescent="0.2">
      <c r="A12950">
        <v>13138</v>
      </c>
    </row>
    <row r="12951" spans="1:1" x14ac:dyDescent="0.2">
      <c r="A12951">
        <v>13139</v>
      </c>
    </row>
    <row r="12952" spans="1:1" x14ac:dyDescent="0.2">
      <c r="A12952">
        <v>13140</v>
      </c>
    </row>
    <row r="12953" spans="1:1" x14ac:dyDescent="0.2">
      <c r="A12953">
        <v>13141</v>
      </c>
    </row>
    <row r="12954" spans="1:1" x14ac:dyDescent="0.2">
      <c r="A12954">
        <v>13142</v>
      </c>
    </row>
    <row r="12955" spans="1:1" x14ac:dyDescent="0.2">
      <c r="A12955">
        <v>13143</v>
      </c>
    </row>
    <row r="12956" spans="1:1" x14ac:dyDescent="0.2">
      <c r="A12956">
        <v>13144</v>
      </c>
    </row>
    <row r="12957" spans="1:1" x14ac:dyDescent="0.2">
      <c r="A12957">
        <v>13145</v>
      </c>
    </row>
    <row r="12958" spans="1:1" x14ac:dyDescent="0.2">
      <c r="A12958">
        <v>13146</v>
      </c>
    </row>
    <row r="12959" spans="1:1" x14ac:dyDescent="0.2">
      <c r="A12959">
        <v>13147</v>
      </c>
    </row>
    <row r="12960" spans="1:1" x14ac:dyDescent="0.2">
      <c r="A12960">
        <v>13148</v>
      </c>
    </row>
    <row r="12961" spans="1:1" x14ac:dyDescent="0.2">
      <c r="A12961">
        <v>13149</v>
      </c>
    </row>
    <row r="12962" spans="1:1" x14ac:dyDescent="0.2">
      <c r="A12962">
        <v>13150</v>
      </c>
    </row>
    <row r="12963" spans="1:1" x14ac:dyDescent="0.2">
      <c r="A12963">
        <v>13151</v>
      </c>
    </row>
    <row r="12964" spans="1:1" x14ac:dyDescent="0.2">
      <c r="A12964">
        <v>13152</v>
      </c>
    </row>
    <row r="12965" spans="1:1" x14ac:dyDescent="0.2">
      <c r="A12965">
        <v>13153</v>
      </c>
    </row>
    <row r="12966" spans="1:1" x14ac:dyDescent="0.2">
      <c r="A12966">
        <v>13154</v>
      </c>
    </row>
    <row r="12967" spans="1:1" x14ac:dyDescent="0.2">
      <c r="A12967">
        <v>13155</v>
      </c>
    </row>
    <row r="12968" spans="1:1" x14ac:dyDescent="0.2">
      <c r="A12968">
        <v>13156</v>
      </c>
    </row>
    <row r="12969" spans="1:1" x14ac:dyDescent="0.2">
      <c r="A12969">
        <v>13157</v>
      </c>
    </row>
    <row r="12970" spans="1:1" x14ac:dyDescent="0.2">
      <c r="A12970">
        <v>13158</v>
      </c>
    </row>
    <row r="12971" spans="1:1" x14ac:dyDescent="0.2">
      <c r="A12971">
        <v>13159</v>
      </c>
    </row>
    <row r="12972" spans="1:1" x14ac:dyDescent="0.2">
      <c r="A12972">
        <v>13160</v>
      </c>
    </row>
    <row r="12973" spans="1:1" x14ac:dyDescent="0.2">
      <c r="A12973">
        <v>13161</v>
      </c>
    </row>
    <row r="12974" spans="1:1" x14ac:dyDescent="0.2">
      <c r="A12974">
        <v>13162</v>
      </c>
    </row>
    <row r="12975" spans="1:1" x14ac:dyDescent="0.2">
      <c r="A12975">
        <v>13163</v>
      </c>
    </row>
    <row r="12976" spans="1:1" x14ac:dyDescent="0.2">
      <c r="A12976">
        <v>13164</v>
      </c>
    </row>
    <row r="12977" spans="1:1" x14ac:dyDescent="0.2">
      <c r="A12977">
        <v>13165</v>
      </c>
    </row>
    <row r="12978" spans="1:1" x14ac:dyDescent="0.2">
      <c r="A12978">
        <v>13166</v>
      </c>
    </row>
    <row r="12979" spans="1:1" x14ac:dyDescent="0.2">
      <c r="A12979">
        <v>13167</v>
      </c>
    </row>
    <row r="12980" spans="1:1" x14ac:dyDescent="0.2">
      <c r="A12980">
        <v>13168</v>
      </c>
    </row>
    <row r="12981" spans="1:1" x14ac:dyDescent="0.2">
      <c r="A12981">
        <v>13169</v>
      </c>
    </row>
    <row r="12982" spans="1:1" x14ac:dyDescent="0.2">
      <c r="A12982">
        <v>13170</v>
      </c>
    </row>
    <row r="12983" spans="1:1" x14ac:dyDescent="0.2">
      <c r="A12983">
        <v>13171</v>
      </c>
    </row>
    <row r="12984" spans="1:1" x14ac:dyDescent="0.2">
      <c r="A12984">
        <v>13172</v>
      </c>
    </row>
    <row r="12985" spans="1:1" x14ac:dyDescent="0.2">
      <c r="A12985">
        <v>13173</v>
      </c>
    </row>
    <row r="12986" spans="1:1" x14ac:dyDescent="0.2">
      <c r="A12986">
        <v>13174</v>
      </c>
    </row>
    <row r="12987" spans="1:1" x14ac:dyDescent="0.2">
      <c r="A12987">
        <v>13175</v>
      </c>
    </row>
    <row r="12988" spans="1:1" x14ac:dyDescent="0.2">
      <c r="A12988">
        <v>13176</v>
      </c>
    </row>
    <row r="12989" spans="1:1" x14ac:dyDescent="0.2">
      <c r="A12989">
        <v>13177</v>
      </c>
    </row>
    <row r="12990" spans="1:1" x14ac:dyDescent="0.2">
      <c r="A12990">
        <v>13178</v>
      </c>
    </row>
    <row r="12991" spans="1:1" x14ac:dyDescent="0.2">
      <c r="A12991">
        <v>13179</v>
      </c>
    </row>
    <row r="12992" spans="1:1" x14ac:dyDescent="0.2">
      <c r="A12992">
        <v>13180</v>
      </c>
    </row>
    <row r="12993" spans="1:1" x14ac:dyDescent="0.2">
      <c r="A12993">
        <v>13181</v>
      </c>
    </row>
    <row r="12994" spans="1:1" x14ac:dyDescent="0.2">
      <c r="A12994">
        <v>13182</v>
      </c>
    </row>
    <row r="12995" spans="1:1" x14ac:dyDescent="0.2">
      <c r="A12995">
        <v>13183</v>
      </c>
    </row>
    <row r="12996" spans="1:1" x14ac:dyDescent="0.2">
      <c r="A12996">
        <v>13184</v>
      </c>
    </row>
    <row r="12997" spans="1:1" x14ac:dyDescent="0.2">
      <c r="A12997">
        <v>13185</v>
      </c>
    </row>
    <row r="12998" spans="1:1" x14ac:dyDescent="0.2">
      <c r="A12998">
        <v>13186</v>
      </c>
    </row>
    <row r="12999" spans="1:1" x14ac:dyDescent="0.2">
      <c r="A12999">
        <v>13187</v>
      </c>
    </row>
    <row r="13000" spans="1:1" x14ac:dyDescent="0.2">
      <c r="A13000">
        <v>13188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C11" sqref="C11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13" t="s">
        <v>58</v>
      </c>
      <c r="B1" s="13" t="s">
        <v>59</v>
      </c>
      <c r="E1" s="13" t="s">
        <v>60</v>
      </c>
    </row>
    <row r="2" spans="1:5" x14ac:dyDescent="0.2">
      <c r="A2" s="13" t="s">
        <v>6</v>
      </c>
      <c r="B2" s="13" t="s">
        <v>61</v>
      </c>
      <c r="E2" t="s">
        <v>42</v>
      </c>
    </row>
    <row r="3" spans="1:5" x14ac:dyDescent="0.2">
      <c r="A3" s="13" t="s">
        <v>7</v>
      </c>
      <c r="B3" s="13" t="s">
        <v>62</v>
      </c>
      <c r="E3" t="s">
        <v>63</v>
      </c>
    </row>
    <row r="4" spans="1:5" x14ac:dyDescent="0.2">
      <c r="A4" s="13" t="s">
        <v>8</v>
      </c>
      <c r="B4" s="13" t="s">
        <v>64</v>
      </c>
      <c r="E4" t="s">
        <v>65</v>
      </c>
    </row>
    <row r="5" spans="1:5" x14ac:dyDescent="0.2">
      <c r="A5" s="13" t="s">
        <v>10</v>
      </c>
      <c r="B5" s="13" t="s">
        <v>10</v>
      </c>
      <c r="E5" t="s">
        <v>66</v>
      </c>
    </row>
    <row r="6" spans="1:5" x14ac:dyDescent="0.2">
      <c r="A6" s="13" t="s">
        <v>46</v>
      </c>
      <c r="B6" s="13" t="s">
        <v>67</v>
      </c>
      <c r="E6" t="s">
        <v>30</v>
      </c>
    </row>
    <row r="7" spans="1:5" x14ac:dyDescent="0.2">
      <c r="A7" t="s">
        <v>24</v>
      </c>
      <c r="B7" t="s">
        <v>69</v>
      </c>
      <c r="E7" t="s">
        <v>68</v>
      </c>
    </row>
    <row r="8" spans="1:5" x14ac:dyDescent="0.2">
      <c r="A8" s="13" t="s">
        <v>36</v>
      </c>
      <c r="B8" s="13" t="s">
        <v>70</v>
      </c>
      <c r="E8" t="s">
        <v>48</v>
      </c>
    </row>
    <row r="9" spans="1:5" x14ac:dyDescent="0.2">
      <c r="E9" t="s">
        <v>71</v>
      </c>
    </row>
    <row r="10" spans="1:5" x14ac:dyDescent="0.2">
      <c r="E10" t="s">
        <v>72</v>
      </c>
    </row>
    <row r="11" spans="1:5" x14ac:dyDescent="0.2">
      <c r="E11" t="s">
        <v>73</v>
      </c>
    </row>
    <row r="12" spans="1:5" x14ac:dyDescent="0.2">
      <c r="E12" t="s">
        <v>35</v>
      </c>
    </row>
    <row r="13" spans="1:5" x14ac:dyDescent="0.2">
      <c r="E13" t="s">
        <v>49</v>
      </c>
    </row>
    <row r="14" spans="1:5" x14ac:dyDescent="0.2">
      <c r="E14" t="s">
        <v>43</v>
      </c>
    </row>
    <row r="15" spans="1:5" x14ac:dyDescent="0.2">
      <c r="E15" t="s">
        <v>74</v>
      </c>
    </row>
    <row r="16" spans="1:5" x14ac:dyDescent="0.2">
      <c r="E16" t="s">
        <v>44</v>
      </c>
    </row>
    <row r="17" spans="5:5" x14ac:dyDescent="0.2">
      <c r="E17" t="s">
        <v>38</v>
      </c>
    </row>
    <row r="18" spans="5:5" x14ac:dyDescent="0.2">
      <c r="E18" t="s">
        <v>50</v>
      </c>
    </row>
    <row r="19" spans="5:5" x14ac:dyDescent="0.2">
      <c r="E19" t="s">
        <v>41</v>
      </c>
    </row>
    <row r="20" spans="5:5" x14ac:dyDescent="0.2">
      <c r="E20" t="s">
        <v>75</v>
      </c>
    </row>
    <row r="21" spans="5:5" x14ac:dyDescent="0.2">
      <c r="E21" t="s">
        <v>76</v>
      </c>
    </row>
    <row r="22" spans="5:5" x14ac:dyDescent="0.2">
      <c r="E22" t="s">
        <v>55</v>
      </c>
    </row>
    <row r="23" spans="5:5" x14ac:dyDescent="0.2">
      <c r="E23" t="s">
        <v>32</v>
      </c>
    </row>
    <row r="24" spans="5:5" x14ac:dyDescent="0.2">
      <c r="E24" t="s">
        <v>51</v>
      </c>
    </row>
    <row r="25" spans="5:5" x14ac:dyDescent="0.2">
      <c r="E25" t="s">
        <v>45</v>
      </c>
    </row>
    <row r="26" spans="5:5" x14ac:dyDescent="0.2">
      <c r="E26" t="s">
        <v>37</v>
      </c>
    </row>
    <row r="27" spans="5:5" x14ac:dyDescent="0.2">
      <c r="E27" t="s">
        <v>40</v>
      </c>
    </row>
    <row r="28" spans="5:5" x14ac:dyDescent="0.2">
      <c r="E28" t="s">
        <v>56</v>
      </c>
    </row>
    <row r="29" spans="5:5" x14ac:dyDescent="0.2">
      <c r="E29" t="s">
        <v>57</v>
      </c>
    </row>
    <row r="30" spans="5:5" x14ac:dyDescent="0.2">
      <c r="E30" t="s">
        <v>77</v>
      </c>
    </row>
    <row r="31" spans="5:5" x14ac:dyDescent="0.2">
      <c r="E31" t="s">
        <v>31</v>
      </c>
    </row>
    <row r="32" spans="5:5" x14ac:dyDescent="0.2">
      <c r="E32" t="s">
        <v>78</v>
      </c>
    </row>
    <row r="33" spans="5:5" x14ac:dyDescent="0.2">
      <c r="E33" t="s">
        <v>53</v>
      </c>
    </row>
    <row r="34" spans="5:5" x14ac:dyDescent="0.2">
      <c r="E34" t="s">
        <v>34</v>
      </c>
    </row>
    <row r="35" spans="5:5" x14ac:dyDescent="0.2">
      <c r="E35" t="s">
        <v>52</v>
      </c>
    </row>
    <row r="36" spans="5:5" x14ac:dyDescent="0.2">
      <c r="E36" t="s">
        <v>39</v>
      </c>
    </row>
    <row r="37" spans="5:5" x14ac:dyDescent="0.2">
      <c r="E37" t="s">
        <v>47</v>
      </c>
    </row>
    <row r="38" spans="5:5" x14ac:dyDescent="0.2">
      <c r="E38" t="s">
        <v>79</v>
      </c>
    </row>
    <row r="39" spans="5:5" x14ac:dyDescent="0.2">
      <c r="E39" t="s">
        <v>80</v>
      </c>
    </row>
    <row r="40" spans="5:5" x14ac:dyDescent="0.2">
      <c r="E40" t="s">
        <v>81</v>
      </c>
    </row>
    <row r="41" spans="5:5" x14ac:dyDescent="0.2">
      <c r="E41" t="s">
        <v>82</v>
      </c>
    </row>
    <row r="42" spans="5:5" x14ac:dyDescent="0.2">
      <c r="E42" t="s">
        <v>83</v>
      </c>
    </row>
    <row r="43" spans="5:5" x14ac:dyDescent="0.2">
      <c r="E43" t="s">
        <v>84</v>
      </c>
    </row>
    <row r="44" spans="5:5" x14ac:dyDescent="0.2">
      <c r="E44" t="s">
        <v>85</v>
      </c>
    </row>
    <row r="45" spans="5:5" x14ac:dyDescent="0.2">
      <c r="E45" t="s">
        <v>86</v>
      </c>
    </row>
    <row r="46" spans="5:5" x14ac:dyDescent="0.2">
      <c r="E46" t="s">
        <v>87</v>
      </c>
    </row>
    <row r="47" spans="5:5" x14ac:dyDescent="0.2">
      <c r="E47" t="s">
        <v>88</v>
      </c>
    </row>
    <row r="48" spans="5:5" x14ac:dyDescent="0.2">
      <c r="E48" t="s">
        <v>89</v>
      </c>
    </row>
    <row r="49" spans="5:5" x14ac:dyDescent="0.2">
      <c r="E49" t="s">
        <v>90</v>
      </c>
    </row>
    <row r="50" spans="5:5" x14ac:dyDescent="0.2">
      <c r="E50" t="s">
        <v>91</v>
      </c>
    </row>
    <row r="51" spans="5:5" x14ac:dyDescent="0.2">
      <c r="E51" t="s">
        <v>92</v>
      </c>
    </row>
    <row r="52" spans="5:5" x14ac:dyDescent="0.2">
      <c r="E52" t="s">
        <v>93</v>
      </c>
    </row>
    <row r="53" spans="5:5" x14ac:dyDescent="0.2">
      <c r="E53" t="s">
        <v>94</v>
      </c>
    </row>
    <row r="54" spans="5:5" x14ac:dyDescent="0.2">
      <c r="E54" t="s">
        <v>95</v>
      </c>
    </row>
    <row r="55" spans="5:5" x14ac:dyDescent="0.2">
      <c r="E55" t="s">
        <v>96</v>
      </c>
    </row>
    <row r="56" spans="5:5" x14ac:dyDescent="0.2">
      <c r="E56" t="s">
        <v>97</v>
      </c>
    </row>
    <row r="57" spans="5:5" x14ac:dyDescent="0.2">
      <c r="E57" t="s">
        <v>98</v>
      </c>
    </row>
    <row r="58" spans="5:5" x14ac:dyDescent="0.2">
      <c r="E58" t="s">
        <v>99</v>
      </c>
    </row>
    <row r="59" spans="5:5" x14ac:dyDescent="0.2">
      <c r="E59" t="s">
        <v>100</v>
      </c>
    </row>
    <row r="60" spans="5:5" x14ac:dyDescent="0.2">
      <c r="E60" t="s">
        <v>101</v>
      </c>
    </row>
    <row r="61" spans="5:5" x14ac:dyDescent="0.2">
      <c r="E61" t="s">
        <v>102</v>
      </c>
    </row>
    <row r="62" spans="5:5" x14ac:dyDescent="0.2">
      <c r="E62" t="s">
        <v>103</v>
      </c>
    </row>
    <row r="63" spans="5:5" x14ac:dyDescent="0.2">
      <c r="E63" t="s">
        <v>104</v>
      </c>
    </row>
    <row r="64" spans="5:5" x14ac:dyDescent="0.2">
      <c r="E64" t="s">
        <v>105</v>
      </c>
    </row>
    <row r="65" spans="5:5" x14ac:dyDescent="0.2">
      <c r="E65" t="s">
        <v>106</v>
      </c>
    </row>
    <row r="66" spans="5:5" x14ac:dyDescent="0.2">
      <c r="E66" t="s">
        <v>107</v>
      </c>
    </row>
    <row r="67" spans="5:5" x14ac:dyDescent="0.2">
      <c r="E67" t="s">
        <v>108</v>
      </c>
    </row>
    <row r="68" spans="5:5" x14ac:dyDescent="0.2">
      <c r="E68" t="s">
        <v>109</v>
      </c>
    </row>
    <row r="69" spans="5:5" x14ac:dyDescent="0.2">
      <c r="E69" t="s">
        <v>110</v>
      </c>
    </row>
    <row r="70" spans="5:5" x14ac:dyDescent="0.2">
      <c r="E70" t="s">
        <v>111</v>
      </c>
    </row>
    <row r="71" spans="5:5" x14ac:dyDescent="0.2">
      <c r="E71" t="s">
        <v>112</v>
      </c>
    </row>
    <row r="72" spans="5:5" x14ac:dyDescent="0.2">
      <c r="E72" t="s">
        <v>113</v>
      </c>
    </row>
    <row r="73" spans="5:5" x14ac:dyDescent="0.2">
      <c r="E73" t="s">
        <v>114</v>
      </c>
    </row>
    <row r="74" spans="5:5" x14ac:dyDescent="0.2">
      <c r="E74" t="s">
        <v>115</v>
      </c>
    </row>
    <row r="75" spans="5:5" x14ac:dyDescent="0.2">
      <c r="E75" t="s">
        <v>116</v>
      </c>
    </row>
    <row r="76" spans="5:5" x14ac:dyDescent="0.2">
      <c r="E76" t="s">
        <v>117</v>
      </c>
    </row>
    <row r="77" spans="5:5" x14ac:dyDescent="0.2">
      <c r="E77" t="s">
        <v>118</v>
      </c>
    </row>
    <row r="78" spans="5:5" x14ac:dyDescent="0.2">
      <c r="E78" t="s">
        <v>119</v>
      </c>
    </row>
    <row r="79" spans="5:5" x14ac:dyDescent="0.2">
      <c r="E79" t="s">
        <v>120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34</vt:i4>
      </vt:variant>
      <vt:variant>
        <vt:lpstr>Intervalos Nomeados</vt:lpstr>
      </vt:variant>
      <vt:variant>
        <vt:i4>7</vt:i4>
      </vt:variant>
    </vt:vector>
  </HeadingPairs>
  <TitlesOfParts>
    <vt:vector size="41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base_OS</vt:lpstr>
      <vt:lpstr>base</vt:lpstr>
      <vt:lpstr>'02'!Area_de_impressao</vt:lpstr>
      <vt:lpstr>'05'!Area_de_impressao</vt:lpstr>
      <vt:lpstr>'07'!Area_de_impressao</vt:lpstr>
      <vt:lpstr>'09'!Area_de_impressao</vt:lpstr>
      <vt:lpstr>'18'!Area_de_impressao</vt:lpstr>
      <vt:lpstr>'19'!Area_de_impressao</vt:lpstr>
      <vt:lpstr>'30'!Area_de_impressao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suzano lojas</cp:lastModifiedBy>
  <cp:revision/>
  <cp:lastPrinted>2025-08-28T19:29:52Z</cp:lastPrinted>
  <dcterms:created xsi:type="dcterms:W3CDTF">2004-04-07T20:43:43Z</dcterms:created>
  <dcterms:modified xsi:type="dcterms:W3CDTF">2025-09-12T18:33:48Z</dcterms:modified>
  <cp:category/>
  <cp:contentStatus/>
</cp:coreProperties>
</file>