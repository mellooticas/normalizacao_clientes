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2393" documentId="13_ncr:1_{0402BA61-346E-4614-9EF8-32644BD0418E}" xr6:coauthVersionLast="47" xr6:coauthVersionMax="47" xr10:uidLastSave="{1CFE0A96-3798-4425-9F77-1217B3E216BD}"/>
  <bookViews>
    <workbookView xWindow="-120" yWindow="-120" windowWidth="20730" windowHeight="11310" tabRatio="895" firstSheet="7" activeTab="1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202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3">'13'!$A$1:$M$41</definedName>
    <definedName name="_xlnm.Print_Area" localSheetId="14">'14'!$A$1:$M$41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R20" i="202"/>
  <c r="R19" i="202"/>
  <c r="C19" i="202"/>
  <c r="C20" i="202" s="1"/>
  <c r="B19" i="202"/>
  <c r="R18" i="202"/>
  <c r="R17" i="202"/>
  <c r="R16" i="202"/>
  <c r="R15" i="202"/>
  <c r="C15" i="202"/>
  <c r="R14" i="202"/>
  <c r="C14" i="202"/>
  <c r="R13" i="202"/>
  <c r="C13" i="202"/>
  <c r="R12" i="202"/>
  <c r="C12" i="202"/>
  <c r="R11" i="202"/>
  <c r="C11" i="202"/>
  <c r="R10" i="202"/>
  <c r="R9" i="202"/>
  <c r="R8" i="202"/>
  <c r="R7" i="202"/>
  <c r="C7" i="202"/>
  <c r="R6" i="202"/>
  <c r="R40" i="202" s="1"/>
  <c r="C6" i="202"/>
  <c r="C8" i="202" s="1"/>
  <c r="C5" i="202"/>
  <c r="C22" i="202" s="1"/>
  <c r="C12" i="174"/>
  <c r="C13" i="174"/>
  <c r="C14" i="174"/>
  <c r="C15" i="174"/>
  <c r="C11" i="174"/>
  <c r="C16" i="174" s="1"/>
  <c r="O11" i="174" s="1"/>
  <c r="C15" i="175"/>
  <c r="C14" i="175"/>
  <c r="C13" i="175"/>
  <c r="C12" i="175"/>
  <c r="C11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C7" i="175"/>
  <c r="R6" i="175"/>
  <c r="C6" i="175"/>
  <c r="C5" i="175"/>
  <c r="C22" i="175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B11" i="200" s="1"/>
  <c r="C14" i="195"/>
  <c r="B12" i="200" s="1"/>
  <c r="C15" i="195"/>
  <c r="B13" i="200" s="1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3"/>
  <c r="C11" i="172"/>
  <c r="C11" i="171"/>
  <c r="C11" i="103"/>
  <c r="C11" i="177"/>
  <c r="C11" i="176"/>
  <c r="C11" i="180"/>
  <c r="C11" i="182"/>
  <c r="C11" i="183"/>
  <c r="C11" i="179"/>
  <c r="C11" i="184"/>
  <c r="C16" i="184" s="1"/>
  <c r="O11" i="184" s="1"/>
  <c r="C11" i="185"/>
  <c r="C11" i="186"/>
  <c r="C11" i="187"/>
  <c r="C11" i="189"/>
  <c r="C11" i="190"/>
  <c r="C11" i="191"/>
  <c r="C11" i="193"/>
  <c r="B9" i="200"/>
  <c r="C11" i="194"/>
  <c r="C11" i="197"/>
  <c r="C11" i="196"/>
  <c r="C11" i="192"/>
  <c r="C11" i="199"/>
  <c r="C11" i="198"/>
  <c r="C7" i="174"/>
  <c r="C8" i="174" s="1"/>
  <c r="C7" i="173"/>
  <c r="C7" i="172"/>
  <c r="C7" i="171"/>
  <c r="C7" i="170"/>
  <c r="C7" i="103"/>
  <c r="C7" i="178"/>
  <c r="C7" i="177"/>
  <c r="C7" i="176"/>
  <c r="C7" i="180"/>
  <c r="C7" i="182"/>
  <c r="C7" i="183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/>
  <c r="C5" i="199"/>
  <c r="C22" i="199" s="1"/>
  <c r="C5" i="198"/>
  <c r="C22" i="198"/>
  <c r="C6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79"/>
  <c r="C8" i="179"/>
  <c r="C6" i="184"/>
  <c r="C8" i="184" s="1"/>
  <c r="C6" i="185"/>
  <c r="C8" i="185" s="1"/>
  <c r="C6" i="186"/>
  <c r="C6" i="187"/>
  <c r="C8" i="187" s="1"/>
  <c r="C6" i="189"/>
  <c r="C6" i="190"/>
  <c r="C8" i="190"/>
  <c r="C6" i="191"/>
  <c r="C8" i="191" s="1"/>
  <c r="C6" i="188"/>
  <c r="C8" i="188" s="1"/>
  <c r="C6" i="193"/>
  <c r="C6" i="195"/>
  <c r="C8" i="195" s="1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40" i="184" s="1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40" i="174" s="1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83"/>
  <c r="C8" i="175"/>
  <c r="R40" i="183"/>
  <c r="R40" i="192"/>
  <c r="R40" i="198"/>
  <c r="B17" i="200"/>
  <c r="B18" i="200" s="1"/>
  <c r="R40" i="189"/>
  <c r="R40" i="180"/>
  <c r="R40" i="199"/>
  <c r="C16" i="170"/>
  <c r="O11" i="170"/>
  <c r="R40" i="170"/>
  <c r="C16" i="175"/>
  <c r="O11" i="175"/>
  <c r="R40" i="175"/>
  <c r="R40" i="177"/>
  <c r="R40" i="178"/>
  <c r="R40" i="172"/>
  <c r="R40" i="173"/>
  <c r="R40" i="182"/>
  <c r="R40" i="176"/>
  <c r="C16" i="171"/>
  <c r="O11" i="171"/>
  <c r="R40" i="171"/>
  <c r="B5" i="200"/>
  <c r="B4" i="200"/>
  <c r="B6" i="200" s="1"/>
  <c r="C8" i="193"/>
  <c r="C8" i="178"/>
  <c r="C8" i="198"/>
  <c r="C8" i="170"/>
  <c r="C8" i="177"/>
  <c r="C8" i="182"/>
  <c r="C16" i="198"/>
  <c r="O11" i="198"/>
  <c r="C16" i="192"/>
  <c r="O11" i="192"/>
  <c r="C16" i="193"/>
  <c r="O11" i="193" s="1"/>
  <c r="C16" i="183"/>
  <c r="O11" i="183" s="1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202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16" i="199" l="1"/>
  <c r="O11" i="199" s="1"/>
  <c r="C16" i="196"/>
  <c r="O11" i="196" s="1"/>
  <c r="R40" i="196"/>
  <c r="R40" i="197"/>
  <c r="C16" i="197"/>
  <c r="O11" i="197" s="1"/>
  <c r="C16" i="194"/>
  <c r="O11" i="194" s="1"/>
  <c r="R40" i="194"/>
  <c r="R40" i="195"/>
  <c r="R40" i="193"/>
  <c r="C16" i="191"/>
  <c r="O11" i="191" s="1"/>
  <c r="C16" i="188"/>
  <c r="O11" i="188" s="1"/>
  <c r="R40" i="190"/>
  <c r="C16" i="190"/>
  <c r="O11" i="190" s="1"/>
  <c r="C8" i="189"/>
  <c r="C16" i="189"/>
  <c r="O11" i="189" s="1"/>
  <c r="R40" i="187"/>
  <c r="C16" i="187"/>
  <c r="O11" i="187" s="1"/>
  <c r="R40" i="186"/>
  <c r="C16" i="186"/>
  <c r="O11" i="186" s="1"/>
  <c r="R40" i="185"/>
  <c r="C16" i="185"/>
  <c r="O11" i="185" s="1"/>
  <c r="R40" i="179"/>
  <c r="C16" i="179"/>
  <c r="O11" i="179" s="1"/>
  <c r="C16" i="202"/>
  <c r="O11" i="202" s="1"/>
  <c r="B10" i="200"/>
  <c r="B14" i="200" s="1"/>
  <c r="B3" i="200"/>
  <c r="C16" i="195"/>
  <c r="O11" i="195" s="1"/>
</calcChain>
</file>

<file path=xl/sharedStrings.xml><?xml version="1.0" encoding="utf-8"?>
<sst xmlns="http://schemas.openxmlformats.org/spreadsheetml/2006/main" count="2396" uniqueCount="339">
  <si>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</si>
  <si>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</si>
  <si>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</si>
  <si>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</si>
  <si>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</si>
  <si>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</si>
  <si>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</si>
  <si>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</si>
  <si>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</si>
  <si>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</si>
  <si>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</si>
  <si>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</si>
  <si>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</si>
  <si>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</si>
  <si>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</si>
  <si>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</si>
  <si>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</si>
  <si>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</si>
  <si>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</si>
  <si>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</si>
  <si>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</si>
  <si>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</si>
  <si>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</si>
  <si>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</si>
  <si>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</si>
  <si>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</si>
  <si>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</si>
  <si>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</si>
  <si>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</si>
  <si>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</si>
  <si>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</si>
  <si>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</si>
  <si>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</si>
  <si>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</si>
  <si>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</si>
  <si>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</si>
  <si>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</si>
  <si>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</si>
  <si>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</si>
  <si>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</si>
  <si>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</si>
  <si>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</si>
  <si>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</si>
  <si>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</si>
  <si>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</si>
  <si>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</si>
  <si>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</si>
  <si>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</si>
  <si>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</si>
  <si>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</si>
  <si>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</si>
  <si>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</si>
  <si>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</si>
  <si>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</si>
  <si>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</si>
  <si>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</si>
  <si>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</si>
  <si>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</si>
  <si>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</si>
  <si>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</si>
  <si>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</si>
  <si>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</si>
  <si>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</si>
  <si>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</si>
  <si>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</si>
  <si>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</si>
  <si>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</si>
  <si>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</si>
  <si>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</si>
  <si>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</si>
  <si>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</si>
  <si>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</si>
  <si>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</si>
  <si>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</si>
  <si>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</si>
  <si>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</si>
  <si>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</si>
  <si>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</si>
  <si>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</si>
  <si>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</si>
  <si>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</si>
  <si>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</si>
  <si>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</si>
  <si>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</si>
  <si>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</si>
  <si>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</si>
  <si>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</si>
  <si>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</si>
  <si>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</si>
  <si>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</si>
  <si>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</si>
  <si>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</si>
  <si>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</si>
  <si>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</si>
  <si>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</si>
  <si>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</si>
  <si>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</si>
  <si>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</si>
  <si>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</si>
  <si>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</si>
  <si>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</si>
  <si>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</si>
  <si>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</si>
  <si>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</si>
  <si>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</si>
  <si>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</si>
  <si>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</si>
  <si>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</si>
  <si>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</si>
  <si>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</si>
  <si>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</si>
  <si>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</si>
  <si>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</si>
  <si>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</si>
  <si>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</si>
  <si>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</si>
  <si>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</si>
  <si>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</si>
  <si>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</si>
  <si>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</si>
  <si>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</si>
  <si>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</si>
  <si>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</si>
  <si>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</si>
  <si>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</si>
  <si>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</si>
  <si>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</si>
  <si>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</si>
  <si>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</si>
  <si>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</si>
  <si>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</si>
  <si>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</si>
  <si>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</si>
  <si>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</si>
  <si>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</si>
  <si>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</si>
  <si>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</si>
  <si>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</si>
  <si>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</si>
  <si>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</si>
  <si>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</si>
  <si>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 xml:space="preserve">jose jorge fernandes </t>
  </si>
  <si>
    <t xml:space="preserve">marcos silvio </t>
  </si>
  <si>
    <t>Não</t>
  </si>
  <si>
    <t>elaine cristina</t>
  </si>
  <si>
    <t>marinalva beserra</t>
  </si>
  <si>
    <t>mariana de jesus</t>
  </si>
  <si>
    <t>georgia nazare</t>
  </si>
  <si>
    <t xml:space="preserve">essa farner </t>
  </si>
  <si>
    <t>michele cristina</t>
  </si>
  <si>
    <t>rubens afonso</t>
  </si>
  <si>
    <t>Sim</t>
  </si>
  <si>
    <t>henrique lima</t>
  </si>
  <si>
    <t>jose gorge</t>
  </si>
  <si>
    <t>fabiana de souza</t>
  </si>
  <si>
    <t>melquesedeque da silva</t>
  </si>
  <si>
    <t>monica miyashiro</t>
  </si>
  <si>
    <t>rafael silveira</t>
  </si>
  <si>
    <t>marilene ferreira</t>
  </si>
  <si>
    <t>fabio toshio</t>
  </si>
  <si>
    <t>cicero jose</t>
  </si>
  <si>
    <t>diego perez</t>
  </si>
  <si>
    <t>maria neuza</t>
  </si>
  <si>
    <t>benedito aparecido</t>
  </si>
  <si>
    <t>jose claudio</t>
  </si>
  <si>
    <t>carol vieira</t>
  </si>
  <si>
    <t>maria aparecida</t>
  </si>
  <si>
    <t>não</t>
  </si>
  <si>
    <t>abanita monteiro</t>
  </si>
  <si>
    <t>marcos silvio</t>
  </si>
  <si>
    <t>gergina maria</t>
  </si>
  <si>
    <t>maria sandra</t>
  </si>
  <si>
    <t>darci alice</t>
  </si>
  <si>
    <t>marcos roberto</t>
  </si>
  <si>
    <t>alvaro rodrigues</t>
  </si>
  <si>
    <t>KETHLLYN RAYSSA</t>
  </si>
  <si>
    <t>JAQUELINE SANTOS</t>
  </si>
  <si>
    <t>LEANDRO ESTEVAM</t>
  </si>
  <si>
    <t>isabela de oliveira</t>
  </si>
  <si>
    <t>ana paula</t>
  </si>
  <si>
    <t>elaine gomes</t>
  </si>
  <si>
    <t>renata aparecida</t>
  </si>
  <si>
    <t>zenilva augusta</t>
  </si>
  <si>
    <t>hellen vitoria</t>
  </si>
  <si>
    <t>carmelina da conceição</t>
  </si>
  <si>
    <t>GLAUCIA THOMAZINI</t>
  </si>
  <si>
    <t>ALEX DOS SANTODS</t>
  </si>
  <si>
    <t xml:space="preserve">REOSIMEIRE MARIA </t>
  </si>
  <si>
    <t>AUZILENE LIMA</t>
  </si>
  <si>
    <t>NIVALDA RABELLO</t>
  </si>
  <si>
    <t>LUCINEIA DOS SANTOS</t>
  </si>
  <si>
    <t>italo hugo cardozo</t>
  </si>
  <si>
    <t>elias cruz barbosa</t>
  </si>
  <si>
    <t>evania carvalho</t>
  </si>
  <si>
    <t xml:space="preserve">camila andrade </t>
  </si>
  <si>
    <t>michele cristina simoes</t>
  </si>
  <si>
    <t>maria lucia</t>
  </si>
  <si>
    <t>ana lucia</t>
  </si>
  <si>
    <t>carolina aparecida</t>
  </si>
  <si>
    <t>jeferson mitsuo</t>
  </si>
  <si>
    <t>carlinhos ferreira</t>
  </si>
  <si>
    <t>ilda soares</t>
  </si>
  <si>
    <t>ronivaldo pereira</t>
  </si>
  <si>
    <t>karen</t>
  </si>
  <si>
    <t>keren miranda</t>
  </si>
  <si>
    <t>edgar da silva</t>
  </si>
  <si>
    <t>elisangela alves</t>
  </si>
  <si>
    <t>claubidio martins</t>
  </si>
  <si>
    <t>vitória nhoque</t>
  </si>
  <si>
    <t>maria araujo</t>
  </si>
  <si>
    <t>patricia paulino</t>
  </si>
  <si>
    <t>regiele pacifico</t>
  </si>
  <si>
    <t>manuel liberati</t>
  </si>
  <si>
    <t>karen miranda</t>
  </si>
  <si>
    <t>catia carvalho</t>
  </si>
  <si>
    <t>carlenilda pereira</t>
  </si>
  <si>
    <t>rosimeire maria</t>
  </si>
  <si>
    <t>marinalva  bessera</t>
  </si>
  <si>
    <t xml:space="preserve">vanessa aparecida </t>
  </si>
  <si>
    <t>elizangela dantas</t>
  </si>
  <si>
    <t>patricia homan</t>
  </si>
  <si>
    <t>rosely justiniano</t>
  </si>
  <si>
    <t>simonica tavares</t>
  </si>
  <si>
    <t xml:space="preserve">Tairini ramos de oliveira </t>
  </si>
  <si>
    <t xml:space="preserve">viviane maria </t>
  </si>
  <si>
    <t>kethellyn rayssa</t>
  </si>
  <si>
    <t xml:space="preserve">maria adelia </t>
  </si>
  <si>
    <t>marilu candido</t>
  </si>
  <si>
    <t>rosimeire farias da silva</t>
  </si>
  <si>
    <t>silas diego</t>
  </si>
  <si>
    <t>viviane maria</t>
  </si>
  <si>
    <t>vanderli lerin</t>
  </si>
  <si>
    <t>elianice pinheiro</t>
  </si>
  <si>
    <t>DEVAIR FRANCIA</t>
  </si>
  <si>
    <t>ADALBERTO ALVES</t>
  </si>
  <si>
    <t>MARIA JOSE</t>
  </si>
  <si>
    <t>MAGNO FIGUEIRO</t>
  </si>
  <si>
    <t>MARIA MADALENA</t>
  </si>
  <si>
    <t>FABIO TOSHIO</t>
  </si>
  <si>
    <t>MARTA MARIA</t>
  </si>
  <si>
    <t>MANUEL LIBERATI</t>
  </si>
  <si>
    <t>paulo colombo</t>
  </si>
  <si>
    <t>simone ignacio</t>
  </si>
  <si>
    <t>tairini ramos</t>
  </si>
  <si>
    <t>orlando martins</t>
  </si>
  <si>
    <t>ELENICE PINHEIRO</t>
  </si>
  <si>
    <t>MARCOS LUIZ</t>
  </si>
  <si>
    <t>PEDRO JUSTO</t>
  </si>
  <si>
    <t>rosana aparecida</t>
  </si>
  <si>
    <t>rosinete tavares</t>
  </si>
  <si>
    <t>jose de araujo</t>
  </si>
  <si>
    <t>minalda de  fatima</t>
  </si>
  <si>
    <t>ana maria</t>
  </si>
  <si>
    <t>anacleto</t>
  </si>
  <si>
    <t>fabiana yumi</t>
  </si>
  <si>
    <t>edvaldo bispo</t>
  </si>
  <si>
    <t>ANA LUCIA</t>
  </si>
  <si>
    <t>NELSON MARTONELLI</t>
  </si>
  <si>
    <t>SUELI RIBEIRO</t>
  </si>
  <si>
    <t>MARCOS GUSMÃO</t>
  </si>
  <si>
    <t>ANA MACHADO</t>
  </si>
  <si>
    <t>MARIA DEISE</t>
  </si>
  <si>
    <t>GENICELIA OLIVEIRA</t>
  </si>
  <si>
    <t>NATALHA DE SOUZA</t>
  </si>
  <si>
    <t>ROSELI JUSTINIANO</t>
  </si>
  <si>
    <t>WALMIR PIRES</t>
  </si>
  <si>
    <t>crialaine santana</t>
  </si>
  <si>
    <t>THAIS HELENA</t>
  </si>
  <si>
    <t>FRANCISCO SIMOES</t>
  </si>
  <si>
    <t>TEREZINHA PIRES</t>
  </si>
  <si>
    <t>TANIA CRISTINA</t>
  </si>
  <si>
    <t>CHIP</t>
  </si>
  <si>
    <t>DINHEIRO</t>
  </si>
  <si>
    <t>IZILDINHA APARECIDA</t>
  </si>
  <si>
    <t xml:space="preserve">JAQUELINE  SANTOS </t>
  </si>
  <si>
    <t>MARIA ROSA</t>
  </si>
  <si>
    <t xml:space="preserve">zuleide m. s </t>
  </si>
  <si>
    <t>maria claudia</t>
  </si>
  <si>
    <t>vania santos</t>
  </si>
  <si>
    <t>zuleide m s</t>
  </si>
  <si>
    <t>auzilene lima</t>
  </si>
  <si>
    <t>ELZA DE PAULA</t>
  </si>
  <si>
    <t>BRUNA DOS SANTOS</t>
  </si>
  <si>
    <t>GISLENE ELOISA</t>
  </si>
  <si>
    <t>andressa souza</t>
  </si>
  <si>
    <t>maria das gracas</t>
  </si>
  <si>
    <t>ulisses roberto</t>
  </si>
  <si>
    <t>pedro justo</t>
  </si>
  <si>
    <t>luiz zacarias</t>
  </si>
  <si>
    <t>maria ivani</t>
  </si>
  <si>
    <t>vagner nunes</t>
  </si>
  <si>
    <t>REGINALDO DA SILVA</t>
  </si>
  <si>
    <t xml:space="preserve">ELLEN CRISTINA </t>
  </si>
  <si>
    <t>LEANDRO ESTEVAN</t>
  </si>
  <si>
    <t>VIVIAN DANTAS</t>
  </si>
  <si>
    <t>MARIA ALVES</t>
  </si>
  <si>
    <t>JULIO CESAR</t>
  </si>
  <si>
    <t>YASMIN CRISTINA</t>
  </si>
  <si>
    <t>MAGNO FIGUEIRA</t>
  </si>
  <si>
    <t>LUIZ ZACARIAS</t>
  </si>
  <si>
    <t>GEORGINA NAZARE</t>
  </si>
  <si>
    <t>josuel alexandre</t>
  </si>
  <si>
    <t>bernadete jose</t>
  </si>
  <si>
    <t>adenilson soares</t>
  </si>
  <si>
    <t>hugo emanuel</t>
  </si>
  <si>
    <t>nelson evaristo</t>
  </si>
  <si>
    <t>camila pacini</t>
  </si>
  <si>
    <t>valdemira maria</t>
  </si>
  <si>
    <t>katiana santana</t>
  </si>
  <si>
    <t>oziel de oliveira</t>
  </si>
  <si>
    <t xml:space="preserve">ronally lourenço </t>
  </si>
  <si>
    <t>marcelo rodrigues</t>
  </si>
  <si>
    <t>gabryel willians</t>
  </si>
  <si>
    <t xml:space="preserve">ana lucia da silva </t>
  </si>
  <si>
    <t xml:space="preserve">celia cristina </t>
  </si>
  <si>
    <t>camila da silva</t>
  </si>
  <si>
    <t xml:space="preserve">pedro augusto </t>
  </si>
  <si>
    <t>janice belmiro</t>
  </si>
  <si>
    <t>selma da silva</t>
  </si>
  <si>
    <t>samuel de melo</t>
  </si>
  <si>
    <t>silvia pecegueiro</t>
  </si>
  <si>
    <t xml:space="preserve">camila da silva </t>
  </si>
  <si>
    <t>RAFELA MENDES</t>
  </si>
  <si>
    <t>RAQUEL DE AZEVEDO</t>
  </si>
  <si>
    <t>DEISYANE DE CASTRO</t>
  </si>
  <si>
    <t>JOAO VINICIUS</t>
  </si>
  <si>
    <t>NELSON EVARISTO</t>
  </si>
  <si>
    <t xml:space="preserve">HELENA RODRIGUES </t>
  </si>
  <si>
    <t>PAPEL HIG.</t>
  </si>
  <si>
    <t>ALMOCO TATY</t>
  </si>
  <si>
    <t>LAURA DIAS</t>
  </si>
  <si>
    <t>v.t divulgadora</t>
  </si>
  <si>
    <t>dn</t>
  </si>
  <si>
    <t>pedro marques</t>
  </si>
  <si>
    <t>adelaide maria</t>
  </si>
  <si>
    <t>vanessa maria</t>
  </si>
  <si>
    <t>vivian dantas</t>
  </si>
  <si>
    <t>jaqueline santos</t>
  </si>
  <si>
    <t>elizangela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</si>
</sst>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  <numFmt numFmtId="169" formatCode="_(&quot;R$&quot;* #,##0_);_(&quot;R$&quot;* \(#,##0\);_(&quot;R$&quot;* &quot;-&quot;??_);_(@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69" fontId="30" fillId="0" borderId="3" xfId="2" applyNumberFormat="1" applyFont="1" applyFill="1" applyBorder="1" applyAlignment="1">
      <alignment horizontal="center"/>
    </xf>
    <xf numFmtId="0" fontId="30" fillId="0" borderId="3" xfId="2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35" headerRowBorderDxfId="1634" tableBorderDxfId="1633" totalsRowBorderDxfId="1632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1" dataCellStyle="Moeda"/>
    <tableColumn id="5" xr3:uid="{45BECD08-8ABE-4A34-BD78-E2D3AFB8C62A}" name="Cliente" dataDxfId="1630" dataCellStyle="Moeda"/>
    <tableColumn id="2" xr3:uid="{A0D6666C-9CF7-4343-AF6B-BDFE62F94469}" name="Forma de Pgto" dataDxfId="1629" dataCellStyle="Moeda"/>
    <tableColumn id="3" xr3:uid="{988F127F-9D83-4428-BB94-C16FBBB1BD89}" name="Valor Venda" dataDxfId="1628" dataCellStyle="Porcentagem"/>
    <tableColumn id="4" xr3:uid="{6A2928C3-17B0-4FA3-B60C-9E1A2C0324E1}" name="Entrada" dataDxfId="1627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26" dataDxfId="1624" headerRowBorderDxfId="1625" tableBorderDxfId="1623" totalsRowBorderDxfId="1622">
  <autoFilter ref="K5:M11" xr:uid="{DD403130-B35C-452C-92F9-290622D77A3D}"/>
  <tableColumns count="3">
    <tableColumn id="1" xr3:uid="{FAD87634-3375-4B41-BEC0-5B072F6B52CE}" name="Descrição" dataDxfId="1621"/>
    <tableColumn id="2" xr3:uid="{7688071E-9548-4552-8BB1-3BA5128DF645}" name="Tipo de Pagto" dataDxfId="1620"/>
    <tableColumn id="3" xr3:uid="{2B260C33-79A5-4C5D-9195-15780C53A861}" name="Valor" dataDxfId="16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18" headerRowBorderDxfId="1617" tableBorderDxfId="1616" totalsRowBorderDxfId="1615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4"/>
    <tableColumn id="2" xr3:uid="{606BE417-6802-4580-90D2-86F95EFAAEB7}" name="Cliente" dataDxfId="1613"/>
    <tableColumn id="3" xr3:uid="{2F522A54-F708-4DA3-97E3-CE7C29912E04}" name="Forma de Pgto" dataDxfId="1612" dataCellStyle="Moeda"/>
    <tableColumn id="4" xr3:uid="{7B46EE64-F7F1-4449-A783-67286A94A7C4}" name="Valor Venda" dataDxfId="1611" dataCellStyle="Porcentagem"/>
    <tableColumn id="5" xr3:uid="{389A7D1A-3C35-485E-9958-8A78EF77BE9B}" name="Entrada" dataDxfId="1610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09" headerRowBorderDxfId="1608" tableBorderDxfId="1607" totalsRowBorderDxfId="1606">
  <autoFilter ref="K14:M31" xr:uid="{F07D43AD-1A4D-4B31-96B8-824F8623E518}"/>
  <tableColumns count="3">
    <tableColumn id="1" xr3:uid="{3AF01421-A7B6-4D23-9DA8-C20FAFAFDD9C}" name="OS" dataDxfId="1605"/>
    <tableColumn id="2" xr3:uid="{55DCC30E-EB52-427E-A16A-B2C93A41F1CE}" name="Vendedor" dataDxfId="1604"/>
    <tableColumn id="3" xr3:uid="{23EDA46C-42B4-4F6C-97D9-7040D6B9797C}" name="CARNE" dataDxfId="160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6" totalsRowShown="0" headerRowDxfId="1602" headerRowBorderDxfId="1601" tableBorderDxfId="1600" totalsRowBorderDxfId="1599">
  <autoFilter ref="E34:I46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98"/>
    <tableColumn id="2" xr3:uid="{FBA6EA78-F44B-4D22-A27A-92A91C10551F}" name="Cliente" dataDxfId="1597"/>
    <tableColumn id="3" xr3:uid="{749B4D89-29B3-4987-91D3-6BA3C44D9B96}" name="Forma de Pgto" dataDxfId="1596" dataCellStyle="Moeda"/>
    <tableColumn id="4" xr3:uid="{A84A6598-B291-4809-A78D-AB810461733D}" name="Valor Parcela" dataDxfId="1595" dataCellStyle="Porcentagem"/>
    <tableColumn id="5" xr3:uid="{3C45FEEC-5E06-4ED7-87CD-0097DB6BC817}" name="Nº Parcela" dataDxfId="1594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3" headerRowBorderDxfId="1592" tableBorderDxfId="1591" totalsRowBorderDxfId="1590">
  <autoFilter ref="K34:M41" xr:uid="{42BA126A-AECD-4CD6-8583-BD2352D82FB9}"/>
  <tableColumns count="3">
    <tableColumn id="1" xr3:uid="{0989D88A-7CB7-4008-94FC-B7FFB3CAE582}" name="OS" dataDxfId="1589"/>
    <tableColumn id="2" xr3:uid="{AC9D76CC-A537-4210-9893-E8C57DA30B4D}" name="Parcelas" dataDxfId="1588"/>
    <tableColumn id="3" xr3:uid="{D4D72E6E-DAE0-4860-8606-BFD8E469AE3D}" name="Valor Total" dataDxfId="158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86" headerRowBorderDxfId="1585" tableBorderDxfId="1584" totalsRowBorderDxfId="15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2" dataCellStyle="Moeda"/>
    <tableColumn id="5" xr3:uid="{62DCD49D-7CD9-4268-A2D5-B3A594E461BB}" name="Cliente" dataDxfId="1581" dataCellStyle="Moeda"/>
    <tableColumn id="2" xr3:uid="{50D45495-B1A2-4885-996A-3E6DD92E280E}" name="Forma de Pgto" dataDxfId="1580" dataCellStyle="Moeda"/>
    <tableColumn id="3" xr3:uid="{DE57E226-692B-42B0-911E-ACCF59BC6D86}" name="Valor Venda" dataDxfId="1579" dataCellStyle="Porcentagem"/>
    <tableColumn id="4" xr3:uid="{CE230B3B-D2C9-4A92-A5F3-A5EE4A74409A}" name="Entrada" dataDxfId="1578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77" dataDxfId="1575" headerRowBorderDxfId="1576" tableBorderDxfId="1574" totalsRowBorderDxfId="1573">
  <autoFilter ref="K5:M11" xr:uid="{00000000-0009-0000-0100-000015000000}"/>
  <tableColumns count="3">
    <tableColumn id="1" xr3:uid="{58E2E66D-9AC0-4A69-BF19-1AB9AD59BA2F}" name="Descrição" dataDxfId="1572"/>
    <tableColumn id="2" xr3:uid="{FE1E3124-46C3-49A6-AE83-7C14B341DF59}" name="Tipo de Pagto" dataDxfId="1571"/>
    <tableColumn id="3" xr3:uid="{D8FBF474-04EE-46ED-9B9E-791D937CF715}" name="Valor" dataDxfId="15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69" headerRowBorderDxfId="1568" tableBorderDxfId="1567" totalsRowBorderDxfId="156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5"/>
    <tableColumn id="2" xr3:uid="{595EF087-A3B2-4C2B-AEEA-F930A6C2F5F4}" name="Cliente" dataDxfId="1564"/>
    <tableColumn id="3" xr3:uid="{C5C2BC75-6E8D-4808-A5EE-A5F9251ECE6C}" name="Forma de Pgto" dataDxfId="1563" dataCellStyle="Moeda"/>
    <tableColumn id="4" xr3:uid="{20CF776B-B9F4-48DD-9379-961689B40B71}" name="Valor Venda" dataDxfId="1562" dataCellStyle="Porcentagem"/>
    <tableColumn id="5" xr3:uid="{65177CB6-6D07-42E6-8EFE-435282A2F5BA}" name="Entrada" dataDxfId="1561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0" headerRowBorderDxfId="1559" tableBorderDxfId="1558" totalsRowBorderDxfId="15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6"/>
    <tableColumn id="2" xr3:uid="{D1AEFC99-FF9D-4A0D-BE93-D866BDC7A817}" name="Vendedor" dataDxfId="1555"/>
    <tableColumn id="3" xr3:uid="{CA30546E-8A3F-45D5-BE2B-24DCF738F1F2}" name="CARNE" dataDxfId="155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2" totalsRowShown="0" headerRowDxfId="1553" headerRowBorderDxfId="1552" tableBorderDxfId="1551" totalsRowBorderDxfId="1550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49"/>
    <tableColumn id="2" xr3:uid="{7D38F106-0145-4B73-951B-86BF22EC7FAB}" name="Cliente" dataDxfId="1548"/>
    <tableColumn id="3" xr3:uid="{11A4EEBE-D35C-4719-B2B9-16486260EF79}" name="Forma de Pgto" dataDxfId="1547" dataCellStyle="Moeda"/>
    <tableColumn id="4" xr3:uid="{1BAB2FC5-9F2C-41DD-994A-6BA83A984883}" name="Valor Parcela" dataDxfId="1546" dataCellStyle="Porcentagem"/>
    <tableColumn id="5" xr3:uid="{8C539F89-5F96-4DB9-B7A4-784EA1B5350C}" name="Nº Parcela" dataDxfId="1545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4" headerRowBorderDxfId="1543" tableBorderDxfId="1542" totalsRowBorderDxfId="1541">
  <autoFilter ref="K34:M41" xr:uid="{1B8643D4-6AC3-4029-882A-C62E9D7CB225}"/>
  <tableColumns count="3">
    <tableColumn id="1" xr3:uid="{0B93901B-D681-410F-8B28-E186D9A3CAC3}" name="OS" dataDxfId="1540"/>
    <tableColumn id="2" xr3:uid="{A57C0E02-6258-48F0-9407-2095CD96B2D4}" name="Parcelas" dataDxfId="1539"/>
    <tableColumn id="3" xr3:uid="{1EA087CF-658D-4951-89BB-508667E3BBBE}" name="Valor Total" dataDxfId="15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7" dataDxfId="1535" headerRowBorderDxfId="1536" tableBorderDxfId="1534" totalsRowBorderDxfId="15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2" dataCellStyle="Moeda"/>
    <tableColumn id="5" xr3:uid="{98DC42E5-632F-4288-9CC5-1F032859A7E7}" name="Cliente" dataDxfId="1531" dataCellStyle="Moeda"/>
    <tableColumn id="2" xr3:uid="{4AE32B81-9EBD-470B-9ABE-A82D6658F3FE}" name="Forma de Pgto" dataDxfId="1530" dataCellStyle="Moeda"/>
    <tableColumn id="3" xr3:uid="{6E5BAEC1-2689-4ABB-93EC-298595B5C82E}" name="Valor Venda" dataDxfId="1529" dataCellStyle="Porcentagem"/>
    <tableColumn id="4" xr3:uid="{24493E7B-FE77-4A85-8810-0F0A4A84D997}" name="Entrada" dataDxfId="152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7" dataDxfId="1525" headerRowBorderDxfId="1526" tableBorderDxfId="1524" totalsRowBorderDxfId="1523">
  <autoFilter ref="K5:M11" xr:uid="{00000000-0009-0000-0100-000015000000}"/>
  <tableColumns count="3">
    <tableColumn id="1" xr3:uid="{DA50BBFB-ECA9-45DE-9949-F3F90EEC3BA7}" name="Descrição" dataDxfId="1522"/>
    <tableColumn id="2" xr3:uid="{A64D4F88-B62D-440B-BA71-6D7BB28D542E}" name="Tipo de Pagto" dataDxfId="1521"/>
    <tableColumn id="3" xr3:uid="{0406A209-0652-47F9-9AB4-3256B26876D2}" name="Valor" dataDxfId="152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19" dataDxfId="1517" headerRowBorderDxfId="1518" tableBorderDxfId="1516" totalsRowBorderDxfId="15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4"/>
    <tableColumn id="2" xr3:uid="{8B8D24E4-1123-478B-838C-FCF56EABBDFD}" name="Cliente" dataDxfId="1513"/>
    <tableColumn id="3" xr3:uid="{8B7DE8DF-8D5D-4245-A63D-EF550AE347E3}" name="Forma de Pgto" dataDxfId="1512" dataCellStyle="Moeda"/>
    <tableColumn id="4" xr3:uid="{95A77C0C-49D0-45A2-8B99-A765C4741CE7}" name="Valor Venda" dataDxfId="1511" dataCellStyle="Porcentagem"/>
    <tableColumn id="5" xr3:uid="{FF4FDD32-DA70-4723-A8FB-07B3FB04B5CD}" name="Entrada" dataDxfId="151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09" dataDxfId="1507" headerRowBorderDxfId="1508" tableBorderDxfId="1506" totalsRowBorderDxfId="1505">
  <autoFilter ref="K14:M31" xr:uid="{C83FE64B-E221-4DAA-89EA-5307A7BC98B3}"/>
  <tableColumns count="3">
    <tableColumn id="1" xr3:uid="{A31E67F7-E266-4220-8D3F-09556FCE20B1}" name="OS" dataDxfId="1504"/>
    <tableColumn id="2" xr3:uid="{2ED39269-8DA5-4157-9E82-8C8ED0C828A3}" name="Vendedor" dataDxfId="1503"/>
    <tableColumn id="3" xr3:uid="{F550B35D-6F70-4E2E-9037-3A7DF5BB4D86}" name="CARNE" dataDxfId="150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1" dataDxfId="1499" headerRowBorderDxfId="1500" tableBorderDxfId="1498" totalsRowBorderDxfId="14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6"/>
    <tableColumn id="2" xr3:uid="{58D563AD-1DCA-4768-9170-A0079A20A1DF}" name="Cliente" dataDxfId="1495"/>
    <tableColumn id="3" xr3:uid="{FE883FCE-942C-4DE5-904D-B12FE6C4992D}" name="Forma de Pgto" dataDxfId="1494" dataCellStyle="Moeda"/>
    <tableColumn id="4" xr3:uid="{21451B08-4DF0-4C35-AC45-94C183AA6A59}" name="Valor Parcela" dataDxfId="1493" dataCellStyle="Porcentagem"/>
    <tableColumn id="5" xr3:uid="{8F93C3AE-47D0-4E55-A038-445341804CE9}" name="Nº Parcela" dataDxfId="149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1" headerRowBorderDxfId="1490" tableBorderDxfId="1489" totalsRowBorderDxfId="1488">
  <autoFilter ref="K34:M41" xr:uid="{1B8643D4-6AC3-4029-882A-C62E9D7CB225}"/>
  <tableColumns count="3">
    <tableColumn id="1" xr3:uid="{2687574F-C0F9-4AD1-A54B-286C1AE50D97}" name="OS" dataDxfId="1487"/>
    <tableColumn id="2" xr3:uid="{AE623FF4-38C1-45D9-B220-1CD4A553B7C1}" name="Parcelas" dataDxfId="1486"/>
    <tableColumn id="3" xr3:uid="{EEBFC521-3084-43FF-A36B-C25CE198B817}" name="Valor Total" dataDxfId="148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4" dataDxfId="1482" headerRowBorderDxfId="1483" tableBorderDxfId="1481" totalsRowBorderDxfId="14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79" dataCellStyle="Moeda"/>
    <tableColumn id="5" xr3:uid="{F5DA840E-A051-4AE4-AE1A-9DAFAF8FFC3B}" name="Cliente" dataDxfId="1478" dataCellStyle="Moeda"/>
    <tableColumn id="2" xr3:uid="{DF65CD3D-444A-4025-B98B-F38F11610432}" name="Forma de Pgto" dataDxfId="1477" dataCellStyle="Moeda"/>
    <tableColumn id="3" xr3:uid="{9A4839DC-9153-466A-B0AF-456FAEF79174}" name="Valor Venda" dataDxfId="1476" dataCellStyle="Porcentagem"/>
    <tableColumn id="4" xr3:uid="{EF410A7C-DBD1-4367-A43B-616826FFEB4F}" name="Entrada" dataDxfId="1475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4" dataDxfId="1472" headerRowBorderDxfId="1473" tableBorderDxfId="1471" totalsRowBorderDxfId="1470">
  <autoFilter ref="K5:M11" xr:uid="{00000000-0009-0000-0100-000015000000}"/>
  <tableColumns count="3">
    <tableColumn id="1" xr3:uid="{F1C90853-2F5A-4C32-8AC3-18ECE1FDDF43}" name="Descrição" dataDxfId="1469"/>
    <tableColumn id="2" xr3:uid="{DEB32F17-2D52-4FBB-90C4-1C3AE9C104E6}" name="Tipo de Pagto" dataDxfId="1468"/>
    <tableColumn id="3" xr3:uid="{089B3650-C090-496F-BF9A-6E8466DBF76A}" name="Valor" dataDxfId="146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6" dataDxfId="1464" headerRowBorderDxfId="1465" tableBorderDxfId="1463" totalsRowBorderDxfId="14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1"/>
    <tableColumn id="2" xr3:uid="{73AEC7DD-005C-4428-9D1D-1A3761F2192B}" name="Cliente" dataDxfId="1460"/>
    <tableColumn id="3" xr3:uid="{FA28017F-3137-49BD-B826-2E261901E543}" name="Forma de Pgto" dataDxfId="1459" dataCellStyle="Moeda"/>
    <tableColumn id="4" xr3:uid="{6030418B-B1EC-4D4D-96DF-0EB78B87F6F9}" name="Valor Venda" dataDxfId="1458" dataCellStyle="Porcentagem"/>
    <tableColumn id="5" xr3:uid="{0576A975-F40D-4463-85C0-76AB6FCD63AC}" name="Entrada" dataDxfId="1457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6" dataDxfId="1454" headerRowBorderDxfId="1455" tableBorderDxfId="1453" totalsRowBorderDxfId="1452">
  <autoFilter ref="K14:M31" xr:uid="{C83FE64B-E221-4DAA-89EA-5307A7BC98B3}"/>
  <tableColumns count="3">
    <tableColumn id="1" xr3:uid="{830E23BA-DE90-49EF-B4EA-89C3276575B2}" name="OS" dataDxfId="1451"/>
    <tableColumn id="2" xr3:uid="{679AF5A0-4545-4316-AD6C-E4B7A7BA099A}" name="Vendedor" dataDxfId="1450"/>
    <tableColumn id="3" xr3:uid="{6B801D58-D05B-4A78-A6FE-BC9EF408DC10}" name="CARNE" dataDxfId="144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8" dataDxfId="1446" headerRowBorderDxfId="1447" tableBorderDxfId="1445" totalsRowBorderDxfId="14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3"/>
    <tableColumn id="2" xr3:uid="{953837B7-D16A-40C2-9C83-CD7E7171C88F}" name="Cliente" dataDxfId="1442"/>
    <tableColumn id="3" xr3:uid="{63860264-C651-4A12-8F01-E9F622A843C0}" name="Forma de Pgto" dataDxfId="1441" dataCellStyle="Moeda"/>
    <tableColumn id="4" xr3:uid="{584373BD-23BA-4A1E-A4FC-3D4A594F4148}" name="Valor Parcela" dataDxfId="1440" dataCellStyle="Porcentagem"/>
    <tableColumn id="5" xr3:uid="{7CBAF04B-D82E-4180-A8EA-98461BE41F4A}" name="Nº Parcela" dataDxfId="1439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8" headerRowBorderDxfId="1437" tableBorderDxfId="1436" totalsRowBorderDxfId="1435">
  <autoFilter ref="K34:M41" xr:uid="{1B8643D4-6AC3-4029-882A-C62E9D7CB225}"/>
  <tableColumns count="3">
    <tableColumn id="1" xr3:uid="{F555359C-BC20-4C24-A948-500BDD3B5763}" name="OS" dataDxfId="1434"/>
    <tableColumn id="2" xr3:uid="{B72B4820-B8B5-4F80-83B5-9EC54EF78025}" name="Parcelas" dataDxfId="1433"/>
    <tableColumn id="3" xr3:uid="{893DDBC4-5663-4D63-80CB-4E7482811983}" name="Valor Total" dataDxfId="143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1" dataDxfId="1429" headerRowBorderDxfId="1430" tableBorderDxfId="1428" totalsRowBorderDxfId="14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6" dataCellStyle="Moeda"/>
    <tableColumn id="5" xr3:uid="{4F9ED826-A0E1-4FB0-83C6-A561EA7B6750}" name="Cliente" dataDxfId="1425" dataCellStyle="Moeda"/>
    <tableColumn id="2" xr3:uid="{C2B928FE-CB2E-4271-AE3D-2FE26117248E}" name="Forma de Pgto" dataDxfId="1424" dataCellStyle="Moeda"/>
    <tableColumn id="3" xr3:uid="{CE23E3D0-4056-4DCB-83C4-5B94BD49CAAC}" name="Valor Venda" dataDxfId="1423" dataCellStyle="Porcentagem"/>
    <tableColumn id="4" xr3:uid="{1F426340-BFB9-4B9E-B988-7A195156D2F2}" name="Entrada" dataDxfId="1422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1" dataDxfId="1419" headerRowBorderDxfId="1420" tableBorderDxfId="1418" totalsRowBorderDxfId="1417">
  <autoFilter ref="K5:M11" xr:uid="{00000000-0009-0000-0100-000015000000}"/>
  <tableColumns count="3">
    <tableColumn id="1" xr3:uid="{F4C840DC-E06E-4A51-B1BF-E769E4EC9ACB}" name="Descrição" dataDxfId="1416"/>
    <tableColumn id="2" xr3:uid="{E6DE1F07-CE97-421A-A22A-4B4270DDF46D}" name="Tipo de Pagto" dataDxfId="1415"/>
    <tableColumn id="3" xr3:uid="{D84FBA92-07C5-41FD-BBA2-2AADF245D1D6}" name="Valor" dataDxfId="141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3" dataDxfId="1411" headerRowBorderDxfId="1412" tableBorderDxfId="1410" totalsRowBorderDxfId="14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8"/>
    <tableColumn id="2" xr3:uid="{CD77FB12-1DAA-4DAF-B42A-0357959803DD}" name="Cliente" dataDxfId="1407"/>
    <tableColumn id="3" xr3:uid="{5F4C4F5C-C920-452A-B2BA-592AD2C18723}" name="Forma de Pgto" dataDxfId="1406" dataCellStyle="Moeda"/>
    <tableColumn id="4" xr3:uid="{3930B2F0-6049-4E02-92B1-EC55A5330B2C}" name="Valor Venda" dataDxfId="1405" dataCellStyle="Porcentagem"/>
    <tableColumn id="5" xr3:uid="{82EBAE08-64CA-459E-9015-FA8F61210D87}" name="Entrada" dataDxfId="1404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3" dataDxfId="1401" headerRowBorderDxfId="1402" tableBorderDxfId="1400" totalsRowBorderDxfId="1399">
  <autoFilter ref="K14:M31" xr:uid="{C83FE64B-E221-4DAA-89EA-5307A7BC98B3}"/>
  <tableColumns count="3">
    <tableColumn id="1" xr3:uid="{E0565617-EB8C-486F-838C-B370E84BC8A2}" name="OS" dataDxfId="1398"/>
    <tableColumn id="2" xr3:uid="{EA20833B-67D8-48B8-B6E4-54A10D0969E8}" name="Vendedor" dataDxfId="1397"/>
    <tableColumn id="3" xr3:uid="{8B1F8993-74A4-499F-AD5E-91A6051BA219}" name="CARNE" dataDxfId="139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5" dataDxfId="1393" headerRowBorderDxfId="1394" tableBorderDxfId="1392" totalsRowBorderDxfId="13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0"/>
    <tableColumn id="2" xr3:uid="{FB461660-91D6-4E31-81FF-113A17320EED}" name="Cliente" dataDxfId="1389"/>
    <tableColumn id="3" xr3:uid="{0A47D0C3-375B-4E2D-B5E9-2048252BC0D3}" name="Forma de Pgto" dataDxfId="1388" dataCellStyle="Moeda"/>
    <tableColumn id="4" xr3:uid="{F9C62ED5-C18D-465D-B7E4-0729BD7B3A10}" name="Valor Parcela" dataDxfId="1387" dataCellStyle="Porcentagem"/>
    <tableColumn id="5" xr3:uid="{DD9D513B-1645-445F-83E9-DC54C163BD4E}" name="Nº Parcela" dataDxfId="1386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5" headerRowBorderDxfId="1384" tableBorderDxfId="1383" totalsRowBorderDxfId="1382">
  <autoFilter ref="K34:M41" xr:uid="{1B8643D4-6AC3-4029-882A-C62E9D7CB225}"/>
  <tableColumns count="3">
    <tableColumn id="1" xr3:uid="{D65B195F-C059-40E5-A4CA-FE91C5DB43DB}" name="OS" dataDxfId="1381"/>
    <tableColumn id="2" xr3:uid="{A2A023CF-C61D-419E-ABB0-2F9CEE35150B}" name="Parcelas" dataDxfId="1380"/>
    <tableColumn id="3" xr3:uid="{F7D650A1-7C3D-42D0-B133-EB49D396C64F}" name="Valor Total" dataDxfId="137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8" dataDxfId="1376" headerRowBorderDxfId="1377" tableBorderDxfId="1375" totalsRowBorderDxfId="13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3" dataCellStyle="Moeda"/>
    <tableColumn id="5" xr3:uid="{FF96847D-D5C5-4F73-905C-E549112972E1}" name="Cliente" dataDxfId="1372" dataCellStyle="Moeda"/>
    <tableColumn id="2" xr3:uid="{1B47815A-C2E2-4886-9A6F-B2A7307F901E}" name="Forma de Pgto" dataDxfId="1371" dataCellStyle="Moeda"/>
    <tableColumn id="3" xr3:uid="{FD86C99A-4E69-452A-8D71-B939B84F2B55}" name="Valor Venda" dataDxfId="1370" dataCellStyle="Porcentagem"/>
    <tableColumn id="4" xr3:uid="{49ECBAAC-14EE-43F3-BE6F-974EF5F3E156}" name="Entrada" dataDxfId="1369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8" dataDxfId="1366" headerRowBorderDxfId="1367" tableBorderDxfId="1365" totalsRowBorderDxfId="1364">
  <autoFilter ref="K5:M11" xr:uid="{00000000-0009-0000-0100-000015000000}"/>
  <tableColumns count="3">
    <tableColumn id="1" xr3:uid="{5236D397-E61A-4AA1-B99C-AD40093239F9}" name="Descrição" dataDxfId="1363"/>
    <tableColumn id="2" xr3:uid="{3341FC2A-819A-41AF-B8A9-B5A195B8D597}" name="Tipo de Pagto" dataDxfId="1362"/>
    <tableColumn id="3" xr3:uid="{D568CA16-B32B-4F86-9DE5-B8B3E9825745}" name="Valor" dataDxfId="136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0" dataDxfId="1358" headerRowBorderDxfId="1359" tableBorderDxfId="1357" totalsRowBorderDxfId="13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5"/>
    <tableColumn id="2" xr3:uid="{DEEB020C-2BC4-4E77-9557-B0FDBCF683E9}" name="Cliente" dataDxfId="1354"/>
    <tableColumn id="3" xr3:uid="{FC27FDBE-5194-4E32-AFD1-DB754ECCEF38}" name="Forma de Pgto" dataDxfId="1353" dataCellStyle="Moeda"/>
    <tableColumn id="4" xr3:uid="{489A4CE9-C3F1-4322-9639-D01F0935FB0E}" name="Valor Venda" dataDxfId="1352" dataCellStyle="Porcentagem"/>
    <tableColumn id="5" xr3:uid="{07E5F22F-7782-466E-98DB-48416B35B9C4}" name="Entrada" dataDxfId="1351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0" dataDxfId="1348" headerRowBorderDxfId="1349" tableBorderDxfId="1347" totalsRowBorderDxfId="1346">
  <autoFilter ref="K14:M31" xr:uid="{C83FE64B-E221-4DAA-89EA-5307A7BC98B3}"/>
  <tableColumns count="3">
    <tableColumn id="1" xr3:uid="{E4926A1A-00A9-4844-90B1-E36D53050FAD}" name="OS" dataDxfId="1345"/>
    <tableColumn id="2" xr3:uid="{CFC62C38-9887-48E6-A3B8-42586D1EC066}" name="Vendedor" dataDxfId="1344"/>
    <tableColumn id="3" xr3:uid="{32577275-2002-496E-8AD4-5FE489DBC179}" name="CARNE" dataDxfId="134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2" dataDxfId="1340" headerRowBorderDxfId="1341" tableBorderDxfId="1339" totalsRowBorderDxfId="13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7"/>
    <tableColumn id="2" xr3:uid="{19438CD0-86D0-4CC4-9B41-5D756AC61E4D}" name="Cliente" dataDxfId="1336"/>
    <tableColumn id="3" xr3:uid="{59621200-4821-4583-9D35-A2EA6C27B52D}" name="Forma de Pgto" dataDxfId="1335" dataCellStyle="Moeda"/>
    <tableColumn id="4" xr3:uid="{35A817E7-6B21-48A7-863E-225DFEDD8B2A}" name="Valor Parcela" dataDxfId="1334" dataCellStyle="Porcentagem"/>
    <tableColumn id="5" xr3:uid="{77D80430-C5F8-4582-B3DF-9A9A9350F565}" name="Nº Parcela" dataDxfId="1333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2" headerRowBorderDxfId="1331" tableBorderDxfId="1330" totalsRowBorderDxfId="1329">
  <autoFilter ref="K34:M41" xr:uid="{1B8643D4-6AC3-4029-882A-C62E9D7CB225}"/>
  <tableColumns count="3">
    <tableColumn id="1" xr3:uid="{503F9F70-E540-4505-B65D-D233FCB88D5F}" name="OS" dataDxfId="1328"/>
    <tableColumn id="2" xr3:uid="{6A2B4927-D830-4C18-8831-6FE23BFAD877}" name="Parcelas" dataDxfId="1327"/>
    <tableColumn id="3" xr3:uid="{8E06E94A-FF62-4D13-8B11-C6CE2990FCDF}" name="Valor Total" dataDxfId="1326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5" dataDxfId="1323" headerRowBorderDxfId="1324" tableBorderDxfId="1322" totalsRowBorderDxfId="1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0" dataCellStyle="Moeda"/>
    <tableColumn id="5" xr3:uid="{00000000-0010-0000-0900-000005000000}" name="Cliente" dataDxfId="1319" dataCellStyle="Moeda"/>
    <tableColumn id="2" xr3:uid="{00000000-0010-0000-0900-000002000000}" name="Forma de Pgto" dataDxfId="1318" dataCellStyle="Moeda"/>
    <tableColumn id="3" xr3:uid="{00000000-0010-0000-0900-000003000000}" name="Valor Venda" dataDxfId="1317" dataCellStyle="Porcentagem"/>
    <tableColumn id="4" xr3:uid="{00000000-0010-0000-0900-000004000000}" name="Entrada" dataDxfId="1316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5" dataDxfId="1313" headerRowBorderDxfId="1314" tableBorderDxfId="1312" totalsRowBorderDxfId="1311">
  <autoFilter ref="K5:M11" xr:uid="{00000000-0009-0000-0100-000015000000}"/>
  <tableColumns count="3">
    <tableColumn id="1" xr3:uid="{00000000-0010-0000-0A00-000001000000}" name="Descrição" dataDxfId="1310"/>
    <tableColumn id="2" xr3:uid="{00000000-0010-0000-0A00-000002000000}" name="Tipo de Pagto" dataDxfId="1309"/>
    <tableColumn id="3" xr3:uid="{00000000-0010-0000-0A00-000003000000}" name="Valor" dataDxfId="1308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7" dataDxfId="1305" headerRowBorderDxfId="1306" tableBorderDxfId="1304" totalsRowBorderDxfId="1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2"/>
    <tableColumn id="2" xr3:uid="{00000000-0010-0000-0B00-000002000000}" name="Cliente" dataDxfId="1301"/>
    <tableColumn id="3" xr3:uid="{00000000-0010-0000-0B00-000003000000}" name="Forma de Pgto" dataDxfId="1300" dataCellStyle="Moeda"/>
    <tableColumn id="4" xr3:uid="{00000000-0010-0000-0B00-000004000000}" name="Valor Venda" dataDxfId="1299" dataCellStyle="Porcentagem"/>
    <tableColumn id="5" xr3:uid="{00000000-0010-0000-0B00-000005000000}" name="Entrada" dataDxfId="1298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7" dataDxfId="1295" headerRowBorderDxfId="1296" tableBorderDxfId="1294" totalsRowBorderDxfId="1293">
  <autoFilter ref="K14:M31" xr:uid="{C83FE64B-E221-4DAA-89EA-5307A7BC98B3}"/>
  <tableColumns count="3">
    <tableColumn id="1" xr3:uid="{E5EB8AC8-7F8E-49D1-A903-14124A5BA1B1}" name="OS" dataDxfId="1292"/>
    <tableColumn id="2" xr3:uid="{E1794679-294A-42ED-9D8F-4C0874170BFA}" name="Vendedor" dataDxfId="1291"/>
    <tableColumn id="3" xr3:uid="{CB411C23-941D-4548-984D-68460932D683}" name="CARNE" dataDxfId="129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89" dataDxfId="1287" headerRowBorderDxfId="1288" tableBorderDxfId="1286" totalsRowBorderDxfId="1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4"/>
    <tableColumn id="2" xr3:uid="{430FE27E-32BC-43B0-BB6E-CCBAB36B2A5A}" name="Cliente" dataDxfId="1283"/>
    <tableColumn id="3" xr3:uid="{568CECCF-BE0A-4266-A7C7-9359F722EA0F}" name="Forma de Pgto" dataDxfId="1282" dataCellStyle="Moeda"/>
    <tableColumn id="4" xr3:uid="{9CF4291A-8808-43DB-9F83-A7EB463C5F4A}" name="Valor Parcela" dataDxfId="1281" dataCellStyle="Porcentagem"/>
    <tableColumn id="5" xr3:uid="{736EA743-97FA-4800-BEDD-5C07EEB144A8}" name="Nº Parcela" dataDxfId="1280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79" headerRowBorderDxfId="1278" tableBorderDxfId="1277" totalsRowBorderDxfId="1276">
  <autoFilter ref="K34:M41" xr:uid="{1B8643D4-6AC3-4029-882A-C62E9D7CB225}"/>
  <tableColumns count="3">
    <tableColumn id="1" xr3:uid="{132FEC50-51B3-4AAA-BF48-63FA39ED861C}" name="OS" dataDxfId="1275"/>
    <tableColumn id="2" xr3:uid="{11276640-1C63-48D7-BE0B-1FE7C736A1A8}" name="Parcelas" dataDxfId="1274"/>
    <tableColumn id="3" xr3:uid="{96591591-9F74-40A6-B0B9-BA6D2106107F}" name="Valor Total" dataDxfId="127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2" dataDxfId="1270" headerRowBorderDxfId="1271" tableBorderDxfId="1269" totalsRowBorderDxfId="12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7" dataCellStyle="Moeda"/>
    <tableColumn id="5" xr3:uid="{795F9F6D-AAE5-4C61-A646-82BF506C503E}" name="Cliente" dataDxfId="1266" dataCellStyle="Moeda"/>
    <tableColumn id="2" xr3:uid="{DD13626B-6361-410E-BFB7-9E75436163A4}" name="Forma de Pgto" dataDxfId="1265" dataCellStyle="Moeda"/>
    <tableColumn id="3" xr3:uid="{8939280F-F6DC-4F66-ADDF-59F6A387460C}" name="Valor Venda" dataDxfId="1264" dataCellStyle="Porcentagem"/>
    <tableColumn id="4" xr3:uid="{FFC83B9E-825A-4058-BFEA-DA64D7159065}" name="Entrada" dataDxfId="1263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2" dataDxfId="1260" headerRowBorderDxfId="1261" tableBorderDxfId="1259" totalsRowBorderDxfId="1258">
  <autoFilter ref="K5:M11" xr:uid="{00000000-0009-0000-0100-000015000000}"/>
  <tableColumns count="3">
    <tableColumn id="1" xr3:uid="{9309A091-2326-4B68-B8C9-B31CF2D72EAF}" name="Descrição" dataDxfId="1257"/>
    <tableColumn id="2" xr3:uid="{910D89CE-506B-440F-8EB2-31633D7CAD51}" name="Tipo de Pagto" dataDxfId="1256"/>
    <tableColumn id="3" xr3:uid="{7155C391-52F1-4F4A-84B1-7BBC44A35A99}" name="Valor" dataDxfId="125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4" dataDxfId="1252" headerRowBorderDxfId="1253" tableBorderDxfId="1251" totalsRowBorderDxfId="12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49"/>
    <tableColumn id="2" xr3:uid="{75B601B3-9668-4B1A-ADF2-17DA487A3413}" name="Cliente" dataDxfId="1248"/>
    <tableColumn id="3" xr3:uid="{64F47935-52AF-4AE3-9262-06D7472567D7}" name="Forma de Pgto" dataDxfId="1247" dataCellStyle="Moeda"/>
    <tableColumn id="4" xr3:uid="{9257AA0D-34DE-4B38-8406-BC1F561A53B3}" name="Valor Venda" dataDxfId="1246" dataCellStyle="Porcentagem"/>
    <tableColumn id="5" xr3:uid="{4C98958F-FB27-4968-81B6-D7CC6BBD2DAE}" name="Entrada" dataDxfId="1245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4" dataDxfId="1242" headerRowBorderDxfId="1243" tableBorderDxfId="1241" totalsRowBorderDxfId="124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39"/>
    <tableColumn id="2" xr3:uid="{AEB024E2-EB15-40A6-B65B-468339937BD0}" name="Vendedor" dataDxfId="1238"/>
    <tableColumn id="3" xr3:uid="{ACDDDA2A-4116-4E25-B799-0071372A8FAA}" name="CARNE" dataDxfId="1237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6" dataDxfId="1234" headerRowBorderDxfId="1235" tableBorderDxfId="1233" totalsRowBorderDxfId="1232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1"/>
    <tableColumn id="2" xr3:uid="{A06C5B3A-A28C-4563-87C4-B63635D6E7B9}" name="Cliente" dataDxfId="1230"/>
    <tableColumn id="3" xr3:uid="{4AC120F2-6F4A-41F2-87D2-680E8D6F8D96}" name="Forma de Pgto" dataDxfId="1229" dataCellStyle="Moeda"/>
    <tableColumn id="4" xr3:uid="{17DB2EA9-C13D-4AEB-AB97-B4C907D16420}" name="Valor Parcela" dataDxfId="1228" dataCellStyle="Porcentagem"/>
    <tableColumn id="5" xr3:uid="{F6E09F06-2F23-4822-A9B4-D8898604A1E0}" name="Nº Parcela" dataDxfId="1227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6" headerRowBorderDxfId="1225" tableBorderDxfId="1224" totalsRowBorderDxfId="1223">
  <autoFilter ref="K34:M41" xr:uid="{1B8643D4-6AC3-4029-882A-C62E9D7CB225}"/>
  <tableColumns count="3">
    <tableColumn id="1" xr3:uid="{D0DE8F47-9BDA-4E4F-92E6-E2404F920F1B}" name="OS" dataDxfId="1222"/>
    <tableColumn id="2" xr3:uid="{43AD47D8-F738-4D39-8B0B-E0AC217D9D32}" name="Parcelas" dataDxfId="1221"/>
    <tableColumn id="3" xr3:uid="{024ED2FF-C4EC-44DC-9129-9BE8032DC4A5}" name="Valor Total" dataDxfId="122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19" dataDxfId="1217" headerRowBorderDxfId="1218" tableBorderDxfId="1216" totalsRowBorderDxfId="12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4" dataCellStyle="Moeda"/>
    <tableColumn id="5" xr3:uid="{C13AA79A-76C7-4954-B055-3EC7A6A9008A}" name="Cliente" dataDxfId="1213" dataCellStyle="Moeda"/>
    <tableColumn id="2" xr3:uid="{56D92948-0431-4E11-AC7A-A6D6B6D3D15E}" name="Forma de Pgto" dataDxfId="1212" dataCellStyle="Moeda"/>
    <tableColumn id="3" xr3:uid="{3348DA9C-6AA9-49E4-8450-E8BC22BC5F6C}" name="Valor Venda" dataDxfId="1211" dataCellStyle="Porcentagem"/>
    <tableColumn id="4" xr3:uid="{A03B4BE2-2B4F-4512-98ED-45C3754F4D2A}" name="Entrada" dataDxfId="1210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09" dataDxfId="1207" headerRowBorderDxfId="1208" tableBorderDxfId="1206" totalsRowBorderDxfId="1205">
  <autoFilter ref="K5:M11" xr:uid="{00000000-0009-0000-0100-000015000000}"/>
  <tableColumns count="3">
    <tableColumn id="1" xr3:uid="{2700D0CD-8906-41BB-B51F-AAECD67A05FE}" name="Descrição" dataDxfId="1204"/>
    <tableColumn id="2" xr3:uid="{00E5FAC2-C7E2-44A6-AA64-460782F41E47}" name="Tipo de Pagto" dataDxfId="1203"/>
    <tableColumn id="3" xr3:uid="{70D30678-03EC-4DC1-BB28-EBD756D1976D}" name="Valor" dataDxfId="120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1" dataDxfId="1199" headerRowBorderDxfId="1200" tableBorderDxfId="1198" totalsRowBorderDxfId="11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6"/>
    <tableColumn id="2" xr3:uid="{59310BF7-C6CA-49AF-8D7C-32023868A553}" name="Cliente" dataDxfId="1195"/>
    <tableColumn id="3" xr3:uid="{C13BE163-BA03-41E0-A121-27164C58ABA3}" name="Forma de Pgto" dataDxfId="1194" dataCellStyle="Moeda"/>
    <tableColumn id="4" xr3:uid="{E9797482-8A01-4C8B-8B66-47DE3D38D78F}" name="Valor Venda" dataDxfId="1193" dataCellStyle="Porcentagem"/>
    <tableColumn id="5" xr3:uid="{864D3F67-D199-48BA-8E16-3EFBAC4AF8A2}" name="Entrada" dataDxfId="1192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1" dataDxfId="1189" headerRowBorderDxfId="1190" tableBorderDxfId="1188" totalsRowBorderDxfId="1187">
  <autoFilter ref="K14:M31" xr:uid="{C83FE64B-E221-4DAA-89EA-5307A7BC98B3}"/>
  <tableColumns count="3">
    <tableColumn id="1" xr3:uid="{92200504-6651-4517-B155-4C75687BBC1E}" name="OS" dataDxfId="1186"/>
    <tableColumn id="2" xr3:uid="{BE1934F5-5D06-41D6-9394-C4D383C8CD33}" name="Vendedor" dataDxfId="1185"/>
    <tableColumn id="3" xr3:uid="{F504E9B2-856C-4C10-AA72-D7A7B035B330}" name="CARNE" dataDxfId="118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3" dataDxfId="1181" headerRowBorderDxfId="1182" tableBorderDxfId="1180" totalsRowBorderDxfId="11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8"/>
    <tableColumn id="2" xr3:uid="{95B09C40-3752-47D7-9085-F5B42BC487DA}" name="Cliente" dataDxfId="1177"/>
    <tableColumn id="3" xr3:uid="{1A0B311C-327A-4C44-9D04-81730B41B9A2}" name="Forma de Pgto" dataDxfId="1176" dataCellStyle="Moeda"/>
    <tableColumn id="4" xr3:uid="{9A802666-F9A1-4EB6-824C-ECF60066044F}" name="Valor Parcela" dataDxfId="1175" dataCellStyle="Porcentagem"/>
    <tableColumn id="5" xr3:uid="{1CC0AF26-B599-4D4F-8BD5-BBE76DBCE085}" name="Nº Parcela" dataDxfId="1174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3" headerRowBorderDxfId="1172" tableBorderDxfId="1171" totalsRowBorderDxfId="1170">
  <autoFilter ref="K34:M41" xr:uid="{1B8643D4-6AC3-4029-882A-C62E9D7CB225}"/>
  <tableColumns count="3">
    <tableColumn id="1" xr3:uid="{D712257D-E310-4A34-972E-E8E3502C0E07}" name="OS" dataDxfId="1169"/>
    <tableColumn id="2" xr3:uid="{DE78D123-6817-4646-8C08-920B2F11524F}" name="Parcelas" dataDxfId="1168"/>
    <tableColumn id="3" xr3:uid="{5BFF5A3E-02FE-410E-B1DB-45BB5A31FC42}" name="Valor Total" dataDxfId="116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6" dataDxfId="1164" headerRowBorderDxfId="1165" tableBorderDxfId="1163" totalsRowBorderDxfId="11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1" dataCellStyle="Moeda"/>
    <tableColumn id="5" xr3:uid="{A57F8BDB-02F9-493C-AD6D-F47611C369D5}" name="Cliente" dataDxfId="1160" dataCellStyle="Moeda"/>
    <tableColumn id="2" xr3:uid="{3BF4EA26-026F-42E1-9B28-3FCC68B54E9F}" name="Forma de Pgto" dataDxfId="1159" dataCellStyle="Moeda"/>
    <tableColumn id="3" xr3:uid="{FD063076-8462-4774-B716-34AAD1738449}" name="Valor Venda" dataDxfId="1158" dataCellStyle="Porcentagem"/>
    <tableColumn id="4" xr3:uid="{690445E0-65B1-450A-A6D3-179070107086}" name="Entrada" dataDxfId="1157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6" dataDxfId="1154" headerRowBorderDxfId="1155" tableBorderDxfId="1153" totalsRowBorderDxfId="1152">
  <autoFilter ref="K5:M11" xr:uid="{00000000-0009-0000-0100-000015000000}"/>
  <tableColumns count="3">
    <tableColumn id="1" xr3:uid="{5D510C76-887A-4F0A-A2F3-BD55732E9E85}" name="Descrição" dataDxfId="1151"/>
    <tableColumn id="2" xr3:uid="{F6C1F4A7-28F4-48F8-905E-708FA62EB574}" name="Tipo de Pagto" dataDxfId="1150"/>
    <tableColumn id="3" xr3:uid="{E62B0002-F6CD-4351-A9EA-673FC7C97B03}" name="Valor" dataDxfId="114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8" dataDxfId="1146" headerRowBorderDxfId="1147" tableBorderDxfId="1145" totalsRowBorderDxfId="1144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3"/>
    <tableColumn id="2" xr3:uid="{822B50C3-46B7-46F0-8829-5293CCAFB21E}" name="Cliente" dataDxfId="1142"/>
    <tableColumn id="3" xr3:uid="{F2A36AB3-30D6-4C43-A466-18FF147EE075}" name="Forma de Pgto" dataDxfId="1141" dataCellStyle="Moeda"/>
    <tableColumn id="4" xr3:uid="{AD829CF8-2271-44F1-A1F1-4928D83ED658}" name="Valor Venda" dataDxfId="1140" dataCellStyle="Porcentagem"/>
    <tableColumn id="5" xr3:uid="{7973C843-3740-4AE2-931D-89DE845BA145}" name="Entrada" dataDxfId="1139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8" dataDxfId="1136" headerRowBorderDxfId="1137" tableBorderDxfId="1135" totalsRowBorderDxfId="1134">
  <autoFilter ref="K14:M31" xr:uid="{C83FE64B-E221-4DAA-89EA-5307A7BC98B3}"/>
  <tableColumns count="3">
    <tableColumn id="1" xr3:uid="{404BEA27-9F48-40AC-AF84-177E7CA2ADEC}" name="OS" dataDxfId="1133"/>
    <tableColumn id="2" xr3:uid="{BC07784A-25E9-4C57-B0FF-1E3D183BCD37}" name="Vendedor" dataDxfId="1132"/>
    <tableColumn id="3" xr3:uid="{EFFF7860-5B35-466B-BA53-4485DC02FB15}" name="CARNE" dataDxfId="1131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0" dataDxfId="1128" headerRowBorderDxfId="1129" tableBorderDxfId="1127" totalsRowBorderDxfId="1126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5"/>
    <tableColumn id="2" xr3:uid="{A8D4686B-F05E-4D96-BDB9-FD354C9E28B8}" name="Cliente" dataDxfId="1124"/>
    <tableColumn id="3" xr3:uid="{0FB871EC-4505-4E7C-A162-0EFDB16AB8E5}" name="Forma de Pgto" dataDxfId="1123" dataCellStyle="Moeda"/>
    <tableColumn id="4" xr3:uid="{41436228-3E61-4F7F-80EF-627B1794150B}" name="Valor Parcela" dataDxfId="1122" dataCellStyle="Porcentagem"/>
    <tableColumn id="5" xr3:uid="{9C580DC7-08E3-4AD7-B73C-C1AA4298633B}" name="Nº Parcela" dataDxfId="1121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0" headerRowBorderDxfId="1119" tableBorderDxfId="1118" totalsRowBorderDxfId="1117">
  <autoFilter ref="K34:M41" xr:uid="{1B8643D4-6AC3-4029-882A-C62E9D7CB225}"/>
  <tableColumns count="3">
    <tableColumn id="1" xr3:uid="{6E774D52-7DFE-4ED1-9F2F-47B5899CBAC1}" name="OS" dataDxfId="1116"/>
    <tableColumn id="2" xr3:uid="{39CE62CA-537C-4DF4-B8D5-281ED0EE57C3}" name="Parcelas" dataDxfId="1115"/>
    <tableColumn id="3" xr3:uid="{830AFF05-9BCF-488F-97F3-8D4378DE4DCB}" name="Valor Total" dataDxfId="111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3" dataDxfId="1111" headerRowBorderDxfId="1112" tableBorderDxfId="1110" totalsRowBorderDxfId="11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8" dataCellStyle="Moeda"/>
    <tableColumn id="5" xr3:uid="{CE0B3E90-9420-4A96-9195-72088311874E}" name="Cliente" dataDxfId="1107" dataCellStyle="Moeda"/>
    <tableColumn id="2" xr3:uid="{3EF1B45D-588D-4066-8ACF-697863B5F984}" name="Forma de Pgto" dataDxfId="1106" dataCellStyle="Moeda"/>
    <tableColumn id="3" xr3:uid="{9ADBAC7B-B04C-4E2B-9C83-E18200698CCE}" name="Valor Venda" dataDxfId="1105" dataCellStyle="Porcentagem"/>
    <tableColumn id="4" xr3:uid="{16823673-1F5B-4F46-A676-8665CF4D02BA}" name="Entrada" dataDxfId="1104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3" dataDxfId="1101" headerRowBorderDxfId="1102" tableBorderDxfId="1100" totalsRowBorderDxfId="1099">
  <autoFilter ref="K5:M11" xr:uid="{00000000-0009-0000-0100-000015000000}"/>
  <tableColumns count="3">
    <tableColumn id="1" xr3:uid="{A02811B4-F6FA-4EDA-94FE-5EDFE6293B48}" name="Descrição" dataDxfId="1098"/>
    <tableColumn id="2" xr3:uid="{39EAD4CE-DDFA-4948-8B1E-10589BABDD84}" name="Tipo de Pagto" dataDxfId="1097"/>
    <tableColumn id="3" xr3:uid="{30C3BD81-38C9-4C67-BF45-044DFDDD7A0B}" name="Valor" dataDxfId="1096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5" dataDxfId="1093" headerRowBorderDxfId="1094" tableBorderDxfId="1092" totalsRowBorderDxfId="10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0"/>
    <tableColumn id="2" xr3:uid="{BE6E3444-490A-4F75-BE63-234EB84D04F7}" name="Cliente" dataDxfId="1089"/>
    <tableColumn id="3" xr3:uid="{868472E6-6C45-4AEC-9672-E559CFA15EA7}" name="Forma de Pgto" dataDxfId="1088" dataCellStyle="Moeda"/>
    <tableColumn id="4" xr3:uid="{DB2D0AA9-9B1E-4A35-B9B2-8B1052EAD782}" name="Valor Venda" dataDxfId="1087" dataCellStyle="Porcentagem"/>
    <tableColumn id="5" xr3:uid="{C23CEEDF-415E-4EFC-ACF7-2661157A84C3}" name="Entrada" dataDxfId="1086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5" dataDxfId="1083" headerRowBorderDxfId="1084" tableBorderDxfId="1082" totalsRowBorderDxfId="10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0"/>
    <tableColumn id="2" xr3:uid="{13D709D4-8F81-4D58-95F2-22F1C686CB18}" name="Vendedor" dataDxfId="1079"/>
    <tableColumn id="3" xr3:uid="{92130A71-CEC8-4371-B6C9-DA29C0189A09}" name="CARNE" dataDxfId="1078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7" dataDxfId="1075" headerRowBorderDxfId="1076" tableBorderDxfId="1074" totalsRowBorderDxfId="10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2"/>
    <tableColumn id="2" xr3:uid="{7652DD36-D535-400C-856B-02CB62C18176}" name="Cliente" dataDxfId="1071"/>
    <tableColumn id="3" xr3:uid="{129618E1-FDB4-497A-9DB0-29AC7143AF10}" name="Forma de Pgto" dataDxfId="1070" dataCellStyle="Moeda"/>
    <tableColumn id="4" xr3:uid="{EC69F906-8001-4D12-8ED6-D597AE23E936}" name="Valor Parcela" dataDxfId="1069" dataCellStyle="Porcentagem"/>
    <tableColumn id="5" xr3:uid="{65040BF1-55E0-4DD6-926F-3F0324D47077}" name="Nº Parcela" dataDxfId="1068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7" headerRowBorderDxfId="1066" tableBorderDxfId="1065" totalsRowBorderDxfId="1064">
  <autoFilter ref="K34:M41" xr:uid="{1B8643D4-6AC3-4029-882A-C62E9D7CB225}"/>
  <tableColumns count="3">
    <tableColumn id="1" xr3:uid="{710179D9-1888-45A0-96B5-C6E1151FFFF0}" name="OS" dataDxfId="1063"/>
    <tableColumn id="2" xr3:uid="{D9D130F4-6D87-4655-90D8-AF3976107C2A}" name="Parcelas" dataDxfId="1062"/>
    <tableColumn id="3" xr3:uid="{07DCBA20-7E86-4F99-AED4-2BDCD854B71C}" name="Valor Total" dataDxfId="1061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0" dataDxfId="1058" headerRowBorderDxfId="1059" tableBorderDxfId="1057" totalsRowBorderDxfId="10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5" dataCellStyle="Moeda"/>
    <tableColumn id="5" xr3:uid="{C388448A-992D-4C2D-8BB2-14D587C7E260}" name="Cliente" dataDxfId="1054" dataCellStyle="Moeda"/>
    <tableColumn id="2" xr3:uid="{C66BE185-63F5-4991-91CC-2661F40F891F}" name="Forma de Pgto" dataDxfId="1053" dataCellStyle="Moeda"/>
    <tableColumn id="3" xr3:uid="{C86C165C-F04B-4F8A-9769-AE38C03F025E}" name="Valor Venda" dataDxfId="1052" dataCellStyle="Porcentagem"/>
    <tableColumn id="4" xr3:uid="{C11C99C9-E646-4417-8698-61AFF55AB567}" name="Entrada" dataDxfId="1051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0" dataDxfId="1048" headerRowBorderDxfId="1049" tableBorderDxfId="1047" totalsRowBorderDxfId="1046">
  <autoFilter ref="K5:M11" xr:uid="{00000000-0009-0000-0100-000015000000}"/>
  <tableColumns count="3">
    <tableColumn id="1" xr3:uid="{696BC9EF-69BB-4D0D-96DF-B836B5771C08}" name="Descrição" dataDxfId="1045"/>
    <tableColumn id="2" xr3:uid="{4F12E940-09E4-4E51-A2A0-CEF5523233E2}" name="Tipo de Pagto" dataDxfId="1044"/>
    <tableColumn id="3" xr3:uid="{329E2ABB-99D4-47D1-8CEB-C3F4DE69A1C8}" name="Valor" dataDxfId="104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2" dataDxfId="1040" headerRowBorderDxfId="1041" tableBorderDxfId="1039" totalsRowBorderDxfId="10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7"/>
    <tableColumn id="2" xr3:uid="{4745164B-5E29-4C65-87CA-C8C1B31B8272}" name="Cliente" dataDxfId="1036"/>
    <tableColumn id="3" xr3:uid="{69D7D490-36CA-4F69-BF76-2ADB810B4F37}" name="Forma de Pgto" dataDxfId="1035" dataCellStyle="Moeda"/>
    <tableColumn id="4" xr3:uid="{9B6B365B-42F7-499F-B705-B8F5196F8192}" name="Valor Venda" dataDxfId="1034" dataCellStyle="Porcentagem"/>
    <tableColumn id="5" xr3:uid="{7C88B9A2-2920-4AD8-AC1F-7417F3FA8282}" name="Entrada" dataDxfId="1033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2" dataDxfId="1030" headerRowBorderDxfId="1031" tableBorderDxfId="1029" totalsRowBorderDxfId="1028">
  <autoFilter ref="K14:M31" xr:uid="{C83FE64B-E221-4DAA-89EA-5307A7BC98B3}"/>
  <tableColumns count="3">
    <tableColumn id="1" xr3:uid="{5740FA63-223C-47B7-8842-178B003DB4BC}" name="OS" dataDxfId="1027"/>
    <tableColumn id="2" xr3:uid="{5CCC3C75-C80E-44BB-BC37-80F487481DDA}" name="Vendedor" dataDxfId="1026"/>
    <tableColumn id="3" xr3:uid="{585175B8-B982-429E-9344-163CE2687302}" name="CARNE" dataDxfId="1025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4" dataDxfId="1022" headerRowBorderDxfId="1023" tableBorderDxfId="1021" totalsRowBorderDxfId="10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19"/>
    <tableColumn id="2" xr3:uid="{2540FF22-68AB-4A04-B72D-DDBC8B064A8D}" name="Cliente" dataDxfId="1018"/>
    <tableColumn id="3" xr3:uid="{A7CB1680-9636-42C6-8AD9-F68C54BBCE0A}" name="Forma de Pgto" dataDxfId="1017" dataCellStyle="Moeda"/>
    <tableColumn id="4" xr3:uid="{727C37A8-450C-4D57-A2C9-396F29733C0A}" name="Valor Parcela" dataDxfId="1016" dataCellStyle="Porcentagem"/>
    <tableColumn id="5" xr3:uid="{4B27DCBF-BD8C-46A2-BC12-DE369C458E8A}" name="Nº Parcela" dataDxfId="1015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4" headerRowBorderDxfId="1013" tableBorderDxfId="1012" totalsRowBorderDxfId="1011">
  <autoFilter ref="K34:M41" xr:uid="{1B8643D4-6AC3-4029-882A-C62E9D7CB225}"/>
  <tableColumns count="3">
    <tableColumn id="1" xr3:uid="{60FAE849-4EC1-49E6-990F-8A43377EE6C3}" name="OS" dataDxfId="1010"/>
    <tableColumn id="2" xr3:uid="{B3127003-34D7-49FE-AFFC-7FA256F8BC3F}" name="Parcelas" dataDxfId="1009"/>
    <tableColumn id="3" xr3:uid="{412AC98E-5FB9-4C3C-9FBF-2EBE1631A397}" name="Valor Total" dataDxfId="100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7" dataDxfId="1005" headerRowBorderDxfId="1006" tableBorderDxfId="1004" totalsRowBorderDxfId="10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2" dataCellStyle="Moeda"/>
    <tableColumn id="5" xr3:uid="{A1AF61B3-EFAB-450A-92B2-38E357233CD5}" name="Cliente" dataDxfId="1001" dataCellStyle="Moeda"/>
    <tableColumn id="2" xr3:uid="{DF277353-579D-439F-85C3-76DEACDE7A39}" name="Forma de Pgto" dataDxfId="1000" dataCellStyle="Moeda"/>
    <tableColumn id="3" xr3:uid="{7164D8F5-C0CB-47F7-BD16-B590E7D85EDB}" name="Valor Venda" dataDxfId="999" dataCellStyle="Porcentagem"/>
    <tableColumn id="4" xr3:uid="{065B051D-7958-4E7D-972D-DDB0E8E7D052}" name="Entrada" dataDxfId="99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7" dataDxfId="995" headerRowBorderDxfId="996" tableBorderDxfId="994" totalsRowBorderDxfId="993">
  <autoFilter ref="K5:M11" xr:uid="{00000000-0009-0000-0100-000015000000}"/>
  <tableColumns count="3">
    <tableColumn id="1" xr3:uid="{865498B1-F05E-46C9-B6C1-CCD85D9306C6}" name="Descrição" dataDxfId="992"/>
    <tableColumn id="2" xr3:uid="{37F7AC6A-A7CD-43FB-89B1-5E904BAC1EBD}" name="Tipo de Pagto" dataDxfId="991"/>
    <tableColumn id="3" xr3:uid="{A014E45A-B38A-47C2-A582-411CA2B495EE}" name="Valor" dataDxfId="99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89" dataDxfId="987" headerRowBorderDxfId="988" tableBorderDxfId="986" totalsRowBorderDxfId="9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4"/>
    <tableColumn id="2" xr3:uid="{BC7B7FC1-CF4C-42C2-ABD3-DFEEA234B02B}" name="Cliente" dataDxfId="983"/>
    <tableColumn id="3" xr3:uid="{67F17557-E38E-4865-93F5-DCEF4A7ED2C6}" name="Forma de Pgto" dataDxfId="982" dataCellStyle="Moeda"/>
    <tableColumn id="4" xr3:uid="{D2C10329-9C1A-4D0D-BC74-3A320E9B6593}" name="Valor Venda" dataDxfId="981" dataCellStyle="Porcentagem"/>
    <tableColumn id="5" xr3:uid="{82810E21-D152-4A22-94D5-0A28C60F4849}" name="Entrada" dataDxfId="98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79" dataDxfId="977" headerRowBorderDxfId="978" tableBorderDxfId="976" totalsRowBorderDxfId="975">
  <autoFilter ref="K14:M31" xr:uid="{C83FE64B-E221-4DAA-89EA-5307A7BC98B3}"/>
  <tableColumns count="3">
    <tableColumn id="1" xr3:uid="{7A4CC637-3546-4D1B-9D86-75C6034079BF}" name="OS" dataDxfId="974"/>
    <tableColumn id="2" xr3:uid="{CEB52B1C-2642-45A1-A1EB-26029A9B5402}" name="Vendedor" dataDxfId="973"/>
    <tableColumn id="3" xr3:uid="{8C88CFEB-7155-49BD-9D63-1FCC9096735E}" name="CARNE" dataDxfId="97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1" dataDxfId="969" headerRowBorderDxfId="970" tableBorderDxfId="968" totalsRowBorderDxfId="9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6"/>
    <tableColumn id="2" xr3:uid="{7C3577CA-FC44-4DC9-9002-D4EA74DFF73F}" name="Cliente" dataDxfId="965"/>
    <tableColumn id="3" xr3:uid="{77D25058-5D06-4E37-8746-BF184DDEEA81}" name="Forma de Pgto" dataDxfId="964" dataCellStyle="Moeda"/>
    <tableColumn id="4" xr3:uid="{5EDAFC3F-F478-449C-990C-45300A2C66DF}" name="Valor Parcela" dataDxfId="963" dataCellStyle="Porcentagem"/>
    <tableColumn id="5" xr3:uid="{5DBCC805-C046-4526-8886-13334D431CB2}" name="Nº Parcela" dataDxfId="96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1" headerRowBorderDxfId="960" tableBorderDxfId="959" totalsRowBorderDxfId="958">
  <autoFilter ref="K34:M41" xr:uid="{1B8643D4-6AC3-4029-882A-C62E9D7CB225}"/>
  <tableColumns count="3">
    <tableColumn id="1" xr3:uid="{FDFEB034-D746-488E-9611-5C5421DF9812}" name="OS" dataDxfId="957"/>
    <tableColumn id="2" xr3:uid="{AD1C8A9C-91DA-4D2C-A438-9B8648A5521B}" name="Parcelas" dataDxfId="956"/>
    <tableColumn id="3" xr3:uid="{577D3B3F-3A18-4FE3-8E0F-E82C9012821F}" name="Valor Total" dataDxfId="955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AD4DB8C-958E-4B74-B249-328579C31AAE}" name="vend14" displayName="vend14" ref="E5:I22" totalsRowShown="0" headerRowDxfId="954" dataDxfId="952" headerRowBorderDxfId="953" tableBorderDxfId="951" totalsRowBorderDxfId="9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4FC823F-AD7D-4F59-9EFE-349C193427C1}" name="Nº Venda" dataDxfId="949" dataCellStyle="Moeda"/>
    <tableColumn id="5" xr3:uid="{330C8A69-28F1-4E95-8B2F-55B902B3DD5F}" name="Cliente" dataDxfId="948" dataCellStyle="Moeda"/>
    <tableColumn id="2" xr3:uid="{9886EE2C-1E54-41F3-9ED5-ADF8B612ED46}" name="Forma de Pgto" dataDxfId="947" dataCellStyle="Moeda"/>
    <tableColumn id="3" xr3:uid="{63969BEB-4019-4159-B0A1-5C016B143C33}" name="Valor Venda" dataDxfId="946" dataCellStyle="Porcentagem"/>
    <tableColumn id="4" xr3:uid="{04EF346B-8281-4B6C-8FDC-57942C7220BD}" name="Entrada" dataDxfId="945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5E8E31D-E129-4476-9E01-B8F6E9507711}" name="desp14" displayName="desp14" ref="K5:M11" totalsRowShown="0" headerRowDxfId="944" dataDxfId="942" headerRowBorderDxfId="943" tableBorderDxfId="941" totalsRowBorderDxfId="940">
  <autoFilter ref="K5:M11" xr:uid="{00000000-0009-0000-0100-000015000000}"/>
  <tableColumns count="3">
    <tableColumn id="1" xr3:uid="{F04B393D-2AAB-4FBA-A8D7-F056D3655C80}" name="Descrição" dataDxfId="939"/>
    <tableColumn id="2" xr3:uid="{64F07EC9-9BFA-4D5D-89EA-97192D87A792}" name="Tipo de Pagto" dataDxfId="938"/>
    <tableColumn id="3" xr3:uid="{3ADA4925-EEF4-423D-AA47-9538F92FF253}" name="Valor" dataDxfId="937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FADCE3B-9607-4F55-87CB-3E05C6EA21C3}" name="rest_entr14" displayName="rest_entr14" ref="E25:I31" totalsRowShown="0" headerRowDxfId="936" dataDxfId="934" headerRowBorderDxfId="935" tableBorderDxfId="933" totalsRowBorderDxfId="9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95759CE-3998-4D51-9443-43252B749367}" name="Nº Venda" dataDxfId="931"/>
    <tableColumn id="2" xr3:uid="{D279FA5B-42D7-4D9E-A1AD-2A7A9DF8B4CF}" name="Cliente" dataDxfId="930"/>
    <tableColumn id="3" xr3:uid="{1B9191E9-9F7B-4B9D-8607-74CB305126A7}" name="Forma de Pgto" dataDxfId="929" dataCellStyle="Moeda"/>
    <tableColumn id="4" xr3:uid="{60539B54-7E8E-462A-8FC4-F57FE5C46786}" name="Valor Venda" dataDxfId="928" dataCellStyle="Porcentagem"/>
    <tableColumn id="5" xr3:uid="{DB73E01F-C478-4A80-AB44-8254592C8F48}" name="Entrada" dataDxfId="927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07447CE-4624-4F3F-95C5-086A860B647B}" name="os_entr_dia14" displayName="os_entr_dia14" ref="K14:M31" totalsRowShown="0" headerRowDxfId="926" dataDxfId="924" headerRowBorderDxfId="925" tableBorderDxfId="923" totalsRowBorderDxfId="922">
  <autoFilter ref="K14:M31" xr:uid="{C83FE64B-E221-4DAA-89EA-5307A7BC98B3}"/>
  <tableColumns count="3">
    <tableColumn id="1" xr3:uid="{1A88605D-88DC-4D86-8215-D5C35666065C}" name="OS" dataDxfId="921"/>
    <tableColumn id="2" xr3:uid="{AE75C491-B8E3-4513-AF88-653507A76773}" name="Vendedor" dataDxfId="920"/>
    <tableColumn id="3" xr3:uid="{97BAD5DF-3B04-444C-BEC5-6989DD32A778}" name="CARNE" dataDxfId="919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3037F615-8681-4ABB-A8C3-B9D85E76F868}" name="rec_carn14" displayName="rec_carn14" ref="E34:I41" totalsRowShown="0" headerRowDxfId="918" dataDxfId="916" headerRowBorderDxfId="917" tableBorderDxfId="915" totalsRowBorderDxfId="9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6ADC19-A748-4E3A-9DC7-BE77F8902F8F}" name="OS" dataDxfId="913"/>
    <tableColumn id="2" xr3:uid="{AF2F46DE-040F-42D1-8513-6CE79EADF117}" name="Cliente" dataDxfId="912"/>
    <tableColumn id="3" xr3:uid="{07D06CF2-966D-4711-AC23-D930D369225C}" name="Forma de Pgto" dataDxfId="911" dataCellStyle="Moeda"/>
    <tableColumn id="4" xr3:uid="{03EF4BCA-01FC-4D95-9A80-69D30BCAE71B}" name="Valor Parcela" dataDxfId="910" dataCellStyle="Porcentagem"/>
    <tableColumn id="5" xr3:uid="{3B1AA6D5-89FD-4A1E-86E3-8295962286DC}" name="Nº Parcela" dataDxfId="909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BE7351B-7206-45A0-8355-CF0B875BDC84}" name="entr_carn14" displayName="entr_carn14" ref="K34:M41" totalsRowShown="0" headerRowDxfId="908" headerRowBorderDxfId="907" tableBorderDxfId="906" totalsRowBorderDxfId="905">
  <autoFilter ref="K34:M41" xr:uid="{1B8643D4-6AC3-4029-882A-C62E9D7CB225}"/>
  <tableColumns count="3">
    <tableColumn id="1" xr3:uid="{13A2D332-BCA7-450E-B79B-D91A8F2E326F}" name="OS" dataDxfId="904"/>
    <tableColumn id="2" xr3:uid="{C764DF51-522F-4E9F-B295-0ECA6FE9B8CB}" name="Parcelas" dataDxfId="903"/>
    <tableColumn id="3" xr3:uid="{0C3CAD34-0FD1-483F-B2A2-7D220A86D02F}" name="Valor Total" dataDxfId="902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1" dataDxfId="899" headerRowBorderDxfId="900" tableBorderDxfId="898" totalsRowBorderDxfId="8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6" dataCellStyle="Moeda"/>
    <tableColumn id="5" xr3:uid="{864A4F89-382F-4099-9D59-467A7AB12940}" name="Cliente" dataDxfId="895" dataCellStyle="Moeda"/>
    <tableColumn id="2" xr3:uid="{529253EE-0917-4E7A-AA5F-14D2DCAD4080}" name="Forma de Pgto" dataDxfId="894" dataCellStyle="Moeda"/>
    <tableColumn id="3" xr3:uid="{7A07E6EC-5721-4AB5-B7BB-F8D16153B615}" name="Valor Venda" dataDxfId="893" dataCellStyle="Porcentagem"/>
    <tableColumn id="4" xr3:uid="{E3569DCA-7BA5-47A8-9C20-6FB2B553052E}" name="Entrada" dataDxfId="892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1" dataDxfId="889" headerRowBorderDxfId="890" tableBorderDxfId="888" totalsRowBorderDxfId="887">
  <autoFilter ref="K5:M11" xr:uid="{00000000-0009-0000-0100-000015000000}"/>
  <tableColumns count="3">
    <tableColumn id="1" xr3:uid="{95CF041F-F7B4-4974-9B76-66A5C7C3CF1E}" name="Descrição" dataDxfId="886"/>
    <tableColumn id="2" xr3:uid="{010F2147-2B02-4E80-9D4E-E9E6110BD535}" name="Tipo de Pagto" dataDxfId="885"/>
    <tableColumn id="3" xr3:uid="{667C80AD-481C-4689-8F6A-2426991759A7}" name="Valor" dataDxfId="884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3" dataDxfId="881" headerRowBorderDxfId="882" tableBorderDxfId="880" totalsRowBorderDxfId="87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8"/>
    <tableColumn id="2" xr3:uid="{A401C727-3942-4BDF-BC32-5D789E1F6979}" name="Cliente" dataDxfId="877"/>
    <tableColumn id="3" xr3:uid="{29237CE2-AC3D-477F-ABA7-60B5DA6F8120}" name="Forma de Pgto" dataDxfId="876" dataCellStyle="Moeda"/>
    <tableColumn id="4" xr3:uid="{A39B1F5A-49E3-45B8-BCA8-E3252A43E2CC}" name="Valor Venda" dataDxfId="875" dataCellStyle="Porcentagem"/>
    <tableColumn id="5" xr3:uid="{A1809E96-D43C-48CA-B4B0-F8952BB21709}" name="Entrada" dataDxfId="874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3" dataDxfId="871" headerRowBorderDxfId="872" tableBorderDxfId="870" totalsRowBorderDxfId="86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8"/>
    <tableColumn id="2" xr3:uid="{61C3945B-58EB-4D02-A420-14D13F69B1FD}" name="Vendedor" dataDxfId="867"/>
    <tableColumn id="3" xr3:uid="{310A696D-E474-4609-8CAC-92E3BC19A517}" name="CARNE" dataDxfId="866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5" dataDxfId="863" headerRowBorderDxfId="864" tableBorderDxfId="862" totalsRowBorderDxfId="86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0"/>
    <tableColumn id="2" xr3:uid="{A7114117-5F41-4611-B14C-A3B2F7C35961}" name="Cliente" dataDxfId="859"/>
    <tableColumn id="3" xr3:uid="{3B2F2924-60FC-459E-BAAE-2D26D316360F}" name="Forma de Pgto" dataDxfId="858" dataCellStyle="Moeda"/>
    <tableColumn id="4" xr3:uid="{8C86BF8B-36B7-46FA-B050-2F1437A14710}" name="Valor Parcela" dataDxfId="857" dataCellStyle="Porcentagem"/>
    <tableColumn id="5" xr3:uid="{C429DF1A-E6B0-43DD-A949-A1EBA6DBEC04}" name="Nº Parcela" dataDxfId="856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5" headerRowBorderDxfId="854" tableBorderDxfId="853" totalsRowBorderDxfId="852">
  <autoFilter ref="K34:M41" xr:uid="{1B8643D4-6AC3-4029-882A-C62E9D7CB225}"/>
  <tableColumns count="3">
    <tableColumn id="1" xr3:uid="{182484ED-66B8-43D1-B168-BDEB5996673F}" name="OS" dataDxfId="851"/>
    <tableColumn id="2" xr3:uid="{FC47BB11-B6D3-4928-BFCD-BDAC4B2BDD2F}" name="Parcelas" dataDxfId="850"/>
    <tableColumn id="3" xr3:uid="{F7E0E4E8-A2A1-4513-B1F5-B98008299FD0}" name="Valor Total" dataDxfId="849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8" dataDxfId="846" headerRowBorderDxfId="847" tableBorderDxfId="845" totalsRowBorderDxfId="84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3" dataCellStyle="Moeda"/>
    <tableColumn id="5" xr3:uid="{2B9E675C-5EB2-4EBC-8FDE-19F93E6E7B08}" name="Cliente" dataDxfId="842" dataCellStyle="Moeda"/>
    <tableColumn id="2" xr3:uid="{04A3548D-E88B-4096-85CB-E08243412A85}" name="Forma de Pgto" dataDxfId="841" dataCellStyle="Moeda"/>
    <tableColumn id="3" xr3:uid="{977F794D-E094-4347-935B-1202B7138C52}" name="Valor Venda" dataDxfId="840" dataCellStyle="Porcentagem"/>
    <tableColumn id="4" xr3:uid="{908F3845-FF06-4899-A550-28B1BE92D1A9}" name="Entrada" dataDxfId="839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8" dataDxfId="836" headerRowBorderDxfId="837" tableBorderDxfId="835" totalsRowBorderDxfId="834">
  <autoFilter ref="K5:M11" xr:uid="{00000000-0009-0000-0100-000015000000}"/>
  <tableColumns count="3">
    <tableColumn id="1" xr3:uid="{F9AC75BC-BCF6-4B22-9F75-0F3CC507495B}" name="Descrição" dataDxfId="833"/>
    <tableColumn id="2" xr3:uid="{61D86D1A-7892-4923-9684-5D9A01F0BD5D}" name="Tipo de Pagto" dataDxfId="832"/>
    <tableColumn id="3" xr3:uid="{3F8C718F-C7FE-423F-9F48-66FB2201CFE2}" name="Valor" dataDxfId="831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0" dataDxfId="828" headerRowBorderDxfId="829" tableBorderDxfId="827" totalsRowBorderDxfId="82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5"/>
    <tableColumn id="2" xr3:uid="{994EFF98-DD95-4B94-B1C7-D068C1D5212C}" name="Cliente" dataDxfId="824"/>
    <tableColumn id="3" xr3:uid="{7D4E72E0-4CFA-46C9-B3AF-A1654CF194A1}" name="Forma de Pgto" dataDxfId="823" dataCellStyle="Moeda"/>
    <tableColumn id="4" xr3:uid="{EE367263-F1E4-4631-A484-2013B6BA1F27}" name="Valor Venda" dataDxfId="822" dataCellStyle="Porcentagem"/>
    <tableColumn id="5" xr3:uid="{9DA475CB-BD5A-4734-A11F-3BB7DD0D9D7E}" name="Entrada" dataDxfId="821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0" dataDxfId="818" headerRowBorderDxfId="819" tableBorderDxfId="817" totalsRowBorderDxfId="81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5"/>
    <tableColumn id="2" xr3:uid="{9ED68045-86C7-4BE0-8AE0-0417F1DD76FD}" name="Vendedor" dataDxfId="814"/>
    <tableColumn id="3" xr3:uid="{F4076139-8BF9-457D-ADE6-1BCD435E31BB}" name="CARNE" dataDxfId="813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2" dataDxfId="810" headerRowBorderDxfId="811" tableBorderDxfId="809" totalsRowBorderDxfId="80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7"/>
    <tableColumn id="2" xr3:uid="{E89F59BF-5F0B-4E4E-B2BE-7B739967886D}" name="Cliente" dataDxfId="806"/>
    <tableColumn id="3" xr3:uid="{B348335B-A485-46BE-AECB-0672679F4468}" name="Forma de Pgto" dataDxfId="805" dataCellStyle="Moeda"/>
    <tableColumn id="4" xr3:uid="{73B13E6E-5431-4E90-9A6E-E15737DDA887}" name="Valor Parcela" dataDxfId="804" dataCellStyle="Porcentagem"/>
    <tableColumn id="5" xr3:uid="{C738A843-A8FD-4CB7-B2C8-59810BA17BF2}" name="Nº Parcela" dataDxfId="803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2" headerRowBorderDxfId="801" tableBorderDxfId="800" totalsRowBorderDxfId="799">
  <autoFilter ref="K34:M41" xr:uid="{1B8643D4-6AC3-4029-882A-C62E9D7CB225}"/>
  <tableColumns count="3">
    <tableColumn id="1" xr3:uid="{3F5F54B7-8999-4296-A374-3780F172D2B8}" name="OS" dataDxfId="798"/>
    <tableColumn id="2" xr3:uid="{5F252D86-495C-4A65-B391-3FF46311DE83}" name="Parcelas" dataDxfId="797"/>
    <tableColumn id="3" xr3:uid="{50E905DA-42A9-43E1-8D51-FD4BDEAB81C8}" name="Valor Total" dataDxfId="796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5" dataDxfId="793" headerRowBorderDxfId="794" tableBorderDxfId="792" totalsRowBorderDxfId="7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0" dataCellStyle="Moeda"/>
    <tableColumn id="5" xr3:uid="{08C272CC-0220-47BB-9263-1AA910D9829C}" name="Cliente" dataDxfId="789" dataCellStyle="Moeda"/>
    <tableColumn id="2" xr3:uid="{DF276F1F-7FCA-4CE9-AD90-5340B6E688D4}" name="Forma de Pgto" dataDxfId="788" dataCellStyle="Moeda"/>
    <tableColumn id="3" xr3:uid="{CF6FE509-8C51-4621-87DF-AAD8645E20D4}" name="Valor Venda" dataDxfId="787" dataCellStyle="Porcentagem"/>
    <tableColumn id="4" xr3:uid="{5AB6BADB-DBB7-45C0-89E8-2C836C831FCF}" name="Entrada" dataDxfId="786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5" dataDxfId="783" headerRowBorderDxfId="784" tableBorderDxfId="782" totalsRowBorderDxfId="781">
  <autoFilter ref="K5:M11" xr:uid="{00000000-0009-0000-0100-000015000000}"/>
  <tableColumns count="3">
    <tableColumn id="1" xr3:uid="{8CE76670-7409-454F-9B3A-4BD739F5C5E3}" name="Descrição" dataDxfId="780"/>
    <tableColumn id="2" xr3:uid="{B2BAF2DB-A6EF-41C6-8A5D-66027E15C8F8}" name="Tipo de Pagto" dataDxfId="779"/>
    <tableColumn id="3" xr3:uid="{99CFD3BD-FC58-49DA-AC21-ACD3EE40336E}" name="Valor" dataDxfId="778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7" dataDxfId="775" headerRowBorderDxfId="776" tableBorderDxfId="774" totalsRowBorderDxfId="7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2"/>
    <tableColumn id="2" xr3:uid="{B886F79B-BD9C-476A-88F8-CB3F80E42FD0}" name="Cliente" dataDxfId="771"/>
    <tableColumn id="3" xr3:uid="{78D9CA4E-E9E8-4359-8144-996DE0EE7A64}" name="Forma de Pgto" dataDxfId="770" dataCellStyle="Moeda"/>
    <tableColumn id="4" xr3:uid="{F327BA72-0013-44A1-B3CE-07FACF46CAC8}" name="Valor Venda" dataDxfId="769" dataCellStyle="Porcentagem"/>
    <tableColumn id="5" xr3:uid="{20494810-9085-4087-A73E-D3FE8DC5C40D}" name="Entrada" dataDxfId="768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7" dataDxfId="765" headerRowBorderDxfId="766" tableBorderDxfId="764" totalsRowBorderDxfId="763">
  <autoFilter ref="K14:M31" xr:uid="{C83FE64B-E221-4DAA-89EA-5307A7BC98B3}"/>
  <tableColumns count="3">
    <tableColumn id="1" xr3:uid="{40D1E49B-6CB3-409E-AFC1-7315BAF42BBF}" name="OS" dataDxfId="762"/>
    <tableColumn id="2" xr3:uid="{4C8709E7-DDF3-475B-9A19-42E8B9FC587D}" name="Vendedor" dataDxfId="761"/>
    <tableColumn id="3" xr3:uid="{185D4DF1-07D8-4494-B6E4-5B4CFC4E2B4E}" name="CARNE" dataDxfId="760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59" dataDxfId="757" headerRowBorderDxfId="758" tableBorderDxfId="756" totalsRowBorderDxfId="7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4"/>
    <tableColumn id="2" xr3:uid="{CA06119C-2085-4F7F-B293-65E2AF15EEE5}" name="Cliente" dataDxfId="753"/>
    <tableColumn id="3" xr3:uid="{BF529E56-33D1-40B5-8E7B-EFBAB59D2A71}" name="Forma de Pgto" dataDxfId="752" dataCellStyle="Moeda"/>
    <tableColumn id="4" xr3:uid="{66CAC967-C216-41AB-BBFE-D7EC8E60B5DB}" name="Valor Parcela" dataDxfId="751" dataCellStyle="Porcentagem"/>
    <tableColumn id="5" xr3:uid="{684E478E-5460-400B-8F1B-2956E3BF42E8}" name="Nº Parcela" dataDxfId="750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49" headerRowBorderDxfId="748" tableBorderDxfId="747" totalsRowBorderDxfId="746">
  <autoFilter ref="K34:M41" xr:uid="{1B8643D4-6AC3-4029-882A-C62E9D7CB225}"/>
  <tableColumns count="3">
    <tableColumn id="1" xr3:uid="{3DD44433-DB26-4FDD-8D11-D1C35C6FECEB}" name="OS" dataDxfId="745"/>
    <tableColumn id="2" xr3:uid="{A9DC5AE8-407E-40E2-8AD6-B02FE1A5CF20}" name="Parcelas" dataDxfId="744"/>
    <tableColumn id="3" xr3:uid="{6A850C65-FE9A-4796-B920-651ED5594439}" name="Valor Total" dataDxfId="743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2" dataDxfId="740" headerRowBorderDxfId="741" tableBorderDxfId="739" totalsRowBorderDxfId="738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7" dataCellStyle="Moeda"/>
    <tableColumn id="5" xr3:uid="{60E6A65C-186D-4764-A3E8-74F5C0B0AFC1}" name="Cliente" dataDxfId="736" dataCellStyle="Moeda"/>
    <tableColumn id="2" xr3:uid="{22FA520F-5DA7-46FD-9861-DF942B6D91AB}" name="Forma de Pgto" dataDxfId="735" dataCellStyle="Moeda"/>
    <tableColumn id="3" xr3:uid="{7DEE868C-EA7D-401A-A3DF-4CC64A44467F}" name="Valor Venda" dataDxfId="734" dataCellStyle="Porcentagem"/>
    <tableColumn id="4" xr3:uid="{720D25ED-5FF4-421F-94C6-24275CF94733}" name="Entrada" dataDxfId="733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2" dataDxfId="730" headerRowBorderDxfId="731" tableBorderDxfId="729" totalsRowBorderDxfId="728">
  <autoFilter ref="K5:M11" xr:uid="{00000000-0009-0000-0100-000015000000}"/>
  <tableColumns count="3">
    <tableColumn id="1" xr3:uid="{2FBA0522-04E5-4ED5-94F6-52B232AF2373}" name="Descrição" dataDxfId="727"/>
    <tableColumn id="2" xr3:uid="{DB3FC5DE-C5F6-4B07-A662-D19BD76E91F6}" name="Tipo de Pagto" dataDxfId="726"/>
    <tableColumn id="3" xr3:uid="{A2799F30-0033-4E72-9108-ABF645A8DCD3}" name="Valor" dataDxfId="725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4" dataDxfId="722" headerRowBorderDxfId="723" tableBorderDxfId="721" totalsRowBorderDxfId="72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19"/>
    <tableColumn id="2" xr3:uid="{6DECDDC0-CF3A-4677-94C4-62618488FE89}" name="Cliente" dataDxfId="718"/>
    <tableColumn id="3" xr3:uid="{D40EA3F2-0782-4C3D-A060-4DCC1DCF2881}" name="Forma de Pgto" dataDxfId="717" dataCellStyle="Moeda"/>
    <tableColumn id="4" xr3:uid="{A527DD67-780C-4EE1-A7AE-0831114EA80A}" name="Valor Venda" dataDxfId="716" dataCellStyle="Porcentagem"/>
    <tableColumn id="5" xr3:uid="{4082F19A-5570-4E9D-B250-BCD24B16165E}" name="Entrada" dataDxfId="715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4" dataDxfId="712" headerRowBorderDxfId="713" tableBorderDxfId="711" totalsRowBorderDxfId="710">
  <autoFilter ref="K14:M31" xr:uid="{C83FE64B-E221-4DAA-89EA-5307A7BC98B3}"/>
  <tableColumns count="3">
    <tableColumn id="1" xr3:uid="{CF4CC083-8415-4A42-9102-69414AAB96C8}" name="OS" dataDxfId="709"/>
    <tableColumn id="2" xr3:uid="{AFF5A585-6EEA-427D-B49B-A553763AA94C}" name="Vendedor" dataDxfId="708"/>
    <tableColumn id="3" xr3:uid="{2D8D088A-4AB0-487F-929A-89D197884938}" name="CARNE" dataDxfId="707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6" dataDxfId="704" headerRowBorderDxfId="705" tableBorderDxfId="703" totalsRowBorderDxfId="70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1"/>
    <tableColumn id="2" xr3:uid="{71667114-B8E0-4FEE-B3C4-B23C231E71C9}" name="Cliente" dataDxfId="700"/>
    <tableColumn id="3" xr3:uid="{413E4F46-D41F-4D0A-8403-3244651C22ED}" name="Forma de Pgto" dataDxfId="699" dataCellStyle="Moeda"/>
    <tableColumn id="4" xr3:uid="{695A7396-BEC7-498E-8F8D-5C11C17422D0}" name="Valor Parcela" dataDxfId="698" dataCellStyle="Porcentagem"/>
    <tableColumn id="5" xr3:uid="{7D0562F5-5DF1-49C0-BE96-CBD4632BD577}" name="Nº Parcela" dataDxfId="697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6" headerRowBorderDxfId="695" tableBorderDxfId="694" totalsRowBorderDxfId="693">
  <autoFilter ref="K34:M41" xr:uid="{1B8643D4-6AC3-4029-882A-C62E9D7CB225}"/>
  <tableColumns count="3">
    <tableColumn id="1" xr3:uid="{468A4151-2B13-428F-B7B3-DD7850FB056D}" name="OS" dataDxfId="692"/>
    <tableColumn id="2" xr3:uid="{0E5A1628-3806-4E80-9B5C-6CCB43ED7A95}" name="Parcelas" dataDxfId="691"/>
    <tableColumn id="3" xr3:uid="{94527026-C4E7-48B1-ADEC-FAE98EDE2DF7}" name="Valor Total" dataDxfId="690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89" dataDxfId="687" headerRowBorderDxfId="688" tableBorderDxfId="686" totalsRowBorderDxfId="6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4" dataCellStyle="Moeda"/>
    <tableColumn id="5" xr3:uid="{B476382F-8FC0-4C4B-904B-9CEC2FD1737F}" name="Cliente" dataDxfId="683" dataCellStyle="Moeda"/>
    <tableColumn id="2" xr3:uid="{9347CB1E-8ECB-4789-B3B3-F0676BCEF308}" name="Forma de Pgto" dataDxfId="682" dataCellStyle="Moeda"/>
    <tableColumn id="3" xr3:uid="{95E7B651-F8E7-4260-A9CD-31524C1AF920}" name="Valor Venda" dataDxfId="681" dataCellStyle="Porcentagem"/>
    <tableColumn id="4" xr3:uid="{E1F36979-874B-46CF-A70F-6769CE2B4972}" name="Entrada" dataDxfId="680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79" dataDxfId="677" headerRowBorderDxfId="678" tableBorderDxfId="676" totalsRowBorderDxfId="675">
  <autoFilter ref="K5:M11" xr:uid="{00000000-0009-0000-0100-000015000000}"/>
  <tableColumns count="3">
    <tableColumn id="1" xr3:uid="{5DAF9728-D097-46AC-AFA1-2A7D5A636197}" name="Descrição" dataDxfId="674"/>
    <tableColumn id="2" xr3:uid="{7E14BBAB-F602-43F7-BA75-66182DDDFB5A}" name="Tipo de Pagto" dataDxfId="673"/>
    <tableColumn id="3" xr3:uid="{807C6654-E3F5-4B45-B712-93A22255EE13}" name="Valor" dataDxfId="672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1" dataDxfId="669" headerRowBorderDxfId="670" tableBorderDxfId="668" totalsRowBorderDxfId="6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6"/>
    <tableColumn id="2" xr3:uid="{DA2D4CE2-3235-4592-824A-D21C9FEE1324}" name="Cliente" dataDxfId="665"/>
    <tableColumn id="3" xr3:uid="{78436E8E-423C-4634-A0AC-78283D9649B2}" name="Forma de Pgto" dataDxfId="664" dataCellStyle="Moeda"/>
    <tableColumn id="4" xr3:uid="{9B5C140A-AEF6-451D-B599-1B3C00239BF3}" name="Valor Venda" dataDxfId="663" dataCellStyle="Porcentagem"/>
    <tableColumn id="5" xr3:uid="{91C4587E-3C3A-4A8E-B0CF-84D9FBCB29D6}" name="Entrada" dataDxfId="662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1" dataDxfId="659" headerRowBorderDxfId="660" tableBorderDxfId="658" totalsRowBorderDxfId="6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6"/>
    <tableColumn id="2" xr3:uid="{8A5D657B-8F60-4746-999B-0FA3393A39E9}" name="Vendedor" dataDxfId="655"/>
    <tableColumn id="3" xr3:uid="{496CB9CC-67BF-4541-A109-5F5FF565C716}" name="CARNE" dataDxfId="654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3" dataDxfId="651" headerRowBorderDxfId="652" tableBorderDxfId="650" totalsRowBorderDxfId="6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8"/>
    <tableColumn id="2" xr3:uid="{B3362A08-206B-41A8-970B-34C6B8B4C7AA}" name="Cliente" dataDxfId="647"/>
    <tableColumn id="3" xr3:uid="{718A6844-98C1-4F96-8966-19162734BEB9}" name="Forma de Pgto" dataDxfId="646" dataCellStyle="Moeda"/>
    <tableColumn id="4" xr3:uid="{DC15894A-49A7-435B-A661-5666005BEEC8}" name="Valor Parcela" dataDxfId="645" dataCellStyle="Porcentagem"/>
    <tableColumn id="5" xr3:uid="{DE080DD1-0F6B-485E-8515-CE624433C220}" name="Nº Parcela" dataDxfId="644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3" headerRowBorderDxfId="642" tableBorderDxfId="641" totalsRowBorderDxfId="640">
  <autoFilter ref="K34:M41" xr:uid="{1B8643D4-6AC3-4029-882A-C62E9D7CB225}"/>
  <tableColumns count="3">
    <tableColumn id="1" xr3:uid="{DF952D1A-166D-4762-BD7E-3B8C91304310}" name="OS" dataDxfId="639"/>
    <tableColumn id="2" xr3:uid="{4F0F7384-D5B8-477E-9EC7-B82060EBBD78}" name="Parcelas" dataDxfId="638"/>
    <tableColumn id="3" xr3:uid="{8DD00EBF-D0FE-4903-8F44-7064A873609A}" name="Valor Total" dataDxfId="637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6" dataDxfId="634" headerRowBorderDxfId="635" tableBorderDxfId="633" totalsRowBorderDxfId="63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1" dataCellStyle="Moeda"/>
    <tableColumn id="5" xr3:uid="{F65697F3-20D0-4B41-BE55-C2885202D924}" name="Cliente" dataDxfId="630" dataCellStyle="Moeda"/>
    <tableColumn id="2" xr3:uid="{11E8E848-C035-46A3-B1AB-9BBD863CA30A}" name="Forma de Pgto" dataDxfId="629" dataCellStyle="Moeda"/>
    <tableColumn id="3" xr3:uid="{CE50BBF0-66D9-4ABB-AD66-D300C740ED4C}" name="Valor Venda" dataDxfId="628" dataCellStyle="Porcentagem"/>
    <tableColumn id="4" xr3:uid="{A6700982-093E-4E60-A8B4-C0EB11A78A03}" name="Entrada" dataDxfId="627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6" dataDxfId="624" headerRowBorderDxfId="625" tableBorderDxfId="623" totalsRowBorderDxfId="622">
  <autoFilter ref="K5:M11" xr:uid="{00000000-0009-0000-0100-000015000000}"/>
  <tableColumns count="3">
    <tableColumn id="1" xr3:uid="{53B1873C-545D-4906-B601-0C81EDA7CFE1}" name="Descrição" dataDxfId="621"/>
    <tableColumn id="2" xr3:uid="{76E6DB40-F96B-4A9C-8632-7103030C72DC}" name="Tipo de Pagto" dataDxfId="620"/>
    <tableColumn id="3" xr3:uid="{C62F93B6-2A0A-47C6-8FF1-E604490619BC}" name="Valor" dataDxfId="619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8" dataDxfId="616" headerRowBorderDxfId="617" tableBorderDxfId="615" totalsRowBorderDxfId="61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3"/>
    <tableColumn id="2" xr3:uid="{B806E92F-CE0E-4D07-A956-20D8F2029057}" name="Cliente" dataDxfId="612"/>
    <tableColumn id="3" xr3:uid="{36BDBAFD-E01B-4EEA-BEB0-2FB5914B315B}" name="Forma de Pgto" dataDxfId="611" dataCellStyle="Moeda"/>
    <tableColumn id="4" xr3:uid="{56605023-01AD-4E35-8794-2FCCF14CCA1F}" name="Valor Venda" dataDxfId="610" dataCellStyle="Porcentagem"/>
    <tableColumn id="5" xr3:uid="{C1960D0E-D625-415E-9C4E-608948FC535D}" name="Entrada" dataDxfId="609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8" dataDxfId="606" headerRowBorderDxfId="607" tableBorderDxfId="605" totalsRowBorderDxfId="604">
  <autoFilter ref="K14:M31" xr:uid="{C83FE64B-E221-4DAA-89EA-5307A7BC98B3}"/>
  <tableColumns count="3">
    <tableColumn id="1" xr3:uid="{6A036C59-7D03-43F7-84CF-EE3CB14BE67B}" name="OS" dataDxfId="603"/>
    <tableColumn id="2" xr3:uid="{C5A126A9-9B7F-4F06-ADC7-ACCED0396BF3}" name="Vendedor" dataDxfId="602"/>
    <tableColumn id="3" xr3:uid="{BA1C7B45-A00B-472E-A02F-25A3DC58D90D}" name="CARNE" dataDxfId="601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0" dataDxfId="598" headerRowBorderDxfId="599" tableBorderDxfId="597" totalsRowBorderDxfId="59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5"/>
    <tableColumn id="2" xr3:uid="{2C145274-4831-4FAC-9C72-4EE6C56B54AE}" name="Cliente" dataDxfId="594"/>
    <tableColumn id="3" xr3:uid="{DE981E69-6CF2-49CA-A2F4-E16E28E648B8}" name="Forma de Pgto" dataDxfId="593" dataCellStyle="Moeda"/>
    <tableColumn id="4" xr3:uid="{6444B2E2-EBBD-4AD1-8C9A-93047C0686E8}" name="Valor Parcela" dataDxfId="592" dataCellStyle="Porcentagem"/>
    <tableColumn id="5" xr3:uid="{04528C7F-DC52-411C-A2BF-BF90292C4224}" name="Nº Parcela" dataDxfId="591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0" headerRowBorderDxfId="589" tableBorderDxfId="588" totalsRowBorderDxfId="587">
  <autoFilter ref="K34:M41" xr:uid="{1B8643D4-6AC3-4029-882A-C62E9D7CB225}"/>
  <tableColumns count="3">
    <tableColumn id="1" xr3:uid="{B8F19651-A782-44BC-8BA0-FFD090973F4B}" name="OS" dataDxfId="586"/>
    <tableColumn id="2" xr3:uid="{47E2F01C-C7E6-4997-80A0-4C35FA7B082A}" name="Parcelas" dataDxfId="585"/>
    <tableColumn id="3" xr3:uid="{BBBC80DF-0D25-47A9-9C8A-B68DAC85549A}" name="Valor Total" dataDxfId="584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3" dataDxfId="581" headerRowBorderDxfId="582" tableBorderDxfId="580" totalsRowBorderDxfId="57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8" dataCellStyle="Moeda"/>
    <tableColumn id="5" xr3:uid="{63E5AEF6-80DE-4801-B1C2-914D1F185217}" name="Cliente" dataDxfId="577" dataCellStyle="Moeda"/>
    <tableColumn id="2" xr3:uid="{1109E74A-578C-491B-B35C-C22544718F14}" name="Forma de Pgto" dataDxfId="576" dataCellStyle="Moeda"/>
    <tableColumn id="3" xr3:uid="{5C59392A-0568-4E84-9867-F9DCD09B25B6}" name="Valor Venda" dataDxfId="575" dataCellStyle="Porcentagem"/>
    <tableColumn id="4" xr3:uid="{D2C3A378-8143-432B-A8C6-A6193ABD7662}" name="Entrada" dataDxfId="574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3" dataDxfId="571" headerRowBorderDxfId="572" tableBorderDxfId="570" totalsRowBorderDxfId="569">
  <autoFilter ref="K5:M11" xr:uid="{00000000-0009-0000-0100-000015000000}"/>
  <tableColumns count="3">
    <tableColumn id="1" xr3:uid="{E6962685-66B9-4B52-AFC6-82E1DC5ABF13}" name="Descrição" dataDxfId="568"/>
    <tableColumn id="2" xr3:uid="{632111FE-E109-4AB8-89E6-0435B85BD131}" name="Tipo de Pagto" dataDxfId="567"/>
    <tableColumn id="3" xr3:uid="{E8C5B365-8D2D-4605-8A16-1AB9150BCC44}" name="Valor" dataDxfId="566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5" dataDxfId="563" headerRowBorderDxfId="564" tableBorderDxfId="562" totalsRowBorderDxfId="56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0"/>
    <tableColumn id="2" xr3:uid="{C0E81097-83C4-4524-8E34-CEF9787F8A7E}" name="Cliente" dataDxfId="559"/>
    <tableColumn id="3" xr3:uid="{8D59E67E-B452-4F9A-AAE0-36EA95BB6E19}" name="Forma de Pgto" dataDxfId="558" dataCellStyle="Moeda"/>
    <tableColumn id="4" xr3:uid="{F7466880-2D96-46D0-97F5-A0F3057F4B83}" name="Valor Venda" dataDxfId="557" dataCellStyle="Porcentagem"/>
    <tableColumn id="5" xr3:uid="{1C9ACBF3-A8FA-4869-9459-B9FD6EE7CC98}" name="Entrada" dataDxfId="556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5" dataDxfId="553" headerRowBorderDxfId="554" tableBorderDxfId="552" totalsRowBorderDxfId="551">
  <autoFilter ref="K14:M31" xr:uid="{C83FE64B-E221-4DAA-89EA-5307A7BC98B3}"/>
  <tableColumns count="3">
    <tableColumn id="1" xr3:uid="{B00D0221-B7E2-4319-872F-39A5F278179B}" name="OS" dataDxfId="550"/>
    <tableColumn id="2" xr3:uid="{EB50C8BC-2DB9-4F7B-B612-681BB547926A}" name="Vendedor" dataDxfId="549"/>
    <tableColumn id="3" xr3:uid="{35270191-CAC7-406B-B916-370E9194FBD0}" name="CARNE" dataDxfId="548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7" dataDxfId="545" headerRowBorderDxfId="546" tableBorderDxfId="544" totalsRowBorderDxfId="54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2"/>
    <tableColumn id="2" xr3:uid="{D650DC73-190F-4D20-A432-5DFA05B32EBB}" name="Cliente" dataDxfId="541"/>
    <tableColumn id="3" xr3:uid="{B232D3BA-4291-4772-8FA1-966DFC2F6BAD}" name="Forma de Pgto" dataDxfId="540" dataCellStyle="Moeda"/>
    <tableColumn id="4" xr3:uid="{27933DC4-0B14-4F8A-9424-CDECA8B0BE13}" name="Valor Parcela" dataDxfId="539" dataCellStyle="Porcentagem"/>
    <tableColumn id="5" xr3:uid="{812A2DA5-D78D-454A-BF37-5BC7C8B486FB}" name="Nº Parcela" dataDxfId="538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7" headerRowBorderDxfId="536" tableBorderDxfId="535" totalsRowBorderDxfId="534">
  <autoFilter ref="K34:M41" xr:uid="{1B8643D4-6AC3-4029-882A-C62E9D7CB225}"/>
  <tableColumns count="3">
    <tableColumn id="1" xr3:uid="{F3E7E89B-8196-4CDC-A23E-947DB3CEA07C}" name="OS" dataDxfId="533"/>
    <tableColumn id="2" xr3:uid="{D705822D-AFE1-401D-A8C8-7D7BB7A4C86C}" name="Parcelas" dataDxfId="532"/>
    <tableColumn id="3" xr3:uid="{C528E7A1-6466-4E27-8A7C-A46F4678792C}" name="Valor Total" dataDxfId="531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0" dataDxfId="528" headerRowBorderDxfId="529" tableBorderDxfId="527" totalsRowBorderDxfId="52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5" dataCellStyle="Moeda"/>
    <tableColumn id="5" xr3:uid="{935EFB73-C7DF-4DB2-A9CA-2CCBA3650F22}" name="Cliente" dataDxfId="524" dataCellStyle="Moeda"/>
    <tableColumn id="2" xr3:uid="{869122A0-3CC2-4E92-8EFB-746E8E8CB311}" name="Forma de Pgto" dataDxfId="523" dataCellStyle="Moeda"/>
    <tableColumn id="3" xr3:uid="{6DA3B9FE-BCC2-4503-9E60-EA0ED444B7A6}" name="Valor Venda" dataDxfId="522" dataCellStyle="Porcentagem"/>
    <tableColumn id="4" xr3:uid="{A8A1A79C-5DE2-48A0-9D24-1DA382BBF42E}" name="Entrada" dataDxfId="521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0" dataDxfId="518" headerRowBorderDxfId="519" tableBorderDxfId="517" totalsRowBorderDxfId="516">
  <autoFilter ref="K5:M11" xr:uid="{00000000-0009-0000-0100-000015000000}"/>
  <tableColumns count="3">
    <tableColumn id="1" xr3:uid="{3E8535D4-7B2A-41EF-B25F-D96FCA746C77}" name="Descrição" dataDxfId="515"/>
    <tableColumn id="2" xr3:uid="{29FD7EBB-FAB4-46A7-8D0C-8DEF811BE03C}" name="Tipo de Pagto" dataDxfId="514"/>
    <tableColumn id="3" xr3:uid="{42A84199-904C-48CF-9EA1-668D5693A5E1}" name="Valor" dataDxfId="513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2" dataDxfId="510" headerRowBorderDxfId="511" tableBorderDxfId="509" totalsRowBorderDxfId="50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7"/>
    <tableColumn id="2" xr3:uid="{06FD4E8A-ECFC-46A5-9546-F18D5C7CCF46}" name="Cliente" dataDxfId="506"/>
    <tableColumn id="3" xr3:uid="{393434A3-085F-407B-B651-4C537A1C4DCA}" name="Forma de Pgto" dataDxfId="505" dataCellStyle="Moeda"/>
    <tableColumn id="4" xr3:uid="{D08FA6C2-56D1-4A76-94C1-132618C070F2}" name="Valor Venda" dataDxfId="504" dataCellStyle="Porcentagem"/>
    <tableColumn id="5" xr3:uid="{A94780A1-5426-454F-8950-AFE4D356071F}" name="Entrada" dataDxfId="503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2" dataDxfId="500" headerRowBorderDxfId="501" tableBorderDxfId="499" totalsRowBorderDxfId="498">
  <autoFilter ref="K14:M31" xr:uid="{C83FE64B-E221-4DAA-89EA-5307A7BC98B3}"/>
  <tableColumns count="3">
    <tableColumn id="1" xr3:uid="{5F81F202-5A63-416E-B66A-BC7A70C51944}" name="OS" dataDxfId="497"/>
    <tableColumn id="2" xr3:uid="{74527326-0E45-44AC-976A-01AD354EEF97}" name="Vendedor" dataDxfId="496"/>
    <tableColumn id="3" xr3:uid="{7E368C39-6290-45A4-8C60-3E0B6BEC860E}" name="CARNE" dataDxfId="495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4" dataDxfId="492" headerRowBorderDxfId="493" tableBorderDxfId="491" totalsRowBorderDxfId="49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89"/>
    <tableColumn id="2" xr3:uid="{5FB18F19-64B5-46AA-955B-A301C651C0F2}" name="Cliente" dataDxfId="488"/>
    <tableColumn id="3" xr3:uid="{51F731CD-986B-4FF6-A861-83997E66998E}" name="Forma de Pgto" dataDxfId="487" dataCellStyle="Moeda"/>
    <tableColumn id="4" xr3:uid="{BD861052-26CD-48E9-91C6-0A6DF7C6A099}" name="Valor Parcela" dataDxfId="486" dataCellStyle="Porcentagem"/>
    <tableColumn id="5" xr3:uid="{8A5D6765-7637-45A4-9660-09EDBB031EC1}" name="Nº Parcela" dataDxfId="485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4" headerRowBorderDxfId="483" tableBorderDxfId="482" totalsRowBorderDxfId="481">
  <autoFilter ref="K34:M41" xr:uid="{1B8643D4-6AC3-4029-882A-C62E9D7CB225}"/>
  <tableColumns count="3">
    <tableColumn id="1" xr3:uid="{96F2F5A7-6005-4604-8B24-0E2838B4DD29}" name="OS" dataDxfId="480"/>
    <tableColumn id="2" xr3:uid="{ED904B68-5D9C-4B50-96BA-96CAD5E34CF1}" name="Parcelas" dataDxfId="479"/>
    <tableColumn id="3" xr3:uid="{317680F4-80F7-44BC-B3EF-4EFC6A803CAC}" name="Valor Total" dataDxfId="47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7" dataDxfId="475" headerRowBorderDxfId="476" tableBorderDxfId="474" totalsRowBorderDxfId="47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2" dataCellStyle="Moeda"/>
    <tableColumn id="5" xr3:uid="{8C950723-3D74-47BB-96EF-8D7D6A2189F6}" name="Cliente" dataDxfId="471" dataCellStyle="Moeda"/>
    <tableColumn id="2" xr3:uid="{891A7678-229E-4FF4-AD78-C00F149C7AB3}" name="Forma de Pgto" dataDxfId="470" dataCellStyle="Moeda"/>
    <tableColumn id="3" xr3:uid="{C1AD64CF-D636-4D0B-90AF-998E65C41E3B}" name="Valor Venda" dataDxfId="469" dataCellStyle="Porcentagem"/>
    <tableColumn id="4" xr3:uid="{4674130B-789D-479A-9F01-407FB3322D27}" name="Entrada" dataDxfId="46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7" dataDxfId="465" headerRowBorderDxfId="466" tableBorderDxfId="464" totalsRowBorderDxfId="463">
  <autoFilter ref="K5:M11" xr:uid="{00000000-0009-0000-0100-000015000000}"/>
  <tableColumns count="3">
    <tableColumn id="1" xr3:uid="{558DC85F-C627-4F48-82AA-C24727E75A42}" name="Descrição" dataDxfId="462"/>
    <tableColumn id="2" xr3:uid="{8346B0E0-FB0D-4ED3-ABBC-3816B7CB40C9}" name="Tipo de Pagto" dataDxfId="461"/>
    <tableColumn id="3" xr3:uid="{362F9934-CC54-4E70-A26F-6CDF66DEB838}" name="Valor" dataDxfId="46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59" dataDxfId="457" headerRowBorderDxfId="458" tableBorderDxfId="456" totalsRowBorderDxfId="45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4"/>
    <tableColumn id="2" xr3:uid="{B711E4E6-0AE5-42C8-8015-A72C2855CDFB}" name="Cliente" dataDxfId="453"/>
    <tableColumn id="3" xr3:uid="{016D3713-BA29-48F8-8683-6E42C1C8BDFE}" name="Forma de Pgto" dataDxfId="452" dataCellStyle="Moeda"/>
    <tableColumn id="4" xr3:uid="{66F30211-F047-40DA-B134-05B87A798574}" name="Valor Venda" dataDxfId="451" dataCellStyle="Porcentagem"/>
    <tableColumn id="5" xr3:uid="{2FB6AB3C-AA9E-4034-AF4B-12D9A3ECBBCA}" name="Entrada" dataDxfId="45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49" dataDxfId="447" headerRowBorderDxfId="448" tableBorderDxfId="446" totalsRowBorderDxfId="445">
  <autoFilter ref="K14:M31" xr:uid="{C83FE64B-E221-4DAA-89EA-5307A7BC98B3}"/>
  <tableColumns count="3">
    <tableColumn id="1" xr3:uid="{D6DF1477-46D1-47E2-A070-9A33886E6137}" name="OS" dataDxfId="444"/>
    <tableColumn id="2" xr3:uid="{C4215FA6-4F2C-444A-8E0B-4F99AEEE9430}" name="Vendedor" dataDxfId="443"/>
    <tableColumn id="3" xr3:uid="{7B8AD675-F389-4803-BFFB-8166F703E829}" name="CARNE" dataDxfId="44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1" dataDxfId="439" headerRowBorderDxfId="440" tableBorderDxfId="438" totalsRowBorderDxfId="43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6"/>
    <tableColumn id="2" xr3:uid="{45674E96-72EC-433B-9141-E40A07A72A19}" name="Cliente" dataDxfId="435"/>
    <tableColumn id="3" xr3:uid="{22102B96-8607-4584-B5A3-C1EE639E0F4C}" name="Forma de Pgto" dataDxfId="434" dataCellStyle="Moeda"/>
    <tableColumn id="4" xr3:uid="{DC2E9D15-91B3-4478-AA38-B98773D1B0DA}" name="Valor Parcela" dataDxfId="433" dataCellStyle="Porcentagem"/>
    <tableColumn id="5" xr3:uid="{ABCCDEDB-69A0-4492-A24A-12A60E76A2F8}" name="Nº Parcela" dataDxfId="43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1" headerRowBorderDxfId="430" tableBorderDxfId="429" totalsRowBorderDxfId="428">
  <autoFilter ref="K34:M41" xr:uid="{1B8643D4-6AC3-4029-882A-C62E9D7CB225}"/>
  <tableColumns count="3">
    <tableColumn id="1" xr3:uid="{96E4A694-A16C-4FAB-8484-5D1DCD513FF1}" name="OS" dataDxfId="427"/>
    <tableColumn id="2" xr3:uid="{CEC7F98C-5986-47BB-824E-5616D5A150E4}" name="Parcelas" dataDxfId="426"/>
    <tableColumn id="3" xr3:uid="{A82CBD0B-203D-4ED5-BDE4-3B77ECED5860}" name="Valor Total" dataDxfId="425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4" dataDxfId="422" headerRowBorderDxfId="423" tableBorderDxfId="421" totalsRowBorderDxfId="4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19" dataCellStyle="Moeda"/>
    <tableColumn id="5" xr3:uid="{28960474-C27A-4147-BD99-7BB60462B8B0}" name="Cliente" dataDxfId="418" dataCellStyle="Moeda"/>
    <tableColumn id="2" xr3:uid="{67D37C1F-FE45-48AD-BED8-2CFECE89FEA0}" name="Forma de Pgto" dataDxfId="417" dataCellStyle="Moeda"/>
    <tableColumn id="3" xr3:uid="{9D53CA59-8DC0-45C1-B948-0BC9CE105A46}" name="Valor Venda" dataDxfId="416" dataCellStyle="Porcentagem"/>
    <tableColumn id="4" xr3:uid="{63C5EED9-C4FA-4177-B2B7-18053322A958}" name="Entrada" dataDxfId="415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4" dataDxfId="412" headerRowBorderDxfId="413" tableBorderDxfId="411" totalsRowBorderDxfId="410">
  <autoFilter ref="K5:M11" xr:uid="{00000000-0009-0000-0100-000015000000}"/>
  <tableColumns count="3">
    <tableColumn id="1" xr3:uid="{EA5469B7-1D8E-40E9-95A2-35DAC9D5EC13}" name="Descrição" dataDxfId="409"/>
    <tableColumn id="2" xr3:uid="{6149AE8A-4EBC-4D73-8258-5E25710E3A30}" name="Tipo de Pagto" dataDxfId="408"/>
    <tableColumn id="3" xr3:uid="{6872D867-5B80-4E69-B012-87CC7B75B649}" name="Valor" dataDxfId="407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6" dataDxfId="404" headerRowBorderDxfId="405" tableBorderDxfId="403" totalsRowBorderDxfId="4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1"/>
    <tableColumn id="2" xr3:uid="{83BEE3E3-D5E6-4B4E-B0F3-B7D166EBC951}" name="Cliente" dataDxfId="400"/>
    <tableColumn id="3" xr3:uid="{D56D36FF-3364-4C9B-95E8-FF48852EB70B}" name="Forma de Pgto" dataDxfId="399" dataCellStyle="Moeda"/>
    <tableColumn id="4" xr3:uid="{E2E76570-BF3A-47F8-A702-0FE2FE405B33}" name="Valor Venda" dataDxfId="398" dataCellStyle="Porcentagem"/>
    <tableColumn id="5" xr3:uid="{19FD5054-F0CE-4B30-BF14-7D86B666A44E}" name="Entrada" dataDxfId="397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6" dataDxfId="394" headerRowBorderDxfId="395" tableBorderDxfId="393" totalsRowBorderDxfId="392">
  <autoFilter ref="K14:M31" xr:uid="{C83FE64B-E221-4DAA-89EA-5307A7BC98B3}"/>
  <tableColumns count="3">
    <tableColumn id="1" xr3:uid="{2A900AC2-CDD6-4655-B7AF-13F9A8DDD9FF}" name="OS" dataDxfId="391"/>
    <tableColumn id="2" xr3:uid="{D566D654-CC7D-40A6-874D-6CD6342DEC3B}" name="Vendedor" dataDxfId="390"/>
    <tableColumn id="3" xr3:uid="{E8D97BA9-0913-40AD-B2A5-0F60E6A0BE95}" name="CARNE" dataDxfId="389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8" headerRowBorderDxfId="387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3" totalsRowShown="0" headerRowDxfId="266" dataDxfId="264" headerRowBorderDxfId="265" tableBorderDxfId="263" totalsRowBorderDxfId="262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6:I32" totalsRowShown="0" headerRowDxfId="248" dataDxfId="246" headerRowBorderDxfId="247" tableBorderDxfId="245" totalsRowBorderDxfId="244">
  <autoFilter ref="E26:I32" xr:uid="{00000000-0009-0000-0100-000016000000}"/>
  <sortState xmlns:xlrd2="http://schemas.microsoft.com/office/spreadsheetml/2017/richdata2" ref="E27:I32">
    <sortCondition ref="E26:E32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5:I42" totalsRowShown="0" headerRowDxfId="230" dataDxfId="228" headerRowBorderDxfId="229" tableBorderDxfId="227" totalsRowBorderDxfId="226">
  <autoFilter ref="E35:I42" xr:uid="{B9E2F984-8588-4F2C-9FB9-680284154679}"/>
  <sortState xmlns:xlrd2="http://schemas.microsoft.com/office/spreadsheetml/2017/richdata2" ref="E36:I41">
    <sortCondition ref="E26:E32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127</v>
      </c>
    </row>
    <row r="2" spans="1:16" ht="15" x14ac:dyDescent="0.2">
      <c r="A2" s="19" t="s">
        <v>0</v>
      </c>
      <c r="B2" s="72">
        <v>0</v>
      </c>
      <c r="P2" t="s">
        <v>128</v>
      </c>
    </row>
    <row r="3" spans="1:16" ht="15" x14ac:dyDescent="0.25">
      <c r="A3" s="23" t="s">
        <v>1</v>
      </c>
      <c r="B3" s="24" t="e">
        <f>SUM('01'!C5,'02'!C5,'03'!C5,'04'!C5,'05'!C5,'06'!C5,'07'!C5,'08'!C5,'09'!C5,'10'!C5,'11'!C5,'12'!C5,'13'!C5,#REF!,'15'!C5,'16'!C5,'17'!C5,'18'!C5,'19'!C5,'20'!C5,'21'!C5,'22'!C5,'23'!C5,'24'!C5,'25'!C5,'26'!C5,'27'!C5,'28'!C5,'29'!C5,'30'!C5,'31'!C5)</f>
        <v>#REF!</v>
      </c>
      <c r="P3" t="s">
        <v>129</v>
      </c>
    </row>
    <row r="4" spans="1:16" ht="15" x14ac:dyDescent="0.25">
      <c r="A4" s="23" t="s">
        <v>2</v>
      </c>
      <c r="B4" s="24" t="e">
        <f>SUM('01'!C6,'02'!C6,'03'!C6,'04'!C6,'05'!C6,'06'!C6,'07'!C6,'08'!C6,'09'!C6,'10'!C6,'11'!C6,'12'!C6,'13'!C6,#REF!,'15'!C6,'16'!C6,'17'!C6,'18'!C6,'19'!C6,'20'!C6,'21'!C6,'22'!C6,'23'!C6,'24'!C6,'25'!C6,'26'!C6,'27'!C6,'28'!C6,'29'!C6,'30'!C6,'31'!C6)</f>
        <v>#REF!</v>
      </c>
      <c r="P4" t="s">
        <v>130</v>
      </c>
    </row>
    <row r="5" spans="1:16" ht="15" x14ac:dyDescent="0.25">
      <c r="A5" s="23" t="s">
        <v>3</v>
      </c>
      <c r="B5" s="24" t="e">
        <f>SUM('01'!C7,'02'!C7,'03'!C7,'04'!C7,'05'!C7,'06'!C7,'07'!C7,'08'!C7,'09'!C7,'10'!C7,'11'!C7,'12'!C7,'13'!C7,#REF!,'15'!C7,'16'!C7,'17'!C7,'18'!C7,'19'!C7,'20'!C7,'21'!C7,'22'!C7,'23'!C7,'24'!C7,'25'!C7,'26'!C7,'27'!C7,'28'!C7,'29'!C7,'30'!C7,'31'!C7)</f>
        <v>#REF!</v>
      </c>
      <c r="P5" t="s">
        <v>131</v>
      </c>
    </row>
    <row r="6" spans="1:16" ht="15.75" x14ac:dyDescent="0.25">
      <c r="A6" s="28" t="s">
        <v>4</v>
      </c>
      <c r="B6" s="29" t="e">
        <f>SUM(B4:B5)</f>
        <v>#REF!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101" t="s">
        <v>5</v>
      </c>
      <c r="B8" s="101"/>
      <c r="P8" t="s">
        <v>134</v>
      </c>
    </row>
    <row r="9" spans="1:16" ht="15" x14ac:dyDescent="0.25">
      <c r="A9" s="30" t="s">
        <v>6</v>
      </c>
      <c r="B9" s="24" t="e">
        <f>SUM('01'!C11,'02'!C11,'03'!C11,'04'!C11,'05'!C11,'06'!C11,'07'!C11,'08'!C11,'09'!C11,'10'!C11,'11'!C11,'12'!C11,'13'!C11,#REF!,'15'!C11,'16'!C11,'17'!C11,'18'!C11,'19'!C11,'20'!C11,'21'!C11,'22'!C11,'23'!C11,'24'!C11,'25'!C11,'26'!C11,'27'!C11,'28'!C11,'29'!C11,'30'!C11,'31'!C11)</f>
        <v>#REF!</v>
      </c>
      <c r="P9" t="s">
        <v>135</v>
      </c>
    </row>
    <row r="10" spans="1:16" ht="15" x14ac:dyDescent="0.25">
      <c r="A10" s="30" t="s">
        <v>7</v>
      </c>
      <c r="B10" s="24" t="e">
        <f>SUM('01'!C12,'02'!C12,'03'!C12,'04'!C12,'05'!C12,'06'!C12,'07'!C12,'08'!C12,'09'!C12,'10'!C12,'11'!C12,'12'!C12,'13'!C12,#REF!,'15'!C12,'16'!C12,'17'!C12,'18'!C12,'19'!C12,'20'!C12,'21'!C12,'22'!C12,'23'!C12,'24'!C12,'25'!C12,'26'!C12,'27'!C12,'28'!C12,'29'!C12,'30'!C12,'31'!C12)</f>
        <v>#REF!</v>
      </c>
      <c r="P10" t="s">
        <v>136</v>
      </c>
    </row>
    <row r="11" spans="1:16" ht="15" x14ac:dyDescent="0.25">
      <c r="A11" s="30" t="s">
        <v>8</v>
      </c>
      <c r="B11" s="24" t="e">
        <f>SUM('01'!C13,'02'!C13,'03'!C13,'04'!C13,'05'!C13,'06'!C13,'07'!C13,'08'!C13,'09'!C13,'10'!C13,'11'!C13,'12'!C13,'13'!C13,#REF!,'15'!C13,'16'!C13,'17'!C13,'18'!C13,'19'!C13,'20'!C13,'21'!C13,'22'!C13,'23'!C13,'24'!C13,'25'!C13,'26'!C13,'27'!C13,'28'!C13,'29'!C13,'30'!C13,'31'!C13)</f>
        <v>#REF!</v>
      </c>
      <c r="P11" t="s">
        <v>137</v>
      </c>
    </row>
    <row r="12" spans="1:16" ht="15" x14ac:dyDescent="0.25">
      <c r="A12" s="30" t="s">
        <v>9</v>
      </c>
      <c r="B12" s="24" t="e">
        <f>SUM('01'!C14,'02'!C14,'03'!C14,'04'!C14,'05'!C14,'06'!C14,'07'!C14,'08'!C14,'09'!C14,'10'!C14,'11'!C14,'12'!C14,'13'!C14,#REF!,'15'!C14,'16'!C14,'17'!C14,'18'!C14,'19'!C14,'20'!C14,'21'!C14,'22'!C14,'23'!C14,'24'!C14,'25'!C14,'26'!C14,'27'!C14,'28'!C14,'29'!C14,'30'!C14,'31'!C14)</f>
        <v>#REF!</v>
      </c>
      <c r="P12" t="s">
        <v>138</v>
      </c>
    </row>
    <row r="13" spans="1:16" ht="15" x14ac:dyDescent="0.25">
      <c r="A13" s="30" t="s">
        <v>10</v>
      </c>
      <c r="B13" s="24" t="e">
        <f>SUM('01'!C15,'02'!C15,'03'!C15,'04'!C15,'05'!C15,'06'!C15,'07'!C15,'08'!C15,'09'!C15,'10'!C15,'11'!C15,'12'!C15,'13'!C15,#REF!,'15'!C15,'16'!C15,'17'!C15,'18'!C15,'19'!C15,'20'!C15,'21'!C15,'22'!C15,'23'!C15,'24'!C15,'25'!C15,'26'!C15,'27'!C15,'28'!C15,'29'!C15,'30'!C15,'31'!C15)</f>
        <v>#REF!</v>
      </c>
      <c r="P13" t="s">
        <v>139</v>
      </c>
    </row>
    <row r="14" spans="1:16" ht="15.75" x14ac:dyDescent="0.25">
      <c r="A14" s="28" t="s">
        <v>11</v>
      </c>
      <c r="B14" s="73" t="e">
        <f>SUM(B9:B13)</f>
        <v>#REF!</v>
      </c>
    </row>
    <row r="15" spans="1:16" ht="15" x14ac:dyDescent="0.25">
      <c r="A15" s="2"/>
      <c r="B15" s="2"/>
    </row>
    <row r="16" spans="1:16" ht="15" x14ac:dyDescent="0.2">
      <c r="A16" s="101" t="s">
        <v>12</v>
      </c>
      <c r="B16" s="101"/>
    </row>
    <row r="17" spans="1:2" ht="15" x14ac:dyDescent="0.25">
      <c r="A17" s="30">
        <f>COUNT(#REF!)</f>
        <v>0</v>
      </c>
      <c r="B17" s="24" t="e">
        <f>SUM('01'!C19,'02'!C19,'03'!C19,'04'!C19,'05'!C19,'06'!C19,'07'!C19,'08'!C19,'09'!C19,'10'!C19,'11'!C19,'12'!C19,'13'!C19,#REF!,'15'!C19,'16'!C19,'17'!C19,'18'!C19,'19'!C19,'20'!C19,'21'!C19,'22'!C19,'23'!C19,'24'!C19,'25'!C19,'26'!C19,'27'!C19,'28'!C19,'29'!C19,'30'!C19,'31'!C19)</f>
        <v>#REF!</v>
      </c>
    </row>
    <row r="18" spans="1:2" ht="15.75" x14ac:dyDescent="0.25">
      <c r="A18" s="28" t="s">
        <v>11</v>
      </c>
      <c r="B18" s="73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6"/>
  <sheetViews>
    <sheetView showGridLines="0" zoomScale="70" zoomScaleNormal="70" workbookViewId="0">
      <selection activeCell="E6" sqref="E6:I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v>45536</v>
      </c>
    </row>
    <row r="2" spans="2:18" ht="18.75" x14ac:dyDescent="0.2">
      <c r="B2" s="106" t="s">
        <v>126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(SUMIF($G$2:$G$31,B11,$I$2:$I$31))+(SUMIF($G$35:$G$46,B11,$H$35:$H$46))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(SUMIF($G$2:$G$31,B12,$I$2:$I$31))+(SUMIF($G$35:$G$46,B12,$H$35:$H$46))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(SUMIF($G$2:$G$31,B13,$I$2:$I$31))+(SUMIF($G$35:$G$46,B13,$H$35:$H$46))</f>
        <v>0</v>
      </c>
      <c r="D13" s="2"/>
      <c r="E13" s="18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(SUMIF($G$2:$G$31,B14,$I$2:$I$31))+(SUMIF($G$35:$G$46,B14,$H$35:$H$46))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(SUMIF($G$2:$G$31,B15,$I$2:$I$31))+(SUMIF($G$35:$G$46,B15,$H$35:$H$46))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6"/>
      <c r="F35" s="25"/>
      <c r="G35" s="26"/>
      <c r="H35" s="71"/>
      <c r="I35" s="8"/>
      <c r="K35" s="25"/>
      <c r="L35" s="41"/>
      <c r="M35" s="16"/>
    </row>
    <row r="36" spans="2:18" ht="15.75" x14ac:dyDescent="0.25">
      <c r="E36" s="96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6"/>
      <c r="F37" s="25"/>
      <c r="G37" s="26"/>
      <c r="H37" s="8"/>
      <c r="I37" s="8"/>
      <c r="K37" s="25"/>
      <c r="L37" s="41"/>
      <c r="M37" s="16"/>
    </row>
    <row r="38" spans="2:18" ht="15.75" x14ac:dyDescent="0.25">
      <c r="E38" s="96"/>
      <c r="F38" s="25"/>
      <c r="G38" s="26"/>
      <c r="H38" s="8"/>
      <c r="I38" s="8"/>
      <c r="K38" s="25"/>
      <c r="L38" s="41"/>
      <c r="M38" s="16"/>
    </row>
    <row r="39" spans="2:18" ht="15.75" x14ac:dyDescent="0.25">
      <c r="E39" s="96"/>
      <c r="F39" s="39"/>
      <c r="G39" s="26"/>
      <c r="H39" s="8"/>
      <c r="I39" s="8"/>
      <c r="K39" s="25"/>
      <c r="L39" s="41"/>
      <c r="M39" s="16"/>
    </row>
    <row r="40" spans="2:18" ht="15.75" x14ac:dyDescent="0.25">
      <c r="E40" s="96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96"/>
      <c r="F41" s="39"/>
      <c r="G41" s="26"/>
      <c r="H41" s="8"/>
      <c r="I41" s="8"/>
      <c r="K41" s="44"/>
      <c r="L41" s="41"/>
      <c r="M41" s="40"/>
    </row>
    <row r="42" spans="2:18" ht="15.75" x14ac:dyDescent="0.25">
      <c r="E42" s="97"/>
      <c r="F42" s="95"/>
      <c r="G42" s="37"/>
      <c r="H42" s="17"/>
      <c r="I42" s="17"/>
    </row>
    <row r="43" spans="2:18" ht="15.75" x14ac:dyDescent="0.25">
      <c r="E43" s="97"/>
      <c r="F43" s="95"/>
      <c r="G43" s="37"/>
      <c r="H43" s="17"/>
      <c r="I43" s="17"/>
    </row>
    <row r="44" spans="2:18" ht="15.75" x14ac:dyDescent="0.25">
      <c r="E44" s="97"/>
      <c r="F44" s="95"/>
      <c r="G44" s="37"/>
      <c r="H44" s="17"/>
      <c r="I44" s="17"/>
    </row>
    <row r="45" spans="2:18" ht="15.75" x14ac:dyDescent="0.25">
      <c r="E45" s="97"/>
      <c r="F45" s="95"/>
      <c r="G45" s="37"/>
      <c r="H45" s="17"/>
      <c r="I45" s="17"/>
    </row>
    <row r="46" spans="2:18" ht="15.75" x14ac:dyDescent="0.25">
      <c r="E46" s="97"/>
      <c r="F46" s="95"/>
      <c r="G46" s="37"/>
      <c r="H46" s="17"/>
      <c r="I46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G10:G22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G27:G31 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L20:L31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E27:E31 K20:K31 E10:E22 K35:K41 E41 E35 E6 E7 E8 E9 E42 E43 E44 E45 E46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2"/>
  <sheetViews>
    <sheetView showGridLines="0" zoomScale="90" zoomScaleNormal="9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'01'!B1+1</f>
        <v>45537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2534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895</v>
      </c>
      <c r="D6" s="2"/>
      <c r="E6" s="18">
        <v>9732</v>
      </c>
      <c r="F6" s="25" t="s">
        <v>141</v>
      </c>
      <c r="G6" s="26" t="s">
        <v>6</v>
      </c>
      <c r="H6" s="8">
        <v>600</v>
      </c>
      <c r="I6" s="8">
        <v>100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9733</v>
      </c>
      <c r="F7" s="25" t="s">
        <v>141</v>
      </c>
      <c r="G7" s="26" t="s">
        <v>6</v>
      </c>
      <c r="H7" s="8">
        <v>299</v>
      </c>
      <c r="I7" s="8">
        <v>100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895</v>
      </c>
      <c r="D8" s="2"/>
      <c r="E8" s="18">
        <v>9734</v>
      </c>
      <c r="F8" s="25" t="s">
        <v>142</v>
      </c>
      <c r="G8" s="26" t="s">
        <v>7</v>
      </c>
      <c r="H8" s="8">
        <v>1300</v>
      </c>
      <c r="I8" s="8">
        <v>100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9735</v>
      </c>
      <c r="F9" s="25" t="s">
        <v>142</v>
      </c>
      <c r="G9" s="26" t="s">
        <v>7</v>
      </c>
      <c r="H9" s="8">
        <v>300</v>
      </c>
      <c r="I9" s="8">
        <v>60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578.07999999999993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235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500</v>
      </c>
      <c r="D13" s="2"/>
      <c r="E13" s="18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>
        <v>9685</v>
      </c>
      <c r="L15" s="9" t="s">
        <v>129</v>
      </c>
      <c r="M15" s="16" t="s">
        <v>143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1313.08</v>
      </c>
      <c r="D16" s="2"/>
      <c r="E16" s="18"/>
      <c r="F16" s="25"/>
      <c r="G16" s="26"/>
      <c r="H16" s="8"/>
      <c r="I16" s="8"/>
      <c r="J16" s="2"/>
      <c r="K16" s="25">
        <v>9640</v>
      </c>
      <c r="L16" s="9" t="s">
        <v>129</v>
      </c>
      <c r="M16" s="16" t="s">
        <v>143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9679</v>
      </c>
      <c r="L17" s="9" t="s">
        <v>129</v>
      </c>
      <c r="M17" s="16" t="s">
        <v>143</v>
      </c>
      <c r="R17" s="1">
        <f>IF(vend2[[#This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9724</v>
      </c>
      <c r="L18" s="9" t="s">
        <v>133</v>
      </c>
      <c r="M18" s="16" t="s">
        <v>143</v>
      </c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>
        <v>9650</v>
      </c>
      <c r="L19" s="9" t="s">
        <v>133</v>
      </c>
      <c r="M19" s="16" t="s">
        <v>143</v>
      </c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9668</v>
      </c>
      <c r="L20" s="9" t="s">
        <v>133</v>
      </c>
      <c r="M20" s="16" t="s">
        <v>143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2534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9679</v>
      </c>
      <c r="F26" s="25" t="s">
        <v>144</v>
      </c>
      <c r="G26" s="26" t="s">
        <v>7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9668</v>
      </c>
      <c r="F27" s="25" t="s">
        <v>148</v>
      </c>
      <c r="G27" s="26" t="s">
        <v>8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6">
        <v>8624</v>
      </c>
      <c r="F35" s="25" t="s">
        <v>145</v>
      </c>
      <c r="G35" s="26" t="s">
        <v>7</v>
      </c>
      <c r="H35" s="71">
        <v>40</v>
      </c>
      <c r="I35" s="8" t="s">
        <v>60</v>
      </c>
      <c r="K35" s="25"/>
      <c r="L35" s="41"/>
      <c r="M35" s="16"/>
    </row>
    <row r="36" spans="2:18" ht="15.75" x14ac:dyDescent="0.25">
      <c r="E36" s="96">
        <v>8624</v>
      </c>
      <c r="F36" s="25" t="s">
        <v>145</v>
      </c>
      <c r="G36" s="26" t="s">
        <v>6</v>
      </c>
      <c r="H36" s="8">
        <v>1.42</v>
      </c>
      <c r="I36" s="8" t="s">
        <v>60</v>
      </c>
      <c r="K36" s="25"/>
      <c r="L36" s="41"/>
      <c r="M36" s="16"/>
    </row>
    <row r="37" spans="2:18" ht="15.75" x14ac:dyDescent="0.25">
      <c r="E37" s="96">
        <v>9330</v>
      </c>
      <c r="F37" s="25" t="s">
        <v>145</v>
      </c>
      <c r="G37" s="26" t="s">
        <v>6</v>
      </c>
      <c r="H37" s="8">
        <v>50</v>
      </c>
      <c r="I37" s="8" t="s">
        <v>44</v>
      </c>
      <c r="K37" s="25"/>
      <c r="L37" s="41"/>
      <c r="M37" s="16"/>
    </row>
    <row r="38" spans="2:18" ht="15.75" x14ac:dyDescent="0.25">
      <c r="E38" s="96">
        <v>8328</v>
      </c>
      <c r="F38" s="25" t="s">
        <v>145</v>
      </c>
      <c r="G38" s="26" t="s">
        <v>6</v>
      </c>
      <c r="H38" s="8">
        <v>50</v>
      </c>
      <c r="I38" s="8" t="s">
        <v>50</v>
      </c>
      <c r="K38" s="25"/>
      <c r="L38" s="41"/>
      <c r="M38" s="16"/>
    </row>
    <row r="39" spans="2:18" ht="15.75" x14ac:dyDescent="0.25">
      <c r="E39" s="96">
        <v>9494</v>
      </c>
      <c r="F39" s="39" t="s">
        <v>146</v>
      </c>
      <c r="G39" s="26" t="s">
        <v>6</v>
      </c>
      <c r="H39" s="8">
        <v>150</v>
      </c>
      <c r="I39" s="8" t="s">
        <v>41</v>
      </c>
      <c r="K39" s="25"/>
      <c r="L39" s="41"/>
      <c r="M39" s="16"/>
    </row>
    <row r="40" spans="2:18" ht="15.75" x14ac:dyDescent="0.25">
      <c r="E40" s="96">
        <v>9842</v>
      </c>
      <c r="F40" s="36" t="s">
        <v>147</v>
      </c>
      <c r="G40" s="37" t="s">
        <v>6</v>
      </c>
      <c r="H40" s="17">
        <v>63.33</v>
      </c>
      <c r="I40" s="8" t="s">
        <v>41</v>
      </c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96">
        <v>9842</v>
      </c>
      <c r="F41" s="39" t="s">
        <v>147</v>
      </c>
      <c r="G41" s="26" t="s">
        <v>6</v>
      </c>
      <c r="H41" s="8">
        <v>63.33</v>
      </c>
      <c r="I41" s="8" t="s">
        <v>53</v>
      </c>
      <c r="K41" s="44"/>
      <c r="L41" s="41"/>
      <c r="M41" s="40"/>
    </row>
    <row r="42" spans="2:18" ht="15.75" x14ac:dyDescent="0.25">
      <c r="E42" s="97"/>
      <c r="F42" s="95"/>
      <c r="G42" s="37"/>
      <c r="H42" s="17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5C2ACADD-2362-4BBA-BEA6-911C9F8306D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G41 G27:G31</xm:sqref>
        </x14:dataValidation>
        <x14:dataValidation type="list" allowBlank="1" showInputMessage="1" showErrorMessage="1" xr:uid="{FB8A49A8-CBB4-46A0-A6C6-20547203DD93}">
          <x14:formula1>
            <xm:f>base!$A$2:$A$9</xm:f>
          </x14:formula1>
          <xm:sqref>G10:G22</xm:sqref>
        </x14:dataValidation>
        <x14:dataValidation type="list" allowBlank="1" showInputMessage="1" showErrorMessage="1" xr:uid="{B83333C1-CA4E-4294-AF83-F1CDB43C069E}">
          <x14:formula1>
            <xm:f>base!$E$2:$E$79</xm:f>
          </x14:formula1>
          <xm:sqref>I41</xm:sqref>
        </x14:dataValidation>
        <x14:dataValidation type="list" allowBlank="1" showInputMessage="1" showErrorMessage="1" xr:uid="{E763D06E-94FC-4629-846C-7C7FBA5B838C}">
          <x14:formula1>
            <xm:f>resumo_cx!$P$2:$P$18</xm:f>
          </x14:formula1>
          <xm:sqref>L20:L31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K20:K31 E35 E27:E31 K35:K41 E41:E42 E6:E22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4" zoomScale="88" zoomScaleNormal="88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'02'!B1+1</f>
        <v>45538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3300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3569</v>
      </c>
      <c r="D6" s="2"/>
      <c r="E6" s="18">
        <v>9736</v>
      </c>
      <c r="F6" s="25" t="s">
        <v>149</v>
      </c>
      <c r="G6" s="45" t="s">
        <v>7</v>
      </c>
      <c r="H6" s="8">
        <v>800</v>
      </c>
      <c r="I6" s="8">
        <v>100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9737</v>
      </c>
      <c r="F7" s="25" t="s">
        <v>150</v>
      </c>
      <c r="G7" s="26" t="s">
        <v>8</v>
      </c>
      <c r="H7" s="8">
        <v>2500</v>
      </c>
      <c r="I7" s="8">
        <v>1250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3569</v>
      </c>
      <c r="D8" s="2"/>
      <c r="E8" s="18">
        <v>9737</v>
      </c>
      <c r="F8" s="25" t="s">
        <v>150</v>
      </c>
      <c r="G8" s="26" t="s">
        <v>8</v>
      </c>
      <c r="H8" s="8"/>
      <c r="I8" s="8">
        <v>1250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3199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337.14</v>
      </c>
      <c r="D15" s="2"/>
      <c r="E15" s="18"/>
      <c r="F15" s="25"/>
      <c r="G15" s="26"/>
      <c r="H15" s="8"/>
      <c r="I15" s="8"/>
      <c r="J15" s="2"/>
      <c r="K15" s="25">
        <v>9699</v>
      </c>
      <c r="L15" s="9" t="s">
        <v>133</v>
      </c>
      <c r="M15" s="16" t="s">
        <v>151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3906.14</v>
      </c>
      <c r="D16" s="2"/>
      <c r="E16" s="18"/>
      <c r="F16" s="25"/>
      <c r="G16" s="26"/>
      <c r="H16" s="8"/>
      <c r="I16" s="8"/>
      <c r="J16" s="2"/>
      <c r="K16" s="25">
        <v>9702</v>
      </c>
      <c r="L16" s="9" t="s">
        <v>133</v>
      </c>
      <c r="M16" s="16" t="s">
        <v>143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9665</v>
      </c>
      <c r="L17" s="9" t="s">
        <v>135</v>
      </c>
      <c r="M17" s="16" t="s">
        <v>143</v>
      </c>
      <c r="R17" s="1">
        <f>IF(vend3[[#This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9600</v>
      </c>
      <c r="L18" s="9" t="s">
        <v>135</v>
      </c>
      <c r="M18" s="16" t="s">
        <v>143</v>
      </c>
      <c r="R18" s="1">
        <f>IF(vend3[[#This Row],[Nº Venda]]&gt;1,1,0)</f>
        <v>0</v>
      </c>
    </row>
    <row r="19" spans="2:18" ht="15.75" x14ac:dyDescent="0.25">
      <c r="B19" s="30">
        <f>COUNT(entr_carn3[OS])</f>
        <v>1</v>
      </c>
      <c r="C19" s="31">
        <f>SUM(entr_carn3[Valor Total])</f>
        <v>480</v>
      </c>
      <c r="D19" s="2"/>
      <c r="E19" s="18"/>
      <c r="F19" s="25"/>
      <c r="G19" s="26"/>
      <c r="H19" s="8"/>
      <c r="I19" s="8"/>
      <c r="J19" s="2"/>
      <c r="K19" s="25">
        <v>9483</v>
      </c>
      <c r="L19" s="9" t="s">
        <v>133</v>
      </c>
      <c r="M19" s="16" t="s">
        <v>143</v>
      </c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480</v>
      </c>
      <c r="D20" s="2"/>
      <c r="E20" s="18"/>
      <c r="F20" s="26"/>
      <c r="G20" s="26"/>
      <c r="H20" s="8"/>
      <c r="I20" s="8"/>
      <c r="J20" s="2"/>
      <c r="K20" s="25">
        <v>9495</v>
      </c>
      <c r="L20" s="9" t="s">
        <v>133</v>
      </c>
      <c r="M20" s="16" t="s">
        <v>143</v>
      </c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9699</v>
      </c>
      <c r="F26" s="25" t="s">
        <v>152</v>
      </c>
      <c r="G26" s="45" t="s">
        <v>6</v>
      </c>
      <c r="H26" s="8"/>
      <c r="I26" s="8">
        <v>270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9732</v>
      </c>
      <c r="F27" s="25" t="s">
        <v>153</v>
      </c>
      <c r="G27" s="26" t="s">
        <v>8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9733</v>
      </c>
      <c r="F28" s="25" t="s">
        <v>153</v>
      </c>
      <c r="G28" s="26" t="s">
        <v>8</v>
      </c>
      <c r="H28" s="8"/>
      <c r="I28" s="8">
        <v>199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9104</v>
      </c>
      <c r="F35" s="25" t="s">
        <v>154</v>
      </c>
      <c r="G35" s="26" t="s">
        <v>10</v>
      </c>
      <c r="H35" s="8">
        <v>57.14</v>
      </c>
      <c r="I35" s="8" t="s">
        <v>40</v>
      </c>
      <c r="K35" s="25">
        <v>9699</v>
      </c>
      <c r="L35" s="41">
        <v>6</v>
      </c>
      <c r="M35" s="16">
        <v>480</v>
      </c>
    </row>
    <row r="36" spans="2:18" ht="15.75" x14ac:dyDescent="0.25">
      <c r="E36" s="18">
        <v>8637</v>
      </c>
      <c r="F36" s="25" t="s">
        <v>155</v>
      </c>
      <c r="G36" s="26" t="s">
        <v>10</v>
      </c>
      <c r="H36" s="8">
        <v>50</v>
      </c>
      <c r="I36" s="8" t="s">
        <v>46</v>
      </c>
      <c r="K36" s="25"/>
      <c r="L36" s="41"/>
      <c r="M36" s="16"/>
    </row>
    <row r="37" spans="2:18" ht="15.75" x14ac:dyDescent="0.25">
      <c r="E37" s="18">
        <v>8637</v>
      </c>
      <c r="F37" s="25" t="s">
        <v>155</v>
      </c>
      <c r="G37" s="26" t="s">
        <v>10</v>
      </c>
      <c r="H37" s="8">
        <v>50</v>
      </c>
      <c r="I37" s="8" t="s">
        <v>78</v>
      </c>
      <c r="K37" s="25"/>
      <c r="L37" s="41"/>
      <c r="M37" s="16"/>
    </row>
    <row r="38" spans="2:18" ht="15.75" x14ac:dyDescent="0.25">
      <c r="E38" s="18">
        <v>8637</v>
      </c>
      <c r="F38" s="25" t="s">
        <v>155</v>
      </c>
      <c r="G38" s="26" t="s">
        <v>10</v>
      </c>
      <c r="H38" s="8">
        <v>50</v>
      </c>
      <c r="I38" s="8" t="s">
        <v>47</v>
      </c>
      <c r="K38" s="25"/>
      <c r="L38" s="41"/>
      <c r="M38" s="16"/>
    </row>
    <row r="39" spans="2:18" ht="15.75" x14ac:dyDescent="0.25">
      <c r="E39" s="18">
        <v>8493</v>
      </c>
      <c r="F39" s="39" t="s">
        <v>156</v>
      </c>
      <c r="G39" s="26" t="s">
        <v>10</v>
      </c>
      <c r="H39" s="8">
        <v>130</v>
      </c>
      <c r="I39" s="8" t="s">
        <v>47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6" zoomScale="82" zoomScaleNormal="82" workbookViewId="0">
      <selection activeCell="G9" sqref="G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'03'!B1+1</f>
        <v>45539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1890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850</v>
      </c>
      <c r="D6" s="2"/>
      <c r="E6" s="18">
        <v>9738</v>
      </c>
      <c r="F6" s="25" t="s">
        <v>157</v>
      </c>
      <c r="G6" s="45" t="s">
        <v>7</v>
      </c>
      <c r="H6" s="8">
        <v>890</v>
      </c>
      <c r="I6" s="8">
        <v>200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9739</v>
      </c>
      <c r="F7" s="25" t="s">
        <v>158</v>
      </c>
      <c r="G7" s="45" t="s">
        <v>8</v>
      </c>
      <c r="H7" s="8">
        <v>100</v>
      </c>
      <c r="I7" s="8">
        <v>100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850</v>
      </c>
      <c r="D8" s="2"/>
      <c r="E8" s="18">
        <v>9740</v>
      </c>
      <c r="F8" s="25" t="s">
        <v>159</v>
      </c>
      <c r="G8" s="45" t="s">
        <v>6</v>
      </c>
      <c r="H8" s="8">
        <v>900</v>
      </c>
      <c r="I8" s="8">
        <v>450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9741</v>
      </c>
      <c r="F9" s="25" t="s">
        <v>164</v>
      </c>
      <c r="G9" s="45" t="s">
        <v>39</v>
      </c>
      <c r="H9" s="8"/>
      <c r="I9" s="8"/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762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266.65999999999997</v>
      </c>
      <c r="D15" s="2"/>
      <c r="E15" s="18"/>
      <c r="F15" s="25"/>
      <c r="G15" s="26"/>
      <c r="H15" s="8"/>
      <c r="I15" s="8"/>
      <c r="J15" s="2"/>
      <c r="K15" s="25">
        <v>9739</v>
      </c>
      <c r="L15" s="9" t="s">
        <v>129</v>
      </c>
      <c r="M15" s="56" t="s">
        <v>143</v>
      </c>
      <c r="R15" s="1">
        <f>IF(vend4[[#This Row],[Nº Venda]]&gt;1,1,0)</f>
        <v>0</v>
      </c>
    </row>
    <row r="16" spans="2:18" ht="18.75" x14ac:dyDescent="0.4">
      <c r="B16" s="28" t="s">
        <v>11</v>
      </c>
      <c r="C16" s="32">
        <f>SUM(C11:C15)</f>
        <v>1328.6599999999999</v>
      </c>
      <c r="D16" s="2"/>
      <c r="E16" s="18"/>
      <c r="F16" s="25"/>
      <c r="G16" s="26"/>
      <c r="H16" s="8"/>
      <c r="I16" s="8"/>
      <c r="J16" s="2"/>
      <c r="K16" s="25">
        <v>9550</v>
      </c>
      <c r="L16" s="9" t="s">
        <v>135</v>
      </c>
      <c r="M16" s="56" t="s">
        <v>143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56"/>
      <c r="R17" s="1">
        <f>IF(vend4[[#This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9550</v>
      </c>
      <c r="F26" s="25" t="s">
        <v>160</v>
      </c>
      <c r="G26" s="45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9645</v>
      </c>
      <c r="F35" s="25" t="s">
        <v>161</v>
      </c>
      <c r="G35" s="26" t="s">
        <v>10</v>
      </c>
      <c r="H35" s="8">
        <v>166.66</v>
      </c>
      <c r="I35" s="8" t="s">
        <v>41</v>
      </c>
      <c r="K35" s="25"/>
      <c r="L35" s="41"/>
      <c r="M35" s="16"/>
    </row>
    <row r="36" spans="2:18" ht="15.75" x14ac:dyDescent="0.25">
      <c r="E36" s="18">
        <v>9092</v>
      </c>
      <c r="F36" s="25" t="s">
        <v>162</v>
      </c>
      <c r="G36" s="26" t="s">
        <v>6</v>
      </c>
      <c r="H36" s="8">
        <v>106</v>
      </c>
      <c r="I36" s="8" t="s">
        <v>38</v>
      </c>
      <c r="K36" s="25"/>
      <c r="L36" s="41"/>
      <c r="M36" s="16"/>
    </row>
    <row r="37" spans="2:18" ht="15.75" x14ac:dyDescent="0.25">
      <c r="E37" s="18">
        <v>9092</v>
      </c>
      <c r="F37" s="25" t="s">
        <v>162</v>
      </c>
      <c r="G37" s="26" t="s">
        <v>6</v>
      </c>
      <c r="H37" s="8">
        <v>106</v>
      </c>
      <c r="I37" s="8" t="s">
        <v>52</v>
      </c>
      <c r="K37" s="25"/>
      <c r="L37" s="41"/>
      <c r="M37" s="16"/>
    </row>
    <row r="38" spans="2:18" ht="15.75" x14ac:dyDescent="0.25">
      <c r="E38" s="18">
        <v>9569</v>
      </c>
      <c r="F38" s="25" t="s">
        <v>163</v>
      </c>
      <c r="G38" s="26" t="s">
        <v>6</v>
      </c>
      <c r="H38" s="8">
        <v>100</v>
      </c>
      <c r="I38" s="8" t="s">
        <v>72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4" zoomScale="70" zoomScaleNormal="70" workbookViewId="0">
      <selection activeCell="E28" sqref="E28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'04'!B1+1</f>
        <v>45540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1480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3670</v>
      </c>
      <c r="D6" s="2"/>
      <c r="E6" s="18">
        <v>9742</v>
      </c>
      <c r="F6" s="25" t="s">
        <v>165</v>
      </c>
      <c r="G6" s="45" t="s">
        <v>7</v>
      </c>
      <c r="H6" s="8">
        <v>600</v>
      </c>
      <c r="I6" s="8">
        <v>150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9743</v>
      </c>
      <c r="F7" s="25" t="s">
        <v>173</v>
      </c>
      <c r="G7" s="45" t="s">
        <v>8</v>
      </c>
      <c r="H7" s="8">
        <v>830</v>
      </c>
      <c r="I7" s="8">
        <v>830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3670</v>
      </c>
      <c r="D8" s="2"/>
      <c r="E8" s="18">
        <v>9744</v>
      </c>
      <c r="F8" s="25" t="s">
        <v>174</v>
      </c>
      <c r="G8" s="45" t="s">
        <v>7</v>
      </c>
      <c r="H8" s="8">
        <v>50</v>
      </c>
      <c r="I8" s="8">
        <v>50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45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5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550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2970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9657</v>
      </c>
      <c r="L15" s="9" t="s">
        <v>135</v>
      </c>
      <c r="M15" s="61" t="s">
        <v>167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3770</v>
      </c>
      <c r="D16" s="2"/>
      <c r="E16" s="18"/>
      <c r="F16" s="25">
        <v>9657</v>
      </c>
      <c r="G16" s="26"/>
      <c r="H16" s="8"/>
      <c r="I16" s="8"/>
      <c r="J16" s="2"/>
      <c r="K16" s="25">
        <v>9655</v>
      </c>
      <c r="L16" s="9" t="s">
        <v>135</v>
      </c>
      <c r="M16" s="60" t="s">
        <v>167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9656</v>
      </c>
      <c r="L17" s="9" t="s">
        <v>135</v>
      </c>
      <c r="M17" s="16" t="s">
        <v>143</v>
      </c>
      <c r="R17" s="1">
        <f>IF(vend5[[#This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9615</v>
      </c>
      <c r="L18" s="9" t="s">
        <v>133</v>
      </c>
      <c r="M18" s="16" t="s">
        <v>151</v>
      </c>
      <c r="R18" s="1">
        <f>IF(vend5[[#This Row],[Nº Venda]]&gt;1,1,0)</f>
        <v>0</v>
      </c>
    </row>
    <row r="19" spans="2:18" ht="15.75" x14ac:dyDescent="0.25">
      <c r="B19" s="30">
        <f>COUNT(entr_carn5[OS])</f>
        <v>2</v>
      </c>
      <c r="C19" s="31">
        <f>SUM(entr_carn5[Valor Total])</f>
        <v>1020</v>
      </c>
      <c r="D19" s="2"/>
      <c r="E19" s="18"/>
      <c r="F19" s="25"/>
      <c r="G19" s="26"/>
      <c r="H19" s="8"/>
      <c r="I19" s="8"/>
      <c r="J19" s="2"/>
      <c r="K19" s="25">
        <v>9708</v>
      </c>
      <c r="L19" s="9" t="s">
        <v>133</v>
      </c>
      <c r="M19" s="16" t="s">
        <v>143</v>
      </c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1020</v>
      </c>
      <c r="D20" s="2"/>
      <c r="E20" s="18"/>
      <c r="F20" s="26"/>
      <c r="G20" s="26"/>
      <c r="H20" s="8"/>
      <c r="I20" s="8"/>
      <c r="J20" s="2"/>
      <c r="K20" s="25">
        <v>9577</v>
      </c>
      <c r="L20" s="9" t="s">
        <v>133</v>
      </c>
      <c r="M20" s="16" t="s">
        <v>143</v>
      </c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9719</v>
      </c>
      <c r="L21" s="9" t="s">
        <v>133</v>
      </c>
      <c r="M21" s="16" t="s">
        <v>143</v>
      </c>
    </row>
    <row r="22" spans="2:18" ht="15.75" x14ac:dyDescent="0.25">
      <c r="B22" s="28" t="s">
        <v>26</v>
      </c>
      <c r="C22" s="32">
        <f>C5</f>
        <v>1480</v>
      </c>
      <c r="D22" s="2"/>
      <c r="E22" s="18"/>
      <c r="F22" s="25"/>
      <c r="G22" s="26"/>
      <c r="H22" s="8"/>
      <c r="I22" s="8"/>
      <c r="J22" s="2"/>
      <c r="K22" s="25">
        <v>9723</v>
      </c>
      <c r="L22" s="9" t="s">
        <v>129</v>
      </c>
      <c r="M22" s="16" t="s">
        <v>151</v>
      </c>
    </row>
    <row r="23" spans="2:18" ht="15" x14ac:dyDescent="0.25">
      <c r="B23" s="2"/>
      <c r="C23" s="2"/>
      <c r="D23" s="2"/>
      <c r="E23" s="33"/>
      <c r="H23" s="7"/>
      <c r="J23" s="2"/>
      <c r="K23" s="25">
        <v>9727</v>
      </c>
      <c r="L23" s="9" t="s">
        <v>133</v>
      </c>
      <c r="M23" s="16" t="s">
        <v>143</v>
      </c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>
        <v>9744</v>
      </c>
      <c r="L24" s="9" t="s">
        <v>129</v>
      </c>
      <c r="M24" s="16" t="s">
        <v>143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9638</v>
      </c>
      <c r="F26" s="25" t="s">
        <v>166</v>
      </c>
      <c r="G26" s="45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9615</v>
      </c>
      <c r="F27" s="25" t="s">
        <v>168</v>
      </c>
      <c r="G27" s="45" t="s">
        <v>7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9734</v>
      </c>
      <c r="F28" s="25" t="s">
        <v>169</v>
      </c>
      <c r="G28" s="45" t="s">
        <v>8</v>
      </c>
      <c r="H28" s="8"/>
      <c r="I28" s="8">
        <v>1200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9735</v>
      </c>
      <c r="F29" s="25" t="s">
        <v>169</v>
      </c>
      <c r="G29" s="26" t="s">
        <v>8</v>
      </c>
      <c r="H29" s="8"/>
      <c r="I29" s="8">
        <v>240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9755</v>
      </c>
      <c r="F30" s="39" t="s">
        <v>170</v>
      </c>
      <c r="G30" s="26" t="s">
        <v>8</v>
      </c>
      <c r="H30" s="8"/>
      <c r="I30" s="8">
        <v>700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9723</v>
      </c>
      <c r="F31" s="36" t="s">
        <v>172</v>
      </c>
      <c r="G31" s="37" t="s">
        <v>10</v>
      </c>
      <c r="H31" s="17"/>
      <c r="I31" s="17">
        <v>150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9189</v>
      </c>
      <c r="F35" s="25" t="s">
        <v>171</v>
      </c>
      <c r="G35" s="26" t="s">
        <v>10</v>
      </c>
      <c r="H35" s="8">
        <v>100</v>
      </c>
      <c r="I35" s="8" t="s">
        <v>43</v>
      </c>
      <c r="K35" s="25">
        <v>9615</v>
      </c>
      <c r="L35" s="41">
        <v>6</v>
      </c>
      <c r="M35" s="16">
        <v>470</v>
      </c>
    </row>
    <row r="36" spans="2:18" ht="15.75" x14ac:dyDescent="0.25">
      <c r="E36" s="94"/>
      <c r="F36" s="25"/>
      <c r="G36" s="26"/>
      <c r="H36" s="8"/>
      <c r="I36" s="8"/>
      <c r="K36" s="25">
        <v>9723</v>
      </c>
      <c r="L36" s="41">
        <v>6</v>
      </c>
      <c r="M36" s="16">
        <v>550</v>
      </c>
    </row>
    <row r="37" spans="2:18" ht="15.75" x14ac:dyDescent="0.25">
      <c r="E37" s="18"/>
      <c r="F37" s="84"/>
      <c r="G37" s="85"/>
      <c r="H37" s="86"/>
      <c r="I37" s="86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25" right="0.25" top="0.75" bottom="0.75" header="0.3" footer="0.3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7" zoomScale="75" zoomScaleNormal="75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'05'!B1+1</f>
        <v>45541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2080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3520</v>
      </c>
      <c r="D6" s="2"/>
      <c r="E6" s="18">
        <v>9745</v>
      </c>
      <c r="F6" s="25" t="s">
        <v>175</v>
      </c>
      <c r="G6" s="26" t="s">
        <v>8</v>
      </c>
      <c r="H6" s="8">
        <v>800</v>
      </c>
      <c r="I6" s="8">
        <v>740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9746</v>
      </c>
      <c r="F7" s="25" t="s">
        <v>176</v>
      </c>
      <c r="G7" s="26" t="s">
        <v>6</v>
      </c>
      <c r="H7" s="8">
        <v>690</v>
      </c>
      <c r="I7" s="8">
        <v>20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3520</v>
      </c>
      <c r="D8" s="2"/>
      <c r="E8" s="18">
        <v>9747</v>
      </c>
      <c r="F8" s="25" t="s">
        <v>185</v>
      </c>
      <c r="G8" s="26" t="s">
        <v>8</v>
      </c>
      <c r="H8" s="8">
        <v>590</v>
      </c>
      <c r="I8" s="8">
        <v>590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5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1014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2180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942.97</v>
      </c>
      <c r="D15" s="2"/>
      <c r="E15" s="18"/>
      <c r="F15" s="25"/>
      <c r="G15" s="26"/>
      <c r="H15" s="8"/>
      <c r="I15" s="8"/>
      <c r="J15" s="2"/>
      <c r="K15" s="25">
        <v>9686</v>
      </c>
      <c r="L15" s="9" t="s">
        <v>129</v>
      </c>
      <c r="M15" s="16" t="s">
        <v>151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4156.97</v>
      </c>
      <c r="D16" s="2"/>
      <c r="E16" s="18"/>
      <c r="F16" s="25"/>
      <c r="G16" s="26"/>
      <c r="H16" s="8"/>
      <c r="I16" s="8"/>
      <c r="J16" s="2"/>
      <c r="K16" s="25">
        <v>9625</v>
      </c>
      <c r="L16" s="9" t="s">
        <v>133</v>
      </c>
      <c r="M16" s="16" t="s">
        <v>151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9704</v>
      </c>
      <c r="L17" s="9" t="s">
        <v>133</v>
      </c>
      <c r="M17" s="16" t="s">
        <v>151</v>
      </c>
      <c r="R17" s="1">
        <f>IF(vend[[#This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9596</v>
      </c>
      <c r="L18" s="9" t="s">
        <v>129</v>
      </c>
      <c r="M18" s="16" t="s">
        <v>143</v>
      </c>
      <c r="R18" s="1">
        <f>IF(vend[[#This Row],[Nº Venda]]&gt;1,1,0)</f>
        <v>0</v>
      </c>
    </row>
    <row r="19" spans="2:18" ht="15.75" x14ac:dyDescent="0.25">
      <c r="B19" s="30">
        <f>COUNT(entr_carn6[OS])</f>
        <v>3</v>
      </c>
      <c r="C19" s="31">
        <f>SUM(entr_carn6[Valor Total])</f>
        <v>3110</v>
      </c>
      <c r="D19" s="2"/>
      <c r="E19" s="18"/>
      <c r="F19" s="25"/>
      <c r="G19" s="26"/>
      <c r="H19" s="8"/>
      <c r="I19" s="8"/>
      <c r="J19" s="2"/>
      <c r="K19" s="25">
        <v>9721</v>
      </c>
      <c r="L19" s="9" t="s">
        <v>133</v>
      </c>
      <c r="M19" s="16" t="s">
        <v>143</v>
      </c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3110</v>
      </c>
      <c r="D20" s="2"/>
      <c r="E20" s="18"/>
      <c r="F20" s="26"/>
      <c r="G20" s="26"/>
      <c r="H20" s="8"/>
      <c r="I20" s="8"/>
      <c r="J20" s="2"/>
      <c r="K20" s="25">
        <v>9609</v>
      </c>
      <c r="L20" s="9" t="s">
        <v>133</v>
      </c>
      <c r="M20" s="16" t="s">
        <v>143</v>
      </c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9631</v>
      </c>
      <c r="L21" s="9" t="s">
        <v>133</v>
      </c>
      <c r="M21" s="16" t="s">
        <v>143</v>
      </c>
    </row>
    <row r="22" spans="2:18" ht="15.75" x14ac:dyDescent="0.25">
      <c r="B22" s="28" t="s">
        <v>26</v>
      </c>
      <c r="C22" s="32">
        <f>C5</f>
        <v>2080</v>
      </c>
      <c r="D22" s="2"/>
      <c r="E22" s="18"/>
      <c r="F22" s="25"/>
      <c r="G22" s="26"/>
      <c r="H22" s="8"/>
      <c r="I22" s="8"/>
      <c r="J22" s="2"/>
      <c r="K22" s="25">
        <v>9689</v>
      </c>
      <c r="L22" s="9" t="s">
        <v>129</v>
      </c>
      <c r="M22" s="16" t="s">
        <v>143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9625</v>
      </c>
      <c r="F26" s="25" t="s">
        <v>177</v>
      </c>
      <c r="G26" s="26" t="s">
        <v>10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9721</v>
      </c>
      <c r="F27" s="25" t="s">
        <v>178</v>
      </c>
      <c r="G27" s="26" t="s">
        <v>8</v>
      </c>
      <c r="H27" s="8"/>
      <c r="I27" s="8">
        <v>850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9725</v>
      </c>
      <c r="F28" s="25" t="s">
        <v>179</v>
      </c>
      <c r="G28" s="26" t="s">
        <v>10</v>
      </c>
      <c r="H28" s="8"/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9631</v>
      </c>
      <c r="F29" s="25" t="s">
        <v>180</v>
      </c>
      <c r="G29" s="26" t="s">
        <v>10</v>
      </c>
      <c r="H29" s="8"/>
      <c r="I29" s="8">
        <v>300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9689</v>
      </c>
      <c r="F30" s="39" t="s">
        <v>181</v>
      </c>
      <c r="G30" s="26" t="s">
        <v>7</v>
      </c>
      <c r="H30" s="8"/>
      <c r="I30" s="8">
        <v>580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8885</v>
      </c>
      <c r="F35" s="25" t="s">
        <v>182</v>
      </c>
      <c r="G35" s="26" t="s">
        <v>7</v>
      </c>
      <c r="H35" s="8">
        <v>300</v>
      </c>
      <c r="I35" s="8" t="s">
        <v>78</v>
      </c>
      <c r="K35" s="25">
        <v>9686</v>
      </c>
      <c r="L35" s="41">
        <v>8</v>
      </c>
      <c r="M35" s="16">
        <v>1800</v>
      </c>
    </row>
    <row r="36" spans="2:18" ht="15.75" x14ac:dyDescent="0.25">
      <c r="E36" s="94"/>
      <c r="F36" s="25"/>
      <c r="G36" s="26"/>
      <c r="H36" s="8"/>
      <c r="I36" s="8"/>
      <c r="K36" s="25">
        <v>9625</v>
      </c>
      <c r="L36" s="41">
        <v>6</v>
      </c>
      <c r="M36" s="16">
        <v>810</v>
      </c>
    </row>
    <row r="37" spans="2:18" ht="15.75" x14ac:dyDescent="0.25">
      <c r="E37" s="18">
        <v>9538</v>
      </c>
      <c r="F37" s="25" t="s">
        <v>182</v>
      </c>
      <c r="G37" s="26" t="s">
        <v>7</v>
      </c>
      <c r="H37" s="8">
        <v>134</v>
      </c>
      <c r="I37" s="8" t="s">
        <v>66</v>
      </c>
      <c r="K37" s="25">
        <v>9704</v>
      </c>
      <c r="L37" s="41">
        <v>7</v>
      </c>
      <c r="M37" s="16">
        <v>500</v>
      </c>
    </row>
    <row r="38" spans="2:18" ht="15.75" x14ac:dyDescent="0.25">
      <c r="E38" s="18">
        <v>8695</v>
      </c>
      <c r="F38" s="25" t="s">
        <v>183</v>
      </c>
      <c r="G38" s="26" t="s">
        <v>10</v>
      </c>
      <c r="H38" s="8">
        <v>92.85</v>
      </c>
      <c r="I38" s="8" t="s">
        <v>60</v>
      </c>
      <c r="K38" s="25"/>
      <c r="L38" s="41"/>
      <c r="M38" s="16"/>
    </row>
    <row r="39" spans="2:18" ht="15.75" x14ac:dyDescent="0.25">
      <c r="E39" s="18">
        <v>9375</v>
      </c>
      <c r="F39" s="39" t="s">
        <v>184</v>
      </c>
      <c r="G39" s="26" t="s">
        <v>10</v>
      </c>
      <c r="H39" s="8">
        <v>110.12</v>
      </c>
      <c r="I39" s="8" t="s">
        <v>34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6" zoomScale="73" zoomScaleNormal="73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0">
        <f>'06'!B1+1</f>
        <v>45542</v>
      </c>
    </row>
    <row r="2" spans="2:21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  <c r="U4" s="1">
        <v>0</v>
      </c>
    </row>
    <row r="5" spans="2:21" ht="15" x14ac:dyDescent="0.25">
      <c r="B5" s="23" t="s">
        <v>1</v>
      </c>
      <c r="C5" s="24">
        <f>SUMIF(I6:I31,"&gt;0",H6:H31)</f>
        <v>6040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3315</v>
      </c>
      <c r="D6" s="2"/>
      <c r="E6" s="18">
        <v>9748</v>
      </c>
      <c r="F6" s="78" t="s">
        <v>186</v>
      </c>
      <c r="G6" s="78" t="s">
        <v>8</v>
      </c>
      <c r="H6" s="79">
        <v>990</v>
      </c>
      <c r="I6" s="79">
        <v>990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9749</v>
      </c>
      <c r="F7" s="47" t="s">
        <v>187</v>
      </c>
      <c r="G7" s="47" t="s">
        <v>7</v>
      </c>
      <c r="H7" s="46">
        <v>600</v>
      </c>
      <c r="I7" s="46">
        <v>100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21</v>
      </c>
      <c r="C8" s="29">
        <f>SUM(C6:C7)</f>
        <v>3315</v>
      </c>
      <c r="D8" s="2"/>
      <c r="E8" s="18">
        <v>9750</v>
      </c>
      <c r="F8" s="25" t="s">
        <v>188</v>
      </c>
      <c r="G8" s="26" t="s">
        <v>7</v>
      </c>
      <c r="H8" s="8">
        <v>2290</v>
      </c>
      <c r="I8" s="8">
        <v>250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9750</v>
      </c>
      <c r="F9" s="25" t="s">
        <v>188</v>
      </c>
      <c r="G9" s="26" t="s">
        <v>8</v>
      </c>
      <c r="H9" s="8"/>
      <c r="I9" s="8">
        <v>1000</v>
      </c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101" t="s">
        <v>5</v>
      </c>
      <c r="C10" s="101"/>
      <c r="D10" s="2"/>
      <c r="E10" s="18">
        <v>9751</v>
      </c>
      <c r="F10" s="25" t="s">
        <v>188</v>
      </c>
      <c r="G10" s="26" t="s">
        <v>7</v>
      </c>
      <c r="H10" s="8">
        <v>2160</v>
      </c>
      <c r="I10" s="8">
        <v>250</v>
      </c>
      <c r="J10" s="2"/>
      <c r="K10" s="25"/>
      <c r="L10" s="9"/>
      <c r="M10" s="16"/>
      <c r="R10" s="1">
        <f>IF(vend7[[#This Row],[Nº Venda]]&gt;1,1,0)</f>
        <v>1</v>
      </c>
    </row>
    <row r="11" spans="2:21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>
        <v>9751</v>
      </c>
      <c r="F11" s="25" t="s">
        <v>188</v>
      </c>
      <c r="G11" s="26" t="s">
        <v>8</v>
      </c>
      <c r="H11" s="8"/>
      <c r="I11" s="8">
        <v>575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787.4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2565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9714</v>
      </c>
      <c r="L15" s="9" t="s">
        <v>133</v>
      </c>
      <c r="M15" s="48" t="s">
        <v>143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3502.4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IF(vend7[[#This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6040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9714</v>
      </c>
      <c r="F26" s="57" t="s">
        <v>190</v>
      </c>
      <c r="G26" s="70" t="s">
        <v>6</v>
      </c>
      <c r="H26" s="71"/>
      <c r="I26" s="71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8992</v>
      </c>
      <c r="F35" s="25" t="s">
        <v>189</v>
      </c>
      <c r="G35" s="26" t="s">
        <v>7</v>
      </c>
      <c r="H35" s="8">
        <v>187.4</v>
      </c>
      <c r="I35" s="8" t="s">
        <v>34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2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'07'!B1+1</f>
        <v>45543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1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IF(vend8[[#This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81"/>
      <c r="G26" s="82"/>
      <c r="H26" s="83"/>
      <c r="I26" s="83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5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4"/>
      <c r="G42" s="75"/>
      <c r="H42" s="7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6" zoomScale="71" zoomScaleNormal="71" workbookViewId="0">
      <selection activeCell="X11" sqref="X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4">
        <f>'08'!B1+1</f>
        <v>45544</v>
      </c>
    </row>
    <row r="2" spans="2:22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22" ht="15" x14ac:dyDescent="0.25">
      <c r="B5" s="23" t="s">
        <v>1</v>
      </c>
      <c r="C5" s="24">
        <f>SUMIF(I6:I31,"&gt;0",H6:H31)</f>
        <v>3742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4925</v>
      </c>
      <c r="D6" s="2"/>
      <c r="E6" s="18">
        <v>9752</v>
      </c>
      <c r="F6" s="25" t="s">
        <v>191</v>
      </c>
      <c r="G6" s="45" t="s">
        <v>10</v>
      </c>
      <c r="H6" s="8">
        <v>100</v>
      </c>
      <c r="I6" s="8">
        <v>100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9753</v>
      </c>
      <c r="F7" s="25" t="s">
        <v>192</v>
      </c>
      <c r="G7" s="45" t="s">
        <v>8</v>
      </c>
      <c r="H7" s="8">
        <v>500</v>
      </c>
      <c r="I7" s="8">
        <v>500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21</v>
      </c>
      <c r="C8" s="29">
        <f>SUM(C6:C7)</f>
        <v>4925</v>
      </c>
      <c r="D8" s="2"/>
      <c r="E8" s="18">
        <v>9754</v>
      </c>
      <c r="F8" s="25" t="s">
        <v>193</v>
      </c>
      <c r="G8" s="26" t="s">
        <v>39</v>
      </c>
      <c r="H8" s="8"/>
      <c r="I8" s="8"/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>
        <v>9755</v>
      </c>
      <c r="F9" s="25" t="s">
        <v>194</v>
      </c>
      <c r="G9" s="26" t="s">
        <v>10</v>
      </c>
      <c r="H9" s="8">
        <v>998</v>
      </c>
      <c r="I9" s="8">
        <v>390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01" t="s">
        <v>5</v>
      </c>
      <c r="C10" s="101"/>
      <c r="D10" s="2"/>
      <c r="E10" s="18">
        <v>9756</v>
      </c>
      <c r="F10" s="25" t="s">
        <v>199</v>
      </c>
      <c r="G10" s="26" t="s">
        <v>10</v>
      </c>
      <c r="H10" s="8">
        <v>265</v>
      </c>
      <c r="I10" s="8">
        <v>265</v>
      </c>
      <c r="J10" s="2"/>
      <c r="K10" s="25"/>
      <c r="L10" s="9"/>
      <c r="M10" s="16"/>
      <c r="R10" s="1">
        <f>IF(vend9[[#This Row],[Nº Venda]]&gt;1,1,0)</f>
        <v>1</v>
      </c>
    </row>
    <row r="11" spans="2:22" ht="15.75" x14ac:dyDescent="0.25">
      <c r="B11" s="30" t="s">
        <v>6</v>
      </c>
      <c r="C11" s="31">
        <f>(SUMIF($G$2:$G$31,B11,$I$2:$I$31))+(SUMIF($G$35:$G$41,B11,$H$35:$H$41))</f>
        <v>55</v>
      </c>
      <c r="D11" s="2"/>
      <c r="E11" s="18">
        <v>9757</v>
      </c>
      <c r="F11" s="25" t="s">
        <v>200</v>
      </c>
      <c r="G11" s="26" t="s">
        <v>8</v>
      </c>
      <c r="H11" s="8">
        <v>1000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260</v>
      </c>
      <c r="D12" s="2"/>
      <c r="E12" s="18">
        <v>9758</v>
      </c>
      <c r="F12" s="25" t="s">
        <v>200</v>
      </c>
      <c r="G12" s="26" t="s">
        <v>8</v>
      </c>
      <c r="H12" s="8">
        <v>800</v>
      </c>
      <c r="I12" s="8">
        <v>160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30" t="s">
        <v>8</v>
      </c>
      <c r="C13" s="31">
        <f t="shared" si="0"/>
        <v>4040</v>
      </c>
      <c r="D13" s="2"/>
      <c r="E13" s="87">
        <v>9759</v>
      </c>
      <c r="F13" s="25" t="s">
        <v>204</v>
      </c>
      <c r="G13" s="26" t="s">
        <v>7</v>
      </c>
      <c r="H13" s="8">
        <v>40</v>
      </c>
      <c r="I13" s="8">
        <v>40</v>
      </c>
      <c r="J13" s="2"/>
      <c r="K13" s="103" t="s">
        <v>22</v>
      </c>
      <c r="L13" s="104"/>
      <c r="M13" s="105"/>
      <c r="R13" s="1">
        <f>IF(vend9[[#This Row],[Nº Venda]]&gt;1,1,0)</f>
        <v>1</v>
      </c>
    </row>
    <row r="14" spans="2:22" ht="15.75" x14ac:dyDescent="0.25">
      <c r="B14" s="30" t="s">
        <v>9</v>
      </c>
      <c r="C14" s="31">
        <f t="shared" si="0"/>
        <v>0</v>
      </c>
      <c r="D14" s="2"/>
      <c r="E14" s="87">
        <v>9760</v>
      </c>
      <c r="F14" s="25" t="s">
        <v>203</v>
      </c>
      <c r="G14" s="26" t="s">
        <v>10</v>
      </c>
      <c r="H14" s="8">
        <v>39</v>
      </c>
      <c r="I14" s="8">
        <v>10</v>
      </c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1</v>
      </c>
    </row>
    <row r="15" spans="2:22" ht="15.75" x14ac:dyDescent="0.25">
      <c r="B15" s="30" t="s">
        <v>10</v>
      </c>
      <c r="C15" s="31">
        <f t="shared" si="0"/>
        <v>765</v>
      </c>
      <c r="D15" s="2"/>
      <c r="E15" s="18"/>
      <c r="F15" s="25"/>
      <c r="G15" s="26"/>
      <c r="H15" s="8"/>
      <c r="I15" s="8"/>
      <c r="J15" s="2"/>
      <c r="K15" s="25">
        <v>9736</v>
      </c>
      <c r="L15" s="9" t="s">
        <v>129</v>
      </c>
      <c r="M15" s="16" t="s">
        <v>143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5120</v>
      </c>
      <c r="D16" s="2"/>
      <c r="E16" s="18"/>
      <c r="F16" s="25"/>
      <c r="G16" s="26"/>
      <c r="H16" s="8"/>
      <c r="I16" s="8"/>
      <c r="J16" s="2"/>
      <c r="K16" s="25">
        <v>9705</v>
      </c>
      <c r="L16" s="9" t="s">
        <v>133</v>
      </c>
      <c r="M16" s="16" t="s">
        <v>143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9701</v>
      </c>
      <c r="L17" s="9" t="s">
        <v>133</v>
      </c>
      <c r="M17" s="16" t="s">
        <v>143</v>
      </c>
      <c r="R17" s="1">
        <f>IF(vend9[[#This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9729</v>
      </c>
      <c r="L18" s="9" t="s">
        <v>133</v>
      </c>
      <c r="M18" s="16" t="s">
        <v>143</v>
      </c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720</v>
      </c>
      <c r="D19" s="2"/>
      <c r="E19" s="18"/>
      <c r="F19" s="25"/>
      <c r="G19" s="26"/>
      <c r="H19" s="8"/>
      <c r="I19" s="8"/>
      <c r="J19" s="2"/>
      <c r="K19" s="25">
        <v>9696</v>
      </c>
      <c r="L19" s="9" t="s">
        <v>133</v>
      </c>
      <c r="M19" s="16" t="s">
        <v>143</v>
      </c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720</v>
      </c>
      <c r="D20" s="2"/>
      <c r="E20" s="18"/>
      <c r="F20" s="25"/>
      <c r="G20" s="26"/>
      <c r="H20" s="8"/>
      <c r="I20" s="8"/>
      <c r="J20" s="2"/>
      <c r="K20" s="25">
        <v>9726</v>
      </c>
      <c r="L20" s="9" t="s">
        <v>133</v>
      </c>
      <c r="M20" s="16" t="s">
        <v>143</v>
      </c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9716</v>
      </c>
      <c r="L21" s="9" t="s">
        <v>133</v>
      </c>
      <c r="M21" s="16" t="s">
        <v>151</v>
      </c>
    </row>
    <row r="22" spans="2:18" ht="15.75" x14ac:dyDescent="0.25">
      <c r="B22" s="28" t="s">
        <v>26</v>
      </c>
      <c r="C22" s="32">
        <f>C5</f>
        <v>3742</v>
      </c>
      <c r="D22" s="2"/>
      <c r="E22" s="18"/>
      <c r="F22" s="25"/>
      <c r="G22" s="26"/>
      <c r="H22" s="8"/>
      <c r="I22" s="8"/>
      <c r="J22" s="2"/>
      <c r="K22" s="25">
        <v>9717</v>
      </c>
      <c r="L22" s="9" t="s">
        <v>133</v>
      </c>
      <c r="M22" s="16" t="s">
        <v>143</v>
      </c>
    </row>
    <row r="23" spans="2:18" ht="15" x14ac:dyDescent="0.25">
      <c r="B23" s="2"/>
      <c r="C23" s="2"/>
      <c r="D23" s="2"/>
      <c r="E23" s="33"/>
      <c r="H23" s="7"/>
      <c r="J23" s="2"/>
      <c r="K23" s="25">
        <v>9759</v>
      </c>
      <c r="L23" s="9" t="s">
        <v>135</v>
      </c>
      <c r="M23" s="16" t="s">
        <v>143</v>
      </c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9736</v>
      </c>
      <c r="F26" s="25" t="s">
        <v>195</v>
      </c>
      <c r="G26" s="45" t="s">
        <v>8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9705</v>
      </c>
      <c r="F27" s="25" t="s">
        <v>196</v>
      </c>
      <c r="G27" s="26" t="s">
        <v>8</v>
      </c>
      <c r="H27" s="8"/>
      <c r="I27" s="8">
        <v>600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9696</v>
      </c>
      <c r="F28" s="25" t="s">
        <v>197</v>
      </c>
      <c r="G28" s="26" t="s">
        <v>8</v>
      </c>
      <c r="H28" s="8"/>
      <c r="I28" s="8">
        <v>680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9726</v>
      </c>
      <c r="F29" s="25" t="s">
        <v>198</v>
      </c>
      <c r="G29" s="26" t="s">
        <v>8</v>
      </c>
      <c r="H29" s="8"/>
      <c r="I29" s="8">
        <v>1200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9716</v>
      </c>
      <c r="F30" s="39" t="s">
        <v>202</v>
      </c>
      <c r="G30" s="26" t="s">
        <v>7</v>
      </c>
      <c r="H30" s="8"/>
      <c r="I30" s="8">
        <v>40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9717</v>
      </c>
      <c r="F31" s="36" t="s">
        <v>202</v>
      </c>
      <c r="G31" s="37" t="s">
        <v>7</v>
      </c>
      <c r="H31" s="17"/>
      <c r="I31" s="17">
        <v>40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8790</v>
      </c>
      <c r="F35" s="25" t="s">
        <v>166</v>
      </c>
      <c r="G35" s="26" t="s">
        <v>6</v>
      </c>
      <c r="H35" s="8">
        <v>55</v>
      </c>
      <c r="I35" s="8" t="s">
        <v>59</v>
      </c>
      <c r="K35" s="25">
        <v>9716</v>
      </c>
      <c r="L35" s="41">
        <v>6</v>
      </c>
      <c r="M35" s="16">
        <v>720</v>
      </c>
    </row>
    <row r="36" spans="2:18" ht="15.75" x14ac:dyDescent="0.25">
      <c r="E36" s="97">
        <v>9472</v>
      </c>
      <c r="F36" s="25" t="s">
        <v>201</v>
      </c>
      <c r="G36" s="26" t="s">
        <v>7</v>
      </c>
      <c r="H36" s="8">
        <v>70</v>
      </c>
      <c r="I36" s="8" t="s">
        <v>38</v>
      </c>
      <c r="K36" s="25"/>
      <c r="L36" s="41"/>
      <c r="M36" s="16"/>
    </row>
    <row r="37" spans="2:18" ht="15.75" x14ac:dyDescent="0.25">
      <c r="E37" s="18">
        <v>9472</v>
      </c>
      <c r="F37" s="25" t="s">
        <v>201</v>
      </c>
      <c r="G37" s="26" t="s">
        <v>7</v>
      </c>
      <c r="H37" s="8">
        <v>70</v>
      </c>
      <c r="I37" s="8" t="s">
        <v>52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B33" zoomScaleNormal="10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4.7109375" style="3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'09'!B1+1</f>
        <v>45545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SUMIF(I6:I32,"&gt;0",H6:H32)</f>
        <v>2250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1000</v>
      </c>
      <c r="D6" s="2"/>
      <c r="E6" s="18">
        <v>9761</v>
      </c>
      <c r="F6" s="25" t="s">
        <v>207</v>
      </c>
      <c r="G6" s="45" t="s">
        <v>49</v>
      </c>
      <c r="H6" s="8">
        <v>35</v>
      </c>
      <c r="I6" s="8"/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9762</v>
      </c>
      <c r="F7" s="25" t="s">
        <v>205</v>
      </c>
      <c r="G7" s="45" t="s">
        <v>8</v>
      </c>
      <c r="H7" s="8">
        <v>600</v>
      </c>
      <c r="I7" s="8">
        <v>600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1000</v>
      </c>
      <c r="D8" s="2"/>
      <c r="E8" s="18">
        <v>9763</v>
      </c>
      <c r="F8" s="25" t="s">
        <v>205</v>
      </c>
      <c r="G8" s="26" t="s">
        <v>8</v>
      </c>
      <c r="H8" s="8">
        <v>150</v>
      </c>
      <c r="I8" s="8">
        <v>150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9764</v>
      </c>
      <c r="F9" s="25" t="s">
        <v>206</v>
      </c>
      <c r="G9" s="26" t="s">
        <v>8</v>
      </c>
      <c r="H9" s="8">
        <v>750</v>
      </c>
      <c r="I9" s="8">
        <v>125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9765</v>
      </c>
      <c r="F10" s="25" t="s">
        <v>206</v>
      </c>
      <c r="G10" s="26" t="s">
        <v>8</v>
      </c>
      <c r="H10" s="8">
        <v>750</v>
      </c>
      <c r="I10" s="8">
        <v>125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1000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271.65999999999997</v>
      </c>
      <c r="D15" s="2"/>
      <c r="E15" s="18"/>
      <c r="F15" s="25"/>
      <c r="G15" s="26"/>
      <c r="H15" s="8"/>
      <c r="I15" s="8"/>
      <c r="J15" s="2"/>
      <c r="K15" s="25">
        <v>9633</v>
      </c>
      <c r="L15" s="9" t="s">
        <v>135</v>
      </c>
      <c r="M15" s="16" t="s">
        <v>143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1271.6599999999999</v>
      </c>
      <c r="D16" s="2"/>
      <c r="E16" s="18"/>
      <c r="F16" s="25"/>
      <c r="G16" s="26"/>
      <c r="H16" s="8"/>
      <c r="I16" s="8"/>
      <c r="J16" s="2"/>
      <c r="K16" s="25">
        <v>9692</v>
      </c>
      <c r="L16" s="9" t="s">
        <v>135</v>
      </c>
      <c r="M16" s="60" t="s">
        <v>143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9711</v>
      </c>
      <c r="L17" s="9" t="s">
        <v>129</v>
      </c>
      <c r="M17" s="16" t="s">
        <v>151</v>
      </c>
      <c r="R17" s="1">
        <f>IF(vend10[[#This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9710</v>
      </c>
      <c r="L18" s="9" t="s">
        <v>129</v>
      </c>
      <c r="M18" s="16" t="s">
        <v>143</v>
      </c>
      <c r="R18" s="1">
        <f>IF(vend10[[#This Row],[Nº Venda]]&gt;1,1,0)</f>
        <v>0</v>
      </c>
    </row>
    <row r="19" spans="2:18" ht="15.75" x14ac:dyDescent="0.25">
      <c r="B19" s="30">
        <f>COUNT(entr_carn10[OS])</f>
        <v>1</v>
      </c>
      <c r="C19" s="31">
        <f>SUM(entr_carn10[Valor Total])</f>
        <v>800</v>
      </c>
      <c r="D19" s="2"/>
      <c r="E19" s="18"/>
      <c r="F19" s="25"/>
      <c r="G19" s="26"/>
      <c r="H19" s="8"/>
      <c r="I19" s="8"/>
      <c r="J19" s="2"/>
      <c r="K19" s="25">
        <v>9706</v>
      </c>
      <c r="L19" s="9" t="s">
        <v>133</v>
      </c>
      <c r="M19" s="16" t="s">
        <v>143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800</v>
      </c>
      <c r="D20" s="2"/>
      <c r="E20" s="18"/>
      <c r="F20" s="26"/>
      <c r="G20" s="26"/>
      <c r="H20" s="8"/>
      <c r="I20" s="8"/>
      <c r="J20" s="2"/>
      <c r="K20" s="25">
        <v>9718</v>
      </c>
      <c r="L20" s="9" t="s">
        <v>129</v>
      </c>
      <c r="M20" s="16" t="s">
        <v>143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35"/>
      <c r="F32" s="39"/>
      <c r="G32" s="26"/>
      <c r="H32" s="8"/>
      <c r="I32" s="8"/>
    </row>
    <row r="33" spans="2:18" ht="15" x14ac:dyDescent="0.25">
      <c r="B33" s="2"/>
      <c r="C33" s="2"/>
      <c r="E33" s="33"/>
      <c r="K33" s="103" t="s">
        <v>12</v>
      </c>
      <c r="L33" s="104"/>
      <c r="M33" s="105"/>
    </row>
    <row r="34" spans="2:18" ht="15" x14ac:dyDescent="0.25">
      <c r="E34" s="102" t="s">
        <v>28</v>
      </c>
      <c r="F34" s="102"/>
      <c r="G34" s="102"/>
      <c r="H34" s="102"/>
      <c r="I34" s="102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>
        <v>9711</v>
      </c>
      <c r="L35" s="41">
        <v>8</v>
      </c>
      <c r="M35" s="16">
        <v>800</v>
      </c>
    </row>
    <row r="36" spans="2:18" ht="15.75" x14ac:dyDescent="0.25">
      <c r="E36" s="18">
        <v>9565</v>
      </c>
      <c r="F36" s="25" t="s">
        <v>208</v>
      </c>
      <c r="G36" s="26" t="s">
        <v>10</v>
      </c>
      <c r="H36" s="8">
        <v>100</v>
      </c>
      <c r="I36" s="8" t="s">
        <v>81</v>
      </c>
      <c r="K36" s="25"/>
      <c r="L36" s="41"/>
      <c r="M36" s="16"/>
    </row>
    <row r="37" spans="2:18" ht="15.75" x14ac:dyDescent="0.25">
      <c r="E37" s="94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>
        <v>9370</v>
      </c>
      <c r="F38" s="25" t="s">
        <v>209</v>
      </c>
      <c r="G38" s="26" t="s">
        <v>10</v>
      </c>
      <c r="H38" s="8">
        <v>108.33</v>
      </c>
      <c r="I38" s="8" t="s">
        <v>53</v>
      </c>
      <c r="K38" s="25"/>
      <c r="L38" s="41"/>
      <c r="M38" s="16"/>
    </row>
    <row r="39" spans="2:18" ht="15.75" x14ac:dyDescent="0.25">
      <c r="E39" s="18">
        <v>9208</v>
      </c>
      <c r="F39" s="25" t="s">
        <v>210</v>
      </c>
      <c r="G39" s="26" t="s">
        <v>10</v>
      </c>
      <c r="H39" s="8">
        <v>63.33</v>
      </c>
      <c r="I39" s="8" t="s">
        <v>53</v>
      </c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0" zoomScale="79" zoomScaleNormal="79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'10'!B1+1</f>
        <v>45546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725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1684</v>
      </c>
      <c r="D6" s="2"/>
      <c r="E6" s="18">
        <v>9766</v>
      </c>
      <c r="F6" s="25" t="s">
        <v>211</v>
      </c>
      <c r="G6" s="26" t="s">
        <v>49</v>
      </c>
      <c r="H6" s="8"/>
      <c r="I6" s="8"/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9767</v>
      </c>
      <c r="F7" s="25" t="s">
        <v>212</v>
      </c>
      <c r="G7" s="26" t="s">
        <v>10</v>
      </c>
      <c r="H7" s="8">
        <v>290</v>
      </c>
      <c r="I7" s="8">
        <v>30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1684</v>
      </c>
      <c r="D8" s="2"/>
      <c r="E8" s="18">
        <v>9778</v>
      </c>
      <c r="F8" s="25" t="s">
        <v>215</v>
      </c>
      <c r="G8" s="26" t="s">
        <v>8</v>
      </c>
      <c r="H8" s="8">
        <v>400</v>
      </c>
      <c r="I8" s="8">
        <v>400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79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1590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210</v>
      </c>
      <c r="D15" s="2"/>
      <c r="E15" s="18"/>
      <c r="F15" s="25"/>
      <c r="G15" s="26"/>
      <c r="H15" s="8"/>
      <c r="I15" s="8"/>
      <c r="J15" s="2"/>
      <c r="K15" s="25">
        <v>9761</v>
      </c>
      <c r="L15" s="9" t="s">
        <v>129</v>
      </c>
      <c r="M15" s="16" t="s">
        <v>143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1944</v>
      </c>
      <c r="D16" s="2"/>
      <c r="E16" s="18"/>
      <c r="F16" s="25"/>
      <c r="G16" s="26"/>
      <c r="H16" s="8"/>
      <c r="I16" s="8"/>
      <c r="J16" s="2"/>
      <c r="K16" s="25">
        <v>9760</v>
      </c>
      <c r="L16" s="9" t="s">
        <v>135</v>
      </c>
      <c r="M16" s="16" t="s">
        <v>143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9735</v>
      </c>
      <c r="L17" s="9" t="s">
        <v>129</v>
      </c>
      <c r="M17" s="16" t="s">
        <v>143</v>
      </c>
      <c r="R17" s="1">
        <f>IF(vend11[[#This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9738</v>
      </c>
      <c r="L18" s="9" t="s">
        <v>129</v>
      </c>
      <c r="M18" s="16" t="s">
        <v>143</v>
      </c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>
        <v>9730</v>
      </c>
      <c r="L19" s="9" t="s">
        <v>129</v>
      </c>
      <c r="M19" s="16" t="s">
        <v>143</v>
      </c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9761</v>
      </c>
      <c r="F26" s="25" t="s">
        <v>207</v>
      </c>
      <c r="G26" s="45" t="s">
        <v>6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9760</v>
      </c>
      <c r="F27" s="25" t="s">
        <v>213</v>
      </c>
      <c r="G27" s="26" t="s">
        <v>7</v>
      </c>
      <c r="H27" s="8"/>
      <c r="I27" s="8">
        <v>29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9738</v>
      </c>
      <c r="F28" s="25" t="s">
        <v>157</v>
      </c>
      <c r="G28" s="26" t="s">
        <v>8</v>
      </c>
      <c r="H28" s="8"/>
      <c r="I28" s="8">
        <v>690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9749</v>
      </c>
      <c r="F29" s="25" t="s">
        <v>216</v>
      </c>
      <c r="G29" s="26" t="s">
        <v>8</v>
      </c>
      <c r="H29" s="8"/>
      <c r="I29" s="8">
        <v>500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8817</v>
      </c>
      <c r="F35" s="25" t="s">
        <v>214</v>
      </c>
      <c r="G35" s="26" t="s">
        <v>10</v>
      </c>
      <c r="H35" s="8">
        <v>180</v>
      </c>
      <c r="I35" s="8" t="s">
        <v>37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>
        <v>9447</v>
      </c>
      <c r="F37" s="25" t="s">
        <v>217</v>
      </c>
      <c r="G37" s="26" t="s">
        <v>6</v>
      </c>
      <c r="H37" s="8">
        <v>20</v>
      </c>
      <c r="I37" s="8" t="s">
        <v>54</v>
      </c>
      <c r="K37" s="25"/>
      <c r="L37" s="41"/>
      <c r="M37" s="16"/>
    </row>
    <row r="38" spans="2:18" ht="15.75" x14ac:dyDescent="0.25">
      <c r="E38" s="18">
        <v>8999</v>
      </c>
      <c r="F38" s="25" t="s">
        <v>217</v>
      </c>
      <c r="G38" s="26" t="s">
        <v>7</v>
      </c>
      <c r="H38" s="8">
        <v>50</v>
      </c>
      <c r="I38" s="8" t="s">
        <v>43</v>
      </c>
      <c r="K38" s="25"/>
      <c r="L38" s="41"/>
      <c r="M38" s="16"/>
    </row>
    <row r="39" spans="2:18" ht="15.75" x14ac:dyDescent="0.25">
      <c r="E39" s="18">
        <v>8999</v>
      </c>
      <c r="F39" s="39" t="s">
        <v>217</v>
      </c>
      <c r="G39" s="26" t="s">
        <v>6</v>
      </c>
      <c r="H39" s="8">
        <v>10</v>
      </c>
      <c r="I39" s="8" t="s">
        <v>43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abSelected="1" view="pageBreakPreview" topLeftCell="A11" zoomScale="60" zoomScaleNormal="70" workbookViewId="0">
      <selection activeCell="L25" sqref="L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'11'!B1+1</f>
        <v>45547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3329.5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5319.5</v>
      </c>
      <c r="D6" s="2"/>
      <c r="E6" s="18">
        <v>9768</v>
      </c>
      <c r="F6" s="49" t="s">
        <v>218</v>
      </c>
      <c r="G6" s="49" t="s">
        <v>8</v>
      </c>
      <c r="H6" s="50">
        <v>200</v>
      </c>
      <c r="I6" s="50">
        <v>200</v>
      </c>
      <c r="J6" s="2"/>
      <c r="K6" s="25"/>
      <c r="L6" s="9"/>
      <c r="M6" s="16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9769</v>
      </c>
      <c r="F7" s="51" t="s">
        <v>219</v>
      </c>
      <c r="G7" s="51" t="s">
        <v>6</v>
      </c>
      <c r="H7" s="52">
        <v>237.5</v>
      </c>
      <c r="I7" s="52">
        <v>200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5319.5</v>
      </c>
      <c r="D8" s="2"/>
      <c r="E8" s="18">
        <v>9769</v>
      </c>
      <c r="F8" s="51" t="s">
        <v>219</v>
      </c>
      <c r="G8" s="51" t="s">
        <v>7</v>
      </c>
      <c r="H8" s="52"/>
      <c r="I8" s="52">
        <v>37.5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9770</v>
      </c>
      <c r="F9" s="25" t="s">
        <v>220</v>
      </c>
      <c r="G9" s="26" t="s">
        <v>10</v>
      </c>
      <c r="H9" s="8">
        <v>179</v>
      </c>
      <c r="I9" s="8">
        <v>179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9771</v>
      </c>
      <c r="F10" s="25" t="s">
        <v>221</v>
      </c>
      <c r="G10" s="26" t="s">
        <v>49</v>
      </c>
      <c r="H10" s="8">
        <v>20</v>
      </c>
      <c r="I10" s="8"/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1090</v>
      </c>
      <c r="D11" s="2"/>
      <c r="E11" s="18">
        <v>9772</v>
      </c>
      <c r="F11" s="25" t="s">
        <v>222</v>
      </c>
      <c r="G11" s="26" t="s">
        <v>8</v>
      </c>
      <c r="H11" s="8">
        <v>1850</v>
      </c>
      <c r="I11" s="8">
        <v>1850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71.5</v>
      </c>
      <c r="D12" s="2"/>
      <c r="E12" s="18">
        <v>9773</v>
      </c>
      <c r="F12" s="25" t="s">
        <v>222</v>
      </c>
      <c r="G12" s="26" t="s">
        <v>8</v>
      </c>
      <c r="H12" s="8">
        <v>100</v>
      </c>
      <c r="I12" s="8">
        <v>100</v>
      </c>
      <c r="J12" s="2"/>
      <c r="R12" s="1">
        <f>IF(vend12[[#This Row],[Nº Venda]]&gt;1,1,0)</f>
        <v>1</v>
      </c>
    </row>
    <row r="13" spans="2:18" ht="15.75" x14ac:dyDescent="0.25">
      <c r="B13" s="30" t="s">
        <v>8</v>
      </c>
      <c r="C13" s="31">
        <f t="shared" si="0"/>
        <v>2429</v>
      </c>
      <c r="D13" s="2"/>
      <c r="E13" s="87">
        <v>9774</v>
      </c>
      <c r="F13" s="25" t="s">
        <v>223</v>
      </c>
      <c r="G13" s="26" t="s">
        <v>6</v>
      </c>
      <c r="H13" s="8">
        <v>450</v>
      </c>
      <c r="I13" s="8">
        <v>350</v>
      </c>
      <c r="J13" s="2"/>
      <c r="K13" s="103" t="s">
        <v>22</v>
      </c>
      <c r="L13" s="104"/>
      <c r="M13" s="105"/>
      <c r="R13" s="1">
        <f>IF(vend12[[#This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>
        <v>9775</v>
      </c>
      <c r="F14" s="25" t="s">
        <v>224</v>
      </c>
      <c r="G14" s="26" t="s">
        <v>8</v>
      </c>
      <c r="H14" s="8">
        <v>279</v>
      </c>
      <c r="I14" s="8">
        <v>279</v>
      </c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1</v>
      </c>
    </row>
    <row r="15" spans="2:18" ht="15.75" x14ac:dyDescent="0.25">
      <c r="B15" s="30" t="s">
        <v>10</v>
      </c>
      <c r="C15" s="31">
        <f t="shared" si="0"/>
        <v>2172.33</v>
      </c>
      <c r="D15" s="2"/>
      <c r="E15" s="18">
        <v>9776</v>
      </c>
      <c r="F15" s="25" t="s">
        <v>232</v>
      </c>
      <c r="G15" s="26" t="s">
        <v>7</v>
      </c>
      <c r="H15" s="8">
        <v>34</v>
      </c>
      <c r="I15" s="8">
        <v>34</v>
      </c>
      <c r="J15" s="2"/>
      <c r="K15" s="25">
        <v>9770</v>
      </c>
      <c r="L15" s="9" t="s">
        <v>133</v>
      </c>
      <c r="M15" s="16" t="s">
        <v>143</v>
      </c>
      <c r="R15" s="1">
        <f>IF(vend12[[#This Row],[Nº Venda]]&gt;1,1,0)</f>
        <v>1</v>
      </c>
    </row>
    <row r="16" spans="2:18" ht="15.75" x14ac:dyDescent="0.25">
      <c r="B16" s="28" t="s">
        <v>11</v>
      </c>
      <c r="C16" s="32">
        <f>SUM(C11:C15)</f>
        <v>5762.83</v>
      </c>
      <c r="D16" s="2"/>
      <c r="E16" s="18"/>
      <c r="F16" s="25"/>
      <c r="G16" s="26"/>
      <c r="H16" s="8"/>
      <c r="I16" s="8"/>
      <c r="J16" s="2"/>
      <c r="K16" s="25">
        <v>9728</v>
      </c>
      <c r="L16" s="9" t="s">
        <v>133</v>
      </c>
      <c r="M16" s="16" t="s">
        <v>151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9745</v>
      </c>
      <c r="L17" s="9" t="s">
        <v>129</v>
      </c>
      <c r="M17" s="16" t="s">
        <v>143</v>
      </c>
      <c r="R17" s="1">
        <f>IF(vend12[[#This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9769</v>
      </c>
      <c r="L18" s="9" t="s">
        <v>133</v>
      </c>
      <c r="M18" s="16" t="s">
        <v>143</v>
      </c>
      <c r="R18" s="1">
        <f>IF(vend12[[#This Row],[Nº Venda]]&gt;1,1,0)</f>
        <v>0</v>
      </c>
    </row>
    <row r="19" spans="2:18" ht="15.75" x14ac:dyDescent="0.25">
      <c r="B19" s="30">
        <f>COUNT(entr_carn12[OS])</f>
        <v>1</v>
      </c>
      <c r="C19" s="31">
        <f>SUM(entr_carn12[Valor Total])</f>
        <v>1300</v>
      </c>
      <c r="D19" s="2"/>
      <c r="E19" s="18"/>
      <c r="F19" s="25"/>
      <c r="G19" s="26"/>
      <c r="H19" s="8"/>
      <c r="I19" s="8"/>
      <c r="J19" s="2"/>
      <c r="K19" s="25">
        <v>9775</v>
      </c>
      <c r="L19" s="9" t="s">
        <v>135</v>
      </c>
      <c r="M19" s="16" t="s">
        <v>143</v>
      </c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1300</v>
      </c>
      <c r="D20" s="2"/>
      <c r="E20" s="18"/>
      <c r="F20" s="26"/>
      <c r="G20" s="26"/>
      <c r="H20" s="8"/>
      <c r="I20" s="8"/>
      <c r="J20" s="2"/>
      <c r="K20" s="25">
        <v>9776</v>
      </c>
      <c r="L20" s="9" t="s">
        <v>135</v>
      </c>
      <c r="M20" s="16" t="s">
        <v>143</v>
      </c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3329.5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9745</v>
      </c>
      <c r="F26" s="53" t="s">
        <v>225</v>
      </c>
      <c r="G26" s="45" t="s">
        <v>6</v>
      </c>
      <c r="H26" s="8"/>
      <c r="I26" s="8">
        <v>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9697</v>
      </c>
      <c r="F27" s="25" t="s">
        <v>226</v>
      </c>
      <c r="G27" s="26" t="s">
        <v>6</v>
      </c>
      <c r="H27" s="8"/>
      <c r="I27" s="8">
        <v>430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9265</v>
      </c>
      <c r="F28" s="25" t="s">
        <v>230</v>
      </c>
      <c r="G28" s="26" t="s">
        <v>10</v>
      </c>
      <c r="H28" s="8"/>
      <c r="I28" s="8">
        <v>190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9264</v>
      </c>
      <c r="F29" s="25" t="s">
        <v>230</v>
      </c>
      <c r="G29" s="26" t="s">
        <v>10</v>
      </c>
      <c r="H29" s="8"/>
      <c r="I29" s="8">
        <v>850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9267</v>
      </c>
      <c r="F30" s="39" t="s">
        <v>231</v>
      </c>
      <c r="G30" s="26" t="s">
        <v>10</v>
      </c>
      <c r="H30" s="8"/>
      <c r="I30" s="8">
        <v>560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 t="s">
        <v>227</v>
      </c>
      <c r="G35" s="26" t="s">
        <v>10</v>
      </c>
      <c r="H35" s="8">
        <v>168.33</v>
      </c>
      <c r="I35" s="8"/>
      <c r="K35" s="25">
        <v>9728</v>
      </c>
      <c r="L35" s="41">
        <v>8</v>
      </c>
      <c r="M35" s="16">
        <v>1300</v>
      </c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>
        <v>8729</v>
      </c>
      <c r="F37" s="25" t="s">
        <v>228</v>
      </c>
      <c r="G37" s="26" t="s">
        <v>6</v>
      </c>
      <c r="H37" s="8">
        <v>50</v>
      </c>
      <c r="I37" s="8" t="s">
        <v>59</v>
      </c>
      <c r="K37" s="25"/>
      <c r="L37" s="41"/>
      <c r="M37" s="16"/>
    </row>
    <row r="38" spans="2:18" ht="15.75" x14ac:dyDescent="0.25">
      <c r="E38" s="18">
        <v>9012</v>
      </c>
      <c r="F38" s="25" t="s">
        <v>229</v>
      </c>
      <c r="G38" s="26" t="s">
        <v>10</v>
      </c>
      <c r="H38" s="8">
        <v>225</v>
      </c>
      <c r="I38" s="8" t="s">
        <v>37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U41"/>
  <sheetViews>
    <sheetView showGridLines="0" topLeftCell="A19" zoomScale="84" zoomScaleNormal="84" workbookViewId="0">
      <selection activeCell="K30" sqref="K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'12'!B1+1</f>
        <v>45548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4517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5003</v>
      </c>
      <c r="D6" s="2"/>
      <c r="E6" s="18">
        <v>9779</v>
      </c>
      <c r="F6" s="25" t="s">
        <v>233</v>
      </c>
      <c r="G6" s="26" t="s">
        <v>8</v>
      </c>
      <c r="H6" s="8">
        <v>2700</v>
      </c>
      <c r="I6" s="8">
        <v>2700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9780</v>
      </c>
      <c r="F7" s="25" t="s">
        <v>234</v>
      </c>
      <c r="G7" s="26" t="s">
        <v>7</v>
      </c>
      <c r="H7" s="8">
        <v>40</v>
      </c>
      <c r="I7" s="8">
        <v>40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5003</v>
      </c>
      <c r="D8" s="2"/>
      <c r="E8" s="18">
        <v>9781</v>
      </c>
      <c r="F8" s="25" t="s">
        <v>234</v>
      </c>
      <c r="G8" s="26" t="s">
        <v>7</v>
      </c>
      <c r="H8" s="8">
        <v>40</v>
      </c>
      <c r="I8" s="8">
        <v>40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9782</v>
      </c>
      <c r="F9" s="25" t="s">
        <v>234</v>
      </c>
      <c r="G9" s="26" t="s">
        <v>7</v>
      </c>
      <c r="H9" s="8">
        <v>40</v>
      </c>
      <c r="I9" s="8">
        <v>40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9783</v>
      </c>
      <c r="F10" s="25" t="s">
        <v>235</v>
      </c>
      <c r="G10" s="26" t="s">
        <v>7</v>
      </c>
      <c r="H10" s="8">
        <v>399</v>
      </c>
      <c r="I10" s="8">
        <v>40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428</v>
      </c>
      <c r="D11" s="2"/>
      <c r="E11" s="18">
        <v>9784</v>
      </c>
      <c r="F11" s="25" t="s">
        <v>236</v>
      </c>
      <c r="G11" s="26" t="s">
        <v>10</v>
      </c>
      <c r="H11" s="8">
        <v>500</v>
      </c>
      <c r="I11" s="8">
        <v>75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360</v>
      </c>
      <c r="D12" s="2"/>
      <c r="E12" s="18">
        <v>9785</v>
      </c>
      <c r="F12" s="25" t="s">
        <v>237</v>
      </c>
      <c r="G12" s="26" t="s">
        <v>8</v>
      </c>
      <c r="H12" s="8">
        <v>350</v>
      </c>
      <c r="I12" s="8">
        <v>350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 t="shared" si="0"/>
        <v>4140</v>
      </c>
      <c r="D13" s="2"/>
      <c r="E13" s="87">
        <v>9786</v>
      </c>
      <c r="F13" s="25" t="s">
        <v>238</v>
      </c>
      <c r="G13" s="26" t="s">
        <v>7</v>
      </c>
      <c r="H13" s="8">
        <v>448</v>
      </c>
      <c r="I13" s="8">
        <v>100</v>
      </c>
      <c r="J13" s="2"/>
      <c r="K13" s="103" t="s">
        <v>22</v>
      </c>
      <c r="L13" s="104"/>
      <c r="M13" s="105"/>
      <c r="R13" s="1">
        <f>IF(vend13[[#This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>
        <v>9786</v>
      </c>
      <c r="F14" s="25" t="s">
        <v>238</v>
      </c>
      <c r="G14" s="26" t="s">
        <v>6</v>
      </c>
      <c r="H14" s="8"/>
      <c r="I14" s="8">
        <v>348</v>
      </c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1</v>
      </c>
    </row>
    <row r="15" spans="2:18" ht="15.75" x14ac:dyDescent="0.25">
      <c r="B15" s="30" t="s">
        <v>10</v>
      </c>
      <c r="C15" s="31">
        <f t="shared" si="0"/>
        <v>75</v>
      </c>
      <c r="D15" s="2"/>
      <c r="E15" s="18"/>
      <c r="F15" s="25"/>
      <c r="G15" s="26"/>
      <c r="H15" s="8"/>
      <c r="I15" s="8"/>
      <c r="J15" s="2"/>
      <c r="K15" s="25">
        <v>9746</v>
      </c>
      <c r="L15" s="9" t="s">
        <v>129</v>
      </c>
      <c r="M15" s="16" t="s">
        <v>151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5003</v>
      </c>
      <c r="D16" s="2"/>
      <c r="E16" s="18"/>
      <c r="F16" s="25"/>
      <c r="G16" s="26"/>
      <c r="H16" s="8"/>
      <c r="I16" s="8"/>
      <c r="J16" s="2"/>
      <c r="K16" s="25">
        <v>9762</v>
      </c>
      <c r="L16" s="9" t="s">
        <v>129</v>
      </c>
      <c r="M16" s="16" t="s">
        <v>143</v>
      </c>
      <c r="R16" s="1">
        <f>IF(vend13[[#This Row],[Nº Venda]]&gt;1,1,0)</f>
        <v>0</v>
      </c>
    </row>
    <row r="17" spans="2:21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9747</v>
      </c>
      <c r="L17" s="9" t="s">
        <v>135</v>
      </c>
      <c r="M17" s="16" t="s">
        <v>143</v>
      </c>
      <c r="R17" s="1">
        <f>IF(vend13[[#This Row],[Nº Venda]]&gt;1,1,0)</f>
        <v>0</v>
      </c>
    </row>
    <row r="18" spans="2:21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9720</v>
      </c>
      <c r="L18" s="9" t="s">
        <v>133</v>
      </c>
      <c r="M18" s="16" t="s">
        <v>143</v>
      </c>
      <c r="R18" s="1">
        <f>IF(vend13[[#This Row],[Nº Venda]]&gt;1,1,0)</f>
        <v>0</v>
      </c>
    </row>
    <row r="19" spans="2:21" ht="15.75" x14ac:dyDescent="0.25">
      <c r="B19" s="30">
        <f>COUNT(entr_carn13[OS])</f>
        <v>1</v>
      </c>
      <c r="C19" s="31">
        <f>SUM(entr_carn13[Valor Total])</f>
        <v>490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21" ht="15.75" x14ac:dyDescent="0.25">
      <c r="B20" s="28" t="s">
        <v>11</v>
      </c>
      <c r="C20" s="32">
        <f>SUM(C19:C19)</f>
        <v>490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21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1" ht="15.75" x14ac:dyDescent="0.25">
      <c r="B22" s="28" t="s">
        <v>26</v>
      </c>
      <c r="C22" s="32">
        <f>C5</f>
        <v>4517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  <c r="U24" s="1" t="s">
        <v>57</v>
      </c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1" ht="15.75" x14ac:dyDescent="0.25">
      <c r="B26" s="2"/>
      <c r="C26" s="2"/>
      <c r="D26" s="2"/>
      <c r="E26" s="18">
        <v>9720</v>
      </c>
      <c r="F26" s="25" t="s">
        <v>239</v>
      </c>
      <c r="G26" s="26" t="s">
        <v>8</v>
      </c>
      <c r="H26" s="8"/>
      <c r="I26" s="8">
        <v>830</v>
      </c>
      <c r="J26" s="2"/>
      <c r="K26" s="25"/>
      <c r="L26" s="9"/>
      <c r="M26" s="16"/>
    </row>
    <row r="27" spans="2:21" ht="15.75" x14ac:dyDescent="0.25">
      <c r="B27" s="2"/>
      <c r="C27" s="2"/>
      <c r="D27" s="2"/>
      <c r="E27" s="18">
        <v>9767</v>
      </c>
      <c r="F27" s="25" t="s">
        <v>240</v>
      </c>
      <c r="G27" s="26" t="s">
        <v>8</v>
      </c>
      <c r="H27" s="8"/>
      <c r="I27" s="8">
        <v>260</v>
      </c>
      <c r="J27" s="2"/>
      <c r="K27" s="25"/>
      <c r="L27" s="9"/>
      <c r="M27" s="16"/>
    </row>
    <row r="28" spans="2:21" ht="15.75" x14ac:dyDescent="0.25">
      <c r="B28" s="2"/>
      <c r="C28" s="2"/>
      <c r="D28" s="2"/>
      <c r="E28" s="18">
        <v>9746</v>
      </c>
      <c r="F28" s="25" t="s">
        <v>176</v>
      </c>
      <c r="G28" s="26" t="s">
        <v>7</v>
      </c>
      <c r="H28" s="8"/>
      <c r="I28" s="8">
        <v>100</v>
      </c>
      <c r="J28" s="2"/>
      <c r="K28" s="25"/>
      <c r="L28" s="9"/>
      <c r="M28" s="16"/>
    </row>
    <row r="29" spans="2:21" ht="15.75" x14ac:dyDescent="0.25">
      <c r="B29" s="2"/>
      <c r="C29" s="2"/>
      <c r="D29" s="2"/>
      <c r="E29" s="18">
        <v>9746</v>
      </c>
      <c r="F29" s="25" t="s">
        <v>176</v>
      </c>
      <c r="G29" s="26" t="s">
        <v>6</v>
      </c>
      <c r="H29" s="8"/>
      <c r="I29" s="8">
        <v>80</v>
      </c>
      <c r="J29" s="2"/>
      <c r="K29" s="25"/>
      <c r="L29" s="9"/>
      <c r="M29" s="16"/>
    </row>
    <row r="30" spans="2:21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1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9746</v>
      </c>
      <c r="L35" s="41">
        <v>8</v>
      </c>
      <c r="M35" s="16">
        <v>490</v>
      </c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97EB-9E9F-47C0-AC2D-0A70A7B7BDDF}">
  <dimension ref="B1:U41"/>
  <sheetViews>
    <sheetView showGridLines="0" topLeftCell="A12" zoomScale="75" zoomScaleNormal="75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'13'!B1+1</f>
        <v>45549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5900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5150</v>
      </c>
      <c r="D6" s="2"/>
      <c r="E6" s="18">
        <v>9787</v>
      </c>
      <c r="F6" s="25" t="s">
        <v>241</v>
      </c>
      <c r="G6" s="45" t="s">
        <v>6</v>
      </c>
      <c r="H6" s="8">
        <v>900</v>
      </c>
      <c r="I6" s="8">
        <v>50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9788</v>
      </c>
      <c r="F7" s="25" t="s">
        <v>244</v>
      </c>
      <c r="G7" s="45" t="s">
        <v>8</v>
      </c>
      <c r="H7" s="8">
        <v>3000</v>
      </c>
      <c r="I7" s="8">
        <v>3000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21</v>
      </c>
      <c r="C8" s="29">
        <f>SUM(C6:C7)</f>
        <v>5150</v>
      </c>
      <c r="D8" s="2"/>
      <c r="E8" s="18">
        <v>9789</v>
      </c>
      <c r="F8" s="25" t="s">
        <v>244</v>
      </c>
      <c r="G8" s="26" t="s">
        <v>8</v>
      </c>
      <c r="H8" s="8">
        <v>2000</v>
      </c>
      <c r="I8" s="8">
        <v>2000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216.5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5000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9787</v>
      </c>
      <c r="L15" s="9" t="s">
        <v>133</v>
      </c>
      <c r="M15" s="16" t="s">
        <v>143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5216.5</v>
      </c>
      <c r="D16" s="2"/>
      <c r="E16" s="18"/>
      <c r="F16" s="25"/>
      <c r="G16" s="26"/>
      <c r="H16" s="8"/>
      <c r="I16" s="8"/>
      <c r="J16" s="2"/>
      <c r="K16" s="25">
        <v>9774</v>
      </c>
      <c r="L16" s="9" t="s">
        <v>133</v>
      </c>
      <c r="M16" s="16" t="s">
        <v>143</v>
      </c>
      <c r="R16" s="1">
        <f>IF(vend14[[#This Row],[Nº Venda]]&gt;1,1,0)</f>
        <v>0</v>
      </c>
    </row>
    <row r="17" spans="2:21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9694</v>
      </c>
      <c r="L17" s="9" t="s">
        <v>129</v>
      </c>
      <c r="M17" s="16" t="s">
        <v>143</v>
      </c>
      <c r="R17" s="1">
        <f>IF(vend14[[#This Row],[Nº Venda]]&gt;1,1,0)</f>
        <v>0</v>
      </c>
    </row>
    <row r="18" spans="2:21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21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21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21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1" ht="15.75" x14ac:dyDescent="0.25">
      <c r="B22" s="28" t="s">
        <v>26</v>
      </c>
      <c r="C22" s="32">
        <f>C5</f>
        <v>5900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  <c r="U24" s="1" t="s">
        <v>57</v>
      </c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1" ht="15.75" x14ac:dyDescent="0.25">
      <c r="B26" s="2"/>
      <c r="C26" s="2"/>
      <c r="D26" s="2"/>
      <c r="E26" s="18">
        <v>9774</v>
      </c>
      <c r="F26" s="25" t="s">
        <v>243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21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1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1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1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1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9156</v>
      </c>
      <c r="F35" s="25" t="s">
        <v>242</v>
      </c>
      <c r="G35" s="26" t="s">
        <v>6</v>
      </c>
      <c r="H35" s="8">
        <v>66.5</v>
      </c>
      <c r="I35" s="8" t="s">
        <v>79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7105577C-EED7-4DFE-8C85-18D0D8252DC6}">
      <formula1>"1,2,3,4,5,6,7,8,9,10"</formula1>
    </dataValidation>
    <dataValidation type="list" allowBlank="1" showInputMessage="1" showErrorMessage="1" sqref="M15:M31" xr:uid="{CEF2C610-4B77-46CC-92DE-0E10C73F8F0A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2F9797-FBDD-4278-8243-3C6ADAEE55C5}">
          <x14:formula1>
            <xm:f>base_OS!$A$2:$A$15000</xm:f>
          </x14:formula1>
          <xm:sqref>E6:E22 E35:E41 E26:E31 K35:K41 K15:K31</xm:sqref>
        </x14:dataValidation>
        <x14:dataValidation type="list" allowBlank="1" showInputMessage="1" showErrorMessage="1" xr:uid="{3E5F5EB5-5196-43C9-9BFE-33B479038B98}">
          <x14:formula1>
            <xm:f>resumo_cx!$P$2:$P$18</xm:f>
          </x14:formula1>
          <xm:sqref>L15:L31</xm:sqref>
        </x14:dataValidation>
        <x14:dataValidation type="list" allowBlank="1" showInputMessage="1" showErrorMessage="1" xr:uid="{F2F67DEC-9BAD-46D8-BFCC-22F2107FD5AD}">
          <x14:formula1>
            <xm:f>base!$E$2:$E$79</xm:f>
          </x14:formula1>
          <xm:sqref>I35:I41</xm:sqref>
        </x14:dataValidation>
        <x14:dataValidation type="list" allowBlank="1" showInputMessage="1" showErrorMessage="1" xr:uid="{80E22B1A-E4FB-4DCD-99A5-DD284BF31A39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BB7675-A035-4D57-B391-035622049F33}">
          <x14:formula1>
            <xm:f>base!$A$2:$A$9</xm:f>
          </x14:formula1>
          <xm:sqref>G6:G22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4" zoomScale="75" zoomScaleNormal="75" workbookViewId="0">
      <selection activeCell="E6" sqref="E6:I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'14'!B1+1</f>
        <v>45550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6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1" zoomScale="70" zoomScaleNormal="7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'15'!B1+1</f>
        <v>45551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260</v>
      </c>
      <c r="D6" s="2"/>
      <c r="E6" s="18">
        <v>9790</v>
      </c>
      <c r="F6" s="25" t="s">
        <v>245</v>
      </c>
      <c r="G6" s="45" t="s">
        <v>49</v>
      </c>
      <c r="H6" s="8">
        <v>34</v>
      </c>
      <c r="I6" s="8"/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9791</v>
      </c>
      <c r="F7" s="25" t="s">
        <v>246</v>
      </c>
      <c r="G7" s="45" t="s">
        <v>49</v>
      </c>
      <c r="H7" s="8">
        <v>50</v>
      </c>
      <c r="I7" s="8"/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260</v>
      </c>
      <c r="D8" s="2"/>
      <c r="E8" s="18">
        <v>9792</v>
      </c>
      <c r="F8" s="25" t="s">
        <v>247</v>
      </c>
      <c r="G8" s="26" t="s">
        <v>6</v>
      </c>
      <c r="H8" s="8">
        <v>800</v>
      </c>
      <c r="I8" s="8">
        <v>100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160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9743</v>
      </c>
      <c r="L15" s="9" t="s">
        <v>129</v>
      </c>
      <c r="M15" s="16" t="s">
        <v>143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260</v>
      </c>
      <c r="D16" s="2"/>
      <c r="E16" s="18"/>
      <c r="F16" s="25"/>
      <c r="G16" s="26"/>
      <c r="H16" s="8"/>
      <c r="I16" s="8"/>
      <c r="J16" s="2"/>
      <c r="K16" s="25">
        <v>9778</v>
      </c>
      <c r="L16" s="9" t="s">
        <v>129</v>
      </c>
      <c r="M16" s="16" t="s">
        <v>143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9097</v>
      </c>
      <c r="L17" s="9" t="s">
        <v>133</v>
      </c>
      <c r="M17" s="66" t="s">
        <v>143</v>
      </c>
      <c r="R17" s="1">
        <f>IF(vend16[[#This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9762</v>
      </c>
      <c r="L18" s="9" t="s">
        <v>135</v>
      </c>
      <c r="M18" s="16" t="s">
        <v>143</v>
      </c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>
        <v>9264</v>
      </c>
      <c r="L19" s="9" t="s">
        <v>135</v>
      </c>
      <c r="M19" s="16" t="s">
        <v>143</v>
      </c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9756</v>
      </c>
      <c r="L20" s="9" t="s">
        <v>135</v>
      </c>
      <c r="M20" s="16" t="s">
        <v>143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9785</v>
      </c>
      <c r="L21" s="9" t="s">
        <v>129</v>
      </c>
      <c r="M21" s="16" t="s">
        <v>143</v>
      </c>
    </row>
    <row r="22" spans="2:18" ht="15.75" x14ac:dyDescent="0.25">
      <c r="B22" s="28" t="s">
        <v>26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>
        <v>9790</v>
      </c>
      <c r="L22" s="9" t="s">
        <v>129</v>
      </c>
      <c r="M22" s="16" t="s">
        <v>143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9707</v>
      </c>
      <c r="F26" s="25" t="s">
        <v>248</v>
      </c>
      <c r="G26" s="45" t="s">
        <v>8</v>
      </c>
      <c r="H26" s="8"/>
      <c r="I26" s="8">
        <v>160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4" zoomScale="75" zoomScaleNormal="75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'16'!B1+1</f>
        <v>45552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940</v>
      </c>
      <c r="D6" s="2"/>
      <c r="E6" s="18">
        <v>9793</v>
      </c>
      <c r="F6" s="25" t="s">
        <v>252</v>
      </c>
      <c r="G6" s="26" t="s">
        <v>6</v>
      </c>
      <c r="H6" s="8">
        <v>250</v>
      </c>
      <c r="I6" s="8">
        <v>250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9794</v>
      </c>
      <c r="F7" s="25" t="s">
        <v>253</v>
      </c>
      <c r="G7" s="26" t="s">
        <v>7</v>
      </c>
      <c r="H7" s="8">
        <v>650</v>
      </c>
      <c r="I7" s="8">
        <v>650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940</v>
      </c>
      <c r="D8" s="2"/>
      <c r="E8" s="18">
        <v>9795</v>
      </c>
      <c r="F8" s="25" t="s">
        <v>254</v>
      </c>
      <c r="G8" s="26" t="s">
        <v>39</v>
      </c>
      <c r="H8" s="8"/>
      <c r="I8" s="8"/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9796</v>
      </c>
      <c r="F9" s="25" t="s">
        <v>255</v>
      </c>
      <c r="G9" s="26" t="s">
        <v>39</v>
      </c>
      <c r="H9" s="8"/>
      <c r="I9" s="8"/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9797</v>
      </c>
      <c r="F10" s="25" t="s">
        <v>256</v>
      </c>
      <c r="G10" s="26" t="s">
        <v>7</v>
      </c>
      <c r="H10" s="8">
        <v>40</v>
      </c>
      <c r="I10" s="8">
        <v>40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967.91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9638</v>
      </c>
      <c r="L15" s="9" t="s">
        <v>129</v>
      </c>
      <c r="M15" s="16" t="s">
        <v>143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1327.9099999999999</v>
      </c>
      <c r="D16" s="2"/>
      <c r="E16" s="18"/>
      <c r="F16" s="25"/>
      <c r="G16" s="26"/>
      <c r="H16" s="8"/>
      <c r="I16" s="8"/>
      <c r="J16" s="2"/>
      <c r="K16" s="25">
        <v>9362</v>
      </c>
      <c r="L16" s="9" t="s">
        <v>129</v>
      </c>
      <c r="M16" s="16" t="s">
        <v>143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9696</v>
      </c>
      <c r="L17" s="9" t="s">
        <v>133</v>
      </c>
      <c r="M17" s="16" t="s">
        <v>143</v>
      </c>
      <c r="R17" s="1">
        <f>IF(vend17[[#This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9265</v>
      </c>
      <c r="L18" s="9" t="s">
        <v>135</v>
      </c>
      <c r="M18" s="16" t="s">
        <v>143</v>
      </c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>
        <v>9703</v>
      </c>
      <c r="L19" s="9" t="s">
        <v>129</v>
      </c>
      <c r="M19" s="16" t="s">
        <v>143</v>
      </c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9733</v>
      </c>
      <c r="L20" s="9" t="s">
        <v>135</v>
      </c>
      <c r="M20" s="16" t="s">
        <v>143</v>
      </c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9732</v>
      </c>
      <c r="L21" s="9" t="s">
        <v>135</v>
      </c>
      <c r="M21" s="16" t="s">
        <v>143</v>
      </c>
    </row>
    <row r="22" spans="2:18" ht="15.75" x14ac:dyDescent="0.25">
      <c r="B22" s="28" t="s">
        <v>26</v>
      </c>
      <c r="C22" s="32">
        <f>C5</f>
        <v>940</v>
      </c>
      <c r="D22" s="2"/>
      <c r="E22" s="18"/>
      <c r="F22" s="25"/>
      <c r="G22" s="26"/>
      <c r="H22" s="8"/>
      <c r="I22" s="8"/>
      <c r="J22" s="2"/>
      <c r="K22" s="25">
        <v>9797</v>
      </c>
      <c r="L22" s="9" t="s">
        <v>135</v>
      </c>
      <c r="M22" s="16" t="s">
        <v>143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9091</v>
      </c>
      <c r="F35" s="25" t="s">
        <v>249</v>
      </c>
      <c r="G35" s="26" t="s">
        <v>7</v>
      </c>
      <c r="H35" s="8">
        <v>116.66</v>
      </c>
      <c r="I35" s="8" t="s">
        <v>79</v>
      </c>
      <c r="K35" s="25"/>
      <c r="L35" s="41"/>
      <c r="M35" s="16"/>
    </row>
    <row r="36" spans="2:18" ht="15.75" x14ac:dyDescent="0.25">
      <c r="E36" s="18">
        <v>9116</v>
      </c>
      <c r="F36" s="25" t="s">
        <v>250</v>
      </c>
      <c r="G36" s="26" t="s">
        <v>7</v>
      </c>
      <c r="H36" s="8">
        <v>161.25</v>
      </c>
      <c r="I36" s="8" t="s">
        <v>56</v>
      </c>
      <c r="K36" s="25"/>
      <c r="L36" s="41"/>
      <c r="M36" s="16"/>
    </row>
    <row r="37" spans="2:18" ht="15.75" x14ac:dyDescent="0.25">
      <c r="E37" s="18">
        <v>8703</v>
      </c>
      <c r="F37" s="25" t="s">
        <v>251</v>
      </c>
      <c r="G37" s="26" t="s">
        <v>6</v>
      </c>
      <c r="H37" s="8">
        <v>110</v>
      </c>
      <c r="I37" s="8" t="s">
        <v>58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1" zoomScale="78" zoomScaleNormal="78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'17'!B1+1</f>
        <v>45553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1202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525</v>
      </c>
      <c r="D6" s="2"/>
      <c r="E6" s="18">
        <v>9798</v>
      </c>
      <c r="F6" s="58" t="s">
        <v>257</v>
      </c>
      <c r="G6" s="88" t="s">
        <v>8</v>
      </c>
      <c r="H6" s="69">
        <v>300</v>
      </c>
      <c r="I6" s="69">
        <v>300</v>
      </c>
      <c r="J6" s="2"/>
      <c r="K6" s="25"/>
      <c r="L6" s="64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9799</v>
      </c>
      <c r="F7" s="25" t="s">
        <v>257</v>
      </c>
      <c r="G7" s="26" t="s">
        <v>10</v>
      </c>
      <c r="H7" s="8">
        <v>50</v>
      </c>
      <c r="I7" s="8">
        <v>50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525</v>
      </c>
      <c r="D8" s="2"/>
      <c r="E8" s="18">
        <v>9800</v>
      </c>
      <c r="F8" s="25" t="s">
        <v>258</v>
      </c>
      <c r="G8" s="26" t="s">
        <v>6</v>
      </c>
      <c r="H8" s="8">
        <v>802</v>
      </c>
      <c r="I8" s="8">
        <v>125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300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9725</v>
      </c>
      <c r="L15" s="9" t="s">
        <v>135</v>
      </c>
      <c r="M15" s="16" t="s">
        <v>151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525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1</v>
      </c>
      <c r="C19" s="31">
        <f>SUM(entr_carn18[Valor Total])</f>
        <v>999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999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1202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2"/>
      <c r="F23" s="62"/>
      <c r="G23" s="62"/>
      <c r="H23" s="63"/>
      <c r="I23" s="63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9791</v>
      </c>
      <c r="F26" s="25" t="s">
        <v>259</v>
      </c>
      <c r="G26" s="26" t="s">
        <v>10</v>
      </c>
      <c r="H26" s="8">
        <v>50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9725</v>
      </c>
      <c r="L35" s="41">
        <v>6</v>
      </c>
      <c r="M35" s="16">
        <v>999</v>
      </c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27" zoomScale="86" zoomScaleNormal="86" zoomScaleSheetLayoutView="7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'18'!B1+1</f>
        <v>45554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2474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2624</v>
      </c>
      <c r="D6" s="2"/>
      <c r="E6" s="18">
        <v>9801</v>
      </c>
      <c r="F6" s="25" t="s">
        <v>260</v>
      </c>
      <c r="G6" s="26" t="s">
        <v>6</v>
      </c>
      <c r="H6" s="8">
        <v>400</v>
      </c>
      <c r="I6" s="8">
        <v>100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9802</v>
      </c>
      <c r="F7" s="25" t="s">
        <v>261</v>
      </c>
      <c r="G7" s="26" t="s">
        <v>8</v>
      </c>
      <c r="H7" s="65">
        <v>119</v>
      </c>
      <c r="I7" s="8">
        <v>119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2624</v>
      </c>
      <c r="D8" s="2"/>
      <c r="E8" s="18">
        <v>9803</v>
      </c>
      <c r="F8" s="25" t="s">
        <v>262</v>
      </c>
      <c r="G8" s="26" t="s">
        <v>8</v>
      </c>
      <c r="H8" s="8">
        <v>1200</v>
      </c>
      <c r="I8" s="8">
        <v>700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9803</v>
      </c>
      <c r="F9" s="58" t="s">
        <v>262</v>
      </c>
      <c r="G9" s="88" t="s">
        <v>8</v>
      </c>
      <c r="H9" s="69"/>
      <c r="I9" s="69">
        <v>500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9804</v>
      </c>
      <c r="F10" s="25" t="s">
        <v>263</v>
      </c>
      <c r="G10" s="26" t="s">
        <v>10</v>
      </c>
      <c r="H10" s="8">
        <v>230</v>
      </c>
      <c r="I10" s="8">
        <v>230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575</v>
      </c>
      <c r="D11" s="2"/>
      <c r="E11" s="18">
        <v>9805</v>
      </c>
      <c r="F11" s="25" t="s">
        <v>258</v>
      </c>
      <c r="G11" s="26" t="s">
        <v>7</v>
      </c>
      <c r="H11" s="8">
        <v>145</v>
      </c>
      <c r="I11" s="8">
        <v>120</v>
      </c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>
        <v>9805</v>
      </c>
      <c r="F12" s="25" t="s">
        <v>258</v>
      </c>
      <c r="G12" s="26" t="s">
        <v>6</v>
      </c>
      <c r="H12" s="8"/>
      <c r="I12" s="8">
        <v>25</v>
      </c>
      <c r="J12" s="2"/>
      <c r="R12" s="1">
        <f>IF(vend19[[#This Row],[Nº Venda]]&gt;1,1,0)</f>
        <v>1</v>
      </c>
    </row>
    <row r="13" spans="2:18" ht="15.75" x14ac:dyDescent="0.25">
      <c r="B13" s="30" t="s">
        <v>8</v>
      </c>
      <c r="C13" s="31">
        <f t="shared" si="0"/>
        <v>1669</v>
      </c>
      <c r="D13" s="2"/>
      <c r="E13" s="87">
        <v>9806</v>
      </c>
      <c r="F13" s="25" t="s">
        <v>265</v>
      </c>
      <c r="G13" s="26" t="s">
        <v>8</v>
      </c>
      <c r="H13" s="8">
        <v>350</v>
      </c>
      <c r="I13" s="8">
        <v>350</v>
      </c>
      <c r="J13" s="2"/>
      <c r="K13" s="103" t="s">
        <v>22</v>
      </c>
      <c r="L13" s="104"/>
      <c r="M13" s="105"/>
      <c r="R13" s="1">
        <f>IF(vend19[[#This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356.65999999999997</v>
      </c>
      <c r="D15" s="2"/>
      <c r="E15" s="18"/>
      <c r="F15" s="25"/>
      <c r="G15" s="26"/>
      <c r="H15" s="8"/>
      <c r="I15" s="8"/>
      <c r="J15" s="2"/>
      <c r="K15" s="25">
        <v>9805</v>
      </c>
      <c r="L15" s="9" t="s">
        <v>129</v>
      </c>
      <c r="M15" s="16" t="s">
        <v>143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2750.66</v>
      </c>
      <c r="D16" s="2"/>
      <c r="E16" s="18"/>
      <c r="F16" s="25"/>
      <c r="G16" s="26"/>
      <c r="H16" s="8"/>
      <c r="I16" s="8"/>
      <c r="J16" s="2"/>
      <c r="K16" s="25">
        <v>9740</v>
      </c>
      <c r="L16" s="9" t="s">
        <v>129</v>
      </c>
      <c r="M16" s="16" t="s">
        <v>143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9786</v>
      </c>
      <c r="L17" s="9" t="s">
        <v>129</v>
      </c>
      <c r="M17" s="16" t="s">
        <v>143</v>
      </c>
      <c r="R17" s="1">
        <f>IF(vend19[[#This Row],[Nº Venda]]&gt;1,1,0)</f>
        <v>0</v>
      </c>
    </row>
    <row r="18" spans="2:22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9771</v>
      </c>
      <c r="L18" s="9" t="s">
        <v>135</v>
      </c>
      <c r="M18" s="16" t="s">
        <v>143</v>
      </c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>
        <v>9773</v>
      </c>
      <c r="L19" s="9" t="s">
        <v>135</v>
      </c>
      <c r="M19" s="16" t="s">
        <v>143</v>
      </c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9737</v>
      </c>
      <c r="L20" s="9" t="s">
        <v>129</v>
      </c>
      <c r="M20" s="16" t="s">
        <v>143</v>
      </c>
      <c r="R20" s="1">
        <f>IF(vend19[[#This Row],[Nº Venda]]&gt;1,1,0)</f>
        <v>0</v>
      </c>
      <c r="V20" s="1" t="s">
        <v>57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9772</v>
      </c>
      <c r="L21" s="9" t="s">
        <v>135</v>
      </c>
      <c r="M21" s="60" t="s">
        <v>143</v>
      </c>
      <c r="N21" s="16"/>
    </row>
    <row r="22" spans="2:22" ht="15.75" x14ac:dyDescent="0.25">
      <c r="B22" s="28" t="s">
        <v>26</v>
      </c>
      <c r="C22" s="32">
        <f>C5</f>
        <v>2474</v>
      </c>
      <c r="D22" s="2"/>
      <c r="E22" s="18"/>
      <c r="F22" s="25"/>
      <c r="G22" s="26"/>
      <c r="H22" s="8"/>
      <c r="I22" s="8"/>
      <c r="J22" s="2"/>
      <c r="K22" s="25">
        <v>9806</v>
      </c>
      <c r="L22" s="9" t="s">
        <v>135</v>
      </c>
      <c r="M22" s="16" t="s">
        <v>143</v>
      </c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9740</v>
      </c>
      <c r="F26" s="39" t="s">
        <v>238</v>
      </c>
      <c r="G26" s="26" t="s">
        <v>6</v>
      </c>
      <c r="H26" s="8"/>
      <c r="I26" s="8">
        <v>450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9771</v>
      </c>
      <c r="F27" s="25" t="s">
        <v>264</v>
      </c>
      <c r="G27" s="26" t="s">
        <v>7</v>
      </c>
      <c r="H27" s="8">
        <v>30</v>
      </c>
      <c r="I27" s="8">
        <v>30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89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9452</v>
      </c>
      <c r="F35" s="25" t="s">
        <v>267</v>
      </c>
      <c r="G35" s="26" t="s">
        <v>10</v>
      </c>
      <c r="H35" s="8">
        <v>66.66</v>
      </c>
      <c r="I35" s="8" t="s">
        <v>53</v>
      </c>
      <c r="K35" s="25"/>
      <c r="L35" s="41"/>
      <c r="M35" s="16"/>
    </row>
    <row r="36" spans="2:18" ht="15.75" x14ac:dyDescent="0.25">
      <c r="E36" s="94">
        <v>9621</v>
      </c>
      <c r="F36" s="25" t="s">
        <v>266</v>
      </c>
      <c r="G36" s="26" t="s">
        <v>10</v>
      </c>
      <c r="H36" s="8">
        <v>60</v>
      </c>
      <c r="I36" s="8" t="s">
        <v>41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sheetProtection sheet="1" objects="1" scenarios="1"/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20 M22:M31 N2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6" zoomScale="75" zoomScaleNormal="75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'19'!B1+1</f>
        <v>45555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1049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1049</v>
      </c>
      <c r="D6" s="2"/>
      <c r="E6" s="18">
        <v>9807</v>
      </c>
      <c r="F6" s="25" t="s">
        <v>268</v>
      </c>
      <c r="G6" s="26" t="s">
        <v>8</v>
      </c>
      <c r="H6" s="8">
        <v>500</v>
      </c>
      <c r="I6" s="8">
        <v>500</v>
      </c>
      <c r="J6" s="2"/>
      <c r="K6" s="25" t="s">
        <v>271</v>
      </c>
      <c r="L6" s="9" t="s">
        <v>272</v>
      </c>
      <c r="M6" s="16">
        <v>14</v>
      </c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14</v>
      </c>
      <c r="D7" s="2"/>
      <c r="E7" s="18">
        <v>9808</v>
      </c>
      <c r="F7" s="25" t="s">
        <v>269</v>
      </c>
      <c r="G7" s="26" t="s">
        <v>8</v>
      </c>
      <c r="H7" s="8">
        <v>490</v>
      </c>
      <c r="I7" s="8">
        <v>490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1063</v>
      </c>
      <c r="D8" s="2"/>
      <c r="E8" s="18">
        <v>9809</v>
      </c>
      <c r="F8" s="25" t="s">
        <v>268</v>
      </c>
      <c r="G8" s="26" t="s">
        <v>7</v>
      </c>
      <c r="H8" s="8">
        <v>25</v>
      </c>
      <c r="I8" s="8">
        <v>25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9810</v>
      </c>
      <c r="F9" s="25" t="s">
        <v>270</v>
      </c>
      <c r="G9" s="26" t="s">
        <v>49</v>
      </c>
      <c r="H9" s="8">
        <v>590</v>
      </c>
      <c r="I9" s="8"/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148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990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9809</v>
      </c>
      <c r="L15" s="9" t="s">
        <v>133</v>
      </c>
      <c r="M15" s="16" t="s">
        <v>143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1463</v>
      </c>
      <c r="D16" s="2"/>
      <c r="E16" s="18"/>
      <c r="F16" s="25"/>
      <c r="G16" s="26"/>
      <c r="H16" s="8"/>
      <c r="I16" s="8"/>
      <c r="J16" s="2"/>
      <c r="K16" s="25">
        <v>9753</v>
      </c>
      <c r="L16" s="9" t="s">
        <v>129</v>
      </c>
      <c r="M16" s="66" t="s">
        <v>143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9748</v>
      </c>
      <c r="L17" s="9" t="s">
        <v>129</v>
      </c>
      <c r="M17" s="16" t="s">
        <v>143</v>
      </c>
      <c r="R17" s="1">
        <f>IF(vend20[[#This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9790</v>
      </c>
      <c r="L18" s="9" t="s">
        <v>129</v>
      </c>
      <c r="M18" s="16" t="s">
        <v>143</v>
      </c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>
        <v>9766</v>
      </c>
      <c r="L19" s="9" t="s">
        <v>135</v>
      </c>
      <c r="M19" s="16" t="s">
        <v>143</v>
      </c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9790</v>
      </c>
      <c r="F26" s="25" t="s">
        <v>245</v>
      </c>
      <c r="G26" s="26" t="s">
        <v>7</v>
      </c>
      <c r="H26" s="8">
        <v>34</v>
      </c>
      <c r="I26" s="8">
        <v>34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9166</v>
      </c>
      <c r="F35" s="25" t="s">
        <v>273</v>
      </c>
      <c r="G35" s="26" t="s">
        <v>7</v>
      </c>
      <c r="H35" s="8">
        <v>89</v>
      </c>
      <c r="I35" s="8" t="s">
        <v>56</v>
      </c>
      <c r="K35" s="25"/>
      <c r="L35" s="41"/>
      <c r="M35" s="66"/>
    </row>
    <row r="36" spans="2:18" ht="15.75" x14ac:dyDescent="0.25">
      <c r="E36" s="94"/>
      <c r="F36" s="25"/>
      <c r="G36" s="26"/>
      <c r="H36" s="8"/>
      <c r="I36" s="8"/>
      <c r="K36" s="25"/>
      <c r="L36" s="67"/>
      <c r="M36" s="66"/>
    </row>
    <row r="37" spans="2:18" ht="15.75" x14ac:dyDescent="0.25">
      <c r="E37" s="18">
        <v>9686</v>
      </c>
      <c r="F37" s="25" t="s">
        <v>274</v>
      </c>
      <c r="G37" s="26" t="s">
        <v>6</v>
      </c>
      <c r="H37" s="8">
        <v>225</v>
      </c>
      <c r="I37" s="8" t="s">
        <v>81</v>
      </c>
      <c r="K37" s="25"/>
      <c r="L37" s="41"/>
      <c r="M37" s="16"/>
    </row>
    <row r="38" spans="2:18" ht="15.75" x14ac:dyDescent="0.25">
      <c r="E38" s="18">
        <v>8765</v>
      </c>
      <c r="F38" s="25" t="s">
        <v>275</v>
      </c>
      <c r="G38" s="26" t="s">
        <v>6</v>
      </c>
      <c r="H38" s="8">
        <v>100</v>
      </c>
      <c r="I38" s="8" t="s">
        <v>58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2" zoomScale="68" zoomScaleNormal="68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'20'!B1+1</f>
        <v>45556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1440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2150</v>
      </c>
      <c r="D6" s="2"/>
      <c r="E6" s="18">
        <v>9811</v>
      </c>
      <c r="F6" s="25" t="s">
        <v>276</v>
      </c>
      <c r="G6" s="26" t="s">
        <v>49</v>
      </c>
      <c r="H6" s="8">
        <v>99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9812</v>
      </c>
      <c r="F7" s="25" t="s">
        <v>277</v>
      </c>
      <c r="G7" s="26" t="s">
        <v>8</v>
      </c>
      <c r="H7" s="8">
        <v>650</v>
      </c>
      <c r="I7" s="8">
        <v>650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21</v>
      </c>
      <c r="C8" s="29">
        <f>SUM(C6:C7)</f>
        <v>2150</v>
      </c>
      <c r="D8" s="2"/>
      <c r="E8" s="18">
        <v>9813</v>
      </c>
      <c r="F8" s="25" t="s">
        <v>278</v>
      </c>
      <c r="G8" s="26" t="s">
        <v>10</v>
      </c>
      <c r="H8" s="8">
        <v>600</v>
      </c>
      <c r="I8" s="8">
        <v>600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9814</v>
      </c>
      <c r="F9" s="25" t="s">
        <v>284</v>
      </c>
      <c r="G9" s="26" t="s">
        <v>10</v>
      </c>
      <c r="H9" s="8">
        <v>190</v>
      </c>
      <c r="I9" s="8">
        <v>90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405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1130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886.66</v>
      </c>
      <c r="D15" s="2"/>
      <c r="E15" s="18"/>
      <c r="F15" s="25"/>
      <c r="G15" s="26"/>
      <c r="H15" s="8"/>
      <c r="I15" s="8"/>
      <c r="J15" s="2"/>
      <c r="K15" s="25">
        <v>9811</v>
      </c>
      <c r="L15" s="9" t="s">
        <v>135</v>
      </c>
      <c r="M15" s="16" t="s">
        <v>151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2421.66</v>
      </c>
      <c r="D16" s="2"/>
      <c r="E16" s="18"/>
      <c r="F16" s="25"/>
      <c r="G16" s="26"/>
      <c r="H16" s="8"/>
      <c r="I16" s="8"/>
      <c r="J16" s="2"/>
      <c r="K16" s="25">
        <v>9647</v>
      </c>
      <c r="L16" s="9" t="s">
        <v>133</v>
      </c>
      <c r="M16" s="16" t="s">
        <v>143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9700</v>
      </c>
      <c r="L17" s="9" t="s">
        <v>133</v>
      </c>
      <c r="M17" s="16" t="s">
        <v>143</v>
      </c>
      <c r="R17" s="1">
        <f>IF(vend21[[#This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9750</v>
      </c>
      <c r="L18" s="9" t="s">
        <v>135</v>
      </c>
      <c r="M18" s="16" t="s">
        <v>151</v>
      </c>
      <c r="R18" s="1">
        <f>IF(vend21[[#This Row],[Nº Venda]]&gt;1,1,0)</f>
        <v>0</v>
      </c>
    </row>
    <row r="19" spans="2:18" ht="15.75" x14ac:dyDescent="0.25">
      <c r="B19" s="30">
        <f>COUNT(entr_carn21[OS])</f>
        <v>2</v>
      </c>
      <c r="C19" s="31">
        <f>SUM(entr_carn21[Valor Total])</f>
        <v>1928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1928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9700</v>
      </c>
      <c r="F26" s="25" t="s">
        <v>279</v>
      </c>
      <c r="G26" s="26" t="s">
        <v>6</v>
      </c>
      <c r="H26" s="8"/>
      <c r="I26" s="8">
        <v>330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9750</v>
      </c>
      <c r="F27" s="25" t="s">
        <v>280</v>
      </c>
      <c r="G27" s="26" t="s">
        <v>8</v>
      </c>
      <c r="H27" s="8"/>
      <c r="I27" s="8">
        <v>480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9150</v>
      </c>
      <c r="F35" s="25" t="s">
        <v>281</v>
      </c>
      <c r="G35" s="26" t="s">
        <v>10</v>
      </c>
      <c r="H35" s="8">
        <v>130</v>
      </c>
      <c r="I35" s="8" t="s">
        <v>78</v>
      </c>
      <c r="K35" s="25">
        <v>9811</v>
      </c>
      <c r="L35" s="41">
        <v>3</v>
      </c>
      <c r="M35" s="16">
        <v>33</v>
      </c>
    </row>
    <row r="36" spans="2:18" ht="15.75" x14ac:dyDescent="0.25">
      <c r="E36" s="100">
        <v>9451</v>
      </c>
      <c r="F36" s="25" t="s">
        <v>282</v>
      </c>
      <c r="G36" s="26" t="s">
        <v>10</v>
      </c>
      <c r="H36" s="8">
        <v>66.66</v>
      </c>
      <c r="I36" s="8" t="s">
        <v>41</v>
      </c>
      <c r="K36" s="25">
        <v>9750</v>
      </c>
      <c r="L36" s="41">
        <v>10</v>
      </c>
      <c r="M36" s="16">
        <v>1895</v>
      </c>
    </row>
    <row r="37" spans="2:18" ht="15.75" x14ac:dyDescent="0.25">
      <c r="E37" s="18">
        <v>9642</v>
      </c>
      <c r="F37" s="25" t="s">
        <v>283</v>
      </c>
      <c r="G37" s="26" t="s">
        <v>6</v>
      </c>
      <c r="H37" s="8">
        <v>75</v>
      </c>
      <c r="I37" s="8" t="s">
        <v>41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9" zoomScale="77" zoomScaleNormal="77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'21'!B1+1</f>
        <v>45557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67" zoomScaleNormal="67" workbookViewId="0">
      <selection activeCell="E6" sqref="E6:I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'22'!B1+1</f>
        <v>45558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3090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1500</v>
      </c>
      <c r="D6" s="2"/>
      <c r="E6" s="18">
        <v>9815</v>
      </c>
      <c r="F6" s="25" t="s">
        <v>285</v>
      </c>
      <c r="G6" s="26" t="s">
        <v>8</v>
      </c>
      <c r="H6" s="8">
        <v>1600</v>
      </c>
      <c r="I6" s="8">
        <v>500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9816</v>
      </c>
      <c r="F7" s="25" t="s">
        <v>286</v>
      </c>
      <c r="G7" s="26" t="s">
        <v>10</v>
      </c>
      <c r="H7" s="8">
        <v>700</v>
      </c>
      <c r="I7" s="8">
        <v>150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1500</v>
      </c>
      <c r="D8" s="2"/>
      <c r="E8" s="18">
        <v>9817</v>
      </c>
      <c r="F8" s="25" t="s">
        <v>286</v>
      </c>
      <c r="G8" s="26" t="s">
        <v>10</v>
      </c>
      <c r="H8" s="8">
        <v>790</v>
      </c>
      <c r="I8" s="8">
        <v>150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(SUMIF($G$2:$G$31,B11,$I$2:$I$31))+(SUMIF($G$35:$G$44,B11,$H$35:$H$44))</f>
        <v>966.66000000000008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(SUMIF($G$2:$G$31,B13,$I$2:$I$31))+(SUMIF($G$35:$G$44,B13,$H$35:$H$44))</f>
        <v>500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IF(vend23[[#This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(SUMIF($G$2:$G$31,B14,$I$2:$I$31))+(SUMIF($G$35:$G$44,B14,$H$35:$H$44))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(SUMIF($G$2:$G$31,B15,$I$2:$I$31))+(SUMIF($G$35:$G$44,B15,$H$35:$H$44))</f>
        <v>491.8</v>
      </c>
      <c r="D15" s="2"/>
      <c r="E15" s="18"/>
      <c r="F15" s="25"/>
      <c r="G15" s="26"/>
      <c r="H15" s="8"/>
      <c r="I15" s="8"/>
      <c r="J15" s="2"/>
      <c r="K15" s="25">
        <v>9798</v>
      </c>
      <c r="L15" s="9" t="s">
        <v>129</v>
      </c>
      <c r="M15" s="16" t="s">
        <v>143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1958.46</v>
      </c>
      <c r="D16" s="2"/>
      <c r="E16" s="18"/>
      <c r="F16" s="25"/>
      <c r="G16" s="26"/>
      <c r="H16" s="8"/>
      <c r="I16" s="8"/>
      <c r="J16" s="2"/>
      <c r="K16" s="25">
        <v>9793</v>
      </c>
      <c r="L16" s="9" t="s">
        <v>133</v>
      </c>
      <c r="M16" s="16" t="s">
        <v>143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9792</v>
      </c>
      <c r="L17" s="9" t="s">
        <v>133</v>
      </c>
      <c r="M17" s="16" t="s">
        <v>143</v>
      </c>
      <c r="R17" s="1">
        <f>IF(vend23[[#This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9768</v>
      </c>
      <c r="L18" s="9" t="s">
        <v>133</v>
      </c>
      <c r="M18" s="16" t="s">
        <v>143</v>
      </c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3090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9792</v>
      </c>
      <c r="F26" s="25" t="s">
        <v>287</v>
      </c>
      <c r="G26" s="26" t="s">
        <v>6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9054</v>
      </c>
      <c r="F35" s="25" t="s">
        <v>288</v>
      </c>
      <c r="G35" s="26" t="s">
        <v>6</v>
      </c>
      <c r="H35" s="8">
        <v>133.33000000000001</v>
      </c>
      <c r="I35" s="8" t="s">
        <v>70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>
        <v>9054</v>
      </c>
      <c r="F37" s="25" t="s">
        <v>288</v>
      </c>
      <c r="G37" s="26" t="s">
        <v>6</v>
      </c>
      <c r="H37" s="8">
        <v>133.33000000000001</v>
      </c>
      <c r="I37" s="8" t="s">
        <v>33</v>
      </c>
      <c r="K37" s="25"/>
      <c r="L37" s="41"/>
      <c r="M37" s="16"/>
    </row>
    <row r="38" spans="2:18" ht="15.75" x14ac:dyDescent="0.25">
      <c r="E38" s="18">
        <v>9471</v>
      </c>
      <c r="F38" s="25" t="s">
        <v>289</v>
      </c>
      <c r="G38" s="26" t="s">
        <v>10</v>
      </c>
      <c r="H38" s="8">
        <v>119.8</v>
      </c>
      <c r="I38" s="8" t="s">
        <v>52</v>
      </c>
      <c r="K38" s="25"/>
      <c r="L38" s="41"/>
      <c r="M38" s="16"/>
    </row>
    <row r="39" spans="2:18" ht="15.75" x14ac:dyDescent="0.25">
      <c r="E39" s="18">
        <v>9058</v>
      </c>
      <c r="F39" s="39" t="s">
        <v>290</v>
      </c>
      <c r="G39" s="26" t="s">
        <v>10</v>
      </c>
      <c r="H39" s="8">
        <v>72</v>
      </c>
      <c r="I39" s="8" t="s">
        <v>54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92"/>
      <c r="F42" s="74"/>
      <c r="G42" s="75"/>
      <c r="H42" s="76"/>
      <c r="I42" s="17"/>
    </row>
    <row r="43" spans="2:18" ht="15.75" x14ac:dyDescent="0.25">
      <c r="E43" s="92"/>
      <c r="F43" s="90"/>
      <c r="G43" s="89"/>
      <c r="H43" s="91"/>
      <c r="I43" s="8"/>
    </row>
    <row r="44" spans="2:18" ht="15.75" x14ac:dyDescent="0.25">
      <c r="E44" s="93"/>
      <c r="F44" s="74"/>
      <c r="G44" s="75"/>
      <c r="H44" s="76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1" zoomScale="79" zoomScaleNormal="79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'23'!B1+1</f>
        <v>45559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9818</v>
      </c>
      <c r="F6" s="25" t="s">
        <v>291</v>
      </c>
      <c r="G6" s="26" t="s">
        <v>8</v>
      </c>
      <c r="H6" s="8">
        <v>500</v>
      </c>
      <c r="I6" s="8">
        <v>500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500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450</v>
      </c>
      <c r="D15" s="2"/>
      <c r="E15" s="18"/>
      <c r="F15" s="25"/>
      <c r="G15" s="26"/>
      <c r="H15" s="8"/>
      <c r="I15" s="8"/>
      <c r="J15" s="2"/>
      <c r="K15" s="25">
        <v>9779</v>
      </c>
      <c r="L15" s="9" t="s">
        <v>133</v>
      </c>
      <c r="M15" s="16" t="s">
        <v>143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1075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9102</v>
      </c>
      <c r="F35" s="25" t="s">
        <v>292</v>
      </c>
      <c r="G35" s="26" t="s">
        <v>10</v>
      </c>
      <c r="H35" s="8">
        <v>60</v>
      </c>
      <c r="I35" s="8" t="s">
        <v>79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>
        <v>9625</v>
      </c>
      <c r="F37" s="25" t="s">
        <v>293</v>
      </c>
      <c r="G37" s="26" t="s">
        <v>10</v>
      </c>
      <c r="H37" s="8">
        <v>135</v>
      </c>
      <c r="I37" s="8" t="s">
        <v>41</v>
      </c>
      <c r="K37" s="25"/>
      <c r="L37" s="41"/>
      <c r="M37" s="16"/>
    </row>
    <row r="38" spans="2:18" ht="15.75" x14ac:dyDescent="0.25">
      <c r="E38" s="18">
        <v>9536</v>
      </c>
      <c r="F38" s="25" t="s">
        <v>294</v>
      </c>
      <c r="G38" s="26" t="s">
        <v>10</v>
      </c>
      <c r="H38" s="8">
        <v>150</v>
      </c>
      <c r="I38" s="8" t="s">
        <v>41</v>
      </c>
      <c r="K38" s="25"/>
      <c r="L38" s="41"/>
      <c r="M38" s="16"/>
    </row>
    <row r="39" spans="2:18" ht="15.75" x14ac:dyDescent="0.25">
      <c r="E39" s="18">
        <v>9393</v>
      </c>
      <c r="F39" s="39" t="s">
        <v>295</v>
      </c>
      <c r="G39" s="26" t="s">
        <v>6</v>
      </c>
      <c r="H39" s="8">
        <v>125</v>
      </c>
      <c r="I39" s="8" t="s">
        <v>56</v>
      </c>
      <c r="K39" s="25"/>
      <c r="L39" s="41"/>
      <c r="M39" s="16"/>
    </row>
    <row r="40" spans="2:18" ht="15.75" x14ac:dyDescent="0.25">
      <c r="E40" s="35">
        <v>9424</v>
      </c>
      <c r="F40" s="36" t="s">
        <v>296</v>
      </c>
      <c r="G40" s="37" t="s">
        <v>10</v>
      </c>
      <c r="H40" s="17">
        <v>105</v>
      </c>
      <c r="I40" s="8" t="s">
        <v>53</v>
      </c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AF85750-8956-484F-8233-B0D457D27E6A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E35:E41 E26:E31 E6:E22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2" zoomScale="70" zoomScaleNormal="7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'24'!B1+1</f>
        <v>45560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756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1186</v>
      </c>
      <c r="D6" s="2"/>
      <c r="E6" s="18">
        <v>9819</v>
      </c>
      <c r="F6" s="25" t="s">
        <v>291</v>
      </c>
      <c r="G6" s="26" t="s">
        <v>8</v>
      </c>
      <c r="H6" s="8">
        <v>700</v>
      </c>
      <c r="I6" s="8">
        <v>700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9820</v>
      </c>
      <c r="F7" s="25" t="s">
        <v>299</v>
      </c>
      <c r="G7" s="26" t="s">
        <v>39</v>
      </c>
      <c r="H7" s="8"/>
      <c r="I7" s="8"/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1186</v>
      </c>
      <c r="D8" s="2"/>
      <c r="E8" s="18">
        <v>9821</v>
      </c>
      <c r="F8" s="25" t="s">
        <v>261</v>
      </c>
      <c r="G8" s="26" t="s">
        <v>8</v>
      </c>
      <c r="H8" s="8">
        <v>31</v>
      </c>
      <c r="I8" s="8">
        <v>31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9822</v>
      </c>
      <c r="F9" s="25" t="s">
        <v>256</v>
      </c>
      <c r="G9" s="26" t="s">
        <v>8</v>
      </c>
      <c r="H9" s="8">
        <v>25</v>
      </c>
      <c r="I9" s="8">
        <v>25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63.33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75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756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355</v>
      </c>
      <c r="D15" s="2"/>
      <c r="E15" s="18"/>
      <c r="F15" s="25"/>
      <c r="G15" s="26"/>
      <c r="H15" s="8"/>
      <c r="I15" s="8"/>
      <c r="J15" s="2"/>
      <c r="K15" s="25">
        <v>9637</v>
      </c>
      <c r="L15" s="9" t="s">
        <v>129</v>
      </c>
      <c r="M15" s="16" t="s">
        <v>143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1249.33</v>
      </c>
      <c r="D16" s="2"/>
      <c r="E16" s="18"/>
      <c r="F16" s="25"/>
      <c r="G16" s="26"/>
      <c r="H16" s="8"/>
      <c r="I16" s="8"/>
      <c r="J16" s="2"/>
      <c r="K16" s="25">
        <v>9821</v>
      </c>
      <c r="L16" s="9" t="s">
        <v>129</v>
      </c>
      <c r="M16" s="16" t="s">
        <v>143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9802</v>
      </c>
      <c r="L17" s="9" t="s">
        <v>135</v>
      </c>
      <c r="M17" s="16" t="s">
        <v>143</v>
      </c>
      <c r="R17" s="1">
        <f>IF(vend25[[#This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9664</v>
      </c>
      <c r="L18" s="9" t="s">
        <v>135</v>
      </c>
      <c r="M18" s="16" t="s">
        <v>143</v>
      </c>
      <c r="R18" s="1">
        <f>IF(vend25[[#This Row],[Nº Venda]]&gt;1,1,0)</f>
        <v>0</v>
      </c>
    </row>
    <row r="19" spans="2:18" ht="15.75" x14ac:dyDescent="0.25">
      <c r="B19" s="30">
        <f>COUNT(entr_carn25[OS])</f>
        <v>3</v>
      </c>
      <c r="C19" s="31">
        <f>SUM(entr_carn25[Valor Total])</f>
        <v>1002</v>
      </c>
      <c r="D19" s="2"/>
      <c r="E19" s="18"/>
      <c r="F19" s="25"/>
      <c r="G19" s="26"/>
      <c r="H19" s="8"/>
      <c r="I19" s="8"/>
      <c r="J19" s="2"/>
      <c r="K19" s="25">
        <v>9784</v>
      </c>
      <c r="L19" s="9" t="s">
        <v>135</v>
      </c>
      <c r="M19" s="16" t="s">
        <v>151</v>
      </c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1002</v>
      </c>
      <c r="D20" s="2"/>
      <c r="E20" s="18"/>
      <c r="F20" s="26"/>
      <c r="G20" s="26"/>
      <c r="H20" s="8"/>
      <c r="I20" s="8"/>
      <c r="J20" s="2"/>
      <c r="K20" s="25">
        <v>9814</v>
      </c>
      <c r="L20" s="9" t="s">
        <v>129</v>
      </c>
      <c r="M20" s="16" t="s">
        <v>151</v>
      </c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9800</v>
      </c>
      <c r="L21" s="9" t="s">
        <v>129</v>
      </c>
      <c r="M21" s="16" t="s">
        <v>151</v>
      </c>
    </row>
    <row r="22" spans="2:18" ht="15.75" x14ac:dyDescent="0.25">
      <c r="B22" s="28" t="s">
        <v>26</v>
      </c>
      <c r="C22" s="32">
        <f>C5</f>
        <v>756</v>
      </c>
      <c r="D22" s="2"/>
      <c r="E22" s="18"/>
      <c r="F22" s="25"/>
      <c r="G22" s="26"/>
      <c r="H22" s="8"/>
      <c r="I22" s="8"/>
      <c r="J22" s="2"/>
      <c r="K22" s="25">
        <v>9822</v>
      </c>
      <c r="L22" s="9" t="s">
        <v>129</v>
      </c>
      <c r="M22" s="16" t="s">
        <v>143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9664</v>
      </c>
      <c r="F26" s="25" t="s">
        <v>297</v>
      </c>
      <c r="G26" s="26" t="s">
        <v>10</v>
      </c>
      <c r="H26" s="8"/>
      <c r="I26" s="8">
        <v>230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9784</v>
      </c>
      <c r="F27" s="25" t="s">
        <v>298</v>
      </c>
      <c r="G27" s="26" t="s">
        <v>7</v>
      </c>
      <c r="H27" s="8"/>
      <c r="I27" s="8">
        <v>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9800</v>
      </c>
      <c r="F28" s="25" t="s">
        <v>258</v>
      </c>
      <c r="G28" s="26" t="s">
        <v>10</v>
      </c>
      <c r="H28" s="8"/>
      <c r="I28" s="8">
        <v>125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9598</v>
      </c>
      <c r="F35" s="25" t="s">
        <v>300</v>
      </c>
      <c r="G35" s="26" t="s">
        <v>6</v>
      </c>
      <c r="H35" s="71">
        <v>63.33</v>
      </c>
      <c r="I35" s="8" t="s">
        <v>44</v>
      </c>
      <c r="K35" s="25">
        <v>9784</v>
      </c>
      <c r="L35" s="41">
        <v>3</v>
      </c>
      <c r="M35" s="16">
        <v>350</v>
      </c>
    </row>
    <row r="36" spans="2:18" ht="15.75" x14ac:dyDescent="0.25">
      <c r="E36" s="94"/>
      <c r="F36" s="25"/>
      <c r="G36" s="26"/>
      <c r="H36" s="8"/>
      <c r="I36" s="8"/>
      <c r="K36" s="25">
        <v>9814</v>
      </c>
      <c r="L36" s="41">
        <v>1</v>
      </c>
      <c r="M36" s="16">
        <v>100</v>
      </c>
    </row>
    <row r="37" spans="2:18" ht="15.75" x14ac:dyDescent="0.25">
      <c r="E37" s="18"/>
      <c r="F37" s="25"/>
      <c r="G37" s="26"/>
      <c r="H37" s="8"/>
      <c r="I37" s="8"/>
      <c r="K37" s="25">
        <v>9814</v>
      </c>
      <c r="L37" s="41">
        <v>6</v>
      </c>
      <c r="M37" s="16">
        <v>552</v>
      </c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1" zoomScale="81" zoomScaleNormal="81" workbookViewId="0">
      <selection activeCell="L16" sqref="L16: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'25'!B1+1</f>
        <v>45561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3240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2360</v>
      </c>
      <c r="D6" s="2"/>
      <c r="E6" s="18">
        <v>9823</v>
      </c>
      <c r="F6" s="25" t="s">
        <v>197</v>
      </c>
      <c r="G6" s="26" t="s">
        <v>8</v>
      </c>
      <c r="H6" s="8">
        <v>40</v>
      </c>
      <c r="I6" s="8">
        <v>40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9824</v>
      </c>
      <c r="F7" s="25" t="s">
        <v>301</v>
      </c>
      <c r="G7" s="26" t="s">
        <v>8</v>
      </c>
      <c r="H7" s="8">
        <v>1200</v>
      </c>
      <c r="I7" s="8">
        <v>1200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2360</v>
      </c>
      <c r="D8" s="2"/>
      <c r="E8" s="18">
        <v>9825</v>
      </c>
      <c r="F8" s="25" t="s">
        <v>302</v>
      </c>
      <c r="G8" s="26" t="s">
        <v>10</v>
      </c>
      <c r="H8" s="8">
        <v>800</v>
      </c>
      <c r="I8" s="8">
        <v>20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9826</v>
      </c>
      <c r="F9" s="25" t="s">
        <v>303</v>
      </c>
      <c r="G9" s="26" t="s">
        <v>10</v>
      </c>
      <c r="H9" s="8">
        <v>900</v>
      </c>
      <c r="I9" s="8">
        <v>300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9827</v>
      </c>
      <c r="F10" s="25" t="s">
        <v>303</v>
      </c>
      <c r="G10" s="26" t="s">
        <v>10</v>
      </c>
      <c r="H10" s="8">
        <v>300</v>
      </c>
      <c r="I10" s="8">
        <v>200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1240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1120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2360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3240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9207</v>
      </c>
      <c r="F26" s="25" t="s">
        <v>304</v>
      </c>
      <c r="G26" s="26" t="s">
        <v>10</v>
      </c>
      <c r="H26" s="8"/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2"/>
  <sheetViews>
    <sheetView showGridLines="0" topLeftCell="A17" zoomScale="87" zoomScaleNormal="87" workbookViewId="0">
      <selection activeCell="H40" sqref="H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'26'!B1+1</f>
        <v>45562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SUMIF(I6:I32,"&gt;0",H6:H32)</f>
        <v>10239.98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7200</v>
      </c>
      <c r="D6" s="2"/>
      <c r="E6" s="18">
        <v>9828</v>
      </c>
      <c r="F6" s="25" t="s">
        <v>305</v>
      </c>
      <c r="G6" s="26" t="s">
        <v>49</v>
      </c>
      <c r="H6" s="8">
        <v>750</v>
      </c>
      <c r="I6" s="8">
        <v>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9829</v>
      </c>
      <c r="F7" s="25" t="s">
        <v>306</v>
      </c>
      <c r="G7" s="26" t="s">
        <v>8</v>
      </c>
      <c r="H7" s="8">
        <v>150</v>
      </c>
      <c r="I7" s="8">
        <v>150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21</v>
      </c>
      <c r="C8" s="29">
        <f>SUM(C6:C7)</f>
        <v>7200</v>
      </c>
      <c r="D8" s="2"/>
      <c r="E8" s="18">
        <v>9830</v>
      </c>
      <c r="F8" s="25" t="s">
        <v>307</v>
      </c>
      <c r="G8" s="26" t="s">
        <v>8</v>
      </c>
      <c r="H8" s="8">
        <v>900</v>
      </c>
      <c r="I8" s="8">
        <v>900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9831</v>
      </c>
      <c r="F9" s="25" t="s">
        <v>308</v>
      </c>
      <c r="G9" s="26" t="s">
        <v>7</v>
      </c>
      <c r="H9" s="8">
        <v>1300</v>
      </c>
      <c r="I9" s="8">
        <v>300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9831</v>
      </c>
      <c r="F10" s="25" t="s">
        <v>308</v>
      </c>
      <c r="G10" s="26" t="s">
        <v>8</v>
      </c>
      <c r="H10" s="8"/>
      <c r="I10" s="8">
        <v>1000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250</v>
      </c>
      <c r="D11" s="2"/>
      <c r="E11" s="18">
        <v>9832</v>
      </c>
      <c r="F11" s="25" t="s">
        <v>309</v>
      </c>
      <c r="G11" s="26" t="s">
        <v>8</v>
      </c>
      <c r="H11" s="8">
        <v>300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525</v>
      </c>
      <c r="D12" s="2"/>
      <c r="E12" s="18">
        <v>9833</v>
      </c>
      <c r="F12" s="25" t="s">
        <v>310</v>
      </c>
      <c r="G12" s="26" t="s">
        <v>10</v>
      </c>
      <c r="H12" s="8">
        <v>300</v>
      </c>
      <c r="I12" s="8">
        <v>300</v>
      </c>
      <c r="J12" s="2"/>
      <c r="R12" s="1">
        <f>IF(vend27[[#This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(SUMIF($G$2:$G$32,B13,$I$2:$I$32))+(SUMIF($G$36:$G$42,B13,$H$36:$H$42))</f>
        <v>6175</v>
      </c>
      <c r="D13" s="2"/>
      <c r="E13" s="87">
        <v>9834</v>
      </c>
      <c r="F13" s="25" t="s">
        <v>311</v>
      </c>
      <c r="G13" s="26" t="s">
        <v>8</v>
      </c>
      <c r="H13" s="8">
        <v>450</v>
      </c>
      <c r="I13" s="8">
        <v>450</v>
      </c>
      <c r="J13" s="2"/>
      <c r="K13" s="103" t="s">
        <v>22</v>
      </c>
      <c r="L13" s="104"/>
      <c r="M13" s="105"/>
      <c r="R13" s="1">
        <f>IF(vend27[[#This Row],[Nº Venda]]&gt;1,1,0)</f>
        <v>1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87">
        <v>9835</v>
      </c>
      <c r="F14" s="25" t="s">
        <v>312</v>
      </c>
      <c r="G14" s="26" t="s">
        <v>8</v>
      </c>
      <c r="H14" s="8">
        <v>400</v>
      </c>
      <c r="I14" s="8">
        <v>400</v>
      </c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1</v>
      </c>
    </row>
    <row r="15" spans="2:18" ht="15.75" x14ac:dyDescent="0.25">
      <c r="B15" s="30" t="s">
        <v>10</v>
      </c>
      <c r="C15" s="31">
        <f>(SUMIF($G$2:$G$32,B15,$I$2:$I$32))+(SUMIF($G$36:$G$42,B15,$H$36:$H$42))</f>
        <v>801</v>
      </c>
      <c r="D15" s="2"/>
      <c r="E15" s="18">
        <v>9836</v>
      </c>
      <c r="F15" s="25" t="s">
        <v>313</v>
      </c>
      <c r="G15" s="26" t="s">
        <v>6</v>
      </c>
      <c r="H15" s="8">
        <v>1100</v>
      </c>
      <c r="I15" s="8">
        <v>200</v>
      </c>
      <c r="J15" s="2"/>
      <c r="K15" s="25">
        <v>9818</v>
      </c>
      <c r="L15" s="9" t="s">
        <v>133</v>
      </c>
      <c r="M15" s="16" t="s">
        <v>143</v>
      </c>
      <c r="R15" s="1">
        <f>IF(vend27[[#This Row],[Nº Venda]]&gt;1,1,0)</f>
        <v>1</v>
      </c>
    </row>
    <row r="16" spans="2:18" ht="15.75" x14ac:dyDescent="0.25">
      <c r="B16" s="28" t="s">
        <v>11</v>
      </c>
      <c r="C16" s="32">
        <f>SUM(C11:C15)</f>
        <v>7751</v>
      </c>
      <c r="D16" s="2"/>
      <c r="E16" s="18">
        <v>9837</v>
      </c>
      <c r="F16" s="25" t="s">
        <v>313</v>
      </c>
      <c r="G16" s="26" t="s">
        <v>6</v>
      </c>
      <c r="H16" s="8">
        <v>600</v>
      </c>
      <c r="I16" s="8">
        <v>50</v>
      </c>
      <c r="J16" s="2"/>
      <c r="K16" s="25">
        <v>9783</v>
      </c>
      <c r="L16" s="9" t="s">
        <v>133</v>
      </c>
      <c r="M16" s="16" t="s">
        <v>143</v>
      </c>
      <c r="R16" s="1">
        <f>IF(vend27[[#This Row],[Nº Venda]]&gt;1,1,0)</f>
        <v>1</v>
      </c>
    </row>
    <row r="17" spans="2:18" ht="15.75" x14ac:dyDescent="0.25">
      <c r="B17" s="2"/>
      <c r="C17" s="2"/>
      <c r="D17" s="2"/>
      <c r="E17" s="18">
        <v>9838</v>
      </c>
      <c r="F17" s="25" t="s">
        <v>314</v>
      </c>
      <c r="G17" s="26" t="s">
        <v>10</v>
      </c>
      <c r="H17" s="8">
        <v>350</v>
      </c>
      <c r="I17" s="8">
        <v>100</v>
      </c>
      <c r="J17" s="2"/>
      <c r="K17" s="25"/>
      <c r="L17" s="9"/>
      <c r="M17" s="16"/>
      <c r="R17" s="1">
        <f>IF(vend27[[#This Row],[Nº Venda]]&gt;1,1,0)</f>
        <v>1</v>
      </c>
    </row>
    <row r="18" spans="2:18" ht="15.75" x14ac:dyDescent="0.25">
      <c r="B18" s="101" t="s">
        <v>12</v>
      </c>
      <c r="C18" s="101"/>
      <c r="D18" s="2"/>
      <c r="E18" s="18">
        <v>9839</v>
      </c>
      <c r="F18" s="25" t="s">
        <v>315</v>
      </c>
      <c r="G18" s="26" t="s">
        <v>8</v>
      </c>
      <c r="H18" s="8">
        <v>700</v>
      </c>
      <c r="I18" s="8">
        <v>275</v>
      </c>
      <c r="J18" s="2"/>
      <c r="K18" s="25"/>
      <c r="L18" s="9"/>
      <c r="M18" s="16"/>
      <c r="R18" s="1">
        <f>IF(vend27[[#This Row],[Nº Venda]]&gt;1,1,0)</f>
        <v>1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>
        <v>9839</v>
      </c>
      <c r="F19" s="25" t="s">
        <v>321</v>
      </c>
      <c r="G19" s="26" t="s">
        <v>7</v>
      </c>
      <c r="H19" s="8"/>
      <c r="I19" s="8">
        <v>25</v>
      </c>
      <c r="J19" s="2"/>
      <c r="K19" s="25"/>
      <c r="L19" s="9"/>
      <c r="M19" s="16"/>
      <c r="R19" s="1">
        <f>IF(vend27[[#This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9840</v>
      </c>
      <c r="F20" s="26" t="s">
        <v>316</v>
      </c>
      <c r="G20" s="26" t="s">
        <v>10</v>
      </c>
      <c r="H20" s="8">
        <v>499.98</v>
      </c>
      <c r="I20" s="8">
        <v>50</v>
      </c>
      <c r="J20" s="2"/>
      <c r="K20" s="25"/>
      <c r="L20" s="9"/>
      <c r="M20" s="16"/>
      <c r="R20" s="1">
        <f>IF(vend27[[#This Row],[Nº Venda]]&gt;1,1,0)</f>
        <v>1</v>
      </c>
    </row>
    <row r="21" spans="2:18" ht="15.75" x14ac:dyDescent="0.25">
      <c r="B21" s="2"/>
      <c r="C21" s="2"/>
      <c r="D21" s="2"/>
      <c r="E21" s="18">
        <v>9841</v>
      </c>
      <c r="F21" s="25" t="s">
        <v>317</v>
      </c>
      <c r="G21" s="26" t="s">
        <v>8</v>
      </c>
      <c r="H21" s="8">
        <v>2900</v>
      </c>
      <c r="I21" s="8">
        <v>2600</v>
      </c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10239.98</v>
      </c>
      <c r="D22" s="2"/>
      <c r="E22" s="18">
        <v>9842</v>
      </c>
      <c r="F22" s="25" t="s">
        <v>317</v>
      </c>
      <c r="G22" s="26" t="s">
        <v>8</v>
      </c>
      <c r="H22" s="8">
        <v>280</v>
      </c>
      <c r="I22" s="8">
        <v>90</v>
      </c>
      <c r="J22" s="2"/>
      <c r="K22" s="25"/>
      <c r="L22" s="9"/>
      <c r="M22" s="16"/>
    </row>
    <row r="23" spans="2:18" ht="15.75" x14ac:dyDescent="0.25">
      <c r="B23" s="2"/>
      <c r="C23" s="2"/>
      <c r="D23" s="2"/>
      <c r="E23" s="98">
        <v>9843</v>
      </c>
      <c r="F23" s="55" t="s">
        <v>317</v>
      </c>
      <c r="G23" s="55" t="s">
        <v>8</v>
      </c>
      <c r="H23" s="46">
        <v>10</v>
      </c>
      <c r="I23" s="46">
        <v>10</v>
      </c>
      <c r="J23" s="2"/>
      <c r="K23" s="25"/>
      <c r="L23" s="9"/>
      <c r="M23" s="16"/>
    </row>
    <row r="24" spans="2:18" ht="15" x14ac:dyDescent="0.25">
      <c r="B24" s="2"/>
      <c r="C24" s="2"/>
      <c r="D24" s="2"/>
      <c r="E24" s="33"/>
      <c r="H24" s="7"/>
      <c r="J24" s="2"/>
      <c r="K24" s="25"/>
      <c r="L24" s="9"/>
      <c r="M24" s="16"/>
    </row>
    <row r="25" spans="2:18" ht="15" x14ac:dyDescent="0.25">
      <c r="B25" s="2"/>
      <c r="C25" s="2"/>
      <c r="D25" s="2"/>
      <c r="E25" s="102" t="s">
        <v>27</v>
      </c>
      <c r="F25" s="102"/>
      <c r="G25" s="102"/>
      <c r="H25" s="102"/>
      <c r="I25" s="102"/>
      <c r="J25" s="2"/>
      <c r="K25" s="25"/>
      <c r="L25" s="9"/>
      <c r="M25" s="16"/>
    </row>
    <row r="26" spans="2:18" ht="15" x14ac:dyDescent="0.25">
      <c r="B26" s="2"/>
      <c r="C26" s="2"/>
      <c r="D26" s="2"/>
      <c r="E26" s="10" t="s">
        <v>14</v>
      </c>
      <c r="F26" s="10" t="s">
        <v>15</v>
      </c>
      <c r="G26" s="11" t="s">
        <v>16</v>
      </c>
      <c r="H26" s="12" t="s">
        <v>17</v>
      </c>
      <c r="I26" s="13" t="s">
        <v>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39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35"/>
      <c r="F32" s="36"/>
      <c r="G32" s="37"/>
      <c r="H32" s="17"/>
      <c r="I32" s="17"/>
    </row>
    <row r="33" spans="2:18" ht="15" x14ac:dyDescent="0.25">
      <c r="B33" s="2"/>
      <c r="C33" s="2"/>
      <c r="E33" s="33"/>
      <c r="K33" s="103" t="s">
        <v>12</v>
      </c>
      <c r="L33" s="104"/>
      <c r="M33" s="105"/>
    </row>
    <row r="34" spans="2:18" ht="15" x14ac:dyDescent="0.25">
      <c r="E34" s="102" t="s">
        <v>28</v>
      </c>
      <c r="F34" s="102"/>
      <c r="G34" s="102"/>
      <c r="H34" s="102"/>
      <c r="I34" s="102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>
        <v>8754</v>
      </c>
      <c r="F36" s="25" t="s">
        <v>318</v>
      </c>
      <c r="G36" s="26" t="s">
        <v>10</v>
      </c>
      <c r="H36" s="8">
        <v>245</v>
      </c>
      <c r="I36" s="8" t="s">
        <v>55</v>
      </c>
      <c r="K36" s="25"/>
      <c r="L36" s="41"/>
      <c r="M36" s="16"/>
    </row>
    <row r="37" spans="2:18" ht="15.75" x14ac:dyDescent="0.25">
      <c r="E37" s="99">
        <v>8943</v>
      </c>
      <c r="F37" s="25" t="s">
        <v>319</v>
      </c>
      <c r="G37" s="26" t="s">
        <v>7</v>
      </c>
      <c r="H37" s="8">
        <v>200</v>
      </c>
      <c r="I37" s="8" t="s">
        <v>86</v>
      </c>
      <c r="K37" s="25"/>
      <c r="L37" s="41"/>
      <c r="M37" s="16"/>
    </row>
    <row r="38" spans="2:18" ht="15.75" x14ac:dyDescent="0.25">
      <c r="E38" s="18">
        <v>9590</v>
      </c>
      <c r="F38" s="25" t="s">
        <v>320</v>
      </c>
      <c r="G38" s="26" t="s">
        <v>10</v>
      </c>
      <c r="H38" s="8">
        <v>106</v>
      </c>
      <c r="I38" s="8" t="s">
        <v>38</v>
      </c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15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5:I25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G27:G32 G36:G42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G6:G23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I36:I42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E27:E32 E36:E42 K35:K41 K15:K31 E6:E23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2" zoomScale="77" zoomScaleNormal="77" workbookViewId="0">
      <selection activeCell="U7" sqref="U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'27'!B1+1</f>
        <v>45563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3629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2750</v>
      </c>
      <c r="D6" s="2"/>
      <c r="E6" s="18">
        <v>9844</v>
      </c>
      <c r="F6" s="25" t="s">
        <v>322</v>
      </c>
      <c r="G6" s="26" t="s">
        <v>10</v>
      </c>
      <c r="H6" s="8">
        <v>399</v>
      </c>
      <c r="I6" s="8">
        <v>100</v>
      </c>
      <c r="J6" s="2"/>
      <c r="K6" s="25" t="s">
        <v>328</v>
      </c>
      <c r="L6" s="9" t="s">
        <v>6</v>
      </c>
      <c r="M6" s="16">
        <v>14.99</v>
      </c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49.99</v>
      </c>
      <c r="D7" s="2"/>
      <c r="E7" s="18">
        <v>9845</v>
      </c>
      <c r="F7" s="25" t="s">
        <v>324</v>
      </c>
      <c r="G7" s="26" t="s">
        <v>8</v>
      </c>
      <c r="H7" s="8">
        <v>400</v>
      </c>
      <c r="I7" s="8">
        <v>110</v>
      </c>
      <c r="J7" s="2"/>
      <c r="K7" s="25" t="s">
        <v>329</v>
      </c>
      <c r="L7" s="9" t="s">
        <v>6</v>
      </c>
      <c r="M7" s="16">
        <v>24</v>
      </c>
      <c r="R7" s="1">
        <f>IF(vend28[[#This Row],[Nº Venda]]&gt;1,1,0)</f>
        <v>1</v>
      </c>
    </row>
    <row r="8" spans="2:18" ht="15.75" x14ac:dyDescent="0.25">
      <c r="B8" s="28" t="s">
        <v>21</v>
      </c>
      <c r="C8" s="29">
        <f>SUM(C6:C7)</f>
        <v>2799.99</v>
      </c>
      <c r="D8" s="2"/>
      <c r="E8" s="18">
        <v>9846</v>
      </c>
      <c r="F8" s="25" t="s">
        <v>325</v>
      </c>
      <c r="G8" s="26" t="s">
        <v>8</v>
      </c>
      <c r="H8" s="8">
        <v>400</v>
      </c>
      <c r="I8" s="8">
        <v>110</v>
      </c>
      <c r="J8" s="2"/>
      <c r="K8" s="25" t="s">
        <v>331</v>
      </c>
      <c r="L8" s="9" t="s">
        <v>332</v>
      </c>
      <c r="M8" s="16">
        <v>11</v>
      </c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9847</v>
      </c>
      <c r="F9" s="25" t="s">
        <v>323</v>
      </c>
      <c r="G9" s="26" t="s">
        <v>8</v>
      </c>
      <c r="H9" s="8">
        <v>1630</v>
      </c>
      <c r="I9" s="8">
        <v>1130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9847</v>
      </c>
      <c r="F10" s="25" t="s">
        <v>323</v>
      </c>
      <c r="G10" s="26" t="s">
        <v>7</v>
      </c>
      <c r="H10" s="8"/>
      <c r="I10" s="8">
        <v>500</v>
      </c>
      <c r="J10" s="2"/>
      <c r="K10" s="25"/>
      <c r="L10" s="9"/>
      <c r="M10" s="16"/>
      <c r="R10" s="1">
        <f>IF(vend28[[#This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196</v>
      </c>
      <c r="D11" s="2"/>
      <c r="E11" s="18">
        <v>9848</v>
      </c>
      <c r="F11" s="25" t="s">
        <v>325</v>
      </c>
      <c r="G11" s="26" t="s">
        <v>10</v>
      </c>
      <c r="H11" s="8">
        <v>50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2100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9791</v>
      </c>
      <c r="L15" s="9" t="s">
        <v>129</v>
      </c>
      <c r="M15" s="16" t="s">
        <v>143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2996</v>
      </c>
      <c r="D16" s="2"/>
      <c r="E16" s="18"/>
      <c r="F16" s="25"/>
      <c r="G16" s="26"/>
      <c r="H16" s="8"/>
      <c r="I16" s="8"/>
      <c r="J16" s="2"/>
      <c r="K16" s="25">
        <v>9207</v>
      </c>
      <c r="L16" s="9" t="s">
        <v>133</v>
      </c>
      <c r="M16" s="16" t="s">
        <v>143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3629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9828</v>
      </c>
      <c r="F26" s="25" t="s">
        <v>326</v>
      </c>
      <c r="G26" s="26" t="s">
        <v>8</v>
      </c>
      <c r="H26" s="8">
        <v>750</v>
      </c>
      <c r="I26" s="8">
        <v>750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9042</v>
      </c>
      <c r="F35" s="25" t="s">
        <v>327</v>
      </c>
      <c r="G35" s="26" t="s">
        <v>6</v>
      </c>
      <c r="H35" s="8">
        <v>196</v>
      </c>
      <c r="I35" s="8" t="s">
        <v>77</v>
      </c>
      <c r="K35" s="25"/>
      <c r="L35" s="41"/>
      <c r="M35" s="16"/>
    </row>
    <row r="36" spans="2:18" ht="15.75" x14ac:dyDescent="0.25">
      <c r="E36" s="94">
        <v>9303</v>
      </c>
      <c r="F36" s="25" t="s">
        <v>330</v>
      </c>
      <c r="G36" s="26" t="s">
        <v>10</v>
      </c>
      <c r="H36" s="8">
        <v>50</v>
      </c>
      <c r="I36" s="8" t="s">
        <v>77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9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9">
        <f>'28'!B1+1</f>
        <v>45564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6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4" zoomScale="86" zoomScaleNormal="86" workbookViewId="0">
      <selection activeCell="M35" sqref="M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'29'!B1+1</f>
        <v>45565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2699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1599</v>
      </c>
      <c r="D6" s="2"/>
      <c r="E6" s="18">
        <v>9849</v>
      </c>
      <c r="F6" s="25" t="s">
        <v>333</v>
      </c>
      <c r="G6" s="26" t="s">
        <v>7</v>
      </c>
      <c r="H6" s="8">
        <v>199</v>
      </c>
      <c r="I6" s="8">
        <v>199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9850</v>
      </c>
      <c r="F7" s="25" t="s">
        <v>334</v>
      </c>
      <c r="G7" s="26" t="s">
        <v>7</v>
      </c>
      <c r="H7" s="8">
        <v>1500</v>
      </c>
      <c r="I7" s="8">
        <v>150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1599</v>
      </c>
      <c r="D8" s="2"/>
      <c r="E8" s="18">
        <v>9851</v>
      </c>
      <c r="F8" s="25" t="s">
        <v>335</v>
      </c>
      <c r="G8" s="26" t="s">
        <v>8</v>
      </c>
      <c r="H8" s="8">
        <v>500</v>
      </c>
      <c r="I8" s="8">
        <v>500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9852</v>
      </c>
      <c r="F9" s="25" t="s">
        <v>336</v>
      </c>
      <c r="G9" s="26" t="s">
        <v>39</v>
      </c>
      <c r="H9" s="8"/>
      <c r="I9" s="8"/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101" t="s">
        <v>5</v>
      </c>
      <c r="C10" s="101"/>
      <c r="D10" s="2"/>
      <c r="E10" s="18">
        <v>9853</v>
      </c>
      <c r="F10" s="25" t="s">
        <v>335</v>
      </c>
      <c r="G10" s="26" t="s">
        <v>8</v>
      </c>
      <c r="H10" s="8">
        <v>500</v>
      </c>
      <c r="I10" s="8">
        <v>500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599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1000</v>
      </c>
      <c r="D13" s="2"/>
      <c r="E13" s="87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61.25</v>
      </c>
      <c r="D15" s="2"/>
      <c r="E15" s="18"/>
      <c r="F15" s="25"/>
      <c r="G15" s="26"/>
      <c r="H15" s="8"/>
      <c r="I15" s="8"/>
      <c r="J15" s="2"/>
      <c r="K15" s="25">
        <v>9807</v>
      </c>
      <c r="L15" s="9" t="s">
        <v>129</v>
      </c>
      <c r="M15" s="16" t="s">
        <v>143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1660.25</v>
      </c>
      <c r="D16" s="2"/>
      <c r="E16" s="18"/>
      <c r="F16" s="25"/>
      <c r="G16" s="26"/>
      <c r="H16" s="8"/>
      <c r="I16" s="8"/>
      <c r="J16" s="2"/>
      <c r="K16" s="25">
        <v>9803</v>
      </c>
      <c r="L16" s="9" t="s">
        <v>129</v>
      </c>
      <c r="M16" s="16" t="s">
        <v>143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9799</v>
      </c>
      <c r="L17" s="9" t="s">
        <v>129</v>
      </c>
      <c r="M17" s="16" t="s">
        <v>143</v>
      </c>
      <c r="R17" s="1">
        <f>IF(vend30[[#This Row],[Nº Venda]]&gt;1,1,0)</f>
        <v>0</v>
      </c>
    </row>
    <row r="18" spans="2:22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>
        <v>9812</v>
      </c>
      <c r="L18" s="9" t="s">
        <v>135</v>
      </c>
      <c r="M18" s="16" t="s">
        <v>143</v>
      </c>
      <c r="R18" s="1">
        <f>IF(vend30[[#This Row],[Nº Venda]]&gt;1,1,0)</f>
        <v>0</v>
      </c>
    </row>
    <row r="19" spans="2:22" ht="15.75" x14ac:dyDescent="0.25">
      <c r="B19" s="30">
        <f>COUNT(entr_carn30[OS])</f>
        <v>1</v>
      </c>
      <c r="C19" s="31">
        <f>SUM(entr_carn30[Valor Total])</f>
        <v>1000</v>
      </c>
      <c r="D19" s="2"/>
      <c r="E19" s="18"/>
      <c r="F19" s="25"/>
      <c r="G19" s="26"/>
      <c r="H19" s="8"/>
      <c r="I19" s="8"/>
      <c r="J19" s="2"/>
      <c r="K19" s="25">
        <v>9864</v>
      </c>
      <c r="L19" s="9" t="s">
        <v>129</v>
      </c>
      <c r="M19" s="16" t="s">
        <v>151</v>
      </c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1000</v>
      </c>
      <c r="D20" s="2"/>
      <c r="E20" s="18"/>
      <c r="F20" s="26"/>
      <c r="G20" s="26"/>
      <c r="H20" s="8"/>
      <c r="I20" s="8"/>
      <c r="J20" s="2"/>
      <c r="K20" s="25">
        <v>9865</v>
      </c>
      <c r="L20" s="9" t="s">
        <v>129</v>
      </c>
      <c r="M20" s="16" t="s">
        <v>143</v>
      </c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125</v>
      </c>
    </row>
    <row r="22" spans="2:22" ht="15.75" x14ac:dyDescent="0.25">
      <c r="B22" s="28" t="s">
        <v>26</v>
      </c>
      <c r="C22" s="32">
        <f>C5</f>
        <v>2699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9864</v>
      </c>
      <c r="F26" s="25" t="s">
        <v>338</v>
      </c>
      <c r="G26" s="26" t="s">
        <v>7</v>
      </c>
      <c r="H26" s="8"/>
      <c r="I26" s="8">
        <v>125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9865</v>
      </c>
      <c r="F27" s="25" t="s">
        <v>338</v>
      </c>
      <c r="G27" s="26" t="s">
        <v>7</v>
      </c>
      <c r="H27" s="8"/>
      <c r="I27" s="8">
        <v>125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9746</v>
      </c>
      <c r="F35" s="25" t="s">
        <v>337</v>
      </c>
      <c r="G35" s="26" t="s">
        <v>10</v>
      </c>
      <c r="H35" s="8">
        <v>61.25</v>
      </c>
      <c r="I35" s="8" t="s">
        <v>81</v>
      </c>
      <c r="K35" s="25">
        <v>9864</v>
      </c>
      <c r="L35" s="41">
        <v>6</v>
      </c>
      <c r="M35" s="16">
        <v>1000</v>
      </c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50" zoomScaleNormal="50" workbookViewId="0">
      <selection activeCell="K15" sqref="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'30'!B1+1</f>
        <v>45566</v>
      </c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9" t="s">
        <v>1</v>
      </c>
      <c r="F4" s="109"/>
      <c r="G4" s="109"/>
      <c r="H4" s="109"/>
      <c r="I4" s="109"/>
      <c r="J4" s="22"/>
      <c r="K4" s="103" t="s">
        <v>3</v>
      </c>
      <c r="L4" s="104"/>
      <c r="M4" s="10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1" t="s">
        <v>5</v>
      </c>
      <c r="C10" s="10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3" t="s">
        <v>22</v>
      </c>
      <c r="L13" s="104"/>
      <c r="M13" s="105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1" t="s">
        <v>12</v>
      </c>
      <c r="C18" s="10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2" t="s">
        <v>27</v>
      </c>
      <c r="F24" s="102"/>
      <c r="G24" s="102"/>
      <c r="H24" s="102"/>
      <c r="I24" s="10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2" t="s">
        <v>28</v>
      </c>
      <c r="F33" s="102"/>
      <c r="G33" s="102"/>
      <c r="H33" s="102"/>
      <c r="I33" s="102"/>
      <c r="K33" s="103" t="s">
        <v>12</v>
      </c>
      <c r="L33" s="104"/>
      <c r="M33" s="10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8715" workbookViewId="0">
      <selection activeCell="A8744" sqref="A8744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61</v>
      </c>
      <c r="B1" s="38" t="s">
        <v>62</v>
      </c>
      <c r="E1" s="38" t="s">
        <v>63</v>
      </c>
    </row>
    <row r="2" spans="1:5" x14ac:dyDescent="0.2">
      <c r="A2" s="38" t="s">
        <v>6</v>
      </c>
      <c r="B2" s="38" t="s">
        <v>64</v>
      </c>
      <c r="E2" t="s">
        <v>45</v>
      </c>
    </row>
    <row r="3" spans="1:5" x14ac:dyDescent="0.2">
      <c r="A3" s="38" t="s">
        <v>7</v>
      </c>
      <c r="B3" s="38" t="s">
        <v>65</v>
      </c>
      <c r="E3" t="s">
        <v>66</v>
      </c>
    </row>
    <row r="4" spans="1:5" x14ac:dyDescent="0.2">
      <c r="A4" s="38" t="s">
        <v>8</v>
      </c>
      <c r="B4" s="38" t="s">
        <v>67</v>
      </c>
      <c r="E4" t="s">
        <v>68</v>
      </c>
    </row>
    <row r="5" spans="1:5" x14ac:dyDescent="0.2">
      <c r="A5" s="38" t="s">
        <v>9</v>
      </c>
      <c r="B5" s="38" t="s">
        <v>69</v>
      </c>
      <c r="E5" t="s">
        <v>70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49</v>
      </c>
      <c r="B7" s="38" t="s">
        <v>71</v>
      </c>
      <c r="E7" t="s">
        <v>72</v>
      </c>
    </row>
    <row r="8" spans="1:5" x14ac:dyDescent="0.2">
      <c r="A8" t="s">
        <v>25</v>
      </c>
      <c r="B8" t="s">
        <v>73</v>
      </c>
      <c r="E8" t="s">
        <v>51</v>
      </c>
    </row>
    <row r="9" spans="1:5" x14ac:dyDescent="0.2">
      <c r="A9" s="38" t="s">
        <v>39</v>
      </c>
      <c r="B9" s="38" t="s">
        <v>74</v>
      </c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38</v>
      </c>
    </row>
    <row r="13" spans="1:5" x14ac:dyDescent="0.2">
      <c r="E13" t="s">
        <v>52</v>
      </c>
    </row>
    <row r="14" spans="1:5" x14ac:dyDescent="0.2">
      <c r="E14" t="s">
        <v>46</v>
      </c>
    </row>
    <row r="15" spans="1:5" x14ac:dyDescent="0.2">
      <c r="E15" t="s">
        <v>78</v>
      </c>
    </row>
    <row r="16" spans="1:5" x14ac:dyDescent="0.2">
      <c r="E16" t="s">
        <v>47</v>
      </c>
    </row>
    <row r="17" spans="5:5" x14ac:dyDescent="0.2">
      <c r="E17" t="s">
        <v>41</v>
      </c>
    </row>
    <row r="18" spans="5:5" x14ac:dyDescent="0.2">
      <c r="E18" t="s">
        <v>53</v>
      </c>
    </row>
    <row r="19" spans="5:5" x14ac:dyDescent="0.2">
      <c r="E19" t="s">
        <v>44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58</v>
      </c>
    </row>
    <row r="23" spans="5:5" x14ac:dyDescent="0.2">
      <c r="E23" t="s">
        <v>35</v>
      </c>
    </row>
    <row r="24" spans="5:5" x14ac:dyDescent="0.2">
      <c r="E24" t="s">
        <v>54</v>
      </c>
    </row>
    <row r="25" spans="5:5" x14ac:dyDescent="0.2">
      <c r="E25" t="s">
        <v>48</v>
      </c>
    </row>
    <row r="26" spans="5:5" x14ac:dyDescent="0.2">
      <c r="E26" t="s">
        <v>40</v>
      </c>
    </row>
    <row r="27" spans="5:5" x14ac:dyDescent="0.2">
      <c r="E27" t="s">
        <v>43</v>
      </c>
    </row>
    <row r="28" spans="5:5" x14ac:dyDescent="0.2">
      <c r="E28" t="s">
        <v>59</v>
      </c>
    </row>
    <row r="29" spans="5:5" x14ac:dyDescent="0.2">
      <c r="E29" t="s">
        <v>60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56</v>
      </c>
    </row>
    <row r="34" spans="5:5" x14ac:dyDescent="0.2">
      <c r="E34" t="s">
        <v>37</v>
      </c>
    </row>
    <row r="35" spans="5:5" x14ac:dyDescent="0.2">
      <c r="E35" t="s">
        <v>55</v>
      </c>
    </row>
    <row r="36" spans="5:5" x14ac:dyDescent="0.2">
      <c r="E36" t="s">
        <v>42</v>
      </c>
    </row>
    <row r="37" spans="5:5" x14ac:dyDescent="0.2">
      <c r="E37" t="s">
        <v>50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'13'!Area_de_impressao</vt:lpstr>
      <vt:lpstr>'14'!Area_de_impressao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2024-10-24T20:09:33Z</cp:lastPrinted>
  <dcterms:created xsi:type="dcterms:W3CDTF">2004-04-07T20:43:43Z</dcterms:created>
  <dcterms:modified xsi:type="dcterms:W3CDTF">2025-04-25T18:33:30Z</dcterms:modified>
  <cp:category/>
  <cp:contentStatus/>
</cp:coreProperties>
</file>