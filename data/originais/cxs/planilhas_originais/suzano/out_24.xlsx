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/CAIXA/2024/"/>
    </mc:Choice>
  </mc:AlternateContent>
  <xr:revisionPtr revIDLastSave="1896" documentId="8_{A04863FD-99A3-4C80-A5AC-7ED4539B7B53}" xr6:coauthVersionLast="47" xr6:coauthVersionMax="47" xr10:uidLastSave="{84F3EC50-41D2-453D-8CB8-D91F8848EA08}"/>
  <bookViews>
    <workbookView xWindow="-120" yWindow="330" windowWidth="38640" windowHeight="15990" tabRatio="895" firstSheet="1" activeTab="8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9">'09'!$A$1:$M$41</definedName>
    <definedName name="_xlnm.Print_Area" localSheetId="18">'18'!$A$1:$M$41</definedName>
    <definedName name="_xlnm.Print_Area" localSheetId="19">'19'!$A$1:$M$41</definedName>
    <definedName name="_xlnm.Print_Area" localSheetId="30">'30'!$A$1:$M$41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178" l="1"/>
  <c r="C15" i="175"/>
  <c r="C13" i="175"/>
  <c r="C11" i="175"/>
  <c r="C12" i="174"/>
  <c r="C13" i="174"/>
  <c r="C14" i="174"/>
  <c r="C15" i="174"/>
  <c r="C11" i="174"/>
  <c r="C16" i="175" l="1"/>
  <c r="C14" i="175"/>
  <c r="C12" i="175"/>
  <c r="C15" i="190" l="1"/>
  <c r="C14" i="190"/>
  <c r="C13" i="190"/>
  <c r="C12" i="190"/>
  <c r="C15" i="191"/>
  <c r="C14" i="191"/>
  <c r="C13" i="191"/>
  <c r="C12" i="191"/>
  <c r="C15" i="188"/>
  <c r="C14" i="188"/>
  <c r="C13" i="188"/>
  <c r="C12" i="188"/>
  <c r="C15" i="193"/>
  <c r="C14" i="193"/>
  <c r="C13" i="193"/>
  <c r="C12" i="193"/>
  <c r="C15" i="195"/>
  <c r="C14" i="195"/>
  <c r="C13" i="195"/>
  <c r="C12" i="195"/>
  <c r="C11" i="195"/>
  <c r="C12" i="170"/>
  <c r="C13" i="170"/>
  <c r="C14" i="170"/>
  <c r="C15" i="170"/>
  <c r="C11" i="170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C7" i="175"/>
  <c r="R6" i="175"/>
  <c r="C6" i="175"/>
  <c r="C5" i="175"/>
  <c r="C22" i="175" s="1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6" i="174"/>
  <c r="C8" i="174" s="1"/>
  <c r="C6" i="173"/>
  <c r="C6" i="172"/>
  <c r="C6" i="171"/>
  <c r="C8" i="171" s="1"/>
  <c r="C6" i="170"/>
  <c r="C6" i="103"/>
  <c r="C6" i="178"/>
  <c r="C6" i="177"/>
  <c r="C6" i="176"/>
  <c r="C6" i="180"/>
  <c r="C6" i="182"/>
  <c r="C6" i="183"/>
  <c r="C6" i="181"/>
  <c r="C6" i="179"/>
  <c r="C8" i="179" s="1"/>
  <c r="C6" i="184"/>
  <c r="C6" i="185"/>
  <c r="C6" i="186"/>
  <c r="C6" i="187"/>
  <c r="C8" i="187" s="1"/>
  <c r="C6" i="189"/>
  <c r="C8" i="189" s="1"/>
  <c r="C6" i="190"/>
  <c r="C6" i="191"/>
  <c r="C6" i="188"/>
  <c r="C6" i="193"/>
  <c r="C6" i="195"/>
  <c r="C6" i="194"/>
  <c r="C8" i="194" s="1"/>
  <c r="C6" i="197"/>
  <c r="C8" i="197" s="1"/>
  <c r="C6" i="196"/>
  <c r="C8" i="196" s="1"/>
  <c r="C6" i="192"/>
  <c r="C6" i="199"/>
  <c r="C8" i="199" s="1"/>
  <c r="C6" i="198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90" l="1"/>
  <c r="C8" i="172"/>
  <c r="C8" i="180"/>
  <c r="C8" i="186"/>
  <c r="C8" i="173"/>
  <c r="C8" i="176"/>
  <c r="C8" i="192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 s="1"/>
  <c r="R40" i="170"/>
  <c r="O11" i="175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  <c r="B1" i="174" l="1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<sst xmlns="http://schemas.openxmlformats.org/spreadsheetml/2006/main" count="2494" uniqueCount="352">
  <si>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</si>
  <si>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</si>
  <si>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</si>
  <si>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</si>
  <si>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</si>
  <si>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</si>
  <si>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</si>
  <si>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</si>
  <si>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</si>
  <si>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</si>
  <si>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</si>
  <si>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</si>
  <si>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</si>
  <si>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</si>
  <si>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</si>
  <si>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</si>
  <si>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</si>
  <si>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</si>
  <si>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</si>
  <si>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</si>
  <si>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</si>
  <si>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</si>
  <si>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</si>
  <si>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</si>
  <si>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</si>
  <si>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</si>
  <si>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</si>
  <si>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</si>
  <si>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</si>
  <si>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</si>
  <si>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</si>
  <si>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</si>
  <si>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</si>
  <si>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</si>
  <si>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</si>
  <si>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</si>
  <si>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</si>
  <si>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</si>
  <si>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</si>
  <si>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</si>
  <si>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</si>
  <si>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</si>
  <si>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</si>
  <si>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</si>
  <si>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</si>
  <si>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</si>
  <si>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</si>
  <si>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</si>
  <si>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</si>
  <si>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</si>
  <si>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</si>
  <si>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</si>
  <si>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</si>
  <si>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</si>
  <si>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</si>
  <si>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</si>
  <si>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</si>
  <si>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</si>
  <si>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</si>
  <si>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</si>
  <si>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</si>
  <si>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</si>
  <si>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</si>
  <si>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</si>
  <si>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</si>
  <si>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</si>
  <si>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</si>
  <si>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</si>
  <si>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</si>
  <si>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</si>
  <si>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</si>
  <si>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</si>
  <si>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</si>
  <si>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</si>
  <si>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</si>
  <si>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</si>
  <si>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</si>
  <si>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</si>
  <si>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</si>
  <si>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</si>
  <si>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</si>
  <si>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</si>
  <si>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</si>
  <si>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</si>
  <si>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</si>
  <si>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</si>
  <si>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</si>
  <si>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</si>
  <si>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</si>
  <si>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</si>
  <si>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</si>
  <si>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</si>
  <si>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</si>
  <si>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</si>
  <si>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</si>
  <si>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</si>
  <si>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</si>
  <si>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</si>
  <si>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</si>
  <si>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</si>
  <si>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</si>
  <si>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</si>
  <si>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</si>
  <si>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</si>
  <si>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</si>
  <si>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</si>
  <si>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</si>
  <si>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</si>
  <si>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</si>
  <si>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</si>
  <si>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</si>
  <si>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</si>
  <si>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</si>
  <si>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</si>
  <si>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</si>
  <si>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</si>
  <si>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</si>
  <si>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</si>
  <si>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</si>
  <si>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</si>
  <si>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</si>
  <si>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</si>
  <si>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</si>
  <si>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</si>
  <si>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</si>
  <si>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</si>
  <si>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</si>
  <si>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</si>
  <si>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</si>
  <si>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</si>
  <si>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</si>
  <si>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</si>
  <si>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</si>
  <si>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</si>
  <si>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</si>
  <si>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</si>
  <si>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</si>
  <si>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</si>
  <si>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</si>
  <si>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</si>
  <si>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</si>
  <si>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</si>
  <si>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Não</t>
  </si>
  <si>
    <t>reginaldo francisco</t>
  </si>
  <si>
    <t>jose ernesto</t>
  </si>
  <si>
    <t>elson rodrigues</t>
  </si>
  <si>
    <t>edna madalena</t>
  </si>
  <si>
    <t>jaqueline dos santos</t>
  </si>
  <si>
    <t>roseli oblasser</t>
  </si>
  <si>
    <t>ss</t>
  </si>
  <si>
    <t>adriana aparecida</t>
  </si>
  <si>
    <t>neuma carvalho</t>
  </si>
  <si>
    <t>ulisses roberto</t>
  </si>
  <si>
    <t xml:space="preserve">mariana rosa </t>
  </si>
  <si>
    <t>marilu senziali</t>
  </si>
  <si>
    <t>kawany chaves</t>
  </si>
  <si>
    <t>ailton barbosa</t>
  </si>
  <si>
    <t>luiza jaqueline</t>
  </si>
  <si>
    <t xml:space="preserve">veraci eloisa </t>
  </si>
  <si>
    <t>fabiana de souza</t>
  </si>
  <si>
    <t>jose santos</t>
  </si>
  <si>
    <t>julcimara aparecida</t>
  </si>
  <si>
    <t>karen francine</t>
  </si>
  <si>
    <t>Sim</t>
  </si>
  <si>
    <t>carlinhos ferreira</t>
  </si>
  <si>
    <t>antonio carmo</t>
  </si>
  <si>
    <t>fernanda de souza</t>
  </si>
  <si>
    <t>ildeni macena</t>
  </si>
  <si>
    <t>sela regina</t>
  </si>
  <si>
    <t>pedro augusto</t>
  </si>
  <si>
    <t>celia cristina</t>
  </si>
  <si>
    <t>carol vieira</t>
  </si>
  <si>
    <t>carmelina da conceição</t>
  </si>
  <si>
    <t>luciana teixeira</t>
  </si>
  <si>
    <t>victor kunika</t>
  </si>
  <si>
    <t>inacio jose</t>
  </si>
  <si>
    <t>paloma cristina</t>
  </si>
  <si>
    <t>marcos cesar</t>
  </si>
  <si>
    <t>douglas</t>
  </si>
  <si>
    <t>diego perez</t>
  </si>
  <si>
    <t>ilda soares</t>
  </si>
  <si>
    <t>sara de quadros</t>
  </si>
  <si>
    <t>darci alice</t>
  </si>
  <si>
    <t>silas diego</t>
  </si>
  <si>
    <t>elza dias</t>
  </si>
  <si>
    <t xml:space="preserve">andreia de oliveira </t>
  </si>
  <si>
    <t>aline da silva</t>
  </si>
  <si>
    <t xml:space="preserve">junior </t>
  </si>
  <si>
    <t>dn</t>
  </si>
  <si>
    <t>ana paula</t>
  </si>
  <si>
    <t>denise adriane</t>
  </si>
  <si>
    <t>maria helena</t>
  </si>
  <si>
    <t>maria do socorro</t>
  </si>
  <si>
    <t>paulo colombo</t>
  </si>
  <si>
    <t>ricardo martins</t>
  </si>
  <si>
    <t>não</t>
  </si>
  <si>
    <t>zuleide maria</t>
  </si>
  <si>
    <t>aline santana</t>
  </si>
  <si>
    <t>yasmin cristina</t>
  </si>
  <si>
    <t>ronailly lourenco</t>
  </si>
  <si>
    <t>ana lucia</t>
  </si>
  <si>
    <t>vitoria nhoque</t>
  </si>
  <si>
    <t>maria das dores</t>
  </si>
  <si>
    <t>cicero ferreira</t>
  </si>
  <si>
    <t>magno figueira</t>
  </si>
  <si>
    <t>ronivaldo pereira</t>
  </si>
  <si>
    <t>eliel duarte</t>
  </si>
  <si>
    <t>zenilda augusta</t>
  </si>
  <si>
    <t>wesley da silva</t>
  </si>
  <si>
    <t>claudia cristina</t>
  </si>
  <si>
    <t>camila pacini</t>
  </si>
  <si>
    <t>antonio marim</t>
  </si>
  <si>
    <t>dhiego souza</t>
  </si>
  <si>
    <t>airton acacio</t>
  </si>
  <si>
    <t>rafaela mendes</t>
  </si>
  <si>
    <t>marinalva beserra</t>
  </si>
  <si>
    <t>patricia paulino</t>
  </si>
  <si>
    <t>ANDRE LUIZ</t>
  </si>
  <si>
    <t>EVALDO CORDEIRO</t>
  </si>
  <si>
    <t>KATIANA SANTANA</t>
  </si>
  <si>
    <t>MARIA DAS GRACAS</t>
  </si>
  <si>
    <t>YASMIN CRISTINA</t>
  </si>
  <si>
    <t xml:space="preserve">FABIANA </t>
  </si>
  <si>
    <t>THAIS HELENA</t>
  </si>
  <si>
    <t>ELZA DE PAULA</t>
  </si>
  <si>
    <t>HENRIQUE LIMA</t>
  </si>
  <si>
    <t>simone ignacio</t>
  </si>
  <si>
    <t>erika aparecida</t>
  </si>
  <si>
    <t>renata aparecida</t>
  </si>
  <si>
    <t>vera lucia</t>
  </si>
  <si>
    <t>erick kenzo</t>
  </si>
  <si>
    <t>ana  cleia vieira</t>
  </si>
  <si>
    <t>wendell porta</t>
  </si>
  <si>
    <t>maria jose</t>
  </si>
  <si>
    <t>andreza souza</t>
  </si>
  <si>
    <t>thaynara de jesus</t>
  </si>
  <si>
    <t>julio cesar</t>
  </si>
  <si>
    <t>catia carvalho</t>
  </si>
  <si>
    <t>ellen cristina</t>
  </si>
  <si>
    <t>adriana  leal</t>
  </si>
  <si>
    <t>adriana leal</t>
  </si>
  <si>
    <t>GISLENE ELOISA</t>
  </si>
  <si>
    <t>ANTONIO CARMO</t>
  </si>
  <si>
    <t>MARIA SANDRA</t>
  </si>
  <si>
    <t>MARIA APARECIDA</t>
  </si>
  <si>
    <t>LUIZ ZACARIAS</t>
  </si>
  <si>
    <t>SIDNEY DEGRIE</t>
  </si>
  <si>
    <t>ARTHUR HENRIQUE</t>
  </si>
  <si>
    <t>ROSANA GLESIA</t>
  </si>
  <si>
    <t>CICERO CHALES</t>
  </si>
  <si>
    <t>VERA LUCIA</t>
  </si>
  <si>
    <t>GILMAR LOPES</t>
  </si>
  <si>
    <t>MARILU CANDIDA</t>
  </si>
  <si>
    <t>ROSANGELA</t>
  </si>
  <si>
    <t>jose aprigio</t>
  </si>
  <si>
    <t>benedito vieira</t>
  </si>
  <si>
    <t>jose de araujo</t>
  </si>
  <si>
    <t>JURACI PEREIRA</t>
  </si>
  <si>
    <t>JULIANA DE OLIVEIRA</t>
  </si>
  <si>
    <t>BIANCA DA SILVA</t>
  </si>
  <si>
    <t>CARLINHOS FERREIRA</t>
  </si>
  <si>
    <t>AURISETE ARNALDO</t>
  </si>
  <si>
    <t>BIANCA CARDOZO</t>
  </si>
  <si>
    <t>ROGERIO LUIZ</t>
  </si>
  <si>
    <t>LUCAS DA SILVA</t>
  </si>
  <si>
    <t>ADELAIDE MARIA</t>
  </si>
  <si>
    <t>ERICK KENNZO</t>
  </si>
  <si>
    <t>JOSE ERNESTO</t>
  </si>
  <si>
    <t>ADRIANA APARECIDA</t>
  </si>
  <si>
    <t>VIVIAN DANTAS</t>
  </si>
  <si>
    <t>TANIA CRISTINA</t>
  </si>
  <si>
    <t>FABIO  TOSHIO</t>
  </si>
  <si>
    <t>ROSAN GLESIA</t>
  </si>
  <si>
    <t>ADENILSON SOARES</t>
  </si>
  <si>
    <t>SEBASTIÃO PEREIRA</t>
  </si>
  <si>
    <t>BERNADETE RAMOS</t>
  </si>
  <si>
    <t>MARIA PRADO</t>
  </si>
  <si>
    <t>JOANA MARIA</t>
  </si>
  <si>
    <t>EDSON LUCAS</t>
  </si>
  <si>
    <t>DIVA DE OLIVEIRA</t>
  </si>
  <si>
    <t>RODRIGO BISPO</t>
  </si>
  <si>
    <t>DIRCE GABRIELLE</t>
  </si>
  <si>
    <t>ERICA TAMIRES</t>
  </si>
  <si>
    <t>FATIMA APARECIDA</t>
  </si>
  <si>
    <t>JANICE BELMIRO</t>
  </si>
  <si>
    <t>CLARISSE BELA</t>
  </si>
  <si>
    <t>BERNADATE JOSE</t>
  </si>
  <si>
    <t>ROSINETE TAVARES</t>
  </si>
  <si>
    <t>JAQUELINE SANTOS</t>
  </si>
  <si>
    <t>joao santana</t>
  </si>
  <si>
    <t>jane pereira</t>
  </si>
  <si>
    <t>marcos silva</t>
  </si>
  <si>
    <t>cremilda nascimento</t>
  </si>
  <si>
    <t>mariana de oliveira</t>
  </si>
  <si>
    <t>rosangela dos santos</t>
  </si>
  <si>
    <t>maria alves</t>
  </si>
  <si>
    <t>vale ANA</t>
  </si>
  <si>
    <t>VALE JOCI</t>
  </si>
  <si>
    <t>145 do caixa 19/10</t>
  </si>
  <si>
    <t>ROSANGELA MENDES</t>
  </si>
  <si>
    <t>joelson vicente</t>
  </si>
  <si>
    <t>camila da silva</t>
  </si>
  <si>
    <t>jaqueline fereira</t>
  </si>
  <si>
    <t>maria prado</t>
  </si>
  <si>
    <t>juliana de oliveira</t>
  </si>
  <si>
    <t>maria deuzimar</t>
  </si>
  <si>
    <t>crislaine santana</t>
  </si>
  <si>
    <t>neri de souza</t>
  </si>
  <si>
    <t>rodrigo silva</t>
  </si>
  <si>
    <t>camila andrade</t>
  </si>
  <si>
    <t>bruna dos santos</t>
  </si>
  <si>
    <t>carlos aparecido</t>
  </si>
  <si>
    <t>maria clara</t>
  </si>
  <si>
    <t>aline roseli</t>
  </si>
  <si>
    <t>vitor carvalho</t>
  </si>
  <si>
    <t>marinalva bessera</t>
  </si>
  <si>
    <t>NELSON BISPO</t>
  </si>
  <si>
    <t>RONIELIA DA SILVA</t>
  </si>
  <si>
    <t>SELMA SILVA</t>
  </si>
  <si>
    <t>DENISE ADRIANE</t>
  </si>
  <si>
    <t xml:space="preserve">LUIZ CARLOS </t>
  </si>
  <si>
    <t>DIRCE GABEIELLE</t>
  </si>
  <si>
    <t>C</t>
  </si>
  <si>
    <t>LEONARDO DELMONTE</t>
  </si>
  <si>
    <t>leny de souza</t>
  </si>
  <si>
    <t>glaucia thomazini</t>
  </si>
  <si>
    <t>quiteria bezerra</t>
  </si>
  <si>
    <t>samuel de melo</t>
  </si>
  <si>
    <t>nivalda rabelo</t>
  </si>
  <si>
    <t>wesly da silva</t>
  </si>
  <si>
    <t>katia maria</t>
  </si>
  <si>
    <t>solange aparecida</t>
  </si>
  <si>
    <t>marcia cristina</t>
  </si>
  <si>
    <t>eladio julio</t>
  </si>
  <si>
    <t>sonai maria</t>
  </si>
  <si>
    <t>ana machado</t>
  </si>
  <si>
    <t>fabio toshio</t>
  </si>
  <si>
    <t>veraci eloisa</t>
  </si>
  <si>
    <t>ROBERTO DONIZETE</t>
  </si>
  <si>
    <t>ROSIMEIRE FARIAS</t>
  </si>
  <si>
    <t xml:space="preserve">SILVA </t>
  </si>
  <si>
    <t>DEIYANE DE CASTRO</t>
  </si>
  <si>
    <t>SELMA DA SILVA</t>
  </si>
  <si>
    <t>queren santos</t>
  </si>
  <si>
    <t>renata lopes</t>
  </si>
  <si>
    <t xml:space="preserve">maria deuzimar </t>
  </si>
  <si>
    <t xml:space="preserve">valdineia  </t>
  </si>
  <si>
    <t>laureana pereira</t>
  </si>
  <si>
    <t>joão alves</t>
  </si>
  <si>
    <t xml:space="preserve">luiza jaqueline </t>
  </si>
  <si>
    <t>arildson ribeiro</t>
  </si>
  <si>
    <t xml:space="preserve">leandro estevam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</si>
</sst>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_(&quot;R$&quot;* #,##0.00_);_(&quot;R$&quot;* \(#,##0.00\);_(&quot;R$&quot;* &quot;-&quot;??_);_(@_)"/>
    <numFmt numFmtId="166" formatCode="&quot;R$&quot;\ #,##0.00"/>
    <numFmt numFmtId="167" formatCode="&quot;R$ &quot;#,##0_);\(&quot;R$ &quot;#,##0\)"/>
    <numFmt numFmtId="168" formatCode="_(* #,##0.00_);_(* \(#,##0.00\);_(* &quot;-&quot;??_);_(@_)"/>
    <numFmt numFmtId="169" formatCode="&quot;$&quot;#,##0_);\(&quot;$&quot;#,##0\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  <family val="2"/>
    </font>
    <font>
      <sz val="11"/>
      <name val="Calibri"/>
      <family val="2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sz val="12"/>
      <name val="Arial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5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16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16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7" fontId="27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9" fontId="29" fillId="0" borderId="16">
      <alignment horizontal="center" vertical="center"/>
    </xf>
    <xf numFmtId="43" fontId="3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6" fontId="13" fillId="5" borderId="13" xfId="0" applyNumberFormat="1" applyFont="1" applyFill="1" applyBorder="1" applyAlignment="1">
      <alignment horizontal="center"/>
    </xf>
    <xf numFmtId="166" fontId="0" fillId="0" borderId="11" xfId="4" applyNumberFormat="1" applyFont="1" applyFill="1" applyBorder="1" applyAlignment="1">
      <alignment horizontal="center"/>
    </xf>
    <xf numFmtId="166" fontId="13" fillId="0" borderId="17" xfId="4" applyNumberFormat="1" applyFont="1" applyFill="1" applyBorder="1" applyAlignment="1">
      <alignment horizontal="center"/>
    </xf>
    <xf numFmtId="166" fontId="13" fillId="0" borderId="17" xfId="0" applyNumberFormat="1" applyFont="1" applyBorder="1" applyAlignment="1">
      <alignment horizontal="center"/>
    </xf>
    <xf numFmtId="165" fontId="13" fillId="5" borderId="10" xfId="2" applyFont="1" applyFill="1" applyBorder="1" applyAlignment="1">
      <alignment horizontal="center"/>
    </xf>
    <xf numFmtId="165" fontId="13" fillId="5" borderId="13" xfId="2" applyFont="1" applyFill="1" applyBorder="1" applyAlignment="1">
      <alignment horizontal="center"/>
    </xf>
    <xf numFmtId="166" fontId="13" fillId="5" borderId="13" xfId="4" applyNumberFormat="1" applyFont="1" applyFill="1" applyBorder="1" applyAlignment="1">
      <alignment horizontal="center"/>
    </xf>
    <xf numFmtId="166" fontId="13" fillId="5" borderId="9" xfId="4" applyNumberFormat="1" applyFont="1" applyFill="1" applyBorder="1" applyAlignment="1">
      <alignment horizontal="center"/>
    </xf>
    <xf numFmtId="166" fontId="13" fillId="5" borderId="10" xfId="0" applyNumberFormat="1" applyFont="1" applyFill="1" applyBorder="1" applyAlignment="1">
      <alignment horizontal="center"/>
    </xf>
    <xf numFmtId="166" fontId="13" fillId="5" borderId="9" xfId="0" applyNumberFormat="1" applyFont="1" applyFill="1" applyBorder="1" applyAlignment="1">
      <alignment horizontal="center"/>
    </xf>
    <xf numFmtId="166" fontId="13" fillId="0" borderId="6" xfId="0" applyNumberFormat="1" applyFont="1" applyBorder="1" applyAlignment="1">
      <alignment horizontal="center"/>
    </xf>
    <xf numFmtId="166" fontId="13" fillId="0" borderId="3" xfId="4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6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6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5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6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5" fontId="13" fillId="5" borderId="0" xfId="2" applyFont="1" applyFill="1" applyBorder="1" applyAlignment="1">
      <alignment horizontal="center"/>
    </xf>
    <xf numFmtId="165" fontId="14" fillId="7" borderId="6" xfId="2" applyFont="1" applyFill="1" applyBorder="1" applyAlignment="1">
      <alignment horizontal="center"/>
    </xf>
    <xf numFmtId="165" fontId="0" fillId="0" borderId="2" xfId="2" applyFont="1" applyFill="1" applyBorder="1" applyAlignment="1">
      <alignment horizontal="center"/>
    </xf>
    <xf numFmtId="165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5" fontId="13" fillId="0" borderId="3" xfId="2" applyFont="1" applyFill="1" applyBorder="1" applyAlignment="1">
      <alignment horizontal="center"/>
    </xf>
    <xf numFmtId="0" fontId="5" fillId="0" borderId="0" xfId="0" applyFont="1"/>
    <xf numFmtId="165" fontId="24" fillId="0" borderId="17" xfId="2" applyFont="1" applyFill="1" applyBorder="1" applyAlignment="1">
      <alignment horizontal="center"/>
    </xf>
    <xf numFmtId="166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5" fontId="30" fillId="0" borderId="17" xfId="2" applyFont="1" applyFill="1" applyBorder="1" applyAlignment="1">
      <alignment horizontal="center"/>
    </xf>
    <xf numFmtId="164" fontId="13" fillId="0" borderId="17" xfId="39" applyFont="1" applyFill="1" applyBorder="1" applyAlignment="1">
      <alignment horizontal="center"/>
    </xf>
    <xf numFmtId="166" fontId="0" fillId="0" borderId="17" xfId="4" applyNumberFormat="1" applyFont="1" applyFill="1" applyBorder="1" applyAlignment="1">
      <alignment horizontal="center"/>
    </xf>
    <xf numFmtId="164" fontId="0" fillId="0" borderId="17" xfId="39" applyFont="1" applyFill="1" applyBorder="1" applyAlignment="1">
      <alignment horizontal="center"/>
    </xf>
    <xf numFmtId="166" fontId="13" fillId="0" borderId="9" xfId="0" applyNumberFormat="1" applyFont="1" applyBorder="1" applyAlignment="1">
      <alignment horizontal="center"/>
    </xf>
    <xf numFmtId="164" fontId="31" fillId="0" borderId="13" xfId="39" applyFont="1" applyFill="1" applyBorder="1" applyAlignment="1">
      <alignment horizontal="center"/>
    </xf>
    <xf numFmtId="166" fontId="31" fillId="0" borderId="13" xfId="4" applyNumberFormat="1" applyFont="1" applyFill="1" applyBorder="1" applyAlignment="1">
      <alignment horizontal="center"/>
    </xf>
    <xf numFmtId="164" fontId="31" fillId="0" borderId="17" xfId="39" applyFont="1" applyFill="1" applyBorder="1" applyAlignment="1">
      <alignment horizontal="center"/>
    </xf>
    <xf numFmtId="166" fontId="31" fillId="0" borderId="17" xfId="4" applyNumberFormat="1" applyFont="1" applyFill="1" applyBorder="1" applyAlignment="1">
      <alignment horizontal="center"/>
    </xf>
    <xf numFmtId="164" fontId="24" fillId="0" borderId="17" xfId="39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5" fontId="0" fillId="0" borderId="17" xfId="2" applyFont="1" applyFill="1" applyBorder="1" applyAlignment="1">
      <alignment horizontal="center"/>
    </xf>
    <xf numFmtId="166" fontId="34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14" fontId="36" fillId="0" borderId="0" xfId="0" applyNumberFormat="1" applyFont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165" fontId="0" fillId="0" borderId="3" xfId="2" applyFont="1" applyFill="1" applyBorder="1" applyAlignment="1">
      <alignment horizontal="center"/>
    </xf>
    <xf numFmtId="166" fontId="0" fillId="0" borderId="3" xfId="4" applyNumberFormat="1" applyFont="1" applyFill="1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166" fontId="5" fillId="0" borderId="17" xfId="4" applyNumberFormat="1" applyFont="1" applyFill="1" applyBorder="1" applyAlignment="1">
      <alignment horizontal="center"/>
    </xf>
    <xf numFmtId="166" fontId="37" fillId="0" borderId="6" xfId="0" applyNumberFormat="1" applyFont="1" applyBorder="1" applyAlignment="1">
      <alignment horizontal="center"/>
    </xf>
    <xf numFmtId="1" fontId="37" fillId="0" borderId="17" xfId="0" applyNumberFormat="1" applyFont="1" applyBorder="1" applyAlignment="1">
      <alignment horizontal="center"/>
    </xf>
    <xf numFmtId="14" fontId="38" fillId="0" borderId="0" xfId="0" applyNumberFormat="1" applyFont="1" applyAlignment="1">
      <alignment horizontal="center"/>
    </xf>
    <xf numFmtId="166" fontId="37" fillId="0" borderId="17" xfId="4" applyNumberFormat="1" applyFont="1" applyFill="1" applyBorder="1" applyAlignment="1">
      <alignment horizontal="center"/>
    </xf>
    <xf numFmtId="164" fontId="13" fillId="0" borderId="13" xfId="39" applyFont="1" applyFill="1" applyBorder="1" applyAlignment="1">
      <alignment horizontal="center"/>
    </xf>
    <xf numFmtId="166" fontId="13" fillId="0" borderId="13" xfId="4" applyNumberFormat="1" applyFont="1" applyFill="1" applyBorder="1" applyAlignment="1">
      <alignment horizontal="center"/>
    </xf>
    <xf numFmtId="166" fontId="12" fillId="6" borderId="12" xfId="2" applyNumberFormat="1" applyFont="1" applyFill="1" applyBorder="1" applyAlignment="1" applyProtection="1">
      <alignment horizontal="center" vertical="center"/>
    </xf>
    <xf numFmtId="165" fontId="14" fillId="7" borderId="6" xfId="2" applyFont="1" applyFill="1" applyBorder="1" applyAlignment="1" applyProtection="1">
      <alignment horizontal="center"/>
    </xf>
    <xf numFmtId="165" fontId="39" fillId="0" borderId="3" xfId="2" applyFont="1" applyFill="1" applyBorder="1" applyAlignment="1">
      <alignment horizontal="center"/>
    </xf>
    <xf numFmtId="165" fontId="40" fillId="0" borderId="3" xfId="2" applyFont="1" applyFill="1" applyBorder="1" applyAlignment="1">
      <alignment horizontal="center"/>
    </xf>
    <xf numFmtId="166" fontId="40" fillId="0" borderId="3" xfId="4" applyNumberFormat="1" applyFont="1" applyFill="1" applyBorder="1" applyAlignment="1">
      <alignment horizontal="center"/>
    </xf>
    <xf numFmtId="165" fontId="0" fillId="5" borderId="0" xfId="2" applyFont="1" applyFill="1" applyBorder="1" applyAlignment="1">
      <alignment horizontal="center"/>
    </xf>
    <xf numFmtId="164" fontId="41" fillId="0" borderId="13" xfId="39" applyFont="1" applyFill="1" applyBorder="1" applyAlignment="1">
      <alignment horizontal="center"/>
    </xf>
    <xf numFmtId="166" fontId="41" fillId="0" borderId="13" xfId="4" applyNumberFormat="1" applyFont="1" applyFill="1" applyBorder="1" applyAlignment="1">
      <alignment horizontal="center"/>
    </xf>
    <xf numFmtId="14" fontId="42" fillId="0" borderId="0" xfId="0" applyNumberFormat="1" applyFont="1" applyAlignment="1">
      <alignment horizontal="center"/>
    </xf>
    <xf numFmtId="165" fontId="35" fillId="0" borderId="13" xfId="2" applyFont="1" applyFill="1" applyBorder="1" applyAlignment="1">
      <alignment horizontal="center"/>
    </xf>
    <xf numFmtId="165" fontId="37" fillId="0" borderId="13" xfId="2" applyFont="1" applyFill="1" applyBorder="1" applyAlignment="1">
      <alignment horizontal="center"/>
    </xf>
    <xf numFmtId="166" fontId="37" fillId="0" borderId="13" xfId="4" applyNumberFormat="1" applyFont="1" applyFill="1" applyBorder="1" applyAlignment="1">
      <alignment horizontal="center"/>
    </xf>
    <xf numFmtId="0" fontId="44" fillId="0" borderId="17" xfId="0" applyFont="1" applyBorder="1" applyAlignment="1">
      <alignment horizontal="center"/>
    </xf>
    <xf numFmtId="165" fontId="12" fillId="0" borderId="17" xfId="2" applyFont="1" applyFill="1" applyBorder="1" applyAlignment="1">
      <alignment horizontal="center"/>
    </xf>
    <xf numFmtId="166" fontId="12" fillId="0" borderId="17" xfId="4" applyNumberFormat="1" applyFont="1" applyFill="1" applyBorder="1" applyAlignment="1">
      <alignment horizontal="center"/>
    </xf>
    <xf numFmtId="165" fontId="37" fillId="0" borderId="17" xfId="2" applyFont="1" applyFill="1" applyBorder="1" applyAlignment="1">
      <alignment horizontal="center"/>
    </xf>
    <xf numFmtId="165" fontId="40" fillId="0" borderId="17" xfId="2" applyFont="1" applyFill="1" applyBorder="1" applyAlignment="1">
      <alignment horizontal="center"/>
    </xf>
    <xf numFmtId="165" fontId="39" fillId="0" borderId="17" xfId="2" applyFont="1" applyFill="1" applyBorder="1" applyAlignment="1">
      <alignment horizontal="center"/>
    </xf>
    <xf numFmtId="166" fontId="40" fillId="0" borderId="17" xfId="4" applyNumberFormat="1" applyFont="1" applyFill="1" applyBorder="1" applyAlignment="1">
      <alignment horizontal="center"/>
    </xf>
    <xf numFmtId="0" fontId="45" fillId="0" borderId="3" xfId="0" applyFont="1" applyBorder="1" applyAlignment="1">
      <alignment horizontal="center"/>
    </xf>
    <xf numFmtId="165" fontId="45" fillId="0" borderId="3" xfId="2" applyFont="1" applyFill="1" applyBorder="1" applyAlignment="1">
      <alignment horizontal="center"/>
    </xf>
    <xf numFmtId="166" fontId="0" fillId="0" borderId="0" xfId="4" applyNumberFormat="1" applyFont="1" applyAlignment="1">
      <alignment horizontal="center"/>
    </xf>
    <xf numFmtId="165" fontId="0" fillId="0" borderId="0" xfId="2" applyFont="1" applyAlignment="1">
      <alignment horizontal="center"/>
    </xf>
    <xf numFmtId="1" fontId="30" fillId="0" borderId="17" xfId="0" applyNumberFormat="1" applyFont="1" applyBorder="1" applyAlignment="1">
      <alignment horizontal="center"/>
    </xf>
    <xf numFmtId="1" fontId="43" fillId="0" borderId="17" xfId="0" applyNumberFormat="1" applyFont="1" applyBorder="1" applyAlignment="1">
      <alignment horizontal="center"/>
    </xf>
    <xf numFmtId="1" fontId="30" fillId="0" borderId="3" xfId="0" applyNumberFormat="1" applyFont="1" applyBorder="1" applyAlignment="1">
      <alignment horizontal="center"/>
    </xf>
    <xf numFmtId="1" fontId="30" fillId="0" borderId="17" xfId="2" applyNumberFormat="1" applyFont="1" applyFill="1" applyBorder="1" applyAlignment="1">
      <alignment horizontal="center"/>
    </xf>
    <xf numFmtId="1" fontId="30" fillId="0" borderId="3" xfId="2" applyNumberFormat="1" applyFont="1" applyBorder="1" applyAlignment="1">
      <alignment horizontal="center"/>
    </xf>
    <xf numFmtId="1" fontId="30" fillId="0" borderId="17" xfId="2" applyNumberFormat="1" applyFont="1" applyBorder="1" applyAlignment="1">
      <alignment horizontal="center"/>
    </xf>
    <xf numFmtId="1" fontId="13" fillId="5" borderId="10" xfId="2" applyNumberFormat="1" applyFont="1" applyFill="1" applyBorder="1" applyAlignment="1">
      <alignment horizontal="center"/>
    </xf>
    <xf numFmtId="1" fontId="30" fillId="0" borderId="3" xfId="2" applyNumberFormat="1" applyFont="1" applyFill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1" fontId="45" fillId="0" borderId="17" xfId="2" applyNumberFormat="1" applyFont="1" applyFill="1" applyBorder="1" applyAlignment="1">
      <alignment horizontal="center"/>
    </xf>
    <xf numFmtId="166" fontId="5" fillId="0" borderId="6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6" fontId="10" fillId="7" borderId="5" xfId="0" applyNumberFormat="1" applyFont="1" applyFill="1" applyBorder="1" applyAlignment="1">
      <alignment horizontal="center"/>
    </xf>
    <xf numFmtId="166" fontId="10" fillId="7" borderId="4" xfId="0" applyNumberFormat="1" applyFont="1" applyFill="1" applyBorder="1" applyAlignment="1">
      <alignment horizontal="center"/>
    </xf>
    <xf numFmtId="166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0" headerRowBorderDxfId="1639" tableBorderDxfId="1638" totalsRowBorderDxfId="1637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6" dataCellStyle="Moeda"/>
    <tableColumn id="5" xr3:uid="{45BECD08-8ABE-4A34-BD78-E2D3AFB8C62A}" name="Cliente" dataDxfId="1635" dataCellStyle="Moeda"/>
    <tableColumn id="2" xr3:uid="{A0D6666C-9CF7-4343-AF6B-BDFE62F94469}" name="Forma de Pgto" dataDxfId="1634" dataCellStyle="Moeda"/>
    <tableColumn id="3" xr3:uid="{988F127F-9D83-4428-BB94-C16FBBB1BD89}" name="Valor Venda" dataDxfId="1633" dataCellStyle="Porcentagem"/>
    <tableColumn id="4" xr3:uid="{6A2928C3-17B0-4FA3-B60C-9E1A2C0324E1}" name="Entrada" dataDxfId="1632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31" dataDxfId="1629" headerRowBorderDxfId="1630" tableBorderDxfId="1628" totalsRowBorderDxfId="1627">
  <autoFilter ref="K5:M11" xr:uid="{DD403130-B35C-452C-92F9-290622D77A3D}"/>
  <tableColumns count="3">
    <tableColumn id="1" xr3:uid="{FAD87634-3375-4B41-BEC0-5B072F6B52CE}" name="Descrição" dataDxfId="1626"/>
    <tableColumn id="2" xr3:uid="{7688071E-9548-4552-8BB1-3BA5128DF645}" name="Tipo de Pagto" dataDxfId="1625"/>
    <tableColumn id="3" xr3:uid="{2B260C33-79A5-4C5D-9195-15780C53A861}" name="Valor" dataDxfId="16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3" headerRowBorderDxfId="1622" tableBorderDxfId="1621" totalsRowBorderDxfId="1620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9"/>
    <tableColumn id="2" xr3:uid="{606BE417-6802-4580-90D2-86F95EFAAEB7}" name="Cliente" dataDxfId="1618"/>
    <tableColumn id="3" xr3:uid="{2F522A54-F708-4DA3-97E3-CE7C29912E04}" name="Forma de Pgto" dataDxfId="1617" dataCellStyle="Moeda"/>
    <tableColumn id="4" xr3:uid="{7B46EE64-F7F1-4449-A783-67286A94A7C4}" name="Valor Venda" dataDxfId="1616" dataCellStyle="Porcentagem"/>
    <tableColumn id="5" xr3:uid="{389A7D1A-3C35-485E-9958-8A78EF77BE9B}" name="Entrada" dataDxfId="1615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14" headerRowBorderDxfId="1613" tableBorderDxfId="1612" totalsRowBorderDxfId="1611">
  <autoFilter ref="K14:M31" xr:uid="{F07D43AD-1A4D-4B31-96B8-824F8623E518}"/>
  <tableColumns count="3">
    <tableColumn id="1" xr3:uid="{3AF01421-A7B6-4D23-9DA8-C20FAFAFDD9C}" name="OS" dataDxfId="1610"/>
    <tableColumn id="2" xr3:uid="{55DCC30E-EB52-427E-A16A-B2C93A41F1CE}" name="Vendedor" dataDxfId="1609"/>
    <tableColumn id="3" xr3:uid="{23EDA46C-42B4-4F6C-97D9-7040D6B9797C}" name="CARNE" dataDxfId="160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07" headerRowBorderDxfId="1606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4" totalsRowShown="0" headerRowDxfId="1555" dataDxfId="1553" headerRowBorderDxfId="1554" tableBorderDxfId="1552" totalsRowBorderDxfId="1551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7" dataDxfId="1235" headerRowBorderDxfId="1236" tableBorderDxfId="1234" totalsRowBorderDxfId="123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0" headerRowBorderDxfId="441" tableBorderDxfId="439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workbookViewId="0">
      <selection activeCell="C24" sqref="C24"/>
    </sheetView>
  </sheetViews>
  <sheetFormatPr defaultColWidth="21.28515625" defaultRowHeight="12.75" x14ac:dyDescent="0.2"/>
  <cols>
    <col min="2" max="2" width="22.7109375" customWidth="1"/>
  </cols>
  <sheetData>
    <row r="1" spans="1:16" x14ac:dyDescent="0.2">
      <c r="P1" t="s">
        <v>128</v>
      </c>
    </row>
    <row r="2" spans="1:16" ht="15" x14ac:dyDescent="0.2">
      <c r="A2" s="18" t="s">
        <v>0</v>
      </c>
      <c r="B2" s="70">
        <v>0</v>
      </c>
      <c r="P2" t="s">
        <v>129</v>
      </c>
    </row>
    <row r="3" spans="1:16" ht="15" x14ac:dyDescent="0.25">
      <c r="A3" s="22" t="s">
        <v>1</v>
      </c>
      <c r="B3" s="23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75719</v>
      </c>
      <c r="P3" t="s">
        <v>130</v>
      </c>
    </row>
    <row r="4" spans="1:16" ht="15" x14ac:dyDescent="0.25">
      <c r="A4" s="22" t="s">
        <v>2</v>
      </c>
      <c r="B4" s="23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70210</v>
      </c>
      <c r="P4" t="s">
        <v>131</v>
      </c>
    </row>
    <row r="5" spans="1:16" ht="15" x14ac:dyDescent="0.25">
      <c r="A5" s="22" t="s">
        <v>3</v>
      </c>
      <c r="B5" s="23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1161</v>
      </c>
      <c r="P5" t="s">
        <v>132</v>
      </c>
    </row>
    <row r="6" spans="1:16" ht="15.75" x14ac:dyDescent="0.25">
      <c r="A6" s="27" t="s">
        <v>4</v>
      </c>
      <c r="B6" s="28">
        <f>SUM(B4:B5)</f>
        <v>71371</v>
      </c>
      <c r="P6" t="s">
        <v>133</v>
      </c>
    </row>
    <row r="7" spans="1:16" ht="15" x14ac:dyDescent="0.25">
      <c r="A7" s="2"/>
      <c r="B7" s="2"/>
      <c r="P7" t="s">
        <v>134</v>
      </c>
    </row>
    <row r="8" spans="1:16" ht="15" x14ac:dyDescent="0.2">
      <c r="A8" s="106" t="s">
        <v>5</v>
      </c>
      <c r="B8" s="106"/>
      <c r="P8" t="s">
        <v>135</v>
      </c>
    </row>
    <row r="9" spans="1:16" ht="15" x14ac:dyDescent="0.25">
      <c r="A9" s="29" t="s">
        <v>6</v>
      </c>
      <c r="B9" s="23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8839.98</v>
      </c>
      <c r="P9" t="s">
        <v>136</v>
      </c>
    </row>
    <row r="10" spans="1:16" ht="15" x14ac:dyDescent="0.25">
      <c r="A10" s="29" t="s">
        <v>7</v>
      </c>
      <c r="B10" s="23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13905.470000000001</v>
      </c>
      <c r="P10" t="s">
        <v>137</v>
      </c>
    </row>
    <row r="11" spans="1:16" ht="15" x14ac:dyDescent="0.25">
      <c r="A11" s="29" t="s">
        <v>8</v>
      </c>
      <c r="B11" s="23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44613</v>
      </c>
      <c r="P11" t="s">
        <v>138</v>
      </c>
    </row>
    <row r="12" spans="1:16" ht="15" x14ac:dyDescent="0.25">
      <c r="A12" s="29" t="s">
        <v>9</v>
      </c>
      <c r="B12" s="23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P12" t="s">
        <v>139</v>
      </c>
    </row>
    <row r="13" spans="1:16" ht="15" x14ac:dyDescent="0.25">
      <c r="A13" s="29" t="s">
        <v>10</v>
      </c>
      <c r="B13" s="23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13324.91</v>
      </c>
      <c r="P13" t="s">
        <v>140</v>
      </c>
    </row>
    <row r="14" spans="1:16" ht="15.75" x14ac:dyDescent="0.25">
      <c r="A14" s="27" t="s">
        <v>11</v>
      </c>
      <c r="B14" s="71">
        <f>SUM(B9:B13)</f>
        <v>80683.360000000001</v>
      </c>
    </row>
    <row r="15" spans="1:16" ht="15" x14ac:dyDescent="0.25">
      <c r="A15" s="2"/>
      <c r="B15" s="2"/>
    </row>
    <row r="16" spans="1:16" ht="15" x14ac:dyDescent="0.2">
      <c r="A16" s="106" t="s">
        <v>12</v>
      </c>
      <c r="B16" s="106"/>
    </row>
    <row r="17" spans="1:2" ht="15" x14ac:dyDescent="0.25">
      <c r="A17" s="29">
        <f>COUNT(#REF!)</f>
        <v>0</v>
      </c>
      <c r="B17" s="23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11231</v>
      </c>
    </row>
    <row r="18" spans="1:2" ht="15.75" x14ac:dyDescent="0.25">
      <c r="A18" s="27" t="s">
        <v>11</v>
      </c>
      <c r="B18" s="71">
        <f>SUM(B17:B17)</f>
        <v>11231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A19" zoomScale="80" zoomScaleNormal="80" workbookViewId="0">
      <selection activeCell="F40" sqref="F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v>45566</v>
      </c>
    </row>
    <row r="2" spans="2:18" ht="18.75" x14ac:dyDescent="0.2">
      <c r="B2" s="111" t="s">
        <v>127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5115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4815</v>
      </c>
      <c r="D6" s="2"/>
      <c r="E6" s="93">
        <v>9854</v>
      </c>
      <c r="F6" s="24" t="s">
        <v>143</v>
      </c>
      <c r="G6" s="25" t="s">
        <v>6</v>
      </c>
      <c r="H6" s="8">
        <v>45</v>
      </c>
      <c r="I6" s="8">
        <v>45</v>
      </c>
      <c r="J6" s="2"/>
      <c r="K6" s="24"/>
      <c r="L6" s="9"/>
      <c r="M6" s="16"/>
      <c r="R6" s="1">
        <f>IF(vend1[[#This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>
        <v>9855</v>
      </c>
      <c r="F7" s="24" t="s">
        <v>144</v>
      </c>
      <c r="G7" s="25" t="s">
        <v>6</v>
      </c>
      <c r="H7" s="8">
        <v>500</v>
      </c>
      <c r="I7" s="8">
        <v>200</v>
      </c>
      <c r="J7" s="2"/>
      <c r="K7" s="24"/>
      <c r="L7" s="9"/>
      <c r="M7" s="16"/>
      <c r="R7" s="1">
        <f>IF(vend1[[#This Row],[Nº Venda]]&gt;1,1,0)</f>
        <v>1</v>
      </c>
    </row>
    <row r="8" spans="2:18" ht="15.75" x14ac:dyDescent="0.25">
      <c r="B8" s="27" t="s">
        <v>21</v>
      </c>
      <c r="C8" s="28">
        <f>SUM(C6:C7)</f>
        <v>4815</v>
      </c>
      <c r="D8" s="2"/>
      <c r="E8" s="93">
        <v>9856</v>
      </c>
      <c r="F8" s="24" t="s">
        <v>145</v>
      </c>
      <c r="G8" s="25" t="s">
        <v>8</v>
      </c>
      <c r="H8" s="8">
        <v>1380</v>
      </c>
      <c r="I8" s="8">
        <v>1380</v>
      </c>
      <c r="J8" s="2"/>
      <c r="K8" s="24"/>
      <c r="L8" s="9"/>
      <c r="M8" s="16"/>
      <c r="R8" s="1">
        <f>IF(vend1[[#This Row],[Nº Venda]]&gt;1,1,0)</f>
        <v>1</v>
      </c>
    </row>
    <row r="9" spans="2:18" ht="15.75" x14ac:dyDescent="0.25">
      <c r="B9" s="2"/>
      <c r="C9" s="2"/>
      <c r="D9" s="2"/>
      <c r="E9" s="93">
        <v>9857</v>
      </c>
      <c r="F9" s="24" t="s">
        <v>148</v>
      </c>
      <c r="G9" s="25" t="s">
        <v>7</v>
      </c>
      <c r="H9" s="8">
        <v>2850</v>
      </c>
      <c r="I9" s="8">
        <v>2850</v>
      </c>
      <c r="J9" s="2"/>
      <c r="K9" s="24"/>
      <c r="L9" s="9"/>
      <c r="M9" s="16"/>
      <c r="R9" s="1">
        <f>IF(vend1[[#This Row],[Nº Venda]]&gt;1,1,0)</f>
        <v>1</v>
      </c>
    </row>
    <row r="10" spans="2:18" ht="15.75" x14ac:dyDescent="0.25">
      <c r="B10" s="106" t="s">
        <v>5</v>
      </c>
      <c r="C10" s="106"/>
      <c r="D10" s="2"/>
      <c r="E10" s="93">
        <v>9858</v>
      </c>
      <c r="F10" s="24" t="s">
        <v>148</v>
      </c>
      <c r="G10" s="25" t="s">
        <v>7</v>
      </c>
      <c r="H10" s="8">
        <v>340</v>
      </c>
      <c r="I10" s="8">
        <v>340</v>
      </c>
      <c r="J10" s="2"/>
      <c r="K10" s="24"/>
      <c r="L10" s="9"/>
      <c r="M10" s="16"/>
      <c r="R10" s="1">
        <f>IF(vend1[[#This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1175</v>
      </c>
      <c r="D11" s="2"/>
      <c r="E11" s="93">
        <v>9859</v>
      </c>
      <c r="F11" s="24" t="s">
        <v>148</v>
      </c>
      <c r="G11" s="25" t="s">
        <v>8</v>
      </c>
      <c r="H11" s="8" t="s">
        <v>149</v>
      </c>
      <c r="I11" s="8"/>
      <c r="J11" s="2"/>
      <c r="K11" s="26"/>
      <c r="L11" s="9"/>
      <c r="M11" s="16"/>
      <c r="O11" s="1">
        <f>IF(C16=0,0,1)</f>
        <v>1</v>
      </c>
      <c r="R11" s="1">
        <f>IF(vend1[[#This Row],[Nº Venda]]&gt;1,1,0)</f>
        <v>1</v>
      </c>
    </row>
    <row r="12" spans="2:18" ht="15.75" x14ac:dyDescent="0.25">
      <c r="B12" s="29" t="s">
        <v>7</v>
      </c>
      <c r="C12" s="30">
        <f>(SUMIF($G$2:$G$31,B12,$I$2:$I$31))+(SUMIF($G$35:$G$41,B12,$H$35:$H$41))</f>
        <v>3190</v>
      </c>
      <c r="D12" s="2"/>
      <c r="E12" s="93"/>
      <c r="F12" s="24"/>
      <c r="G12" s="25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1380</v>
      </c>
      <c r="D13" s="2"/>
      <c r="E13" s="93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IF(vend1[[#This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166.66</v>
      </c>
      <c r="D15" s="2"/>
      <c r="E15" s="93"/>
      <c r="F15" s="24"/>
      <c r="G15" s="25"/>
      <c r="H15" s="8"/>
      <c r="I15" s="8"/>
      <c r="J15" s="2"/>
      <c r="K15" s="101">
        <v>9788</v>
      </c>
      <c r="L15" s="9" t="s">
        <v>130</v>
      </c>
      <c r="M15" s="16" t="s">
        <v>142</v>
      </c>
      <c r="R15" s="1">
        <f>IF(vend1[[#This Row],[Nº Venda]]&gt;1,1,0)</f>
        <v>0</v>
      </c>
    </row>
    <row r="16" spans="2:18" ht="15.75" x14ac:dyDescent="0.25">
      <c r="B16" s="27" t="s">
        <v>11</v>
      </c>
      <c r="C16" s="31">
        <f>SUM(C11:C15)</f>
        <v>5911.66</v>
      </c>
      <c r="D16" s="2"/>
      <c r="E16" s="93"/>
      <c r="F16" s="24"/>
      <c r="G16" s="25"/>
      <c r="H16" s="8"/>
      <c r="I16" s="8"/>
      <c r="J16" s="2"/>
      <c r="K16" s="101">
        <v>9835</v>
      </c>
      <c r="L16" s="9" t="s">
        <v>130</v>
      </c>
      <c r="M16" s="16" t="s">
        <v>142</v>
      </c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>
        <v>9854</v>
      </c>
      <c r="L17" s="9" t="s">
        <v>134</v>
      </c>
      <c r="M17" s="16" t="s">
        <v>142</v>
      </c>
      <c r="R17" s="1">
        <f>IF(vend1[[#This Row],[Nº Venda]]&gt;1,1,0)</f>
        <v>0</v>
      </c>
    </row>
    <row r="18" spans="2:18" ht="15.75" x14ac:dyDescent="0.25">
      <c r="B18" s="106" t="s">
        <v>12</v>
      </c>
      <c r="C18" s="106"/>
      <c r="D18" s="2"/>
      <c r="E18" s="93"/>
      <c r="F18" s="24"/>
      <c r="G18" s="25"/>
      <c r="H18" s="8"/>
      <c r="I18" s="8"/>
      <c r="J18" s="2"/>
      <c r="K18" s="101">
        <v>9849</v>
      </c>
      <c r="L18" s="9" t="s">
        <v>134</v>
      </c>
      <c r="M18" s="16" t="s">
        <v>142</v>
      </c>
      <c r="R18" s="1">
        <f>IF(vend1[[#This Row],[Nº Venda]]&gt;1,1,0)</f>
        <v>0</v>
      </c>
    </row>
    <row r="19" spans="2:18" ht="15.75" x14ac:dyDescent="0.25">
      <c r="B19" s="29">
        <f>COUNT(entr_carn31195[OS])</f>
        <v>0</v>
      </c>
      <c r="C19" s="30">
        <f>SUM(entr_carn31195[Valor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5115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6336</v>
      </c>
      <c r="F35" s="24" t="s">
        <v>146</v>
      </c>
      <c r="G35" s="25" t="s">
        <v>6</v>
      </c>
      <c r="H35" s="8">
        <v>155</v>
      </c>
      <c r="I35" s="8" t="s">
        <v>42</v>
      </c>
      <c r="K35" s="101"/>
      <c r="L35" s="40"/>
      <c r="M35" s="16"/>
    </row>
    <row r="36" spans="2:18" ht="15.75" x14ac:dyDescent="0.25">
      <c r="E36" s="93">
        <v>6336</v>
      </c>
      <c r="F36" s="24" t="s">
        <v>146</v>
      </c>
      <c r="G36" s="25" t="s">
        <v>6</v>
      </c>
      <c r="H36" s="8">
        <v>155</v>
      </c>
      <c r="I36" s="8" t="s">
        <v>54</v>
      </c>
      <c r="K36" s="101"/>
      <c r="L36" s="40"/>
      <c r="M36" s="16"/>
    </row>
    <row r="37" spans="2:18" ht="15.75" x14ac:dyDescent="0.25">
      <c r="E37" s="93">
        <v>6336</v>
      </c>
      <c r="F37" s="24" t="s">
        <v>146</v>
      </c>
      <c r="G37" s="25" t="s">
        <v>6</v>
      </c>
      <c r="H37" s="8">
        <v>155</v>
      </c>
      <c r="I37" s="8" t="s">
        <v>45</v>
      </c>
      <c r="K37" s="101"/>
      <c r="L37" s="40"/>
      <c r="M37" s="16"/>
    </row>
    <row r="38" spans="2:18" ht="15.75" x14ac:dyDescent="0.25">
      <c r="E38" s="93">
        <v>6336</v>
      </c>
      <c r="F38" s="24" t="s">
        <v>146</v>
      </c>
      <c r="G38" s="25" t="s">
        <v>6</v>
      </c>
      <c r="H38" s="8">
        <v>155</v>
      </c>
      <c r="I38" s="8" t="s">
        <v>80</v>
      </c>
      <c r="K38" s="101"/>
      <c r="L38" s="40"/>
      <c r="M38" s="16"/>
    </row>
    <row r="39" spans="2:18" ht="15.75" x14ac:dyDescent="0.25">
      <c r="E39" s="93">
        <v>6336</v>
      </c>
      <c r="F39" s="38" t="s">
        <v>146</v>
      </c>
      <c r="G39" s="25" t="s">
        <v>6</v>
      </c>
      <c r="H39" s="8">
        <v>155</v>
      </c>
      <c r="I39" s="8" t="s">
        <v>81</v>
      </c>
      <c r="K39" s="101"/>
      <c r="L39" s="40"/>
      <c r="M39" s="16"/>
    </row>
    <row r="40" spans="2:18" ht="15.75" x14ac:dyDescent="0.25">
      <c r="E40" s="95">
        <v>6336</v>
      </c>
      <c r="F40" s="35" t="s">
        <v>146</v>
      </c>
      <c r="G40" s="36" t="s">
        <v>6</v>
      </c>
      <c r="H40" s="17">
        <v>155</v>
      </c>
      <c r="I40" s="8" t="s">
        <v>59</v>
      </c>
      <c r="K40" s="102"/>
      <c r="L40" s="41"/>
      <c r="M40" s="39"/>
      <c r="Q40" s="1" t="s">
        <v>36</v>
      </c>
      <c r="R40" s="1">
        <f>SUM(R6:R21)</f>
        <v>6</v>
      </c>
    </row>
    <row r="41" spans="2:18" ht="15.75" x14ac:dyDescent="0.25">
      <c r="E41" s="96">
        <v>9308</v>
      </c>
      <c r="F41" s="38" t="s">
        <v>147</v>
      </c>
      <c r="G41" s="25" t="s">
        <v>10</v>
      </c>
      <c r="H41" s="8">
        <v>166.66</v>
      </c>
      <c r="I41" s="8" t="s">
        <v>54</v>
      </c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4"/>
  <sheetViews>
    <sheetView showGridLines="0" topLeftCell="A22" zoomScale="80" zoomScaleNormal="80" workbookViewId="0">
      <selection activeCell="E35" sqref="E35:I44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'01'!B1+1</f>
        <v>45567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2150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2085</v>
      </c>
      <c r="D6" s="2"/>
      <c r="E6" s="93">
        <v>9860</v>
      </c>
      <c r="F6" s="24" t="s">
        <v>150</v>
      </c>
      <c r="G6" s="43" t="s">
        <v>10</v>
      </c>
      <c r="H6" s="8">
        <v>800</v>
      </c>
      <c r="I6" s="8">
        <v>125</v>
      </c>
      <c r="J6" s="2"/>
      <c r="K6" s="24"/>
      <c r="L6" s="9"/>
      <c r="M6" s="16"/>
      <c r="R6" s="1">
        <f>IF(vend2[[#This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>
        <v>9861</v>
      </c>
      <c r="F7" s="24" t="s">
        <v>151</v>
      </c>
      <c r="G7" s="43" t="s">
        <v>8</v>
      </c>
      <c r="H7" s="8">
        <v>900</v>
      </c>
      <c r="I7" s="8">
        <v>900</v>
      </c>
      <c r="J7" s="2"/>
      <c r="K7" s="24"/>
      <c r="L7" s="9"/>
      <c r="M7" s="16"/>
      <c r="R7" s="1">
        <f>IF(vend2[[#This Row],[Nº Venda]]&gt;1,1,0)</f>
        <v>1</v>
      </c>
    </row>
    <row r="8" spans="2:18" ht="15.75" x14ac:dyDescent="0.25">
      <c r="B8" s="27" t="s">
        <v>21</v>
      </c>
      <c r="C8" s="28">
        <f>SUM(C6:C7)</f>
        <v>2085</v>
      </c>
      <c r="D8" s="2"/>
      <c r="E8" s="93">
        <v>9862</v>
      </c>
      <c r="F8" s="24" t="s">
        <v>162</v>
      </c>
      <c r="G8" s="25" t="s">
        <v>8</v>
      </c>
      <c r="H8" s="8">
        <v>450</v>
      </c>
      <c r="I8" s="8">
        <v>450</v>
      </c>
      <c r="J8" s="2"/>
      <c r="K8" s="24"/>
      <c r="L8" s="9"/>
      <c r="M8" s="16"/>
      <c r="R8" s="1">
        <f>IF(vend2[[#This Row],[Nº Venda]]&gt;1,1,0)</f>
        <v>1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IF(vend2[[#This Row],[Nº Venda]]&gt;1,1,0)</f>
        <v>0</v>
      </c>
    </row>
    <row r="10" spans="2:18" ht="15.75" x14ac:dyDescent="0.25">
      <c r="B10" s="106" t="s">
        <v>5</v>
      </c>
      <c r="C10" s="106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IF(vend2[[#This Row],[Nº Venda]]&gt;1,1,0)</f>
        <v>0</v>
      </c>
    </row>
    <row r="11" spans="2:18" ht="15.75" x14ac:dyDescent="0.25">
      <c r="B11" s="29" t="s">
        <v>6</v>
      </c>
      <c r="C11" s="75">
        <f>(SUMIF($G$2:$G$31,B11,$I$2:$I$31))+(SUMIF($G$35:$G$44,B11,$H$35:$H$44))</f>
        <v>100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29" t="s">
        <v>7</v>
      </c>
      <c r="C12" s="75">
        <f>(SUMIF($G$2:$G$31,B12,$I$2:$I$31))+(SUMIF($G$35:$G$44,B12,$H$35:$H$44))</f>
        <v>403.2</v>
      </c>
      <c r="D12" s="2"/>
      <c r="E12" s="93"/>
      <c r="F12" s="24"/>
      <c r="G12" s="25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29" t="s">
        <v>8</v>
      </c>
      <c r="C13" s="75">
        <f>(SUMIF($G$2:$G$31,B13,$I$2:$I$31))+(SUMIF($G$35:$G$44,B13,$H$35:$H$44))</f>
        <v>1350</v>
      </c>
      <c r="D13" s="2"/>
      <c r="E13" s="94"/>
      <c r="F13" s="56"/>
      <c r="G13" s="85"/>
      <c r="H13" s="67"/>
      <c r="I13" s="67"/>
      <c r="J13" s="2"/>
      <c r="K13" s="108" t="s">
        <v>22</v>
      </c>
      <c r="L13" s="109"/>
      <c r="M13" s="110"/>
      <c r="R13" s="1">
        <f>IF(vend2[[#This Row],[Nº Venda]]&gt;1,1,0)</f>
        <v>0</v>
      </c>
    </row>
    <row r="14" spans="2:18" ht="15.75" x14ac:dyDescent="0.25">
      <c r="B14" s="29" t="s">
        <v>9</v>
      </c>
      <c r="C14" s="75">
        <f>(SUMIF($G$2:$G$31,B14,$I$2:$I$31))+(SUMIF($G$35:$G$44,B14,$H$35:$H$44))</f>
        <v>0</v>
      </c>
      <c r="D14" s="2"/>
      <c r="E14" s="94"/>
      <c r="F14" s="56"/>
      <c r="G14" s="85"/>
      <c r="H14" s="67"/>
      <c r="I14" s="67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29" t="s">
        <v>10</v>
      </c>
      <c r="C15" s="75">
        <f>(SUMIF($G$2:$G$31,B15,$I$2:$I$31))+(SUMIF($G$35:$G$44,B15,$H$35:$H$44))</f>
        <v>1312.8400000000001</v>
      </c>
      <c r="D15" s="2"/>
      <c r="E15" s="93"/>
      <c r="F15" s="24"/>
      <c r="G15" s="25"/>
      <c r="H15" s="8"/>
      <c r="I15" s="8"/>
      <c r="J15" s="2"/>
      <c r="K15" s="101">
        <v>9813</v>
      </c>
      <c r="L15" s="9" t="s">
        <v>130</v>
      </c>
      <c r="M15" s="16" t="s">
        <v>142</v>
      </c>
      <c r="R15" s="1">
        <f>IF(vend2[[#This Row],[Nº Venda]]&gt;1,1,0)</f>
        <v>0</v>
      </c>
    </row>
    <row r="16" spans="2:18" ht="15.75" x14ac:dyDescent="0.25">
      <c r="B16" s="27" t="s">
        <v>11</v>
      </c>
      <c r="C16" s="31">
        <f>SUM(C11:C15)</f>
        <v>3166.04</v>
      </c>
      <c r="D16" s="2"/>
      <c r="E16" s="93"/>
      <c r="F16" s="24"/>
      <c r="G16" s="25"/>
      <c r="H16" s="8"/>
      <c r="I16" s="8"/>
      <c r="J16" s="2"/>
      <c r="K16" s="101">
        <v>9808</v>
      </c>
      <c r="L16" s="9" t="s">
        <v>134</v>
      </c>
      <c r="M16" s="16" t="s">
        <v>142</v>
      </c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>
        <v>9817</v>
      </c>
      <c r="L17" s="9" t="s">
        <v>134</v>
      </c>
      <c r="M17" s="16" t="s">
        <v>142</v>
      </c>
      <c r="R17" s="1">
        <f>IF(vend2[[#This Row],[Nº Venda]]&gt;1,1,0)</f>
        <v>0</v>
      </c>
    </row>
    <row r="18" spans="2:18" ht="15.75" x14ac:dyDescent="0.25">
      <c r="B18" s="106" t="s">
        <v>12</v>
      </c>
      <c r="C18" s="106"/>
      <c r="D18" s="2"/>
      <c r="E18" s="93"/>
      <c r="F18" s="24"/>
      <c r="G18" s="25"/>
      <c r="H18" s="8"/>
      <c r="I18" s="8"/>
      <c r="J18" s="2"/>
      <c r="K18" s="101">
        <v>9734</v>
      </c>
      <c r="L18" s="9" t="s">
        <v>130</v>
      </c>
      <c r="M18" s="16" t="s">
        <v>142</v>
      </c>
      <c r="R18" s="1">
        <f>IF(vend2[[#This Row],[Nº Venda]]&gt;1,1,0)</f>
        <v>0</v>
      </c>
    </row>
    <row r="19" spans="2:18" ht="15.75" x14ac:dyDescent="0.25">
      <c r="B19" s="29">
        <f>COUNT(entr_carn2[OS])</f>
        <v>1</v>
      </c>
      <c r="C19" s="30">
        <f>SUM(entr_carn2[Valor Total])</f>
        <v>1080</v>
      </c>
      <c r="D19" s="2"/>
      <c r="E19" s="93"/>
      <c r="F19" s="24"/>
      <c r="G19" s="25"/>
      <c r="H19" s="8"/>
      <c r="I19" s="8"/>
      <c r="J19" s="2"/>
      <c r="K19" s="101">
        <v>9758</v>
      </c>
      <c r="L19" s="9" t="s">
        <v>130</v>
      </c>
      <c r="M19" s="16" t="s">
        <v>163</v>
      </c>
      <c r="R19" s="1">
        <f>IF(vend2[[#This Row],[Nº Venda]]&gt;1,1,0)</f>
        <v>0</v>
      </c>
    </row>
    <row r="20" spans="2:18" ht="15.75" x14ac:dyDescent="0.25">
      <c r="B20" s="27" t="s">
        <v>11</v>
      </c>
      <c r="C20" s="31">
        <f>SUM(C19:C19)</f>
        <v>1080</v>
      </c>
      <c r="D20" s="2"/>
      <c r="E20" s="93"/>
      <c r="F20" s="25"/>
      <c r="G20" s="25"/>
      <c r="H20" s="8"/>
      <c r="I20" s="8"/>
      <c r="J20" s="2"/>
      <c r="K20" s="101">
        <v>9757</v>
      </c>
      <c r="L20" s="9" t="s">
        <v>130</v>
      </c>
      <c r="M20" s="16" t="s">
        <v>163</v>
      </c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2150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9817</v>
      </c>
      <c r="F26" s="24" t="s">
        <v>152</v>
      </c>
      <c r="G26" s="25" t="s">
        <v>10</v>
      </c>
      <c r="H26" s="8"/>
      <c r="I26" s="8">
        <v>250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>
        <v>9757</v>
      </c>
      <c r="F27" s="24" t="s">
        <v>164</v>
      </c>
      <c r="G27" s="25" t="s">
        <v>10</v>
      </c>
      <c r="H27" s="8"/>
      <c r="I27" s="8">
        <v>200</v>
      </c>
      <c r="J27" s="2"/>
      <c r="K27" s="101"/>
      <c r="L27" s="9"/>
      <c r="M27" s="16"/>
    </row>
    <row r="28" spans="2:18" ht="15.75" x14ac:dyDescent="0.25">
      <c r="B28" s="2"/>
      <c r="C28" s="2"/>
      <c r="D28" s="2"/>
      <c r="E28" s="93">
        <v>9758</v>
      </c>
      <c r="F28" s="24" t="s">
        <v>164</v>
      </c>
      <c r="G28" s="25" t="s">
        <v>10</v>
      </c>
      <c r="H28" s="8"/>
      <c r="I28" s="8">
        <v>160</v>
      </c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21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  <c r="U34" s="1" t="s">
        <v>37</v>
      </c>
    </row>
    <row r="35" spans="2:21" ht="15.75" x14ac:dyDescent="0.25">
      <c r="E35" s="93">
        <v>9494</v>
      </c>
      <c r="F35" s="24" t="s">
        <v>153</v>
      </c>
      <c r="G35" s="25" t="s">
        <v>7</v>
      </c>
      <c r="H35" s="8">
        <v>150</v>
      </c>
      <c r="I35" s="8" t="s">
        <v>54</v>
      </c>
      <c r="K35" s="101">
        <v>9757</v>
      </c>
      <c r="L35" s="40">
        <v>6</v>
      </c>
      <c r="M35" s="16">
        <v>1080</v>
      </c>
    </row>
    <row r="36" spans="2:21" ht="15.75" x14ac:dyDescent="0.25">
      <c r="E36" s="93">
        <v>8104</v>
      </c>
      <c r="F36" s="24" t="s">
        <v>154</v>
      </c>
      <c r="G36" s="25" t="s">
        <v>10</v>
      </c>
      <c r="H36" s="8">
        <v>170</v>
      </c>
      <c r="I36" s="8" t="s">
        <v>41</v>
      </c>
      <c r="K36" s="101"/>
      <c r="L36" s="40"/>
      <c r="M36" s="16"/>
    </row>
    <row r="37" spans="2:21" ht="15.75" x14ac:dyDescent="0.25">
      <c r="E37" s="93">
        <v>8479</v>
      </c>
      <c r="F37" s="24" t="s">
        <v>155</v>
      </c>
      <c r="G37" s="25" t="s">
        <v>10</v>
      </c>
      <c r="H37" s="8">
        <v>145</v>
      </c>
      <c r="I37" s="8" t="s">
        <v>71</v>
      </c>
      <c r="K37" s="101"/>
      <c r="L37" s="40"/>
      <c r="M37" s="16"/>
    </row>
    <row r="38" spans="2:21" ht="15.75" x14ac:dyDescent="0.25">
      <c r="E38" s="93">
        <v>9305</v>
      </c>
      <c r="F38" s="24" t="s">
        <v>156</v>
      </c>
      <c r="G38" s="25" t="s">
        <v>7</v>
      </c>
      <c r="H38" s="8">
        <v>70</v>
      </c>
      <c r="I38" s="8" t="s">
        <v>80</v>
      </c>
      <c r="K38" s="101"/>
      <c r="L38" s="40"/>
      <c r="M38" s="16"/>
    </row>
    <row r="39" spans="2:21" ht="15.75" x14ac:dyDescent="0.25">
      <c r="E39" s="93">
        <v>9436</v>
      </c>
      <c r="F39" s="38" t="s">
        <v>157</v>
      </c>
      <c r="G39" s="25" t="s">
        <v>7</v>
      </c>
      <c r="H39" s="8">
        <v>124.87</v>
      </c>
      <c r="I39" s="8" t="s">
        <v>83</v>
      </c>
      <c r="K39" s="101"/>
      <c r="L39" s="40"/>
      <c r="M39" s="16"/>
    </row>
    <row r="40" spans="2:21" ht="15.75" x14ac:dyDescent="0.25">
      <c r="B40" s="1">
        <v>98</v>
      </c>
      <c r="E40" s="95">
        <v>9093</v>
      </c>
      <c r="F40" s="35" t="s">
        <v>158</v>
      </c>
      <c r="G40" s="36" t="s">
        <v>7</v>
      </c>
      <c r="H40" s="17">
        <v>58.33</v>
      </c>
      <c r="I40" s="8" t="s">
        <v>80</v>
      </c>
      <c r="K40" s="102"/>
      <c r="L40" s="41"/>
      <c r="M40" s="39"/>
      <c r="Q40" s="1" t="s">
        <v>36</v>
      </c>
      <c r="R40" s="1">
        <f>SUM(R6:R21)</f>
        <v>3</v>
      </c>
    </row>
    <row r="41" spans="2:21" ht="15.75" x14ac:dyDescent="0.25">
      <c r="E41" s="96">
        <v>9104</v>
      </c>
      <c r="F41" s="38" t="s">
        <v>159</v>
      </c>
      <c r="G41" s="25" t="s">
        <v>10</v>
      </c>
      <c r="H41" s="8">
        <v>57.14</v>
      </c>
      <c r="I41" s="8" t="s">
        <v>44</v>
      </c>
      <c r="K41" s="101"/>
      <c r="L41" s="40"/>
      <c r="M41" s="39"/>
    </row>
    <row r="42" spans="2:21" ht="15.75" x14ac:dyDescent="0.25">
      <c r="E42" s="103">
        <v>8847</v>
      </c>
      <c r="F42" s="87" t="s">
        <v>160</v>
      </c>
      <c r="G42" s="86" t="s">
        <v>10</v>
      </c>
      <c r="H42" s="88">
        <v>102.85</v>
      </c>
      <c r="I42" s="8" t="s">
        <v>60</v>
      </c>
    </row>
    <row r="43" spans="2:21" ht="15.75" x14ac:dyDescent="0.25">
      <c r="E43" s="103">
        <v>8847</v>
      </c>
      <c r="F43" s="87" t="s">
        <v>160</v>
      </c>
      <c r="G43" s="86" t="s">
        <v>10</v>
      </c>
      <c r="H43" s="88">
        <v>102.85</v>
      </c>
      <c r="I43" s="8" t="s">
        <v>61</v>
      </c>
    </row>
    <row r="44" spans="2:21" ht="15.75" x14ac:dyDescent="0.25">
      <c r="E44" s="103">
        <v>9289</v>
      </c>
      <c r="F44" s="87" t="s">
        <v>161</v>
      </c>
      <c r="G44" s="86" t="s">
        <v>6</v>
      </c>
      <c r="H44" s="88">
        <v>100</v>
      </c>
      <c r="I44" s="8" t="s">
        <v>45</v>
      </c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46" type="noConversion"/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G35:G44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I35:I44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E35:E44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22" zoomScale="80" zoomScaleNormal="80" workbookViewId="0">
      <selection activeCell="I35" sqref="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'02'!B1+1</f>
        <v>45568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2170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2470</v>
      </c>
      <c r="D6" s="2"/>
      <c r="E6" s="93">
        <v>9863</v>
      </c>
      <c r="F6" s="24" t="s">
        <v>165</v>
      </c>
      <c r="G6" s="43" t="s">
        <v>6</v>
      </c>
      <c r="H6" s="8">
        <v>1000</v>
      </c>
      <c r="I6" s="8">
        <v>200</v>
      </c>
      <c r="J6" s="2"/>
      <c r="K6" s="24"/>
      <c r="L6" s="9"/>
      <c r="M6" s="16"/>
      <c r="R6" s="1">
        <f>IF(vend3[[#This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>
        <v>9864</v>
      </c>
      <c r="F7" s="24" t="s">
        <v>166</v>
      </c>
      <c r="G7" s="25" t="s">
        <v>8</v>
      </c>
      <c r="H7" s="8">
        <v>700</v>
      </c>
      <c r="I7" s="8">
        <v>700</v>
      </c>
      <c r="J7" s="2"/>
      <c r="K7" s="24"/>
      <c r="L7" s="9"/>
      <c r="M7" s="16"/>
      <c r="R7" s="1">
        <f>IF(vend3[[#This Row],[Nº Venda]]&gt;1,1,0)</f>
        <v>1</v>
      </c>
    </row>
    <row r="8" spans="2:18" ht="15.75" x14ac:dyDescent="0.25">
      <c r="B8" s="27" t="s">
        <v>21</v>
      </c>
      <c r="C8" s="28">
        <f>SUM(C6:C7)</f>
        <v>2470</v>
      </c>
      <c r="D8" s="2"/>
      <c r="E8" s="93">
        <v>9865</v>
      </c>
      <c r="F8" s="24" t="s">
        <v>167</v>
      </c>
      <c r="G8" s="25" t="s">
        <v>8</v>
      </c>
      <c r="H8" s="8">
        <v>350</v>
      </c>
      <c r="I8" s="8">
        <v>350</v>
      </c>
      <c r="J8" s="2"/>
      <c r="K8" s="24"/>
      <c r="L8" s="9"/>
      <c r="M8" s="16"/>
      <c r="R8" s="1">
        <f>IF(vend3[[#This Row],[Nº Venda]]&gt;1,1,0)</f>
        <v>1</v>
      </c>
    </row>
    <row r="9" spans="2:18" ht="15.75" x14ac:dyDescent="0.25">
      <c r="B9" s="2"/>
      <c r="C9" s="2"/>
      <c r="D9" s="2"/>
      <c r="E9" s="93">
        <v>9866</v>
      </c>
      <c r="F9" s="24" t="s">
        <v>168</v>
      </c>
      <c r="G9" s="25" t="s">
        <v>8</v>
      </c>
      <c r="H9" s="8">
        <v>120</v>
      </c>
      <c r="I9" s="8">
        <v>120</v>
      </c>
      <c r="J9" s="2"/>
      <c r="K9" s="24"/>
      <c r="L9" s="9"/>
      <c r="M9" s="16"/>
      <c r="R9" s="1">
        <f>IF(vend3[[#This Row],[Nº Venda]]&gt;1,1,0)</f>
        <v>1</v>
      </c>
    </row>
    <row r="10" spans="2:18" ht="15.75" x14ac:dyDescent="0.25">
      <c r="B10" s="106" t="s">
        <v>5</v>
      </c>
      <c r="C10" s="106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1098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29" t="s">
        <v>8</v>
      </c>
      <c r="C13" s="30">
        <f t="shared" si="0"/>
        <v>1270</v>
      </c>
      <c r="D13" s="2"/>
      <c r="E13" s="94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29" t="s">
        <v>10</v>
      </c>
      <c r="C15" s="30">
        <f t="shared" si="0"/>
        <v>212.12</v>
      </c>
      <c r="D15" s="2"/>
      <c r="E15" s="93"/>
      <c r="F15" s="24"/>
      <c r="G15" s="25"/>
      <c r="H15" s="8"/>
      <c r="I15" s="8"/>
      <c r="J15" s="2"/>
      <c r="K15" s="101">
        <v>9742</v>
      </c>
      <c r="L15" s="9" t="s">
        <v>130</v>
      </c>
      <c r="M15" s="16" t="s">
        <v>142</v>
      </c>
      <c r="R15" s="1">
        <f>IF(vend3[[#This Row],[Nº Venda]]&gt;1,1,0)</f>
        <v>0</v>
      </c>
    </row>
    <row r="16" spans="2:18" ht="15.75" x14ac:dyDescent="0.25">
      <c r="B16" s="27" t="s">
        <v>11</v>
      </c>
      <c r="C16" s="31">
        <f>SUM(C11:C15)</f>
        <v>2580.12</v>
      </c>
      <c r="D16" s="2"/>
      <c r="E16" s="93"/>
      <c r="F16" s="24"/>
      <c r="G16" s="25"/>
      <c r="H16" s="8"/>
      <c r="I16" s="8"/>
      <c r="J16" s="2"/>
      <c r="K16" s="101">
        <v>9838</v>
      </c>
      <c r="L16" s="9" t="s">
        <v>136</v>
      </c>
      <c r="M16" s="16" t="s">
        <v>142</v>
      </c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>
        <v>9824</v>
      </c>
      <c r="L17" s="9" t="s">
        <v>134</v>
      </c>
      <c r="M17" s="16" t="s">
        <v>142</v>
      </c>
      <c r="R17" s="1">
        <f>IF(vend3[[#This Row],[Nº Venda]]&gt;1,1,0)</f>
        <v>0</v>
      </c>
    </row>
    <row r="18" spans="2:18" ht="15.75" x14ac:dyDescent="0.25">
      <c r="B18" s="106" t="s">
        <v>12</v>
      </c>
      <c r="C18" s="106"/>
      <c r="D18" s="2"/>
      <c r="E18" s="93"/>
      <c r="F18" s="24"/>
      <c r="G18" s="25"/>
      <c r="H18" s="8"/>
      <c r="I18" s="8"/>
      <c r="J18" s="2"/>
      <c r="K18" s="101">
        <v>9840</v>
      </c>
      <c r="L18" s="9" t="s">
        <v>136</v>
      </c>
      <c r="M18" s="16" t="s">
        <v>142</v>
      </c>
      <c r="R18" s="1">
        <f>IF(vend3[[#This Row],[Nº Venda]]&gt;1,1,0)</f>
        <v>0</v>
      </c>
    </row>
    <row r="19" spans="2:18" ht="15.75" x14ac:dyDescent="0.25">
      <c r="B19" s="29">
        <f>COUNT(entr_carn3[OS])</f>
        <v>0</v>
      </c>
      <c r="C19" s="30">
        <f>SUM(entr_carn3[Valor Total])</f>
        <v>0</v>
      </c>
      <c r="D19" s="2"/>
      <c r="E19" s="93"/>
      <c r="F19" s="24"/>
      <c r="G19" s="25"/>
      <c r="H19" s="8"/>
      <c r="I19" s="8"/>
      <c r="J19" s="2"/>
      <c r="K19" s="101">
        <v>9794</v>
      </c>
      <c r="L19" s="9" t="s">
        <v>134</v>
      </c>
      <c r="M19" s="16" t="s">
        <v>142</v>
      </c>
      <c r="R19" s="1">
        <f>IF(vend3[[#This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2170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9840</v>
      </c>
      <c r="F26" s="24" t="s">
        <v>169</v>
      </c>
      <c r="G26" s="43" t="s">
        <v>6</v>
      </c>
      <c r="H26" s="8"/>
      <c r="I26" s="8">
        <v>298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>
        <v>9840</v>
      </c>
      <c r="F27" s="24" t="s">
        <v>169</v>
      </c>
      <c r="G27" s="25" t="s">
        <v>10</v>
      </c>
      <c r="H27" s="8"/>
      <c r="I27" s="8">
        <v>102</v>
      </c>
      <c r="J27" s="2"/>
      <c r="K27" s="101"/>
      <c r="L27" s="9"/>
      <c r="M27" s="16"/>
    </row>
    <row r="28" spans="2:18" ht="15.75" x14ac:dyDescent="0.25">
      <c r="B28" s="2"/>
      <c r="C28" s="2"/>
      <c r="D28" s="2"/>
      <c r="E28" s="93">
        <v>9838</v>
      </c>
      <c r="F28" s="24" t="s">
        <v>170</v>
      </c>
      <c r="G28" s="25" t="s">
        <v>6</v>
      </c>
      <c r="H28" s="8"/>
      <c r="I28" s="8">
        <v>150</v>
      </c>
      <c r="J28" s="2"/>
      <c r="K28" s="101"/>
      <c r="L28" s="9"/>
      <c r="M28" s="16"/>
    </row>
    <row r="29" spans="2:18" ht="15.75" x14ac:dyDescent="0.25">
      <c r="B29" s="2"/>
      <c r="C29" s="2"/>
      <c r="D29" s="2"/>
      <c r="E29" s="93">
        <v>9838</v>
      </c>
      <c r="F29" s="24" t="s">
        <v>170</v>
      </c>
      <c r="G29" s="25" t="s">
        <v>8</v>
      </c>
      <c r="H29" s="8"/>
      <c r="I29" s="8">
        <v>100</v>
      </c>
      <c r="J29" s="2"/>
      <c r="K29" s="101"/>
      <c r="L29" s="9"/>
      <c r="M29" s="16"/>
    </row>
    <row r="30" spans="2:18" ht="15.75" x14ac:dyDescent="0.25">
      <c r="B30" s="2"/>
      <c r="C30" s="2"/>
      <c r="D30" s="2"/>
      <c r="E30" s="93">
        <v>9742</v>
      </c>
      <c r="F30" s="38" t="s">
        <v>171</v>
      </c>
      <c r="G30" s="25" t="s">
        <v>6</v>
      </c>
      <c r="H30" s="8"/>
      <c r="I30" s="8">
        <v>450</v>
      </c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9375</v>
      </c>
      <c r="F35" s="24" t="s">
        <v>172</v>
      </c>
      <c r="G35" s="25" t="s">
        <v>10</v>
      </c>
      <c r="H35" s="8">
        <v>110.12</v>
      </c>
      <c r="I35" s="8" t="s">
        <v>83</v>
      </c>
      <c r="K35" s="101"/>
      <c r="L35" s="40"/>
      <c r="M35" s="16"/>
    </row>
    <row r="36" spans="2:18" ht="15.75" x14ac:dyDescent="0.25">
      <c r="E36" s="93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4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A19" zoomScale="80" zoomScaleNormal="80" workbookViewId="0">
      <selection activeCell="F15" sqref="F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5.855468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'03'!B1+1</f>
        <v>45569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5277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4478</v>
      </c>
      <c r="D6" s="2"/>
      <c r="E6" s="93">
        <v>9867</v>
      </c>
      <c r="F6" s="24" t="s">
        <v>173</v>
      </c>
      <c r="G6" s="43" t="s">
        <v>50</v>
      </c>
      <c r="H6" s="8">
        <v>699</v>
      </c>
      <c r="I6" s="8"/>
      <c r="J6" s="2"/>
      <c r="K6" s="24" t="s">
        <v>187</v>
      </c>
      <c r="L6" s="9" t="s">
        <v>188</v>
      </c>
      <c r="M6" s="16">
        <v>11</v>
      </c>
      <c r="R6" s="1">
        <f>IF(vend4[[#This Row],[Nº Venda]]&gt;1,1,0)</f>
        <v>1</v>
      </c>
    </row>
    <row r="7" spans="2:18" ht="15.75" x14ac:dyDescent="0.25">
      <c r="B7" s="22" t="s">
        <v>3</v>
      </c>
      <c r="C7" s="23">
        <f>SUM(M6:M11)</f>
        <v>11</v>
      </c>
      <c r="D7" s="2"/>
      <c r="E7" s="93">
        <v>9868</v>
      </c>
      <c r="F7" s="24" t="s">
        <v>174</v>
      </c>
      <c r="G7" s="43" t="s">
        <v>7</v>
      </c>
      <c r="H7" s="8">
        <v>489</v>
      </c>
      <c r="I7" s="8">
        <v>489</v>
      </c>
      <c r="J7" s="2"/>
      <c r="K7" s="24"/>
      <c r="L7" s="9"/>
      <c r="M7" s="16"/>
      <c r="R7" s="1">
        <f>IF(vend4[[#This Row],[Nº Venda]]&gt;1,1,0)</f>
        <v>1</v>
      </c>
    </row>
    <row r="8" spans="2:18" ht="15.75" x14ac:dyDescent="0.25">
      <c r="B8" s="27" t="s">
        <v>21</v>
      </c>
      <c r="C8" s="28">
        <f>SUM(C6:C7)</f>
        <v>4489</v>
      </c>
      <c r="D8" s="2"/>
      <c r="E8" s="93">
        <v>9869</v>
      </c>
      <c r="F8" s="24" t="s">
        <v>175</v>
      </c>
      <c r="G8" s="43" t="s">
        <v>8</v>
      </c>
      <c r="H8" s="8">
        <v>450</v>
      </c>
      <c r="I8" s="8">
        <v>450</v>
      </c>
      <c r="J8" s="2"/>
      <c r="K8" s="24"/>
      <c r="L8" s="9"/>
      <c r="M8" s="16"/>
      <c r="R8" s="1">
        <f>IF(vend4[[#This Row],[Nº Venda]]&gt;1,1,0)</f>
        <v>1</v>
      </c>
    </row>
    <row r="9" spans="2:18" ht="15.75" x14ac:dyDescent="0.25">
      <c r="B9" s="2"/>
      <c r="C9" s="2"/>
      <c r="D9" s="2"/>
      <c r="E9" s="93">
        <v>9870</v>
      </c>
      <c r="F9" s="24" t="s">
        <v>178</v>
      </c>
      <c r="G9" s="43" t="s">
        <v>8</v>
      </c>
      <c r="H9" s="8">
        <v>189</v>
      </c>
      <c r="I9" s="8">
        <v>189</v>
      </c>
      <c r="J9" s="2"/>
      <c r="K9" s="24"/>
      <c r="L9" s="9"/>
      <c r="M9" s="16"/>
      <c r="R9" s="1">
        <f>IF(vend4[[#This Row],[Nº Venda]]&gt;1,1,0)</f>
        <v>1</v>
      </c>
    </row>
    <row r="10" spans="2:18" ht="15.75" x14ac:dyDescent="0.25">
      <c r="B10" s="106" t="s">
        <v>5</v>
      </c>
      <c r="C10" s="106"/>
      <c r="D10" s="2"/>
      <c r="E10" s="93">
        <v>9871</v>
      </c>
      <c r="F10" s="24" t="s">
        <v>176</v>
      </c>
      <c r="G10" s="25" t="s">
        <v>50</v>
      </c>
      <c r="H10" s="8">
        <v>1400</v>
      </c>
      <c r="I10" s="8"/>
      <c r="J10" s="2"/>
      <c r="K10" s="24"/>
      <c r="L10" s="9"/>
      <c r="M10" s="16"/>
      <c r="R10" s="1">
        <f>IF(vend4[[#This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148.32999999999998</v>
      </c>
      <c r="D11" s="2"/>
      <c r="E11" s="93">
        <v>9872</v>
      </c>
      <c r="F11" s="24" t="s">
        <v>177</v>
      </c>
      <c r="G11" s="25" t="s">
        <v>8</v>
      </c>
      <c r="H11" s="8">
        <v>500</v>
      </c>
      <c r="I11" s="8">
        <v>500</v>
      </c>
      <c r="J11" s="2"/>
      <c r="K11" s="26"/>
      <c r="L11" s="9"/>
      <c r="M11" s="16"/>
      <c r="O11" s="1">
        <f>IF(C16=0,0,1)</f>
        <v>1</v>
      </c>
      <c r="R11" s="1">
        <f>IF(vend4[[#This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489</v>
      </c>
      <c r="D12" s="2"/>
      <c r="E12" s="93">
        <v>9873</v>
      </c>
      <c r="F12" s="24" t="s">
        <v>177</v>
      </c>
      <c r="G12" s="25" t="s">
        <v>8</v>
      </c>
      <c r="H12" s="8">
        <v>500</v>
      </c>
      <c r="I12" s="8">
        <v>500</v>
      </c>
      <c r="J12" s="2"/>
      <c r="R12" s="1">
        <f>IF(vend4[[#This Row],[Nº Venda]]&gt;1,1,0)</f>
        <v>1</v>
      </c>
    </row>
    <row r="13" spans="2:18" ht="15.75" x14ac:dyDescent="0.25">
      <c r="B13" s="29" t="s">
        <v>8</v>
      </c>
      <c r="C13" s="30">
        <f t="shared" si="0"/>
        <v>3989</v>
      </c>
      <c r="D13" s="2"/>
      <c r="E13" s="94">
        <v>9874</v>
      </c>
      <c r="F13" s="24" t="s">
        <v>184</v>
      </c>
      <c r="G13" s="25" t="s">
        <v>8</v>
      </c>
      <c r="H13" s="8">
        <v>899</v>
      </c>
      <c r="I13" s="8">
        <v>100</v>
      </c>
      <c r="J13" s="2"/>
      <c r="K13" s="108" t="s">
        <v>22</v>
      </c>
      <c r="L13" s="109"/>
      <c r="M13" s="110"/>
      <c r="R13" s="1">
        <f>IF(vend4[[#This Row],[Nº Venda]]&gt;1,1,0)</f>
        <v>1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>
        <v>9875</v>
      </c>
      <c r="F14" s="24" t="s">
        <v>185</v>
      </c>
      <c r="G14" s="25" t="s">
        <v>8</v>
      </c>
      <c r="H14" s="8">
        <v>1900</v>
      </c>
      <c r="I14" s="8">
        <v>1900</v>
      </c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1</v>
      </c>
    </row>
    <row r="15" spans="2:18" ht="18.75" x14ac:dyDescent="0.4">
      <c r="B15" s="29" t="s">
        <v>10</v>
      </c>
      <c r="C15" s="30">
        <f t="shared" si="0"/>
        <v>649.81999999999994</v>
      </c>
      <c r="D15" s="2"/>
      <c r="E15" s="93">
        <v>9876</v>
      </c>
      <c r="F15" s="24" t="s">
        <v>185</v>
      </c>
      <c r="G15" s="25" t="s">
        <v>50</v>
      </c>
      <c r="H15" s="8">
        <v>0</v>
      </c>
      <c r="I15" s="8">
        <v>0</v>
      </c>
      <c r="J15" s="2"/>
      <c r="K15" s="101">
        <v>9741</v>
      </c>
      <c r="L15" s="9" t="s">
        <v>130</v>
      </c>
      <c r="M15" s="54" t="s">
        <v>142</v>
      </c>
      <c r="R15" s="1">
        <f>IF(vend4[[#This Row],[Nº Venda]]&gt;1,1,0)</f>
        <v>1</v>
      </c>
    </row>
    <row r="16" spans="2:18" ht="18.75" x14ac:dyDescent="0.4">
      <c r="B16" s="27" t="s">
        <v>11</v>
      </c>
      <c r="C16" s="31">
        <f>SUM(C11:C15)</f>
        <v>5276.15</v>
      </c>
      <c r="D16" s="2"/>
      <c r="E16" s="93">
        <v>9877</v>
      </c>
      <c r="F16" s="24" t="s">
        <v>186</v>
      </c>
      <c r="G16" s="25" t="s">
        <v>8</v>
      </c>
      <c r="H16" s="8">
        <v>350</v>
      </c>
      <c r="I16" s="8">
        <v>350</v>
      </c>
      <c r="J16" s="2"/>
      <c r="K16" s="101">
        <v>9829</v>
      </c>
      <c r="L16" s="9" t="s">
        <v>136</v>
      </c>
      <c r="M16" s="54" t="s">
        <v>142</v>
      </c>
      <c r="R16" s="1">
        <f>IF(vend4[[#This Row],[Nº Venda]]&gt;1,1,0)</f>
        <v>1</v>
      </c>
    </row>
    <row r="17" spans="2:18" ht="18.75" x14ac:dyDescent="0.4">
      <c r="B17" s="2"/>
      <c r="C17" s="2"/>
      <c r="D17" s="2"/>
      <c r="E17" s="93"/>
      <c r="F17" s="24"/>
      <c r="G17" s="25"/>
      <c r="H17" s="8"/>
      <c r="I17" s="8"/>
      <c r="J17" s="2"/>
      <c r="K17" s="101">
        <v>9853</v>
      </c>
      <c r="L17" s="9" t="s">
        <v>134</v>
      </c>
      <c r="M17" s="54" t="s">
        <v>142</v>
      </c>
      <c r="R17" s="1">
        <f>IF(vend4[[#This Row],[Nº Venda]]&gt;1,1,0)</f>
        <v>0</v>
      </c>
    </row>
    <row r="18" spans="2:18" ht="15.75" x14ac:dyDescent="0.25">
      <c r="B18" s="106" t="s">
        <v>12</v>
      </c>
      <c r="C18" s="106"/>
      <c r="D18" s="2"/>
      <c r="E18" s="93"/>
      <c r="F18" s="24"/>
      <c r="G18" s="25"/>
      <c r="H18" s="8"/>
      <c r="I18" s="8"/>
      <c r="J18" s="2"/>
      <c r="K18" s="101">
        <v>9851</v>
      </c>
      <c r="L18" s="9" t="s">
        <v>134</v>
      </c>
      <c r="M18" s="16" t="s">
        <v>142</v>
      </c>
      <c r="R18" s="1">
        <f>IF(vend4[[#This Row],[Nº Venda]]&gt;1,1,0)</f>
        <v>0</v>
      </c>
    </row>
    <row r="19" spans="2:18" ht="15.75" x14ac:dyDescent="0.25">
      <c r="B19" s="29">
        <f>COUNT(entr_carn4[OS])</f>
        <v>0</v>
      </c>
      <c r="C19" s="30">
        <f>SUM(entr_carn4[Valor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5277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43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43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43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9645</v>
      </c>
      <c r="F35" s="24" t="s">
        <v>179</v>
      </c>
      <c r="G35" s="25" t="s">
        <v>10</v>
      </c>
      <c r="H35" s="8">
        <v>166.66</v>
      </c>
      <c r="I35" s="8" t="s">
        <v>54</v>
      </c>
      <c r="K35" s="101"/>
      <c r="L35" s="40"/>
      <c r="M35" s="16"/>
    </row>
    <row r="36" spans="2:18" ht="15.75" x14ac:dyDescent="0.25">
      <c r="E36" s="93">
        <v>9725</v>
      </c>
      <c r="F36" s="24" t="s">
        <v>189</v>
      </c>
      <c r="G36" s="25" t="s">
        <v>10</v>
      </c>
      <c r="H36" s="8">
        <v>166.5</v>
      </c>
      <c r="I36" s="8" t="s">
        <v>42</v>
      </c>
      <c r="K36" s="101"/>
      <c r="L36" s="40"/>
      <c r="M36" s="16"/>
    </row>
    <row r="37" spans="2:18" ht="15.75" x14ac:dyDescent="0.25">
      <c r="E37" s="93">
        <v>9018</v>
      </c>
      <c r="F37" s="24" t="s">
        <v>180</v>
      </c>
      <c r="G37" s="25" t="s">
        <v>6</v>
      </c>
      <c r="H37" s="8">
        <v>100</v>
      </c>
      <c r="I37" s="8" t="s">
        <v>53</v>
      </c>
      <c r="K37" s="101"/>
      <c r="L37" s="40"/>
      <c r="M37" s="16"/>
    </row>
    <row r="38" spans="2:18" ht="15.75" x14ac:dyDescent="0.25">
      <c r="E38" s="93">
        <v>9374</v>
      </c>
      <c r="F38" s="24" t="s">
        <v>181</v>
      </c>
      <c r="G38" s="25" t="s">
        <v>6</v>
      </c>
      <c r="H38" s="8">
        <v>48.33</v>
      </c>
      <c r="I38" s="8" t="s">
        <v>42</v>
      </c>
      <c r="K38" s="101"/>
      <c r="L38" s="40"/>
      <c r="M38" s="16"/>
    </row>
    <row r="39" spans="2:18" ht="15.75" x14ac:dyDescent="0.25">
      <c r="E39" s="93">
        <v>9723</v>
      </c>
      <c r="F39" s="38" t="s">
        <v>182</v>
      </c>
      <c r="G39" s="25" t="s">
        <v>10</v>
      </c>
      <c r="H39" s="8">
        <v>91.66</v>
      </c>
      <c r="I39" s="8" t="s">
        <v>42</v>
      </c>
      <c r="K39" s="101"/>
      <c r="L39" s="40"/>
      <c r="M39" s="16"/>
    </row>
    <row r="40" spans="2:18" ht="15.75" x14ac:dyDescent="0.25">
      <c r="E40" s="95">
        <v>9012</v>
      </c>
      <c r="F40" s="35" t="s">
        <v>183</v>
      </c>
      <c r="G40" s="36" t="s">
        <v>10</v>
      </c>
      <c r="H40" s="17">
        <v>225</v>
      </c>
      <c r="I40" s="8" t="s">
        <v>81</v>
      </c>
      <c r="K40" s="102"/>
      <c r="L40" s="41"/>
      <c r="M40" s="39"/>
      <c r="Q40" s="1" t="s">
        <v>36</v>
      </c>
      <c r="R40" s="1">
        <f>SUM(R6:R21)</f>
        <v>11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topLeftCell="A14" zoomScale="80" zoomScaleNormal="80" workbookViewId="0">
      <selection activeCell="V30" sqref="V30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18.5703125" style="3" customWidth="1"/>
    <col min="13" max="13" width="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'04'!B1+1</f>
        <v>45570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6044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6044</v>
      </c>
      <c r="D6" s="2"/>
      <c r="E6" s="93">
        <v>9878</v>
      </c>
      <c r="F6" s="24" t="s">
        <v>190</v>
      </c>
      <c r="G6" s="43" t="s">
        <v>8</v>
      </c>
      <c r="H6" s="8">
        <v>2000</v>
      </c>
      <c r="I6" s="8">
        <v>1350</v>
      </c>
      <c r="J6" s="2"/>
      <c r="K6" s="24"/>
      <c r="L6" s="9"/>
      <c r="M6" s="16"/>
      <c r="R6" s="1">
        <f>IF(vend5[[#This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>
        <v>9878</v>
      </c>
      <c r="F7" s="24" t="s">
        <v>190</v>
      </c>
      <c r="G7" s="43" t="s">
        <v>7</v>
      </c>
      <c r="H7" s="8"/>
      <c r="I7" s="8">
        <v>650</v>
      </c>
      <c r="J7" s="2"/>
      <c r="K7" s="24"/>
      <c r="L7" s="9"/>
      <c r="M7" s="16"/>
      <c r="R7" s="1">
        <f>IF(vend5[[#This Row],[Nº Venda]]&gt;1,1,0)</f>
        <v>1</v>
      </c>
    </row>
    <row r="8" spans="2:18" ht="15.75" x14ac:dyDescent="0.25">
      <c r="B8" s="27" t="s">
        <v>21</v>
      </c>
      <c r="C8" s="28">
        <f>SUM(C6:C7)</f>
        <v>6044</v>
      </c>
      <c r="D8" s="2"/>
      <c r="E8" s="93">
        <v>9879</v>
      </c>
      <c r="F8" s="24" t="s">
        <v>190</v>
      </c>
      <c r="G8" s="43" t="s">
        <v>7</v>
      </c>
      <c r="H8" s="8">
        <v>150</v>
      </c>
      <c r="I8" s="8">
        <v>150</v>
      </c>
      <c r="J8" s="2"/>
      <c r="K8" s="24"/>
      <c r="L8" s="9"/>
      <c r="M8" s="16"/>
      <c r="R8" s="1">
        <f>IF(vend5[[#This Row],[Nº Venda]]&gt;1,1,0)</f>
        <v>1</v>
      </c>
    </row>
    <row r="9" spans="2:18" ht="15.75" x14ac:dyDescent="0.25">
      <c r="B9" s="2"/>
      <c r="C9" s="2"/>
      <c r="D9" s="2"/>
      <c r="E9" s="93">
        <v>9880</v>
      </c>
      <c r="F9" s="24" t="s">
        <v>190</v>
      </c>
      <c r="G9" s="43" t="s">
        <v>8</v>
      </c>
      <c r="H9" s="8">
        <v>500</v>
      </c>
      <c r="I9" s="8">
        <v>500</v>
      </c>
      <c r="J9" s="2"/>
      <c r="K9" s="24"/>
      <c r="L9" s="9"/>
      <c r="M9" s="16"/>
      <c r="R9" s="1">
        <f>IF(vend5[[#This Row],[Nº Venda]]&gt;1,1,0)</f>
        <v>1</v>
      </c>
    </row>
    <row r="10" spans="2:18" ht="15.75" x14ac:dyDescent="0.25">
      <c r="B10" s="106" t="s">
        <v>5</v>
      </c>
      <c r="C10" s="106"/>
      <c r="D10" s="2"/>
      <c r="E10" s="93">
        <v>9881</v>
      </c>
      <c r="F10" s="24" t="s">
        <v>191</v>
      </c>
      <c r="G10" s="43" t="s">
        <v>7</v>
      </c>
      <c r="H10" s="8">
        <v>509</v>
      </c>
      <c r="I10" s="8">
        <v>509</v>
      </c>
      <c r="J10" s="2"/>
      <c r="K10" s="24"/>
      <c r="L10" s="9"/>
      <c r="M10" s="16"/>
      <c r="R10" s="1">
        <f>IF(vend5[[#This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83</v>
      </c>
      <c r="D11" s="2"/>
      <c r="E11" s="93">
        <v>9882</v>
      </c>
      <c r="F11" s="24" t="s">
        <v>191</v>
      </c>
      <c r="G11" s="43" t="s">
        <v>7</v>
      </c>
      <c r="H11" s="8">
        <v>400</v>
      </c>
      <c r="I11" s="8">
        <v>400</v>
      </c>
      <c r="J11" s="2"/>
      <c r="K11" s="26"/>
      <c r="L11" s="9"/>
      <c r="M11" s="16"/>
      <c r="O11" s="1">
        <f>IF(C16=0,0,1)</f>
        <v>1</v>
      </c>
      <c r="R11" s="1">
        <f>IF(vend5[[#This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1709</v>
      </c>
      <c r="D12" s="2"/>
      <c r="E12" s="93">
        <v>9883</v>
      </c>
      <c r="F12" s="24" t="s">
        <v>192</v>
      </c>
      <c r="G12" s="25" t="s">
        <v>8</v>
      </c>
      <c r="H12" s="8">
        <v>900</v>
      </c>
      <c r="I12" s="8">
        <v>900</v>
      </c>
      <c r="J12" s="2"/>
      <c r="R12" s="1">
        <f>IF(vend5[[#This Row],[Nº Venda]]&gt;1,1,0)</f>
        <v>1</v>
      </c>
    </row>
    <row r="13" spans="2:18" ht="15.75" x14ac:dyDescent="0.25">
      <c r="B13" s="29" t="s">
        <v>8</v>
      </c>
      <c r="C13" s="30">
        <f t="shared" si="0"/>
        <v>4285</v>
      </c>
      <c r="D13" s="2"/>
      <c r="E13" s="94">
        <v>9884</v>
      </c>
      <c r="F13" s="24" t="s">
        <v>193</v>
      </c>
      <c r="G13" s="25" t="s">
        <v>6</v>
      </c>
      <c r="H13" s="8">
        <v>900</v>
      </c>
      <c r="I13" s="8">
        <v>50</v>
      </c>
      <c r="J13" s="2"/>
      <c r="K13" s="108" t="s">
        <v>22</v>
      </c>
      <c r="L13" s="109"/>
      <c r="M13" s="110"/>
      <c r="R13" s="1">
        <f>IF(vend5[[#This Row],[Nº Venda]]&gt;1,1,0)</f>
        <v>1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>
        <v>9885</v>
      </c>
      <c r="F14" s="24" t="s">
        <v>194</v>
      </c>
      <c r="G14" s="25" t="s">
        <v>8</v>
      </c>
      <c r="H14" s="8">
        <v>685</v>
      </c>
      <c r="I14" s="8">
        <v>685</v>
      </c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1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>
        <v>9816</v>
      </c>
      <c r="L15" s="9" t="s">
        <v>134</v>
      </c>
      <c r="M15" s="59" t="s">
        <v>195</v>
      </c>
      <c r="N15" s="16"/>
      <c r="R15" s="1">
        <f>IF(vend5[[#This Row],[Nº Venda]]&gt;1,1,0)</f>
        <v>0</v>
      </c>
    </row>
    <row r="16" spans="2:18" ht="15.75" x14ac:dyDescent="0.25">
      <c r="B16" s="27" t="s">
        <v>11</v>
      </c>
      <c r="C16" s="31">
        <f>SUM(C11:C15)</f>
        <v>6077</v>
      </c>
      <c r="D16" s="2"/>
      <c r="E16" s="93"/>
      <c r="F16" s="24"/>
      <c r="G16" s="25"/>
      <c r="H16" s="8"/>
      <c r="I16" s="8"/>
      <c r="J16" s="2"/>
      <c r="K16" s="101">
        <v>9870</v>
      </c>
      <c r="L16" s="9" t="s">
        <v>136</v>
      </c>
      <c r="M16" s="58" t="s">
        <v>195</v>
      </c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IF(vend5[[#This Row],[Nº Venda]]&gt;1,1,0)</f>
        <v>0</v>
      </c>
    </row>
    <row r="18" spans="2:18" ht="15.75" x14ac:dyDescent="0.25">
      <c r="B18" s="106" t="s">
        <v>12</v>
      </c>
      <c r="C18" s="106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IF(vend5[[#This Row],[Nº Venda]]&gt;1,1,0)</f>
        <v>0</v>
      </c>
    </row>
    <row r="19" spans="2:18" ht="15.75" x14ac:dyDescent="0.25">
      <c r="B19" s="29">
        <f>COUNT(entr_carn5[OS])</f>
        <v>0</v>
      </c>
      <c r="C19" s="30">
        <f>SUM(entr_carn5[Valor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6044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9787</v>
      </c>
      <c r="F26" s="24" t="s">
        <v>193</v>
      </c>
      <c r="G26" s="43" t="s">
        <v>8</v>
      </c>
      <c r="H26" s="8"/>
      <c r="I26" s="8">
        <v>850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43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43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9811</v>
      </c>
      <c r="F35" s="24" t="s">
        <v>196</v>
      </c>
      <c r="G35" s="25" t="s">
        <v>6</v>
      </c>
      <c r="H35" s="8">
        <v>33</v>
      </c>
      <c r="I35" s="8" t="s">
        <v>71</v>
      </c>
      <c r="K35" s="101"/>
      <c r="L35" s="40"/>
      <c r="M35" s="16"/>
    </row>
    <row r="36" spans="2:18" ht="15.75" x14ac:dyDescent="0.25">
      <c r="E36" s="100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82"/>
      <c r="G37" s="83"/>
      <c r="H37" s="84"/>
      <c r="I37" s="84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9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2"/>
  <sheetViews>
    <sheetView showGridLines="0" topLeftCell="A14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'05'!B1+1</f>
        <v>45571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IF(vend[[#This Row],[Nº Venda]]&gt;1,1,0)</f>
        <v>0</v>
      </c>
    </row>
    <row r="10" spans="2:18" ht="15.75" x14ac:dyDescent="0.25">
      <c r="B10" s="106" t="s">
        <v>5</v>
      </c>
      <c r="C10" s="106"/>
      <c r="D10" s="2"/>
      <c r="E10" s="93"/>
      <c r="F10" s="53"/>
      <c r="G10" s="25"/>
      <c r="H10" s="8"/>
      <c r="I10" s="8"/>
      <c r="J10" s="2"/>
      <c r="K10" s="24"/>
      <c r="L10" s="9"/>
      <c r="M10" s="16"/>
      <c r="R10" s="1">
        <f>IF(vend[[#This Row],[Nº Venda]]&gt;1,1,0)</f>
        <v>0</v>
      </c>
    </row>
    <row r="11" spans="2:18" ht="15.75" x14ac:dyDescent="0.25">
      <c r="B11" s="29" t="s">
        <v>6</v>
      </c>
      <c r="C11" s="75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IF(vend[[#This Row],[Nº Venda]]&gt;1,1,0)</f>
        <v>0</v>
      </c>
    </row>
    <row r="12" spans="2:18" ht="15.75" x14ac:dyDescent="0.25">
      <c r="B12" s="29" t="s">
        <v>7</v>
      </c>
      <c r="C12" s="75">
        <f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29" t="s">
        <v>8</v>
      </c>
      <c r="C13" s="75">
        <f>(SUMIF($G$2:$G$31,B13,$I$2:$I$31))+(SUMIF($G$35:$G$41,B13,$H$35:$H$41))</f>
        <v>0</v>
      </c>
      <c r="D13" s="2"/>
      <c r="E13" s="94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IF(vend[[#This Row],[Nº Venda]]&gt;1,1,0)</f>
        <v>0</v>
      </c>
    </row>
    <row r="14" spans="2:18" ht="15.75" x14ac:dyDescent="0.25">
      <c r="B14" s="29" t="s">
        <v>9</v>
      </c>
      <c r="C14" s="75">
        <f>(SUMIF($G$2:$G$31,B14,$I$2:$I$31))+(SUMIF($G$35:$G$41,B14,$H$35:$H$41))</f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29" t="s">
        <v>10</v>
      </c>
      <c r="C15" s="75">
        <f>(SUMIF($G$2:$G$31,B15,$I$2:$I$31))+(SUMIF($G$35:$G$41,B15,$H$35:$H$41))</f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IF(vend[[#This Row],[Nº Venda]]&gt;1,1,0)</f>
        <v>0</v>
      </c>
    </row>
    <row r="18" spans="2:18" ht="15.75" x14ac:dyDescent="0.25">
      <c r="B18" s="106" t="s">
        <v>12</v>
      </c>
      <c r="C18" s="106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IF(vend[[#This Row],[Nº Venda]]&gt;1,1,0)</f>
        <v>0</v>
      </c>
    </row>
    <row r="19" spans="2:18" ht="15.75" x14ac:dyDescent="0.25">
      <c r="B19" s="29">
        <f>COUNT(entr_carn6[OS])</f>
        <v>0</v>
      </c>
      <c r="C19" s="30">
        <f>SUM(entr_carn6[Valor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8"/>
      <c r="F41" s="38"/>
      <c r="G41" s="25"/>
      <c r="H41" s="8"/>
      <c r="I41" s="8"/>
      <c r="K41" s="101"/>
      <c r="L41" s="40"/>
      <c r="M41" s="39"/>
    </row>
    <row r="42" spans="2:18" x14ac:dyDescent="0.2">
      <c r="F42" s="92"/>
      <c r="G42" s="92"/>
      <c r="H42" s="91"/>
      <c r="I42" s="91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topLeftCell="A17" zoomScale="80" zoomScaleNormal="80" workbookViewId="0">
      <selection activeCell="F10" sqref="F10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78">
        <f>'06'!B1+1</f>
        <v>45572</v>
      </c>
    </row>
    <row r="2" spans="2:21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  <c r="U4" s="1">
        <v>0</v>
      </c>
    </row>
    <row r="5" spans="2:21" ht="15" x14ac:dyDescent="0.25">
      <c r="B5" s="22" t="s">
        <v>1</v>
      </c>
      <c r="C5" s="23">
        <f>SUMIF(I6:I31,"&gt;0",H6:H31)</f>
        <v>4049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2" t="s">
        <v>2</v>
      </c>
      <c r="C6" s="23">
        <f>SUM(I6:I41)</f>
        <v>1660</v>
      </c>
      <c r="D6" s="2"/>
      <c r="E6" s="93">
        <v>9886</v>
      </c>
      <c r="F6" s="76" t="s">
        <v>200</v>
      </c>
      <c r="G6" s="76" t="s">
        <v>7</v>
      </c>
      <c r="H6" s="77">
        <v>899</v>
      </c>
      <c r="I6" s="77">
        <v>240</v>
      </c>
      <c r="J6" s="2"/>
      <c r="K6" s="24"/>
      <c r="L6" s="9"/>
      <c r="M6" s="16"/>
      <c r="R6" s="1">
        <f>IF(vend7[[#This Row],[Nº Venda]]&gt;1,1,0)</f>
        <v>1</v>
      </c>
    </row>
    <row r="7" spans="2:21" ht="15.75" x14ac:dyDescent="0.25">
      <c r="B7" s="22" t="s">
        <v>3</v>
      </c>
      <c r="C7" s="23">
        <f>SUM(M6:M11)</f>
        <v>0</v>
      </c>
      <c r="D7" s="2"/>
      <c r="E7" s="93">
        <v>9887</v>
      </c>
      <c r="F7" s="45" t="s">
        <v>197</v>
      </c>
      <c r="G7" s="45" t="s">
        <v>10</v>
      </c>
      <c r="H7" s="44">
        <v>750</v>
      </c>
      <c r="I7" s="44">
        <v>250</v>
      </c>
      <c r="J7" s="2"/>
      <c r="K7" s="24"/>
      <c r="L7" s="9"/>
      <c r="M7" s="16"/>
      <c r="R7" s="1">
        <f>IF(vend7[[#This Row],[Nº Venda]]&gt;1,1,0)</f>
        <v>1</v>
      </c>
    </row>
    <row r="8" spans="2:21" ht="15.75" x14ac:dyDescent="0.25">
      <c r="B8" s="27" t="s">
        <v>21</v>
      </c>
      <c r="C8" s="28">
        <f>SUM(C6:C7)</f>
        <v>1660</v>
      </c>
      <c r="D8" s="2"/>
      <c r="E8" s="93">
        <v>9888</v>
      </c>
      <c r="F8" s="24" t="s">
        <v>198</v>
      </c>
      <c r="G8" s="25" t="s">
        <v>40</v>
      </c>
      <c r="H8" s="8"/>
      <c r="I8" s="8"/>
      <c r="J8" s="2"/>
      <c r="K8" s="24"/>
      <c r="L8" s="9"/>
      <c r="M8" s="16"/>
      <c r="R8" s="1">
        <f>IF(vend7[[#This Row],[Nº Venda]]&gt;1,1,0)</f>
        <v>1</v>
      </c>
    </row>
    <row r="9" spans="2:21" ht="15.75" x14ac:dyDescent="0.25">
      <c r="B9" s="2"/>
      <c r="C9" s="2"/>
      <c r="D9" s="2"/>
      <c r="E9" s="93">
        <v>9889</v>
      </c>
      <c r="F9" s="24" t="s">
        <v>199</v>
      </c>
      <c r="G9" s="25" t="s">
        <v>6</v>
      </c>
      <c r="H9" s="8">
        <v>300</v>
      </c>
      <c r="I9" s="8">
        <v>20</v>
      </c>
      <c r="J9" s="2"/>
      <c r="K9" s="24"/>
      <c r="L9" s="9"/>
      <c r="M9" s="16"/>
      <c r="R9" s="1">
        <f>IF(vend7[[#This Row],[Nº Venda]]&gt;1,1,0)</f>
        <v>1</v>
      </c>
    </row>
    <row r="10" spans="2:21" ht="15.75" x14ac:dyDescent="0.25">
      <c r="B10" s="106" t="s">
        <v>5</v>
      </c>
      <c r="C10" s="106"/>
      <c r="D10" s="2"/>
      <c r="E10" s="93">
        <v>9890</v>
      </c>
      <c r="F10" s="24" t="s">
        <v>200</v>
      </c>
      <c r="G10" s="25" t="s">
        <v>7</v>
      </c>
      <c r="H10" s="8">
        <v>1300</v>
      </c>
      <c r="I10" s="8">
        <v>400</v>
      </c>
      <c r="J10" s="2"/>
      <c r="K10" s="24"/>
      <c r="L10" s="9"/>
      <c r="M10" s="16"/>
      <c r="R10" s="1">
        <f>IF(vend7[[#This Row],[Nº Venda]]&gt;1,1,0)</f>
        <v>1</v>
      </c>
    </row>
    <row r="11" spans="2:21" ht="15.75" x14ac:dyDescent="0.25">
      <c r="B11" s="29" t="s">
        <v>6</v>
      </c>
      <c r="C11" s="30">
        <f>(SUMIF($G$2:$G$31,B11,$I$2:$I$31))+(SUMIF($G$35:$G$41,B11,$H$35:$H$41))</f>
        <v>198.32999999999998</v>
      </c>
      <c r="D11" s="2"/>
      <c r="E11" s="93">
        <v>9891</v>
      </c>
      <c r="F11" s="24" t="s">
        <v>200</v>
      </c>
      <c r="G11" s="25" t="s">
        <v>7</v>
      </c>
      <c r="H11" s="8">
        <v>800</v>
      </c>
      <c r="I11" s="8">
        <v>300</v>
      </c>
      <c r="J11" s="2"/>
      <c r="K11" s="26"/>
      <c r="L11" s="9"/>
      <c r="M11" s="16"/>
      <c r="O11" s="1">
        <f>IF(C16=0,0,1)</f>
        <v>1</v>
      </c>
      <c r="R11" s="1">
        <f>IF(vend7[[#This Row],[Nº Venda]]&gt;1,1,0)</f>
        <v>1</v>
      </c>
    </row>
    <row r="12" spans="2:21" ht="15.75" x14ac:dyDescent="0.25">
      <c r="B12" s="29" t="s">
        <v>7</v>
      </c>
      <c r="C12" s="30">
        <f t="shared" ref="C12:C15" si="0">(SUMIF($G$2:$G$31,B12,$I$2:$I$31))+(SUMIF($G$35:$G$41,B12,$H$35:$H$41))</f>
        <v>1306.6600000000001</v>
      </c>
      <c r="D12" s="2"/>
      <c r="E12" s="93"/>
      <c r="F12" s="24"/>
      <c r="G12" s="25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IF(vend7[[#This Row],[Nº Venda]]&gt;1,1,0)</f>
        <v>0</v>
      </c>
    </row>
    <row r="14" spans="2:21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21" ht="15.75" x14ac:dyDescent="0.25">
      <c r="B15" s="29" t="s">
        <v>10</v>
      </c>
      <c r="C15" s="30">
        <f t="shared" si="0"/>
        <v>1166.5</v>
      </c>
      <c r="D15" s="2"/>
      <c r="E15" s="93"/>
      <c r="F15" s="24"/>
      <c r="G15" s="25"/>
      <c r="H15" s="8"/>
      <c r="I15" s="8"/>
      <c r="J15" s="2"/>
      <c r="K15" s="101">
        <v>9833</v>
      </c>
      <c r="L15" s="9" t="s">
        <v>130</v>
      </c>
      <c r="M15" s="46" t="s">
        <v>142</v>
      </c>
      <c r="R15" s="1">
        <f>IF(vend7[[#This Row],[Nº Venda]]&gt;1,1,0)</f>
        <v>0</v>
      </c>
    </row>
    <row r="16" spans="2:21" ht="15.75" x14ac:dyDescent="0.25">
      <c r="B16" s="27" t="s">
        <v>11</v>
      </c>
      <c r="C16" s="31">
        <f>SUM(C11:C15)</f>
        <v>2671.49</v>
      </c>
      <c r="D16" s="2"/>
      <c r="E16" s="93"/>
      <c r="F16" s="24"/>
      <c r="G16" s="25"/>
      <c r="H16" s="8"/>
      <c r="I16" s="8"/>
      <c r="J16" s="2"/>
      <c r="K16" s="101">
        <v>9837</v>
      </c>
      <c r="L16" s="9" t="s">
        <v>130</v>
      </c>
      <c r="M16" s="16" t="s">
        <v>142</v>
      </c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IF(vend7[[#This Row],[Nº Venda]]&gt;1,1,0)</f>
        <v>0</v>
      </c>
    </row>
    <row r="18" spans="2:18" ht="15.75" x14ac:dyDescent="0.25">
      <c r="B18" s="106" t="s">
        <v>12</v>
      </c>
      <c r="C18" s="106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IF(vend7[[#This Row],[Nº Venda]]&gt;1,1,0)</f>
        <v>0</v>
      </c>
    </row>
    <row r="19" spans="2:18" ht="15.75" x14ac:dyDescent="0.25">
      <c r="B19" s="29">
        <f>COUNT(entr_carn7[OS])</f>
        <v>0</v>
      </c>
      <c r="C19" s="30">
        <f>SUM(entr_carn7[Valor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4049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9837</v>
      </c>
      <c r="F26" s="55" t="s">
        <v>200</v>
      </c>
      <c r="G26" s="68" t="s">
        <v>7</v>
      </c>
      <c r="H26" s="69"/>
      <c r="I26" s="69">
        <v>250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>
        <v>8531</v>
      </c>
      <c r="F27" s="24" t="s">
        <v>202</v>
      </c>
      <c r="G27" s="25" t="s">
        <v>6</v>
      </c>
      <c r="H27" s="8"/>
      <c r="I27" s="8">
        <v>100</v>
      </c>
      <c r="J27" s="2"/>
      <c r="K27" s="101"/>
      <c r="L27" s="9"/>
      <c r="M27" s="16"/>
    </row>
    <row r="28" spans="2:18" ht="15.75" x14ac:dyDescent="0.25">
      <c r="B28" s="2"/>
      <c r="C28" s="2"/>
      <c r="D28" s="2"/>
      <c r="E28" s="93">
        <v>9684</v>
      </c>
      <c r="F28" s="24" t="s">
        <v>208</v>
      </c>
      <c r="G28" s="25" t="s">
        <v>10</v>
      </c>
      <c r="H28" s="8"/>
      <c r="I28" s="8">
        <v>100</v>
      </c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9565</v>
      </c>
      <c r="F35" s="24" t="s">
        <v>201</v>
      </c>
      <c r="G35" s="25" t="s">
        <v>10</v>
      </c>
      <c r="H35" s="8">
        <v>100</v>
      </c>
      <c r="I35" s="8" t="s">
        <v>34</v>
      </c>
      <c r="K35" s="101"/>
      <c r="L35" s="40"/>
      <c r="M35" s="16"/>
    </row>
    <row r="36" spans="2:18" ht="15.75" x14ac:dyDescent="0.25">
      <c r="E36" s="97">
        <v>9615</v>
      </c>
      <c r="F36" s="24" t="s">
        <v>203</v>
      </c>
      <c r="G36" s="25" t="s">
        <v>6</v>
      </c>
      <c r="H36" s="8">
        <v>78.33</v>
      </c>
      <c r="I36" s="8" t="s">
        <v>42</v>
      </c>
      <c r="K36" s="101"/>
      <c r="L36" s="40"/>
      <c r="M36" s="16"/>
    </row>
    <row r="37" spans="2:18" ht="15.75" x14ac:dyDescent="0.25">
      <c r="E37" s="93">
        <v>9784</v>
      </c>
      <c r="F37" s="24" t="s">
        <v>204</v>
      </c>
      <c r="G37" s="25" t="s">
        <v>7</v>
      </c>
      <c r="H37" s="8">
        <v>116.66</v>
      </c>
      <c r="I37" s="8" t="s">
        <v>71</v>
      </c>
      <c r="K37" s="101"/>
      <c r="L37" s="40"/>
      <c r="M37" s="16"/>
    </row>
    <row r="38" spans="2:18" ht="15.75" x14ac:dyDescent="0.25">
      <c r="E38" s="93">
        <v>9716</v>
      </c>
      <c r="F38" s="24" t="s">
        <v>205</v>
      </c>
      <c r="G38" s="25" t="s">
        <v>10</v>
      </c>
      <c r="H38" s="8">
        <v>120</v>
      </c>
      <c r="I38" s="8" t="s">
        <v>42</v>
      </c>
      <c r="K38" s="101"/>
      <c r="L38" s="40"/>
      <c r="M38" s="16"/>
    </row>
    <row r="39" spans="2:18" ht="15.75" x14ac:dyDescent="0.25">
      <c r="E39" s="93">
        <v>9728</v>
      </c>
      <c r="F39" s="38" t="s">
        <v>206</v>
      </c>
      <c r="G39" s="25" t="s">
        <v>10</v>
      </c>
      <c r="H39" s="8">
        <v>162.5</v>
      </c>
      <c r="I39" s="8" t="s">
        <v>34</v>
      </c>
      <c r="K39" s="101"/>
      <c r="L39" s="40"/>
      <c r="M39" s="16"/>
    </row>
    <row r="40" spans="2:18" ht="15.75" x14ac:dyDescent="0.25">
      <c r="E40" s="95">
        <v>8885</v>
      </c>
      <c r="F40" s="35" t="s">
        <v>207</v>
      </c>
      <c r="G40" s="36" t="s">
        <v>10</v>
      </c>
      <c r="H40" s="17">
        <v>300</v>
      </c>
      <c r="I40" s="8" t="s">
        <v>48</v>
      </c>
      <c r="K40" s="102"/>
      <c r="L40" s="41"/>
      <c r="M40" s="39"/>
      <c r="Q40" s="1" t="s">
        <v>36</v>
      </c>
      <c r="R40" s="1">
        <f>SUM(R6:R21)</f>
        <v>6</v>
      </c>
    </row>
    <row r="41" spans="2:18" ht="15.75" x14ac:dyDescent="0.25">
      <c r="E41" s="96">
        <v>9538</v>
      </c>
      <c r="F41" s="38" t="s">
        <v>207</v>
      </c>
      <c r="G41" s="25" t="s">
        <v>10</v>
      </c>
      <c r="H41" s="8">
        <v>134</v>
      </c>
      <c r="I41" s="8" t="s">
        <v>69</v>
      </c>
      <c r="K41" s="101"/>
      <c r="L41" s="40"/>
      <c r="M41" s="39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tabSelected="1" topLeftCell="A17" zoomScale="80" zoomScaleNormal="8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0.71093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'07'!B1+1</f>
        <v>45573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3470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1739</v>
      </c>
      <c r="D6" s="2"/>
      <c r="E6" s="93">
        <v>9892</v>
      </c>
      <c r="F6" s="8" t="s">
        <v>209</v>
      </c>
      <c r="G6" s="8" t="s">
        <v>6</v>
      </c>
      <c r="H6" s="8">
        <v>80</v>
      </c>
      <c r="I6" s="8">
        <v>80</v>
      </c>
      <c r="J6" s="2"/>
      <c r="K6" s="24"/>
      <c r="L6" s="9"/>
      <c r="M6" s="16"/>
      <c r="R6" s="1">
        <f>IF(vend8[[#This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>
        <v>9893</v>
      </c>
      <c r="F7" s="8" t="s">
        <v>210</v>
      </c>
      <c r="G7" s="8" t="s">
        <v>40</v>
      </c>
      <c r="H7" s="8"/>
      <c r="I7" s="8"/>
      <c r="J7" s="2"/>
      <c r="K7" s="24"/>
      <c r="L7" s="9"/>
      <c r="M7" s="16"/>
      <c r="R7" s="1">
        <f>IF(vend8[[#This Row],[Nº Venda]]&gt;1,1,0)</f>
        <v>1</v>
      </c>
    </row>
    <row r="8" spans="2:18" ht="15.75" x14ac:dyDescent="0.25">
      <c r="B8" s="27" t="s">
        <v>21</v>
      </c>
      <c r="C8" s="28">
        <f>SUM(C6:C7)</f>
        <v>1739</v>
      </c>
      <c r="D8" s="2"/>
      <c r="E8" s="93">
        <v>9894</v>
      </c>
      <c r="F8" s="8" t="s">
        <v>211</v>
      </c>
      <c r="G8" s="8" t="s">
        <v>10</v>
      </c>
      <c r="H8" s="8">
        <v>1100</v>
      </c>
      <c r="I8" s="8">
        <v>270</v>
      </c>
      <c r="J8" s="2"/>
      <c r="K8" s="24"/>
      <c r="L8" s="9"/>
      <c r="M8" s="16"/>
      <c r="R8" s="1">
        <f>IF(vend8[[#This Row],[Nº Venda]]&gt;1,1,0)</f>
        <v>1</v>
      </c>
    </row>
    <row r="9" spans="2:18" ht="15.75" x14ac:dyDescent="0.25">
      <c r="B9" s="2"/>
      <c r="C9" s="2"/>
      <c r="D9" s="2"/>
      <c r="E9" s="93">
        <v>9895</v>
      </c>
      <c r="F9" s="8" t="s">
        <v>212</v>
      </c>
      <c r="G9" s="8" t="s">
        <v>8</v>
      </c>
      <c r="H9" s="8">
        <v>400</v>
      </c>
      <c r="I9" s="8">
        <v>400</v>
      </c>
      <c r="J9" s="2"/>
      <c r="K9" s="24"/>
      <c r="L9" s="9"/>
      <c r="M9" s="16"/>
      <c r="R9" s="1">
        <f>IF(vend8[[#This Row],[Nº Venda]]&gt;1,1,0)</f>
        <v>1</v>
      </c>
    </row>
    <row r="10" spans="2:18" ht="15.75" x14ac:dyDescent="0.25">
      <c r="B10" s="106" t="s">
        <v>5</v>
      </c>
      <c r="C10" s="106"/>
      <c r="D10" s="2"/>
      <c r="E10" s="93">
        <v>9896</v>
      </c>
      <c r="F10" s="24" t="s">
        <v>212</v>
      </c>
      <c r="G10" s="25" t="s">
        <v>8</v>
      </c>
      <c r="H10" s="8">
        <v>490</v>
      </c>
      <c r="I10" s="8">
        <v>490</v>
      </c>
      <c r="J10" s="2"/>
      <c r="K10" s="24"/>
      <c r="L10" s="9"/>
      <c r="M10" s="16"/>
      <c r="R10" s="1">
        <f>IF(vend8[[#This Row],[Nº Venda]]&gt;1,1,0)</f>
        <v>1</v>
      </c>
    </row>
    <row r="11" spans="2:18" ht="15.75" x14ac:dyDescent="0.25">
      <c r="B11" s="29" t="s">
        <v>6</v>
      </c>
      <c r="C11" s="75">
        <f>(SUMIF($G$2:$G$31,B11,$I$2:$I$31))+(SUMIF($G$35:$G$42,B11,$H$35:$H$42))</f>
        <v>439</v>
      </c>
      <c r="D11" s="2"/>
      <c r="E11" s="93">
        <v>9897</v>
      </c>
      <c r="F11" s="24" t="s">
        <v>213</v>
      </c>
      <c r="G11" s="25" t="s">
        <v>7</v>
      </c>
      <c r="H11" s="8">
        <v>1400</v>
      </c>
      <c r="I11" s="8">
        <v>200</v>
      </c>
      <c r="J11" s="2"/>
      <c r="K11" s="26"/>
      <c r="L11" s="9"/>
      <c r="M11" s="16"/>
      <c r="O11" s="1">
        <f>IF(C16=0,0,1)</f>
        <v>1</v>
      </c>
      <c r="R11" s="1">
        <f>IF(vend8[[#This Row],[Nº Venda]]&gt;1,1,0)</f>
        <v>1</v>
      </c>
    </row>
    <row r="12" spans="2:18" ht="15.75" x14ac:dyDescent="0.25">
      <c r="B12" s="29" t="s">
        <v>7</v>
      </c>
      <c r="C12" s="75">
        <f>(SUMIF($G$2:$G$31,B12,$I$2:$I$31))+(SUMIF($G$35:$G$42,B12,$H$35:$H$42))</f>
        <v>200</v>
      </c>
      <c r="D12" s="2"/>
      <c r="E12" s="93"/>
      <c r="F12" s="24"/>
      <c r="G12" s="25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29" t="s">
        <v>8</v>
      </c>
      <c r="C13" s="75">
        <f>(SUMIF($G$2:$G$31,B13,$I$2:$I$31))+(SUMIF($G$35:$G$42,B13,$H$35:$H$42))</f>
        <v>890</v>
      </c>
      <c r="D13" s="2"/>
      <c r="E13" s="94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IF(vend8[[#This Row],[Nº Venda]]&gt;1,1,0)</f>
        <v>0</v>
      </c>
    </row>
    <row r="14" spans="2:18" ht="15.75" x14ac:dyDescent="0.25">
      <c r="B14" s="29" t="s">
        <v>9</v>
      </c>
      <c r="C14" s="75">
        <f>(SUMIF($G$2:$G$31,B14,$I$2:$I$31))+(SUMIF($G$35:$G$42,B14,$H$35:$H$42))</f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29" t="s">
        <v>10</v>
      </c>
      <c r="C15" s="75">
        <f>(SUMIF($G$2:$G$31,B15,$I$2:$I$31))+(SUMIF($G$35:$G$42,B15,$H$35:$H$42))</f>
        <v>336.33</v>
      </c>
      <c r="D15" s="2"/>
      <c r="E15" s="93"/>
      <c r="F15" s="24"/>
      <c r="G15" s="25"/>
      <c r="H15" s="8"/>
      <c r="I15" s="8"/>
      <c r="J15" s="2"/>
      <c r="K15" s="101">
        <v>9892</v>
      </c>
      <c r="L15" s="9" t="s">
        <v>130</v>
      </c>
      <c r="M15" s="16" t="s">
        <v>142</v>
      </c>
      <c r="R15" s="1">
        <f>IF(vend8[[#This Row],[Nº Venda]]&gt;1,1,0)</f>
        <v>0</v>
      </c>
    </row>
    <row r="16" spans="2:18" ht="15.75" x14ac:dyDescent="0.25">
      <c r="B16" s="27" t="s">
        <v>11</v>
      </c>
      <c r="C16" s="31">
        <f>SUM(C11:C15)</f>
        <v>1865.33</v>
      </c>
      <c r="D16" s="2"/>
      <c r="E16" s="93"/>
      <c r="F16" s="24"/>
      <c r="G16" s="25"/>
      <c r="H16" s="8"/>
      <c r="I16" s="8"/>
      <c r="J16" s="2"/>
      <c r="K16" s="101">
        <v>9831</v>
      </c>
      <c r="L16" s="9" t="s">
        <v>130</v>
      </c>
      <c r="M16" s="16" t="s">
        <v>142</v>
      </c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>
        <v>9844</v>
      </c>
      <c r="L17" s="9" t="s">
        <v>134</v>
      </c>
      <c r="M17" s="16" t="s">
        <v>142</v>
      </c>
      <c r="R17" s="1">
        <f>IF(vend8[[#This Row],[Nº Venda]]&gt;1,1,0)</f>
        <v>0</v>
      </c>
    </row>
    <row r="18" spans="2:18" ht="15.75" x14ac:dyDescent="0.25">
      <c r="B18" s="106" t="s">
        <v>12</v>
      </c>
      <c r="C18" s="106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IF(vend8[[#This Row],[Nº Venda]]&gt;1,1,0)</f>
        <v>0</v>
      </c>
    </row>
    <row r="19" spans="2:18" ht="15.75" x14ac:dyDescent="0.25">
      <c r="B19" s="29">
        <f>COUNT(entr_carn8[OS])</f>
        <v>0</v>
      </c>
      <c r="C19" s="30">
        <f>SUM(entr_carn8[Valor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3470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9844</v>
      </c>
      <c r="F26" s="79" t="s">
        <v>214</v>
      </c>
      <c r="G26" s="80" t="s">
        <v>6</v>
      </c>
      <c r="H26" s="81"/>
      <c r="I26" s="81">
        <v>299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43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43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43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24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8999</v>
      </c>
      <c r="F35" s="24" t="s">
        <v>215</v>
      </c>
      <c r="G35" s="25" t="s">
        <v>6</v>
      </c>
      <c r="H35" s="8">
        <v>60</v>
      </c>
      <c r="I35" s="8" t="s">
        <v>60</v>
      </c>
      <c r="K35" s="101"/>
      <c r="L35" s="40"/>
      <c r="M35" s="16"/>
    </row>
    <row r="36" spans="2:18" ht="15.75" x14ac:dyDescent="0.25">
      <c r="E36" s="97">
        <v>9208</v>
      </c>
      <c r="F36" s="24" t="s">
        <v>216</v>
      </c>
      <c r="G36" s="25" t="s">
        <v>10</v>
      </c>
      <c r="H36" s="8">
        <v>66.33</v>
      </c>
      <c r="I36" s="8">
        <f>'15'!E69922</f>
        <v>0</v>
      </c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6</v>
      </c>
    </row>
    <row r="41" spans="2:18" ht="15.75" x14ac:dyDescent="0.25">
      <c r="E41" s="98"/>
      <c r="F41" s="38"/>
      <c r="G41" s="25"/>
      <c r="H41" s="8"/>
      <c r="I41" s="8"/>
      <c r="K41" s="101"/>
      <c r="L41" s="40"/>
      <c r="M41" s="39"/>
    </row>
    <row r="42" spans="2:18" ht="15.75" x14ac:dyDescent="0.25">
      <c r="E42" s="34"/>
      <c r="F42" s="72"/>
      <c r="G42" s="73"/>
      <c r="H42" s="74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topLeftCell="A18" zoomScale="80" zoomScaleNormal="80" workbookViewId="0">
      <selection activeCell="G30" sqref="G3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2">
        <f>'08'!B1+1</f>
        <v>45574</v>
      </c>
    </row>
    <row r="2" spans="2:22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22" ht="15" x14ac:dyDescent="0.25">
      <c r="B5" s="22" t="s">
        <v>1</v>
      </c>
      <c r="C5" s="23">
        <f>SUMIF(I6:I31,"&gt;0",H6:H31)</f>
        <v>4730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2" t="s">
        <v>2</v>
      </c>
      <c r="C6" s="23">
        <f>SUM(I6:I41)</f>
        <v>5830</v>
      </c>
      <c r="D6" s="2"/>
      <c r="E6" s="93">
        <v>9898</v>
      </c>
      <c r="F6" s="24" t="s">
        <v>217</v>
      </c>
      <c r="G6" s="43" t="s">
        <v>8</v>
      </c>
      <c r="H6" s="8">
        <v>1600</v>
      </c>
      <c r="I6" s="8">
        <v>1600</v>
      </c>
      <c r="J6" s="2"/>
      <c r="K6" s="24"/>
      <c r="L6" s="9"/>
      <c r="M6" s="16"/>
      <c r="R6" s="1">
        <f>IF(vend9[[#This Row],[Nº Venda]]&gt;1,1,0)</f>
        <v>1</v>
      </c>
    </row>
    <row r="7" spans="2:22" ht="15.75" x14ac:dyDescent="0.25">
      <c r="B7" s="22" t="s">
        <v>3</v>
      </c>
      <c r="C7" s="23">
        <f>SUM(M6:M11)</f>
        <v>0</v>
      </c>
      <c r="D7" s="2"/>
      <c r="E7" s="93">
        <v>9899</v>
      </c>
      <c r="F7" s="24" t="s">
        <v>218</v>
      </c>
      <c r="G7" s="43" t="s">
        <v>8</v>
      </c>
      <c r="H7" s="8">
        <v>500</v>
      </c>
      <c r="I7" s="8">
        <v>500</v>
      </c>
      <c r="J7" s="2"/>
      <c r="K7" s="24"/>
      <c r="L7" s="9"/>
      <c r="M7" s="16"/>
      <c r="R7" s="1">
        <f>IF(vend9[[#This Row],[Nº Venda]]&gt;1,1,0)</f>
        <v>1</v>
      </c>
    </row>
    <row r="8" spans="2:22" ht="15.75" x14ac:dyDescent="0.25">
      <c r="B8" s="27" t="s">
        <v>21</v>
      </c>
      <c r="C8" s="28">
        <f>SUM(C6:C7)</f>
        <v>5830</v>
      </c>
      <c r="D8" s="2"/>
      <c r="E8" s="93">
        <v>9900</v>
      </c>
      <c r="F8" s="24" t="s">
        <v>218</v>
      </c>
      <c r="G8" s="25" t="s">
        <v>8</v>
      </c>
      <c r="H8" s="8">
        <v>500</v>
      </c>
      <c r="I8" s="8">
        <v>500</v>
      </c>
      <c r="J8" s="2"/>
      <c r="K8" s="24"/>
      <c r="L8" s="9"/>
      <c r="M8" s="16"/>
      <c r="R8" s="1">
        <f>IF(vend9[[#This Row],[Nº Venda]]&gt;1,1,0)</f>
        <v>1</v>
      </c>
    </row>
    <row r="9" spans="2:22" ht="15.75" x14ac:dyDescent="0.25">
      <c r="B9" s="2"/>
      <c r="C9" s="2"/>
      <c r="D9" s="2"/>
      <c r="E9" s="93">
        <v>9901</v>
      </c>
      <c r="F9" s="24" t="s">
        <v>218</v>
      </c>
      <c r="G9" s="25" t="s">
        <v>8</v>
      </c>
      <c r="H9" s="8">
        <v>300</v>
      </c>
      <c r="I9" s="8">
        <v>300</v>
      </c>
      <c r="J9" s="2"/>
      <c r="K9" s="24"/>
      <c r="L9" s="9"/>
      <c r="M9" s="16"/>
      <c r="R9" s="1">
        <f>IF(vend9[[#This Row],[Nº Venda]]&gt;1,1,0)</f>
        <v>1</v>
      </c>
    </row>
    <row r="10" spans="2:22" ht="15.75" x14ac:dyDescent="0.25">
      <c r="B10" s="106" t="s">
        <v>5</v>
      </c>
      <c r="C10" s="106"/>
      <c r="D10" s="2"/>
      <c r="E10" s="93">
        <v>9902</v>
      </c>
      <c r="F10" s="24" t="s">
        <v>218</v>
      </c>
      <c r="G10" s="25" t="s">
        <v>8</v>
      </c>
      <c r="H10" s="8">
        <v>700</v>
      </c>
      <c r="I10" s="8">
        <v>700</v>
      </c>
      <c r="J10" s="2"/>
      <c r="K10" s="24"/>
      <c r="L10" s="9"/>
      <c r="M10" s="16"/>
      <c r="R10" s="1">
        <f>IF(vend9[[#This Row],[Nº Venda]]&gt;1,1,0)</f>
        <v>1</v>
      </c>
    </row>
    <row r="11" spans="2:22" ht="15.75" x14ac:dyDescent="0.25">
      <c r="B11" s="29" t="s">
        <v>6</v>
      </c>
      <c r="C11" s="30">
        <f>(SUMIF($G$2:$G$31,B11,$I$2:$I$31))+(SUMIF($G$35:$G$41,B11,$H$35:$H$41))</f>
        <v>96.66</v>
      </c>
      <c r="D11" s="2"/>
      <c r="E11" s="93">
        <v>9903</v>
      </c>
      <c r="F11" s="24" t="s">
        <v>219</v>
      </c>
      <c r="G11" s="25" t="s">
        <v>7</v>
      </c>
      <c r="H11" s="8">
        <v>1100</v>
      </c>
      <c r="I11" s="8">
        <v>550</v>
      </c>
      <c r="J11" s="2"/>
      <c r="K11" s="26"/>
      <c r="L11" s="9"/>
      <c r="M11" s="16"/>
      <c r="O11" s="1">
        <f>IF(C16=0,0,1)</f>
        <v>1</v>
      </c>
      <c r="R11" s="1">
        <f>IF(vend9[[#This Row],[Nº Venda]]&gt;1,1,0)</f>
        <v>1</v>
      </c>
    </row>
    <row r="12" spans="2:22" ht="15.75" x14ac:dyDescent="0.25">
      <c r="B12" s="29" t="s">
        <v>7</v>
      </c>
      <c r="C12" s="30">
        <f t="shared" ref="C12:C15" si="0">(SUMIF($G$2:$G$31,B12,$I$2:$I$31))+(SUMIF($G$35:$G$41,B12,$H$35:$H$41))</f>
        <v>550</v>
      </c>
      <c r="D12" s="2"/>
      <c r="E12" s="93">
        <v>9903</v>
      </c>
      <c r="F12" s="24" t="s">
        <v>219</v>
      </c>
      <c r="G12" s="25" t="s">
        <v>8</v>
      </c>
      <c r="H12" s="8"/>
      <c r="I12" s="8">
        <v>550</v>
      </c>
      <c r="J12" s="2"/>
      <c r="R12" s="1">
        <f>IF(vend9[[#This Row],[Nº Venda]]&gt;1,1,0)</f>
        <v>1</v>
      </c>
      <c r="V12" s="1">
        <v>0</v>
      </c>
    </row>
    <row r="13" spans="2:22" ht="15.75" x14ac:dyDescent="0.25">
      <c r="B13" s="29" t="s">
        <v>8</v>
      </c>
      <c r="C13" s="30">
        <f t="shared" si="0"/>
        <v>5250</v>
      </c>
      <c r="D13" s="2"/>
      <c r="E13" s="94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IF(vend9[[#This Row],[Nº Venda]]&gt;1,1,0)</f>
        <v>0</v>
      </c>
    </row>
    <row r="14" spans="2:22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22" ht="15.75" x14ac:dyDescent="0.25">
      <c r="B15" s="29" t="s">
        <v>10</v>
      </c>
      <c r="C15" s="30">
        <f t="shared" si="0"/>
        <v>334.83</v>
      </c>
      <c r="D15" s="2"/>
      <c r="E15" s="93"/>
      <c r="F15" s="24"/>
      <c r="G15" s="25"/>
      <c r="H15" s="8"/>
      <c r="I15" s="8"/>
      <c r="J15" s="2"/>
      <c r="K15" s="101">
        <v>9815</v>
      </c>
      <c r="L15" s="9" t="s">
        <v>134</v>
      </c>
      <c r="M15" s="16" t="s">
        <v>142</v>
      </c>
      <c r="R15" s="1">
        <f>IF(vend9[[#This Row],[Nº Venda]]&gt;1,1,0)</f>
        <v>0</v>
      </c>
    </row>
    <row r="16" spans="2:22" ht="15.75" x14ac:dyDescent="0.25">
      <c r="B16" s="27" t="s">
        <v>11</v>
      </c>
      <c r="C16" s="31">
        <f>SUM(C11:C15)</f>
        <v>6231.49</v>
      </c>
      <c r="D16" s="2"/>
      <c r="E16" s="93"/>
      <c r="F16" s="24"/>
      <c r="G16" s="25"/>
      <c r="H16" s="8"/>
      <c r="I16" s="8"/>
      <c r="J16" s="2"/>
      <c r="K16" s="101">
        <v>9513</v>
      </c>
      <c r="L16" s="9" t="s">
        <v>130</v>
      </c>
      <c r="M16" s="16" t="s">
        <v>142</v>
      </c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IF(vend9[[#This Row],[Nº Venda]]&gt;1,1,0)</f>
        <v>0</v>
      </c>
    </row>
    <row r="18" spans="2:18" ht="15.75" x14ac:dyDescent="0.25">
      <c r="B18" s="106" t="s">
        <v>12</v>
      </c>
      <c r="C18" s="106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IF(vend9[[#This Row],[Nº Venda]]&gt;1,1,0)</f>
        <v>0</v>
      </c>
    </row>
    <row r="19" spans="2:18" ht="15.75" x14ac:dyDescent="0.25">
      <c r="B19" s="29">
        <f>COUNT(entr_carn9[OS])</f>
        <v>0</v>
      </c>
      <c r="C19" s="30">
        <f>SUM(entr_carn9[Valor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4"/>
      <c r="G20" s="25"/>
      <c r="H20" s="8"/>
      <c r="I20" s="8"/>
      <c r="J20" s="2"/>
      <c r="K20" s="101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4730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9815</v>
      </c>
      <c r="F26" s="24" t="s">
        <v>220</v>
      </c>
      <c r="G26" s="43" t="s">
        <v>8</v>
      </c>
      <c r="H26" s="8"/>
      <c r="I26" s="8">
        <v>1100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>
        <v>9888</v>
      </c>
      <c r="F27" s="24" t="s">
        <v>221</v>
      </c>
      <c r="G27" s="25" t="s">
        <v>6</v>
      </c>
      <c r="H27" s="8">
        <v>30</v>
      </c>
      <c r="I27" s="8">
        <v>30</v>
      </c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9342</v>
      </c>
      <c r="F35" s="24" t="s">
        <v>222</v>
      </c>
      <c r="G35" s="25" t="s">
        <v>10</v>
      </c>
      <c r="H35" s="8">
        <v>58.33</v>
      </c>
      <c r="I35" s="8" t="s">
        <v>45</v>
      </c>
      <c r="K35" s="101"/>
      <c r="L35" s="40"/>
      <c r="M35" s="16"/>
    </row>
    <row r="36" spans="2:18" ht="15.75" x14ac:dyDescent="0.25">
      <c r="E36" s="97">
        <v>9150</v>
      </c>
      <c r="F36" s="24" t="s">
        <v>224</v>
      </c>
      <c r="G36" s="25" t="s">
        <v>10</v>
      </c>
      <c r="H36" s="8">
        <v>130</v>
      </c>
      <c r="I36" s="8" t="s">
        <v>48</v>
      </c>
      <c r="K36" s="101"/>
      <c r="L36" s="40"/>
      <c r="M36" s="16"/>
    </row>
    <row r="37" spans="2:18" ht="15.75" x14ac:dyDescent="0.25">
      <c r="E37" s="93">
        <v>9452</v>
      </c>
      <c r="F37" s="24" t="s">
        <v>223</v>
      </c>
      <c r="G37" s="25" t="s">
        <v>6</v>
      </c>
      <c r="H37" s="8">
        <v>66.66</v>
      </c>
      <c r="I37" s="8" t="s">
        <v>45</v>
      </c>
      <c r="K37" s="101"/>
      <c r="L37" s="40"/>
      <c r="M37" s="16"/>
    </row>
    <row r="38" spans="2:18" ht="15.75" x14ac:dyDescent="0.25">
      <c r="E38" s="93">
        <v>9699</v>
      </c>
      <c r="F38" s="24" t="s">
        <v>225</v>
      </c>
      <c r="G38" s="25" t="s">
        <v>10</v>
      </c>
      <c r="H38" s="8">
        <v>80</v>
      </c>
      <c r="I38" s="8" t="s">
        <v>42</v>
      </c>
      <c r="K38" s="101"/>
      <c r="L38" s="40"/>
      <c r="M38" s="16"/>
    </row>
    <row r="39" spans="2:18" ht="15.75" x14ac:dyDescent="0.25">
      <c r="E39" s="93">
        <v>9156</v>
      </c>
      <c r="F39" s="38" t="s">
        <v>226</v>
      </c>
      <c r="G39" s="25" t="s">
        <v>10</v>
      </c>
      <c r="H39" s="8">
        <v>66.5</v>
      </c>
      <c r="I39" s="8" t="s">
        <v>81</v>
      </c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7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topLeftCell="A22" zoomScale="80" zoomScaleNormal="80" workbookViewId="0">
      <selection activeCell="I11" sqref="I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'09'!B1+1</f>
        <v>45575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SUMIF(I6:I32,"&gt;0",H6:H32)</f>
        <v>5098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SUM(I6:I42)</f>
        <v>4898</v>
      </c>
      <c r="D6" s="2"/>
      <c r="E6" s="93">
        <v>9904</v>
      </c>
      <c r="F6" s="24" t="s">
        <v>227</v>
      </c>
      <c r="G6" s="43" t="s">
        <v>8</v>
      </c>
      <c r="H6" s="8">
        <v>600</v>
      </c>
      <c r="I6" s="8">
        <v>600</v>
      </c>
      <c r="J6" s="2"/>
      <c r="K6" s="24" t="s">
        <v>232</v>
      </c>
      <c r="L6" s="9" t="s">
        <v>188</v>
      </c>
      <c r="M6" s="16">
        <v>30</v>
      </c>
      <c r="R6" s="1">
        <f>IF(vend10[[#This Row],[Nº Venda]]&gt;1,1,0)</f>
        <v>1</v>
      </c>
    </row>
    <row r="7" spans="2:18" ht="15.75" x14ac:dyDescent="0.25">
      <c r="B7" s="22" t="s">
        <v>3</v>
      </c>
      <c r="C7" s="23">
        <f>SUM(M6:M11)</f>
        <v>30</v>
      </c>
      <c r="D7" s="2"/>
      <c r="E7" s="93">
        <v>9905</v>
      </c>
      <c r="F7" s="24" t="s">
        <v>227</v>
      </c>
      <c r="G7" s="43" t="s">
        <v>8</v>
      </c>
      <c r="H7" s="8">
        <v>300</v>
      </c>
      <c r="I7" s="8">
        <v>300</v>
      </c>
      <c r="J7" s="2"/>
      <c r="K7" s="24"/>
      <c r="L7" s="9"/>
      <c r="M7" s="16"/>
      <c r="R7" s="1">
        <f>IF(vend10[[#This Row],[Nº Venda]]&gt;1,1,0)</f>
        <v>1</v>
      </c>
    </row>
    <row r="8" spans="2:18" ht="15.75" x14ac:dyDescent="0.25">
      <c r="B8" s="27" t="s">
        <v>21</v>
      </c>
      <c r="C8" s="28">
        <f>SUM(C6:C7)</f>
        <v>4928</v>
      </c>
      <c r="D8" s="2"/>
      <c r="E8" s="93">
        <v>9906</v>
      </c>
      <c r="F8" s="24" t="s">
        <v>228</v>
      </c>
      <c r="G8" s="25" t="s">
        <v>8</v>
      </c>
      <c r="H8" s="8">
        <v>900</v>
      </c>
      <c r="I8" s="8">
        <v>450</v>
      </c>
      <c r="J8" s="2"/>
      <c r="K8" s="24"/>
      <c r="L8" s="9"/>
      <c r="M8" s="16"/>
      <c r="R8" s="1">
        <f>IF(vend10[[#This Row],[Nº Venda]]&gt;1,1,0)</f>
        <v>1</v>
      </c>
    </row>
    <row r="9" spans="2:18" ht="15.75" x14ac:dyDescent="0.25">
      <c r="B9" s="2"/>
      <c r="C9" s="2"/>
      <c r="D9" s="2"/>
      <c r="E9" s="93">
        <v>9906</v>
      </c>
      <c r="F9" s="24" t="s">
        <v>228</v>
      </c>
      <c r="G9" s="25" t="s">
        <v>8</v>
      </c>
      <c r="H9" s="8"/>
      <c r="I9" s="8">
        <v>450</v>
      </c>
      <c r="J9" s="2"/>
      <c r="K9" s="24"/>
      <c r="L9" s="9"/>
      <c r="M9" s="16"/>
      <c r="R9" s="1">
        <f>IF(vend10[[#This Row],[Nº Venda]]&gt;1,1,0)</f>
        <v>1</v>
      </c>
    </row>
    <row r="10" spans="2:18" ht="15.75" x14ac:dyDescent="0.25">
      <c r="B10" s="106" t="s">
        <v>5</v>
      </c>
      <c r="C10" s="106"/>
      <c r="D10" s="2"/>
      <c r="E10" s="93">
        <v>9907</v>
      </c>
      <c r="F10" s="24" t="s">
        <v>229</v>
      </c>
      <c r="G10" s="25" t="s">
        <v>7</v>
      </c>
      <c r="H10" s="8">
        <v>250</v>
      </c>
      <c r="I10" s="8">
        <v>50</v>
      </c>
      <c r="J10" s="2"/>
      <c r="K10" s="24"/>
      <c r="L10" s="9"/>
      <c r="M10" s="16"/>
      <c r="R10" s="1">
        <f>IF(vend10[[#This Row],[Nº Venda]]&gt;1,1,0)</f>
        <v>1</v>
      </c>
    </row>
    <row r="11" spans="2:18" ht="15.75" x14ac:dyDescent="0.25">
      <c r="B11" s="29" t="s">
        <v>6</v>
      </c>
      <c r="C11" s="30">
        <f>(SUMIF($G$2:$G$32,B11,$I$2:$I$32))+(SUMIF($G$36:$G$42,B11,$H$36:$H$42))</f>
        <v>100</v>
      </c>
      <c r="D11" s="2"/>
      <c r="E11" s="93">
        <v>9908</v>
      </c>
      <c r="F11" s="24" t="s">
        <v>230</v>
      </c>
      <c r="G11" s="25" t="s">
        <v>50</v>
      </c>
      <c r="H11" s="8">
        <v>35</v>
      </c>
      <c r="I11" s="8">
        <v>0</v>
      </c>
      <c r="J11" s="2"/>
      <c r="K11" s="26"/>
      <c r="L11" s="9"/>
      <c r="M11" s="16"/>
      <c r="O11" s="1">
        <f>IF(C16=0,0,1)</f>
        <v>1</v>
      </c>
      <c r="R11" s="1">
        <f>IF(vend10[[#This Row],[Nº Venda]]&gt;1,1,0)</f>
        <v>1</v>
      </c>
    </row>
    <row r="12" spans="2:18" ht="15.75" x14ac:dyDescent="0.25">
      <c r="B12" s="29" t="s">
        <v>7</v>
      </c>
      <c r="C12" s="30">
        <f>(SUMIF($G$2:$G$32,B12,$I$2:$I$32))+(SUMIF($G$36:$G$42,B12,$H$36:$H$42))</f>
        <v>50</v>
      </c>
      <c r="D12" s="2"/>
      <c r="E12" s="93">
        <v>9909</v>
      </c>
      <c r="F12" s="24" t="s">
        <v>231</v>
      </c>
      <c r="G12" s="25" t="s">
        <v>8</v>
      </c>
      <c r="H12" s="8">
        <v>908</v>
      </c>
      <c r="I12" s="8">
        <v>908</v>
      </c>
      <c r="J12" s="2"/>
      <c r="R12" s="1">
        <f>IF(vend10[[#This Row],[Nº Venda]]&gt;1,1,0)</f>
        <v>1</v>
      </c>
    </row>
    <row r="13" spans="2:18" ht="15.75" x14ac:dyDescent="0.25">
      <c r="B13" s="29" t="s">
        <v>8</v>
      </c>
      <c r="C13" s="30">
        <f>(SUMIF($G$2:$G$32,B13,$I$2:$I$32))+(SUMIF($G$36:$G$42,B13,$H$36:$H$42))</f>
        <v>4848</v>
      </c>
      <c r="D13" s="2"/>
      <c r="E13" s="93">
        <v>9910</v>
      </c>
      <c r="F13" s="24" t="s">
        <v>231</v>
      </c>
      <c r="G13" s="25" t="s">
        <v>8</v>
      </c>
      <c r="H13" s="8">
        <v>250</v>
      </c>
      <c r="I13" s="8">
        <v>250</v>
      </c>
      <c r="J13" s="2"/>
      <c r="K13" s="108" t="s">
        <v>22</v>
      </c>
      <c r="L13" s="109"/>
      <c r="M13" s="110"/>
      <c r="R13" s="1">
        <f>IF(vend10[[#This Row],[Nº Venda]]&gt;1,1,0)</f>
        <v>1</v>
      </c>
    </row>
    <row r="14" spans="2:18" ht="15.75" x14ac:dyDescent="0.25">
      <c r="B14" s="29" t="s">
        <v>9</v>
      </c>
      <c r="C14" s="30">
        <f>(SUMIF($G$2:$G$32,B14,$I$2:$I$32))+(SUMIF($G$36:$G$42,B14,$H$36:$H$42))</f>
        <v>0</v>
      </c>
      <c r="D14" s="2"/>
      <c r="E14" s="93">
        <v>9911</v>
      </c>
      <c r="F14" s="24" t="s">
        <v>239</v>
      </c>
      <c r="G14" s="25" t="s">
        <v>8</v>
      </c>
      <c r="H14" s="8">
        <v>1799</v>
      </c>
      <c r="I14" s="8">
        <v>1799</v>
      </c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1</v>
      </c>
    </row>
    <row r="15" spans="2:18" ht="15.75" x14ac:dyDescent="0.25">
      <c r="B15" s="29" t="s">
        <v>10</v>
      </c>
      <c r="C15" s="30">
        <f>(SUMIF($G$2:$G$32,B15,$I$2:$I$32))+(SUMIF($G$36:$G$42,B15,$H$36:$H$42))</f>
        <v>794.83</v>
      </c>
      <c r="D15" s="2"/>
      <c r="E15" s="93">
        <v>9912</v>
      </c>
      <c r="F15" s="24" t="s">
        <v>240</v>
      </c>
      <c r="G15" s="25" t="s">
        <v>8</v>
      </c>
      <c r="H15" s="8">
        <v>91</v>
      </c>
      <c r="I15" s="8">
        <v>91</v>
      </c>
      <c r="J15" s="2"/>
      <c r="K15" s="101">
        <v>9869</v>
      </c>
      <c r="L15" s="9" t="s">
        <v>136</v>
      </c>
      <c r="M15" s="16" t="s">
        <v>142</v>
      </c>
      <c r="R15" s="1">
        <f>IF(vend10[[#This Row],[Nº Venda]]&gt;1,1,0)</f>
        <v>1</v>
      </c>
    </row>
    <row r="16" spans="2:18" ht="15.75" x14ac:dyDescent="0.25">
      <c r="B16" s="27" t="s">
        <v>11</v>
      </c>
      <c r="C16" s="31">
        <f>SUM(C11:C15)</f>
        <v>5792.83</v>
      </c>
      <c r="D16" s="2"/>
      <c r="E16" s="93"/>
      <c r="F16" s="24"/>
      <c r="G16" s="25"/>
      <c r="H16" s="8"/>
      <c r="I16" s="8"/>
      <c r="J16" s="2"/>
      <c r="K16" s="101">
        <v>9846</v>
      </c>
      <c r="L16" s="9" t="s">
        <v>134</v>
      </c>
      <c r="M16" s="104" t="s">
        <v>163</v>
      </c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>
        <v>9845</v>
      </c>
      <c r="L17" s="9" t="s">
        <v>134</v>
      </c>
      <c r="M17" s="16" t="s">
        <v>163</v>
      </c>
      <c r="R17" s="1">
        <f>IF(vend10[[#This Row],[Nº Venda]]&gt;1,1,0)</f>
        <v>0</v>
      </c>
    </row>
    <row r="18" spans="2:18" ht="15.75" x14ac:dyDescent="0.25">
      <c r="B18" s="106" t="s">
        <v>12</v>
      </c>
      <c r="C18" s="106"/>
      <c r="D18" s="2"/>
      <c r="E18" s="93"/>
      <c r="F18" s="24"/>
      <c r="G18" s="25"/>
      <c r="H18" s="8"/>
      <c r="I18" s="8"/>
      <c r="J18" s="2"/>
      <c r="K18" s="101">
        <v>9834</v>
      </c>
      <c r="L18" s="9" t="s">
        <v>130</v>
      </c>
      <c r="M18" s="16" t="s">
        <v>142</v>
      </c>
      <c r="R18" s="1">
        <f>IF(vend10[[#This Row],[Nº Venda]]&gt;1,1,0)</f>
        <v>0</v>
      </c>
    </row>
    <row r="19" spans="2:18" ht="15.75" x14ac:dyDescent="0.25">
      <c r="B19" s="29">
        <f>COUNT(entr_carn10[OS])</f>
        <v>1</v>
      </c>
      <c r="C19" s="30">
        <f>SUM(entr_carn10[Valor Total])</f>
        <v>580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IF(vend10[[#This Row],[Nº Venda]]&gt;1,1,0)</f>
        <v>0</v>
      </c>
    </row>
    <row r="20" spans="2:18" ht="15.75" x14ac:dyDescent="0.25">
      <c r="B20" s="27" t="s">
        <v>11</v>
      </c>
      <c r="C20" s="31">
        <f>SUM(C19:C19)</f>
        <v>580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5098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43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43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43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.75" x14ac:dyDescent="0.25">
      <c r="B32" s="2"/>
      <c r="C32" s="2"/>
      <c r="E32" s="34"/>
      <c r="F32" s="38"/>
      <c r="G32" s="25"/>
      <c r="H32" s="8"/>
      <c r="I32" s="8"/>
    </row>
    <row r="33" spans="2:18" ht="15" x14ac:dyDescent="0.25">
      <c r="B33" s="2"/>
      <c r="C33" s="2"/>
      <c r="E33" s="32"/>
      <c r="K33" s="108" t="s">
        <v>12</v>
      </c>
      <c r="L33" s="109"/>
      <c r="M33" s="110"/>
    </row>
    <row r="34" spans="2:18" ht="15" x14ac:dyDescent="0.25">
      <c r="E34" s="107" t="s">
        <v>28</v>
      </c>
      <c r="F34" s="107"/>
      <c r="G34" s="107"/>
      <c r="H34" s="107"/>
      <c r="I34" s="107"/>
      <c r="K34" s="14" t="s">
        <v>23</v>
      </c>
      <c r="L34" s="6" t="s">
        <v>31</v>
      </c>
      <c r="M34" s="15" t="s">
        <v>32</v>
      </c>
    </row>
    <row r="35" spans="2:18" ht="15" x14ac:dyDescent="0.25">
      <c r="E35" s="99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101">
        <v>9845</v>
      </c>
      <c r="L35" s="40">
        <v>8</v>
      </c>
      <c r="M35" s="16">
        <v>580</v>
      </c>
    </row>
    <row r="36" spans="2:18" ht="15.75" x14ac:dyDescent="0.25">
      <c r="E36" s="93">
        <v>9704</v>
      </c>
      <c r="F36" s="24" t="s">
        <v>233</v>
      </c>
      <c r="G36" s="25" t="s">
        <v>6</v>
      </c>
      <c r="H36" s="8">
        <v>100</v>
      </c>
      <c r="I36" s="8" t="s">
        <v>35</v>
      </c>
      <c r="K36" s="101"/>
      <c r="L36" s="40"/>
      <c r="M36" s="16"/>
    </row>
    <row r="37" spans="2:18" ht="15.75" x14ac:dyDescent="0.25">
      <c r="E37" s="97">
        <v>9711</v>
      </c>
      <c r="F37" s="24" t="s">
        <v>234</v>
      </c>
      <c r="G37" s="25" t="s">
        <v>10</v>
      </c>
      <c r="H37" s="8">
        <v>100</v>
      </c>
      <c r="I37" s="8" t="s">
        <v>82</v>
      </c>
      <c r="K37" s="101"/>
      <c r="L37" s="40"/>
      <c r="M37" s="16"/>
    </row>
    <row r="38" spans="2:18" ht="15.75" x14ac:dyDescent="0.25">
      <c r="E38" s="93">
        <v>9495</v>
      </c>
      <c r="F38" s="24" t="s">
        <v>235</v>
      </c>
      <c r="G38" s="25" t="s">
        <v>10</v>
      </c>
      <c r="H38" s="8">
        <v>350</v>
      </c>
      <c r="I38" s="8" t="s">
        <v>46</v>
      </c>
      <c r="K38" s="101"/>
      <c r="L38" s="40"/>
      <c r="M38" s="16"/>
    </row>
    <row r="39" spans="2:18" ht="15.75" x14ac:dyDescent="0.25">
      <c r="E39" s="93">
        <v>9424</v>
      </c>
      <c r="F39" s="24" t="s">
        <v>236</v>
      </c>
      <c r="G39" s="25" t="s">
        <v>10</v>
      </c>
      <c r="H39" s="8">
        <v>104.83</v>
      </c>
      <c r="I39" s="8" t="s">
        <v>45</v>
      </c>
      <c r="K39" s="101"/>
      <c r="L39" s="40"/>
      <c r="M39" s="16"/>
    </row>
    <row r="40" spans="2:18" ht="15.75" x14ac:dyDescent="0.25">
      <c r="E40" s="93">
        <v>8817</v>
      </c>
      <c r="F40" s="38" t="s">
        <v>237</v>
      </c>
      <c r="G40" s="25" t="s">
        <v>10</v>
      </c>
      <c r="H40" s="8">
        <v>180</v>
      </c>
      <c r="I40" s="8" t="s">
        <v>56</v>
      </c>
      <c r="K40" s="102"/>
      <c r="L40" s="41"/>
      <c r="M40" s="39"/>
      <c r="Q40" s="1" t="s">
        <v>36</v>
      </c>
      <c r="R40" s="1">
        <f>SUM(R6:R21)</f>
        <v>10</v>
      </c>
    </row>
    <row r="41" spans="2:18" ht="15.75" x14ac:dyDescent="0.25">
      <c r="E41" s="95">
        <v>9102</v>
      </c>
      <c r="F41" s="35" t="s">
        <v>238</v>
      </c>
      <c r="G41" s="36" t="s">
        <v>10</v>
      </c>
      <c r="H41" s="17">
        <v>60</v>
      </c>
      <c r="I41" s="8" t="s">
        <v>48</v>
      </c>
      <c r="K41" s="101"/>
      <c r="L41" s="40"/>
      <c r="M41" s="39"/>
    </row>
    <row r="42" spans="2:18" ht="15.75" x14ac:dyDescent="0.25">
      <c r="E42" s="42"/>
      <c r="F42" s="38"/>
      <c r="G42" s="25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topLeftCell="A22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'10'!B1+1</f>
        <v>45576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1310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900</v>
      </c>
      <c r="D6" s="2"/>
      <c r="E6" s="93">
        <v>9913</v>
      </c>
      <c r="F6" s="24" t="s">
        <v>241</v>
      </c>
      <c r="G6" s="25" t="s">
        <v>40</v>
      </c>
      <c r="H6" s="8"/>
      <c r="I6" s="8"/>
      <c r="J6" s="2"/>
      <c r="K6" s="24"/>
      <c r="L6" s="9"/>
      <c r="M6" s="16"/>
      <c r="R6" s="1">
        <f>IF(vend11[[#This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>
        <v>9914</v>
      </c>
      <c r="F7" s="24" t="s">
        <v>246</v>
      </c>
      <c r="G7" s="25" t="s">
        <v>7</v>
      </c>
      <c r="H7" s="8">
        <v>770</v>
      </c>
      <c r="I7" s="8">
        <v>70</v>
      </c>
      <c r="J7" s="2"/>
      <c r="K7" s="24"/>
      <c r="L7" s="9"/>
      <c r="M7" s="16"/>
      <c r="R7" s="1">
        <f>IF(vend11[[#This Row],[Nº Venda]]&gt;1,1,0)</f>
        <v>1</v>
      </c>
    </row>
    <row r="8" spans="2:18" ht="15.75" x14ac:dyDescent="0.25">
      <c r="B8" s="27" t="s">
        <v>21</v>
      </c>
      <c r="C8" s="28">
        <f>SUM(C6:C7)</f>
        <v>900</v>
      </c>
      <c r="D8" s="2"/>
      <c r="E8" s="93">
        <v>9915</v>
      </c>
      <c r="F8" s="24" t="s">
        <v>247</v>
      </c>
      <c r="G8" s="25" t="s">
        <v>7</v>
      </c>
      <c r="H8" s="8">
        <v>540</v>
      </c>
      <c r="I8" s="8">
        <v>30</v>
      </c>
      <c r="J8" s="2"/>
      <c r="K8" s="24"/>
      <c r="L8" s="9"/>
      <c r="M8" s="16"/>
      <c r="R8" s="1">
        <f>IF(vend11[[#This Row],[Nº Venda]]&gt;1,1,0)</f>
        <v>1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IF(vend11[[#This Row],[Nº Venda]]&gt;1,1,0)</f>
        <v>0</v>
      </c>
    </row>
    <row r="10" spans="2:18" ht="15.75" x14ac:dyDescent="0.25">
      <c r="B10" s="106" t="s">
        <v>5</v>
      </c>
      <c r="C10" s="106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178.32999999999998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900</v>
      </c>
      <c r="D12" s="2"/>
      <c r="E12" s="93"/>
      <c r="F12" s="24"/>
      <c r="G12" s="25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IF(vend11[[#This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29" t="s">
        <v>10</v>
      </c>
      <c r="C15" s="30">
        <f t="shared" si="0"/>
        <v>110</v>
      </c>
      <c r="D15" s="2"/>
      <c r="E15" s="93"/>
      <c r="F15" s="24"/>
      <c r="G15" s="25"/>
      <c r="H15" s="8"/>
      <c r="I15" s="8"/>
      <c r="J15" s="2"/>
      <c r="K15" s="101">
        <v>9863</v>
      </c>
      <c r="L15" s="9" t="s">
        <v>134</v>
      </c>
      <c r="M15" s="16" t="s">
        <v>142</v>
      </c>
      <c r="R15" s="1">
        <f>IF(vend11[[#This Row],[Nº Venda]]&gt;1,1,0)</f>
        <v>0</v>
      </c>
    </row>
    <row r="16" spans="2:18" ht="15.75" x14ac:dyDescent="0.25">
      <c r="B16" s="27" t="s">
        <v>11</v>
      </c>
      <c r="C16" s="31">
        <f>SUM(C11:C15)</f>
        <v>1188.33</v>
      </c>
      <c r="D16" s="2"/>
      <c r="E16" s="93"/>
      <c r="F16" s="24"/>
      <c r="G16" s="25"/>
      <c r="H16" s="8"/>
      <c r="I16" s="8"/>
      <c r="J16" s="2"/>
      <c r="K16" s="101">
        <v>9862</v>
      </c>
      <c r="L16" s="9" t="s">
        <v>130</v>
      </c>
      <c r="M16" s="16" t="s">
        <v>142</v>
      </c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>
        <v>9857</v>
      </c>
      <c r="L17" s="9" t="s">
        <v>136</v>
      </c>
      <c r="M17" s="16" t="s">
        <v>142</v>
      </c>
      <c r="R17" s="1">
        <f>IF(vend11[[#This Row],[Nº Venda]]&gt;1,1,0)</f>
        <v>0</v>
      </c>
    </row>
    <row r="18" spans="2:18" ht="15.75" x14ac:dyDescent="0.25">
      <c r="B18" s="106" t="s">
        <v>12</v>
      </c>
      <c r="C18" s="106"/>
      <c r="D18" s="2"/>
      <c r="E18" s="93"/>
      <c r="F18" s="24"/>
      <c r="G18" s="25"/>
      <c r="H18" s="8"/>
      <c r="I18" s="8"/>
      <c r="J18" s="2"/>
      <c r="K18" s="101">
        <v>9820</v>
      </c>
      <c r="L18" s="9" t="s">
        <v>130</v>
      </c>
      <c r="M18" s="16" t="s">
        <v>142</v>
      </c>
      <c r="R18" s="1">
        <f>IF(vend11[[#This Row],[Nº Venda]]&gt;1,1,0)</f>
        <v>0</v>
      </c>
    </row>
    <row r="19" spans="2:18" ht="15.75" x14ac:dyDescent="0.25">
      <c r="B19" s="29">
        <f>COUNT(entr_carn11[OS])</f>
        <v>0</v>
      </c>
      <c r="C19" s="30">
        <f>SUM(entr_carn11[Valor Total])</f>
        <v>0</v>
      </c>
      <c r="D19" s="2"/>
      <c r="E19" s="93"/>
      <c r="F19" s="24"/>
      <c r="G19" s="25"/>
      <c r="H19" s="8"/>
      <c r="I19" s="8"/>
      <c r="J19" s="2"/>
      <c r="K19" s="101">
        <v>9859</v>
      </c>
      <c r="L19" s="9" t="s">
        <v>136</v>
      </c>
      <c r="M19" s="16" t="s">
        <v>142</v>
      </c>
      <c r="R19" s="1">
        <f>IF(vend11[[#This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1310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9863</v>
      </c>
      <c r="F26" s="24" t="s">
        <v>242</v>
      </c>
      <c r="G26" s="43" t="s">
        <v>7</v>
      </c>
      <c r="H26" s="8"/>
      <c r="I26" s="8">
        <v>800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9189</v>
      </c>
      <c r="F35" s="24" t="s">
        <v>243</v>
      </c>
      <c r="G35" s="25" t="s">
        <v>10</v>
      </c>
      <c r="H35" s="8">
        <v>100</v>
      </c>
      <c r="I35" s="8" t="s">
        <v>44</v>
      </c>
      <c r="K35" s="101"/>
      <c r="L35" s="40"/>
      <c r="M35" s="16"/>
    </row>
    <row r="36" spans="2:18" ht="15.75" x14ac:dyDescent="0.25">
      <c r="E36" s="97">
        <v>8790</v>
      </c>
      <c r="F36" s="24" t="s">
        <v>244</v>
      </c>
      <c r="G36" s="25" t="s">
        <v>6</v>
      </c>
      <c r="H36" s="8">
        <v>55</v>
      </c>
      <c r="I36" s="8" t="s">
        <v>35</v>
      </c>
      <c r="K36" s="101"/>
      <c r="L36" s="40"/>
      <c r="M36" s="16"/>
    </row>
    <row r="37" spans="2:18" ht="15.75" x14ac:dyDescent="0.25">
      <c r="E37" s="93">
        <v>9054</v>
      </c>
      <c r="F37" s="24" t="s">
        <v>245</v>
      </c>
      <c r="G37" s="25" t="s">
        <v>10</v>
      </c>
      <c r="H37" s="8">
        <v>10</v>
      </c>
      <c r="I37" s="8" t="s">
        <v>73</v>
      </c>
      <c r="K37" s="101"/>
      <c r="L37" s="40"/>
      <c r="M37" s="16"/>
    </row>
    <row r="38" spans="2:18" ht="15.75" x14ac:dyDescent="0.25">
      <c r="E38" s="93">
        <v>9054</v>
      </c>
      <c r="F38" s="24" t="s">
        <v>245</v>
      </c>
      <c r="G38" s="25" t="s">
        <v>6</v>
      </c>
      <c r="H38" s="8">
        <v>123.33</v>
      </c>
      <c r="I38" s="8" t="s">
        <v>73</v>
      </c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view="pageBreakPreview" topLeftCell="A11" zoomScale="60" zoomScaleNormal="80" workbookViewId="0">
      <selection activeCell="H9" sqref="H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'11'!B1+1</f>
        <v>45577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3640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2500</v>
      </c>
      <c r="D6" s="2"/>
      <c r="E6" s="93">
        <v>9916</v>
      </c>
      <c r="F6" s="47" t="s">
        <v>248</v>
      </c>
      <c r="G6" s="47" t="s">
        <v>10</v>
      </c>
      <c r="H6" s="48">
        <v>1290</v>
      </c>
      <c r="I6" s="48">
        <v>50</v>
      </c>
      <c r="J6" s="2"/>
      <c r="K6" s="24"/>
      <c r="L6" s="9"/>
      <c r="M6" s="16"/>
      <c r="R6" s="1">
        <f>IF(vend12[[#This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>
        <v>9917</v>
      </c>
      <c r="F7" s="49" t="s">
        <v>249</v>
      </c>
      <c r="G7" s="49" t="s">
        <v>10</v>
      </c>
      <c r="H7" s="50">
        <v>1470</v>
      </c>
      <c r="I7" s="50">
        <v>1470</v>
      </c>
      <c r="J7" s="2"/>
      <c r="K7" s="24"/>
      <c r="L7" s="9"/>
      <c r="M7" s="16"/>
      <c r="R7" s="1">
        <f>IF(vend12[[#This Row],[Nº Venda]]&gt;1,1,0)</f>
        <v>1</v>
      </c>
    </row>
    <row r="8" spans="2:18" ht="15.75" x14ac:dyDescent="0.25">
      <c r="B8" s="27" t="s">
        <v>21</v>
      </c>
      <c r="C8" s="28">
        <f>SUM(C6:C7)</f>
        <v>2500</v>
      </c>
      <c r="D8" s="2"/>
      <c r="E8" s="93">
        <v>9918</v>
      </c>
      <c r="F8" s="49" t="s">
        <v>250</v>
      </c>
      <c r="G8" s="49" t="s">
        <v>8</v>
      </c>
      <c r="H8" s="50">
        <v>750</v>
      </c>
      <c r="I8" s="50">
        <v>750</v>
      </c>
      <c r="J8" s="2"/>
      <c r="K8" s="24"/>
      <c r="L8" s="9"/>
      <c r="M8" s="16"/>
      <c r="R8" s="1">
        <f>IF(vend12[[#This Row],[Nº Venda]]&gt;1,1,0)</f>
        <v>1</v>
      </c>
    </row>
    <row r="9" spans="2:18" ht="15.75" x14ac:dyDescent="0.25">
      <c r="B9" s="2"/>
      <c r="C9" s="2"/>
      <c r="D9" s="2"/>
      <c r="E9" s="93">
        <v>9919</v>
      </c>
      <c r="F9" s="24" t="s">
        <v>299</v>
      </c>
      <c r="G9" s="25" t="s">
        <v>10</v>
      </c>
      <c r="H9" s="8">
        <v>130</v>
      </c>
      <c r="I9" s="8">
        <v>30</v>
      </c>
      <c r="J9" s="2"/>
      <c r="K9" s="24"/>
      <c r="L9" s="9"/>
      <c r="M9" s="16"/>
      <c r="R9" s="1">
        <f>IF(vend12[[#This Row],[Nº Venda]]&gt;1,1,0)</f>
        <v>1</v>
      </c>
    </row>
    <row r="10" spans="2:18" ht="15.75" x14ac:dyDescent="0.25">
      <c r="B10" s="106" t="s">
        <v>5</v>
      </c>
      <c r="C10" s="106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29" t="s">
        <v>8</v>
      </c>
      <c r="C13" s="30">
        <f t="shared" si="0"/>
        <v>950</v>
      </c>
      <c r="D13" s="2"/>
      <c r="E13" s="94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IF(vend12[[#This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29" t="s">
        <v>10</v>
      </c>
      <c r="C15" s="30">
        <f t="shared" si="0"/>
        <v>2074.58</v>
      </c>
      <c r="D15" s="2"/>
      <c r="E15" s="93"/>
      <c r="F15" s="24"/>
      <c r="G15" s="25"/>
      <c r="H15" s="8"/>
      <c r="I15" s="8"/>
      <c r="J15" s="2"/>
      <c r="K15" s="101">
        <v>9007</v>
      </c>
      <c r="L15" s="9" t="s">
        <v>130</v>
      </c>
      <c r="M15" s="16" t="s">
        <v>142</v>
      </c>
      <c r="R15" s="1">
        <f>IF(vend12[[#This Row],[Nº Venda]]&gt;1,1,0)</f>
        <v>0</v>
      </c>
    </row>
    <row r="16" spans="2:18" ht="15.75" x14ac:dyDescent="0.25">
      <c r="B16" s="27" t="s">
        <v>11</v>
      </c>
      <c r="C16" s="31">
        <f>SUM(C11:C15)</f>
        <v>3024.58</v>
      </c>
      <c r="D16" s="2"/>
      <c r="E16" s="93"/>
      <c r="F16" s="24"/>
      <c r="G16" s="25"/>
      <c r="H16" s="8"/>
      <c r="I16" s="8"/>
      <c r="J16" s="2"/>
      <c r="K16" s="101">
        <v>9847</v>
      </c>
      <c r="L16" s="9" t="s">
        <v>130</v>
      </c>
      <c r="M16" s="16" t="s">
        <v>142</v>
      </c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>
        <v>9828</v>
      </c>
      <c r="L17" s="9" t="s">
        <v>136</v>
      </c>
      <c r="M17" s="16" t="s">
        <v>142</v>
      </c>
      <c r="R17" s="1">
        <f>IF(vend12[[#This Row],[Nº Venda]]&gt;1,1,0)</f>
        <v>0</v>
      </c>
    </row>
    <row r="18" spans="2:18" ht="15.75" x14ac:dyDescent="0.25">
      <c r="B18" s="106" t="s">
        <v>12</v>
      </c>
      <c r="C18" s="106"/>
      <c r="D18" s="2"/>
      <c r="E18" s="93"/>
      <c r="F18" s="24"/>
      <c r="G18" s="25"/>
      <c r="H18" s="8"/>
      <c r="I18" s="8"/>
      <c r="J18" s="2"/>
      <c r="K18" s="101">
        <v>9479</v>
      </c>
      <c r="L18" s="9" t="s">
        <v>136</v>
      </c>
      <c r="M18" s="16" t="s">
        <v>142</v>
      </c>
      <c r="R18" s="1">
        <f>IF(vend12[[#This Row],[Nº Venda]]&gt;1,1,0)</f>
        <v>0</v>
      </c>
    </row>
    <row r="19" spans="2:18" ht="15.75" x14ac:dyDescent="0.25">
      <c r="B19" s="29">
        <f>COUNT(entr_carn12[OS])</f>
        <v>1</v>
      </c>
      <c r="C19" s="30">
        <f>SUM(entr_carn12[Valor Total])</f>
        <v>1200</v>
      </c>
      <c r="D19" s="2"/>
      <c r="E19" s="93"/>
      <c r="F19" s="24"/>
      <c r="G19" s="25"/>
      <c r="H19" s="8"/>
      <c r="I19" s="8"/>
      <c r="J19" s="2"/>
      <c r="K19" s="101">
        <v>9836</v>
      </c>
      <c r="L19" s="9" t="s">
        <v>130</v>
      </c>
      <c r="M19" s="16" t="s">
        <v>163</v>
      </c>
      <c r="R19" s="1">
        <f>IF(vend12[[#This Row],[Nº Venda]]&gt;1,1,0)</f>
        <v>0</v>
      </c>
    </row>
    <row r="20" spans="2:18" ht="15.75" x14ac:dyDescent="0.25">
      <c r="B20" s="27" t="s">
        <v>11</v>
      </c>
      <c r="C20" s="31">
        <f>SUM(C19:C19)</f>
        <v>1200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3640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9907</v>
      </c>
      <c r="F26" s="51" t="s">
        <v>250</v>
      </c>
      <c r="G26" s="43" t="s">
        <v>8</v>
      </c>
      <c r="H26" s="8"/>
      <c r="I26" s="8">
        <v>200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9441</v>
      </c>
      <c r="F35" s="24" t="s">
        <v>251</v>
      </c>
      <c r="G35" s="25" t="s">
        <v>10</v>
      </c>
      <c r="H35" s="8">
        <v>356.25</v>
      </c>
      <c r="I35" s="8" t="s">
        <v>83</v>
      </c>
      <c r="K35" s="101">
        <v>9836</v>
      </c>
      <c r="L35" s="40">
        <v>8</v>
      </c>
      <c r="M35" s="16">
        <v>1200</v>
      </c>
    </row>
    <row r="36" spans="2:18" ht="15.75" x14ac:dyDescent="0.25">
      <c r="E36" s="97">
        <v>9072</v>
      </c>
      <c r="F36" s="24" t="s">
        <v>252</v>
      </c>
      <c r="G36" s="25" t="s">
        <v>10</v>
      </c>
      <c r="H36" s="8">
        <v>168.33</v>
      </c>
      <c r="I36" s="8" t="s">
        <v>81</v>
      </c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4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A24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'12'!B1+1</f>
        <v>45578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IF(vend13[[#This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IF(vend13[[#This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IF(vend13[[#This Row],[Nº Venda]]&gt;1,1,0)</f>
        <v>0</v>
      </c>
    </row>
    <row r="10" spans="2:18" ht="15.75" x14ac:dyDescent="0.25">
      <c r="B10" s="106" t="s">
        <v>5</v>
      </c>
      <c r="C10" s="106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IF(vend13[[#This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IF(vend13[[#This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IF(vend13[[#This Row],[Nº Venda]]&gt;1,1,0)</f>
        <v>0</v>
      </c>
    </row>
    <row r="18" spans="2:18" ht="15.75" x14ac:dyDescent="0.25">
      <c r="B18" s="106" t="s">
        <v>12</v>
      </c>
      <c r="C18" s="106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IF(vend13[[#This Row],[Nº Venda]]&gt;1,1,0)</f>
        <v>0</v>
      </c>
    </row>
    <row r="19" spans="2:18" ht="15.75" x14ac:dyDescent="0.25">
      <c r="B19" s="29">
        <f>COUNT(entr_carn13[OS])</f>
        <v>0</v>
      </c>
      <c r="C19" s="30">
        <f>SUM(entr_carn13[Valor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22" zoomScale="80" zoomScaleNormal="80" workbookViewId="0">
      <selection activeCell="M22" sqref="M2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9.425781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'13'!B1+1</f>
        <v>45579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2000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1680</v>
      </c>
      <c r="D6" s="2"/>
      <c r="E6" s="93">
        <v>9920</v>
      </c>
      <c r="F6" s="24" t="s">
        <v>254</v>
      </c>
      <c r="G6" s="43" t="s">
        <v>7</v>
      </c>
      <c r="H6" s="8">
        <v>800</v>
      </c>
      <c r="I6" s="8">
        <v>800</v>
      </c>
      <c r="J6" s="2"/>
      <c r="K6" s="24"/>
      <c r="L6" s="9"/>
      <c r="M6" s="16"/>
      <c r="R6" s="1">
        <f>IF(vend14[[#This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>
        <v>9921</v>
      </c>
      <c r="F7" s="24" t="s">
        <v>255</v>
      </c>
      <c r="G7" s="43" t="s">
        <v>7</v>
      </c>
      <c r="H7" s="8">
        <v>1200</v>
      </c>
      <c r="I7" s="8">
        <v>600</v>
      </c>
      <c r="J7" s="2"/>
      <c r="K7" s="24"/>
      <c r="L7" s="9"/>
      <c r="M7" s="16"/>
      <c r="R7" s="1">
        <f>IF(vend14[[#This Row],[Nº Venda]]&gt;1,1,0)</f>
        <v>1</v>
      </c>
    </row>
    <row r="8" spans="2:18" ht="15.75" x14ac:dyDescent="0.25">
      <c r="B8" s="27" t="s">
        <v>21</v>
      </c>
      <c r="C8" s="28">
        <f>SUM(C6:C7)</f>
        <v>1680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IF(vend14[[#This Row],[Nº Venda]]&gt;1,1,0)</f>
        <v>0</v>
      </c>
    </row>
    <row r="10" spans="2:18" ht="15.75" x14ac:dyDescent="0.25">
      <c r="B10" s="106" t="s">
        <v>5</v>
      </c>
      <c r="C10" s="106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200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1561.25</v>
      </c>
      <c r="D12" s="2"/>
      <c r="E12" s="93"/>
      <c r="F12" s="24"/>
      <c r="G12" s="25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IF(vend14[[#This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29" t="s">
        <v>10</v>
      </c>
      <c r="C15" s="30">
        <f t="shared" si="0"/>
        <v>80</v>
      </c>
      <c r="D15" s="2"/>
      <c r="E15" s="93"/>
      <c r="F15" s="24"/>
      <c r="G15" s="25"/>
      <c r="H15" s="8"/>
      <c r="I15" s="8"/>
      <c r="J15" s="2"/>
      <c r="K15" s="101">
        <v>9858</v>
      </c>
      <c r="L15" s="9" t="s">
        <v>136</v>
      </c>
      <c r="M15" s="16" t="s">
        <v>142</v>
      </c>
      <c r="R15" s="1">
        <f>IF(vend14[[#This Row],[Nº Venda]]&gt;1,1,0)</f>
        <v>0</v>
      </c>
    </row>
    <row r="16" spans="2:18" ht="15.75" x14ac:dyDescent="0.25">
      <c r="B16" s="27" t="s">
        <v>11</v>
      </c>
      <c r="C16" s="31">
        <f>SUM(C11:C15)</f>
        <v>1841.25</v>
      </c>
      <c r="D16" s="2"/>
      <c r="E16" s="93"/>
      <c r="F16" s="24"/>
      <c r="G16" s="25"/>
      <c r="H16" s="8"/>
      <c r="I16" s="8"/>
      <c r="J16" s="2"/>
      <c r="K16" s="101">
        <v>9889</v>
      </c>
      <c r="L16" s="9" t="s">
        <v>130</v>
      </c>
      <c r="M16" s="16" t="s">
        <v>142</v>
      </c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>
        <v>9861</v>
      </c>
      <c r="L17" s="9" t="s">
        <v>134</v>
      </c>
      <c r="M17" s="16" t="s">
        <v>142</v>
      </c>
      <c r="R17" s="1">
        <f>IF(vend14[[#This Row],[Nº Venda]]&gt;1,1,0)</f>
        <v>0</v>
      </c>
    </row>
    <row r="18" spans="2:18" ht="15.75" x14ac:dyDescent="0.25">
      <c r="B18" s="106" t="s">
        <v>12</v>
      </c>
      <c r="C18" s="106"/>
      <c r="D18" s="2"/>
      <c r="E18" s="93"/>
      <c r="F18" s="24"/>
      <c r="G18" s="25"/>
      <c r="H18" s="8"/>
      <c r="I18" s="8"/>
      <c r="J18" s="2"/>
      <c r="K18" s="101">
        <v>9830</v>
      </c>
      <c r="L18" s="9" t="s">
        <v>130</v>
      </c>
      <c r="M18" s="16" t="s">
        <v>142</v>
      </c>
      <c r="R18" s="1">
        <f>IF(vend14[[#This Row],[Nº Venda]]&gt;1,1,0)</f>
        <v>0</v>
      </c>
    </row>
    <row r="19" spans="2:18" ht="15.75" x14ac:dyDescent="0.25">
      <c r="B19" s="29">
        <f>COUNT(entr_carn14[OS])</f>
        <v>0</v>
      </c>
      <c r="C19" s="30">
        <f>SUM(entr_carn14[Valor Total])</f>
        <v>0</v>
      </c>
      <c r="D19" s="2"/>
      <c r="E19" s="93"/>
      <c r="F19" s="24"/>
      <c r="G19" s="25"/>
      <c r="H19" s="8"/>
      <c r="I19" s="8"/>
      <c r="J19" s="2"/>
      <c r="K19" s="101">
        <v>9796</v>
      </c>
      <c r="L19" s="9" t="s">
        <v>130</v>
      </c>
      <c r="M19" s="16" t="s">
        <v>142</v>
      </c>
      <c r="R19" s="1">
        <f>IF(vend14[[#This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>
        <v>9893</v>
      </c>
      <c r="L20" s="9" t="s">
        <v>136</v>
      </c>
      <c r="M20" s="16" t="s">
        <v>142</v>
      </c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>
        <v>9695</v>
      </c>
      <c r="L21" s="9" t="s">
        <v>130</v>
      </c>
      <c r="M21" s="16" t="s">
        <v>142</v>
      </c>
    </row>
    <row r="22" spans="2:18" ht="15.75" x14ac:dyDescent="0.25">
      <c r="B22" s="27" t="s">
        <v>26</v>
      </c>
      <c r="C22" s="31">
        <f>C5</f>
        <v>2000</v>
      </c>
      <c r="D22" s="2"/>
      <c r="E22" s="93"/>
      <c r="F22" s="24"/>
      <c r="G22" s="25"/>
      <c r="H22" s="8"/>
      <c r="I22" s="8"/>
      <c r="J22" s="2"/>
      <c r="K22" s="101">
        <v>9877</v>
      </c>
      <c r="L22" s="9" t="s">
        <v>136</v>
      </c>
      <c r="M22" s="16" t="s">
        <v>142</v>
      </c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9889</v>
      </c>
      <c r="F26" s="24" t="s">
        <v>199</v>
      </c>
      <c r="G26" s="25" t="s">
        <v>6</v>
      </c>
      <c r="H26" s="8"/>
      <c r="I26" s="8">
        <v>200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>
        <v>9889</v>
      </c>
      <c r="F27" s="24" t="s">
        <v>199</v>
      </c>
      <c r="G27" s="25" t="s">
        <v>10</v>
      </c>
      <c r="H27" s="8"/>
      <c r="I27" s="8">
        <v>80</v>
      </c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9116</v>
      </c>
      <c r="F35" s="24" t="s">
        <v>256</v>
      </c>
      <c r="G35" s="25" t="s">
        <v>7</v>
      </c>
      <c r="H35" s="8">
        <v>161.25</v>
      </c>
      <c r="I35" s="8" t="s">
        <v>38</v>
      </c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22" zoomScale="80" zoomScaleNormal="80" workbookViewId="0">
      <selection activeCell="H13" sqref="H13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'14'!B1+1</f>
        <v>45580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3534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3713</v>
      </c>
      <c r="D6" s="2"/>
      <c r="E6" s="93">
        <v>9922</v>
      </c>
      <c r="F6" s="24" t="s">
        <v>257</v>
      </c>
      <c r="G6" s="43" t="s">
        <v>6</v>
      </c>
      <c r="H6" s="8">
        <v>49</v>
      </c>
      <c r="I6" s="8">
        <v>49</v>
      </c>
      <c r="J6" s="2"/>
      <c r="K6" s="24"/>
      <c r="L6" s="9"/>
      <c r="M6" s="16"/>
      <c r="R6" s="1">
        <f>IF(vend15[[#This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>
        <v>9923</v>
      </c>
      <c r="F7" s="24" t="s">
        <v>261</v>
      </c>
      <c r="G7" s="43" t="s">
        <v>8</v>
      </c>
      <c r="H7" s="8">
        <v>2790</v>
      </c>
      <c r="I7" s="8">
        <v>2790</v>
      </c>
      <c r="J7" s="2"/>
      <c r="K7" s="24"/>
      <c r="L7" s="9"/>
      <c r="M7" s="16"/>
      <c r="R7" s="1">
        <f>IF(vend15[[#This Row],[Nº Venda]]&gt;1,1,0)</f>
        <v>1</v>
      </c>
    </row>
    <row r="8" spans="2:18" ht="15.75" x14ac:dyDescent="0.25">
      <c r="B8" s="27" t="s">
        <v>21</v>
      </c>
      <c r="C8" s="28">
        <f>SUM(C6:C7)</f>
        <v>3713</v>
      </c>
      <c r="D8" s="2"/>
      <c r="E8" s="93">
        <v>9824</v>
      </c>
      <c r="F8" s="24" t="s">
        <v>261</v>
      </c>
      <c r="G8" s="25" t="s">
        <v>8</v>
      </c>
      <c r="H8" s="8">
        <v>175</v>
      </c>
      <c r="I8" s="8">
        <v>175</v>
      </c>
      <c r="J8" s="2"/>
      <c r="K8" s="24"/>
      <c r="L8" s="9"/>
      <c r="M8" s="16"/>
      <c r="R8" s="1">
        <f>IF(vend15[[#This Row],[Nº Venda]]&gt;1,1,0)</f>
        <v>1</v>
      </c>
    </row>
    <row r="9" spans="2:18" ht="15.75" x14ac:dyDescent="0.25">
      <c r="B9" s="2"/>
      <c r="C9" s="2"/>
      <c r="D9" s="2"/>
      <c r="E9" s="93">
        <v>9925</v>
      </c>
      <c r="F9" s="24" t="s">
        <v>258</v>
      </c>
      <c r="G9" s="25" t="s">
        <v>10</v>
      </c>
      <c r="H9" s="8">
        <v>450</v>
      </c>
      <c r="I9" s="8">
        <v>50</v>
      </c>
      <c r="J9" s="2"/>
      <c r="K9" s="24"/>
      <c r="L9" s="9"/>
      <c r="M9" s="16"/>
      <c r="R9" s="1">
        <f>IF(vend15[[#This Row],[Nº Venda]]&gt;1,1,0)</f>
        <v>1</v>
      </c>
    </row>
    <row r="10" spans="2:18" ht="15.75" x14ac:dyDescent="0.25">
      <c r="B10" s="106" t="s">
        <v>5</v>
      </c>
      <c r="C10" s="106"/>
      <c r="D10" s="2"/>
      <c r="E10" s="93">
        <v>9926</v>
      </c>
      <c r="F10" s="24" t="s">
        <v>262</v>
      </c>
      <c r="G10" s="25" t="s">
        <v>10</v>
      </c>
      <c r="H10" s="8">
        <v>70</v>
      </c>
      <c r="I10" s="8">
        <v>70</v>
      </c>
      <c r="J10" s="2"/>
      <c r="K10" s="24"/>
      <c r="L10" s="9"/>
      <c r="M10" s="16"/>
      <c r="R10" s="1">
        <f>IF(vend15[[#This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49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29" t="s">
        <v>8</v>
      </c>
      <c r="C13" s="30">
        <f t="shared" si="0"/>
        <v>3544</v>
      </c>
      <c r="D13" s="2"/>
      <c r="E13" s="94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IF(vend15[[#This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29" t="s">
        <v>10</v>
      </c>
      <c r="C15" s="30">
        <f t="shared" si="0"/>
        <v>300</v>
      </c>
      <c r="D15" s="2"/>
      <c r="E15" s="93"/>
      <c r="F15" s="24"/>
      <c r="G15" s="25"/>
      <c r="H15" s="8"/>
      <c r="I15" s="8"/>
      <c r="J15" s="2"/>
      <c r="K15" s="101">
        <v>9922</v>
      </c>
      <c r="L15" s="9" t="s">
        <v>136</v>
      </c>
      <c r="M15" s="64" t="s">
        <v>142</v>
      </c>
      <c r="R15" s="1">
        <f>IF(vend15[[#This Row],[Nº Venda]]&gt;1,1,0)</f>
        <v>0</v>
      </c>
    </row>
    <row r="16" spans="2:18" ht="15.75" x14ac:dyDescent="0.25">
      <c r="B16" s="27" t="s">
        <v>11</v>
      </c>
      <c r="C16" s="31">
        <f>SUM(C11:C15)</f>
        <v>3893</v>
      </c>
      <c r="D16" s="2"/>
      <c r="E16" s="93"/>
      <c r="F16" s="24"/>
      <c r="G16" s="25"/>
      <c r="H16" s="8"/>
      <c r="I16" s="8"/>
      <c r="J16" s="2"/>
      <c r="K16" s="101">
        <v>9832</v>
      </c>
      <c r="L16" s="9" t="s">
        <v>130</v>
      </c>
      <c r="M16" s="16" t="s">
        <v>142</v>
      </c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>
        <v>9881</v>
      </c>
      <c r="L17" s="9" t="s">
        <v>136</v>
      </c>
      <c r="M17" s="16" t="s">
        <v>142</v>
      </c>
      <c r="R17" s="1">
        <f>IF(vend15[[#This Row],[Nº Venda]]&gt;1,1,0)</f>
        <v>0</v>
      </c>
    </row>
    <row r="18" spans="2:18" ht="15.75" x14ac:dyDescent="0.25">
      <c r="B18" s="106" t="s">
        <v>12</v>
      </c>
      <c r="C18" s="106"/>
      <c r="D18" s="2"/>
      <c r="E18" s="93"/>
      <c r="F18" s="24"/>
      <c r="G18" s="25"/>
      <c r="H18" s="8"/>
      <c r="I18" s="8"/>
      <c r="J18" s="2"/>
      <c r="K18" s="101">
        <v>9827</v>
      </c>
      <c r="L18" s="9" t="s">
        <v>130</v>
      </c>
      <c r="M18" s="16" t="s">
        <v>142</v>
      </c>
      <c r="R18" s="1">
        <f>IF(vend15[[#This Row],[Nº Venda]]&gt;1,1,0)</f>
        <v>0</v>
      </c>
    </row>
    <row r="19" spans="2:18" ht="15.75" x14ac:dyDescent="0.25">
      <c r="B19" s="29">
        <f>COUNT(entr_carn15[OS])</f>
        <v>0</v>
      </c>
      <c r="C19" s="30">
        <f>SUM(entr_carn15[Valor Total])</f>
        <v>0</v>
      </c>
      <c r="D19" s="2"/>
      <c r="E19" s="93"/>
      <c r="F19" s="24"/>
      <c r="G19" s="25"/>
      <c r="H19" s="8"/>
      <c r="I19" s="8"/>
      <c r="J19" s="2"/>
      <c r="K19" s="101">
        <v>9795</v>
      </c>
      <c r="L19" s="9" t="s">
        <v>130</v>
      </c>
      <c r="M19" s="64" t="s">
        <v>142</v>
      </c>
      <c r="R19" s="1">
        <f>IF(vend15[[#This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>
        <v>9913</v>
      </c>
      <c r="L20" s="9" t="s">
        <v>130</v>
      </c>
      <c r="M20" s="16" t="s">
        <v>142</v>
      </c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3534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9597</v>
      </c>
      <c r="F26" s="24" t="s">
        <v>259</v>
      </c>
      <c r="G26" s="43" t="s">
        <v>8</v>
      </c>
      <c r="H26" s="8"/>
      <c r="I26" s="8">
        <v>579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9757</v>
      </c>
      <c r="F35" s="24" t="s">
        <v>260</v>
      </c>
      <c r="G35" s="25" t="s">
        <v>10</v>
      </c>
      <c r="H35" s="8">
        <v>180</v>
      </c>
      <c r="I35" s="8" t="s">
        <v>42</v>
      </c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5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14" zoomScale="80" zoomScaleNormal="80" workbookViewId="0">
      <selection activeCell="E26" sqref="E26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'15'!B1+1</f>
        <v>45581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3225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3500</v>
      </c>
      <c r="D6" s="2"/>
      <c r="E6" s="93">
        <v>9927</v>
      </c>
      <c r="F6" s="24" t="s">
        <v>263</v>
      </c>
      <c r="G6" s="43" t="s">
        <v>7</v>
      </c>
      <c r="H6" s="8">
        <v>800</v>
      </c>
      <c r="I6" s="8">
        <v>400</v>
      </c>
      <c r="J6" s="2"/>
      <c r="K6" s="24"/>
      <c r="L6" s="9"/>
      <c r="M6" s="16"/>
      <c r="R6" s="1">
        <f>IF(vend16[[#This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>
        <v>9928</v>
      </c>
      <c r="F7" s="24" t="s">
        <v>264</v>
      </c>
      <c r="G7" s="43" t="s">
        <v>8</v>
      </c>
      <c r="H7" s="8">
        <v>900</v>
      </c>
      <c r="I7" s="8">
        <v>900</v>
      </c>
      <c r="J7" s="2"/>
      <c r="K7" s="24"/>
      <c r="L7" s="9"/>
      <c r="M7" s="16"/>
      <c r="R7" s="1">
        <f>IF(vend16[[#This Row],[Nº Venda]]&gt;1,1,0)</f>
        <v>1</v>
      </c>
    </row>
    <row r="8" spans="2:18" ht="15.75" x14ac:dyDescent="0.25">
      <c r="B8" s="27" t="s">
        <v>21</v>
      </c>
      <c r="C8" s="28">
        <f>SUM(C6:C7)</f>
        <v>3500</v>
      </c>
      <c r="D8" s="2"/>
      <c r="E8" s="93">
        <v>9929</v>
      </c>
      <c r="F8" s="24" t="s">
        <v>264</v>
      </c>
      <c r="G8" s="25" t="s">
        <v>8</v>
      </c>
      <c r="H8" s="8">
        <v>900</v>
      </c>
      <c r="I8" s="8">
        <v>900</v>
      </c>
      <c r="J8" s="2"/>
      <c r="K8" s="24"/>
      <c r="L8" s="9"/>
      <c r="M8" s="16"/>
      <c r="R8" s="1">
        <f>IF(vend16[[#This Row],[Nº Venda]]&gt;1,1,0)</f>
        <v>1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IF(vend16[[#This Row],[Nº Venda]]&gt;1,1,0)</f>
        <v>0</v>
      </c>
    </row>
    <row r="10" spans="2:18" ht="15.75" x14ac:dyDescent="0.25">
      <c r="B10" s="106" t="s">
        <v>5</v>
      </c>
      <c r="C10" s="106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550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435</v>
      </c>
      <c r="D12" s="2"/>
      <c r="E12" s="93"/>
      <c r="F12" s="24"/>
      <c r="G12" s="25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29" t="s">
        <v>8</v>
      </c>
      <c r="C13" s="30">
        <f t="shared" si="0"/>
        <v>2390</v>
      </c>
      <c r="D13" s="2"/>
      <c r="E13" s="94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IF(vend16[[#This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29" t="s">
        <v>10</v>
      </c>
      <c r="C15" s="30">
        <f t="shared" si="0"/>
        <v>275</v>
      </c>
      <c r="D15" s="2"/>
      <c r="E15" s="93"/>
      <c r="F15" s="24"/>
      <c r="G15" s="25"/>
      <c r="H15" s="8"/>
      <c r="I15" s="8"/>
      <c r="J15" s="2"/>
      <c r="K15" s="101">
        <v>9885</v>
      </c>
      <c r="L15" s="9" t="s">
        <v>136</v>
      </c>
      <c r="M15" s="16" t="s">
        <v>142</v>
      </c>
      <c r="R15" s="1">
        <f>IF(vend16[[#This Row],[Nº Venda]]&gt;1,1,0)</f>
        <v>0</v>
      </c>
    </row>
    <row r="16" spans="2:18" ht="15.75" x14ac:dyDescent="0.25">
      <c r="B16" s="27" t="s">
        <v>11</v>
      </c>
      <c r="C16" s="31">
        <f>SUM(C11:C15)</f>
        <v>3650</v>
      </c>
      <c r="D16" s="2"/>
      <c r="E16" s="93"/>
      <c r="F16" s="24"/>
      <c r="G16" s="25"/>
      <c r="H16" s="8"/>
      <c r="I16" s="8"/>
      <c r="J16" s="2"/>
      <c r="K16" s="101">
        <v>9868</v>
      </c>
      <c r="L16" s="9" t="s">
        <v>130</v>
      </c>
      <c r="M16" s="16" t="s">
        <v>142</v>
      </c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>
        <v>9908</v>
      </c>
      <c r="L17" s="9" t="s">
        <v>130</v>
      </c>
      <c r="M17" s="64" t="s">
        <v>142</v>
      </c>
      <c r="R17" s="1">
        <f>IF(vend16[[#This Row],[Nº Venda]]&gt;1,1,0)</f>
        <v>0</v>
      </c>
    </row>
    <row r="18" spans="2:18" ht="15.75" x14ac:dyDescent="0.25">
      <c r="B18" s="106" t="s">
        <v>12</v>
      </c>
      <c r="C18" s="106"/>
      <c r="D18" s="2"/>
      <c r="E18" s="93"/>
      <c r="F18" s="24"/>
      <c r="G18" s="25"/>
      <c r="H18" s="8"/>
      <c r="I18" s="8"/>
      <c r="J18" s="2"/>
      <c r="K18" s="101">
        <v>9855</v>
      </c>
      <c r="L18" s="9" t="s">
        <v>134</v>
      </c>
      <c r="M18" s="16" t="s">
        <v>142</v>
      </c>
      <c r="R18" s="1">
        <f>IF(vend16[[#This Row],[Nº Venda]]&gt;1,1,0)</f>
        <v>0</v>
      </c>
    </row>
    <row r="19" spans="2:18" ht="15.75" x14ac:dyDescent="0.25">
      <c r="B19" s="29">
        <f>COUNT(entr_carn16[OS])</f>
        <v>1</v>
      </c>
      <c r="C19" s="30">
        <f>SUM(entr_carn16[Valor Total])</f>
        <v>550</v>
      </c>
      <c r="D19" s="2"/>
      <c r="E19" s="93"/>
      <c r="F19" s="24"/>
      <c r="G19" s="25"/>
      <c r="H19" s="8"/>
      <c r="I19" s="8"/>
      <c r="J19" s="2"/>
      <c r="K19" s="101">
        <v>9860</v>
      </c>
      <c r="L19" s="9" t="s">
        <v>134</v>
      </c>
      <c r="M19" s="16" t="s">
        <v>163</v>
      </c>
      <c r="R19" s="1">
        <f>IF(vend16[[#This Row],[Nº Venda]]&gt;1,1,0)</f>
        <v>0</v>
      </c>
    </row>
    <row r="20" spans="2:18" ht="15.75" x14ac:dyDescent="0.25">
      <c r="B20" s="27" t="s">
        <v>11</v>
      </c>
      <c r="C20" s="31">
        <f>SUM(C19:C19)</f>
        <v>550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3225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9850</v>
      </c>
      <c r="F26" s="24" t="s">
        <v>265</v>
      </c>
      <c r="G26" s="43" t="s">
        <v>6</v>
      </c>
      <c r="H26" s="8"/>
      <c r="I26" s="8">
        <v>250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>
        <v>9908</v>
      </c>
      <c r="F27" s="24" t="s">
        <v>266</v>
      </c>
      <c r="G27" s="25" t="s">
        <v>7</v>
      </c>
      <c r="H27" s="8">
        <v>35</v>
      </c>
      <c r="I27" s="8">
        <v>35</v>
      </c>
      <c r="J27" s="2"/>
      <c r="K27" s="101"/>
      <c r="L27" s="9"/>
      <c r="M27" s="16"/>
    </row>
    <row r="28" spans="2:18" ht="15.75" x14ac:dyDescent="0.25">
      <c r="B28" s="2"/>
      <c r="C28" s="2"/>
      <c r="D28" s="2"/>
      <c r="E28" s="93">
        <v>9855</v>
      </c>
      <c r="F28" s="24" t="s">
        <v>267</v>
      </c>
      <c r="G28" s="25" t="s">
        <v>6</v>
      </c>
      <c r="H28" s="8"/>
      <c r="I28" s="8">
        <v>300</v>
      </c>
      <c r="J28" s="2"/>
      <c r="K28" s="101"/>
      <c r="L28" s="9"/>
      <c r="M28" s="16"/>
    </row>
    <row r="29" spans="2:18" ht="15.75" x14ac:dyDescent="0.25">
      <c r="B29" s="2"/>
      <c r="C29" s="2"/>
      <c r="D29" s="2"/>
      <c r="E29" s="93">
        <v>9860</v>
      </c>
      <c r="F29" s="24" t="s">
        <v>268</v>
      </c>
      <c r="G29" s="25" t="s">
        <v>10</v>
      </c>
      <c r="H29" s="8"/>
      <c r="I29" s="8">
        <v>125</v>
      </c>
      <c r="J29" s="2"/>
      <c r="K29" s="101"/>
      <c r="L29" s="9"/>
      <c r="M29" s="16"/>
    </row>
    <row r="30" spans="2:18" ht="15.75" x14ac:dyDescent="0.25">
      <c r="B30" s="2"/>
      <c r="C30" s="2"/>
      <c r="D30" s="2"/>
      <c r="E30" s="93">
        <v>9810</v>
      </c>
      <c r="F30" s="38" t="s">
        <v>270</v>
      </c>
      <c r="G30" s="25" t="s">
        <v>8</v>
      </c>
      <c r="H30" s="8">
        <v>590</v>
      </c>
      <c r="I30" s="8">
        <v>590</v>
      </c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9536</v>
      </c>
      <c r="F35" s="24" t="s">
        <v>269</v>
      </c>
      <c r="G35" s="25" t="s">
        <v>10</v>
      </c>
      <c r="H35" s="8">
        <v>150</v>
      </c>
      <c r="I35" s="8" t="s">
        <v>54</v>
      </c>
      <c r="K35" s="101">
        <v>9860</v>
      </c>
      <c r="L35" s="40">
        <v>5</v>
      </c>
      <c r="M35" s="16">
        <v>550</v>
      </c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U41"/>
  <sheetViews>
    <sheetView showGridLines="0" topLeftCell="A29" zoomScale="80" zoomScaleNormal="80" workbookViewId="0">
      <selection activeCell="I36" sqref="I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'16'!B1+1</f>
        <v>45582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300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1230</v>
      </c>
      <c r="D6" s="2"/>
      <c r="E6" s="93">
        <v>9930</v>
      </c>
      <c r="F6" s="24" t="s">
        <v>271</v>
      </c>
      <c r="G6" s="25" t="s">
        <v>6</v>
      </c>
      <c r="H6" s="8">
        <v>300</v>
      </c>
      <c r="I6" s="8">
        <v>100</v>
      </c>
      <c r="J6" s="2"/>
      <c r="K6" s="24"/>
      <c r="L6" s="9"/>
      <c r="M6" s="16"/>
      <c r="R6" s="1">
        <f>IF(vend17[[#This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IF(vend17[[#This Row],[Nº Venda]]&gt;1,1,0)</f>
        <v>0</v>
      </c>
    </row>
    <row r="8" spans="2:18" ht="15.75" x14ac:dyDescent="0.25">
      <c r="B8" s="27" t="s">
        <v>21</v>
      </c>
      <c r="C8" s="28">
        <f>SUM(C6:C7)</f>
        <v>1230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IF(vend17[[#This Row],[Nº Venda]]&gt;1,1,0)</f>
        <v>0</v>
      </c>
    </row>
    <row r="10" spans="2:18" ht="15.75" x14ac:dyDescent="0.25">
      <c r="B10" s="106" t="s">
        <v>5</v>
      </c>
      <c r="C10" s="106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500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617.1</v>
      </c>
      <c r="D12" s="2"/>
      <c r="E12" s="93"/>
      <c r="F12" s="24"/>
      <c r="G12" s="25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IF(vend17[[#This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29" t="s">
        <v>10</v>
      </c>
      <c r="C15" s="30">
        <f t="shared" si="0"/>
        <v>430</v>
      </c>
      <c r="D15" s="2"/>
      <c r="E15" s="93"/>
      <c r="F15" s="24"/>
      <c r="G15" s="25"/>
      <c r="H15" s="8"/>
      <c r="I15" s="8"/>
      <c r="J15" s="2"/>
      <c r="K15" s="101">
        <v>9905</v>
      </c>
      <c r="L15" s="9" t="s">
        <v>130</v>
      </c>
      <c r="M15" s="16" t="s">
        <v>142</v>
      </c>
      <c r="R15" s="1">
        <f>IF(vend17[[#This Row],[Nº Venda]]&gt;1,1,0)</f>
        <v>0</v>
      </c>
    </row>
    <row r="16" spans="2:18" ht="15.75" x14ac:dyDescent="0.25">
      <c r="B16" s="27" t="s">
        <v>11</v>
      </c>
      <c r="C16" s="31">
        <f>SUM(C11:C15)</f>
        <v>1547.1</v>
      </c>
      <c r="D16" s="2"/>
      <c r="E16" s="93"/>
      <c r="F16" s="24"/>
      <c r="G16" s="25"/>
      <c r="H16" s="8"/>
      <c r="I16" s="8"/>
      <c r="J16" s="2"/>
      <c r="K16" s="101">
        <v>9919</v>
      </c>
      <c r="L16" s="9" t="s">
        <v>130</v>
      </c>
      <c r="M16" s="16" t="s">
        <v>142</v>
      </c>
      <c r="R16" s="1">
        <f>IF(vend17[[#This Row],[Nº Venda]]&gt;1,1,0)</f>
        <v>0</v>
      </c>
    </row>
    <row r="17" spans="2:21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>
        <v>9916</v>
      </c>
      <c r="L17" s="9" t="s">
        <v>136</v>
      </c>
      <c r="M17" s="16" t="s">
        <v>163</v>
      </c>
      <c r="R17" s="1">
        <f>IF(vend17[[#This Row],[Nº Venda]]&gt;1,1,0)</f>
        <v>0</v>
      </c>
    </row>
    <row r="18" spans="2:21" ht="15.75" x14ac:dyDescent="0.25">
      <c r="B18" s="106" t="s">
        <v>12</v>
      </c>
      <c r="C18" s="106"/>
      <c r="D18" s="2"/>
      <c r="E18" s="93"/>
      <c r="F18" s="24"/>
      <c r="G18" s="25"/>
      <c r="H18" s="8"/>
      <c r="I18" s="8"/>
      <c r="J18" s="2"/>
      <c r="K18" s="101">
        <v>9826</v>
      </c>
      <c r="L18" s="9" t="s">
        <v>130</v>
      </c>
      <c r="M18" s="16" t="s">
        <v>142</v>
      </c>
      <c r="R18" s="1">
        <f>IF(vend17[[#This Row],[Nº Venda]]&gt;1,1,0)</f>
        <v>0</v>
      </c>
    </row>
    <row r="19" spans="2:21" ht="15.75" x14ac:dyDescent="0.25">
      <c r="B19" s="29">
        <f>COUNT(entr_carn17[OS])</f>
        <v>1</v>
      </c>
      <c r="C19" s="30">
        <f>SUM(entr_carn17[Valor Total])</f>
        <v>906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IF(vend17[[#This Row],[Nº Venda]]&gt;1,1,0)</f>
        <v>0</v>
      </c>
    </row>
    <row r="20" spans="2:21" ht="15.75" x14ac:dyDescent="0.25">
      <c r="B20" s="27" t="s">
        <v>11</v>
      </c>
      <c r="C20" s="31">
        <f>SUM(C19:C19)</f>
        <v>906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IF(vend17[[#This Row],[Nº Venda]]&gt;1,1,0)</f>
        <v>0</v>
      </c>
    </row>
    <row r="21" spans="2:21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21" ht="15.75" x14ac:dyDescent="0.25">
      <c r="B22" s="27" t="s">
        <v>26</v>
      </c>
      <c r="C22" s="31">
        <f>C5</f>
        <v>300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21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21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101"/>
      <c r="L24" s="9"/>
      <c r="M24" s="16"/>
    </row>
    <row r="25" spans="2:21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21" ht="15.75" x14ac:dyDescent="0.25">
      <c r="B26" s="2"/>
      <c r="C26" s="2"/>
      <c r="D26" s="2"/>
      <c r="E26" s="93">
        <v>9919</v>
      </c>
      <c r="F26" s="24" t="s">
        <v>253</v>
      </c>
      <c r="G26" s="25" t="s">
        <v>10</v>
      </c>
      <c r="H26" s="8"/>
      <c r="I26" s="8">
        <v>100</v>
      </c>
      <c r="J26" s="2"/>
      <c r="K26" s="101"/>
      <c r="L26" s="9"/>
      <c r="M26" s="16"/>
    </row>
    <row r="27" spans="2:21" ht="15.75" x14ac:dyDescent="0.25">
      <c r="B27" s="2"/>
      <c r="C27" s="2"/>
      <c r="D27" s="2"/>
      <c r="E27" s="93">
        <v>9916</v>
      </c>
      <c r="F27" s="24" t="s">
        <v>272</v>
      </c>
      <c r="G27" s="25" t="s">
        <v>10</v>
      </c>
      <c r="H27" s="8"/>
      <c r="I27" s="8">
        <v>330</v>
      </c>
      <c r="J27" s="2"/>
      <c r="K27" s="101"/>
      <c r="L27" s="9"/>
      <c r="M27" s="16"/>
    </row>
    <row r="28" spans="2:21" ht="15.75" x14ac:dyDescent="0.25">
      <c r="B28" s="2"/>
      <c r="C28" s="2"/>
      <c r="D28" s="2"/>
      <c r="E28" s="93">
        <v>9826</v>
      </c>
      <c r="F28" s="24" t="s">
        <v>273</v>
      </c>
      <c r="G28" s="25" t="s">
        <v>6</v>
      </c>
      <c r="H28" s="8"/>
      <c r="I28" s="8">
        <v>300</v>
      </c>
      <c r="J28" s="2"/>
      <c r="K28" s="101"/>
      <c r="L28" s="9"/>
      <c r="M28" s="16"/>
    </row>
    <row r="29" spans="2:21" ht="15.75" x14ac:dyDescent="0.25">
      <c r="B29" s="2"/>
      <c r="C29" s="2"/>
      <c r="D29" s="2"/>
      <c r="E29" s="93">
        <v>9826</v>
      </c>
      <c r="F29" s="24" t="s">
        <v>273</v>
      </c>
      <c r="G29" s="25" t="s">
        <v>7</v>
      </c>
      <c r="H29" s="8"/>
      <c r="I29" s="8">
        <v>300</v>
      </c>
      <c r="J29" s="2"/>
      <c r="K29" s="101"/>
      <c r="L29" s="9"/>
      <c r="M29" s="16"/>
    </row>
    <row r="30" spans="2:21" ht="15.75" x14ac:dyDescent="0.25">
      <c r="B30" s="2"/>
      <c r="C30" s="2"/>
      <c r="D30" s="2"/>
      <c r="E30" s="93">
        <v>9827</v>
      </c>
      <c r="F30" s="38" t="s">
        <v>273</v>
      </c>
      <c r="G30" s="25" t="s">
        <v>6</v>
      </c>
      <c r="H30" s="8"/>
      <c r="I30" s="8">
        <v>100</v>
      </c>
      <c r="J30" s="2"/>
      <c r="K30" s="101"/>
      <c r="L30" s="9"/>
      <c r="M30" s="16"/>
    </row>
    <row r="31" spans="2:21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  <c r="U31" s="1">
        <v>0</v>
      </c>
    </row>
    <row r="32" spans="2:21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8862</v>
      </c>
      <c r="F35" s="24" t="s">
        <v>274</v>
      </c>
      <c r="G35" s="25" t="s">
        <v>7</v>
      </c>
      <c r="H35" s="8">
        <v>158.55000000000001</v>
      </c>
      <c r="I35" s="8" t="s">
        <v>87</v>
      </c>
      <c r="K35" s="101">
        <v>9916</v>
      </c>
      <c r="L35" s="40">
        <v>6</v>
      </c>
      <c r="M35" s="16">
        <v>906</v>
      </c>
    </row>
    <row r="36" spans="2:18" ht="15.75" x14ac:dyDescent="0.25">
      <c r="E36" s="97">
        <v>8862</v>
      </c>
      <c r="F36" s="24" t="s">
        <v>274</v>
      </c>
      <c r="G36" s="25" t="s">
        <v>7</v>
      </c>
      <c r="H36" s="8">
        <v>158.55000000000001</v>
      </c>
      <c r="I36" s="8" t="s">
        <v>88</v>
      </c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opLeftCell="A9" zoomScale="80" zoomScaleNormal="80" workbookViewId="0">
      <selection activeCell="F12" sqref="F12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6">
        <f>'17'!B1+1</f>
        <v>45583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2440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839</v>
      </c>
      <c r="D6" s="2"/>
      <c r="E6" s="93">
        <v>9931</v>
      </c>
      <c r="F6" s="24" t="s">
        <v>275</v>
      </c>
      <c r="G6" s="25" t="s">
        <v>6</v>
      </c>
      <c r="H6" s="8">
        <v>400</v>
      </c>
      <c r="I6" s="8">
        <v>400</v>
      </c>
      <c r="J6" s="2"/>
      <c r="K6" s="24"/>
      <c r="L6" s="62"/>
      <c r="M6" s="16"/>
      <c r="R6" s="1">
        <f>IF(vend18[[#This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>
        <v>9932</v>
      </c>
      <c r="F7" s="24" t="s">
        <v>276</v>
      </c>
      <c r="G7" s="25" t="s">
        <v>7</v>
      </c>
      <c r="H7" s="8">
        <v>750</v>
      </c>
      <c r="I7" s="8">
        <v>50</v>
      </c>
      <c r="J7" s="2"/>
      <c r="K7" s="24"/>
      <c r="L7" s="9"/>
      <c r="M7" s="16"/>
      <c r="R7" s="1">
        <f>IF(vend18[[#This Row],[Nº Venda]]&gt;1,1,0)</f>
        <v>1</v>
      </c>
    </row>
    <row r="8" spans="2:18" ht="15.75" x14ac:dyDescent="0.25">
      <c r="B8" s="27" t="s">
        <v>21</v>
      </c>
      <c r="C8" s="28">
        <f>SUM(C6:C7)</f>
        <v>839</v>
      </c>
      <c r="D8" s="2"/>
      <c r="E8" s="93">
        <v>9933</v>
      </c>
      <c r="F8" s="24" t="s">
        <v>277</v>
      </c>
      <c r="G8" s="25" t="s">
        <v>7</v>
      </c>
      <c r="H8" s="8">
        <v>1290</v>
      </c>
      <c r="I8" s="8">
        <v>389</v>
      </c>
      <c r="J8" s="2"/>
      <c r="K8" s="24"/>
      <c r="L8" s="9"/>
      <c r="M8" s="16"/>
      <c r="R8" s="1">
        <f>IF(vend18[[#This Row],[Nº Venda]]&gt;1,1,0)</f>
        <v>1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IF(vend18[[#This Row],[Nº Venda]]&gt;1,1,0)</f>
        <v>0</v>
      </c>
    </row>
    <row r="10" spans="2:18" ht="15.75" x14ac:dyDescent="0.25">
      <c r="B10" s="106" t="s">
        <v>5</v>
      </c>
      <c r="C10" s="106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400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439</v>
      </c>
      <c r="D12" s="2"/>
      <c r="E12" s="93"/>
      <c r="F12" s="24"/>
      <c r="G12" s="25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IF(vend18[[#This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>
        <v>9873</v>
      </c>
      <c r="L15" s="9" t="s">
        <v>130</v>
      </c>
      <c r="M15" s="16" t="s">
        <v>142</v>
      </c>
      <c r="R15" s="1">
        <f>IF(vend18[[#This Row],[Nº Venda]]&gt;1,1,0)</f>
        <v>0</v>
      </c>
    </row>
    <row r="16" spans="2:18" ht="15.75" x14ac:dyDescent="0.25">
      <c r="B16" s="27" t="s">
        <v>11</v>
      </c>
      <c r="C16" s="31">
        <f>SUM(C11:C15)</f>
        <v>839</v>
      </c>
      <c r="D16" s="2"/>
      <c r="E16" s="93"/>
      <c r="F16" s="24"/>
      <c r="G16" s="25"/>
      <c r="H16" s="8"/>
      <c r="I16" s="8"/>
      <c r="J16" s="2"/>
      <c r="K16" s="101">
        <v>9872</v>
      </c>
      <c r="L16" s="9" t="s">
        <v>130</v>
      </c>
      <c r="M16" s="16" t="s">
        <v>142</v>
      </c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>
        <v>9909</v>
      </c>
      <c r="L17" s="9" t="s">
        <v>130</v>
      </c>
      <c r="M17" s="16" t="s">
        <v>142</v>
      </c>
      <c r="R17" s="1">
        <f>IF(vend18[[#This Row],[Nº Venda]]&gt;1,1,0)</f>
        <v>0</v>
      </c>
    </row>
    <row r="18" spans="2:18" ht="15.75" x14ac:dyDescent="0.25">
      <c r="B18" s="106" t="s">
        <v>12</v>
      </c>
      <c r="C18" s="106"/>
      <c r="D18" s="2"/>
      <c r="E18" s="93"/>
      <c r="F18" s="24"/>
      <c r="G18" s="25"/>
      <c r="H18" s="8"/>
      <c r="I18" s="8"/>
      <c r="J18" s="2"/>
      <c r="K18" s="101">
        <v>9882</v>
      </c>
      <c r="L18" s="9" t="s">
        <v>136</v>
      </c>
      <c r="M18" s="16" t="s">
        <v>142</v>
      </c>
      <c r="R18" s="1">
        <f>IF(vend18[[#This Row],[Nº Venda]]&gt;1,1,0)</f>
        <v>0</v>
      </c>
    </row>
    <row r="19" spans="2:18" ht="15.75" x14ac:dyDescent="0.25">
      <c r="B19" s="29">
        <f>COUNT(entr_carn18[OS])</f>
        <v>0</v>
      </c>
      <c r="C19" s="30">
        <f>SUM(entr_carn18[Valor Total])</f>
        <v>0</v>
      </c>
      <c r="D19" s="2"/>
      <c r="E19" s="93"/>
      <c r="F19" s="24"/>
      <c r="G19" s="25"/>
      <c r="H19" s="8"/>
      <c r="I19" s="8"/>
      <c r="J19" s="2"/>
      <c r="K19" s="101">
        <v>9926</v>
      </c>
      <c r="L19" s="9" t="s">
        <v>136</v>
      </c>
      <c r="M19" s="16" t="s">
        <v>142</v>
      </c>
      <c r="R19" s="1">
        <f>IF(vend18[[#This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>
        <v>9819</v>
      </c>
      <c r="L20" s="9" t="s">
        <v>134</v>
      </c>
      <c r="M20" s="16" t="s">
        <v>142</v>
      </c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>
        <v>9898</v>
      </c>
      <c r="L21" s="9" t="s">
        <v>130</v>
      </c>
      <c r="M21" s="16" t="s">
        <v>142</v>
      </c>
    </row>
    <row r="22" spans="2:18" ht="15.75" x14ac:dyDescent="0.25">
      <c r="B22" s="27" t="s">
        <v>26</v>
      </c>
      <c r="C22" s="31">
        <f>C5</f>
        <v>2440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60"/>
      <c r="F23" s="60"/>
      <c r="G23" s="60"/>
      <c r="H23" s="61"/>
      <c r="I23" s="61"/>
      <c r="J23" s="2"/>
      <c r="K23" s="101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topLeftCell="A6" zoomScale="80" zoomScaleNormal="80" zoomScaleSheetLayoutView="7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'18'!B1+1</f>
        <v>45584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4548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3089</v>
      </c>
      <c r="D6" s="2"/>
      <c r="E6" s="93">
        <v>9934</v>
      </c>
      <c r="F6" s="24" t="s">
        <v>278</v>
      </c>
      <c r="G6" s="25" t="s">
        <v>8</v>
      </c>
      <c r="H6" s="8">
        <v>300</v>
      </c>
      <c r="I6" s="8">
        <v>300</v>
      </c>
      <c r="J6" s="2"/>
      <c r="K6" s="24"/>
      <c r="L6" s="9"/>
      <c r="M6" s="16"/>
      <c r="R6" s="1">
        <f>IF(vend19[[#This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>
        <v>9935</v>
      </c>
      <c r="F7" s="24" t="s">
        <v>279</v>
      </c>
      <c r="G7" s="25" t="s">
        <v>10</v>
      </c>
      <c r="H7" s="63">
        <v>600</v>
      </c>
      <c r="I7" s="8">
        <v>50</v>
      </c>
      <c r="J7" s="2"/>
      <c r="K7" s="24"/>
      <c r="L7" s="9"/>
      <c r="M7" s="16"/>
      <c r="R7" s="1">
        <f>IF(vend19[[#This Row],[Nº Venda]]&gt;1,1,0)</f>
        <v>1</v>
      </c>
    </row>
    <row r="8" spans="2:18" ht="15.75" x14ac:dyDescent="0.25">
      <c r="B8" s="27" t="s">
        <v>21</v>
      </c>
      <c r="C8" s="28">
        <f>SUM(C6:C7)</f>
        <v>3089</v>
      </c>
      <c r="D8" s="2"/>
      <c r="E8" s="93">
        <v>9936</v>
      </c>
      <c r="F8" s="24" t="s">
        <v>280</v>
      </c>
      <c r="G8" s="25" t="s">
        <v>10</v>
      </c>
      <c r="H8" s="8">
        <v>699</v>
      </c>
      <c r="I8" s="8">
        <v>40</v>
      </c>
      <c r="J8" s="2"/>
      <c r="K8" s="24"/>
      <c r="L8" s="9"/>
      <c r="M8" s="16"/>
      <c r="R8" s="1">
        <f>IF(vend19[[#This Row],[Nº Venda]]&gt;1,1,0)</f>
        <v>1</v>
      </c>
    </row>
    <row r="9" spans="2:18" ht="15.75" x14ac:dyDescent="0.25">
      <c r="B9" s="2"/>
      <c r="C9" s="2"/>
      <c r="D9" s="2"/>
      <c r="E9" s="93">
        <v>9937</v>
      </c>
      <c r="F9" s="56" t="s">
        <v>281</v>
      </c>
      <c r="G9" s="85" t="s">
        <v>10</v>
      </c>
      <c r="H9" s="67">
        <v>400</v>
      </c>
      <c r="I9" s="67">
        <v>200</v>
      </c>
      <c r="J9" s="2"/>
      <c r="K9" s="24"/>
      <c r="L9" s="9"/>
      <c r="M9" s="16"/>
      <c r="R9" s="1">
        <f>IF(vend19[[#This Row],[Nº Venda]]&gt;1,1,0)</f>
        <v>1</v>
      </c>
    </row>
    <row r="10" spans="2:18" ht="15.75" x14ac:dyDescent="0.25">
      <c r="B10" s="106" t="s">
        <v>5</v>
      </c>
      <c r="C10" s="106"/>
      <c r="D10" s="2"/>
      <c r="E10" s="93">
        <v>9938</v>
      </c>
      <c r="F10" s="24" t="s">
        <v>282</v>
      </c>
      <c r="G10" s="25" t="s">
        <v>10</v>
      </c>
      <c r="H10" s="8">
        <v>600</v>
      </c>
      <c r="I10" s="8">
        <v>300</v>
      </c>
      <c r="J10" s="2"/>
      <c r="K10" s="24"/>
      <c r="L10" s="9"/>
      <c r="M10" s="16"/>
      <c r="R10" s="1">
        <f>IF(vend19[[#This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220</v>
      </c>
      <c r="D11" s="2"/>
      <c r="E11" s="93">
        <v>9939</v>
      </c>
      <c r="F11" s="24" t="s">
        <v>285</v>
      </c>
      <c r="G11" s="25" t="s">
        <v>8</v>
      </c>
      <c r="H11" s="8">
        <v>299</v>
      </c>
      <c r="I11" s="8">
        <v>299</v>
      </c>
      <c r="J11" s="2"/>
      <c r="K11" s="26"/>
      <c r="L11" s="9"/>
      <c r="M11" s="16"/>
      <c r="O11" s="1">
        <f>IF(C16=0,0,1)</f>
        <v>1</v>
      </c>
      <c r="R11" s="1">
        <f>IF(vend19[[#This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245</v>
      </c>
      <c r="D12" s="2"/>
      <c r="E12" s="93">
        <v>9940</v>
      </c>
      <c r="F12" s="24" t="s">
        <v>285</v>
      </c>
      <c r="G12" s="25" t="s">
        <v>7</v>
      </c>
      <c r="H12" s="8">
        <v>650</v>
      </c>
      <c r="I12" s="8">
        <v>20</v>
      </c>
      <c r="J12" s="2"/>
      <c r="R12" s="1">
        <f>IF(vend19[[#This Row],[Nº Venda]]&gt;1,1,0)</f>
        <v>1</v>
      </c>
    </row>
    <row r="13" spans="2:18" ht="15.75" x14ac:dyDescent="0.25">
      <c r="B13" s="29" t="s">
        <v>8</v>
      </c>
      <c r="C13" s="30">
        <f t="shared" si="0"/>
        <v>2379</v>
      </c>
      <c r="D13" s="2"/>
      <c r="E13" s="94">
        <v>9941</v>
      </c>
      <c r="F13" s="24" t="s">
        <v>283</v>
      </c>
      <c r="G13" s="25" t="s">
        <v>6</v>
      </c>
      <c r="H13" s="8">
        <v>400</v>
      </c>
      <c r="I13" s="8">
        <v>50</v>
      </c>
      <c r="J13" s="2"/>
      <c r="K13" s="108" t="s">
        <v>22</v>
      </c>
      <c r="L13" s="109"/>
      <c r="M13" s="110"/>
      <c r="R13" s="1">
        <f>IF(vend19[[#This Row],[Nº Venda]]&gt;1,1,0)</f>
        <v>1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>
        <v>9942</v>
      </c>
      <c r="F14" s="24" t="s">
        <v>283</v>
      </c>
      <c r="G14" s="25" t="s">
        <v>6</v>
      </c>
      <c r="H14" s="8">
        <v>600</v>
      </c>
      <c r="I14" s="8">
        <v>50</v>
      </c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1</v>
      </c>
    </row>
    <row r="15" spans="2:18" ht="15.75" x14ac:dyDescent="0.25">
      <c r="B15" s="29" t="s">
        <v>10</v>
      </c>
      <c r="C15" s="30">
        <f t="shared" si="0"/>
        <v>590</v>
      </c>
      <c r="D15" s="2"/>
      <c r="E15" s="93"/>
      <c r="F15" s="24"/>
      <c r="G15" s="25"/>
      <c r="H15" s="8"/>
      <c r="I15" s="8"/>
      <c r="J15" s="2"/>
      <c r="K15" s="101">
        <v>9864</v>
      </c>
      <c r="L15" s="9" t="s">
        <v>134</v>
      </c>
      <c r="M15" s="16" t="s">
        <v>142</v>
      </c>
      <c r="R15" s="1">
        <f>IF(vend19[[#This Row],[Nº Venda]]&gt;1,1,0)</f>
        <v>0</v>
      </c>
    </row>
    <row r="16" spans="2:18" ht="15.75" x14ac:dyDescent="0.25">
      <c r="B16" s="27" t="s">
        <v>11</v>
      </c>
      <c r="C16" s="31">
        <f>SUM(C11:C15)</f>
        <v>3434</v>
      </c>
      <c r="D16" s="2"/>
      <c r="E16" s="93"/>
      <c r="F16" s="24"/>
      <c r="G16" s="25"/>
      <c r="H16" s="8"/>
      <c r="I16" s="8"/>
      <c r="J16" s="2"/>
      <c r="K16" s="101">
        <v>9904</v>
      </c>
      <c r="L16" s="9" t="s">
        <v>130</v>
      </c>
      <c r="M16" s="16" t="s">
        <v>142</v>
      </c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>
        <v>9841</v>
      </c>
      <c r="L17" s="9" t="s">
        <v>136</v>
      </c>
      <c r="M17" s="16" t="s">
        <v>142</v>
      </c>
      <c r="R17" s="1">
        <f>IF(vend19[[#This Row],[Nº Venda]]&gt;1,1,0)</f>
        <v>0</v>
      </c>
    </row>
    <row r="18" spans="2:22" ht="15.75" x14ac:dyDescent="0.25">
      <c r="B18" s="106" t="s">
        <v>12</v>
      </c>
      <c r="C18" s="106"/>
      <c r="D18" s="2"/>
      <c r="E18" s="93"/>
      <c r="F18" s="24"/>
      <c r="G18" s="25"/>
      <c r="H18" s="8"/>
      <c r="I18" s="8"/>
      <c r="J18" s="2"/>
      <c r="K18" s="101">
        <v>9842</v>
      </c>
      <c r="L18" s="9" t="s">
        <v>136</v>
      </c>
      <c r="M18" s="16" t="s">
        <v>142</v>
      </c>
      <c r="R18" s="1">
        <f>IF(vend19[[#This Row],[Nº Venda]]&gt;1,1,0)</f>
        <v>0</v>
      </c>
    </row>
    <row r="19" spans="2:22" ht="15.75" x14ac:dyDescent="0.25">
      <c r="B19" s="29">
        <f>COUNT(entr_carn19[OS])</f>
        <v>1</v>
      </c>
      <c r="C19" s="30">
        <f>SUM(entr_carn19[Valor Total])</f>
        <v>500</v>
      </c>
      <c r="D19" s="2"/>
      <c r="E19" s="93"/>
      <c r="F19" s="24"/>
      <c r="G19" s="25"/>
      <c r="H19" s="8"/>
      <c r="I19" s="8"/>
      <c r="J19" s="2"/>
      <c r="K19" s="101">
        <v>9843</v>
      </c>
      <c r="L19" s="9" t="s">
        <v>136</v>
      </c>
      <c r="M19" s="16" t="s">
        <v>142</v>
      </c>
      <c r="R19" s="1">
        <f>IF(vend19[[#This Row],[Nº Venda]]&gt;1,1,0)</f>
        <v>0</v>
      </c>
    </row>
    <row r="20" spans="2:22" ht="15.75" x14ac:dyDescent="0.25">
      <c r="B20" s="27" t="s">
        <v>11</v>
      </c>
      <c r="C20" s="31">
        <f>SUM(C19:C19)</f>
        <v>500</v>
      </c>
      <c r="D20" s="2"/>
      <c r="E20" s="93"/>
      <c r="F20" s="25"/>
      <c r="G20" s="25"/>
      <c r="H20" s="8"/>
      <c r="I20" s="8"/>
      <c r="J20" s="2"/>
      <c r="K20" s="101">
        <v>9915</v>
      </c>
      <c r="L20" s="9" t="s">
        <v>136</v>
      </c>
      <c r="M20" s="16" t="s">
        <v>142</v>
      </c>
      <c r="R20" s="1">
        <f>IF(vend19[[#This Row],[Nº Venda]]&gt;1,1,0)</f>
        <v>0</v>
      </c>
      <c r="V20" s="1" t="s">
        <v>58</v>
      </c>
    </row>
    <row r="21" spans="2:22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>
        <v>9825</v>
      </c>
      <c r="L21" s="9" t="s">
        <v>130</v>
      </c>
      <c r="M21" s="16" t="s">
        <v>142</v>
      </c>
    </row>
    <row r="22" spans="2:22" ht="15.75" x14ac:dyDescent="0.25">
      <c r="B22" s="27" t="s">
        <v>26</v>
      </c>
      <c r="C22" s="31">
        <f>C5</f>
        <v>4548</v>
      </c>
      <c r="D22" s="2"/>
      <c r="E22" s="93"/>
      <c r="F22" s="24"/>
      <c r="G22" s="25"/>
      <c r="H22" s="8"/>
      <c r="I22" s="8"/>
      <c r="J22" s="2"/>
      <c r="K22" s="101">
        <v>9887</v>
      </c>
      <c r="L22" s="9" t="s">
        <v>130</v>
      </c>
      <c r="M22" s="16" t="s">
        <v>163</v>
      </c>
    </row>
    <row r="23" spans="2:22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22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101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22" ht="15.75" x14ac:dyDescent="0.25">
      <c r="B26" s="2"/>
      <c r="C26" s="2"/>
      <c r="D26" s="2"/>
      <c r="E26" s="93">
        <v>9841</v>
      </c>
      <c r="F26" s="38" t="s">
        <v>284</v>
      </c>
      <c r="G26" s="25" t="s">
        <v>8</v>
      </c>
      <c r="H26" s="8"/>
      <c r="I26" s="8">
        <v>300</v>
      </c>
      <c r="J26" s="2"/>
      <c r="K26" s="101"/>
      <c r="L26" s="9"/>
      <c r="M26" s="16"/>
    </row>
    <row r="27" spans="2:22" ht="15.75" x14ac:dyDescent="0.25">
      <c r="B27" s="2"/>
      <c r="C27" s="2"/>
      <c r="D27" s="2"/>
      <c r="E27" s="93">
        <v>9842</v>
      </c>
      <c r="F27" s="24" t="s">
        <v>284</v>
      </c>
      <c r="G27" s="25" t="s">
        <v>8</v>
      </c>
      <c r="H27" s="8"/>
      <c r="I27" s="8">
        <v>190</v>
      </c>
      <c r="J27" s="2"/>
      <c r="K27" s="101"/>
      <c r="L27" s="9"/>
      <c r="M27" s="16"/>
    </row>
    <row r="28" spans="2:22" ht="15.75" x14ac:dyDescent="0.25">
      <c r="B28" s="2"/>
      <c r="C28" s="2"/>
      <c r="D28" s="2"/>
      <c r="E28" s="93">
        <v>9915</v>
      </c>
      <c r="F28" s="24" t="s">
        <v>247</v>
      </c>
      <c r="G28" s="25" t="s">
        <v>8</v>
      </c>
      <c r="H28" s="8"/>
      <c r="I28" s="8">
        <v>510</v>
      </c>
      <c r="J28" s="2"/>
      <c r="K28" s="101"/>
      <c r="L28" s="9"/>
      <c r="M28" s="16"/>
    </row>
    <row r="29" spans="2:22" ht="15.75" x14ac:dyDescent="0.25">
      <c r="B29" s="2"/>
      <c r="C29" s="2"/>
      <c r="D29" s="2"/>
      <c r="E29" s="93">
        <v>9825</v>
      </c>
      <c r="F29" s="24" t="s">
        <v>286</v>
      </c>
      <c r="G29" s="86" t="s">
        <v>8</v>
      </c>
      <c r="H29" s="25"/>
      <c r="I29" s="8">
        <v>780</v>
      </c>
      <c r="J29" s="2"/>
      <c r="K29" s="101"/>
      <c r="L29" s="9"/>
      <c r="M29" s="16"/>
    </row>
    <row r="30" spans="2:22" ht="15.75" x14ac:dyDescent="0.25">
      <c r="B30" s="2"/>
      <c r="C30" s="2"/>
      <c r="D30" s="2"/>
      <c r="E30" s="93"/>
      <c r="F30" s="24"/>
      <c r="G30" s="25"/>
      <c r="H30" s="8"/>
      <c r="I30" s="8"/>
      <c r="J30" s="2"/>
      <c r="K30" s="101"/>
      <c r="L30" s="9"/>
      <c r="M30" s="16"/>
    </row>
    <row r="31" spans="2:22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9091</v>
      </c>
      <c r="F35" s="24" t="s">
        <v>287</v>
      </c>
      <c r="G35" s="25" t="s">
        <v>6</v>
      </c>
      <c r="H35" s="8">
        <v>120</v>
      </c>
      <c r="I35" s="8" t="s">
        <v>81</v>
      </c>
      <c r="K35" s="101">
        <v>9887</v>
      </c>
      <c r="L35" s="40">
        <v>5</v>
      </c>
      <c r="M35" s="16">
        <v>500</v>
      </c>
    </row>
    <row r="36" spans="2:18" ht="15.75" x14ac:dyDescent="0.25">
      <c r="E36" s="97">
        <v>9686</v>
      </c>
      <c r="F36" s="24" t="s">
        <v>288</v>
      </c>
      <c r="G36" s="25" t="s">
        <v>7</v>
      </c>
      <c r="H36" s="8">
        <v>225</v>
      </c>
      <c r="I36" s="8" t="s">
        <v>34</v>
      </c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9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topLeftCell="A37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6">
        <f>'19'!B1+1</f>
        <v>45585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IF(vend20[[#This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IF(vend20[[#This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IF(vend20[[#This Row],[Nº Venda]]&gt;1,1,0)</f>
        <v>0</v>
      </c>
    </row>
    <row r="10" spans="2:18" ht="15.75" x14ac:dyDescent="0.25">
      <c r="B10" s="106" t="s">
        <v>5</v>
      </c>
      <c r="C10" s="106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IF(vend20[[#This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IF(vend20[[#This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IF(vend20[[#This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64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IF(vend20[[#This Row],[Nº Venda]]&gt;1,1,0)</f>
        <v>0</v>
      </c>
    </row>
    <row r="18" spans="2:18" ht="15.75" x14ac:dyDescent="0.25">
      <c r="B18" s="106" t="s">
        <v>12</v>
      </c>
      <c r="C18" s="106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IF(vend20[[#This Row],[Nº Venda]]&gt;1,1,0)</f>
        <v>0</v>
      </c>
    </row>
    <row r="19" spans="2:18" ht="15.75" x14ac:dyDescent="0.25">
      <c r="B19" s="29">
        <f>COUNT(entr_carn20[OS])</f>
        <v>0</v>
      </c>
      <c r="C19" s="30">
        <f>SUM(entr_carn20[Valor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64"/>
    </row>
    <row r="36" spans="2:18" ht="15.75" x14ac:dyDescent="0.25">
      <c r="E36" s="97"/>
      <c r="F36" s="24"/>
      <c r="G36" s="25"/>
      <c r="H36" s="8"/>
      <c r="I36" s="8"/>
      <c r="K36" s="101"/>
      <c r="L36" s="65"/>
      <c r="M36" s="64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opLeftCell="A17" zoomScale="80" zoomScaleNormal="80" workbookViewId="0">
      <selection activeCell="V2" sqref="V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'20'!B1+1</f>
        <v>45586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1200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1200</v>
      </c>
      <c r="D6" s="2"/>
      <c r="E6" s="93">
        <v>9943</v>
      </c>
      <c r="F6" s="24" t="s">
        <v>289</v>
      </c>
      <c r="G6" s="25" t="s">
        <v>50</v>
      </c>
      <c r="H6" s="8">
        <v>30</v>
      </c>
      <c r="I6" s="8"/>
      <c r="J6" s="2"/>
      <c r="K6" s="24" t="s">
        <v>296</v>
      </c>
      <c r="L6" s="9" t="s">
        <v>6</v>
      </c>
      <c r="M6" s="16">
        <v>720</v>
      </c>
      <c r="R6" s="1">
        <f>IF(vend21[[#This Row],[Nº Venda]]&gt;1,1,0)</f>
        <v>1</v>
      </c>
    </row>
    <row r="7" spans="2:18" ht="15.75" x14ac:dyDescent="0.25">
      <c r="B7" s="22" t="s">
        <v>3</v>
      </c>
      <c r="C7" s="23">
        <f>SUM(M6:M11)</f>
        <v>1120</v>
      </c>
      <c r="D7" s="2"/>
      <c r="E7" s="93">
        <v>9944</v>
      </c>
      <c r="F7" s="24" t="s">
        <v>290</v>
      </c>
      <c r="G7" s="25" t="s">
        <v>40</v>
      </c>
      <c r="H7" s="8"/>
      <c r="I7" s="8"/>
      <c r="J7" s="2"/>
      <c r="K7" s="24" t="s">
        <v>297</v>
      </c>
      <c r="L7" s="9" t="s">
        <v>6</v>
      </c>
      <c r="M7" s="16">
        <v>400</v>
      </c>
      <c r="R7" s="1">
        <f>IF(vend21[[#This Row],[Nº Venda]]&gt;1,1,0)</f>
        <v>1</v>
      </c>
    </row>
    <row r="8" spans="2:18" ht="15.75" x14ac:dyDescent="0.25">
      <c r="B8" s="27" t="s">
        <v>21</v>
      </c>
      <c r="C8" s="28">
        <f>SUM(C6:C7)</f>
        <v>2320</v>
      </c>
      <c r="D8" s="2"/>
      <c r="E8" s="93">
        <v>9945</v>
      </c>
      <c r="F8" s="24" t="s">
        <v>291</v>
      </c>
      <c r="G8" s="25" t="s">
        <v>40</v>
      </c>
      <c r="H8" s="8"/>
      <c r="I8" s="8"/>
      <c r="J8" s="2"/>
      <c r="K8" s="24" t="s">
        <v>298</v>
      </c>
      <c r="L8" s="9"/>
      <c r="M8" s="16"/>
      <c r="R8" s="1">
        <f>IF(vend21[[#This Row],[Nº Venda]]&gt;1,1,0)</f>
        <v>1</v>
      </c>
    </row>
    <row r="9" spans="2:18" ht="15.75" x14ac:dyDescent="0.25">
      <c r="B9" s="2"/>
      <c r="C9" s="2"/>
      <c r="D9" s="2"/>
      <c r="E9" s="93">
        <v>9946</v>
      </c>
      <c r="F9" s="24" t="s">
        <v>292</v>
      </c>
      <c r="G9" s="25" t="s">
        <v>6</v>
      </c>
      <c r="H9" s="8">
        <v>850</v>
      </c>
      <c r="I9" s="8">
        <v>850</v>
      </c>
      <c r="J9" s="2"/>
      <c r="K9" s="24"/>
      <c r="L9" s="9"/>
      <c r="M9" s="16"/>
      <c r="R9" s="1">
        <f>IF(vend21[[#This Row],[Nº Venda]]&gt;1,1,0)</f>
        <v>1</v>
      </c>
    </row>
    <row r="10" spans="2:18" ht="15.75" x14ac:dyDescent="0.25">
      <c r="B10" s="106" t="s">
        <v>5</v>
      </c>
      <c r="C10" s="106"/>
      <c r="D10" s="2"/>
      <c r="E10" s="93">
        <v>9947</v>
      </c>
      <c r="F10" s="24" t="s">
        <v>293</v>
      </c>
      <c r="G10" s="25" t="s">
        <v>10</v>
      </c>
      <c r="H10" s="8">
        <v>350</v>
      </c>
      <c r="I10" s="8">
        <v>350</v>
      </c>
      <c r="J10" s="2"/>
      <c r="K10" s="24"/>
      <c r="L10" s="9"/>
      <c r="M10" s="16"/>
      <c r="R10" s="1">
        <f>IF(vend21[[#This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975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156.66</v>
      </c>
      <c r="D12" s="2"/>
      <c r="E12" s="93"/>
      <c r="F12" s="24"/>
      <c r="G12" s="25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4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IF(vend21[[#This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675</v>
      </c>
      <c r="D15" s="2"/>
      <c r="E15" s="93"/>
      <c r="F15" s="24"/>
      <c r="G15" s="25"/>
      <c r="H15" s="8"/>
      <c r="I15" s="8"/>
      <c r="J15" s="2"/>
      <c r="K15" s="101">
        <v>9883</v>
      </c>
      <c r="L15" s="9" t="s">
        <v>130</v>
      </c>
      <c r="M15" s="16" t="s">
        <v>142</v>
      </c>
      <c r="R15" s="1">
        <f>IF(vend21[[#This Row],[Nº Venda]]&gt;1,1,0)</f>
        <v>0</v>
      </c>
    </row>
    <row r="16" spans="2:18" ht="15.75" x14ac:dyDescent="0.25">
      <c r="B16" s="27" t="s">
        <v>11</v>
      </c>
      <c r="C16" s="31">
        <f>SUM(C11:C15)</f>
        <v>1806.66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IF(vend21[[#This Row],[Nº Venda]]&gt;1,1,0)</f>
        <v>0</v>
      </c>
    </row>
    <row r="18" spans="2:18" ht="15.75" x14ac:dyDescent="0.25">
      <c r="B18" s="106" t="s">
        <v>12</v>
      </c>
      <c r="C18" s="106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IF(vend21[[#This Row],[Nº Venda]]&gt;1,1,0)</f>
        <v>0</v>
      </c>
    </row>
    <row r="19" spans="2:18" ht="15.75" x14ac:dyDescent="0.25">
      <c r="B19" s="29">
        <f>COUNT(entr_carn21[OS])</f>
        <v>0</v>
      </c>
      <c r="C19" s="30">
        <f>SUM(entr_carn21[Valor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1200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9457</v>
      </c>
      <c r="F35" s="24" t="s">
        <v>294</v>
      </c>
      <c r="G35" s="25" t="s">
        <v>10</v>
      </c>
      <c r="H35" s="8">
        <v>162.5</v>
      </c>
      <c r="I35" s="8" t="s">
        <v>34</v>
      </c>
      <c r="K35" s="101"/>
      <c r="L35" s="40"/>
      <c r="M35" s="16"/>
    </row>
    <row r="36" spans="2:18" ht="15.75" x14ac:dyDescent="0.25">
      <c r="E36" s="97">
        <v>9457</v>
      </c>
      <c r="F36" s="24" t="s">
        <v>294</v>
      </c>
      <c r="G36" s="25" t="s">
        <v>10</v>
      </c>
      <c r="H36" s="8">
        <v>162.5</v>
      </c>
      <c r="I36" s="8" t="s">
        <v>83</v>
      </c>
      <c r="K36" s="101"/>
      <c r="L36" s="40"/>
      <c r="M36" s="16"/>
    </row>
    <row r="37" spans="2:18" ht="15.75" x14ac:dyDescent="0.25">
      <c r="E37" s="93">
        <v>9393</v>
      </c>
      <c r="F37" s="24" t="s">
        <v>295</v>
      </c>
      <c r="G37" s="25" t="s">
        <v>6</v>
      </c>
      <c r="H37" s="8">
        <v>125</v>
      </c>
      <c r="I37" s="8" t="s">
        <v>38</v>
      </c>
      <c r="K37" s="101"/>
      <c r="L37" s="40"/>
      <c r="M37" s="16"/>
    </row>
    <row r="38" spans="2:18" ht="15.75" x14ac:dyDescent="0.25">
      <c r="E38" s="93">
        <v>9816</v>
      </c>
      <c r="F38" s="24" t="s">
        <v>152</v>
      </c>
      <c r="G38" s="25" t="s">
        <v>7</v>
      </c>
      <c r="H38" s="8">
        <v>156.66</v>
      </c>
      <c r="I38" s="8" t="s">
        <v>42</v>
      </c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5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zoomScale="80" zoomScaleNormal="80" workbookViewId="0">
      <selection activeCell="V28" sqref="V2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'21'!B1+1</f>
        <v>45587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1000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2070</v>
      </c>
      <c r="D6" s="2"/>
      <c r="E6" s="93">
        <v>9948</v>
      </c>
      <c r="F6" s="24" t="s">
        <v>300</v>
      </c>
      <c r="G6" s="25" t="s">
        <v>7</v>
      </c>
      <c r="H6" s="8">
        <v>750</v>
      </c>
      <c r="I6" s="8">
        <v>200</v>
      </c>
      <c r="J6" s="2"/>
      <c r="K6" s="24"/>
      <c r="L6" s="9"/>
      <c r="M6" s="16"/>
      <c r="R6" s="1">
        <f>IF(vend22[[#This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>
        <v>9949</v>
      </c>
      <c r="F7" s="24" t="s">
        <v>292</v>
      </c>
      <c r="G7" s="25" t="s">
        <v>40</v>
      </c>
      <c r="H7" s="8"/>
      <c r="I7" s="8"/>
      <c r="J7" s="2"/>
      <c r="K7" s="24"/>
      <c r="L7" s="9"/>
      <c r="M7" s="16"/>
      <c r="R7" s="1">
        <f>IF(vend22[[#This Row],[Nº Venda]]&gt;1,1,0)</f>
        <v>1</v>
      </c>
    </row>
    <row r="8" spans="2:18" ht="15.75" x14ac:dyDescent="0.25">
      <c r="B8" s="27" t="s">
        <v>21</v>
      </c>
      <c r="C8" s="28">
        <f>SUM(C6:C7)</f>
        <v>2070</v>
      </c>
      <c r="D8" s="2"/>
      <c r="E8" s="93">
        <v>9950</v>
      </c>
      <c r="F8" s="24" t="s">
        <v>145</v>
      </c>
      <c r="G8" s="25" t="s">
        <v>8</v>
      </c>
      <c r="H8" s="8">
        <v>250</v>
      </c>
      <c r="I8" s="8">
        <v>250</v>
      </c>
      <c r="J8" s="2"/>
      <c r="K8" s="24"/>
      <c r="L8" s="9"/>
      <c r="M8" s="16"/>
      <c r="R8" s="1">
        <f>IF(vend22[[#This Row],[Nº Venda]]&gt;1,1,0)</f>
        <v>1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IF(vend22[[#This Row],[Nº Venda]]&gt;1,1,0)</f>
        <v>0</v>
      </c>
    </row>
    <row r="10" spans="2:18" ht="15.75" x14ac:dyDescent="0.25">
      <c r="B10" s="106" t="s">
        <v>5</v>
      </c>
      <c r="C10" s="106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75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400</v>
      </c>
      <c r="D12" s="2"/>
      <c r="E12" s="93"/>
      <c r="F12" s="24"/>
      <c r="G12" s="25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1350</v>
      </c>
      <c r="D13" s="2"/>
      <c r="E13" s="94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IF(vend22[[#This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320</v>
      </c>
      <c r="D15" s="2"/>
      <c r="E15" s="93"/>
      <c r="F15" s="24"/>
      <c r="G15" s="25"/>
      <c r="H15" s="8"/>
      <c r="I15" s="8"/>
      <c r="J15" s="2"/>
      <c r="K15" s="101">
        <v>9597</v>
      </c>
      <c r="L15" s="9" t="s">
        <v>130</v>
      </c>
      <c r="M15" s="16" t="s">
        <v>142</v>
      </c>
      <c r="R15" s="1">
        <f>IF(vend22[[#This Row],[Nº Venda]]&gt;1,1,0)</f>
        <v>0</v>
      </c>
    </row>
    <row r="16" spans="2:18" ht="15.75" x14ac:dyDescent="0.25">
      <c r="B16" s="27" t="s">
        <v>11</v>
      </c>
      <c r="C16" s="31">
        <f>SUM(C11:C15)</f>
        <v>2145</v>
      </c>
      <c r="D16" s="2"/>
      <c r="E16" s="93"/>
      <c r="F16" s="24"/>
      <c r="G16" s="25"/>
      <c r="H16" s="8"/>
      <c r="I16" s="8"/>
      <c r="J16" s="2"/>
      <c r="K16" s="101">
        <v>9839</v>
      </c>
      <c r="L16" s="9" t="s">
        <v>136</v>
      </c>
      <c r="M16" s="16" t="s">
        <v>163</v>
      </c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>
        <v>9589</v>
      </c>
      <c r="L17" s="9" t="s">
        <v>130</v>
      </c>
      <c r="M17" s="16" t="s">
        <v>142</v>
      </c>
      <c r="R17" s="1">
        <f>IF(vend22[[#This Row],[Nº Venda]]&gt;1,1,0)</f>
        <v>0</v>
      </c>
    </row>
    <row r="18" spans="2:18" ht="15.75" x14ac:dyDescent="0.25">
      <c r="B18" s="106" t="s">
        <v>12</v>
      </c>
      <c r="C18" s="106"/>
      <c r="D18" s="2"/>
      <c r="E18" s="93"/>
      <c r="F18" s="24"/>
      <c r="G18" s="25"/>
      <c r="H18" s="8"/>
      <c r="I18" s="8"/>
      <c r="J18" s="2"/>
      <c r="K18" s="101">
        <v>9906</v>
      </c>
      <c r="L18" s="9" t="s">
        <v>136</v>
      </c>
      <c r="M18" s="16" t="s">
        <v>142</v>
      </c>
      <c r="R18" s="1">
        <f>IF(vend22[[#This Row],[Nº Venda]]&gt;1,1,0)</f>
        <v>0</v>
      </c>
    </row>
    <row r="19" spans="2:18" ht="15.75" x14ac:dyDescent="0.25">
      <c r="B19" s="29">
        <f>COUNT(entr_carn22[OS])</f>
        <v>1</v>
      </c>
      <c r="C19" s="30">
        <f>SUM(entr_carn22[Valor Total])</f>
        <v>200</v>
      </c>
      <c r="D19" s="2"/>
      <c r="E19" s="93"/>
      <c r="F19" s="24"/>
      <c r="G19" s="25"/>
      <c r="H19" s="8"/>
      <c r="I19" s="8"/>
      <c r="J19" s="2"/>
      <c r="K19" s="101">
        <v>9925</v>
      </c>
      <c r="L19" s="9" t="s">
        <v>130</v>
      </c>
      <c r="M19" s="16" t="s">
        <v>142</v>
      </c>
      <c r="R19" s="1">
        <f>IF(vend22[[#This Row],[Nº Venda]]&gt;1,1,0)</f>
        <v>0</v>
      </c>
    </row>
    <row r="20" spans="2:18" ht="15.75" x14ac:dyDescent="0.25">
      <c r="B20" s="27" t="s">
        <v>11</v>
      </c>
      <c r="C20" s="31">
        <f>SUM(C19:C19)</f>
        <v>200</v>
      </c>
      <c r="D20" s="2"/>
      <c r="E20" s="93"/>
      <c r="F20" s="25"/>
      <c r="G20" s="25"/>
      <c r="H20" s="8"/>
      <c r="I20" s="8"/>
      <c r="J20" s="2"/>
      <c r="K20" s="101">
        <v>9810</v>
      </c>
      <c r="L20" s="9" t="s">
        <v>134</v>
      </c>
      <c r="M20" s="16" t="s">
        <v>142</v>
      </c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>
        <v>9911</v>
      </c>
      <c r="L21" s="9" t="s">
        <v>136</v>
      </c>
      <c r="M21" s="16" t="s">
        <v>142</v>
      </c>
    </row>
    <row r="22" spans="2:18" ht="15.75" x14ac:dyDescent="0.25">
      <c r="B22" s="27" t="s">
        <v>26</v>
      </c>
      <c r="C22" s="31">
        <f>C5</f>
        <v>1000</v>
      </c>
      <c r="D22" s="2"/>
      <c r="E22" s="93"/>
      <c r="F22" s="24"/>
      <c r="G22" s="25"/>
      <c r="H22" s="8"/>
      <c r="I22" s="8"/>
      <c r="J22" s="2"/>
      <c r="K22" s="101">
        <v>9949</v>
      </c>
      <c r="L22" s="9" t="s">
        <v>130</v>
      </c>
      <c r="M22" s="16" t="s">
        <v>142</v>
      </c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9839</v>
      </c>
      <c r="F26" s="24" t="s">
        <v>301</v>
      </c>
      <c r="G26" s="25" t="s">
        <v>7</v>
      </c>
      <c r="H26" s="8"/>
      <c r="I26" s="8">
        <v>200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>
        <v>9589</v>
      </c>
      <c r="F27" s="24" t="s">
        <v>302</v>
      </c>
      <c r="G27" s="25" t="s">
        <v>10</v>
      </c>
      <c r="H27" s="8"/>
      <c r="I27" s="8">
        <v>320</v>
      </c>
      <c r="J27" s="2"/>
      <c r="K27" s="101"/>
      <c r="L27" s="9"/>
      <c r="M27" s="16"/>
    </row>
    <row r="28" spans="2:18" ht="15.75" x14ac:dyDescent="0.25">
      <c r="B28" s="2"/>
      <c r="C28" s="2"/>
      <c r="D28" s="2"/>
      <c r="E28" s="93">
        <v>9932</v>
      </c>
      <c r="F28" s="24" t="s">
        <v>303</v>
      </c>
      <c r="G28" s="25" t="s">
        <v>8</v>
      </c>
      <c r="H28" s="8"/>
      <c r="I28" s="8">
        <v>700</v>
      </c>
      <c r="J28" s="2"/>
      <c r="K28" s="101"/>
      <c r="L28" s="9"/>
      <c r="M28" s="16"/>
    </row>
    <row r="29" spans="2:18" ht="15.75" x14ac:dyDescent="0.25">
      <c r="B29" s="2"/>
      <c r="C29" s="2"/>
      <c r="D29" s="2"/>
      <c r="E29" s="93">
        <v>9925</v>
      </c>
      <c r="F29" s="24" t="s">
        <v>304</v>
      </c>
      <c r="G29" s="25" t="s">
        <v>8</v>
      </c>
      <c r="H29" s="8"/>
      <c r="I29" s="8">
        <v>400</v>
      </c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9642</v>
      </c>
      <c r="F35" s="24" t="s">
        <v>241</v>
      </c>
      <c r="G35" s="25" t="s">
        <v>6</v>
      </c>
      <c r="H35" s="8">
        <v>75</v>
      </c>
      <c r="I35" s="8" t="s">
        <v>54</v>
      </c>
      <c r="K35" s="101">
        <v>9839</v>
      </c>
      <c r="L35" s="40">
        <v>2</v>
      </c>
      <c r="M35" s="16">
        <v>200</v>
      </c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zoomScale="80" zoomScaleNormal="80" workbookViewId="0">
      <selection activeCell="M23" sqref="M2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'22'!B1+1</f>
        <v>45588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890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1500</v>
      </c>
      <c r="D6" s="2"/>
      <c r="E6" s="93">
        <v>9951</v>
      </c>
      <c r="F6" s="24" t="s">
        <v>305</v>
      </c>
      <c r="G6" s="25" t="s">
        <v>6</v>
      </c>
      <c r="H6" s="8">
        <v>890</v>
      </c>
      <c r="I6" s="8">
        <v>50</v>
      </c>
      <c r="J6" s="2"/>
      <c r="K6" s="24"/>
      <c r="L6" s="9"/>
      <c r="M6" s="16"/>
      <c r="R6" s="1">
        <f>IF(vend23[[#This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IF(vend23[[#This Row],[Nº Venda]]&gt;1,1,0)</f>
        <v>0</v>
      </c>
    </row>
    <row r="8" spans="2:18" ht="15.75" x14ac:dyDescent="0.25">
      <c r="B8" s="27" t="s">
        <v>21</v>
      </c>
      <c r="C8" s="28">
        <f>SUM(C6:C7)</f>
        <v>1500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IF(vend23[[#This Row],[Nº Venda]]&gt;1,1,0)</f>
        <v>0</v>
      </c>
    </row>
    <row r="10" spans="2:18" ht="15.75" x14ac:dyDescent="0.25">
      <c r="B10" s="106" t="s">
        <v>5</v>
      </c>
      <c r="C10" s="106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IF(vend23[[#This Row],[Nº Venda]]&gt;1,1,0)</f>
        <v>0</v>
      </c>
    </row>
    <row r="11" spans="2:18" ht="15.75" x14ac:dyDescent="0.25">
      <c r="B11" s="29" t="s">
        <v>6</v>
      </c>
      <c r="C11" s="75">
        <f>(SUMIF($G$2:$G$31,B11,$I$2:$I$31))+(SUMIF($G$35:$G$44,B11,$H$35:$H$44))</f>
        <v>650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29" t="s">
        <v>7</v>
      </c>
      <c r="C12" s="75">
        <f>(SUMIF($G$2:$G$31,B12,$I$2:$I$31))+(SUMIF($G$35:$G$44,B12,$H$35:$H$44))</f>
        <v>0</v>
      </c>
      <c r="D12" s="2"/>
      <c r="E12" s="93"/>
      <c r="F12" s="24"/>
      <c r="G12" s="25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29" t="s">
        <v>8</v>
      </c>
      <c r="C13" s="75">
        <f>(SUMIF($G$2:$G$31,B13,$I$2:$I$31))+(SUMIF($G$35:$G$44,B13,$H$35:$H$44))</f>
        <v>850</v>
      </c>
      <c r="D13" s="2"/>
      <c r="E13" s="94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IF(vend23[[#This Row],[Nº Venda]]&gt;1,1,0)</f>
        <v>0</v>
      </c>
    </row>
    <row r="14" spans="2:18" ht="15.75" x14ac:dyDescent="0.25">
      <c r="B14" s="29" t="s">
        <v>9</v>
      </c>
      <c r="C14" s="75">
        <f>(SUMIF($G$2:$G$31,B14,$I$2:$I$31))+(SUMIF($G$35:$G$44,B14,$H$35:$H$44))</f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29" t="s">
        <v>10</v>
      </c>
      <c r="C15" s="75">
        <f>(SUMIF($G$2:$G$31,B15,$I$2:$I$31))+(SUMIF($G$35:$G$44,B15,$H$35:$H$44))</f>
        <v>60</v>
      </c>
      <c r="D15" s="2"/>
      <c r="E15" s="93"/>
      <c r="F15" s="24"/>
      <c r="G15" s="25"/>
      <c r="H15" s="8"/>
      <c r="I15" s="8"/>
      <c r="J15" s="2"/>
      <c r="K15" s="101">
        <v>9950</v>
      </c>
      <c r="L15" s="9" t="s">
        <v>130</v>
      </c>
      <c r="M15" s="16" t="s">
        <v>142</v>
      </c>
      <c r="R15" s="1">
        <f>IF(vend23[[#This Row],[Nº Venda]]&gt;1,1,0)</f>
        <v>0</v>
      </c>
    </row>
    <row r="16" spans="2:18" ht="15.75" x14ac:dyDescent="0.25">
      <c r="B16" s="27" t="s">
        <v>11</v>
      </c>
      <c r="C16" s="31">
        <f>SUM(C11:C15)</f>
        <v>1560</v>
      </c>
      <c r="D16" s="2"/>
      <c r="E16" s="93"/>
      <c r="F16" s="24"/>
      <c r="G16" s="25"/>
      <c r="H16" s="8"/>
      <c r="I16" s="8"/>
      <c r="J16" s="2"/>
      <c r="K16" s="101">
        <v>9929</v>
      </c>
      <c r="L16" s="9" t="s">
        <v>130</v>
      </c>
      <c r="M16" s="16" t="s">
        <v>142</v>
      </c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>
        <v>9884</v>
      </c>
      <c r="L17" s="9" t="s">
        <v>130</v>
      </c>
      <c r="M17" s="16" t="s">
        <v>142</v>
      </c>
      <c r="R17" s="1">
        <f>IF(vend23[[#This Row],[Nº Venda]]&gt;1,1,0)</f>
        <v>0</v>
      </c>
    </row>
    <row r="18" spans="2:18" ht="15.75" x14ac:dyDescent="0.25">
      <c r="B18" s="106" t="s">
        <v>12</v>
      </c>
      <c r="C18" s="106"/>
      <c r="D18" s="2"/>
      <c r="E18" s="93"/>
      <c r="F18" s="24"/>
      <c r="G18" s="25"/>
      <c r="H18" s="8"/>
      <c r="I18" s="8"/>
      <c r="J18" s="2"/>
      <c r="K18" s="101">
        <v>9944</v>
      </c>
      <c r="L18" s="9" t="s">
        <v>130</v>
      </c>
      <c r="M18" s="16" t="s">
        <v>142</v>
      </c>
      <c r="R18" s="1">
        <f>IF(vend23[[#This Row],[Nº Venda]]&gt;1,1,0)</f>
        <v>0</v>
      </c>
    </row>
    <row r="19" spans="2:18" ht="15.75" x14ac:dyDescent="0.25">
      <c r="B19" s="29">
        <f>COUNT(entr_carn23[OS])</f>
        <v>0</v>
      </c>
      <c r="C19" s="30">
        <f>SUM(entr_carn23[Valor Total])</f>
        <v>0</v>
      </c>
      <c r="D19" s="2"/>
      <c r="E19" s="93"/>
      <c r="F19" s="24"/>
      <c r="G19" s="25"/>
      <c r="H19" s="8"/>
      <c r="I19" s="8"/>
      <c r="J19" s="2"/>
      <c r="K19" s="101">
        <v>9920</v>
      </c>
      <c r="L19" s="9" t="s">
        <v>130</v>
      </c>
      <c r="M19" s="16" t="s">
        <v>142</v>
      </c>
      <c r="R19" s="1">
        <f>IF(vend23[[#This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>
        <v>9763</v>
      </c>
      <c r="L20" s="9" t="s">
        <v>130</v>
      </c>
      <c r="M20" s="16" t="s">
        <v>142</v>
      </c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>
        <v>9928</v>
      </c>
      <c r="L21" s="9" t="s">
        <v>130</v>
      </c>
      <c r="M21" s="16" t="s">
        <v>142</v>
      </c>
    </row>
    <row r="22" spans="2:18" ht="15.75" x14ac:dyDescent="0.25">
      <c r="B22" s="27" t="s">
        <v>26</v>
      </c>
      <c r="C22" s="31">
        <f>C5</f>
        <v>890</v>
      </c>
      <c r="D22" s="2"/>
      <c r="E22" s="93"/>
      <c r="F22" s="24"/>
      <c r="G22" s="25"/>
      <c r="H22" s="8"/>
      <c r="I22" s="8"/>
      <c r="J22" s="2"/>
      <c r="K22" s="101">
        <v>9902</v>
      </c>
      <c r="L22" s="9" t="s">
        <v>130</v>
      </c>
      <c r="M22" s="16" t="s">
        <v>142</v>
      </c>
    </row>
    <row r="23" spans="2:18" ht="15" x14ac:dyDescent="0.25">
      <c r="B23" s="2"/>
      <c r="C23" s="2"/>
      <c r="D23" s="2"/>
      <c r="E23" s="32"/>
      <c r="H23" s="7"/>
      <c r="J23" s="2"/>
      <c r="K23" s="101">
        <v>9921</v>
      </c>
      <c r="L23" s="9" t="s">
        <v>130</v>
      </c>
      <c r="M23" s="16" t="s">
        <v>142</v>
      </c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9884</v>
      </c>
      <c r="F26" s="24" t="s">
        <v>193</v>
      </c>
      <c r="G26" s="25" t="s">
        <v>8</v>
      </c>
      <c r="H26" s="8"/>
      <c r="I26" s="8">
        <v>850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>
        <v>9921</v>
      </c>
      <c r="F27" s="24" t="s">
        <v>255</v>
      </c>
      <c r="G27" s="25" t="s">
        <v>6</v>
      </c>
      <c r="H27" s="8"/>
      <c r="I27" s="8">
        <v>600</v>
      </c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9621</v>
      </c>
      <c r="F35" s="24" t="s">
        <v>306</v>
      </c>
      <c r="G35" s="25" t="s">
        <v>10</v>
      </c>
      <c r="H35" s="8">
        <v>60</v>
      </c>
      <c r="I35" s="8" t="s">
        <v>54</v>
      </c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8"/>
      <c r="F41" s="38"/>
      <c r="G41" s="25"/>
      <c r="H41" s="8"/>
      <c r="I41" s="8"/>
      <c r="K41" s="101"/>
      <c r="L41" s="40"/>
      <c r="M41" s="39"/>
    </row>
    <row r="42" spans="2:18" ht="15.75" x14ac:dyDescent="0.25">
      <c r="E42" s="89"/>
      <c r="F42" s="72"/>
      <c r="G42" s="73"/>
      <c r="H42" s="74"/>
      <c r="I42" s="17"/>
    </row>
    <row r="43" spans="2:18" ht="15.75" x14ac:dyDescent="0.25">
      <c r="E43" s="89"/>
      <c r="F43" s="87"/>
      <c r="G43" s="86"/>
      <c r="H43" s="88"/>
      <c r="I43" s="8"/>
    </row>
    <row r="44" spans="2:18" ht="15.75" x14ac:dyDescent="0.25">
      <c r="E44" s="90"/>
      <c r="F44" s="72"/>
      <c r="G44" s="73"/>
      <c r="H44" s="74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zoomScale="80" zoomScaleNormal="80" workbookViewId="0">
      <selection activeCell="M24" sqref="M2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'23'!B1+1</f>
        <v>45589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1021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2153</v>
      </c>
      <c r="D6" s="2"/>
      <c r="E6" s="93">
        <v>9952</v>
      </c>
      <c r="F6" s="24" t="s">
        <v>307</v>
      </c>
      <c r="G6" s="25" t="s">
        <v>6</v>
      </c>
      <c r="H6" s="8">
        <v>200</v>
      </c>
      <c r="I6" s="8">
        <v>200</v>
      </c>
      <c r="J6" s="2"/>
      <c r="K6" s="24"/>
      <c r="L6" s="9"/>
      <c r="M6" s="16"/>
      <c r="R6" s="1">
        <f>IF(vend24[[#This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>
        <v>9953</v>
      </c>
      <c r="F7" s="24" t="s">
        <v>307</v>
      </c>
      <c r="G7" s="25" t="s">
        <v>7</v>
      </c>
      <c r="H7" s="8">
        <v>50</v>
      </c>
      <c r="I7" s="8">
        <v>50</v>
      </c>
      <c r="J7" s="2"/>
      <c r="K7" s="24"/>
      <c r="L7" s="9"/>
      <c r="M7" s="16"/>
      <c r="R7" s="1">
        <f>IF(vend24[[#This Row],[Nº Venda]]&gt;1,1,0)</f>
        <v>1</v>
      </c>
    </row>
    <row r="8" spans="2:18" ht="15.75" x14ac:dyDescent="0.25">
      <c r="B8" s="27" t="s">
        <v>21</v>
      </c>
      <c r="C8" s="28">
        <f>SUM(C6:C7)</f>
        <v>2153</v>
      </c>
      <c r="D8" s="2"/>
      <c r="E8" s="93">
        <v>9954</v>
      </c>
      <c r="F8" s="24" t="s">
        <v>308</v>
      </c>
      <c r="G8" s="25" t="s">
        <v>6</v>
      </c>
      <c r="H8" s="8">
        <v>301</v>
      </c>
      <c r="I8" s="8">
        <v>1</v>
      </c>
      <c r="J8" s="2"/>
      <c r="K8" s="24"/>
      <c r="L8" s="9"/>
      <c r="M8" s="16"/>
      <c r="R8" s="1">
        <f>IF(vend24[[#This Row],[Nº Venda]]&gt;1,1,0)</f>
        <v>1</v>
      </c>
    </row>
    <row r="9" spans="2:18" ht="15.75" x14ac:dyDescent="0.25">
      <c r="B9" s="2"/>
      <c r="C9" s="2"/>
      <c r="D9" s="2"/>
      <c r="E9" s="93">
        <v>9955</v>
      </c>
      <c r="F9" s="24" t="s">
        <v>229</v>
      </c>
      <c r="G9" s="25" t="s">
        <v>10</v>
      </c>
      <c r="H9" s="8">
        <v>470</v>
      </c>
      <c r="I9" s="8">
        <v>50</v>
      </c>
      <c r="J9" s="2"/>
      <c r="K9" s="24"/>
      <c r="L9" s="9"/>
      <c r="M9" s="16"/>
      <c r="R9" s="1">
        <f>IF(vend24[[#This Row],[Nº Venda]]&gt;1,1,0)</f>
        <v>1</v>
      </c>
    </row>
    <row r="10" spans="2:18" ht="15.75" x14ac:dyDescent="0.25">
      <c r="B10" s="106" t="s">
        <v>5</v>
      </c>
      <c r="C10" s="106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201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262.5</v>
      </c>
      <c r="D12" s="2"/>
      <c r="E12" s="93"/>
      <c r="F12" s="24"/>
      <c r="G12" s="25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1700</v>
      </c>
      <c r="D13" s="2"/>
      <c r="E13" s="94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IF(vend24[[#This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336</v>
      </c>
      <c r="D15" s="2"/>
      <c r="E15" s="93"/>
      <c r="F15" s="24"/>
      <c r="G15" s="25"/>
      <c r="H15" s="8"/>
      <c r="I15" s="8"/>
      <c r="J15" s="2"/>
      <c r="K15" s="101">
        <v>9511</v>
      </c>
      <c r="L15" s="9" t="s">
        <v>130</v>
      </c>
      <c r="M15" s="16" t="s">
        <v>142</v>
      </c>
      <c r="R15" s="1">
        <f>IF(vend24[[#This Row],[Nº Venda]]&gt;1,1,0)</f>
        <v>0</v>
      </c>
    </row>
    <row r="16" spans="2:18" ht="15.75" x14ac:dyDescent="0.25">
      <c r="B16" s="27" t="s">
        <v>11</v>
      </c>
      <c r="C16" s="31">
        <f>SUM(C11:C15)</f>
        <v>2499.5</v>
      </c>
      <c r="D16" s="2"/>
      <c r="E16" s="93"/>
      <c r="F16" s="24"/>
      <c r="G16" s="25"/>
      <c r="H16" s="8"/>
      <c r="I16" s="8"/>
      <c r="J16" s="2"/>
      <c r="K16" s="101">
        <v>9671</v>
      </c>
      <c r="L16" s="9" t="s">
        <v>134</v>
      </c>
      <c r="M16" s="16" t="s">
        <v>142</v>
      </c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>
        <v>9755</v>
      </c>
      <c r="L17" s="9" t="s">
        <v>130</v>
      </c>
      <c r="M17" s="16" t="s">
        <v>163</v>
      </c>
      <c r="R17" s="1">
        <f>IF(vend24[[#This Row],[Nº Venda]]&gt;1,1,0)</f>
        <v>0</v>
      </c>
    </row>
    <row r="18" spans="2:18" ht="15.75" x14ac:dyDescent="0.25">
      <c r="B18" s="106" t="s">
        <v>12</v>
      </c>
      <c r="C18" s="106"/>
      <c r="D18" s="2"/>
      <c r="E18" s="93"/>
      <c r="F18" s="24"/>
      <c r="G18" s="25"/>
      <c r="H18" s="8"/>
      <c r="I18" s="8"/>
      <c r="J18" s="2"/>
      <c r="K18" s="101">
        <v>9804</v>
      </c>
      <c r="L18" s="9" t="s">
        <v>134</v>
      </c>
      <c r="M18" s="16" t="s">
        <v>142</v>
      </c>
      <c r="R18" s="1">
        <f>IF(vend24[[#This Row],[Nº Venda]]&gt;1,1,0)</f>
        <v>0</v>
      </c>
    </row>
    <row r="19" spans="2:18" ht="15.75" x14ac:dyDescent="0.25">
      <c r="B19" s="29">
        <f>COUNT(entr_carn24[OS])</f>
        <v>1</v>
      </c>
      <c r="C19" s="30">
        <f>SUM(entr_carn24[Valor Total])</f>
        <v>456</v>
      </c>
      <c r="D19" s="2"/>
      <c r="E19" s="93"/>
      <c r="F19" s="24"/>
      <c r="G19" s="25"/>
      <c r="H19" s="8"/>
      <c r="I19" s="8"/>
      <c r="J19" s="2"/>
      <c r="K19" s="101">
        <v>9856</v>
      </c>
      <c r="L19" s="9" t="s">
        <v>130</v>
      </c>
      <c r="M19" s="16" t="s">
        <v>142</v>
      </c>
      <c r="R19" s="1">
        <f>IF(vend24[[#This Row],[Nº Venda]]&gt;1,1,0)</f>
        <v>0</v>
      </c>
    </row>
    <row r="20" spans="2:18" ht="15.75" x14ac:dyDescent="0.25">
      <c r="B20" s="27" t="s">
        <v>11</v>
      </c>
      <c r="C20" s="31">
        <f>SUM(C19:C19)</f>
        <v>456</v>
      </c>
      <c r="D20" s="2"/>
      <c r="E20" s="93"/>
      <c r="F20" s="25"/>
      <c r="G20" s="25"/>
      <c r="H20" s="8"/>
      <c r="I20" s="8"/>
      <c r="J20" s="2"/>
      <c r="K20" s="101">
        <v>9897</v>
      </c>
      <c r="L20" s="9" t="s">
        <v>130</v>
      </c>
      <c r="M20" s="16" t="s">
        <v>142</v>
      </c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>
        <v>9917</v>
      </c>
      <c r="L21" s="9" t="s">
        <v>130</v>
      </c>
      <c r="M21" s="16" t="s">
        <v>142</v>
      </c>
    </row>
    <row r="22" spans="2:18" ht="15.75" x14ac:dyDescent="0.25">
      <c r="B22" s="27" t="s">
        <v>26</v>
      </c>
      <c r="C22" s="31">
        <f>C5</f>
        <v>1021</v>
      </c>
      <c r="D22" s="2"/>
      <c r="E22" s="93"/>
      <c r="F22" s="24"/>
      <c r="G22" s="25"/>
      <c r="H22" s="8"/>
      <c r="I22" s="8"/>
      <c r="J22" s="2"/>
      <c r="K22" s="101">
        <v>9952</v>
      </c>
      <c r="L22" s="9" t="s">
        <v>130</v>
      </c>
      <c r="M22" s="16" t="s">
        <v>142</v>
      </c>
    </row>
    <row r="23" spans="2:18" ht="15" x14ac:dyDescent="0.25">
      <c r="B23" s="2"/>
      <c r="C23" s="2"/>
      <c r="D23" s="2"/>
      <c r="E23" s="32"/>
      <c r="H23" s="7"/>
      <c r="J23" s="2"/>
      <c r="K23" s="101">
        <v>9953</v>
      </c>
      <c r="L23" s="9" t="s">
        <v>130</v>
      </c>
      <c r="M23" s="16" t="s">
        <v>142</v>
      </c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9755</v>
      </c>
      <c r="F26" s="24" t="s">
        <v>309</v>
      </c>
      <c r="G26" s="25" t="s">
        <v>10</v>
      </c>
      <c r="H26" s="8"/>
      <c r="I26" s="8">
        <v>152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>
        <v>9897</v>
      </c>
      <c r="F27" s="24" t="s">
        <v>213</v>
      </c>
      <c r="G27" s="25" t="s">
        <v>8</v>
      </c>
      <c r="H27" s="8"/>
      <c r="I27" s="8">
        <v>600</v>
      </c>
      <c r="J27" s="2"/>
      <c r="K27" s="101"/>
      <c r="L27" s="9"/>
      <c r="M27" s="16"/>
    </row>
    <row r="28" spans="2:18" ht="15.75" x14ac:dyDescent="0.25">
      <c r="B28" s="2"/>
      <c r="C28" s="2"/>
      <c r="D28" s="2"/>
      <c r="E28" s="93">
        <v>9897</v>
      </c>
      <c r="F28" s="24" t="s">
        <v>213</v>
      </c>
      <c r="G28" s="25" t="s">
        <v>8</v>
      </c>
      <c r="H28" s="8"/>
      <c r="I28" s="8">
        <v>600</v>
      </c>
      <c r="J28" s="2"/>
      <c r="K28" s="101"/>
      <c r="L28" s="9"/>
      <c r="M28" s="16"/>
    </row>
    <row r="29" spans="2:18" ht="15.75" x14ac:dyDescent="0.25">
      <c r="B29" s="2"/>
      <c r="C29" s="2"/>
      <c r="D29" s="2"/>
      <c r="E29" s="93">
        <v>9359</v>
      </c>
      <c r="F29" s="24" t="s">
        <v>305</v>
      </c>
      <c r="G29" s="25" t="s">
        <v>8</v>
      </c>
      <c r="H29" s="8"/>
      <c r="I29" s="8">
        <v>500</v>
      </c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9451</v>
      </c>
      <c r="F35" s="24" t="s">
        <v>310</v>
      </c>
      <c r="G35" s="25" t="s">
        <v>10</v>
      </c>
      <c r="H35" s="8">
        <v>67</v>
      </c>
      <c r="I35" s="8" t="s">
        <v>54</v>
      </c>
      <c r="K35" s="101">
        <v>9755</v>
      </c>
      <c r="L35" s="40">
        <v>3</v>
      </c>
      <c r="M35" s="16">
        <v>456</v>
      </c>
    </row>
    <row r="36" spans="2:18" ht="15.75" x14ac:dyDescent="0.25">
      <c r="E36" s="97">
        <v>9451</v>
      </c>
      <c r="F36" s="24" t="s">
        <v>310</v>
      </c>
      <c r="G36" s="25" t="s">
        <v>10</v>
      </c>
      <c r="H36" s="8">
        <v>67</v>
      </c>
      <c r="I36" s="8" t="s">
        <v>45</v>
      </c>
      <c r="K36" s="101"/>
      <c r="L36" s="40"/>
      <c r="M36" s="16"/>
    </row>
    <row r="37" spans="2:18" ht="15.75" x14ac:dyDescent="0.25">
      <c r="E37" s="93">
        <v>8619</v>
      </c>
      <c r="F37" s="24" t="s">
        <v>311</v>
      </c>
      <c r="G37" s="25" t="s">
        <v>7</v>
      </c>
      <c r="H37" s="8">
        <v>106.25</v>
      </c>
      <c r="I37" s="8" t="s">
        <v>43</v>
      </c>
      <c r="K37" s="101"/>
      <c r="L37" s="40"/>
      <c r="M37" s="16"/>
    </row>
    <row r="38" spans="2:18" ht="15.75" x14ac:dyDescent="0.25">
      <c r="E38" s="93">
        <v>8619</v>
      </c>
      <c r="F38" s="24" t="s">
        <v>311</v>
      </c>
      <c r="G38" s="25" t="s">
        <v>7</v>
      </c>
      <c r="H38" s="8">
        <v>106.25</v>
      </c>
      <c r="I38" s="8" t="s">
        <v>51</v>
      </c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4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80" zoomScaleNormal="80" workbookViewId="0">
      <selection activeCell="U6" sqref="U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'24'!B1+1</f>
        <v>45590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1039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769</v>
      </c>
      <c r="D6" s="2"/>
      <c r="E6" s="93">
        <v>9956</v>
      </c>
      <c r="F6" s="24" t="s">
        <v>313</v>
      </c>
      <c r="G6" s="25" t="s">
        <v>10</v>
      </c>
      <c r="H6" s="8">
        <v>400</v>
      </c>
      <c r="I6" s="8">
        <v>130</v>
      </c>
      <c r="J6" s="2"/>
      <c r="K6" s="24"/>
      <c r="L6" s="9"/>
      <c r="M6" s="16"/>
      <c r="R6" s="1">
        <f>IF(vend25[[#This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>
        <v>9957</v>
      </c>
      <c r="F7" s="24" t="s">
        <v>314</v>
      </c>
      <c r="G7" s="25" t="s">
        <v>8</v>
      </c>
      <c r="H7" s="8">
        <v>39</v>
      </c>
      <c r="I7" s="8">
        <v>39</v>
      </c>
      <c r="J7" s="2"/>
      <c r="K7" s="24"/>
      <c r="L7" s="9"/>
      <c r="M7" s="16"/>
      <c r="R7" s="1">
        <f>IF(vend25[[#This Row],[Nº Venda]]&gt;1,1,0)</f>
        <v>1</v>
      </c>
    </row>
    <row r="8" spans="2:18" ht="15.75" x14ac:dyDescent="0.25">
      <c r="B8" s="27" t="s">
        <v>21</v>
      </c>
      <c r="C8" s="28">
        <f>SUM(C6:C7)</f>
        <v>769</v>
      </c>
      <c r="D8" s="2"/>
      <c r="E8" s="93">
        <v>9958</v>
      </c>
      <c r="F8" s="24" t="s">
        <v>312</v>
      </c>
      <c r="G8" s="25" t="s">
        <v>10</v>
      </c>
      <c r="H8" s="8">
        <v>600</v>
      </c>
      <c r="I8" s="8">
        <v>300</v>
      </c>
      <c r="J8" s="2"/>
      <c r="K8" s="24"/>
      <c r="L8" s="9"/>
      <c r="M8" s="16"/>
      <c r="R8" s="1">
        <f>IF(vend25[[#This Row],[Nº Venda]]&gt;1,1,0)</f>
        <v>1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IF(vend25[[#This Row],[Nº Venda]]&gt;1,1,0)</f>
        <v>0</v>
      </c>
    </row>
    <row r="10" spans="2:18" ht="15.75" x14ac:dyDescent="0.25">
      <c r="B10" s="106" t="s">
        <v>5</v>
      </c>
      <c r="C10" s="106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70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IF(vend25[[#This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339</v>
      </c>
      <c r="D13" s="2"/>
      <c r="E13" s="94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IF(vend25[[#This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430</v>
      </c>
      <c r="D15" s="2"/>
      <c r="E15" s="93"/>
      <c r="F15" s="24"/>
      <c r="G15" s="25"/>
      <c r="H15" s="8"/>
      <c r="I15" s="8"/>
      <c r="J15" s="2"/>
      <c r="K15" s="101">
        <v>9947</v>
      </c>
      <c r="L15" s="9" t="s">
        <v>130</v>
      </c>
      <c r="M15" s="16" t="s">
        <v>142</v>
      </c>
      <c r="R15" s="1">
        <f>IF(vend25[[#This Row],[Nº Venda]]&gt;1,1,0)</f>
        <v>0</v>
      </c>
    </row>
    <row r="16" spans="2:18" ht="15.75" x14ac:dyDescent="0.25">
      <c r="B16" s="27" t="s">
        <v>11</v>
      </c>
      <c r="C16" s="31">
        <f>SUM(C11:C15)</f>
        <v>839</v>
      </c>
      <c r="D16" s="2"/>
      <c r="E16" s="93"/>
      <c r="F16" s="24"/>
      <c r="G16" s="25"/>
      <c r="H16" s="8"/>
      <c r="I16" s="8"/>
      <c r="J16" s="2"/>
      <c r="K16" s="101">
        <v>9939</v>
      </c>
      <c r="L16" s="9" t="s">
        <v>136</v>
      </c>
      <c r="M16" s="16" t="s">
        <v>142</v>
      </c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>
        <v>9896</v>
      </c>
      <c r="L17" s="9" t="s">
        <v>130</v>
      </c>
      <c r="M17" s="16" t="s">
        <v>142</v>
      </c>
      <c r="R17" s="1">
        <f>IF(vend25[[#This Row],[Nº Venda]]&gt;1,1,0)</f>
        <v>0</v>
      </c>
    </row>
    <row r="18" spans="2:18" ht="15.75" x14ac:dyDescent="0.25">
      <c r="B18" s="106" t="s">
        <v>12</v>
      </c>
      <c r="C18" s="106"/>
      <c r="D18" s="2"/>
      <c r="E18" s="93"/>
      <c r="F18" s="24"/>
      <c r="G18" s="25"/>
      <c r="H18" s="8"/>
      <c r="I18" s="8"/>
      <c r="J18" s="2"/>
      <c r="K18" s="101">
        <v>9895</v>
      </c>
      <c r="L18" s="9" t="s">
        <v>130</v>
      </c>
      <c r="M18" s="16" t="s">
        <v>142</v>
      </c>
      <c r="R18" s="1">
        <f>IF(vend25[[#This Row],[Nº Venda]]&gt;1,1,0)</f>
        <v>0</v>
      </c>
    </row>
    <row r="19" spans="2:18" ht="15.75" x14ac:dyDescent="0.25">
      <c r="B19" s="29">
        <f>COUNT(entr_carn25[OS])</f>
        <v>1</v>
      </c>
      <c r="C19" s="30">
        <f>SUM(entr_carn25[Valor Total])</f>
        <v>830</v>
      </c>
      <c r="D19" s="2"/>
      <c r="E19" s="93"/>
      <c r="F19" s="24"/>
      <c r="G19" s="25"/>
      <c r="H19" s="8"/>
      <c r="I19" s="8"/>
      <c r="J19" s="2"/>
      <c r="K19" s="101">
        <v>9894</v>
      </c>
      <c r="L19" s="9" t="s">
        <v>136</v>
      </c>
      <c r="M19" s="16" t="s">
        <v>163</v>
      </c>
      <c r="R19" s="1">
        <f>IF(vend25[[#This Row],[Nº Venda]]&gt;1,1,0)</f>
        <v>0</v>
      </c>
    </row>
    <row r="20" spans="2:18" ht="15.75" x14ac:dyDescent="0.25">
      <c r="B20" s="27" t="s">
        <v>11</v>
      </c>
      <c r="C20" s="31">
        <f>SUM(C19:C19)</f>
        <v>830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1039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9954</v>
      </c>
      <c r="F26" s="24" t="s">
        <v>308</v>
      </c>
      <c r="G26" s="25" t="s">
        <v>8</v>
      </c>
      <c r="H26" s="8"/>
      <c r="I26" s="8">
        <v>300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9447</v>
      </c>
      <c r="F35" s="24" t="s">
        <v>315</v>
      </c>
      <c r="G35" s="25" t="s">
        <v>6</v>
      </c>
      <c r="H35" s="69">
        <v>20</v>
      </c>
      <c r="I35" s="8" t="s">
        <v>49</v>
      </c>
      <c r="K35" s="101">
        <v>9894</v>
      </c>
      <c r="L35" s="40">
        <v>7</v>
      </c>
      <c r="M35" s="16">
        <v>830</v>
      </c>
    </row>
    <row r="36" spans="2:18" ht="15.75" x14ac:dyDescent="0.25">
      <c r="E36" s="97">
        <v>9330</v>
      </c>
      <c r="F36" s="24" t="s">
        <v>315</v>
      </c>
      <c r="G36" s="25" t="s">
        <v>6</v>
      </c>
      <c r="H36" s="8">
        <v>50</v>
      </c>
      <c r="I36" s="8" t="s">
        <v>80</v>
      </c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V41"/>
  <sheetViews>
    <sheetView showGridLines="0" topLeftCell="A3" zoomScale="80" zoomScaleNormal="80" workbookViewId="0">
      <selection activeCell="K36" sqref="K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'25'!B1+1</f>
        <v>45591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4150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5110</v>
      </c>
      <c r="D6" s="2"/>
      <c r="E6" s="93">
        <v>9959</v>
      </c>
      <c r="F6" s="24" t="s">
        <v>316</v>
      </c>
      <c r="G6" s="25" t="s">
        <v>6</v>
      </c>
      <c r="H6" s="8">
        <v>450</v>
      </c>
      <c r="I6" s="8">
        <v>150</v>
      </c>
      <c r="J6" s="2"/>
      <c r="K6" s="24"/>
      <c r="L6" s="9"/>
      <c r="M6" s="16"/>
      <c r="R6" s="1">
        <f>IF(vend26[[#This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>
        <v>9960</v>
      </c>
      <c r="F7" s="24" t="s">
        <v>317</v>
      </c>
      <c r="G7" s="25" t="s">
        <v>10</v>
      </c>
      <c r="H7" s="8">
        <v>550</v>
      </c>
      <c r="I7" s="8">
        <v>140</v>
      </c>
      <c r="J7" s="2"/>
      <c r="K7" s="24"/>
      <c r="L7" s="9"/>
      <c r="M7" s="16"/>
      <c r="R7" s="1">
        <f>IF(vend26[[#This Row],[Nº Venda]]&gt;1,1,0)</f>
        <v>1</v>
      </c>
    </row>
    <row r="8" spans="2:18" ht="15.75" x14ac:dyDescent="0.25">
      <c r="B8" s="27" t="s">
        <v>21</v>
      </c>
      <c r="C8" s="28">
        <f>SUM(C6:C7)</f>
        <v>5110</v>
      </c>
      <c r="D8" s="2"/>
      <c r="E8" s="93">
        <v>9961</v>
      </c>
      <c r="F8" s="24" t="s">
        <v>317</v>
      </c>
      <c r="G8" s="25" t="s">
        <v>10</v>
      </c>
      <c r="H8" s="8">
        <v>550</v>
      </c>
      <c r="I8" s="8">
        <v>140</v>
      </c>
      <c r="J8" s="2"/>
      <c r="K8" s="24"/>
      <c r="L8" s="9"/>
      <c r="M8" s="16"/>
      <c r="R8" s="1">
        <f>IF(vend26[[#This Row],[Nº Venda]]&gt;1,1,0)</f>
        <v>1</v>
      </c>
    </row>
    <row r="9" spans="2:18" ht="15.75" x14ac:dyDescent="0.25">
      <c r="B9" s="2"/>
      <c r="C9" s="2"/>
      <c r="D9" s="2"/>
      <c r="E9" s="93">
        <v>9962</v>
      </c>
      <c r="F9" s="24" t="s">
        <v>318</v>
      </c>
      <c r="G9" s="25" t="s">
        <v>8</v>
      </c>
      <c r="H9" s="8">
        <v>550</v>
      </c>
      <c r="I9" s="8">
        <v>550</v>
      </c>
      <c r="J9" s="2"/>
      <c r="K9" s="24"/>
      <c r="L9" s="9"/>
      <c r="M9" s="16"/>
      <c r="R9" s="1">
        <f>IF(vend26[[#This Row],[Nº Venda]]&gt;1,1,0)</f>
        <v>1</v>
      </c>
    </row>
    <row r="10" spans="2:18" ht="15.75" x14ac:dyDescent="0.25">
      <c r="B10" s="106" t="s">
        <v>5</v>
      </c>
      <c r="C10" s="106"/>
      <c r="D10" s="2"/>
      <c r="E10" s="93">
        <v>9963</v>
      </c>
      <c r="F10" s="24" t="s">
        <v>319</v>
      </c>
      <c r="G10" s="25" t="s">
        <v>8</v>
      </c>
      <c r="H10" s="8">
        <v>50</v>
      </c>
      <c r="I10" s="8">
        <v>50</v>
      </c>
      <c r="J10" s="2"/>
      <c r="K10" s="24"/>
      <c r="L10" s="9"/>
      <c r="M10" s="16"/>
      <c r="R10" s="1">
        <f>IF(vend26[[#This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150</v>
      </c>
      <c r="D11" s="2"/>
      <c r="E11" s="93">
        <v>9964</v>
      </c>
      <c r="F11" s="24" t="s">
        <v>323</v>
      </c>
      <c r="G11" s="25" t="s">
        <v>8</v>
      </c>
      <c r="H11" s="8">
        <v>1400</v>
      </c>
      <c r="I11" s="8">
        <v>1400</v>
      </c>
      <c r="J11" s="2"/>
      <c r="K11" s="26"/>
      <c r="L11" s="9"/>
      <c r="M11" s="16"/>
      <c r="O11" s="1">
        <f>IF(C16=0,0,1)</f>
        <v>1</v>
      </c>
      <c r="R11" s="1">
        <f>IF(vend26[[#This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500</v>
      </c>
      <c r="D12" s="2"/>
      <c r="E12" s="93">
        <v>9965</v>
      </c>
      <c r="F12" s="24" t="s">
        <v>323</v>
      </c>
      <c r="G12" s="25" t="s">
        <v>8</v>
      </c>
      <c r="H12" s="8">
        <v>500</v>
      </c>
      <c r="I12" s="8">
        <v>500</v>
      </c>
      <c r="J12" s="2"/>
      <c r="R12" s="1">
        <f>IF(vend26[[#This Row],[Nº Venda]]&gt;1,1,0)</f>
        <v>1</v>
      </c>
    </row>
    <row r="13" spans="2:18" ht="15.75" x14ac:dyDescent="0.25">
      <c r="B13" s="29" t="s">
        <v>8</v>
      </c>
      <c r="C13" s="30">
        <f t="shared" si="0"/>
        <v>3630</v>
      </c>
      <c r="D13" s="2"/>
      <c r="E13" s="94">
        <v>9966</v>
      </c>
      <c r="F13" s="24" t="s">
        <v>323</v>
      </c>
      <c r="G13" s="25" t="s">
        <v>8</v>
      </c>
      <c r="H13" s="8">
        <v>100</v>
      </c>
      <c r="I13" s="8">
        <v>100</v>
      </c>
      <c r="J13" s="2"/>
      <c r="K13" s="108" t="s">
        <v>22</v>
      </c>
      <c r="L13" s="109"/>
      <c r="M13" s="110"/>
      <c r="R13" s="1">
        <f>IF(vend26[[#This Row],[Nº Venda]]&gt;1,1,0)</f>
        <v>1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29" t="s">
        <v>10</v>
      </c>
      <c r="C15" s="30">
        <f t="shared" si="0"/>
        <v>830</v>
      </c>
      <c r="D15" s="2"/>
      <c r="E15" s="93"/>
      <c r="F15" s="24"/>
      <c r="G15" s="25"/>
      <c r="H15" s="8"/>
      <c r="I15" s="8"/>
      <c r="J15" s="2"/>
      <c r="K15" s="101">
        <v>9272</v>
      </c>
      <c r="L15" s="9" t="s">
        <v>130</v>
      </c>
      <c r="M15" s="16" t="s">
        <v>163</v>
      </c>
      <c r="R15" s="1">
        <f>IF(vend26[[#This Row],[Nº Venda]]&gt;1,1,0)</f>
        <v>0</v>
      </c>
    </row>
    <row r="16" spans="2:18" ht="15.75" x14ac:dyDescent="0.25">
      <c r="B16" s="27" t="s">
        <v>11</v>
      </c>
      <c r="C16" s="31">
        <f>SUM(C11:C15)</f>
        <v>5110</v>
      </c>
      <c r="D16" s="2"/>
      <c r="E16" s="93"/>
      <c r="F16" s="24"/>
      <c r="G16" s="25"/>
      <c r="H16" s="8"/>
      <c r="I16" s="8"/>
      <c r="J16" s="2"/>
      <c r="K16" s="101">
        <v>9878</v>
      </c>
      <c r="L16" s="9" t="s">
        <v>130</v>
      </c>
      <c r="M16" s="16" t="s">
        <v>142</v>
      </c>
      <c r="R16" s="1">
        <f>IF(vend26[[#This Row],[Nº Venda]]&gt;1,1,0)</f>
        <v>0</v>
      </c>
    </row>
    <row r="17" spans="2:22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>
        <v>9879</v>
      </c>
      <c r="L17" s="9" t="s">
        <v>130</v>
      </c>
      <c r="M17" s="16" t="s">
        <v>142</v>
      </c>
      <c r="R17" s="1">
        <f>IF(vend26[[#This Row],[Nº Venda]]&gt;1,1,0)</f>
        <v>0</v>
      </c>
    </row>
    <row r="18" spans="2:22" ht="15.75" x14ac:dyDescent="0.25">
      <c r="B18" s="106" t="s">
        <v>12</v>
      </c>
      <c r="C18" s="106"/>
      <c r="D18" s="2"/>
      <c r="E18" s="93"/>
      <c r="F18" s="24"/>
      <c r="G18" s="25"/>
      <c r="H18" s="8"/>
      <c r="I18" s="8"/>
      <c r="J18" s="2"/>
      <c r="K18" s="101">
        <v>9880</v>
      </c>
      <c r="L18" s="9" t="s">
        <v>130</v>
      </c>
      <c r="M18" s="16" t="s">
        <v>142</v>
      </c>
      <c r="R18" s="1">
        <f>IF(vend26[[#This Row],[Nº Venda]]&gt;1,1,0)</f>
        <v>0</v>
      </c>
    </row>
    <row r="19" spans="2:22" ht="15.75" x14ac:dyDescent="0.25">
      <c r="B19" s="29">
        <f>COUNT(entr_carn26[OS])</f>
        <v>3</v>
      </c>
      <c r="C19" s="30">
        <f>SUM(entr_carn26[Valor Total])</f>
        <v>3559</v>
      </c>
      <c r="D19" s="2"/>
      <c r="E19" s="93"/>
      <c r="F19" s="24"/>
      <c r="G19" s="25"/>
      <c r="H19" s="8"/>
      <c r="I19" s="8"/>
      <c r="J19" s="2"/>
      <c r="K19" s="101">
        <v>9886</v>
      </c>
      <c r="L19" s="9" t="s">
        <v>136</v>
      </c>
      <c r="M19" s="16" t="s">
        <v>163</v>
      </c>
      <c r="R19" s="1">
        <f>IF(vend26[[#This Row],[Nº Venda]]&gt;1,1,0)</f>
        <v>0</v>
      </c>
    </row>
    <row r="20" spans="2:22" ht="15.75" x14ac:dyDescent="0.25">
      <c r="B20" s="27" t="s">
        <v>11</v>
      </c>
      <c r="C20" s="31">
        <f>SUM(C19:C19)</f>
        <v>3559</v>
      </c>
      <c r="D20" s="2"/>
      <c r="E20" s="93"/>
      <c r="F20" s="25"/>
      <c r="G20" s="25"/>
      <c r="H20" s="8"/>
      <c r="I20" s="8"/>
      <c r="J20" s="2"/>
      <c r="K20" s="101">
        <v>9891</v>
      </c>
      <c r="L20" s="9" t="s">
        <v>136</v>
      </c>
      <c r="M20" s="16" t="s">
        <v>163</v>
      </c>
      <c r="R20" s="1">
        <f>IF(vend26[[#This Row],[Nº Venda]]&gt;1,1,0)</f>
        <v>0</v>
      </c>
    </row>
    <row r="21" spans="2:22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>
        <v>9899</v>
      </c>
      <c r="L21" s="9" t="s">
        <v>130</v>
      </c>
      <c r="M21" s="16" t="s">
        <v>142</v>
      </c>
    </row>
    <row r="22" spans="2:22" ht="15.75" x14ac:dyDescent="0.25">
      <c r="B22" s="27" t="s">
        <v>26</v>
      </c>
      <c r="C22" s="31">
        <f>C5</f>
        <v>4150</v>
      </c>
      <c r="D22" s="2"/>
      <c r="E22" s="93"/>
      <c r="F22" s="24"/>
      <c r="G22" s="25"/>
      <c r="H22" s="8"/>
      <c r="I22" s="8"/>
      <c r="J22" s="2"/>
      <c r="K22" s="101">
        <v>9900</v>
      </c>
      <c r="L22" s="9" t="s">
        <v>130</v>
      </c>
      <c r="M22" s="16" t="s">
        <v>142</v>
      </c>
    </row>
    <row r="23" spans="2:22" ht="15" x14ac:dyDescent="0.25">
      <c r="B23" s="2"/>
      <c r="C23" s="2"/>
      <c r="D23" s="2"/>
      <c r="E23" s="32"/>
      <c r="H23" s="7"/>
      <c r="J23" s="2"/>
      <c r="K23" s="101">
        <v>9931</v>
      </c>
      <c r="L23" s="9" t="s">
        <v>130</v>
      </c>
      <c r="M23" s="16" t="s">
        <v>142</v>
      </c>
    </row>
    <row r="24" spans="2:22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101">
        <v>9937</v>
      </c>
      <c r="L24" s="9" t="s">
        <v>130</v>
      </c>
      <c r="M24" s="16" t="s">
        <v>142</v>
      </c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>
        <v>9938</v>
      </c>
      <c r="L25" s="9" t="s">
        <v>130</v>
      </c>
      <c r="M25" s="16" t="s">
        <v>142</v>
      </c>
    </row>
    <row r="26" spans="2:22" ht="15.75" x14ac:dyDescent="0.25">
      <c r="B26" s="2"/>
      <c r="C26" s="2"/>
      <c r="D26" s="2"/>
      <c r="E26" s="93">
        <v>9940</v>
      </c>
      <c r="F26" s="24" t="s">
        <v>285</v>
      </c>
      <c r="G26" s="25" t="s">
        <v>8</v>
      </c>
      <c r="H26" s="8"/>
      <c r="I26" s="8">
        <v>530</v>
      </c>
      <c r="J26" s="2"/>
      <c r="K26" s="101">
        <v>9963</v>
      </c>
      <c r="L26" s="9" t="s">
        <v>130</v>
      </c>
      <c r="M26" s="16" t="s">
        <v>142</v>
      </c>
    </row>
    <row r="27" spans="2:22" ht="15.75" x14ac:dyDescent="0.25">
      <c r="B27" s="2"/>
      <c r="C27" s="2"/>
      <c r="D27" s="2"/>
      <c r="E27" s="93">
        <v>9272</v>
      </c>
      <c r="F27" s="24" t="s">
        <v>320</v>
      </c>
      <c r="G27" s="25" t="s">
        <v>7</v>
      </c>
      <c r="H27" s="8"/>
      <c r="I27" s="8">
        <v>500</v>
      </c>
      <c r="J27" s="2"/>
      <c r="K27" s="101"/>
      <c r="L27" s="9"/>
      <c r="M27" s="16"/>
    </row>
    <row r="28" spans="2:22" ht="15.75" x14ac:dyDescent="0.25">
      <c r="B28" s="2"/>
      <c r="C28" s="2"/>
      <c r="D28" s="2"/>
      <c r="E28" s="93">
        <v>9937</v>
      </c>
      <c r="F28" s="24" t="s">
        <v>321</v>
      </c>
      <c r="G28" s="25" t="s">
        <v>8</v>
      </c>
      <c r="H28" s="8"/>
      <c r="I28" s="8">
        <v>200</v>
      </c>
      <c r="J28" s="2"/>
      <c r="K28" s="101"/>
      <c r="L28" s="9"/>
      <c r="M28" s="16"/>
    </row>
    <row r="29" spans="2:22" ht="15.75" x14ac:dyDescent="0.25">
      <c r="B29" s="2"/>
      <c r="C29" s="2"/>
      <c r="D29" s="2"/>
      <c r="E29" s="93">
        <v>9935</v>
      </c>
      <c r="F29" s="24" t="s">
        <v>279</v>
      </c>
      <c r="G29" s="25" t="s">
        <v>10</v>
      </c>
      <c r="H29" s="8"/>
      <c r="I29" s="8">
        <v>150</v>
      </c>
      <c r="J29" s="2"/>
      <c r="K29" s="101"/>
      <c r="L29" s="9"/>
      <c r="M29" s="16"/>
    </row>
    <row r="30" spans="2:22" ht="15.75" x14ac:dyDescent="0.25">
      <c r="B30" s="2"/>
      <c r="C30" s="2"/>
      <c r="D30" s="2"/>
      <c r="E30" s="93">
        <v>9938</v>
      </c>
      <c r="F30" s="38" t="s">
        <v>282</v>
      </c>
      <c r="G30" s="25" t="s">
        <v>8</v>
      </c>
      <c r="H30" s="8"/>
      <c r="I30" s="8">
        <v>300</v>
      </c>
      <c r="J30" s="2"/>
      <c r="K30" s="101"/>
      <c r="L30" s="9"/>
      <c r="M30" s="16"/>
      <c r="V30" s="105" t="s">
        <v>322</v>
      </c>
    </row>
    <row r="31" spans="2:22" ht="15.75" x14ac:dyDescent="0.25">
      <c r="B31" s="2"/>
      <c r="C31" s="2"/>
      <c r="D31" s="2"/>
      <c r="E31" s="95">
        <v>9927</v>
      </c>
      <c r="F31" s="35" t="s">
        <v>263</v>
      </c>
      <c r="G31" s="36" t="s">
        <v>10</v>
      </c>
      <c r="H31" s="17"/>
      <c r="I31" s="17">
        <v>400</v>
      </c>
      <c r="J31" s="2"/>
      <c r="K31" s="101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>
        <v>9886</v>
      </c>
      <c r="L35" s="40">
        <v>8</v>
      </c>
      <c r="M35" s="16">
        <v>659</v>
      </c>
    </row>
    <row r="36" spans="2:18" ht="15.75" x14ac:dyDescent="0.25">
      <c r="E36" s="97"/>
      <c r="F36" s="24"/>
      <c r="G36" s="25"/>
      <c r="H36" s="8"/>
      <c r="I36" s="8"/>
      <c r="K36" s="101">
        <v>9891</v>
      </c>
      <c r="L36" s="40">
        <v>10</v>
      </c>
      <c r="M36" s="16">
        <v>1400</v>
      </c>
    </row>
    <row r="37" spans="2:18" ht="15.75" x14ac:dyDescent="0.25">
      <c r="E37" s="93"/>
      <c r="F37" s="24"/>
      <c r="G37" s="25"/>
      <c r="H37" s="8"/>
      <c r="I37" s="8"/>
      <c r="K37" s="101">
        <v>9272</v>
      </c>
      <c r="L37" s="40">
        <v>3</v>
      </c>
      <c r="M37" s="16">
        <v>1500</v>
      </c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8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'26'!B1+1</f>
        <v>45592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IF(vend27[[#This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IF(vend27[[#This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IF(vend27[[#This Row],[Nº Venda]]&gt;1,1,0)</f>
        <v>0</v>
      </c>
    </row>
    <row r="10" spans="2:18" ht="15.75" x14ac:dyDescent="0.25">
      <c r="B10" s="106" t="s">
        <v>5</v>
      </c>
      <c r="C10" s="106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IF(vend27[[#This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IF(vend27[[#This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IF(vend27[[#This Row],[Nº Venda]]&gt;1,1,0)</f>
        <v>0</v>
      </c>
    </row>
    <row r="18" spans="2:18" ht="15.75" x14ac:dyDescent="0.25">
      <c r="B18" s="106" t="s">
        <v>12</v>
      </c>
      <c r="C18" s="106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IF(vend27[[#This Row],[Nº Venda]]&gt;1,1,0)</f>
        <v>0</v>
      </c>
    </row>
    <row r="19" spans="2:18" ht="15.75" x14ac:dyDescent="0.25">
      <c r="B19" s="29">
        <f>COUNT(entr_carn27[OS])</f>
        <v>0</v>
      </c>
      <c r="C19" s="30">
        <f>SUM(entr_carn27[Valor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zoomScale="80" zoomScaleNormal="80" workbookViewId="0">
      <selection activeCell="L20" sqref="L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'27'!B1+1</f>
        <v>45593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2380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470</v>
      </c>
      <c r="D6" s="2"/>
      <c r="E6" s="93">
        <v>9967</v>
      </c>
      <c r="F6" s="24" t="s">
        <v>332</v>
      </c>
      <c r="G6" s="25" t="s">
        <v>8</v>
      </c>
      <c r="H6" s="8">
        <v>180</v>
      </c>
      <c r="I6" s="8">
        <v>180</v>
      </c>
      <c r="J6" s="2"/>
      <c r="K6" s="24"/>
      <c r="L6" s="9"/>
      <c r="M6" s="16"/>
      <c r="R6" s="1">
        <f>IF(vend28[[#This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>
        <v>9968</v>
      </c>
      <c r="F7" s="24" t="s">
        <v>324</v>
      </c>
      <c r="G7" s="25" t="s">
        <v>8</v>
      </c>
      <c r="H7" s="8">
        <v>100</v>
      </c>
      <c r="I7" s="8">
        <v>100</v>
      </c>
      <c r="J7" s="2"/>
      <c r="K7" s="24"/>
      <c r="L7" s="9"/>
      <c r="M7" s="16"/>
      <c r="R7" s="1">
        <f>IF(vend28[[#This Row],[Nº Venda]]&gt;1,1,0)</f>
        <v>1</v>
      </c>
    </row>
    <row r="8" spans="2:18" ht="15.75" x14ac:dyDescent="0.25">
      <c r="B8" s="27" t="s">
        <v>21</v>
      </c>
      <c r="C8" s="28">
        <f>SUM(C6:C7)</f>
        <v>470</v>
      </c>
      <c r="D8" s="2"/>
      <c r="E8" s="93">
        <v>9969</v>
      </c>
      <c r="F8" s="24" t="s">
        <v>325</v>
      </c>
      <c r="G8" s="25" t="s">
        <v>40</v>
      </c>
      <c r="H8" s="8">
        <v>0</v>
      </c>
      <c r="I8" s="8">
        <v>0</v>
      </c>
      <c r="J8" s="2"/>
      <c r="K8" s="24"/>
      <c r="L8" s="9"/>
      <c r="M8" s="16"/>
      <c r="R8" s="1">
        <f>IF(vend28[[#This Row],[Nº Venda]]&gt;1,1,0)</f>
        <v>1</v>
      </c>
    </row>
    <row r="9" spans="2:18" ht="15.75" x14ac:dyDescent="0.25">
      <c r="B9" s="2"/>
      <c r="C9" s="2"/>
      <c r="D9" s="2"/>
      <c r="E9" s="93">
        <v>9970</v>
      </c>
      <c r="F9" s="24" t="s">
        <v>326</v>
      </c>
      <c r="G9" s="25" t="s">
        <v>6</v>
      </c>
      <c r="H9" s="8">
        <v>800</v>
      </c>
      <c r="I9" s="8">
        <v>100</v>
      </c>
      <c r="J9" s="2"/>
      <c r="K9" s="24"/>
      <c r="L9" s="9"/>
      <c r="M9" s="16"/>
      <c r="R9" s="1">
        <f>IF(vend28[[#This Row],[Nº Venda]]&gt;1,1,0)</f>
        <v>1</v>
      </c>
    </row>
    <row r="10" spans="2:18" ht="15.75" x14ac:dyDescent="0.25">
      <c r="B10" s="106" t="s">
        <v>5</v>
      </c>
      <c r="C10" s="106"/>
      <c r="D10" s="2"/>
      <c r="E10" s="93">
        <v>9971</v>
      </c>
      <c r="F10" s="24" t="s">
        <v>330</v>
      </c>
      <c r="G10" s="25" t="s">
        <v>7</v>
      </c>
      <c r="H10" s="8">
        <v>700</v>
      </c>
      <c r="I10" s="8">
        <v>15</v>
      </c>
      <c r="J10" s="2"/>
      <c r="K10" s="24"/>
      <c r="L10" s="9"/>
      <c r="M10" s="16"/>
      <c r="R10" s="1">
        <f>IF(vend28[[#This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105</v>
      </c>
      <c r="D11" s="2"/>
      <c r="E11" s="93">
        <v>9972</v>
      </c>
      <c r="F11" s="24" t="s">
        <v>331</v>
      </c>
      <c r="G11" s="25" t="s">
        <v>6</v>
      </c>
      <c r="H11" s="8">
        <v>600</v>
      </c>
      <c r="I11" s="8">
        <v>5</v>
      </c>
      <c r="J11" s="2"/>
      <c r="K11" s="26"/>
      <c r="L11" s="9"/>
      <c r="M11" s="16"/>
      <c r="O11" s="1">
        <f>IF(C16=0,0,1)</f>
        <v>1</v>
      </c>
      <c r="R11" s="1">
        <f>IF(vend28[[#This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15</v>
      </c>
      <c r="D12" s="2"/>
      <c r="E12" s="93"/>
      <c r="F12" s="24"/>
      <c r="G12" s="25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29" t="s">
        <v>8</v>
      </c>
      <c r="C13" s="30">
        <f t="shared" si="0"/>
        <v>470</v>
      </c>
      <c r="D13" s="2"/>
      <c r="E13" s="94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IF(vend28[[#This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29" t="s">
        <v>10</v>
      </c>
      <c r="C15" s="30">
        <f t="shared" si="0"/>
        <v>557.4</v>
      </c>
      <c r="D15" s="2"/>
      <c r="E15" s="93"/>
      <c r="F15" s="24"/>
      <c r="G15" s="25"/>
      <c r="H15" s="8"/>
      <c r="I15" s="8"/>
      <c r="J15" s="2"/>
      <c r="K15" s="101">
        <v>9850</v>
      </c>
      <c r="L15" s="9" t="s">
        <v>134</v>
      </c>
      <c r="M15" s="16" t="s">
        <v>163</v>
      </c>
      <c r="R15" s="1">
        <f>IF(vend28[[#This Row],[Nº Venda]]&gt;1,1,0)</f>
        <v>0</v>
      </c>
    </row>
    <row r="16" spans="2:18" ht="15.75" x14ac:dyDescent="0.25">
      <c r="B16" s="27" t="s">
        <v>11</v>
      </c>
      <c r="C16" s="31">
        <f>SUM(C11:C15)</f>
        <v>1147.4000000000001</v>
      </c>
      <c r="D16" s="2"/>
      <c r="E16" s="93"/>
      <c r="F16" s="24"/>
      <c r="G16" s="25"/>
      <c r="H16" s="8"/>
      <c r="I16" s="8"/>
      <c r="J16" s="2"/>
      <c r="K16" s="101">
        <v>9923</v>
      </c>
      <c r="L16" s="9" t="s">
        <v>136</v>
      </c>
      <c r="M16" s="16" t="s">
        <v>142</v>
      </c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>
        <v>9934</v>
      </c>
      <c r="L17" s="9" t="s">
        <v>130</v>
      </c>
      <c r="M17" s="16" t="s">
        <v>142</v>
      </c>
      <c r="R17" s="1">
        <f>IF(vend28[[#This Row],[Nº Venda]]&gt;1,1,0)</f>
        <v>0</v>
      </c>
    </row>
    <row r="18" spans="2:18" ht="15.75" x14ac:dyDescent="0.25">
      <c r="B18" s="106" t="s">
        <v>12</v>
      </c>
      <c r="C18" s="106"/>
      <c r="D18" s="2"/>
      <c r="E18" s="93"/>
      <c r="F18" s="24"/>
      <c r="G18" s="25"/>
      <c r="H18" s="8"/>
      <c r="I18" s="8"/>
      <c r="J18" s="2"/>
      <c r="K18" s="101">
        <v>9968</v>
      </c>
      <c r="L18" s="9" t="s">
        <v>130</v>
      </c>
      <c r="M18" s="16" t="s">
        <v>142</v>
      </c>
      <c r="R18" s="1">
        <f>IF(vend28[[#This Row],[Nº Venda]]&gt;1,1,0)</f>
        <v>0</v>
      </c>
    </row>
    <row r="19" spans="2:18" ht="15.75" x14ac:dyDescent="0.25">
      <c r="B19" s="29">
        <f>COUNT(entr_carn28[OS])</f>
        <v>1</v>
      </c>
      <c r="C19" s="30">
        <f>SUM(entr_carn28[Valor Total])</f>
        <v>1100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IF(vend28[[#This Row],[Nº Venda]]&gt;1,1,0)</f>
        <v>0</v>
      </c>
    </row>
    <row r="20" spans="2:18" ht="15.75" x14ac:dyDescent="0.25">
      <c r="B20" s="27" t="s">
        <v>11</v>
      </c>
      <c r="C20" s="31">
        <f>SUM(C19:C19)</f>
        <v>1100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2380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9684</v>
      </c>
      <c r="F26" s="24" t="s">
        <v>208</v>
      </c>
      <c r="G26" s="25" t="s">
        <v>10</v>
      </c>
      <c r="H26" s="8"/>
      <c r="I26" s="8">
        <v>70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8943</v>
      </c>
      <c r="F35" s="24" t="s">
        <v>327</v>
      </c>
      <c r="G35" s="25" t="s">
        <v>8</v>
      </c>
      <c r="H35" s="8">
        <v>190</v>
      </c>
      <c r="I35" s="8" t="s">
        <v>88</v>
      </c>
      <c r="K35" s="101">
        <v>9850</v>
      </c>
      <c r="L35" s="40">
        <v>4</v>
      </c>
      <c r="M35" s="16">
        <v>1100</v>
      </c>
    </row>
    <row r="36" spans="2:18" ht="15.75" x14ac:dyDescent="0.25">
      <c r="E36" s="97">
        <v>8992</v>
      </c>
      <c r="F36" s="24" t="s">
        <v>328</v>
      </c>
      <c r="G36" s="25" t="s">
        <v>10</v>
      </c>
      <c r="H36" s="8">
        <v>187.4</v>
      </c>
      <c r="I36" s="8" t="s">
        <v>83</v>
      </c>
      <c r="K36" s="101"/>
      <c r="L36" s="40"/>
      <c r="M36" s="16"/>
    </row>
    <row r="37" spans="2:18" ht="15.75" x14ac:dyDescent="0.25">
      <c r="E37" s="93">
        <v>9527</v>
      </c>
      <c r="F37" s="24" t="s">
        <v>329</v>
      </c>
      <c r="G37" s="25" t="s">
        <v>10</v>
      </c>
      <c r="H37" s="8">
        <v>300</v>
      </c>
      <c r="I37" s="8" t="s">
        <v>39</v>
      </c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6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zoomScale="80" zoomScaleNormal="80" workbookViewId="0">
      <selection activeCell="F12" sqref="F12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57">
        <f>'28'!B1+1</f>
        <v>45594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1640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1400</v>
      </c>
      <c r="D6" s="2"/>
      <c r="E6" s="93">
        <v>9973</v>
      </c>
      <c r="F6" s="24" t="s">
        <v>333</v>
      </c>
      <c r="G6" s="25" t="s">
        <v>6</v>
      </c>
      <c r="H6" s="8">
        <v>890</v>
      </c>
      <c r="I6" s="8">
        <v>150</v>
      </c>
      <c r="J6" s="2"/>
      <c r="K6" s="24"/>
      <c r="L6" s="9"/>
      <c r="M6" s="16"/>
      <c r="R6" s="1">
        <f>IF(vend29[[#This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>
        <v>9974</v>
      </c>
      <c r="F7" s="24" t="s">
        <v>334</v>
      </c>
      <c r="G7" s="25" t="s">
        <v>6</v>
      </c>
      <c r="H7" s="8">
        <v>750</v>
      </c>
      <c r="I7" s="8">
        <v>200</v>
      </c>
      <c r="J7" s="2"/>
      <c r="K7" s="24"/>
      <c r="L7" s="9"/>
      <c r="M7" s="16"/>
      <c r="R7" s="1">
        <f>IF(vend29[[#This Row],[Nº Venda]]&gt;1,1,0)</f>
        <v>1</v>
      </c>
    </row>
    <row r="8" spans="2:18" ht="15.75" x14ac:dyDescent="0.25">
      <c r="B8" s="27" t="s">
        <v>21</v>
      </c>
      <c r="C8" s="28">
        <f>SUM(C6:C7)</f>
        <v>1400</v>
      </c>
      <c r="D8" s="2"/>
      <c r="E8" s="93">
        <v>9974</v>
      </c>
      <c r="F8" s="24" t="s">
        <v>334</v>
      </c>
      <c r="G8" s="25" t="s">
        <v>10</v>
      </c>
      <c r="H8" s="8"/>
      <c r="I8" s="8">
        <v>100</v>
      </c>
      <c r="J8" s="2"/>
      <c r="K8" s="24"/>
      <c r="L8" s="9"/>
      <c r="M8" s="16"/>
      <c r="R8" s="1">
        <f>IF(vend29[[#This Row],[Nº Venda]]&gt;1,1,0)</f>
        <v>1</v>
      </c>
    </row>
    <row r="9" spans="2:18" ht="15.75" x14ac:dyDescent="0.25">
      <c r="B9" s="2"/>
      <c r="C9" s="2"/>
      <c r="D9" s="2"/>
      <c r="E9" s="93">
        <v>9974</v>
      </c>
      <c r="F9" s="24" t="s">
        <v>334</v>
      </c>
      <c r="G9" s="25" t="s">
        <v>8</v>
      </c>
      <c r="H9" s="44"/>
      <c r="I9" s="8">
        <v>450</v>
      </c>
      <c r="J9" s="2"/>
      <c r="K9" s="24"/>
      <c r="L9" s="9"/>
      <c r="M9" s="16"/>
      <c r="R9" s="1">
        <f>IF(vend29[[#This Row],[Nº Venda]]&gt;1,1,0)</f>
        <v>1</v>
      </c>
    </row>
    <row r="10" spans="2:18" ht="15.75" x14ac:dyDescent="0.25">
      <c r="B10" s="106" t="s">
        <v>5</v>
      </c>
      <c r="C10" s="106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738.33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170</v>
      </c>
      <c r="D12" s="2"/>
      <c r="E12" s="93"/>
      <c r="F12" s="24"/>
      <c r="G12" s="25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29" t="s">
        <v>8</v>
      </c>
      <c r="C13" s="30">
        <f t="shared" si="0"/>
        <v>450</v>
      </c>
      <c r="D13" s="2"/>
      <c r="E13" s="94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IF(vend29[[#This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29" t="s">
        <v>10</v>
      </c>
      <c r="C15" s="30">
        <f t="shared" si="0"/>
        <v>100</v>
      </c>
      <c r="D15" s="2"/>
      <c r="E15" s="93"/>
      <c r="F15" s="24"/>
      <c r="G15" s="25"/>
      <c r="H15" s="8"/>
      <c r="I15" s="8"/>
      <c r="J15" s="2"/>
      <c r="K15" s="101">
        <v>9967</v>
      </c>
      <c r="L15" s="9" t="s">
        <v>130</v>
      </c>
      <c r="M15" s="16" t="s">
        <v>142</v>
      </c>
      <c r="R15" s="1">
        <f>IF(vend29[[#This Row],[Nº Venda]]&gt;1,1,0)</f>
        <v>0</v>
      </c>
    </row>
    <row r="16" spans="2:18" ht="15.75" x14ac:dyDescent="0.25">
      <c r="B16" s="27" t="s">
        <v>11</v>
      </c>
      <c r="C16" s="31">
        <f>SUM(C11:C15)</f>
        <v>1458.33</v>
      </c>
      <c r="D16" s="2"/>
      <c r="E16" s="93"/>
      <c r="F16" s="24"/>
      <c r="G16" s="25"/>
      <c r="H16" s="8"/>
      <c r="I16" s="8"/>
      <c r="J16" s="2"/>
      <c r="K16" s="101">
        <v>9801</v>
      </c>
      <c r="L16" s="9" t="s">
        <v>134</v>
      </c>
      <c r="M16" s="16" t="s">
        <v>142</v>
      </c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>
        <v>9930</v>
      </c>
      <c r="L17" s="9" t="s">
        <v>130</v>
      </c>
      <c r="M17" s="16" t="s">
        <v>142</v>
      </c>
      <c r="R17" s="1">
        <f>IF(vend29[[#This Row],[Nº Venda]]&gt;1,1,0)</f>
        <v>0</v>
      </c>
    </row>
    <row r="18" spans="2:18" ht="15.75" x14ac:dyDescent="0.25">
      <c r="B18" s="106" t="s">
        <v>12</v>
      </c>
      <c r="C18" s="106"/>
      <c r="D18" s="2"/>
      <c r="E18" s="93"/>
      <c r="F18" s="24"/>
      <c r="G18" s="25"/>
      <c r="H18" s="8"/>
      <c r="I18" s="8"/>
      <c r="J18" s="2"/>
      <c r="K18" s="101">
        <v>9957</v>
      </c>
      <c r="L18" s="9" t="s">
        <v>130</v>
      </c>
      <c r="M18" s="16" t="s">
        <v>142</v>
      </c>
      <c r="R18" s="1">
        <f>IF(vend29[[#This Row],[Nº Venda]]&gt;1,1,0)</f>
        <v>0</v>
      </c>
    </row>
    <row r="19" spans="2:18" ht="15.75" x14ac:dyDescent="0.25">
      <c r="B19" s="29">
        <f>COUNT(entr_carn29[OS])</f>
        <v>0</v>
      </c>
      <c r="C19" s="30">
        <f>SUM(entr_carn29[Valor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1640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9801</v>
      </c>
      <c r="F26" s="24" t="s">
        <v>335</v>
      </c>
      <c r="G26" s="25" t="s">
        <v>7</v>
      </c>
      <c r="H26" s="8"/>
      <c r="I26" s="8">
        <v>170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>
        <v>9801</v>
      </c>
      <c r="F27" s="24" t="s">
        <v>335</v>
      </c>
      <c r="G27" s="25" t="s">
        <v>6</v>
      </c>
      <c r="H27" s="8"/>
      <c r="I27" s="8">
        <v>130</v>
      </c>
      <c r="J27" s="2"/>
      <c r="K27" s="101"/>
      <c r="L27" s="9"/>
      <c r="M27" s="16"/>
    </row>
    <row r="28" spans="2:18" ht="15.75" x14ac:dyDescent="0.25">
      <c r="B28" s="2"/>
      <c r="C28" s="2"/>
      <c r="D28" s="2"/>
      <c r="E28" s="93">
        <v>9930</v>
      </c>
      <c r="F28" s="24" t="s">
        <v>336</v>
      </c>
      <c r="G28" s="25" t="s">
        <v>6</v>
      </c>
      <c r="H28" s="8"/>
      <c r="I28" s="8">
        <v>200</v>
      </c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9093</v>
      </c>
      <c r="F35" s="24" t="s">
        <v>337</v>
      </c>
      <c r="G35" s="25" t="s">
        <v>6</v>
      </c>
      <c r="H35" s="8">
        <v>58.33</v>
      </c>
      <c r="I35" s="8" t="s">
        <v>59</v>
      </c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4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topLeftCell="A14" zoomScale="80" zoomScaleNormal="80" workbookViewId="0">
      <selection activeCell="L45" sqref="L4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'29'!B1+1</f>
        <v>45595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349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349</v>
      </c>
      <c r="D6" s="2"/>
      <c r="E6" s="93">
        <v>9975</v>
      </c>
      <c r="F6" s="24" t="s">
        <v>338</v>
      </c>
      <c r="G6" s="25" t="s">
        <v>8</v>
      </c>
      <c r="H6" s="8">
        <v>349</v>
      </c>
      <c r="I6" s="8">
        <v>349</v>
      </c>
      <c r="J6" s="2"/>
      <c r="K6" s="24"/>
      <c r="L6" s="9"/>
      <c r="M6" s="16"/>
      <c r="R6" s="1">
        <f>IF(vend30[[#This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IF(vend30[[#This Row],[Nº Venda]]&gt;1,1,0)</f>
        <v>0</v>
      </c>
    </row>
    <row r="8" spans="2:18" ht="15.75" x14ac:dyDescent="0.25">
      <c r="B8" s="27" t="s">
        <v>21</v>
      </c>
      <c r="C8" s="28">
        <f>SUM(C6:C7)</f>
        <v>349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IF(vend30[[#This Row],[Nº Venda]]&gt;1,1,0)</f>
        <v>0</v>
      </c>
    </row>
    <row r="10" spans="2:18" ht="15.75" x14ac:dyDescent="0.25">
      <c r="B10" s="106" t="s">
        <v>5</v>
      </c>
      <c r="C10" s="106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IF(vend30[[#This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111.22999999999999</v>
      </c>
      <c r="D12" s="2"/>
      <c r="E12" s="93"/>
      <c r="F12" s="24"/>
      <c r="G12" s="25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29" t="s">
        <v>8</v>
      </c>
      <c r="C13" s="30">
        <f t="shared" si="0"/>
        <v>349</v>
      </c>
      <c r="D13" s="2"/>
      <c r="E13" s="94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IF(vend30[[#This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29" t="s">
        <v>10</v>
      </c>
      <c r="C15" s="30">
        <f t="shared" si="0"/>
        <v>428.5</v>
      </c>
      <c r="D15" s="2"/>
      <c r="E15" s="93"/>
      <c r="F15" s="24"/>
      <c r="G15" s="25"/>
      <c r="H15" s="8"/>
      <c r="I15" s="8"/>
      <c r="J15" s="2"/>
      <c r="K15" s="101">
        <v>9932</v>
      </c>
      <c r="L15" s="9" t="s">
        <v>130</v>
      </c>
      <c r="M15" s="16" t="s">
        <v>142</v>
      </c>
      <c r="R15" s="1">
        <f>IF(vend30[[#This Row],[Nº Venda]]&gt;1,1,0)</f>
        <v>0</v>
      </c>
    </row>
    <row r="16" spans="2:18" ht="15.75" x14ac:dyDescent="0.25">
      <c r="B16" s="27" t="s">
        <v>11</v>
      </c>
      <c r="C16" s="31">
        <f>SUM(C11:C15)</f>
        <v>888.73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IF(vend30[[#This Row],[Nº Venda]]&gt;1,1,0)</f>
        <v>0</v>
      </c>
    </row>
    <row r="18" spans="2:22" ht="15.75" x14ac:dyDescent="0.25">
      <c r="B18" s="106" t="s">
        <v>12</v>
      </c>
      <c r="C18" s="106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IF(vend30[[#This Row],[Nº Venda]]&gt;1,1,0)</f>
        <v>0</v>
      </c>
    </row>
    <row r="19" spans="2:22" ht="15.75" x14ac:dyDescent="0.25">
      <c r="B19" s="29">
        <f>COUNT(entr_carn30[OS])</f>
        <v>0</v>
      </c>
      <c r="C19" s="30">
        <f>SUM(entr_carn30[Valor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IF(vend30[[#This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  <c r="V21" s="1" t="s">
        <v>126</v>
      </c>
    </row>
    <row r="22" spans="2:22" ht="15.75" x14ac:dyDescent="0.25">
      <c r="B22" s="27" t="s">
        <v>26</v>
      </c>
      <c r="C22" s="31">
        <f>C5</f>
        <v>349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22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101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22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22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22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22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22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22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9746</v>
      </c>
      <c r="F35" s="24" t="s">
        <v>288</v>
      </c>
      <c r="G35" s="25" t="s">
        <v>7</v>
      </c>
      <c r="H35" s="8">
        <v>61.25</v>
      </c>
      <c r="I35" s="8" t="s">
        <v>34</v>
      </c>
      <c r="K35" s="101"/>
      <c r="L35" s="40"/>
      <c r="M35" s="16"/>
    </row>
    <row r="36" spans="2:18" ht="15.75" x14ac:dyDescent="0.25">
      <c r="E36" s="97">
        <v>8729</v>
      </c>
      <c r="F36" s="24" t="s">
        <v>339</v>
      </c>
      <c r="G36" s="25" t="s">
        <v>7</v>
      </c>
      <c r="H36" s="8">
        <v>49.98</v>
      </c>
      <c r="I36" s="8" t="s">
        <v>61</v>
      </c>
      <c r="K36" s="101"/>
      <c r="L36" s="40"/>
      <c r="M36" s="16"/>
    </row>
    <row r="37" spans="2:18" ht="15.75" x14ac:dyDescent="0.25">
      <c r="E37" s="93">
        <v>9890</v>
      </c>
      <c r="F37" s="24" t="s">
        <v>340</v>
      </c>
      <c r="G37" s="25" t="s">
        <v>10</v>
      </c>
      <c r="H37" s="8">
        <v>106</v>
      </c>
      <c r="I37" s="8" t="s">
        <v>53</v>
      </c>
      <c r="K37" s="101"/>
      <c r="L37" s="40"/>
      <c r="M37" s="16"/>
    </row>
    <row r="38" spans="2:18" ht="15.75" x14ac:dyDescent="0.25">
      <c r="E38" s="93">
        <v>9845</v>
      </c>
      <c r="F38" s="24" t="s">
        <v>341</v>
      </c>
      <c r="G38" s="25" t="s">
        <v>10</v>
      </c>
      <c r="H38" s="8">
        <v>72.5</v>
      </c>
      <c r="I38" s="8" t="s">
        <v>82</v>
      </c>
      <c r="K38" s="101"/>
      <c r="L38" s="40"/>
      <c r="M38" s="16"/>
    </row>
    <row r="39" spans="2:18" ht="15.75" x14ac:dyDescent="0.25">
      <c r="E39" s="93">
        <v>8754</v>
      </c>
      <c r="F39" s="38" t="s">
        <v>342</v>
      </c>
      <c r="G39" s="25" t="s">
        <v>10</v>
      </c>
      <c r="H39" s="8">
        <v>250</v>
      </c>
      <c r="I39" s="8" t="s">
        <v>43</v>
      </c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zoomScale="80" zoomScaleNormal="80" workbookViewId="0">
      <selection activeCell="F40" sqref="F39:F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'30'!B1+1</f>
        <v>45596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2950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3719</v>
      </c>
      <c r="D6" s="2"/>
      <c r="E6" s="93">
        <v>9976</v>
      </c>
      <c r="F6" s="24" t="s">
        <v>346</v>
      </c>
      <c r="G6" s="25" t="s">
        <v>8</v>
      </c>
      <c r="H6" s="8">
        <v>550</v>
      </c>
      <c r="I6" s="8">
        <v>550</v>
      </c>
      <c r="J6" s="2"/>
      <c r="K6" s="24"/>
      <c r="L6" s="9"/>
      <c r="M6" s="16"/>
      <c r="R6" s="1">
        <f>IF(vend31[[#This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>
        <v>9977</v>
      </c>
      <c r="F7" s="24" t="s">
        <v>347</v>
      </c>
      <c r="G7" s="25" t="s">
        <v>8</v>
      </c>
      <c r="H7" s="8">
        <v>500</v>
      </c>
      <c r="I7" s="8">
        <v>500</v>
      </c>
      <c r="J7" s="2"/>
      <c r="K7" s="24"/>
      <c r="L7" s="9"/>
      <c r="M7" s="16"/>
      <c r="R7" s="1">
        <f>IF(vend31[[#This Row],[Nº Venda]]&gt;1,1,0)</f>
        <v>1</v>
      </c>
    </row>
    <row r="8" spans="2:18" ht="15.75" x14ac:dyDescent="0.25">
      <c r="B8" s="27" t="s">
        <v>21</v>
      </c>
      <c r="C8" s="28">
        <f>SUM(C6:C7)</f>
        <v>3719</v>
      </c>
      <c r="D8" s="2"/>
      <c r="E8" s="93">
        <v>9978</v>
      </c>
      <c r="F8" s="24" t="s">
        <v>348</v>
      </c>
      <c r="G8" s="25" t="s">
        <v>8</v>
      </c>
      <c r="H8" s="8">
        <v>1900</v>
      </c>
      <c r="I8" s="8">
        <v>1900</v>
      </c>
      <c r="J8" s="2"/>
      <c r="K8" s="24"/>
      <c r="L8" s="9"/>
      <c r="M8" s="16"/>
      <c r="R8" s="1">
        <f>IF(vend31[[#This Row],[Nº Venda]]&gt;1,1,0)</f>
        <v>1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IF(vend31[[#This Row],[Nº Venda]]&gt;1,1,0)</f>
        <v>0</v>
      </c>
    </row>
    <row r="10" spans="2:18" ht="15.75" x14ac:dyDescent="0.25">
      <c r="B10" s="106" t="s">
        <v>5</v>
      </c>
      <c r="C10" s="106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IF(vend31[[#This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340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IF(vend31[[#This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194.87</v>
      </c>
      <c r="D12" s="2"/>
      <c r="E12" s="93"/>
      <c r="F12" s="24"/>
      <c r="G12" s="25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29" t="s">
        <v>8</v>
      </c>
      <c r="C13" s="30">
        <f t="shared" si="0"/>
        <v>2950</v>
      </c>
      <c r="D13" s="2"/>
      <c r="E13" s="93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IF(vend31[[#This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29" t="s">
        <v>10</v>
      </c>
      <c r="C15" s="30">
        <f t="shared" si="0"/>
        <v>754.5</v>
      </c>
      <c r="D15" s="2"/>
      <c r="E15" s="93"/>
      <c r="F15" s="24"/>
      <c r="G15" s="25"/>
      <c r="H15" s="8"/>
      <c r="I15" s="8"/>
      <c r="J15" s="2"/>
      <c r="K15" s="101">
        <v>9683</v>
      </c>
      <c r="L15" s="9" t="s">
        <v>136</v>
      </c>
      <c r="M15" s="16" t="s">
        <v>163</v>
      </c>
      <c r="R15" s="1">
        <f>IF(vend31[[#This Row],[Nº Venda]]&gt;1,1,0)</f>
        <v>0</v>
      </c>
    </row>
    <row r="16" spans="2:18" ht="15.75" x14ac:dyDescent="0.25">
      <c r="B16" s="27" t="s">
        <v>11</v>
      </c>
      <c r="C16" s="31">
        <f>SUM(C11:C15)</f>
        <v>4239.37</v>
      </c>
      <c r="D16" s="2"/>
      <c r="E16" s="93"/>
      <c r="F16" s="24"/>
      <c r="G16" s="25"/>
      <c r="H16" s="8"/>
      <c r="I16" s="8"/>
      <c r="J16" s="2"/>
      <c r="K16" s="101">
        <v>9903</v>
      </c>
      <c r="L16" s="9" t="s">
        <v>130</v>
      </c>
      <c r="M16" s="16" t="s">
        <v>142</v>
      </c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>
        <v>9951</v>
      </c>
      <c r="L17" s="9" t="s">
        <v>130</v>
      </c>
      <c r="M17" s="16" t="s">
        <v>142</v>
      </c>
      <c r="R17" s="1">
        <f>IF(vend31[[#This Row],[Nº Venda]]&gt;1,1,0)</f>
        <v>0</v>
      </c>
    </row>
    <row r="18" spans="2:18" ht="15.75" x14ac:dyDescent="0.25">
      <c r="B18" s="106" t="s">
        <v>12</v>
      </c>
      <c r="C18" s="106"/>
      <c r="D18" s="2"/>
      <c r="E18" s="93"/>
      <c r="F18" s="24"/>
      <c r="G18" s="25"/>
      <c r="H18" s="8"/>
      <c r="I18" s="8"/>
      <c r="J18" s="2"/>
      <c r="K18" s="101">
        <v>9918</v>
      </c>
      <c r="L18" s="9" t="s">
        <v>130</v>
      </c>
      <c r="M18" s="16" t="s">
        <v>142</v>
      </c>
      <c r="R18" s="1">
        <f>IF(vend31[[#This Row],[Nº Venda]]&gt;1,1,0)</f>
        <v>0</v>
      </c>
    </row>
    <row r="19" spans="2:18" ht="15.75" x14ac:dyDescent="0.25">
      <c r="B19" s="29">
        <f>COUNT(entr_carn31[OS])</f>
        <v>1</v>
      </c>
      <c r="C19" s="30">
        <f>SUM(entr_carn31[Valor Total])</f>
        <v>270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IF(vend31[[#This Row],[Nº Venda]]&gt;1,1,0)</f>
        <v>0</v>
      </c>
    </row>
    <row r="20" spans="2:18" ht="15.75" x14ac:dyDescent="0.25">
      <c r="B20" s="27" t="s">
        <v>11</v>
      </c>
      <c r="C20" s="31">
        <f>SUM(C19:C19)</f>
        <v>270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2950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9681</v>
      </c>
      <c r="F26" s="24" t="s">
        <v>343</v>
      </c>
      <c r="G26" s="25" t="s">
        <v>10</v>
      </c>
      <c r="H26" s="8"/>
      <c r="I26" s="8">
        <v>230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>
        <v>9683</v>
      </c>
      <c r="F27" s="24" t="s">
        <v>344</v>
      </c>
      <c r="G27" s="25" t="s">
        <v>10</v>
      </c>
      <c r="H27" s="8"/>
      <c r="I27" s="8">
        <v>199</v>
      </c>
      <c r="J27" s="2"/>
      <c r="K27" s="101"/>
      <c r="L27" s="9"/>
      <c r="M27" s="16"/>
    </row>
    <row r="28" spans="2:18" ht="15.75" x14ac:dyDescent="0.25">
      <c r="B28" s="2"/>
      <c r="C28" s="2"/>
      <c r="D28" s="2"/>
      <c r="E28" s="93">
        <v>9951</v>
      </c>
      <c r="F28" s="24" t="s">
        <v>345</v>
      </c>
      <c r="G28" s="25" t="s">
        <v>6</v>
      </c>
      <c r="H28" s="8"/>
      <c r="I28" s="8">
        <v>340</v>
      </c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9436</v>
      </c>
      <c r="F35" s="24" t="s">
        <v>349</v>
      </c>
      <c r="G35" s="25" t="s">
        <v>7</v>
      </c>
      <c r="H35" s="8">
        <v>124.87</v>
      </c>
      <c r="I35" s="8" t="s">
        <v>57</v>
      </c>
      <c r="K35" s="101">
        <v>9683</v>
      </c>
      <c r="L35" s="40">
        <v>6</v>
      </c>
      <c r="M35" s="16">
        <v>270</v>
      </c>
    </row>
    <row r="36" spans="2:18" ht="15.75" x14ac:dyDescent="0.25">
      <c r="E36" s="97">
        <v>9305</v>
      </c>
      <c r="F36" s="24" t="s">
        <v>156</v>
      </c>
      <c r="G36" s="25" t="s">
        <v>7</v>
      </c>
      <c r="H36" s="8">
        <v>70</v>
      </c>
      <c r="I36" s="8" t="s">
        <v>81</v>
      </c>
      <c r="K36" s="101"/>
      <c r="L36" s="40"/>
      <c r="M36" s="16"/>
    </row>
    <row r="37" spans="2:18" ht="15.75" x14ac:dyDescent="0.25">
      <c r="E37" s="93">
        <v>9750</v>
      </c>
      <c r="F37" s="24" t="s">
        <v>350</v>
      </c>
      <c r="G37" s="25" t="s">
        <v>10</v>
      </c>
      <c r="H37" s="8">
        <v>189.5</v>
      </c>
      <c r="I37" s="8" t="s">
        <v>93</v>
      </c>
      <c r="K37" s="101"/>
      <c r="L37" s="40"/>
      <c r="M37" s="16"/>
    </row>
    <row r="38" spans="2:18" ht="15.75" x14ac:dyDescent="0.25">
      <c r="E38" s="93">
        <v>9625</v>
      </c>
      <c r="F38" s="24" t="s">
        <v>351</v>
      </c>
      <c r="G38" s="25" t="s">
        <v>10</v>
      </c>
      <c r="H38" s="8">
        <v>136</v>
      </c>
      <c r="I38" s="8" t="s">
        <v>54</v>
      </c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topLeftCell="A9733" workbookViewId="0">
      <selection activeCell="A9746" sqref="A9746"/>
    </sheetView>
  </sheetViews>
  <sheetFormatPr defaultRowHeight="12.75" x14ac:dyDescent="0.2"/>
  <cols>
    <col min="1" max="1" width="12.42578125" bestFit="1" customWidth="1"/>
  </cols>
  <sheetData>
    <row r="1" spans="1:1" x14ac:dyDescent="0.2">
      <c r="A1" t="s">
        <v>141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7" t="s">
        <v>62</v>
      </c>
      <c r="B1" s="37" t="s">
        <v>63</v>
      </c>
      <c r="E1" s="37" t="s">
        <v>64</v>
      </c>
    </row>
    <row r="2" spans="1:5" x14ac:dyDescent="0.2">
      <c r="A2" s="37" t="s">
        <v>6</v>
      </c>
      <c r="B2" s="37" t="s">
        <v>65</v>
      </c>
      <c r="E2" t="s">
        <v>46</v>
      </c>
    </row>
    <row r="3" spans="1:5" x14ac:dyDescent="0.2">
      <c r="A3" s="37" t="s">
        <v>7</v>
      </c>
      <c r="B3" s="37" t="s">
        <v>66</v>
      </c>
      <c r="E3" t="s">
        <v>67</v>
      </c>
    </row>
    <row r="4" spans="1:5" x14ac:dyDescent="0.2">
      <c r="A4" s="37" t="s">
        <v>8</v>
      </c>
      <c r="B4" s="37" t="s">
        <v>68</v>
      </c>
      <c r="E4" t="s">
        <v>69</v>
      </c>
    </row>
    <row r="5" spans="1:5" x14ac:dyDescent="0.2">
      <c r="A5" s="37" t="s">
        <v>9</v>
      </c>
      <c r="B5" s="37" t="s">
        <v>70</v>
      </c>
      <c r="E5" t="s">
        <v>71</v>
      </c>
    </row>
    <row r="6" spans="1:5" x14ac:dyDescent="0.2">
      <c r="A6" s="37" t="s">
        <v>10</v>
      </c>
      <c r="B6" s="37" t="s">
        <v>10</v>
      </c>
      <c r="E6" t="s">
        <v>33</v>
      </c>
    </row>
    <row r="7" spans="1:5" x14ac:dyDescent="0.2">
      <c r="A7" s="37" t="s">
        <v>50</v>
      </c>
      <c r="B7" s="37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7" t="s">
        <v>40</v>
      </c>
      <c r="B9" s="37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7</vt:i4>
      </vt:variant>
    </vt:vector>
  </HeadingPairs>
  <TitlesOfParts>
    <vt:vector size="41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'09'!Area_de_impressao</vt:lpstr>
      <vt:lpstr>'18'!Area_de_impressao</vt:lpstr>
      <vt:lpstr>'19'!Area_de_impressao</vt:lpstr>
      <vt:lpstr>'30'!Area_de_impressao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Junior</cp:lastModifiedBy>
  <cp:revision/>
  <cp:lastPrinted>2024-10-31T13:02:54Z</cp:lastPrinted>
  <dcterms:created xsi:type="dcterms:W3CDTF">2004-04-07T20:43:43Z</dcterms:created>
  <dcterms:modified xsi:type="dcterms:W3CDTF">2025-10-10T23:30:52Z</dcterms:modified>
  <cp:category/>
  <cp:contentStatus/>
</cp:coreProperties>
</file>