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MAUA/CAIXA/2024/"/>
    </mc:Choice>
  </mc:AlternateContent>
  <xr:revisionPtr revIDLastSave="855" documentId="8_{A8EC729E-B486-4075-9BB3-C7666ACF8709}" xr6:coauthVersionLast="47" xr6:coauthVersionMax="47" xr10:uidLastSave="{27B9A420-AB89-4742-9657-23D9EDA4F529}"/>
  <bookViews>
    <workbookView xWindow="-120" yWindow="-120" windowWidth="29040" windowHeight="15840" tabRatio="895" firstSheet="10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Planilha1" sheetId="202" r:id="rId29"/>
    <sheet name="28" sheetId="196" r:id="rId30"/>
    <sheet name="29" sheetId="192" r:id="rId31"/>
    <sheet name="30" sheetId="199" r:id="rId32"/>
    <sheet name="31" sheetId="198" r:id="rId33"/>
    <sheet name="base_OS" sheetId="201" state="hidden" r:id="rId34"/>
    <sheet name="base" sheetId="36" state="hidden" r:id="rId35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31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71" l="1"/>
  <c r="C6" i="174"/>
  <c r="C6" i="175"/>
  <c r="C6" i="170"/>
  <c r="C12" i="191"/>
  <c r="C6" i="177"/>
  <c r="C6" i="103"/>
  <c r="C12" i="198" l="1"/>
  <c r="C6" i="194"/>
  <c r="C6" i="193"/>
  <c r="C6" i="189"/>
  <c r="C6" i="185"/>
  <c r="C6" i="179"/>
  <c r="C6" i="182"/>
  <c r="C6" i="180"/>
  <c r="C15" i="180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4"/>
  <c r="C6" i="173"/>
  <c r="C6" i="172"/>
  <c r="C8" i="172" s="1"/>
  <c r="C6" i="178"/>
  <c r="C6" i="176"/>
  <c r="C8" i="179"/>
  <c r="C8" i="189"/>
  <c r="C8" i="194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Q20" i="171"/>
  <c r="Q19" i="171"/>
  <c r="C19" i="171"/>
  <c r="C20" i="171" s="1"/>
  <c r="B19" i="171"/>
  <c r="Q18" i="171"/>
  <c r="Q17" i="171"/>
  <c r="Q16" i="171"/>
  <c r="Q15" i="171"/>
  <c r="Q14" i="171"/>
  <c r="Q13" i="171"/>
  <c r="Q12" i="171"/>
  <c r="Q11" i="171"/>
  <c r="Q10" i="171"/>
  <c r="Q9" i="171"/>
  <c r="Q8" i="171"/>
  <c r="Q7" i="171"/>
  <c r="Q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71" l="1"/>
  <c r="C8" i="180"/>
  <c r="C8" i="173"/>
  <c r="C8" i="176"/>
  <c r="C8" i="175"/>
  <c r="R40" i="194"/>
  <c r="R40" i="190"/>
  <c r="R40" i="183"/>
  <c r="R40" i="192"/>
  <c r="R40" i="196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N11" i="171" s="1"/>
  <c r="Q40" i="171"/>
  <c r="B13" i="200"/>
  <c r="B5" i="200"/>
  <c r="B11" i="200"/>
  <c r="B10" i="200"/>
  <c r="B9" i="200"/>
  <c r="B3" i="200"/>
  <c r="B12" i="200"/>
  <c r="C16" i="196"/>
  <c r="C16" i="189"/>
  <c r="O11" i="189" s="1"/>
  <c r="C16" i="188"/>
  <c r="C16" i="185"/>
  <c r="O11" i="185" s="1"/>
  <c r="C8" i="193"/>
  <c r="C8" i="178"/>
  <c r="C8" i="185"/>
  <c r="C8" i="170"/>
  <c r="C8" i="177"/>
  <c r="C8" i="182"/>
  <c r="C16" i="198"/>
  <c r="C16" i="199"/>
  <c r="C16" i="192"/>
  <c r="C16" i="197"/>
  <c r="C16" i="194"/>
  <c r="O11" i="194" s="1"/>
  <c r="C16" i="195"/>
  <c r="C16" i="193"/>
  <c r="O11" i="193" s="1"/>
  <c r="C16" i="191"/>
  <c r="C16" i="190"/>
  <c r="C16" i="187"/>
  <c r="C16" i="186"/>
  <c r="C16" i="184"/>
  <c r="C16" i="179"/>
  <c r="O11" i="179" s="1"/>
  <c r="C16" i="181"/>
  <c r="C16" i="183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9" l="1"/>
  <c r="C6" i="199"/>
  <c r="C8" i="199" s="1"/>
  <c r="O11" i="192"/>
  <c r="C6" i="192"/>
  <c r="C8" i="192" s="1"/>
  <c r="O11" i="196"/>
  <c r="C6" i="196"/>
  <c r="C8" i="196" s="1"/>
  <c r="O11" i="197"/>
  <c r="C6" i="197"/>
  <c r="C8" i="197" s="1"/>
  <c r="O11" i="188"/>
  <c r="C6" i="188"/>
  <c r="C8" i="188" s="1"/>
  <c r="O11" i="191"/>
  <c r="C6" i="191"/>
  <c r="C8" i="191" s="1"/>
  <c r="O11" i="190"/>
  <c r="C6" i="190"/>
  <c r="C8" i="190" s="1"/>
  <c r="O11" i="187"/>
  <c r="C6" i="187"/>
  <c r="C8" i="187" s="1"/>
  <c r="O11" i="186"/>
  <c r="C6" i="186"/>
  <c r="C8" i="186" s="1"/>
  <c r="O11" i="184"/>
  <c r="C6" i="184"/>
  <c r="C8" i="184" s="1"/>
  <c r="O11" i="181"/>
  <c r="C6" i="181"/>
  <c r="C8" i="181" s="1"/>
  <c r="O11" i="183"/>
  <c r="C6" i="183"/>
  <c r="C8" i="183" s="1"/>
  <c r="O11" i="198"/>
  <c r="C6" i="198"/>
  <c r="C8" i="198" s="1"/>
  <c r="O11" i="195"/>
  <c r="C6" i="195"/>
  <c r="B14" i="200"/>
  <c r="C16" i="103"/>
  <c r="O11" i="103" s="1"/>
  <c r="C8" i="103"/>
  <c r="R40" i="103"/>
  <c r="C8" i="195" l="1"/>
  <c r="B4" i="200"/>
  <c r="B6" i="200" s="1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<sst xmlns="http://schemas.openxmlformats.org/spreadsheetml/2006/main" count="1927" uniqueCount="232">
  <si>
    <t>Colaboradores</t>
  </si>
  <si>
    <t>Saldo Inicial</t>
  </si>
  <si>
    <t>ROGÉRIO</t>
  </si>
  <si>
    <t>Vendas</t>
  </si>
  <si>
    <t>JOCY</t>
  </si>
  <si>
    <t>Entrada</t>
  </si>
  <si>
    <t>MARIA</t>
  </si>
  <si>
    <t>Despesas</t>
  </si>
  <si>
    <t>WEVILLY</t>
  </si>
  <si>
    <t>Entr_Desp</t>
  </si>
  <si>
    <t>BETH</t>
  </si>
  <si>
    <t>ARIANI</t>
  </si>
  <si>
    <t>Tipos de Pagtos</t>
  </si>
  <si>
    <t>ROSÂNGELA</t>
  </si>
  <si>
    <t>DN</t>
  </si>
  <si>
    <t>TATY</t>
  </si>
  <si>
    <t>CTD</t>
  </si>
  <si>
    <t>LARISSA</t>
  </si>
  <si>
    <t>CTC</t>
  </si>
  <si>
    <t>ERIKA</t>
  </si>
  <si>
    <t>PCTC</t>
  </si>
  <si>
    <t>LUANA</t>
  </si>
  <si>
    <t>PIX</t>
  </si>
  <si>
    <t>FELIPE</t>
  </si>
  <si>
    <t>Total</t>
  </si>
  <si>
    <t>Entrega de Carne</t>
  </si>
  <si>
    <t>Fechamento Diário do Caixa - Escritório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</si>
  <si>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</si>
  <si>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</si>
  <si>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</si>
  <si>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</si>
  <si>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</si>
  <si>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</si>
  <si>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</si>
  <si>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LUIZ</t>
  </si>
  <si>
    <t>Total  entrada</t>
  </si>
  <si>
    <t>OS Entregue no Dia</t>
  </si>
  <si>
    <t>OS</t>
  </si>
  <si>
    <t>Vendedor</t>
  </si>
  <si>
    <t>CARNE</t>
  </si>
  <si>
    <t>Não</t>
  </si>
  <si>
    <t>Sim</t>
  </si>
  <si>
    <t>Venda</t>
  </si>
  <si>
    <t>Restante Entrada</t>
  </si>
  <si>
    <t xml:space="preserve">TAYNARA CRISTINA </t>
  </si>
  <si>
    <t xml:space="preserve">CARLOS ALBERTO </t>
  </si>
  <si>
    <t xml:space="preserve">LEONILDA MARTINS </t>
  </si>
  <si>
    <t>Recebimento de Carnê</t>
  </si>
  <si>
    <t>Valor Parcela</t>
  </si>
  <si>
    <t>Nº Parcela</t>
  </si>
  <si>
    <t>Parcelas</t>
  </si>
  <si>
    <t>Valor Total</t>
  </si>
  <si>
    <t xml:space="preserve">FATIMA OLIVEIRA </t>
  </si>
  <si>
    <t>PARC. 5/5</t>
  </si>
  <si>
    <t>Total de OS</t>
  </si>
  <si>
    <t>Fechamento Diário do Caixa</t>
  </si>
  <si>
    <t xml:space="preserve">ALEX NUNES </t>
  </si>
  <si>
    <t xml:space="preserve"> V</t>
  </si>
  <si>
    <t xml:space="preserve">MONIQUE FERREIRA </t>
  </si>
  <si>
    <t>PARC. 3/4</t>
  </si>
  <si>
    <t>PARC. 2/2</t>
  </si>
  <si>
    <t xml:space="preserve">ISMAR DA SILVA </t>
  </si>
  <si>
    <t xml:space="preserve">ANGELITA FERREIRA </t>
  </si>
  <si>
    <t>SIM</t>
  </si>
  <si>
    <t>WILLIAN DOS SANTOS</t>
  </si>
  <si>
    <t xml:space="preserve">MARLI APARECIDA </t>
  </si>
  <si>
    <t>PARC. 1/2</t>
  </si>
  <si>
    <t>SAMUEL BARROS</t>
  </si>
  <si>
    <t>PARC. 4/4</t>
  </si>
  <si>
    <t>HILDA SOUZA SANTOS</t>
  </si>
  <si>
    <t>PARC. 1/8</t>
  </si>
  <si>
    <t>ODILIA   BRAZ ANDRADE</t>
  </si>
  <si>
    <t>DANIELLE ANDRADE</t>
  </si>
  <si>
    <t xml:space="preserve">MARIA RUTE </t>
  </si>
  <si>
    <t xml:space="preserve">JAQUELINE DOS SANTOS </t>
  </si>
  <si>
    <t>PARC. 1/5</t>
  </si>
  <si>
    <t>CIBELE MORALES</t>
  </si>
  <si>
    <t xml:space="preserve">CIBELE MORALES </t>
  </si>
  <si>
    <t>DANIELA TELES MONTE</t>
  </si>
  <si>
    <t xml:space="preserve">JOSÉ JOÃO </t>
  </si>
  <si>
    <t>PAULO LOPES DOS SANTOS</t>
  </si>
  <si>
    <t>CLAUDEMIR SILVA</t>
  </si>
  <si>
    <t xml:space="preserve">TEREZINHA DE LOURDES </t>
  </si>
  <si>
    <t>LAURO  MARQUES</t>
  </si>
  <si>
    <t>TATIANA VIRGINIA</t>
  </si>
  <si>
    <t>SANDRA REGINA</t>
  </si>
  <si>
    <t xml:space="preserve">LIDIA VIEIRA </t>
  </si>
  <si>
    <t>PARC. 2/5</t>
  </si>
  <si>
    <t xml:space="preserve">FATIMA AUGUSTA </t>
  </si>
  <si>
    <t>Empréstimo - ref. OS 4030: Antonio Maurício</t>
  </si>
  <si>
    <t>;</t>
  </si>
  <si>
    <t xml:space="preserve">RAQUEL  BATISTA </t>
  </si>
  <si>
    <t xml:space="preserve"> RAQUEL BATISTA</t>
  </si>
  <si>
    <t xml:space="preserve">ALZENI MARIA </t>
  </si>
  <si>
    <t>PARC. 3/3</t>
  </si>
  <si>
    <t>ANTONIO MAURICIO</t>
  </si>
  <si>
    <t>PARC. 2/3</t>
  </si>
  <si>
    <t>GISLEINE RODRIGUES</t>
  </si>
  <si>
    <t>PARC. 4/5</t>
  </si>
  <si>
    <t>LINDALVA CAVALCANTE</t>
  </si>
  <si>
    <t>PARC. 1/4</t>
  </si>
  <si>
    <t>IRACÉLIO ALVES</t>
  </si>
  <si>
    <t xml:space="preserve">CAETANO INACIO </t>
  </si>
  <si>
    <t xml:space="preserve">ANTONIO RODRIGUES </t>
  </si>
  <si>
    <t>MICHELE GOMES RANGEL</t>
  </si>
  <si>
    <t>FLAVIO JOSE AMARAL</t>
  </si>
  <si>
    <t>GONSALO DA COSTA</t>
  </si>
  <si>
    <t xml:space="preserve">VERONICE DOS SANTOS </t>
  </si>
  <si>
    <t>ALDIMEIA PEREIRA MENDES</t>
  </si>
  <si>
    <t>PARC. 3/5</t>
  </si>
  <si>
    <t xml:space="preserve">SUNAMITA RENATA </t>
  </si>
  <si>
    <t xml:space="preserve">NAIR FATIMA </t>
  </si>
  <si>
    <t xml:space="preserve">RAQUEL BATISTA </t>
  </si>
  <si>
    <t xml:space="preserve">NEIDE MARIA </t>
  </si>
  <si>
    <t>maria lucia</t>
  </si>
  <si>
    <t>greice ingrid</t>
  </si>
  <si>
    <t>orecio de oliveira</t>
  </si>
  <si>
    <t xml:space="preserve">ROSA MARIA </t>
  </si>
  <si>
    <t xml:space="preserve">JULIANA  BARBOSA </t>
  </si>
  <si>
    <t xml:space="preserve">HELENEUSA PEREIRA </t>
  </si>
  <si>
    <t xml:space="preserve">HENEUSA PEREIRA </t>
  </si>
  <si>
    <t xml:space="preserve"> </t>
  </si>
  <si>
    <t xml:space="preserve">MARIA LUCIA CALADO </t>
  </si>
  <si>
    <t xml:space="preserve">GRAZIELE CUSTODIO </t>
  </si>
  <si>
    <t xml:space="preserve">ZIZA FERREIRA </t>
  </si>
  <si>
    <t xml:space="preserve">MARIA DE JESUS </t>
  </si>
  <si>
    <t>PARC. 3/7</t>
  </si>
  <si>
    <t xml:space="preserve">LUIZA BATISTA </t>
  </si>
  <si>
    <t>ROBERT LAHUERTA</t>
  </si>
  <si>
    <t>PARC. 1/3</t>
  </si>
  <si>
    <t>FABIO GONCALVES</t>
  </si>
  <si>
    <t>PARC. 1/7</t>
  </si>
  <si>
    <t>cristiane caetano</t>
  </si>
  <si>
    <t xml:space="preserve">caetano inacio </t>
  </si>
  <si>
    <t xml:space="preserve">VANESSA DAS NEVES </t>
  </si>
  <si>
    <t xml:space="preserve">MARIA DE LOURDES </t>
  </si>
  <si>
    <t xml:space="preserve">FRANCISCO MORENO </t>
  </si>
  <si>
    <t>lydia domingos dias</t>
  </si>
  <si>
    <t>GARANTIA</t>
  </si>
  <si>
    <t>MESSIAS JACOB</t>
  </si>
  <si>
    <t>TAYNARA CRISTINA</t>
  </si>
  <si>
    <t>WILFRID FLERIVAL</t>
  </si>
  <si>
    <t>PARC. 2/6</t>
  </si>
  <si>
    <t>BENEDITO ARAUJO</t>
  </si>
  <si>
    <t>FRANCISCO MORENO</t>
  </si>
  <si>
    <t>FABIANA DE PAULA</t>
  </si>
  <si>
    <t>LEANDRO PEREIRA</t>
  </si>
  <si>
    <t>LAURO MARQUES</t>
  </si>
  <si>
    <t xml:space="preserve">TATIANA VIRGINIA </t>
  </si>
  <si>
    <t>ELIZEU LUCIO FERREIRA</t>
  </si>
  <si>
    <t xml:space="preserve">joão vittor </t>
  </si>
  <si>
    <t>helena dos santos</t>
  </si>
  <si>
    <t>MONIQUE FERREIRA</t>
  </si>
  <si>
    <t>maria neusa de almeida</t>
  </si>
  <si>
    <t xml:space="preserve">jeferson lopes </t>
  </si>
  <si>
    <t xml:space="preserve">        </t>
  </si>
  <si>
    <t xml:space="preserve">eudes conceiçao </t>
  </si>
  <si>
    <t>elizabeth alves</t>
  </si>
  <si>
    <t>simone camargo</t>
  </si>
  <si>
    <t>OSs Mauá</t>
  </si>
  <si>
    <t>Tipo Pagto</t>
  </si>
  <si>
    <t>descricao</t>
  </si>
  <si>
    <t xml:space="preserve">Parcelas </t>
  </si>
  <si>
    <t>Dinheiro</t>
  </si>
  <si>
    <t>PARC. 1/1</t>
  </si>
  <si>
    <t>Cartão Débito</t>
  </si>
  <si>
    <t>Cartão Crédito</t>
  </si>
  <si>
    <t>Parcelado Cartão Crédito</t>
  </si>
  <si>
    <t>SS</t>
  </si>
  <si>
    <t>Sem Sinal</t>
  </si>
  <si>
    <t xml:space="preserve">Carne </t>
  </si>
  <si>
    <t>Todas as Garantias</t>
  </si>
  <si>
    <t>PARC. 2/4</t>
  </si>
  <si>
    <t>PARC. 1/6</t>
  </si>
  <si>
    <t>PARC. 3/6</t>
  </si>
  <si>
    <t>PARC. 4/6</t>
  </si>
  <si>
    <t>PARC. 5/6</t>
  </si>
  <si>
    <t>PARC. 6/6</t>
  </si>
  <si>
    <t>PARC. 2/7</t>
  </si>
  <si>
    <t>PARC. 4/7</t>
  </si>
  <si>
    <t>PARC. 5/7</t>
  </si>
  <si>
    <t>PARC. 6/7</t>
  </si>
  <si>
    <t>PARC. 7/7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</si>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</sst>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&quot;R$&quot;\ #,##0.00"/>
    <numFmt numFmtId="168" formatCode="&quot;R$ &quot;#,##0_);\(&quot;R$ &quot;#,##0\)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</font>
    <font>
      <sz val="11"/>
      <name val="Calibri"/>
      <scheme val="minor"/>
    </font>
    <font>
      <sz val="24"/>
      <name val="Castellar"/>
      <family val="1"/>
    </font>
    <font>
      <b/>
      <i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8" fontId="2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4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7" fontId="13" fillId="5" borderId="13" xfId="0" applyNumberFormat="1" applyFont="1" applyFill="1" applyBorder="1" applyAlignment="1">
      <alignment horizontal="center"/>
    </xf>
    <xf numFmtId="167" fontId="0" fillId="0" borderId="11" xfId="4" applyNumberFormat="1" applyFont="1" applyFill="1" applyBorder="1" applyAlignment="1">
      <alignment horizontal="center"/>
    </xf>
    <xf numFmtId="167" fontId="13" fillId="0" borderId="17" xfId="4" applyNumberFormat="1" applyFont="1" applyFill="1" applyBorder="1" applyAlignment="1">
      <alignment horizontal="center"/>
    </xf>
    <xf numFmtId="167" fontId="13" fillId="0" borderId="17" xfId="0" applyNumberFormat="1" applyFont="1" applyBorder="1" applyAlignment="1">
      <alignment horizontal="center"/>
    </xf>
    <xf numFmtId="166" fontId="13" fillId="5" borderId="10" xfId="2" applyFont="1" applyFill="1" applyBorder="1" applyAlignment="1">
      <alignment horizontal="center"/>
    </xf>
    <xf numFmtId="166" fontId="13" fillId="5" borderId="13" xfId="2" applyFont="1" applyFill="1" applyBorder="1" applyAlignment="1">
      <alignment horizontal="center"/>
    </xf>
    <xf numFmtId="167" fontId="13" fillId="5" borderId="13" xfId="4" applyNumberFormat="1" applyFont="1" applyFill="1" applyBorder="1" applyAlignment="1">
      <alignment horizontal="center"/>
    </xf>
    <xf numFmtId="167" fontId="13" fillId="5" borderId="9" xfId="4" applyNumberFormat="1" applyFont="1" applyFill="1" applyBorder="1" applyAlignment="1">
      <alignment horizontal="center"/>
    </xf>
    <xf numFmtId="167" fontId="13" fillId="5" borderId="10" xfId="0" applyNumberFormat="1" applyFont="1" applyFill="1" applyBorder="1" applyAlignment="1">
      <alignment horizontal="center"/>
    </xf>
    <xf numFmtId="167" fontId="13" fillId="5" borderId="9" xfId="0" applyNumberFormat="1" applyFont="1" applyFill="1" applyBorder="1" applyAlignment="1">
      <alignment horizontal="center"/>
    </xf>
    <xf numFmtId="167" fontId="13" fillId="0" borderId="6" xfId="0" applyNumberFormat="1" applyFont="1" applyBorder="1" applyAlignment="1">
      <alignment horizontal="center"/>
    </xf>
    <xf numFmtId="167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7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7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6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7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6" fontId="13" fillId="5" borderId="0" xfId="2" applyFont="1" applyFill="1" applyBorder="1" applyAlignment="1">
      <alignment horizontal="center"/>
    </xf>
    <xf numFmtId="166" fontId="14" fillId="7" borderId="6" xfId="2" applyFont="1" applyFill="1" applyBorder="1" applyAlignment="1">
      <alignment horizontal="center"/>
    </xf>
    <xf numFmtId="166" fontId="0" fillId="0" borderId="2" xfId="2" applyFont="1" applyFill="1" applyBorder="1" applyAlignment="1">
      <alignment horizontal="center"/>
    </xf>
    <xf numFmtId="166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6" fontId="13" fillId="0" borderId="3" xfId="2" applyFont="1" applyFill="1" applyBorder="1" applyAlignment="1">
      <alignment horizontal="center"/>
    </xf>
    <xf numFmtId="0" fontId="5" fillId="0" borderId="0" xfId="0" applyFont="1"/>
    <xf numFmtId="166" fontId="24" fillId="0" borderId="17" xfId="2" applyFont="1" applyFill="1" applyBorder="1" applyAlignment="1">
      <alignment horizontal="center"/>
    </xf>
    <xf numFmtId="167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6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7" fontId="0" fillId="0" borderId="17" xfId="4" applyNumberFormat="1" applyFont="1" applyFill="1" applyBorder="1" applyAlignment="1">
      <alignment horizontal="center"/>
    </xf>
    <xf numFmtId="167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7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7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6" fontId="0" fillId="0" borderId="17" xfId="2" applyFont="1" applyFill="1" applyBorder="1" applyAlignment="1">
      <alignment horizontal="center"/>
    </xf>
    <xf numFmtId="167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7" fontId="0" fillId="0" borderId="6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66" fontId="0" fillId="0" borderId="3" xfId="2" applyFont="1" applyFill="1" applyBorder="1" applyAlignment="1">
      <alignment horizontal="center"/>
    </xf>
    <xf numFmtId="167" fontId="0" fillId="0" borderId="3" xfId="4" applyNumberFormat="1" applyFont="1" applyFill="1" applyBorder="1" applyAlignment="1">
      <alignment horizontal="center"/>
    </xf>
    <xf numFmtId="167" fontId="0" fillId="0" borderId="13" xfId="0" applyNumberFormat="1" applyBorder="1" applyAlignment="1">
      <alignment horizontal="center"/>
    </xf>
    <xf numFmtId="167" fontId="5" fillId="0" borderId="17" xfId="4" applyNumberFormat="1" applyFont="1" applyFill="1" applyBorder="1" applyAlignment="1">
      <alignment horizontal="center"/>
    </xf>
    <xf numFmtId="167" fontId="37" fillId="0" borderId="6" xfId="0" applyNumberFormat="1" applyFont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67" fontId="37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7" fontId="13" fillId="0" borderId="13" xfId="4" applyNumberFormat="1" applyFont="1" applyFill="1" applyBorder="1" applyAlignment="1">
      <alignment horizontal="center"/>
    </xf>
    <xf numFmtId="167" fontId="12" fillId="6" borderId="12" xfId="2" applyNumberFormat="1" applyFont="1" applyFill="1" applyBorder="1" applyAlignment="1" applyProtection="1">
      <alignment horizontal="center" vertical="center"/>
    </xf>
    <xf numFmtId="166" fontId="14" fillId="7" borderId="6" xfId="2" applyFont="1" applyFill="1" applyBorder="1" applyAlignment="1" applyProtection="1">
      <alignment horizontal="center"/>
    </xf>
    <xf numFmtId="166" fontId="39" fillId="0" borderId="3" xfId="2" applyFont="1" applyFill="1" applyBorder="1" applyAlignment="1">
      <alignment horizontal="center"/>
    </xf>
    <xf numFmtId="166" fontId="40" fillId="0" borderId="3" xfId="2" applyFont="1" applyFill="1" applyBorder="1" applyAlignment="1">
      <alignment horizontal="center"/>
    </xf>
    <xf numFmtId="167" fontId="40" fillId="0" borderId="3" xfId="4" applyNumberFormat="1" applyFont="1" applyFill="1" applyBorder="1" applyAlignment="1">
      <alignment horizontal="center"/>
    </xf>
    <xf numFmtId="166" fontId="0" fillId="5" borderId="0" xfId="2" applyFont="1" applyFill="1" applyBorder="1" applyAlignment="1">
      <alignment horizontal="center"/>
    </xf>
    <xf numFmtId="14" fontId="41" fillId="0" borderId="0" xfId="0" applyNumberFormat="1" applyFont="1" applyAlignment="1">
      <alignment horizontal="center"/>
    </xf>
    <xf numFmtId="166" fontId="35" fillId="0" borderId="13" xfId="2" applyFont="1" applyFill="1" applyBorder="1" applyAlignment="1">
      <alignment horizontal="center"/>
    </xf>
    <xf numFmtId="166" fontId="37" fillId="0" borderId="13" xfId="2" applyFont="1" applyFill="1" applyBorder="1" applyAlignment="1">
      <alignment horizontal="center"/>
    </xf>
    <xf numFmtId="167" fontId="37" fillId="0" borderId="13" xfId="4" applyNumberFormat="1" applyFont="1" applyFill="1" applyBorder="1" applyAlignment="1">
      <alignment horizontal="center"/>
    </xf>
    <xf numFmtId="166" fontId="37" fillId="0" borderId="17" xfId="2" applyFont="1" applyFill="1" applyBorder="1" applyAlignment="1">
      <alignment horizontal="center"/>
    </xf>
    <xf numFmtId="166" fontId="40" fillId="0" borderId="17" xfId="2" applyFont="1" applyFill="1" applyBorder="1" applyAlignment="1">
      <alignment horizontal="center"/>
    </xf>
    <xf numFmtId="167" fontId="40" fillId="0" borderId="17" xfId="4" applyNumberFormat="1" applyFont="1" applyFill="1" applyBorder="1" applyAlignment="1">
      <alignment horizontal="center"/>
    </xf>
    <xf numFmtId="167" fontId="0" fillId="0" borderId="0" xfId="4" applyNumberFormat="1" applyFont="1" applyAlignment="1">
      <alignment horizontal="center"/>
    </xf>
    <xf numFmtId="166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42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" fontId="13" fillId="0" borderId="13" xfId="0" applyNumberFormat="1" applyFont="1" applyBorder="1" applyAlignment="1">
      <alignment horizontal="center"/>
    </xf>
    <xf numFmtId="0" fontId="30" fillId="0" borderId="17" xfId="0" applyFont="1" applyBorder="1" applyAlignment="1">
      <alignment horizontal="center"/>
    </xf>
    <xf numFmtId="167" fontId="31" fillId="0" borderId="6" xfId="0" applyNumberFormat="1" applyFont="1" applyBorder="1" applyAlignment="1">
      <alignment horizontal="center"/>
    </xf>
    <xf numFmtId="166" fontId="5" fillId="0" borderId="2" xfId="2" applyFont="1" applyFill="1" applyBorder="1" applyAlignment="1">
      <alignment horizontal="center"/>
    </xf>
    <xf numFmtId="166" fontId="5" fillId="0" borderId="0" xfId="2" applyFont="1" applyFill="1" applyBorder="1" applyAlignment="1">
      <alignment horizontal="center"/>
    </xf>
    <xf numFmtId="167" fontId="5" fillId="0" borderId="11" xfId="4" applyNumberFormat="1" applyFont="1" applyFill="1" applyBorder="1" applyAlignment="1">
      <alignment horizontal="center"/>
    </xf>
    <xf numFmtId="167" fontId="5" fillId="0" borderId="0" xfId="4" applyNumberFormat="1" applyFont="1" applyFill="1" applyBorder="1" applyAlignment="1">
      <alignment horizontal="center"/>
    </xf>
    <xf numFmtId="44" fontId="5" fillId="0" borderId="17" xfId="39" applyFont="1" applyFill="1" applyBorder="1" applyAlignment="1">
      <alignment horizontal="center"/>
    </xf>
    <xf numFmtId="44" fontId="5" fillId="0" borderId="13" xfId="39" applyFont="1" applyFill="1" applyBorder="1" applyAlignment="1">
      <alignment horizontal="center"/>
    </xf>
    <xf numFmtId="167" fontId="5" fillId="0" borderId="13" xfId="4" applyNumberFormat="1" applyFont="1" applyFill="1" applyBorder="1" applyAlignment="1">
      <alignment horizontal="center"/>
    </xf>
    <xf numFmtId="0" fontId="39" fillId="0" borderId="17" xfId="0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7" fontId="10" fillId="7" borderId="5" xfId="0" applyNumberFormat="1" applyFont="1" applyFill="1" applyBorder="1" applyAlignment="1">
      <alignment horizontal="center"/>
    </xf>
    <xf numFmtId="167" fontId="10" fillId="7" borderId="4" xfId="0" applyNumberFormat="1" applyFont="1" applyFill="1" applyBorder="1" applyAlignment="1">
      <alignment horizontal="center"/>
    </xf>
    <xf numFmtId="167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14" headerRowBorderDxfId="1613" tableBorderDxfId="1612" totalsRowBorderDxfId="1611">
  <autoFilter ref="K14:M31" xr:uid="{F07D43AD-1A4D-4B31-96B8-824F8623E518}"/>
  <sortState xmlns:xlrd2="http://schemas.microsoft.com/office/spreadsheetml/2017/richdata2" ref="K15:M31">
    <sortCondition ref="K14:K31"/>
  </sortState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3" totalsRowShown="0" headerRowDxfId="548" dataDxfId="546" headerRowBorderDxfId="547" tableBorderDxfId="545" totalsRowBorderDxfId="544">
  <autoFilter ref="E34:I43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3" totalsRowShown="0" headerRowDxfId="538" headerRowBorderDxfId="537" tableBorderDxfId="536" totalsRowBorderDxfId="535">
  <autoFilter ref="K34:M43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24" sqref="C24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0</v>
      </c>
    </row>
    <row r="2" spans="1:16" ht="15" x14ac:dyDescent="0.2">
      <c r="A2" s="18" t="s">
        <v>1</v>
      </c>
      <c r="B2" s="69">
        <v>0</v>
      </c>
      <c r="P2" t="s">
        <v>2</v>
      </c>
    </row>
    <row r="3" spans="1:16" ht="15" x14ac:dyDescent="0.25">
      <c r="A3" s="22" t="s">
        <v>3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26287.989999999998</v>
      </c>
      <c r="P3" t="s">
        <v>4</v>
      </c>
    </row>
    <row r="4" spans="1:16" ht="15" x14ac:dyDescent="0.25">
      <c r="A4" s="22" t="s">
        <v>5</v>
      </c>
      <c r="B4" s="23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28828.883999999998</v>
      </c>
      <c r="P4" t="s">
        <v>6</v>
      </c>
    </row>
    <row r="5" spans="1:16" ht="15" x14ac:dyDescent="0.25">
      <c r="A5" s="22" t="s">
        <v>7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50</v>
      </c>
      <c r="P5" t="s">
        <v>8</v>
      </c>
    </row>
    <row r="6" spans="1:16" ht="15.75" x14ac:dyDescent="0.25">
      <c r="A6" s="27" t="s">
        <v>9</v>
      </c>
      <c r="B6" s="28">
        <f ca="1">SUM(B4:B5)</f>
        <v>28878.883999999998</v>
      </c>
      <c r="P6" t="s">
        <v>10</v>
      </c>
    </row>
    <row r="7" spans="1:16" ht="15" x14ac:dyDescent="0.25">
      <c r="A7" s="2"/>
      <c r="B7" s="2"/>
      <c r="P7" t="s">
        <v>11</v>
      </c>
    </row>
    <row r="8" spans="1:16" ht="15" x14ac:dyDescent="0.2">
      <c r="A8" s="105" t="s">
        <v>12</v>
      </c>
      <c r="B8" s="105"/>
      <c r="P8" t="s">
        <v>13</v>
      </c>
    </row>
    <row r="9" spans="1:16" ht="15" x14ac:dyDescent="0.25">
      <c r="A9" s="29" t="s">
        <v>14</v>
      </c>
      <c r="B9" s="23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3590.0039999999999</v>
      </c>
      <c r="P9" t="s">
        <v>15</v>
      </c>
    </row>
    <row r="10" spans="1:16" ht="15" x14ac:dyDescent="0.25">
      <c r="A10" s="29" t="s">
        <v>16</v>
      </c>
      <c r="B10" s="23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1306.28</v>
      </c>
      <c r="P10" t="s">
        <v>17</v>
      </c>
    </row>
    <row r="11" spans="1:16" ht="15" x14ac:dyDescent="0.25">
      <c r="A11" s="29" t="s">
        <v>18</v>
      </c>
      <c r="B11" s="23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16627.489999999998</v>
      </c>
      <c r="P11" t="s">
        <v>19</v>
      </c>
    </row>
    <row r="12" spans="1:16" ht="15" x14ac:dyDescent="0.25">
      <c r="A12" s="29" t="s">
        <v>20</v>
      </c>
      <c r="B12" s="23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21</v>
      </c>
    </row>
    <row r="13" spans="1:16" ht="15" x14ac:dyDescent="0.25">
      <c r="A13" s="29" t="s">
        <v>22</v>
      </c>
      <c r="B13" s="23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7305.11</v>
      </c>
      <c r="P13" t="s">
        <v>23</v>
      </c>
    </row>
    <row r="14" spans="1:16" ht="15.75" x14ac:dyDescent="0.25">
      <c r="A14" s="27" t="s">
        <v>24</v>
      </c>
      <c r="B14" s="70">
        <f ca="1">SUM(B9:B13)</f>
        <v>28828.883999999998</v>
      </c>
    </row>
    <row r="15" spans="1:16" ht="15" x14ac:dyDescent="0.25">
      <c r="A15" s="2"/>
      <c r="B15" s="2"/>
    </row>
    <row r="16" spans="1:16" ht="15" x14ac:dyDescent="0.2">
      <c r="A16" s="105" t="s">
        <v>25</v>
      </c>
      <c r="B16" s="105"/>
    </row>
    <row r="17" spans="1:2" ht="15" x14ac:dyDescent="0.25">
      <c r="A17" s="29">
        <f>COUNT(#REF!)</f>
        <v>0</v>
      </c>
      <c r="B17" s="23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4588.49</v>
      </c>
    </row>
    <row r="18" spans="1:2" ht="15.75" x14ac:dyDescent="0.25">
      <c r="A18" s="27" t="s">
        <v>24</v>
      </c>
      <c r="B18" s="70">
        <f>SUM(B17:B17)</f>
        <v>4588.49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B1" zoomScale="90" zoomScaleNormal="9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v>45597</v>
      </c>
    </row>
    <row r="2" spans="2:18" ht="18.75" x14ac:dyDescent="0.2">
      <c r="B2" s="110" t="s">
        <v>26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250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1274</v>
      </c>
      <c r="D6" s="2"/>
      <c r="E6" s="84">
        <v>4623</v>
      </c>
      <c r="F6" s="24" t="s">
        <v>34</v>
      </c>
      <c r="G6" s="25" t="s">
        <v>22</v>
      </c>
      <c r="H6" s="8">
        <v>250</v>
      </c>
      <c r="I6" s="8">
        <v>250</v>
      </c>
      <c r="J6" s="2"/>
      <c r="K6" s="24"/>
      <c r="L6" s="9"/>
      <c r="M6" s="16"/>
      <c r="R6" s="1">
        <f>IF(vend1[[#This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84"/>
      <c r="F7" s="24"/>
      <c r="G7" s="25"/>
      <c r="H7" s="8"/>
      <c r="I7" s="8"/>
      <c r="J7" s="2"/>
      <c r="K7" s="24"/>
      <c r="L7" s="9"/>
      <c r="M7" s="16"/>
      <c r="R7" s="1">
        <f>IF(vend1[[#This Row],[Nº Venda]]&gt;1,1,0)</f>
        <v>0</v>
      </c>
    </row>
    <row r="8" spans="2:18" ht="15.75" x14ac:dyDescent="0.25">
      <c r="B8" s="27" t="s">
        <v>35</v>
      </c>
      <c r="C8" s="28">
        <f>SUM(C6:C7)</f>
        <v>1274</v>
      </c>
      <c r="D8" s="2"/>
      <c r="E8" s="84"/>
      <c r="F8" s="24"/>
      <c r="G8" s="25"/>
      <c r="H8" s="8"/>
      <c r="I8" s="8"/>
      <c r="J8" s="2"/>
      <c r="K8" s="24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IF(vend1[[#This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IF(vend1[[#This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100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84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18</v>
      </c>
      <c r="C13" s="30">
        <f t="shared" si="0"/>
        <v>579</v>
      </c>
      <c r="D13" s="2"/>
      <c r="E13" s="84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IF(vend1[[#This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84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IF(vend1[[#This Row],[Nº Venda]]&gt;1,1,0)</f>
        <v>0</v>
      </c>
    </row>
    <row r="15" spans="2:18" ht="15.75" x14ac:dyDescent="0.25">
      <c r="B15" s="29" t="s">
        <v>22</v>
      </c>
      <c r="C15" s="30">
        <f t="shared" si="0"/>
        <v>595</v>
      </c>
      <c r="D15" s="2"/>
      <c r="E15" s="84"/>
      <c r="F15" s="24"/>
      <c r="G15" s="25"/>
      <c r="H15" s="8"/>
      <c r="I15" s="8"/>
      <c r="J15" s="2"/>
      <c r="K15" s="92">
        <v>4391</v>
      </c>
      <c r="L15" s="9" t="s">
        <v>10</v>
      </c>
      <c r="M15" s="16" t="s">
        <v>40</v>
      </c>
      <c r="R15" s="1">
        <f>IF(vend1[[#This Row],[Nº Venda]]&gt;1,1,0)</f>
        <v>0</v>
      </c>
    </row>
    <row r="16" spans="2:18" ht="15.75" x14ac:dyDescent="0.25">
      <c r="B16" s="27" t="s">
        <v>24</v>
      </c>
      <c r="C16" s="31">
        <f>SUM(C11:C15)</f>
        <v>1274</v>
      </c>
      <c r="D16" s="2"/>
      <c r="E16" s="84"/>
      <c r="F16" s="24"/>
      <c r="G16" s="25"/>
      <c r="H16" s="8"/>
      <c r="I16" s="8"/>
      <c r="J16" s="2"/>
      <c r="K16" s="92">
        <v>4392</v>
      </c>
      <c r="L16" s="9" t="s">
        <v>10</v>
      </c>
      <c r="M16" s="16" t="s">
        <v>40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>
        <v>4549</v>
      </c>
      <c r="L17" s="9" t="s">
        <v>17</v>
      </c>
      <c r="M17" s="16" t="s">
        <v>40</v>
      </c>
      <c r="R17" s="1">
        <f>IF(vend1[[#This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>
        <v>4602</v>
      </c>
      <c r="L18" s="9" t="s">
        <v>17</v>
      </c>
      <c r="M18" s="16" t="s">
        <v>40</v>
      </c>
      <c r="R18" s="1">
        <f>IF(vend1[[#This Row],[Nº Venda]]&gt;1,1,0)</f>
        <v>0</v>
      </c>
    </row>
    <row r="19" spans="2:18" ht="15.75" x14ac:dyDescent="0.25">
      <c r="B19" s="29">
        <f>COUNT(entr_carn1[OS])</f>
        <v>1</v>
      </c>
      <c r="C19" s="30">
        <f>SUM(entr_carn1[Valor Total])</f>
        <v>530</v>
      </c>
      <c r="D19" s="2"/>
      <c r="E19" s="84"/>
      <c r="F19" s="24"/>
      <c r="G19" s="25"/>
      <c r="H19" s="8"/>
      <c r="I19" s="8"/>
      <c r="J19" s="2"/>
      <c r="K19" s="92">
        <v>4611</v>
      </c>
      <c r="L19" s="9" t="s">
        <v>10</v>
      </c>
      <c r="M19" s="16" t="s">
        <v>40</v>
      </c>
      <c r="R19" s="1">
        <f>IF(vend1[[#This Row],[Nº Venda]]&gt;1,1,0)</f>
        <v>0</v>
      </c>
    </row>
    <row r="20" spans="2:18" ht="15.75" x14ac:dyDescent="0.25">
      <c r="B20" s="27" t="s">
        <v>24</v>
      </c>
      <c r="C20" s="31">
        <f>SUM(C19:C19)</f>
        <v>530</v>
      </c>
      <c r="D20" s="2"/>
      <c r="E20" s="84"/>
      <c r="F20" s="25"/>
      <c r="G20" s="25"/>
      <c r="H20" s="8"/>
      <c r="I20" s="8"/>
      <c r="J20" s="2"/>
      <c r="K20" s="92">
        <v>4612</v>
      </c>
      <c r="L20" s="9" t="s">
        <v>10</v>
      </c>
      <c r="M20" s="16" t="s">
        <v>41</v>
      </c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250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>
        <v>4612</v>
      </c>
      <c r="F26" s="24" t="s">
        <v>44</v>
      </c>
      <c r="G26" s="25" t="s">
        <v>22</v>
      </c>
      <c r="H26" s="8"/>
      <c r="I26" s="8">
        <v>20</v>
      </c>
      <c r="J26" s="2"/>
      <c r="K26" s="92"/>
      <c r="L26" s="9"/>
      <c r="M26" s="16"/>
    </row>
    <row r="27" spans="2:18" ht="15.75" x14ac:dyDescent="0.25">
      <c r="B27" s="2"/>
      <c r="C27" s="2"/>
      <c r="D27" s="2"/>
      <c r="E27" s="84">
        <v>4612</v>
      </c>
      <c r="F27" s="24" t="s">
        <v>44</v>
      </c>
      <c r="G27" s="25" t="s">
        <v>18</v>
      </c>
      <c r="H27" s="8"/>
      <c r="I27" s="8">
        <v>80</v>
      </c>
      <c r="J27" s="2"/>
      <c r="K27" s="92"/>
      <c r="L27" s="9"/>
      <c r="M27" s="16"/>
    </row>
    <row r="28" spans="2:18" ht="15.75" x14ac:dyDescent="0.25">
      <c r="B28" s="2"/>
      <c r="C28" s="2"/>
      <c r="D28" s="2"/>
      <c r="E28" s="84">
        <v>4602</v>
      </c>
      <c r="F28" s="24" t="s">
        <v>45</v>
      </c>
      <c r="G28" s="25" t="s">
        <v>18</v>
      </c>
      <c r="H28" s="8"/>
      <c r="I28" s="8">
        <v>499</v>
      </c>
      <c r="J28" s="2"/>
      <c r="K28" s="92"/>
      <c r="L28" s="9"/>
      <c r="M28" s="16"/>
    </row>
    <row r="29" spans="2:18" ht="15.75" x14ac:dyDescent="0.25">
      <c r="B29" s="2"/>
      <c r="C29" s="2"/>
      <c r="D29" s="2"/>
      <c r="E29" s="84">
        <v>4391</v>
      </c>
      <c r="F29" s="24" t="s">
        <v>46</v>
      </c>
      <c r="G29" s="25" t="s">
        <v>22</v>
      </c>
      <c r="H29" s="8"/>
      <c r="I29" s="8">
        <v>162.5</v>
      </c>
      <c r="J29" s="2"/>
      <c r="K29" s="92"/>
      <c r="L29" s="9"/>
      <c r="M29" s="16"/>
    </row>
    <row r="30" spans="2:18" ht="15.75" x14ac:dyDescent="0.25">
      <c r="B30" s="2"/>
      <c r="C30" s="2"/>
      <c r="D30" s="2"/>
      <c r="E30" s="84">
        <v>4392</v>
      </c>
      <c r="F30" s="38" t="s">
        <v>46</v>
      </c>
      <c r="G30" s="25" t="s">
        <v>22</v>
      </c>
      <c r="H30" s="8"/>
      <c r="I30" s="8">
        <v>162.5</v>
      </c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>
        <v>4269</v>
      </c>
      <c r="F35" s="24" t="s">
        <v>52</v>
      </c>
      <c r="G35" s="25" t="s">
        <v>14</v>
      </c>
      <c r="H35" s="8">
        <v>100</v>
      </c>
      <c r="I35" s="8" t="s">
        <v>53</v>
      </c>
      <c r="K35" s="92">
        <v>4612</v>
      </c>
      <c r="L35" s="40">
        <v>4</v>
      </c>
      <c r="M35" s="16">
        <v>530</v>
      </c>
    </row>
    <row r="36" spans="2:18" ht="15.75" x14ac:dyDescent="0.25">
      <c r="E36" s="84"/>
      <c r="F36" s="24"/>
      <c r="G36" s="25"/>
      <c r="H36" s="8"/>
      <c r="I36" s="8"/>
      <c r="K36" s="92"/>
      <c r="L36" s="40"/>
      <c r="M36" s="16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1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B1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5">
        <f>'01'!B1+1</f>
        <v>45598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95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292.5</v>
      </c>
      <c r="D6" s="2"/>
      <c r="E6" s="84">
        <v>4624</v>
      </c>
      <c r="F6" s="24" t="s">
        <v>56</v>
      </c>
      <c r="G6" s="43" t="s">
        <v>14</v>
      </c>
      <c r="H6" s="8">
        <v>95</v>
      </c>
      <c r="I6" s="8">
        <v>95</v>
      </c>
      <c r="J6" s="2"/>
      <c r="K6" s="24"/>
      <c r="L6" s="9"/>
      <c r="M6" s="16"/>
      <c r="R6" s="1">
        <f>IF(vend2[[#This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84"/>
      <c r="F7" s="24"/>
      <c r="G7" s="43"/>
      <c r="H7" s="8"/>
      <c r="I7" s="8"/>
      <c r="J7" s="2"/>
      <c r="K7" s="24"/>
      <c r="L7" s="9"/>
      <c r="M7" s="16"/>
      <c r="R7" s="1">
        <f>IF(vend2[[#This Row],[Nº Venda]]&gt;1,1,0)</f>
        <v>0</v>
      </c>
    </row>
    <row r="8" spans="2:18" ht="15.75" x14ac:dyDescent="0.25">
      <c r="B8" s="27" t="s">
        <v>35</v>
      </c>
      <c r="C8" s="28">
        <f>SUM(C6:C7)</f>
        <v>292.5</v>
      </c>
      <c r="D8" s="2"/>
      <c r="E8" s="84"/>
      <c r="F8" s="24"/>
      <c r="G8" s="25"/>
      <c r="H8" s="8"/>
      <c r="I8" s="8"/>
      <c r="J8" s="2"/>
      <c r="K8" s="24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95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84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85"/>
      <c r="F13" s="55"/>
      <c r="G13" s="79"/>
      <c r="H13" s="66"/>
      <c r="I13" s="66"/>
      <c r="J13" s="2"/>
      <c r="K13" s="107" t="s">
        <v>36</v>
      </c>
      <c r="L13" s="108"/>
      <c r="M13" s="109"/>
      <c r="R13" s="1">
        <f>IF(vend2[[#This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85"/>
      <c r="F14" s="55"/>
      <c r="G14" s="79"/>
      <c r="H14" s="66"/>
      <c r="I14" s="66"/>
      <c r="J14" s="2"/>
      <c r="K14" s="14" t="s">
        <v>37</v>
      </c>
      <c r="L14" s="6" t="s">
        <v>38</v>
      </c>
      <c r="M14" s="15" t="s">
        <v>39</v>
      </c>
      <c r="R14" s="1">
        <f>IF(vend2[[#This Row],[Nº Venda]]&gt;1,1,0)</f>
        <v>0</v>
      </c>
    </row>
    <row r="15" spans="2:18" ht="15.75" x14ac:dyDescent="0.25">
      <c r="B15" s="29" t="s">
        <v>22</v>
      </c>
      <c r="C15" s="30">
        <f t="shared" si="0"/>
        <v>197.5</v>
      </c>
      <c r="D15" s="2"/>
      <c r="E15" s="84"/>
      <c r="F15" s="24"/>
      <c r="G15" s="25"/>
      <c r="H15" s="8"/>
      <c r="I15" s="8"/>
      <c r="J15" s="2"/>
      <c r="K15" s="92">
        <v>4613</v>
      </c>
      <c r="L15" s="9" t="s">
        <v>10</v>
      </c>
      <c r="M15" s="16" t="s">
        <v>40</v>
      </c>
      <c r="R15" s="1">
        <f>IF(vend2[[#This Row],[Nº Venda]]&gt;1,1,0)</f>
        <v>0</v>
      </c>
    </row>
    <row r="16" spans="2:18" ht="15.75" x14ac:dyDescent="0.25">
      <c r="B16" s="27" t="s">
        <v>24</v>
      </c>
      <c r="C16" s="31">
        <f>SUM(C11:C15)</f>
        <v>292.5</v>
      </c>
      <c r="D16" s="2"/>
      <c r="E16" s="84"/>
      <c r="F16" s="24"/>
      <c r="G16" s="25"/>
      <c r="H16" s="8"/>
      <c r="I16" s="8"/>
      <c r="J16" s="2"/>
      <c r="K16" s="92">
        <v>4534</v>
      </c>
      <c r="L16" s="9" t="s">
        <v>15</v>
      </c>
      <c r="M16" s="16" t="s">
        <v>40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>
        <v>4174</v>
      </c>
      <c r="L17" s="9" t="s">
        <v>2</v>
      </c>
      <c r="M17" s="16" t="s">
        <v>40</v>
      </c>
      <c r="R17" s="1">
        <f>IF(vend2[[#This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95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/>
      <c r="F26" s="24"/>
      <c r="G26" s="25"/>
      <c r="H26" s="8"/>
      <c r="I26" s="8"/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25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21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  <c r="U34" s="1" t="s">
        <v>57</v>
      </c>
    </row>
    <row r="35" spans="2:21" ht="15.75" x14ac:dyDescent="0.25">
      <c r="E35" s="84">
        <v>4394</v>
      </c>
      <c r="F35" s="24" t="s">
        <v>58</v>
      </c>
      <c r="G35" s="25" t="s">
        <v>22</v>
      </c>
      <c r="H35" s="8">
        <v>97.5</v>
      </c>
      <c r="I35" s="8" t="s">
        <v>59</v>
      </c>
      <c r="K35" s="92"/>
      <c r="L35" s="40"/>
      <c r="M35" s="16"/>
    </row>
    <row r="36" spans="2:21" ht="15.75" x14ac:dyDescent="0.25">
      <c r="E36" s="84">
        <v>4443</v>
      </c>
      <c r="F36" s="24" t="s">
        <v>58</v>
      </c>
      <c r="G36" s="25" t="s">
        <v>22</v>
      </c>
      <c r="H36" s="8">
        <v>100</v>
      </c>
      <c r="I36" s="8" t="s">
        <v>60</v>
      </c>
      <c r="K36" s="92"/>
      <c r="L36" s="40"/>
      <c r="M36" s="16"/>
    </row>
    <row r="37" spans="2:21" ht="15.75" x14ac:dyDescent="0.25">
      <c r="E37" s="84"/>
      <c r="F37" s="24"/>
      <c r="G37" s="25"/>
      <c r="H37" s="8"/>
      <c r="I37" s="8"/>
      <c r="K37" s="92"/>
      <c r="L37" s="40"/>
      <c r="M37" s="16"/>
    </row>
    <row r="38" spans="2:21" ht="15.75" x14ac:dyDescent="0.25">
      <c r="E38" s="84"/>
      <c r="F38" s="24"/>
      <c r="G38" s="25"/>
      <c r="H38" s="8"/>
      <c r="I38" s="8"/>
      <c r="K38" s="92"/>
      <c r="L38" s="40"/>
      <c r="M38" s="16"/>
    </row>
    <row r="39" spans="2:21" ht="15.75" x14ac:dyDescent="0.25">
      <c r="E39" s="84"/>
      <c r="F39" s="38"/>
      <c r="G39" s="25"/>
      <c r="H39" s="8"/>
      <c r="I39" s="8"/>
      <c r="K39" s="92"/>
      <c r="L39" s="40"/>
      <c r="M39" s="16"/>
    </row>
    <row r="40" spans="2:21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1</v>
      </c>
    </row>
    <row r="41" spans="2:21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11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'02'!B1+1</f>
        <v>45599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SUM(I6:I41)</f>
        <v>0</v>
      </c>
      <c r="D6" s="2"/>
      <c r="E6" s="84"/>
      <c r="F6" s="24"/>
      <c r="G6" s="43"/>
      <c r="H6" s="8"/>
      <c r="I6" s="8"/>
      <c r="J6" s="2"/>
      <c r="K6" s="24"/>
      <c r="L6" s="9"/>
      <c r="M6" s="16"/>
      <c r="R6" s="1">
        <f>IF(vend3[[#This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84"/>
      <c r="F7" s="24"/>
      <c r="G7" s="25"/>
      <c r="H7" s="8"/>
      <c r="I7" s="8"/>
      <c r="J7" s="2"/>
      <c r="K7" s="24"/>
      <c r="L7" s="9"/>
      <c r="M7" s="16"/>
      <c r="R7" s="1">
        <f>IF(vend3[[#This Row],[Nº Venda]]&gt;1,1,0)</f>
        <v>0</v>
      </c>
    </row>
    <row r="8" spans="2:18" ht="15.75" x14ac:dyDescent="0.25">
      <c r="B8" s="27" t="s">
        <v>35</v>
      </c>
      <c r="C8" s="28">
        <f>SUM(C6:C7)</f>
        <v>0</v>
      </c>
      <c r="D8" s="2"/>
      <c r="E8" s="84"/>
      <c r="F8" s="24"/>
      <c r="G8" s="25"/>
      <c r="H8" s="8"/>
      <c r="I8" s="8"/>
      <c r="J8" s="2"/>
      <c r="K8" s="24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IF(vend3[[#This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84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IF(vend3[[#This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IF(vend3[[#This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84"/>
      <c r="F15" s="24"/>
      <c r="G15" s="25"/>
      <c r="H15" s="8"/>
      <c r="I15" s="8"/>
      <c r="J15" s="2"/>
      <c r="K15" s="92"/>
      <c r="L15" s="9"/>
      <c r="M15" s="16"/>
      <c r="R15" s="1">
        <f>IF(vend3[[#This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84"/>
      <c r="F16" s="24"/>
      <c r="G16" s="25"/>
      <c r="H16" s="8"/>
      <c r="I16" s="8"/>
      <c r="J16" s="2"/>
      <c r="K16" s="92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/>
      <c r="L17" s="9"/>
      <c r="M17" s="16"/>
      <c r="R17" s="1">
        <f>IF(vend3[[#This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IF(vend3[[#This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/>
      <c r="F26" s="24"/>
      <c r="G26" s="43"/>
      <c r="H26" s="8"/>
      <c r="I26" s="8"/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25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/>
      <c r="F35" s="24"/>
      <c r="G35" s="25"/>
      <c r="H35" s="8"/>
      <c r="I35" s="8"/>
      <c r="K35" s="92"/>
      <c r="L35" s="40"/>
      <c r="M35" s="16"/>
    </row>
    <row r="36" spans="2:18" ht="15.75" x14ac:dyDescent="0.25">
      <c r="E36" s="84"/>
      <c r="F36" s="24"/>
      <c r="G36" s="25"/>
      <c r="H36" s="8"/>
      <c r="I36" s="8"/>
      <c r="K36" s="92"/>
      <c r="L36" s="40"/>
      <c r="M36" s="16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0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B1" zoomScale="90" zoomScaleNormal="90" workbookViewId="0">
      <selection activeCell="H14" sqref="H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'03'!B1+1</f>
        <v>45600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25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SUM(I6:I41)</f>
        <v>225</v>
      </c>
      <c r="D6" s="2"/>
      <c r="E6" s="84">
        <v>4625</v>
      </c>
      <c r="F6" s="24" t="s">
        <v>61</v>
      </c>
      <c r="G6" s="43" t="s">
        <v>16</v>
      </c>
      <c r="H6" s="8">
        <v>25</v>
      </c>
      <c r="I6" s="8">
        <v>25</v>
      </c>
      <c r="J6" s="2"/>
      <c r="K6" s="24"/>
      <c r="L6" s="9"/>
      <c r="M6" s="16"/>
      <c r="R6" s="1">
        <f>IF(vend4[[#This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84"/>
      <c r="F7" s="24"/>
      <c r="G7" s="43"/>
      <c r="H7" s="8"/>
      <c r="I7" s="8"/>
      <c r="J7" s="2"/>
      <c r="K7" s="24"/>
      <c r="L7" s="9"/>
      <c r="M7" s="16"/>
      <c r="R7" s="1">
        <f>IF(vend4[[#This Row],[Nº Venda]]&gt;1,1,0)</f>
        <v>0</v>
      </c>
    </row>
    <row r="8" spans="2:18" ht="15.75" x14ac:dyDescent="0.25">
      <c r="B8" s="27" t="s">
        <v>35</v>
      </c>
      <c r="C8" s="28">
        <f>SUM(C6:C7)</f>
        <v>225</v>
      </c>
      <c r="D8" s="2"/>
      <c r="E8" s="84"/>
      <c r="F8" s="24"/>
      <c r="G8" s="43"/>
      <c r="H8" s="8"/>
      <c r="I8" s="8"/>
      <c r="J8" s="2"/>
      <c r="K8" s="24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84"/>
      <c r="F9" s="24"/>
      <c r="G9" s="43"/>
      <c r="H9" s="8"/>
      <c r="I9" s="8"/>
      <c r="J9" s="2"/>
      <c r="K9" s="24"/>
      <c r="L9" s="9"/>
      <c r="M9" s="16"/>
      <c r="R9" s="1">
        <f>IF(vend4[[#This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IF(vend4[[#This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200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25</v>
      </c>
      <c r="D12" s="2"/>
      <c r="E12" s="84"/>
      <c r="F12" s="24"/>
      <c r="G12" s="25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IF(vend4[[#This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IF(vend4[[#This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84"/>
      <c r="F15" s="24"/>
      <c r="G15" s="25"/>
      <c r="H15" s="8"/>
      <c r="I15" s="8"/>
      <c r="J15" s="2"/>
      <c r="K15" s="92">
        <v>4625</v>
      </c>
      <c r="L15" s="9" t="s">
        <v>10</v>
      </c>
      <c r="M15" s="96" t="s">
        <v>40</v>
      </c>
      <c r="R15" s="1">
        <f>IF(vend4[[#This Row],[Nº Venda]]&gt;1,1,0)</f>
        <v>0</v>
      </c>
    </row>
    <row r="16" spans="2:18" ht="18.75" x14ac:dyDescent="0.4">
      <c r="B16" s="27" t="s">
        <v>24</v>
      </c>
      <c r="C16" s="31">
        <f>SUM(C11:C15)</f>
        <v>225</v>
      </c>
      <c r="D16" s="2"/>
      <c r="E16" s="84"/>
      <c r="F16" s="24"/>
      <c r="G16" s="25"/>
      <c r="H16" s="8"/>
      <c r="I16" s="8"/>
      <c r="J16" s="2"/>
      <c r="K16" s="92"/>
      <c r="L16" s="9"/>
      <c r="M16" s="53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84"/>
      <c r="F17" s="24"/>
      <c r="G17" s="25"/>
      <c r="H17" s="8"/>
      <c r="I17" s="8"/>
      <c r="J17" s="2"/>
      <c r="K17" s="92"/>
      <c r="L17" s="9"/>
      <c r="M17" s="53"/>
      <c r="R17" s="1">
        <f>IF(vend4[[#This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IF(vend4[[#This Row],[Nº Venda]]&gt;1,1,0)</f>
        <v>0</v>
      </c>
    </row>
    <row r="19" spans="2:18" ht="15.75" x14ac:dyDescent="0.25">
      <c r="B19" s="29">
        <f>COUNT(entr_carn4[OS])</f>
        <v>0</v>
      </c>
      <c r="C19" s="30">
        <f>SUM(entr_carn4[Valor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IF(vend4[[#This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25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>
        <v>4525</v>
      </c>
      <c r="F26" s="24" t="s">
        <v>62</v>
      </c>
      <c r="G26" s="43" t="s">
        <v>14</v>
      </c>
      <c r="H26" s="8"/>
      <c r="I26" s="8">
        <v>200</v>
      </c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43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43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/>
      <c r="F35" s="24"/>
      <c r="G35" s="25"/>
      <c r="H35" s="8"/>
      <c r="I35" s="8"/>
      <c r="K35" s="92"/>
      <c r="L35" s="40"/>
      <c r="M35" s="16"/>
    </row>
    <row r="36" spans="2:18" ht="15.75" x14ac:dyDescent="0.25">
      <c r="E36" s="84"/>
      <c r="F36" s="24"/>
      <c r="G36" s="25"/>
      <c r="H36" s="8"/>
      <c r="I36" s="8"/>
      <c r="K36" s="92"/>
      <c r="L36" s="40"/>
      <c r="M36" s="16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1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view="pageBreakPreview" topLeftCell="A4" zoomScale="70" zoomScaleNormal="73" zoomScaleSheetLayoutView="7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2.140625" style="1" hidden="1" customWidth="1"/>
    <col min="15" max="15" width="9.140625" style="1" hidden="1" customWidth="1"/>
    <col min="16" max="16" width="11.42578125" style="1" hidden="1" customWidth="1"/>
    <col min="17" max="18" width="2.42578125" style="1" hidden="1" customWidth="1"/>
    <col min="19" max="19" width="0" style="1" hidden="1" customWidth="1"/>
    <col min="20" max="16384" width="9.140625" style="1"/>
  </cols>
  <sheetData>
    <row r="1" spans="2:17" ht="31.5" x14ac:dyDescent="0.5">
      <c r="B1" s="75">
        <f>'04'!B1+1</f>
        <v>45601</v>
      </c>
    </row>
    <row r="2" spans="2:17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7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7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7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7" ht="15.75" x14ac:dyDescent="0.25">
      <c r="B6" s="22" t="s">
        <v>5</v>
      </c>
      <c r="C6" s="23">
        <f>C16</f>
        <v>1036.8699999999999</v>
      </c>
      <c r="D6" s="2"/>
      <c r="E6" s="84"/>
      <c r="F6" s="24"/>
      <c r="G6" s="43"/>
      <c r="H6" s="8"/>
      <c r="I6" s="8"/>
      <c r="J6" s="2"/>
      <c r="K6" s="24"/>
      <c r="L6" s="9"/>
      <c r="M6" s="16"/>
      <c r="Q6" s="1">
        <f>IF(vend5[[#This Row],[Nº Venda]]&gt;1,1,0)</f>
        <v>0</v>
      </c>
    </row>
    <row r="7" spans="2:17" ht="15.75" x14ac:dyDescent="0.25">
      <c r="B7" s="22" t="s">
        <v>7</v>
      </c>
      <c r="C7" s="23">
        <f>SUM(M6:M11)</f>
        <v>0</v>
      </c>
      <c r="D7" s="2"/>
      <c r="E7" s="84"/>
      <c r="F7" s="24"/>
      <c r="G7" s="43"/>
      <c r="H7" s="8"/>
      <c r="I7" s="8"/>
      <c r="J7" s="2"/>
      <c r="K7" s="24"/>
      <c r="L7" s="9"/>
      <c r="M7" s="16"/>
      <c r="Q7" s="1">
        <f>IF(vend5[[#This Row],[Nº Venda]]&gt;1,1,0)</f>
        <v>0</v>
      </c>
    </row>
    <row r="8" spans="2:17" ht="15.75" x14ac:dyDescent="0.25">
      <c r="B8" s="27" t="s">
        <v>35</v>
      </c>
      <c r="C8" s="28">
        <f>SUM(C6:C7)</f>
        <v>1036.8699999999999</v>
      </c>
      <c r="D8" s="2"/>
      <c r="E8" s="84"/>
      <c r="F8" s="24"/>
      <c r="G8" s="43"/>
      <c r="H8" s="8"/>
      <c r="I8" s="8"/>
      <c r="J8" s="2"/>
      <c r="K8" s="24"/>
      <c r="L8" s="9"/>
      <c r="M8" s="16"/>
      <c r="Q8" s="1">
        <f>IF(vend5[[#This Row],[Nº Venda]]&gt;1,1,0)</f>
        <v>0</v>
      </c>
    </row>
    <row r="9" spans="2:17" ht="15.75" x14ac:dyDescent="0.25">
      <c r="B9" s="2"/>
      <c r="C9" s="2"/>
      <c r="D9" s="2"/>
      <c r="E9" s="84"/>
      <c r="F9" s="24"/>
      <c r="G9" s="43"/>
      <c r="H9" s="8"/>
      <c r="I9" s="8"/>
      <c r="J9" s="2"/>
      <c r="K9" s="24"/>
      <c r="L9" s="9"/>
      <c r="M9" s="16"/>
      <c r="Q9" s="1">
        <f>IF(vend5[[#This Row],[Nº Venda]]&gt;1,1,0)</f>
        <v>0</v>
      </c>
    </row>
    <row r="10" spans="2:17" ht="15.75" x14ac:dyDescent="0.25">
      <c r="B10" s="105" t="s">
        <v>12</v>
      </c>
      <c r="C10" s="105"/>
      <c r="D10" s="2"/>
      <c r="E10" s="84"/>
      <c r="F10" s="24"/>
      <c r="G10" s="43"/>
      <c r="H10" s="8"/>
      <c r="I10" s="8"/>
      <c r="J10" s="2"/>
      <c r="K10" s="24"/>
      <c r="L10" s="9"/>
      <c r="M10" s="16"/>
      <c r="Q10" s="1">
        <f>IF(vend5[[#This Row],[Nº Venda]]&gt;1,1,0)</f>
        <v>0</v>
      </c>
    </row>
    <row r="11" spans="2:17" ht="15.75" x14ac:dyDescent="0.25">
      <c r="B11" s="29" t="s">
        <v>14</v>
      </c>
      <c r="C11" s="30">
        <f>(SUMIF($G$2:$G$31,B11,$I$2:$I$31))+(SUMIF($G$35:$G$41,B11,$H$35:$H$41))</f>
        <v>150</v>
      </c>
      <c r="D11" s="2"/>
      <c r="E11" s="84"/>
      <c r="F11" s="24"/>
      <c r="G11" s="43"/>
      <c r="H11" s="8"/>
      <c r="I11" s="8"/>
      <c r="J11" s="2"/>
      <c r="K11" s="26"/>
      <c r="L11" s="9"/>
      <c r="M11" s="16"/>
      <c r="N11" s="1">
        <f>IF(C16=0,0,1)</f>
        <v>1</v>
      </c>
      <c r="Q11" s="1">
        <f>IF(vend5[[#This Row],[Nº Venda]]&gt;1,1,0)</f>
        <v>0</v>
      </c>
    </row>
    <row r="12" spans="2:17" ht="15.75" x14ac:dyDescent="0.25">
      <c r="B12" s="29" t="s">
        <v>16</v>
      </c>
      <c r="C12" s="30">
        <f t="shared" ref="C12:C15" si="0">(SUMIF($G$2:$G$31,B12,$I$2:$I$31))+(SUMIF($G$35:$G$41,B12,$H$35:$H$41))</f>
        <v>287.5</v>
      </c>
      <c r="D12" s="2"/>
      <c r="E12" s="84"/>
      <c r="F12" s="24"/>
      <c r="G12" s="25"/>
      <c r="H12" s="8"/>
      <c r="I12" s="8"/>
      <c r="J12" s="2"/>
      <c r="Q12" s="1">
        <f>IF(vend5[[#This Row],[Nº Venda]]&gt;1,1,0)</f>
        <v>0</v>
      </c>
    </row>
    <row r="13" spans="2:17" ht="15.75" x14ac:dyDescent="0.25">
      <c r="B13" s="29" t="s">
        <v>18</v>
      </c>
      <c r="C13" s="30">
        <f t="shared" si="0"/>
        <v>192.5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Q13" s="1">
        <f>IF(vend5[[#This Row],[Nº Venda]]&gt;1,1,0)</f>
        <v>0</v>
      </c>
    </row>
    <row r="14" spans="2:17" ht="15.75" x14ac:dyDescent="0.25">
      <c r="B14" s="29" t="s">
        <v>20</v>
      </c>
      <c r="C14" s="30">
        <f t="shared" si="0"/>
        <v>0</v>
      </c>
      <c r="D14" s="2"/>
      <c r="E14" s="84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Q14" s="1">
        <f>IF(vend5[[#This Row],[Nº Venda]]&gt;1,1,0)</f>
        <v>0</v>
      </c>
    </row>
    <row r="15" spans="2:17" ht="15.75" x14ac:dyDescent="0.25">
      <c r="B15" s="29" t="s">
        <v>22</v>
      </c>
      <c r="C15" s="30">
        <f t="shared" si="0"/>
        <v>406.87</v>
      </c>
      <c r="D15" s="2"/>
      <c r="E15" s="84"/>
      <c r="F15" s="24"/>
      <c r="G15" s="25"/>
      <c r="H15" s="8"/>
      <c r="I15" s="8"/>
      <c r="J15" s="2"/>
      <c r="K15" s="92">
        <v>4518</v>
      </c>
      <c r="L15" s="9" t="s">
        <v>10</v>
      </c>
      <c r="M15" s="58" t="s">
        <v>63</v>
      </c>
      <c r="Q15" s="1">
        <f>IF(vend5[[#This Row],[Nº Venda]]&gt;1,1,0)</f>
        <v>0</v>
      </c>
    </row>
    <row r="16" spans="2:17" ht="15.75" x14ac:dyDescent="0.25">
      <c r="B16" s="27" t="s">
        <v>24</v>
      </c>
      <c r="C16" s="31">
        <f>SUM(C11:C15)</f>
        <v>1036.8699999999999</v>
      </c>
      <c r="D16" s="2"/>
      <c r="E16" s="84"/>
      <c r="F16" s="24"/>
      <c r="G16" s="25"/>
      <c r="H16" s="8"/>
      <c r="I16" s="8"/>
      <c r="J16" s="2"/>
      <c r="K16" s="92">
        <v>4544</v>
      </c>
      <c r="L16" s="9" t="s">
        <v>15</v>
      </c>
      <c r="M16" s="57" t="s">
        <v>63</v>
      </c>
      <c r="Q16" s="1">
        <f>IF(vend5[[#This Row],[Nº Venda]]&gt;1,1,0)</f>
        <v>0</v>
      </c>
    </row>
    <row r="17" spans="2:17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/>
      <c r="L17" s="9"/>
      <c r="M17" s="16"/>
      <c r="Q17" s="1">
        <f>IF(vend5[[#This Row],[Nº Venda]]&gt;1,1,0)</f>
        <v>0</v>
      </c>
    </row>
    <row r="18" spans="2:17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Q18" s="1">
        <f>IF(vend5[[#This Row],[Nº Venda]]&gt;1,1,0)</f>
        <v>0</v>
      </c>
    </row>
    <row r="19" spans="2:17" ht="15.75" x14ac:dyDescent="0.25">
      <c r="B19" s="29">
        <f>COUNT(entr_carn5[OS])</f>
        <v>2</v>
      </c>
      <c r="C19" s="30">
        <f>SUM(entr_carn5[Valor Total])</f>
        <v>1699.99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Q19" s="1">
        <f>IF(vend5[[#This Row],[Nº Venda]]&gt;1,1,0)</f>
        <v>0</v>
      </c>
    </row>
    <row r="20" spans="2:17" ht="15.75" x14ac:dyDescent="0.25">
      <c r="B20" s="27" t="s">
        <v>24</v>
      </c>
      <c r="C20" s="31">
        <f>SUM(C19:C19)</f>
        <v>1699.99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Q20" s="1">
        <f>IF(vend5[[#This Row],[Nº Venda]]&gt;1,1,0)</f>
        <v>0</v>
      </c>
    </row>
    <row r="21" spans="2:17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7" ht="15.75" x14ac:dyDescent="0.25">
      <c r="B22" s="27" t="s">
        <v>42</v>
      </c>
      <c r="C22" s="31">
        <f>C5</f>
        <v>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7" ht="15" x14ac:dyDescent="0.25">
      <c r="B23" s="2"/>
      <c r="C23" s="2"/>
      <c r="D23" s="2"/>
      <c r="E23" s="97"/>
      <c r="F23" s="98"/>
      <c r="G23" s="98"/>
      <c r="H23" s="99"/>
      <c r="I23" s="100"/>
      <c r="J23" s="2"/>
      <c r="K23" s="92"/>
      <c r="L23" s="9"/>
      <c r="M23" s="16"/>
    </row>
    <row r="24" spans="2:17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7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7" ht="15.75" x14ac:dyDescent="0.25">
      <c r="B26" s="2"/>
      <c r="C26" s="2"/>
      <c r="D26" s="2"/>
      <c r="E26" s="84">
        <v>4544</v>
      </c>
      <c r="F26" s="24" t="s">
        <v>64</v>
      </c>
      <c r="G26" s="43" t="s">
        <v>14</v>
      </c>
      <c r="H26" s="8"/>
      <c r="I26" s="8">
        <v>40</v>
      </c>
      <c r="J26" s="2"/>
      <c r="K26" s="92"/>
      <c r="L26" s="9"/>
      <c r="M26" s="16"/>
    </row>
    <row r="27" spans="2:17" ht="15.75" x14ac:dyDescent="0.25">
      <c r="B27" s="2"/>
      <c r="C27" s="2"/>
      <c r="D27" s="2"/>
      <c r="E27" s="84">
        <v>4544</v>
      </c>
      <c r="F27" s="24" t="s">
        <v>64</v>
      </c>
      <c r="G27" s="43" t="s">
        <v>18</v>
      </c>
      <c r="H27" s="8"/>
      <c r="I27" s="8">
        <v>166</v>
      </c>
      <c r="J27" s="2"/>
      <c r="K27" s="92"/>
      <c r="L27" s="9"/>
      <c r="M27" s="16"/>
    </row>
    <row r="28" spans="2:17" ht="15.75" x14ac:dyDescent="0.25">
      <c r="B28" s="2"/>
      <c r="C28" s="2"/>
      <c r="D28" s="2"/>
      <c r="E28" s="84">
        <v>4544</v>
      </c>
      <c r="F28" s="24" t="s">
        <v>64</v>
      </c>
      <c r="G28" s="43" t="s">
        <v>18</v>
      </c>
      <c r="H28" s="8"/>
      <c r="I28" s="8">
        <v>26.5</v>
      </c>
      <c r="J28" s="2"/>
      <c r="K28" s="92"/>
      <c r="L28" s="9"/>
      <c r="M28" s="16"/>
    </row>
    <row r="29" spans="2:17" ht="15.75" x14ac:dyDescent="0.25">
      <c r="B29" s="2"/>
      <c r="C29" s="2"/>
      <c r="D29" s="2"/>
      <c r="E29" s="84">
        <v>4544</v>
      </c>
      <c r="F29" s="24" t="s">
        <v>64</v>
      </c>
      <c r="G29" s="25" t="s">
        <v>16</v>
      </c>
      <c r="H29" s="8"/>
      <c r="I29" s="8">
        <v>17.5</v>
      </c>
      <c r="J29" s="2"/>
      <c r="K29" s="92"/>
      <c r="L29" s="9"/>
      <c r="M29" s="16"/>
    </row>
    <row r="30" spans="2:17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7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7" ht="15" x14ac:dyDescent="0.25">
      <c r="B32" s="2"/>
      <c r="C32" s="2"/>
      <c r="E32" s="97"/>
      <c r="F32" s="98"/>
      <c r="G32" s="98"/>
      <c r="H32" s="100"/>
      <c r="I32" s="100"/>
    </row>
    <row r="33" spans="2:17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7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7" ht="15.75" x14ac:dyDescent="0.25">
      <c r="E35" s="84">
        <v>4527</v>
      </c>
      <c r="F35" s="24" t="s">
        <v>65</v>
      </c>
      <c r="G35" s="25" t="s">
        <v>14</v>
      </c>
      <c r="H35" s="8">
        <v>110</v>
      </c>
      <c r="I35" s="8" t="s">
        <v>66</v>
      </c>
      <c r="K35" s="92">
        <v>4518</v>
      </c>
      <c r="L35" s="94">
        <v>5</v>
      </c>
      <c r="M35" s="16">
        <v>1000</v>
      </c>
    </row>
    <row r="36" spans="2:17" ht="15.75" x14ac:dyDescent="0.25">
      <c r="E36" s="91">
        <v>4355</v>
      </c>
      <c r="F36" s="24" t="s">
        <v>67</v>
      </c>
      <c r="G36" s="25" t="s">
        <v>22</v>
      </c>
      <c r="H36" s="8">
        <v>157</v>
      </c>
      <c r="I36" s="8" t="s">
        <v>68</v>
      </c>
      <c r="K36" s="92">
        <v>4544</v>
      </c>
      <c r="L36" s="40">
        <v>5</v>
      </c>
      <c r="M36" s="16">
        <v>699.99</v>
      </c>
    </row>
    <row r="37" spans="2:17" ht="15.75" x14ac:dyDescent="0.25">
      <c r="E37" s="95">
        <v>4519</v>
      </c>
      <c r="F37" s="24" t="s">
        <v>69</v>
      </c>
      <c r="G37" s="25" t="s">
        <v>16</v>
      </c>
      <c r="H37" s="8">
        <v>137</v>
      </c>
      <c r="I37" s="8" t="s">
        <v>70</v>
      </c>
      <c r="K37" s="92"/>
      <c r="L37" s="40"/>
      <c r="M37" s="16"/>
    </row>
    <row r="38" spans="2:17" ht="15.75" x14ac:dyDescent="0.25">
      <c r="E38" s="84">
        <v>4166</v>
      </c>
      <c r="F38" s="24" t="s">
        <v>69</v>
      </c>
      <c r="G38" s="25" t="s">
        <v>16</v>
      </c>
      <c r="H38" s="8">
        <v>133</v>
      </c>
      <c r="I38" s="8" t="s">
        <v>53</v>
      </c>
      <c r="K38" s="92"/>
      <c r="L38" s="40"/>
      <c r="M38" s="16"/>
    </row>
    <row r="39" spans="2:17" ht="15.75" x14ac:dyDescent="0.25">
      <c r="E39" s="84">
        <v>4147</v>
      </c>
      <c r="F39" s="38" t="s">
        <v>71</v>
      </c>
      <c r="G39" s="25" t="s">
        <v>22</v>
      </c>
      <c r="H39" s="8">
        <v>187.37</v>
      </c>
      <c r="I39" s="8" t="s">
        <v>70</v>
      </c>
      <c r="K39" s="92"/>
      <c r="L39" s="40"/>
      <c r="M39" s="16"/>
    </row>
    <row r="40" spans="2:17" ht="15.75" x14ac:dyDescent="0.25">
      <c r="E40" s="86">
        <v>4144</v>
      </c>
      <c r="F40" s="35" t="s">
        <v>72</v>
      </c>
      <c r="G40" s="36" t="s">
        <v>22</v>
      </c>
      <c r="H40" s="17">
        <v>62.5</v>
      </c>
      <c r="I40" s="8" t="s">
        <v>70</v>
      </c>
      <c r="K40" s="93"/>
      <c r="L40" s="41"/>
      <c r="M40" s="39"/>
      <c r="P40" s="1" t="s">
        <v>54</v>
      </c>
      <c r="Q40" s="1">
        <f>SUM(Q6:Q21)</f>
        <v>0</v>
      </c>
    </row>
    <row r="41" spans="2:17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7:M31" xr:uid="{5F91EB2E-234E-45A9-80A1-E7D0A7E98ABE}">
      <formula1>"Sim, Não"</formula1>
    </dataValidation>
    <dataValidation type="list" allowBlank="1" showInputMessage="1" showErrorMessage="1" sqref="L36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view="pageBreakPreview" topLeftCell="A4" zoomScale="6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7" style="1" bestFit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'05'!B1+1</f>
        <v>45602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249.5</v>
      </c>
      <c r="D6" s="2"/>
      <c r="E6" s="84"/>
      <c r="F6" s="24"/>
      <c r="G6" s="25"/>
      <c r="H6" s="8"/>
      <c r="I6" s="8"/>
      <c r="J6" s="2"/>
      <c r="K6" s="24"/>
      <c r="L6" s="9"/>
      <c r="M6" s="16"/>
      <c r="R6" s="1">
        <f>IF(vend[[#This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84"/>
      <c r="F7" s="24"/>
      <c r="G7" s="25"/>
      <c r="H7" s="8"/>
      <c r="I7" s="8"/>
      <c r="J7" s="2"/>
      <c r="K7" s="24"/>
      <c r="L7" s="9"/>
      <c r="M7" s="16"/>
      <c r="R7" s="1">
        <f>IF(vend[[#This Row],[Nº Venda]]&gt;1,1,0)</f>
        <v>0</v>
      </c>
    </row>
    <row r="8" spans="2:18" ht="15.75" x14ac:dyDescent="0.25">
      <c r="B8" s="27" t="s">
        <v>35</v>
      </c>
      <c r="C8" s="28">
        <f>SUM(C6:C7)</f>
        <v>249.5</v>
      </c>
      <c r="D8" s="2"/>
      <c r="E8" s="84"/>
      <c r="F8" s="24"/>
      <c r="G8" s="25"/>
      <c r="H8" s="8"/>
      <c r="I8" s="8"/>
      <c r="J8" s="2"/>
      <c r="K8" s="24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52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14</v>
      </c>
      <c r="C11" s="74">
        <f>(SUMIF($G$2:$G$31,B11,$I$2:$I$31))+(SUMIF($G$35:$G$41,B11,$H$35:$H$41))</f>
        <v>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29" t="s">
        <v>16</v>
      </c>
      <c r="C12" s="74">
        <f>(SUMIF($G$2:$G$31,B12,$I$2:$I$31))+(SUMIF($G$35:$G$41,B12,$H$35:$H$41))</f>
        <v>159.5</v>
      </c>
      <c r="D12" s="2"/>
      <c r="E12" s="84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18</v>
      </c>
      <c r="C13" s="74">
        <f>(SUMIF($G$2:$G$31,B13,$I$2:$I$31))+(SUMIF($G$35:$G$41,B13,$H$35:$H$41))</f>
        <v>0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IF(vend[[#This Row],[Nº Venda]]&gt;1,1,0)</f>
        <v>0</v>
      </c>
    </row>
    <row r="14" spans="2:18" ht="15.75" x14ac:dyDescent="0.25">
      <c r="B14" s="29" t="s">
        <v>20</v>
      </c>
      <c r="C14" s="74">
        <f>(SUMIF($G$2:$G$31,B14,$I$2:$I$31))+(SUMIF($G$35:$G$41,B14,$H$35:$H$41))</f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IF(vend[[#This Row],[Nº Venda]]&gt;1,1,0)</f>
        <v>0</v>
      </c>
    </row>
    <row r="15" spans="2:18" ht="15.75" x14ac:dyDescent="0.25">
      <c r="B15" s="29" t="s">
        <v>22</v>
      </c>
      <c r="C15" s="74">
        <f>(SUMIF($G$2:$G$31,B15,$I$2:$I$31))+(SUMIF($G$35:$G$41,B15,$H$35:$H$41))</f>
        <v>90</v>
      </c>
      <c r="D15" s="2"/>
      <c r="E15" s="84"/>
      <c r="F15" s="24"/>
      <c r="G15" s="25"/>
      <c r="H15" s="8"/>
      <c r="I15" s="8"/>
      <c r="J15" s="2"/>
      <c r="K15" s="92">
        <v>4610</v>
      </c>
      <c r="L15" s="9" t="s">
        <v>17</v>
      </c>
      <c r="M15" s="16" t="s">
        <v>41</v>
      </c>
      <c r="R15" s="1">
        <f>IF(vend[[#This Row],[Nº Venda]]&gt;1,1,0)</f>
        <v>0</v>
      </c>
    </row>
    <row r="16" spans="2:18" ht="15.75" x14ac:dyDescent="0.25">
      <c r="B16" s="27" t="s">
        <v>24</v>
      </c>
      <c r="C16" s="31">
        <f>SUM(C11:C15)</f>
        <v>249.5</v>
      </c>
      <c r="D16" s="2"/>
      <c r="E16" s="84"/>
      <c r="F16" s="24"/>
      <c r="G16" s="25"/>
      <c r="H16" s="8"/>
      <c r="I16" s="8"/>
      <c r="J16" s="2"/>
      <c r="K16" s="92">
        <v>4619</v>
      </c>
      <c r="L16" s="9" t="s">
        <v>10</v>
      </c>
      <c r="M16" s="16" t="s">
        <v>41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/>
      <c r="L17" s="9"/>
      <c r="M17" s="16"/>
      <c r="R17" s="1">
        <f>IF(vend[[#This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IF(vend[[#This Row],[Nº Venda]]&gt;1,1,0)</f>
        <v>0</v>
      </c>
    </row>
    <row r="19" spans="2:18" ht="15.75" x14ac:dyDescent="0.25">
      <c r="B19" s="29">
        <f>COUNT(entr_carn6[OS])</f>
        <v>2</v>
      </c>
      <c r="C19" s="30">
        <f>SUM(entr_carn6[Valor Total])</f>
        <v>559.5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24</v>
      </c>
      <c r="C20" s="31">
        <f>SUM(C19:C19)</f>
        <v>559.5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>
        <v>4610</v>
      </c>
      <c r="F26" s="24" t="s">
        <v>73</v>
      </c>
      <c r="G26" s="25" t="s">
        <v>16</v>
      </c>
      <c r="H26" s="8"/>
      <c r="I26" s="8">
        <v>159.5</v>
      </c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25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>
        <v>4502</v>
      </c>
      <c r="F35" s="24" t="s">
        <v>74</v>
      </c>
      <c r="G35" s="25" t="s">
        <v>22</v>
      </c>
      <c r="H35" s="8">
        <v>90</v>
      </c>
      <c r="I35" s="8" t="s">
        <v>75</v>
      </c>
      <c r="K35" s="92">
        <v>4610</v>
      </c>
      <c r="L35" s="40">
        <v>2</v>
      </c>
      <c r="M35" s="16">
        <v>199.5</v>
      </c>
    </row>
    <row r="36" spans="2:18" ht="15.75" x14ac:dyDescent="0.25">
      <c r="E36" s="88"/>
      <c r="F36" s="24"/>
      <c r="G36" s="25"/>
      <c r="H36" s="8"/>
      <c r="I36" s="8"/>
      <c r="K36" s="92">
        <v>4619</v>
      </c>
      <c r="L36" s="40">
        <v>3</v>
      </c>
      <c r="M36" s="16">
        <v>360</v>
      </c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0</v>
      </c>
    </row>
    <row r="41" spans="2:18" ht="15.75" x14ac:dyDescent="0.25">
      <c r="E41" s="89"/>
      <c r="F41" s="38"/>
      <c r="G41" s="25"/>
      <c r="H41" s="8"/>
      <c r="I41" s="8"/>
      <c r="K41" s="92"/>
      <c r="L41" s="40"/>
      <c r="M41" s="39"/>
    </row>
    <row r="42" spans="2:18" x14ac:dyDescent="0.2">
      <c r="F42" s="83"/>
      <c r="G42" s="83"/>
      <c r="H42" s="82"/>
      <c r="I42" s="8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view="pageBreakPreview" topLeftCell="A6" zoomScale="6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9.140625" style="1" bestFit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75">
        <f>'06'!B1+1</f>
        <v>45603</v>
      </c>
    </row>
    <row r="2" spans="2:21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  <c r="U4" s="1">
        <v>0</v>
      </c>
    </row>
    <row r="5" spans="2:21" ht="15" x14ac:dyDescent="0.25">
      <c r="B5" s="22" t="s">
        <v>3</v>
      </c>
      <c r="C5" s="23">
        <f>SUMIF(I6:I31,"&gt;0",H6:H31)</f>
        <v>450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21" ht="15.75" x14ac:dyDescent="0.25">
      <c r="B6" s="22" t="s">
        <v>5</v>
      </c>
      <c r="C6" s="23">
        <f>C16</f>
        <v>1086.3699999999999</v>
      </c>
      <c r="D6" s="2"/>
      <c r="E6" s="84">
        <v>4626</v>
      </c>
      <c r="F6" s="102" t="s">
        <v>76</v>
      </c>
      <c r="G6" s="102" t="s">
        <v>22</v>
      </c>
      <c r="H6" s="103">
        <v>225</v>
      </c>
      <c r="I6" s="103">
        <v>25</v>
      </c>
      <c r="J6" s="2"/>
      <c r="K6" s="24"/>
      <c r="L6" s="9"/>
      <c r="M6" s="16"/>
      <c r="R6" s="1">
        <f>IF(vend7[[#This Row],[Nº Venda]]&gt;1,1,0)</f>
        <v>1</v>
      </c>
    </row>
    <row r="7" spans="2:21" ht="15.75" x14ac:dyDescent="0.25">
      <c r="B7" s="22" t="s">
        <v>7</v>
      </c>
      <c r="C7" s="23">
        <f>SUM(M6:M11)</f>
        <v>0</v>
      </c>
      <c r="D7" s="2"/>
      <c r="E7" s="84">
        <v>4627</v>
      </c>
      <c r="F7" s="101" t="s">
        <v>77</v>
      </c>
      <c r="G7" s="101" t="s">
        <v>22</v>
      </c>
      <c r="H7" s="62">
        <v>225</v>
      </c>
      <c r="I7" s="62">
        <v>25</v>
      </c>
      <c r="J7" s="2"/>
      <c r="K7" s="24"/>
      <c r="L7" s="9"/>
      <c r="M7" s="16"/>
      <c r="R7" s="1">
        <f>IF(vend7[[#This Row],[Nº Venda]]&gt;1,1,0)</f>
        <v>1</v>
      </c>
    </row>
    <row r="8" spans="2:21" ht="15.75" x14ac:dyDescent="0.25">
      <c r="B8" s="27" t="s">
        <v>35</v>
      </c>
      <c r="C8" s="28">
        <f>SUM(C6:C7)</f>
        <v>1086.3699999999999</v>
      </c>
      <c r="D8" s="2"/>
      <c r="E8" s="84"/>
      <c r="F8" s="24"/>
      <c r="G8" s="25"/>
      <c r="H8" s="8"/>
      <c r="I8" s="8"/>
      <c r="J8" s="2"/>
      <c r="K8" s="24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IF(vend7[[#This Row],[Nº Venda]]&gt;1,1,0)</f>
        <v>0</v>
      </c>
    </row>
    <row r="10" spans="2:21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IF(vend7[[#This Row],[Nº Venda]]&gt;1,1,0)</f>
        <v>0</v>
      </c>
    </row>
    <row r="11" spans="2:21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21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84"/>
      <c r="F12" s="24"/>
      <c r="G12" s="25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29" t="s">
        <v>18</v>
      </c>
      <c r="C13" s="30">
        <f t="shared" si="0"/>
        <v>989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IF(vend7[[#This Row],[Nº Venda]]&gt;1,1,0)</f>
        <v>0</v>
      </c>
    </row>
    <row r="14" spans="2:21" ht="15.75" x14ac:dyDescent="0.25">
      <c r="B14" s="29" t="s">
        <v>20</v>
      </c>
      <c r="C14" s="30">
        <f t="shared" si="0"/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IF(vend7[[#This Row],[Nº Venda]]&gt;1,1,0)</f>
        <v>0</v>
      </c>
    </row>
    <row r="15" spans="2:21" ht="15.75" x14ac:dyDescent="0.25">
      <c r="B15" s="29" t="s">
        <v>22</v>
      </c>
      <c r="C15" s="30">
        <f t="shared" si="0"/>
        <v>97.37</v>
      </c>
      <c r="D15" s="2"/>
      <c r="E15" s="84"/>
      <c r="F15" s="24"/>
      <c r="G15" s="25"/>
      <c r="H15" s="8"/>
      <c r="I15" s="8"/>
      <c r="J15" s="2"/>
      <c r="K15" s="92">
        <v>4502</v>
      </c>
      <c r="L15" s="9" t="s">
        <v>10</v>
      </c>
      <c r="M15" s="45" t="s">
        <v>40</v>
      </c>
      <c r="R15" s="1">
        <f>IF(vend7[[#This Row],[Nº Venda]]&gt;1,1,0)</f>
        <v>0</v>
      </c>
    </row>
    <row r="16" spans="2:21" ht="15.75" x14ac:dyDescent="0.25">
      <c r="B16" s="27" t="s">
        <v>24</v>
      </c>
      <c r="C16" s="31">
        <f>SUM(C11:C15)</f>
        <v>1086.3699999999999</v>
      </c>
      <c r="D16" s="2"/>
      <c r="E16" s="84"/>
      <c r="F16" s="24"/>
      <c r="G16" s="25"/>
      <c r="H16" s="8"/>
      <c r="I16" s="8"/>
      <c r="J16" s="2"/>
      <c r="K16" s="92">
        <v>4516</v>
      </c>
      <c r="L16" s="9" t="s">
        <v>10</v>
      </c>
      <c r="M16" s="16" t="s">
        <v>40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>
        <v>4614</v>
      </c>
      <c r="L17" s="9" t="s">
        <v>10</v>
      </c>
      <c r="M17" s="16" t="s">
        <v>40</v>
      </c>
      <c r="R17" s="1">
        <f>IF(vend7[[#This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IF(vend7[[#This Row],[Nº Venda]]&gt;1,1,0)</f>
        <v>0</v>
      </c>
    </row>
    <row r="19" spans="2:18" ht="15.75" x14ac:dyDescent="0.25">
      <c r="B19" s="29">
        <f>COUNT(entr_carn7[OS])</f>
        <v>0</v>
      </c>
      <c r="C19" s="30">
        <f>SUM(entr_carn7[Valor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IF(vend7[[#This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450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>
        <v>4516</v>
      </c>
      <c r="F26" s="54" t="s">
        <v>78</v>
      </c>
      <c r="G26" s="67" t="s">
        <v>18</v>
      </c>
      <c r="H26" s="68"/>
      <c r="I26" s="68">
        <v>989</v>
      </c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25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>
        <v>4730</v>
      </c>
      <c r="F35" s="24" t="s">
        <v>79</v>
      </c>
      <c r="G35" s="25" t="s">
        <v>22</v>
      </c>
      <c r="H35" s="8">
        <v>47.37</v>
      </c>
      <c r="I35" s="8" t="s">
        <v>70</v>
      </c>
      <c r="K35" s="92"/>
      <c r="L35" s="40"/>
      <c r="M35" s="16"/>
    </row>
    <row r="36" spans="2:18" ht="15.75" x14ac:dyDescent="0.25">
      <c r="E36" s="88"/>
      <c r="F36" s="24"/>
      <c r="G36" s="25"/>
      <c r="H36" s="8"/>
      <c r="I36" s="8"/>
      <c r="K36" s="92"/>
      <c r="L36" s="40"/>
      <c r="M36" s="16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2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view="pageBreakPreview" topLeftCell="B2" zoomScale="60" zoomScaleNormal="90" workbookViewId="0">
      <selection activeCell="H14" sqref="H14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9.7109375" style="1" bestFit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5">
        <f>'07'!B1+1</f>
        <v>45604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3640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SUM(I6:I41)</f>
        <v>869</v>
      </c>
      <c r="D6" s="2"/>
      <c r="E6" s="84">
        <v>4628</v>
      </c>
      <c r="F6" s="8" t="s">
        <v>80</v>
      </c>
      <c r="G6" s="8" t="s">
        <v>22</v>
      </c>
      <c r="H6" s="8">
        <v>1290</v>
      </c>
      <c r="I6" s="8">
        <v>100</v>
      </c>
      <c r="J6" s="2"/>
      <c r="K6" s="24"/>
      <c r="L6" s="9"/>
      <c r="M6" s="16"/>
      <c r="R6" s="1">
        <f>IF(vend8[[#This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84">
        <v>4629</v>
      </c>
      <c r="F7" s="8" t="s">
        <v>81</v>
      </c>
      <c r="G7" s="8" t="s">
        <v>16</v>
      </c>
      <c r="H7" s="8">
        <v>2350</v>
      </c>
      <c r="I7" s="8">
        <v>200</v>
      </c>
      <c r="J7" s="2"/>
      <c r="K7" s="24"/>
      <c r="L7" s="9"/>
      <c r="M7" s="16"/>
      <c r="R7" s="1">
        <f>IF(vend8[[#This Row],[Nº Venda]]&gt;1,1,0)</f>
        <v>1</v>
      </c>
    </row>
    <row r="8" spans="2:18" ht="15.75" x14ac:dyDescent="0.25">
      <c r="B8" s="27" t="s">
        <v>35</v>
      </c>
      <c r="C8" s="28">
        <f>SUM(C6:C7)</f>
        <v>869</v>
      </c>
      <c r="D8" s="2"/>
      <c r="E8" s="84"/>
      <c r="F8" s="8"/>
      <c r="G8" s="8"/>
      <c r="H8" s="8"/>
      <c r="I8" s="8"/>
      <c r="J8" s="2"/>
      <c r="K8" s="24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84"/>
      <c r="F9" s="8"/>
      <c r="G9" s="8"/>
      <c r="H9" s="8"/>
      <c r="I9" s="8"/>
      <c r="J9" s="2"/>
      <c r="K9" s="24"/>
      <c r="L9" s="9"/>
      <c r="M9" s="16"/>
      <c r="R9" s="1">
        <f>IF(vend8[[#This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IF(vend8[[#This Row],[Nº Venda]]&gt;1,1,0)</f>
        <v>0</v>
      </c>
    </row>
    <row r="11" spans="2:18" ht="15.75" x14ac:dyDescent="0.25">
      <c r="B11" s="29" t="s">
        <v>14</v>
      </c>
      <c r="C11" s="74">
        <f>(SUMIF($G$2:$G$31,B11,$I$2:$I$31))+(SUMIF($G$35:$G$42,B11,$H$35:$H$42))</f>
        <v>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29" t="s">
        <v>16</v>
      </c>
      <c r="C12" s="74">
        <f>(SUMIF($G$2:$G$31,B12,$I$2:$I$31))+(SUMIF($G$35:$G$42,B12,$H$35:$H$42))</f>
        <v>200</v>
      </c>
      <c r="D12" s="2"/>
      <c r="E12" s="84"/>
      <c r="F12" s="24"/>
      <c r="G12" s="25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29" t="s">
        <v>18</v>
      </c>
      <c r="C13" s="74">
        <f>(SUMIF($G$2:$G$31,B13,$I$2:$I$31))+(SUMIF($G$35:$G$42,B13,$H$35:$H$42))</f>
        <v>569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IF(vend8[[#This Row],[Nº Venda]]&gt;1,1,0)</f>
        <v>0</v>
      </c>
    </row>
    <row r="14" spans="2:18" ht="15.75" x14ac:dyDescent="0.25">
      <c r="B14" s="29" t="s">
        <v>20</v>
      </c>
      <c r="C14" s="74">
        <f>(SUMIF($G$2:$G$31,B14,$I$2:$I$31))+(SUMIF($G$35:$G$42,B14,$H$35:$H$42))</f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IF(vend8[[#This Row],[Nº Venda]]&gt;1,1,0)</f>
        <v>0</v>
      </c>
    </row>
    <row r="15" spans="2:18" ht="15.75" x14ac:dyDescent="0.25">
      <c r="B15" s="29" t="s">
        <v>22</v>
      </c>
      <c r="C15" s="74">
        <f>(SUMIF($G$2:$G$31,B15,$I$2:$I$31))+(SUMIF($G$35:$G$42,B15,$H$35:$H$42))</f>
        <v>100</v>
      </c>
      <c r="D15" s="2"/>
      <c r="E15" s="84"/>
      <c r="F15" s="24"/>
      <c r="G15" s="25"/>
      <c r="H15" s="8"/>
      <c r="I15" s="8"/>
      <c r="J15" s="2"/>
      <c r="K15" s="92">
        <v>4542</v>
      </c>
      <c r="L15" s="9" t="s">
        <v>17</v>
      </c>
      <c r="M15" s="16" t="s">
        <v>40</v>
      </c>
      <c r="R15" s="1">
        <f>IF(vend8[[#This Row],[Nº Venda]]&gt;1,1,0)</f>
        <v>0</v>
      </c>
    </row>
    <row r="16" spans="2:18" ht="15.75" x14ac:dyDescent="0.25">
      <c r="B16" s="27" t="s">
        <v>24</v>
      </c>
      <c r="C16" s="31">
        <f>SUM(C11:C15)</f>
        <v>869</v>
      </c>
      <c r="D16" s="2"/>
      <c r="E16" s="84"/>
      <c r="F16" s="24"/>
      <c r="G16" s="25"/>
      <c r="H16" s="8"/>
      <c r="I16" s="8"/>
      <c r="J16" s="2"/>
      <c r="K16" s="92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/>
      <c r="L17" s="9"/>
      <c r="M17" s="16"/>
      <c r="R17" s="1">
        <f>IF(vend8[[#This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IF(vend8[[#This Row],[Nº Venda]]&gt;1,1,0)</f>
        <v>0</v>
      </c>
    </row>
    <row r="19" spans="2:18" ht="15.75" x14ac:dyDescent="0.25">
      <c r="B19" s="29">
        <f>COUNT(entr_carn8[OS])</f>
        <v>0</v>
      </c>
      <c r="C19" s="30">
        <f>SUM(entr_carn8[Valor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3640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>
        <v>4542</v>
      </c>
      <c r="F26" s="76" t="s">
        <v>82</v>
      </c>
      <c r="G26" s="77" t="s">
        <v>18</v>
      </c>
      <c r="H26" s="78"/>
      <c r="I26" s="78">
        <v>569</v>
      </c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43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43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43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24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/>
      <c r="F35" s="24"/>
      <c r="G35" s="25"/>
      <c r="H35" s="8"/>
      <c r="I35" s="8"/>
      <c r="K35" s="92"/>
      <c r="L35" s="40"/>
      <c r="M35" s="16"/>
    </row>
    <row r="36" spans="2:18" ht="15.75" x14ac:dyDescent="0.25">
      <c r="E36" s="88"/>
      <c r="F36" s="24"/>
      <c r="G36" s="25"/>
      <c r="H36" s="8"/>
      <c r="I36" s="8"/>
      <c r="K36" s="92"/>
      <c r="L36" s="40"/>
      <c r="M36" s="16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2</v>
      </c>
    </row>
    <row r="41" spans="2:18" ht="15.75" x14ac:dyDescent="0.25">
      <c r="E41" s="89"/>
      <c r="F41" s="38"/>
      <c r="G41" s="25"/>
      <c r="H41" s="8"/>
      <c r="I41" s="8"/>
      <c r="K41" s="92"/>
      <c r="L41" s="40"/>
      <c r="M41" s="39"/>
    </row>
    <row r="42" spans="2:18" ht="15.75" x14ac:dyDescent="0.25">
      <c r="E42" s="34"/>
      <c r="F42" s="71"/>
      <c r="G42" s="72"/>
      <c r="H42" s="73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view="pageBreakPreview" topLeftCell="A8" zoomScale="60" zoomScaleNormal="90" workbookViewId="0">
      <selection activeCell="G17" sqref="G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9.140625" style="1" bestFit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1">
        <f>'08'!B1+1</f>
        <v>45605</v>
      </c>
    </row>
    <row r="2" spans="2:22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22" ht="15" x14ac:dyDescent="0.25">
      <c r="B5" s="22" t="s">
        <v>3</v>
      </c>
      <c r="C5" s="23">
        <f>SUMIF(I6:I31,"&gt;0",H6:H31)</f>
        <v>1600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22" ht="15.75" x14ac:dyDescent="0.25">
      <c r="B6" s="22" t="s">
        <v>5</v>
      </c>
      <c r="C6" s="23">
        <f>C16</f>
        <v>1018</v>
      </c>
      <c r="D6" s="2"/>
      <c r="E6" s="84">
        <v>4630</v>
      </c>
      <c r="F6" s="24" t="s">
        <v>83</v>
      </c>
      <c r="G6" s="43" t="s">
        <v>22</v>
      </c>
      <c r="H6" s="8">
        <v>800</v>
      </c>
      <c r="I6" s="8">
        <v>200</v>
      </c>
      <c r="J6" s="2"/>
      <c r="K6" s="24"/>
      <c r="L6" s="9"/>
      <c r="M6" s="16"/>
      <c r="R6" s="1">
        <f>IF(vend9[[#This Row],[Nº Venda]]&gt;1,1,0)</f>
        <v>1</v>
      </c>
    </row>
    <row r="7" spans="2:22" ht="15.75" x14ac:dyDescent="0.25">
      <c r="B7" s="22" t="s">
        <v>7</v>
      </c>
      <c r="C7" s="23">
        <f>SUM(M6:M11)</f>
        <v>0</v>
      </c>
      <c r="D7" s="2"/>
      <c r="E7" s="84">
        <v>4631</v>
      </c>
      <c r="F7" s="24" t="s">
        <v>84</v>
      </c>
      <c r="G7" s="43" t="s">
        <v>22</v>
      </c>
      <c r="H7" s="8">
        <v>800</v>
      </c>
      <c r="I7" s="8">
        <v>200</v>
      </c>
      <c r="J7" s="2"/>
      <c r="K7" s="24"/>
      <c r="L7" s="9"/>
      <c r="M7" s="16"/>
      <c r="R7" s="1">
        <f>IF(vend9[[#This Row],[Nº Venda]]&gt;1,1,0)</f>
        <v>1</v>
      </c>
    </row>
    <row r="8" spans="2:22" ht="15.75" x14ac:dyDescent="0.25">
      <c r="B8" s="27" t="s">
        <v>35</v>
      </c>
      <c r="C8" s="28">
        <f>SUM(C6:C7)</f>
        <v>1018</v>
      </c>
      <c r="D8" s="2"/>
      <c r="E8" s="84"/>
      <c r="F8" s="24"/>
      <c r="G8" s="25"/>
      <c r="H8" s="8"/>
      <c r="I8" s="8"/>
      <c r="J8" s="2"/>
      <c r="K8" s="24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IF(vend9[[#This Row],[Nº Venda]]&gt;1,1,0)</f>
        <v>0</v>
      </c>
    </row>
    <row r="10" spans="2:22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IF(vend9[[#This Row],[Nº Venda]]&gt;1,1,0)</f>
        <v>0</v>
      </c>
    </row>
    <row r="11" spans="2:22" ht="15.75" x14ac:dyDescent="0.25">
      <c r="B11" s="29" t="s">
        <v>14</v>
      </c>
      <c r="C11" s="30">
        <f>(SUMIF($G$2:$G$31,B11,$I$2:$I$31))+(SUMIF($G$35:$G$41,B11,$H$35:$H$41))</f>
        <v>618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22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84"/>
      <c r="F12" s="24"/>
      <c r="G12" s="25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29" t="s">
        <v>18</v>
      </c>
      <c r="C13" s="30">
        <f t="shared" si="0"/>
        <v>0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IF(vend9[[#This Row],[Nº Venda]]&gt;1,1,0)</f>
        <v>0</v>
      </c>
    </row>
    <row r="14" spans="2:22" ht="15.75" x14ac:dyDescent="0.25">
      <c r="B14" s="29" t="s">
        <v>20</v>
      </c>
      <c r="C14" s="30">
        <f t="shared" si="0"/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IF(vend9[[#This Row],[Nº Venda]]&gt;1,1,0)</f>
        <v>0</v>
      </c>
    </row>
    <row r="15" spans="2:22" ht="15.75" x14ac:dyDescent="0.25">
      <c r="B15" s="29" t="s">
        <v>22</v>
      </c>
      <c r="C15" s="30">
        <f t="shared" si="0"/>
        <v>400</v>
      </c>
      <c r="D15" s="2"/>
      <c r="E15" s="84"/>
      <c r="F15" s="24"/>
      <c r="G15" s="25"/>
      <c r="H15" s="8"/>
      <c r="I15" s="8"/>
      <c r="J15" s="2"/>
      <c r="K15" s="92">
        <v>4605</v>
      </c>
      <c r="L15" s="9" t="s">
        <v>10</v>
      </c>
      <c r="M15" s="16" t="s">
        <v>40</v>
      </c>
      <c r="R15" s="1">
        <f>IF(vend9[[#This Row],[Nº Venda]]&gt;1,1,0)</f>
        <v>0</v>
      </c>
    </row>
    <row r="16" spans="2:22" ht="15.75" x14ac:dyDescent="0.25">
      <c r="B16" s="27" t="s">
        <v>24</v>
      </c>
      <c r="C16" s="31">
        <f>SUM(C11:C15)</f>
        <v>1018</v>
      </c>
      <c r="D16" s="2"/>
      <c r="E16" s="84"/>
      <c r="F16" s="24"/>
      <c r="G16" s="25"/>
      <c r="H16" s="8"/>
      <c r="I16" s="8"/>
      <c r="J16" s="2"/>
      <c r="K16" s="92">
        <v>4606</v>
      </c>
      <c r="L16" s="9" t="s">
        <v>10</v>
      </c>
      <c r="M16" s="16" t="s">
        <v>40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>
        <v>4624</v>
      </c>
      <c r="L17" s="9" t="s">
        <v>10</v>
      </c>
      <c r="M17" s="16" t="s">
        <v>40</v>
      </c>
      <c r="R17" s="1">
        <f>IF(vend9[[#This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IF(vend9[[#This Row],[Nº Venda]]&gt;1,1,0)</f>
        <v>0</v>
      </c>
    </row>
    <row r="19" spans="2:18" ht="15.75" x14ac:dyDescent="0.25">
      <c r="B19" s="29">
        <f>COUNT(entr_carn9[OS])</f>
        <v>0</v>
      </c>
      <c r="C19" s="30">
        <f>SUM(entr_carn9[Valor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IF(vend9[[#This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84"/>
      <c r="F20" s="24"/>
      <c r="G20" s="25"/>
      <c r="H20" s="8"/>
      <c r="I20" s="8"/>
      <c r="J20" s="2"/>
      <c r="K20" s="92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1600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>
        <v>4605</v>
      </c>
      <c r="F26" s="24" t="s">
        <v>85</v>
      </c>
      <c r="G26" s="43" t="s">
        <v>14</v>
      </c>
      <c r="H26" s="8"/>
      <c r="I26" s="8">
        <v>250</v>
      </c>
      <c r="J26" s="2"/>
      <c r="K26" s="92"/>
      <c r="L26" s="9"/>
      <c r="M26" s="16"/>
    </row>
    <row r="27" spans="2:18" ht="15.75" x14ac:dyDescent="0.25">
      <c r="B27" s="2"/>
      <c r="C27" s="2"/>
      <c r="D27" s="2"/>
      <c r="E27" s="84">
        <v>4606</v>
      </c>
      <c r="F27" s="24" t="s">
        <v>85</v>
      </c>
      <c r="G27" s="25" t="s">
        <v>14</v>
      </c>
      <c r="H27" s="8"/>
      <c r="I27" s="8">
        <v>250</v>
      </c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>
        <v>4467</v>
      </c>
      <c r="F35" s="24" t="s">
        <v>86</v>
      </c>
      <c r="G35" s="25" t="s">
        <v>14</v>
      </c>
      <c r="H35" s="8">
        <v>118</v>
      </c>
      <c r="I35" s="8" t="s">
        <v>87</v>
      </c>
      <c r="K35" s="92"/>
      <c r="L35" s="40"/>
      <c r="M35" s="16"/>
    </row>
    <row r="36" spans="2:18" ht="15.75" x14ac:dyDescent="0.25">
      <c r="E36" s="88"/>
      <c r="F36" s="24"/>
      <c r="G36" s="25"/>
      <c r="H36" s="8"/>
      <c r="I36" s="8"/>
      <c r="K36" s="92"/>
      <c r="L36" s="40"/>
      <c r="M36" s="16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2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view="pageBreakPreview" topLeftCell="A4" zoomScale="60" zoomScaleNormal="90" workbookViewId="0">
      <selection activeCell="F9" sqref="F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'09'!B1+1</f>
        <v>45606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SUMIF(I6:I32,"&gt;0",H6:H32)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SUM(I6:I42)</f>
        <v>0</v>
      </c>
      <c r="D6" s="2"/>
      <c r="E6" s="84"/>
      <c r="F6" s="24"/>
      <c r="G6" s="43"/>
      <c r="H6" s="8"/>
      <c r="I6" s="8"/>
      <c r="J6" s="2"/>
      <c r="K6" s="24"/>
      <c r="L6" s="9"/>
      <c r="M6" s="16"/>
      <c r="R6" s="1">
        <f>IF(vend10[[#This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84"/>
      <c r="F7" s="24"/>
      <c r="G7" s="43"/>
      <c r="H7" s="8"/>
      <c r="I7" s="8"/>
      <c r="J7" s="2"/>
      <c r="K7" s="24"/>
      <c r="L7" s="9"/>
      <c r="M7" s="16"/>
      <c r="R7" s="1">
        <f>IF(vend10[[#This Row],[Nº Venda]]&gt;1,1,0)</f>
        <v>0</v>
      </c>
    </row>
    <row r="8" spans="2:18" ht="15.75" x14ac:dyDescent="0.25">
      <c r="B8" s="27" t="s">
        <v>35</v>
      </c>
      <c r="C8" s="28">
        <f>SUM(C6:C7)</f>
        <v>0</v>
      </c>
      <c r="D8" s="2"/>
      <c r="E8" s="84"/>
      <c r="F8" s="24"/>
      <c r="G8" s="25"/>
      <c r="H8" s="8"/>
      <c r="I8" s="8"/>
      <c r="J8" s="2"/>
      <c r="K8" s="24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IF(vend10[[#This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14</v>
      </c>
      <c r="C11" s="30">
        <f>(SUMIF($G$2:$G$32,B11,$I$2:$I$32))+(SUMIF($G$36:$G$42,B11,$H$36:$H$42))</f>
        <v>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29" t="s">
        <v>16</v>
      </c>
      <c r="C12" s="30">
        <f>(SUMIF($G$2:$G$32,B12,$I$2:$I$32))+(SUMIF($G$36:$G$42,B12,$H$36:$H$42))</f>
        <v>0</v>
      </c>
      <c r="D12" s="2"/>
      <c r="E12" s="84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18</v>
      </c>
      <c r="C13" s="30">
        <f>(SUMIF($G$2:$G$32,B13,$I$2:$I$32))+(SUMIF($G$36:$G$42,B13,$H$36:$H$42))</f>
        <v>0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IF(vend10[[#This Row],[Nº Venda]]&gt;1,1,0)</f>
        <v>0</v>
      </c>
    </row>
    <row r="14" spans="2:18" ht="15.75" x14ac:dyDescent="0.25">
      <c r="B14" s="29" t="s">
        <v>20</v>
      </c>
      <c r="C14" s="30">
        <f>(SUMIF($G$2:$G$32,B14,$I$2:$I$32))+(SUMIF($G$36:$G$42,B14,$H$36:$H$42))</f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IF(vend10[[#This Row],[Nº Venda]]&gt;1,1,0)</f>
        <v>0</v>
      </c>
    </row>
    <row r="15" spans="2:18" ht="15.75" x14ac:dyDescent="0.25">
      <c r="B15" s="29" t="s">
        <v>22</v>
      </c>
      <c r="C15" s="30">
        <f>(SUMIF($G$2:$G$32,B15,$I$2:$I$32))+(SUMIF($G$36:$G$42,B15,$H$36:$H$42))</f>
        <v>0</v>
      </c>
      <c r="D15" s="2"/>
      <c r="E15" s="84"/>
      <c r="F15" s="24"/>
      <c r="G15" s="25"/>
      <c r="H15" s="8"/>
      <c r="I15" s="8"/>
      <c r="J15" s="2"/>
      <c r="K15" s="92"/>
      <c r="L15" s="9"/>
      <c r="M15" s="16"/>
      <c r="R15" s="1">
        <f>IF(vend10[[#This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84"/>
      <c r="F16" s="24"/>
      <c r="G16" s="25"/>
      <c r="H16" s="8"/>
      <c r="I16" s="8"/>
      <c r="J16" s="2"/>
      <c r="K16" s="92"/>
      <c r="L16" s="9"/>
      <c r="M16" s="57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/>
      <c r="L17" s="9"/>
      <c r="M17" s="16"/>
      <c r="R17" s="1">
        <f>IF(vend10[[#This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IF(vend10[[#This Row],[Nº Venda]]&gt;1,1,0)</f>
        <v>0</v>
      </c>
    </row>
    <row r="19" spans="2:18" ht="15.75" x14ac:dyDescent="0.25">
      <c r="B19" s="29">
        <f>COUNT(entr_carn10[OS])</f>
        <v>0</v>
      </c>
      <c r="C19" s="30">
        <f>SUM(entr_carn10[Valor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/>
      <c r="F26" s="24"/>
      <c r="G26" s="43"/>
      <c r="H26" s="8"/>
      <c r="I26" s="8"/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43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43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107" t="s">
        <v>25</v>
      </c>
      <c r="L33" s="108"/>
      <c r="M33" s="109"/>
    </row>
    <row r="34" spans="2:18" ht="15" x14ac:dyDescent="0.25">
      <c r="E34" s="106" t="s">
        <v>47</v>
      </c>
      <c r="F34" s="106"/>
      <c r="G34" s="106"/>
      <c r="H34" s="106"/>
      <c r="I34" s="106"/>
      <c r="K34" s="14" t="s">
        <v>37</v>
      </c>
      <c r="L34" s="6" t="s">
        <v>50</v>
      </c>
      <c r="M34" s="15" t="s">
        <v>51</v>
      </c>
    </row>
    <row r="35" spans="2:18" ht="15" x14ac:dyDescent="0.25">
      <c r="E35" s="90" t="s">
        <v>37</v>
      </c>
      <c r="F35" s="10" t="s">
        <v>28</v>
      </c>
      <c r="G35" s="11" t="s">
        <v>29</v>
      </c>
      <c r="H35" s="12" t="s">
        <v>48</v>
      </c>
      <c r="I35" s="13" t="s">
        <v>49</v>
      </c>
      <c r="K35" s="92"/>
      <c r="L35" s="40"/>
      <c r="M35" s="16"/>
    </row>
    <row r="36" spans="2:18" ht="15.75" x14ac:dyDescent="0.25">
      <c r="E36" s="84"/>
      <c r="F36" s="24"/>
      <c r="G36" s="25"/>
      <c r="H36" s="8"/>
      <c r="I36" s="8"/>
      <c r="K36" s="92"/>
      <c r="L36" s="40"/>
      <c r="M36" s="16"/>
    </row>
    <row r="37" spans="2:18" ht="15.75" x14ac:dyDescent="0.25">
      <c r="E37" s="88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24"/>
      <c r="G39" s="25"/>
      <c r="H39" s="8"/>
      <c r="I39" s="8"/>
      <c r="K39" s="92"/>
      <c r="L39" s="40"/>
      <c r="M39" s="16"/>
    </row>
    <row r="40" spans="2:18" ht="15.75" x14ac:dyDescent="0.25">
      <c r="E40" s="84"/>
      <c r="F40" s="38"/>
      <c r="G40" s="25"/>
      <c r="H40" s="8"/>
      <c r="I40" s="8"/>
      <c r="K40" s="93"/>
      <c r="L40" s="41"/>
      <c r="M40" s="39"/>
      <c r="Q40" s="1" t="s">
        <v>54</v>
      </c>
      <c r="R40" s="1">
        <f>SUM(R6:R21)</f>
        <v>0</v>
      </c>
    </row>
    <row r="41" spans="2:18" ht="15.75" x14ac:dyDescent="0.25">
      <c r="E41" s="86"/>
      <c r="F41" s="35"/>
      <c r="G41" s="36"/>
      <c r="H41" s="17"/>
      <c r="I41" s="8"/>
      <c r="K41" s="92"/>
      <c r="L41" s="40"/>
      <c r="M41" s="39"/>
    </row>
    <row r="42" spans="2:18" ht="15.75" x14ac:dyDescent="0.25">
      <c r="E42" s="42"/>
      <c r="F42" s="38"/>
      <c r="G42" s="25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view="pageBreakPreview" topLeftCell="A2" zoomScale="80" zoomScaleNormal="90" zoomScaleSheetLayoutView="80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40.4257812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5">
        <f>'10'!B1+1</f>
        <v>45607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1999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2069.5039999999999</v>
      </c>
      <c r="D6" s="2"/>
      <c r="E6" s="84">
        <v>4632</v>
      </c>
      <c r="F6" s="24" t="s">
        <v>88</v>
      </c>
      <c r="G6" s="25" t="s">
        <v>22</v>
      </c>
      <c r="H6" s="8">
        <v>1050</v>
      </c>
      <c r="I6" s="8">
        <v>1050</v>
      </c>
      <c r="J6" s="2"/>
      <c r="K6" s="24" t="s">
        <v>89</v>
      </c>
      <c r="L6" s="9" t="s">
        <v>14</v>
      </c>
      <c r="M6" s="16">
        <v>50</v>
      </c>
      <c r="R6" s="1">
        <f>IF(vend11[[#This Row],[Nº Venda]]&gt;1,1,0)</f>
        <v>1</v>
      </c>
    </row>
    <row r="7" spans="2:18" ht="15.75" x14ac:dyDescent="0.25">
      <c r="B7" s="22" t="s">
        <v>7</v>
      </c>
      <c r="C7" s="23">
        <f>SUM(M6:M11)</f>
        <v>50</v>
      </c>
      <c r="D7" s="2"/>
      <c r="E7" s="84">
        <v>4633</v>
      </c>
      <c r="F7" s="24" t="s">
        <v>88</v>
      </c>
      <c r="G7" s="25" t="s">
        <v>14</v>
      </c>
      <c r="H7" s="8">
        <v>949</v>
      </c>
      <c r="I7" s="8">
        <v>50</v>
      </c>
      <c r="J7" s="2"/>
      <c r="K7" s="24"/>
      <c r="L7" s="9"/>
      <c r="M7" s="16"/>
      <c r="R7" s="1">
        <f>IF(vend11[[#This Row],[Nº Venda]]&gt;1,1,0)</f>
        <v>1</v>
      </c>
    </row>
    <row r="8" spans="2:18" ht="15.75" x14ac:dyDescent="0.25">
      <c r="B8" s="27" t="s">
        <v>35</v>
      </c>
      <c r="C8" s="28">
        <f>SUM(C6:C7)</f>
        <v>2119.5039999999999</v>
      </c>
      <c r="D8" s="2"/>
      <c r="E8" s="84"/>
      <c r="F8" s="24"/>
      <c r="G8" s="25"/>
      <c r="H8" s="8"/>
      <c r="I8" s="8"/>
      <c r="J8" s="2"/>
      <c r="K8" s="24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IF(vend11[[#This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IF(vend11[[#This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889.50400000000002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84"/>
      <c r="F12" s="24"/>
      <c r="G12" s="25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IF(vend11[[#This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IF(vend11[[#This Row],[Nº Venda]]&gt;1,1,0)</f>
        <v>0</v>
      </c>
    </row>
    <row r="15" spans="2:18" ht="15.75" x14ac:dyDescent="0.25">
      <c r="B15" s="29" t="s">
        <v>22</v>
      </c>
      <c r="C15" s="30">
        <f t="shared" si="0"/>
        <v>1180</v>
      </c>
      <c r="D15" s="2"/>
      <c r="E15" s="84"/>
      <c r="F15" s="24"/>
      <c r="G15" s="25"/>
      <c r="H15" s="8"/>
      <c r="I15" s="8"/>
      <c r="J15" s="2"/>
      <c r="K15" s="92"/>
      <c r="L15" s="9"/>
      <c r="M15" s="16"/>
      <c r="R15" s="1">
        <f>IF(vend11[[#This Row],[Nº Venda]]&gt;1,1,0)</f>
        <v>0</v>
      </c>
    </row>
    <row r="16" spans="2:18" ht="15.75" x14ac:dyDescent="0.25">
      <c r="B16" s="27" t="s">
        <v>24</v>
      </c>
      <c r="C16" s="31">
        <f>SUM(C11:C15)</f>
        <v>2069.5039999999999</v>
      </c>
      <c r="D16" s="2"/>
      <c r="E16" s="84"/>
      <c r="F16" s="24"/>
      <c r="G16" s="25"/>
      <c r="H16" s="8"/>
      <c r="I16" s="8"/>
      <c r="J16" s="2"/>
      <c r="K16" s="92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 t="s">
        <v>90</v>
      </c>
      <c r="I17" s="8"/>
      <c r="J17" s="2"/>
      <c r="K17" s="92"/>
      <c r="L17" s="9"/>
      <c r="M17" s="16"/>
      <c r="R17" s="1">
        <f>IF(vend11[[#This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IF(vend11[[#This Row],[Nº Venda]]&gt;1,1,0)</f>
        <v>0</v>
      </c>
    </row>
    <row r="19" spans="2:18" ht="15.75" x14ac:dyDescent="0.25">
      <c r="B19" s="29">
        <f>COUNT(entr_carn11[OS])</f>
        <v>0</v>
      </c>
      <c r="C19" s="30">
        <f>SUM(entr_carn11[Valor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IF(vend11[[#This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1999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/>
      <c r="F26" s="24"/>
      <c r="G26" s="43"/>
      <c r="H26" s="8"/>
      <c r="I26" s="8"/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25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>
        <v>4259</v>
      </c>
      <c r="F35" s="24" t="s">
        <v>91</v>
      </c>
      <c r="G35" s="25" t="s">
        <v>14</v>
      </c>
      <c r="H35" s="8">
        <v>94.754000000000005</v>
      </c>
      <c r="I35" s="8" t="s">
        <v>59</v>
      </c>
      <c r="K35" s="92"/>
      <c r="L35" s="40"/>
      <c r="M35" s="16"/>
    </row>
    <row r="36" spans="2:18" ht="15.75" x14ac:dyDescent="0.25">
      <c r="E36" s="88">
        <v>4259</v>
      </c>
      <c r="F36" s="24" t="s">
        <v>92</v>
      </c>
      <c r="G36" s="25" t="s">
        <v>14</v>
      </c>
      <c r="H36" s="8">
        <v>94.75</v>
      </c>
      <c r="I36" s="8" t="s">
        <v>68</v>
      </c>
      <c r="K36" s="92"/>
      <c r="L36" s="40"/>
      <c r="M36" s="16"/>
    </row>
    <row r="37" spans="2:18" ht="15.75" x14ac:dyDescent="0.25">
      <c r="E37" s="84">
        <v>4356</v>
      </c>
      <c r="F37" s="24" t="s">
        <v>93</v>
      </c>
      <c r="G37" s="25" t="s">
        <v>14</v>
      </c>
      <c r="H37" s="8">
        <v>200</v>
      </c>
      <c r="I37" s="8" t="s">
        <v>94</v>
      </c>
      <c r="K37" s="92"/>
      <c r="L37" s="40"/>
      <c r="M37" s="16"/>
    </row>
    <row r="38" spans="2:18" ht="15.75" x14ac:dyDescent="0.25">
      <c r="E38" s="84">
        <v>4030</v>
      </c>
      <c r="F38" s="24" t="s">
        <v>95</v>
      </c>
      <c r="G38" s="25" t="s">
        <v>14</v>
      </c>
      <c r="H38" s="8">
        <v>225</v>
      </c>
      <c r="I38" s="8" t="s">
        <v>96</v>
      </c>
      <c r="K38" s="92"/>
      <c r="L38" s="40"/>
      <c r="M38" s="16"/>
    </row>
    <row r="39" spans="2:18" ht="15.75" x14ac:dyDescent="0.25">
      <c r="E39" s="84">
        <v>4030</v>
      </c>
      <c r="F39" s="38" t="s">
        <v>95</v>
      </c>
      <c r="G39" s="25" t="s">
        <v>14</v>
      </c>
      <c r="H39" s="8">
        <v>225</v>
      </c>
      <c r="I39" s="8" t="s">
        <v>94</v>
      </c>
      <c r="K39" s="92"/>
      <c r="L39" s="40"/>
      <c r="M39" s="16"/>
    </row>
    <row r="40" spans="2:18" ht="15.75" x14ac:dyDescent="0.25">
      <c r="E40" s="86">
        <v>4363</v>
      </c>
      <c r="F40" s="35" t="s">
        <v>97</v>
      </c>
      <c r="G40" s="36" t="s">
        <v>22</v>
      </c>
      <c r="H40" s="17">
        <v>130</v>
      </c>
      <c r="I40" s="8" t="s">
        <v>98</v>
      </c>
      <c r="K40" s="93"/>
      <c r="L40" s="41"/>
      <c r="M40" s="39"/>
      <c r="Q40" s="1" t="s">
        <v>54</v>
      </c>
      <c r="R40" s="1">
        <f>SUM(R6:R21)</f>
        <v>2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7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view="pageBreakPreview" topLeftCell="A7" zoomScale="80" zoomScaleNormal="90" zoomScaleSheetLayoutView="8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'11'!B1+1</f>
        <v>45608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248.5</v>
      </c>
      <c r="D6" s="2"/>
      <c r="E6" s="84"/>
      <c r="F6" s="46"/>
      <c r="G6" s="46"/>
      <c r="H6" s="47"/>
      <c r="I6" s="47"/>
      <c r="J6" s="2"/>
      <c r="K6" s="24"/>
      <c r="L6" s="9"/>
      <c r="M6" s="16"/>
      <c r="R6" s="1">
        <f>IF(vend12[[#This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84"/>
      <c r="F7" s="48"/>
      <c r="G7" s="48"/>
      <c r="H7" s="49"/>
      <c r="I7" s="49"/>
      <c r="J7" s="2"/>
      <c r="K7" s="24"/>
      <c r="L7" s="9"/>
      <c r="M7" s="16"/>
      <c r="R7" s="1">
        <f>IF(vend12[[#This Row],[Nº Venda]]&gt;1,1,0)</f>
        <v>0</v>
      </c>
    </row>
    <row r="8" spans="2:18" ht="15.75" x14ac:dyDescent="0.25">
      <c r="B8" s="27" t="s">
        <v>35</v>
      </c>
      <c r="C8" s="28">
        <f>SUM(C6:C7)</f>
        <v>248.5</v>
      </c>
      <c r="D8" s="2"/>
      <c r="E8" s="84"/>
      <c r="F8" s="48"/>
      <c r="G8" s="48"/>
      <c r="H8" s="49"/>
      <c r="I8" s="49"/>
      <c r="J8" s="2"/>
      <c r="K8" s="24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IF(vend12[[#This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162.5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84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IF(vend12[[#This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IF(vend12[[#This Row],[Nº Venda]]&gt;1,1,0)</f>
        <v>0</v>
      </c>
    </row>
    <row r="15" spans="2:18" ht="15.75" x14ac:dyDescent="0.25">
      <c r="B15" s="29" t="s">
        <v>22</v>
      </c>
      <c r="C15" s="30">
        <f t="shared" si="0"/>
        <v>86</v>
      </c>
      <c r="D15" s="2"/>
      <c r="E15" s="84"/>
      <c r="F15" s="24"/>
      <c r="G15" s="25"/>
      <c r="H15" s="8"/>
      <c r="I15" s="8"/>
      <c r="J15" s="2"/>
      <c r="K15" s="92">
        <v>4493</v>
      </c>
      <c r="L15" s="9" t="s">
        <v>10</v>
      </c>
      <c r="M15" s="16" t="s">
        <v>40</v>
      </c>
      <c r="R15" s="1">
        <f>IF(vend12[[#This Row],[Nº Venda]]&gt;1,1,0)</f>
        <v>0</v>
      </c>
    </row>
    <row r="16" spans="2:18" ht="15.75" x14ac:dyDescent="0.25">
      <c r="B16" s="27" t="s">
        <v>24</v>
      </c>
      <c r="C16" s="31">
        <f>SUM(C11:C15)</f>
        <v>248.5</v>
      </c>
      <c r="D16" s="2"/>
      <c r="E16" s="84"/>
      <c r="F16" s="24"/>
      <c r="G16" s="25"/>
      <c r="H16" s="8"/>
      <c r="I16" s="8"/>
      <c r="J16" s="2"/>
      <c r="K16" s="92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/>
      <c r="L17" s="9"/>
      <c r="M17" s="16"/>
      <c r="R17" s="1">
        <f>IF(vend12[[#This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IF(vend12[[#This Row],[Nº Venda]]&gt;1,1,0)</f>
        <v>0</v>
      </c>
    </row>
    <row r="19" spans="2:18" ht="15.75" x14ac:dyDescent="0.25">
      <c r="B19" s="29">
        <f>COUNT(entr_carn12[OS])</f>
        <v>0</v>
      </c>
      <c r="C19" s="30">
        <f>SUM(entr_carn12[Valor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IF(vend12[[#This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/>
      <c r="F26" s="50"/>
      <c r="G26" s="43"/>
      <c r="H26" s="8"/>
      <c r="I26" s="8"/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25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>
        <v>4512</v>
      </c>
      <c r="F35" s="24" t="s">
        <v>99</v>
      </c>
      <c r="G35" s="25" t="s">
        <v>14</v>
      </c>
      <c r="H35" s="8">
        <v>162.5</v>
      </c>
      <c r="I35" s="8" t="s">
        <v>100</v>
      </c>
      <c r="K35" s="92"/>
      <c r="L35" s="40"/>
      <c r="M35" s="16"/>
    </row>
    <row r="36" spans="2:18" ht="15.75" x14ac:dyDescent="0.25">
      <c r="E36" s="88">
        <v>4515</v>
      </c>
      <c r="F36" s="24" t="s">
        <v>101</v>
      </c>
      <c r="G36" s="25" t="s">
        <v>22</v>
      </c>
      <c r="H36" s="8">
        <v>86</v>
      </c>
      <c r="I36" s="8" t="s">
        <v>75</v>
      </c>
      <c r="K36" s="92"/>
      <c r="L36" s="40"/>
      <c r="M36" s="16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0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view="pageBreakPreview" topLeftCell="A16" zoomScale="80" zoomScaleNormal="90" zoomScaleSheetLayoutView="80" workbookViewId="0">
      <selection activeCell="G16" sqref="G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'12'!B1+1</f>
        <v>45609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3369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3899</v>
      </c>
      <c r="D6" s="2"/>
      <c r="E6" s="84">
        <v>4634</v>
      </c>
      <c r="F6" s="24" t="s">
        <v>102</v>
      </c>
      <c r="G6" s="25" t="s">
        <v>14</v>
      </c>
      <c r="H6" s="8">
        <v>399</v>
      </c>
      <c r="I6" s="8">
        <v>20</v>
      </c>
      <c r="J6" s="2"/>
      <c r="K6" s="24"/>
      <c r="L6" s="9"/>
      <c r="M6" s="16"/>
      <c r="R6" s="1">
        <f>IF(vend13[[#This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84">
        <v>4635</v>
      </c>
      <c r="F7" s="24" t="s">
        <v>103</v>
      </c>
      <c r="G7" s="25" t="s">
        <v>18</v>
      </c>
      <c r="H7" s="8">
        <v>1450</v>
      </c>
      <c r="I7" s="8">
        <v>1450</v>
      </c>
      <c r="J7" s="2"/>
      <c r="K7" s="24"/>
      <c r="L7" s="9"/>
      <c r="M7" s="16"/>
      <c r="R7" s="1">
        <f>IF(vend13[[#This Row],[Nº Venda]]&gt;1,1,0)</f>
        <v>1</v>
      </c>
    </row>
    <row r="8" spans="2:18" ht="15.75" x14ac:dyDescent="0.25">
      <c r="B8" s="27" t="s">
        <v>35</v>
      </c>
      <c r="C8" s="28">
        <f>SUM(C6:C7)</f>
        <v>3899</v>
      </c>
      <c r="D8" s="2"/>
      <c r="E8" s="84">
        <v>4636</v>
      </c>
      <c r="F8" s="24" t="s">
        <v>104</v>
      </c>
      <c r="G8" s="25" t="s">
        <v>18</v>
      </c>
      <c r="H8" s="8">
        <v>630</v>
      </c>
      <c r="I8" s="8">
        <v>630</v>
      </c>
      <c r="J8" s="2"/>
      <c r="K8" s="24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84">
        <v>4637</v>
      </c>
      <c r="F9" s="24" t="s">
        <v>105</v>
      </c>
      <c r="G9" s="25" t="s">
        <v>18</v>
      </c>
      <c r="H9" s="8">
        <v>250</v>
      </c>
      <c r="I9" s="8">
        <v>250</v>
      </c>
      <c r="J9" s="2"/>
      <c r="K9" s="24"/>
      <c r="L9" s="9"/>
      <c r="M9" s="16"/>
      <c r="R9" s="1">
        <f>IF(vend13[[#This Row],[Nº Venda]]&gt;1,1,0)</f>
        <v>1</v>
      </c>
    </row>
    <row r="10" spans="2:18" ht="15.75" x14ac:dyDescent="0.25">
      <c r="B10" s="105" t="s">
        <v>12</v>
      </c>
      <c r="C10" s="105"/>
      <c r="D10" s="2"/>
      <c r="E10" s="84">
        <v>4638</v>
      </c>
      <c r="F10" s="24" t="s">
        <v>105</v>
      </c>
      <c r="G10" s="25" t="s">
        <v>18</v>
      </c>
      <c r="H10" s="8">
        <v>640</v>
      </c>
      <c r="I10" s="8">
        <v>640</v>
      </c>
      <c r="J10" s="2"/>
      <c r="K10" s="24"/>
      <c r="L10" s="9"/>
      <c r="M10" s="16"/>
      <c r="R10" s="1">
        <f>IF(vend13[[#This Row],[Nº Venda]]&gt;1,1,0)</f>
        <v>1</v>
      </c>
    </row>
    <row r="11" spans="2:18" ht="15.75" x14ac:dyDescent="0.25">
      <c r="B11" s="29" t="s">
        <v>14</v>
      </c>
      <c r="C11" s="30">
        <f>(SUMIF($G$2:$G$31,B11,$I$2:$I$31))+(SUMIF($G$35:$G$41,B11,$H$35:$H$41))</f>
        <v>20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84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18</v>
      </c>
      <c r="C13" s="30">
        <f t="shared" si="0"/>
        <v>3569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IF(vend13[[#This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IF(vend13[[#This Row],[Nº Venda]]&gt;1,1,0)</f>
        <v>0</v>
      </c>
    </row>
    <row r="15" spans="2:18" ht="15.75" x14ac:dyDescent="0.25">
      <c r="B15" s="29" t="s">
        <v>22</v>
      </c>
      <c r="C15" s="30">
        <f t="shared" si="0"/>
        <v>310</v>
      </c>
      <c r="D15" s="2"/>
      <c r="E15" s="84"/>
      <c r="F15" s="24"/>
      <c r="G15" s="25"/>
      <c r="H15" s="8"/>
      <c r="I15" s="8"/>
      <c r="J15" s="2"/>
      <c r="K15" s="92">
        <v>4621</v>
      </c>
      <c r="L15" s="9" t="s">
        <v>17</v>
      </c>
      <c r="M15" s="16" t="s">
        <v>40</v>
      </c>
      <c r="R15" s="1">
        <f>IF(vend13[[#This Row],[Nº Venda]]&gt;1,1,0)</f>
        <v>0</v>
      </c>
    </row>
    <row r="16" spans="2:18" ht="15.75" x14ac:dyDescent="0.25">
      <c r="B16" s="27" t="s">
        <v>24</v>
      </c>
      <c r="C16" s="31">
        <f>SUM(C11:C15)</f>
        <v>3899</v>
      </c>
      <c r="D16" s="2"/>
      <c r="E16" s="84"/>
      <c r="F16" s="24"/>
      <c r="G16" s="25"/>
      <c r="H16" s="8"/>
      <c r="I16" s="8"/>
      <c r="J16" s="2"/>
      <c r="K16" s="92">
        <v>4548</v>
      </c>
      <c r="L16" s="9" t="s">
        <v>17</v>
      </c>
      <c r="M16" s="16" t="s">
        <v>40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>
        <v>4547</v>
      </c>
      <c r="L17" s="9" t="s">
        <v>17</v>
      </c>
      <c r="M17" s="16" t="s">
        <v>40</v>
      </c>
      <c r="R17" s="1">
        <f>IF(vend13[[#This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3369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>
        <v>4548</v>
      </c>
      <c r="F26" s="24" t="s">
        <v>106</v>
      </c>
      <c r="G26" s="25" t="s">
        <v>18</v>
      </c>
      <c r="H26" s="8"/>
      <c r="I26" s="8">
        <v>599</v>
      </c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25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>
        <v>4254</v>
      </c>
      <c r="F35" s="24" t="s">
        <v>107</v>
      </c>
      <c r="G35" s="25" t="s">
        <v>22</v>
      </c>
      <c r="H35" s="8">
        <v>200</v>
      </c>
      <c r="I35" s="8" t="s">
        <v>68</v>
      </c>
      <c r="K35" s="92"/>
      <c r="L35" s="40"/>
      <c r="M35" s="16"/>
    </row>
    <row r="36" spans="2:18" ht="15.75" x14ac:dyDescent="0.25">
      <c r="E36" s="88">
        <v>4347</v>
      </c>
      <c r="F36" s="24" t="s">
        <v>108</v>
      </c>
      <c r="G36" s="25" t="s">
        <v>22</v>
      </c>
      <c r="H36" s="8">
        <v>110</v>
      </c>
      <c r="I36" s="8" t="s">
        <v>109</v>
      </c>
      <c r="K36" s="92"/>
      <c r="L36" s="40"/>
      <c r="M36" s="16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5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view="pageBreakPreview" topLeftCell="A8" zoomScale="60" zoomScaleNormal="9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7" style="1" bestFit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'13'!B1+1</f>
        <v>45610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260</v>
      </c>
      <c r="D6" s="2"/>
      <c r="E6" s="84"/>
      <c r="F6" s="24"/>
      <c r="G6" s="43"/>
      <c r="H6" s="8"/>
      <c r="I6" s="8"/>
      <c r="J6" s="2"/>
      <c r="K6" s="24"/>
      <c r="L6" s="9"/>
      <c r="M6" s="16"/>
      <c r="R6" s="1">
        <f>IF(vend14[[#This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84"/>
      <c r="F7" s="24"/>
      <c r="G7" s="43"/>
      <c r="H7" s="8"/>
      <c r="I7" s="8"/>
      <c r="J7" s="2"/>
      <c r="K7" s="24"/>
      <c r="L7" s="9"/>
      <c r="M7" s="16"/>
      <c r="R7" s="1">
        <f>IF(vend14[[#This Row],[Nº Venda]]&gt;1,1,0)</f>
        <v>0</v>
      </c>
    </row>
    <row r="8" spans="2:18" ht="15.75" x14ac:dyDescent="0.25">
      <c r="B8" s="27" t="s">
        <v>35</v>
      </c>
      <c r="C8" s="28">
        <f>SUM(C6:C7)</f>
        <v>260</v>
      </c>
      <c r="D8" s="2"/>
      <c r="E8" s="84"/>
      <c r="F8" s="24"/>
      <c r="G8" s="25"/>
      <c r="H8" s="8"/>
      <c r="I8" s="8"/>
      <c r="J8" s="2"/>
      <c r="K8" s="24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IF(vend14[[#This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IF(vend14[[#This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84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IF(vend14[[#This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IF(vend14[[#This Row],[Nº Venda]]&gt;1,1,0)</f>
        <v>0</v>
      </c>
    </row>
    <row r="15" spans="2:18" ht="15.75" x14ac:dyDescent="0.25">
      <c r="B15" s="29" t="s">
        <v>22</v>
      </c>
      <c r="C15" s="30">
        <f t="shared" si="0"/>
        <v>260</v>
      </c>
      <c r="D15" s="2"/>
      <c r="E15" s="84"/>
      <c r="F15" s="24"/>
      <c r="G15" s="25"/>
      <c r="H15" s="8"/>
      <c r="I15" s="8"/>
      <c r="J15" s="2"/>
      <c r="K15" s="92"/>
      <c r="L15" s="9"/>
      <c r="M15" s="16"/>
      <c r="R15" s="1">
        <f>IF(vend14[[#This Row],[Nº Venda]]&gt;1,1,0)</f>
        <v>0</v>
      </c>
    </row>
    <row r="16" spans="2:18" ht="15.75" x14ac:dyDescent="0.25">
      <c r="B16" s="27" t="s">
        <v>24</v>
      </c>
      <c r="C16" s="31">
        <f>SUM(C11:C15)</f>
        <v>260</v>
      </c>
      <c r="D16" s="2"/>
      <c r="E16" s="84"/>
      <c r="F16" s="24"/>
      <c r="G16" s="25"/>
      <c r="H16" s="8"/>
      <c r="I16" s="8"/>
      <c r="J16" s="2"/>
      <c r="K16" s="92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/>
      <c r="L17" s="9"/>
      <c r="M17" s="16"/>
      <c r="R17" s="1">
        <f>IF(vend14[[#This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IF(vend14[[#This Row],[Nº Venda]]&gt;1,1,0)</f>
        <v>0</v>
      </c>
    </row>
    <row r="19" spans="2:18" ht="15.75" x14ac:dyDescent="0.25">
      <c r="B19" s="29">
        <f>COUNT(entr_carn14[OS])</f>
        <v>0</v>
      </c>
      <c r="C19" s="30">
        <f>SUM(entr_carn14[Valor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IF(vend14[[#This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/>
      <c r="F26" s="24"/>
      <c r="G26" s="25"/>
      <c r="H26" s="8"/>
      <c r="I26" s="8"/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25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>
        <v>4262</v>
      </c>
      <c r="F35" s="24" t="s">
        <v>110</v>
      </c>
      <c r="G35" s="25" t="s">
        <v>22</v>
      </c>
      <c r="H35" s="8">
        <v>130</v>
      </c>
      <c r="I35" s="8" t="s">
        <v>53</v>
      </c>
      <c r="K35" s="92"/>
      <c r="L35" s="40"/>
      <c r="M35" s="16"/>
    </row>
    <row r="36" spans="2:18" ht="15.75" x14ac:dyDescent="0.25">
      <c r="E36" s="88">
        <v>4468</v>
      </c>
      <c r="F36" s="24" t="s">
        <v>110</v>
      </c>
      <c r="G36" s="25" t="s">
        <v>22</v>
      </c>
      <c r="H36" s="8">
        <v>130</v>
      </c>
      <c r="I36" s="8" t="s">
        <v>96</v>
      </c>
      <c r="K36" s="92"/>
      <c r="L36" s="40"/>
      <c r="M36" s="16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0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view="pageBreakPreview" topLeftCell="A6" zoomScale="6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5">
        <f>'14'!B1+1</f>
        <v>45611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0</v>
      </c>
      <c r="D6" s="2"/>
      <c r="E6" s="84"/>
      <c r="F6" s="24"/>
      <c r="G6" s="43"/>
      <c r="H6" s="8"/>
      <c r="I6" s="8"/>
      <c r="J6" s="2"/>
      <c r="K6" s="24"/>
      <c r="L6" s="9"/>
      <c r="M6" s="16"/>
      <c r="R6" s="1">
        <f>IF(vend15[[#This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84"/>
      <c r="F7" s="24"/>
      <c r="G7" s="43"/>
      <c r="H7" s="8"/>
      <c r="I7" s="8"/>
      <c r="J7" s="2"/>
      <c r="K7" s="24"/>
      <c r="L7" s="9"/>
      <c r="M7" s="16"/>
      <c r="R7" s="1">
        <f>IF(vend15[[#This Row],[Nº Venda]]&gt;1,1,0)</f>
        <v>0</v>
      </c>
    </row>
    <row r="8" spans="2:18" ht="15.75" x14ac:dyDescent="0.25">
      <c r="B8" s="27" t="s">
        <v>35</v>
      </c>
      <c r="C8" s="28">
        <f>SUM(C6:C7)</f>
        <v>0</v>
      </c>
      <c r="D8" s="2"/>
      <c r="E8" s="84"/>
      <c r="F8" s="24"/>
      <c r="G8" s="25"/>
      <c r="H8" s="8"/>
      <c r="I8" s="8"/>
      <c r="J8" s="2"/>
      <c r="K8" s="24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IF(vend15[[#This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84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IF(vend15[[#This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IF(vend15[[#This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84"/>
      <c r="F15" s="24"/>
      <c r="G15" s="25"/>
      <c r="H15" s="8"/>
      <c r="I15" s="8"/>
      <c r="J15" s="2"/>
      <c r="K15" s="92"/>
      <c r="L15" s="9"/>
      <c r="M15" s="63"/>
      <c r="R15" s="1">
        <f>IF(vend15[[#This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84"/>
      <c r="F16" s="24"/>
      <c r="G16" s="25"/>
      <c r="H16" s="8"/>
      <c r="I16" s="8"/>
      <c r="J16" s="2"/>
      <c r="K16" s="92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/>
      <c r="L17" s="9"/>
      <c r="M17" s="16"/>
      <c r="R17" s="1">
        <f>IF(vend15[[#This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63"/>
      <c r="R19" s="1">
        <f>IF(vend15[[#This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/>
      <c r="F26" s="24"/>
      <c r="G26" s="43"/>
      <c r="H26" s="8"/>
      <c r="I26" s="8"/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25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/>
      <c r="F35" s="24"/>
      <c r="G35" s="25"/>
      <c r="H35" s="8"/>
      <c r="I35" s="8"/>
      <c r="K35" s="92"/>
      <c r="L35" s="40"/>
      <c r="M35" s="16"/>
    </row>
    <row r="36" spans="2:18" ht="15.75" x14ac:dyDescent="0.25">
      <c r="E36" s="88"/>
      <c r="F36" s="24"/>
      <c r="G36" s="25"/>
      <c r="H36" s="8"/>
      <c r="I36" s="8"/>
      <c r="K36" s="92"/>
      <c r="L36" s="40"/>
      <c r="M36" s="16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0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view="pageBreakPreview" topLeftCell="A16" zoomScale="60" zoomScaleNormal="9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9.140625" style="1" bestFit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5">
        <f>'15'!B1+1</f>
        <v>45612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1700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980</v>
      </c>
      <c r="D6" s="2"/>
      <c r="E6" s="84">
        <v>4639</v>
      </c>
      <c r="F6" s="24" t="s">
        <v>111</v>
      </c>
      <c r="G6" s="43" t="s">
        <v>18</v>
      </c>
      <c r="H6" s="8">
        <v>850</v>
      </c>
      <c r="I6" s="8">
        <v>850</v>
      </c>
      <c r="J6" s="2"/>
      <c r="K6" s="24"/>
      <c r="L6" s="9"/>
      <c r="M6" s="16"/>
      <c r="R6" s="1">
        <f>IF(vend16[[#This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84">
        <v>4640</v>
      </c>
      <c r="F7" s="24" t="s">
        <v>112</v>
      </c>
      <c r="G7" s="43" t="s">
        <v>16</v>
      </c>
      <c r="H7" s="8">
        <v>850</v>
      </c>
      <c r="I7" s="8">
        <v>20</v>
      </c>
      <c r="J7" s="2"/>
      <c r="K7" s="24"/>
      <c r="L7" s="9"/>
      <c r="M7" s="16"/>
      <c r="R7" s="1">
        <f>IF(vend16[[#This Row],[Nº Venda]]&gt;1,1,0)</f>
        <v>1</v>
      </c>
    </row>
    <row r="8" spans="2:18" ht="15.75" x14ac:dyDescent="0.25">
      <c r="B8" s="27" t="s">
        <v>35</v>
      </c>
      <c r="C8" s="28">
        <f>SUM(C6:C7)</f>
        <v>980</v>
      </c>
      <c r="D8" s="2"/>
      <c r="E8" s="84"/>
      <c r="F8" s="24"/>
      <c r="G8" s="25"/>
      <c r="H8" s="8"/>
      <c r="I8" s="8"/>
      <c r="J8" s="2"/>
      <c r="K8" s="24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IF(vend16[[#This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IF(vend16[[#This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130</v>
      </c>
      <c r="D12" s="2"/>
      <c r="E12" s="84"/>
      <c r="F12" s="24"/>
      <c r="G12" s="25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29" t="s">
        <v>18</v>
      </c>
      <c r="C13" s="30">
        <f t="shared" si="0"/>
        <v>850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IF(vend16[[#This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IF(vend16[[#This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84"/>
      <c r="F15" s="24"/>
      <c r="G15" s="25"/>
      <c r="H15" s="8"/>
      <c r="I15" s="8"/>
      <c r="J15" s="2"/>
      <c r="K15" s="92"/>
      <c r="L15" s="9"/>
      <c r="M15" s="16"/>
      <c r="R15" s="1">
        <f>IF(vend16[[#This Row],[Nº Venda]]&gt;1,1,0)</f>
        <v>0</v>
      </c>
    </row>
    <row r="16" spans="2:18" ht="15.75" x14ac:dyDescent="0.25">
      <c r="B16" s="27" t="s">
        <v>24</v>
      </c>
      <c r="C16" s="31">
        <f>SUM(C11:C15)</f>
        <v>980</v>
      </c>
      <c r="D16" s="2"/>
      <c r="E16" s="84"/>
      <c r="F16" s="24"/>
      <c r="G16" s="25"/>
      <c r="H16" s="8"/>
      <c r="I16" s="8"/>
      <c r="J16" s="2"/>
      <c r="K16" s="92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/>
      <c r="L17" s="9"/>
      <c r="M17" s="63"/>
      <c r="R17" s="1">
        <f>IF(vend16[[#This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IF(vend16[[#This Row],[Nº Venda]]&gt;1,1,0)</f>
        <v>0</v>
      </c>
    </row>
    <row r="19" spans="2:18" ht="15.75" x14ac:dyDescent="0.25">
      <c r="B19" s="29">
        <f>COUNT(entr_carn16[OS])</f>
        <v>0</v>
      </c>
      <c r="C19" s="30">
        <f>SUM(entr_carn16[Valor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IF(vend16[[#This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1700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/>
      <c r="F26" s="24"/>
      <c r="G26" s="43"/>
      <c r="H26" s="8"/>
      <c r="I26" s="8"/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25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>
        <v>4423</v>
      </c>
      <c r="F35" s="24" t="s">
        <v>113</v>
      </c>
      <c r="G35" s="25" t="s">
        <v>16</v>
      </c>
      <c r="H35" s="8">
        <v>110</v>
      </c>
      <c r="I35" s="8" t="s">
        <v>87</v>
      </c>
      <c r="K35" s="92"/>
      <c r="L35" s="40"/>
      <c r="M35" s="16"/>
    </row>
    <row r="36" spans="2:18" ht="15.75" x14ac:dyDescent="0.25">
      <c r="E36" s="88"/>
      <c r="F36" s="24"/>
      <c r="G36" s="25"/>
      <c r="H36" s="8"/>
      <c r="I36" s="8"/>
      <c r="K36" s="92"/>
      <c r="L36" s="40"/>
      <c r="M36" s="16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2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view="pageBreakPreview" topLeftCell="A4" zoomScale="6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'16'!B1+1</f>
        <v>45613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0</v>
      </c>
      <c r="D6" s="2"/>
      <c r="E6" s="84"/>
      <c r="F6" s="24"/>
      <c r="G6" s="25"/>
      <c r="H6" s="8"/>
      <c r="I6" s="8"/>
      <c r="J6" s="2"/>
      <c r="K6" s="24"/>
      <c r="L6" s="9"/>
      <c r="M6" s="16"/>
      <c r="R6" s="1">
        <f>IF(vend17[[#This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84"/>
      <c r="F7" s="24"/>
      <c r="G7" s="25"/>
      <c r="H7" s="8"/>
      <c r="I7" s="8"/>
      <c r="J7" s="2"/>
      <c r="K7" s="24"/>
      <c r="L7" s="9"/>
      <c r="M7" s="16"/>
      <c r="R7" s="1">
        <f>IF(vend17[[#This Row],[Nº Venda]]&gt;1,1,0)</f>
        <v>0</v>
      </c>
    </row>
    <row r="8" spans="2:18" ht="15.75" x14ac:dyDescent="0.25">
      <c r="B8" s="27" t="s">
        <v>35</v>
      </c>
      <c r="C8" s="28">
        <f>SUM(C6:C7)</f>
        <v>0</v>
      </c>
      <c r="D8" s="2"/>
      <c r="E8" s="84"/>
      <c r="F8" s="24"/>
      <c r="G8" s="25"/>
      <c r="H8" s="8"/>
      <c r="I8" s="8"/>
      <c r="J8" s="2"/>
      <c r="K8" s="24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IF(vend17[[#This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84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IF(vend17[[#This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IF(vend17[[#This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84"/>
      <c r="F15" s="24"/>
      <c r="G15" s="25"/>
      <c r="H15" s="8"/>
      <c r="I15" s="8"/>
      <c r="J15" s="2"/>
      <c r="K15" s="92"/>
      <c r="L15" s="9"/>
      <c r="M15" s="16"/>
      <c r="R15" s="1">
        <f>IF(vend17[[#This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84"/>
      <c r="F16" s="24"/>
      <c r="G16" s="25"/>
      <c r="H16" s="8"/>
      <c r="I16" s="8"/>
      <c r="J16" s="2"/>
      <c r="K16" s="92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/>
      <c r="L17" s="9"/>
      <c r="M17" s="16"/>
      <c r="R17" s="1">
        <f>IF(vend17[[#This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IF(vend17[[#This Row],[Nº Venda]]&gt;1,1,0)</f>
        <v>0</v>
      </c>
    </row>
    <row r="19" spans="2:18" ht="15.75" x14ac:dyDescent="0.25">
      <c r="B19" s="29">
        <f>COUNT(entr_carn17[OS])</f>
        <v>0</v>
      </c>
      <c r="C19" s="30">
        <f>SUM(entr_carn17[Valor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IF(vend17[[#This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/>
      <c r="F26" s="24"/>
      <c r="G26" s="25"/>
      <c r="H26" s="8"/>
      <c r="I26" s="8"/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25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/>
      <c r="F35" s="24"/>
      <c r="G35" s="25"/>
      <c r="H35" s="8"/>
      <c r="I35" s="8"/>
      <c r="K35" s="92"/>
      <c r="L35" s="40"/>
      <c r="M35" s="16"/>
    </row>
    <row r="36" spans="2:18" ht="15.75" x14ac:dyDescent="0.25">
      <c r="E36" s="88"/>
      <c r="F36" s="24"/>
      <c r="G36" s="25"/>
      <c r="H36" s="8"/>
      <c r="I36" s="8"/>
      <c r="K36" s="92"/>
      <c r="L36" s="40"/>
      <c r="M36" s="16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0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view="pageBreakPreview" topLeftCell="A9" zoomScale="95" zoomScaleNormal="90" zoomScaleSheetLayoutView="95" workbookViewId="0">
      <selection activeCell="I28" sqref="I28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5">
        <f>'17'!B1+1</f>
        <v>45614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2200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1650</v>
      </c>
      <c r="D6" s="2"/>
      <c r="E6" s="84">
        <v>4641</v>
      </c>
      <c r="F6" s="55" t="s">
        <v>114</v>
      </c>
      <c r="G6" s="79" t="s">
        <v>14</v>
      </c>
      <c r="H6" s="66">
        <v>1100</v>
      </c>
      <c r="I6" s="66">
        <v>110</v>
      </c>
      <c r="J6" s="2"/>
      <c r="K6" s="24"/>
      <c r="L6" s="61"/>
      <c r="M6" s="16"/>
      <c r="R6" s="1">
        <f>IF(vend18[[#This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84">
        <v>4642</v>
      </c>
      <c r="F7" s="24" t="s">
        <v>115</v>
      </c>
      <c r="G7" s="25" t="s">
        <v>18</v>
      </c>
      <c r="H7" s="8">
        <v>1100</v>
      </c>
      <c r="I7" s="8">
        <v>1100</v>
      </c>
      <c r="J7" s="2"/>
      <c r="K7" s="24"/>
      <c r="L7" s="9"/>
      <c r="M7" s="16"/>
      <c r="R7" s="1">
        <f>IF(vend18[[#This Row],[Nº Venda]]&gt;1,1,0)</f>
        <v>1</v>
      </c>
    </row>
    <row r="8" spans="2:18" ht="15.75" x14ac:dyDescent="0.25">
      <c r="B8" s="27" t="s">
        <v>35</v>
      </c>
      <c r="C8" s="28">
        <f>SUM(C6:C7)</f>
        <v>1650</v>
      </c>
      <c r="D8" s="2"/>
      <c r="E8" s="84"/>
      <c r="F8" s="24"/>
      <c r="G8" s="25"/>
      <c r="H8" s="8"/>
      <c r="I8" s="8"/>
      <c r="J8" s="2"/>
      <c r="K8" s="24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110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84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18</v>
      </c>
      <c r="C13" s="30">
        <f t="shared" si="0"/>
        <v>1100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IF(vend18[[#This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IF(vend18[[#This Row],[Nº Venda]]&gt;1,1,0)</f>
        <v>0</v>
      </c>
    </row>
    <row r="15" spans="2:18" ht="15.75" x14ac:dyDescent="0.25">
      <c r="B15" s="29" t="s">
        <v>22</v>
      </c>
      <c r="C15" s="30">
        <f t="shared" si="0"/>
        <v>440</v>
      </c>
      <c r="D15" s="2"/>
      <c r="E15" s="84"/>
      <c r="F15" s="24"/>
      <c r="G15" s="25"/>
      <c r="H15" s="8"/>
      <c r="I15" s="8"/>
      <c r="J15" s="2"/>
      <c r="K15" s="92"/>
      <c r="L15" s="9"/>
      <c r="M15" s="16"/>
      <c r="R15" s="1">
        <f>IF(vend18[[#This Row],[Nº Venda]]&gt;1,1,0)</f>
        <v>0</v>
      </c>
    </row>
    <row r="16" spans="2:18" ht="15.75" x14ac:dyDescent="0.25">
      <c r="B16" s="27" t="s">
        <v>24</v>
      </c>
      <c r="C16" s="31">
        <f>SUM(C11:C15)</f>
        <v>1650</v>
      </c>
      <c r="D16" s="2"/>
      <c r="E16" s="84"/>
      <c r="F16" s="24"/>
      <c r="G16" s="25"/>
      <c r="H16" s="8"/>
      <c r="I16" s="8"/>
      <c r="J16" s="2"/>
      <c r="K16" s="92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/>
      <c r="L17" s="9"/>
      <c r="M17" s="16"/>
      <c r="R17" s="1">
        <f>IF(vend18[[#This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IF(vend18[[#This Row],[Nº Venda]]&gt;1,1,0)</f>
        <v>0</v>
      </c>
    </row>
    <row r="19" spans="2:18" ht="15.75" x14ac:dyDescent="0.25">
      <c r="B19" s="29">
        <f>COUNT(entr_carn18[OS])</f>
        <v>0</v>
      </c>
      <c r="C19" s="30">
        <f>SUM(entr_carn18[Valor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IF(vend18[[#This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2200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59"/>
      <c r="F23" s="59"/>
      <c r="G23" s="59"/>
      <c r="H23" s="60"/>
      <c r="I23" s="60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>
        <v>4620</v>
      </c>
      <c r="F26" s="24" t="s">
        <v>116</v>
      </c>
      <c r="G26" s="25" t="s">
        <v>22</v>
      </c>
      <c r="H26" s="8"/>
      <c r="I26" s="8">
        <v>300</v>
      </c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25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>
        <v>4082</v>
      </c>
      <c r="F35" s="24" t="s">
        <v>117</v>
      </c>
      <c r="G35" s="25" t="s">
        <v>22</v>
      </c>
      <c r="H35" s="8">
        <v>140</v>
      </c>
      <c r="I35" s="8" t="s">
        <v>53</v>
      </c>
      <c r="K35" s="92"/>
      <c r="L35" s="40"/>
      <c r="M35" s="16"/>
    </row>
    <row r="36" spans="2:18" ht="15.75" x14ac:dyDescent="0.25">
      <c r="E36" s="88"/>
      <c r="F36" s="24"/>
      <c r="G36" s="25"/>
      <c r="H36" s="8"/>
      <c r="I36" s="8"/>
      <c r="K36" s="92"/>
      <c r="L36" s="40"/>
      <c r="M36" s="16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2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view="pageBreakPreview" topLeftCell="A9" zoomScale="70" zoomScaleNormal="90" zoomScaleSheetLayoutView="70" workbookViewId="0">
      <selection activeCell="G12" sqref="G12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5">
        <f>'18'!B1+1</f>
        <v>45615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1870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1969.8</v>
      </c>
      <c r="D6" s="2"/>
      <c r="E6" s="84">
        <v>4643</v>
      </c>
      <c r="F6" s="24" t="s">
        <v>118</v>
      </c>
      <c r="G6" s="25" t="s">
        <v>18</v>
      </c>
      <c r="H6" s="8">
        <v>890</v>
      </c>
      <c r="I6" s="8">
        <v>400</v>
      </c>
      <c r="J6" s="2"/>
      <c r="K6" s="24"/>
      <c r="L6" s="9"/>
      <c r="M6" s="16"/>
      <c r="R6" s="1">
        <f>IF(vend19[[#This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84">
        <v>4644</v>
      </c>
      <c r="F7" s="24" t="s">
        <v>119</v>
      </c>
      <c r="G7" s="25" t="s">
        <v>18</v>
      </c>
      <c r="H7" s="49">
        <v>590</v>
      </c>
      <c r="I7" s="8">
        <v>590</v>
      </c>
      <c r="J7" s="2"/>
      <c r="K7" s="24"/>
      <c r="L7" s="9"/>
      <c r="M7" s="16"/>
      <c r="R7" s="1">
        <f>IF(vend19[[#This Row],[Nº Venda]]&gt;1,1,0)</f>
        <v>1</v>
      </c>
    </row>
    <row r="8" spans="2:18" ht="15.75" x14ac:dyDescent="0.25">
      <c r="B8" s="27" t="s">
        <v>35</v>
      </c>
      <c r="C8" s="28">
        <f>SUM(C6:C7)</f>
        <v>1969.8</v>
      </c>
      <c r="D8" s="2"/>
      <c r="E8" s="84">
        <v>4645</v>
      </c>
      <c r="F8" s="24" t="s">
        <v>120</v>
      </c>
      <c r="G8" s="25" t="s">
        <v>18</v>
      </c>
      <c r="H8" s="8">
        <v>390</v>
      </c>
      <c r="I8" s="8">
        <v>390</v>
      </c>
      <c r="J8" s="2"/>
      <c r="K8" s="24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84"/>
      <c r="F9" s="55"/>
      <c r="G9" s="79"/>
      <c r="H9" s="66"/>
      <c r="I9" s="66"/>
      <c r="J9" s="2"/>
      <c r="K9" s="24"/>
      <c r="L9" s="9"/>
      <c r="M9" s="16"/>
      <c r="R9" s="1">
        <f>IF(vend19[[#This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IF(vend19[[#This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240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84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29" t="s">
        <v>18</v>
      </c>
      <c r="C13" s="30">
        <f t="shared" si="0"/>
        <v>1580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IF(vend19[[#This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IF(vend19[[#This Row],[Nº Venda]]&gt;1,1,0)</f>
        <v>0</v>
      </c>
    </row>
    <row r="15" spans="2:18" ht="15.75" x14ac:dyDescent="0.25">
      <c r="B15" s="29" t="s">
        <v>22</v>
      </c>
      <c r="C15" s="30">
        <f t="shared" si="0"/>
        <v>149.80000000000001</v>
      </c>
      <c r="D15" s="2"/>
      <c r="E15" s="84"/>
      <c r="F15" s="24"/>
      <c r="G15" s="25"/>
      <c r="H15" s="8"/>
      <c r="I15" s="8"/>
      <c r="J15" s="2"/>
      <c r="K15" s="92">
        <v>4626</v>
      </c>
      <c r="L15" s="9" t="s">
        <v>10</v>
      </c>
      <c r="M15" s="16" t="s">
        <v>40</v>
      </c>
      <c r="R15" s="1">
        <f>IF(vend19[[#This Row],[Nº Venda]]&gt;1,1,0)</f>
        <v>0</v>
      </c>
    </row>
    <row r="16" spans="2:18" ht="15.75" x14ac:dyDescent="0.25">
      <c r="B16" s="27" t="s">
        <v>24</v>
      </c>
      <c r="C16" s="31">
        <f>SUM(C11:C15)</f>
        <v>1969.8</v>
      </c>
      <c r="D16" s="2"/>
      <c r="E16" s="84"/>
      <c r="F16" s="24"/>
      <c r="G16" s="25"/>
      <c r="H16" s="8"/>
      <c r="I16" s="8"/>
      <c r="J16" s="2"/>
      <c r="K16" s="92">
        <v>4627</v>
      </c>
      <c r="L16" s="9" t="s">
        <v>10</v>
      </c>
      <c r="M16" s="16" t="s">
        <v>40</v>
      </c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>
        <v>4533</v>
      </c>
      <c r="L17" s="9" t="s">
        <v>15</v>
      </c>
      <c r="M17" s="16" t="s">
        <v>40</v>
      </c>
      <c r="R17" s="1">
        <f>IF(vend19[[#This Row],[Nº Venda]]&gt;1,1,0)</f>
        <v>0</v>
      </c>
    </row>
    <row r="18" spans="2:22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IF(vend19[[#This Row],[Nº Venda]]&gt;1,1,0)</f>
        <v>0</v>
      </c>
    </row>
    <row r="20" spans="2:22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IF(vend19[[#This Row],[Nº Venda]]&gt;1,1,0)</f>
        <v>0</v>
      </c>
      <c r="V20" s="1" t="s">
        <v>121</v>
      </c>
    </row>
    <row r="21" spans="2:22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22" ht="15.75" x14ac:dyDescent="0.25">
      <c r="B22" s="27" t="s">
        <v>42</v>
      </c>
      <c r="C22" s="31">
        <f>C5</f>
        <v>1870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22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22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22" ht="15.75" x14ac:dyDescent="0.25">
      <c r="B26" s="2"/>
      <c r="C26" s="2"/>
      <c r="D26" s="2"/>
      <c r="E26" s="84">
        <v>4641</v>
      </c>
      <c r="F26" s="38" t="s">
        <v>122</v>
      </c>
      <c r="G26" s="25" t="s">
        <v>14</v>
      </c>
      <c r="H26" s="8"/>
      <c r="I26" s="8">
        <v>40</v>
      </c>
      <c r="J26" s="2"/>
      <c r="K26" s="92"/>
      <c r="L26" s="9"/>
      <c r="M26" s="16"/>
    </row>
    <row r="27" spans="2:22" ht="15.75" x14ac:dyDescent="0.25">
      <c r="B27" s="2"/>
      <c r="C27" s="2"/>
      <c r="D27" s="2"/>
      <c r="E27" s="84">
        <v>4626</v>
      </c>
      <c r="F27" s="24" t="s">
        <v>77</v>
      </c>
      <c r="G27" s="25" t="s">
        <v>14</v>
      </c>
      <c r="H27" s="8"/>
      <c r="I27" s="8">
        <v>200</v>
      </c>
      <c r="J27" s="2"/>
      <c r="K27" s="92"/>
      <c r="L27" s="9"/>
      <c r="M27" s="16"/>
    </row>
    <row r="28" spans="2:22" ht="15.75" x14ac:dyDescent="0.25">
      <c r="B28" s="2"/>
      <c r="C28" s="2"/>
      <c r="D28" s="2"/>
      <c r="E28" s="84">
        <v>4627</v>
      </c>
      <c r="F28" s="24" t="s">
        <v>77</v>
      </c>
      <c r="G28" s="25" t="s">
        <v>18</v>
      </c>
      <c r="H28" s="8"/>
      <c r="I28" s="8">
        <v>200</v>
      </c>
      <c r="J28" s="2"/>
      <c r="K28" s="92"/>
      <c r="L28" s="9"/>
      <c r="M28" s="16"/>
    </row>
    <row r="29" spans="2:22" ht="15.75" x14ac:dyDescent="0.25">
      <c r="B29" s="2"/>
      <c r="C29" s="2"/>
      <c r="D29" s="2"/>
      <c r="E29" s="84"/>
      <c r="F29" s="24"/>
      <c r="G29" s="80"/>
      <c r="H29" s="25"/>
      <c r="I29" s="8"/>
      <c r="J29" s="2"/>
      <c r="K29" s="92"/>
      <c r="L29" s="9"/>
      <c r="M29" s="16"/>
    </row>
    <row r="30" spans="2:22" ht="15.75" x14ac:dyDescent="0.25">
      <c r="B30" s="2"/>
      <c r="C30" s="2"/>
      <c r="D30" s="2"/>
      <c r="E30" s="84"/>
      <c r="F30" s="24"/>
      <c r="G30" s="25"/>
      <c r="H30" s="8"/>
      <c r="I30" s="8"/>
      <c r="J30" s="2"/>
      <c r="K30" s="92"/>
      <c r="L30" s="9"/>
      <c r="M30" s="16"/>
    </row>
    <row r="31" spans="2:22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>
        <v>4626</v>
      </c>
      <c r="F35" s="24" t="s">
        <v>123</v>
      </c>
      <c r="G35" s="25" t="s">
        <v>22</v>
      </c>
      <c r="H35" s="8">
        <v>149.80000000000001</v>
      </c>
      <c r="I35" s="8" t="s">
        <v>53</v>
      </c>
      <c r="K35" s="92"/>
      <c r="L35" s="40"/>
      <c r="M35" s="16"/>
    </row>
    <row r="36" spans="2:18" ht="15.75" x14ac:dyDescent="0.25">
      <c r="E36" s="88"/>
      <c r="F36" s="24"/>
      <c r="G36" s="25"/>
      <c r="H36" s="8"/>
      <c r="I36" s="8"/>
      <c r="K36" s="92"/>
      <c r="L36" s="40"/>
      <c r="M36" s="16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3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view="pageBreakPreview" topLeftCell="A2" zoomScale="6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5">
        <f>'19'!B1+1</f>
        <v>45616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0</v>
      </c>
      <c r="D6" s="2"/>
      <c r="E6" s="84"/>
      <c r="F6" s="24"/>
      <c r="G6" s="25"/>
      <c r="H6" s="8"/>
      <c r="I6" s="8"/>
      <c r="J6" s="2"/>
      <c r="K6" s="24"/>
      <c r="L6" s="9"/>
      <c r="M6" s="16"/>
      <c r="R6" s="1">
        <f>IF(vend20[[#This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84"/>
      <c r="F7" s="24"/>
      <c r="G7" s="25"/>
      <c r="H7" s="8"/>
      <c r="I7" s="8"/>
      <c r="J7" s="2"/>
      <c r="K7" s="24"/>
      <c r="L7" s="9"/>
      <c r="M7" s="16"/>
      <c r="R7" s="1">
        <f>IF(vend20[[#This Row],[Nº Venda]]&gt;1,1,0)</f>
        <v>0</v>
      </c>
    </row>
    <row r="8" spans="2:18" ht="15.75" x14ac:dyDescent="0.25">
      <c r="B8" s="27" t="s">
        <v>35</v>
      </c>
      <c r="C8" s="28">
        <f>SUM(C6:C7)</f>
        <v>0</v>
      </c>
      <c r="D8" s="2"/>
      <c r="E8" s="84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84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IF(vend20[[#This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IF(vend20[[#This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84"/>
      <c r="F15" s="24"/>
      <c r="G15" s="25"/>
      <c r="H15" s="8"/>
      <c r="I15" s="8"/>
      <c r="J15" s="2"/>
      <c r="K15" s="92"/>
      <c r="L15" s="9"/>
      <c r="M15" s="16"/>
      <c r="R15" s="1">
        <f>IF(vend20[[#This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84"/>
      <c r="F16" s="24"/>
      <c r="G16" s="25"/>
      <c r="H16" s="8"/>
      <c r="I16" s="8"/>
      <c r="J16" s="2"/>
      <c r="K16" s="92"/>
      <c r="L16" s="9"/>
      <c r="M16" s="63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/>
      <c r="L17" s="9"/>
      <c r="M17" s="16"/>
      <c r="R17" s="1">
        <f>IF(vend20[[#This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/>
      <c r="F26" s="24"/>
      <c r="G26" s="25"/>
      <c r="H26" s="8"/>
      <c r="I26" s="8"/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25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/>
      <c r="F35" s="24"/>
      <c r="G35" s="25"/>
      <c r="H35" s="8"/>
      <c r="I35" s="8"/>
      <c r="K35" s="92"/>
      <c r="L35" s="40"/>
      <c r="M35" s="63"/>
    </row>
    <row r="36" spans="2:18" ht="15.75" x14ac:dyDescent="0.25">
      <c r="E36" s="88"/>
      <c r="F36" s="24"/>
      <c r="G36" s="25"/>
      <c r="H36" s="8"/>
      <c r="I36" s="8"/>
      <c r="K36" s="92"/>
      <c r="L36" s="64"/>
      <c r="M36" s="63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0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3"/>
  <sheetViews>
    <sheetView showGridLines="0" topLeftCell="A21" zoomScale="90" zoomScaleNormal="90" workbookViewId="0">
      <selection activeCell="L40" sqref="L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'20'!B1+1</f>
        <v>45617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40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769.55</v>
      </c>
      <c r="D6" s="2"/>
      <c r="E6" s="84">
        <v>4646</v>
      </c>
      <c r="F6" s="24" t="s">
        <v>124</v>
      </c>
      <c r="G6" s="25" t="s">
        <v>16</v>
      </c>
      <c r="H6" s="8">
        <v>40</v>
      </c>
      <c r="I6" s="8">
        <v>40</v>
      </c>
      <c r="J6" s="2"/>
      <c r="K6" s="24"/>
      <c r="L6" s="9"/>
      <c r="M6" s="16"/>
      <c r="R6" s="1">
        <f>IF(vend21[[#This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84"/>
      <c r="F7" s="24"/>
      <c r="G7" s="25"/>
      <c r="H7" s="8"/>
      <c r="I7" s="8"/>
      <c r="J7" s="2"/>
      <c r="K7" s="24"/>
      <c r="L7" s="9"/>
      <c r="M7" s="16"/>
      <c r="R7" s="1">
        <f>IF(vend21[[#This Row],[Nº Venda]]&gt;1,1,0)</f>
        <v>0</v>
      </c>
    </row>
    <row r="8" spans="2:18" ht="15.75" x14ac:dyDescent="0.25">
      <c r="B8" s="27" t="s">
        <v>35</v>
      </c>
      <c r="C8" s="28">
        <f>SUM(C6:C7)</f>
        <v>769.55</v>
      </c>
      <c r="D8" s="2"/>
      <c r="E8" s="84"/>
      <c r="F8" s="24"/>
      <c r="G8" s="25"/>
      <c r="H8" s="8"/>
      <c r="I8" s="8"/>
      <c r="J8" s="2"/>
      <c r="K8" s="24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IF(vend21[[#This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IF(vend21[[#This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(SUMIF($G$2:$G$31,B11,$I$2:$I$31))+(SUMIF($G$35:$G$43,B11,$H$35:$H$43))</f>
        <v>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29" t="s">
        <v>16</v>
      </c>
      <c r="C12" s="30">
        <f>(SUMIF($G$2:$G$31,B12,$I$2:$I$31))+(SUMIF($G$35:$G$43,B12,$H$35:$H$43))</f>
        <v>354.28</v>
      </c>
      <c r="D12" s="2"/>
      <c r="E12" s="84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18</v>
      </c>
      <c r="C13" s="30">
        <f>(SUMIF($G$2:$G$31,B13,$I$2:$I$31))+(SUMIF($G$35:$G$43,B13,$H$35:$H$43))</f>
        <v>0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IF(vend21[[#This Row],[Nº Venda]]&gt;1,1,0)</f>
        <v>0</v>
      </c>
    </row>
    <row r="14" spans="2:18" ht="15.75" x14ac:dyDescent="0.25">
      <c r="B14" s="29" t="s">
        <v>20</v>
      </c>
      <c r="C14" s="30">
        <f>(SUMIF($G$2:$G$31,B14,$I$2:$I$31))+(SUMIF($G$35:$G$43,B14,$H$35:$H$43))</f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IF(vend21[[#This Row],[Nº Venda]]&gt;1,1,0)</f>
        <v>0</v>
      </c>
    </row>
    <row r="15" spans="2:18" ht="15.75" x14ac:dyDescent="0.25">
      <c r="B15" s="29" t="s">
        <v>22</v>
      </c>
      <c r="C15" s="30">
        <f>(SUMIF($G$2:$G$31,B15,$I$2:$I$31))+(SUMIF($G$35:$G$43,B15,$H$35:$H$43))</f>
        <v>415.27</v>
      </c>
      <c r="D15" s="2"/>
      <c r="E15" s="84"/>
      <c r="F15" s="24"/>
      <c r="G15" s="25"/>
      <c r="H15" s="8"/>
      <c r="I15" s="8"/>
      <c r="J15" s="2"/>
      <c r="K15" s="92">
        <v>4616</v>
      </c>
      <c r="L15" s="9" t="s">
        <v>10</v>
      </c>
      <c r="M15" s="16" t="s">
        <v>41</v>
      </c>
      <c r="R15" s="1">
        <f>IF(vend21[[#This Row],[Nº Venda]]&gt;1,1,0)</f>
        <v>0</v>
      </c>
    </row>
    <row r="16" spans="2:18" ht="15.75" x14ac:dyDescent="0.25">
      <c r="B16" s="27" t="s">
        <v>24</v>
      </c>
      <c r="C16" s="31">
        <f>SUM(C11:C15)</f>
        <v>769.55</v>
      </c>
      <c r="D16" s="2"/>
      <c r="E16" s="84"/>
      <c r="F16" s="24"/>
      <c r="G16" s="25"/>
      <c r="H16" s="8"/>
      <c r="I16" s="8"/>
      <c r="J16" s="2"/>
      <c r="K16" s="92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/>
      <c r="L17" s="9"/>
      <c r="M17" s="16"/>
      <c r="R17" s="1">
        <f>IF(vend21[[#This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IF(vend21[[#This Row],[Nº Venda]]&gt;1,1,0)</f>
        <v>0</v>
      </c>
    </row>
    <row r="19" spans="2:18" ht="15.75" x14ac:dyDescent="0.25">
      <c r="B19" s="29">
        <f>COUNT(entr_carn21[OS])</f>
        <v>1</v>
      </c>
      <c r="C19" s="30">
        <f>SUM(entr_carn21[Valor Total])</f>
        <v>599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IF(vend21[[#This Row],[Nº Venda]]&gt;1,1,0)</f>
        <v>0</v>
      </c>
    </row>
    <row r="20" spans="2:18" ht="15.75" x14ac:dyDescent="0.25">
      <c r="B20" s="27" t="s">
        <v>24</v>
      </c>
      <c r="C20" s="31">
        <f>SUM(C19:C19)</f>
        <v>599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40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/>
      <c r="F26" s="24"/>
      <c r="G26" s="25"/>
      <c r="H26" s="8"/>
      <c r="I26" s="8"/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25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>
        <v>4385</v>
      </c>
      <c r="F35" s="24" t="s">
        <v>125</v>
      </c>
      <c r="G35" s="25" t="s">
        <v>22</v>
      </c>
      <c r="H35" s="8">
        <v>64.28</v>
      </c>
      <c r="I35" s="8" t="s">
        <v>126</v>
      </c>
      <c r="K35" s="92">
        <v>4616</v>
      </c>
      <c r="L35" s="40">
        <v>7</v>
      </c>
      <c r="M35" s="16">
        <v>599</v>
      </c>
    </row>
    <row r="36" spans="2:18" ht="15.75" x14ac:dyDescent="0.25">
      <c r="E36" s="88">
        <v>4219</v>
      </c>
      <c r="F36" s="24" t="s">
        <v>127</v>
      </c>
      <c r="G36" s="25" t="s">
        <v>22</v>
      </c>
      <c r="H36" s="8">
        <v>100</v>
      </c>
      <c r="I36" s="8" t="s">
        <v>126</v>
      </c>
      <c r="K36" s="92"/>
      <c r="L36" s="40"/>
      <c r="M36" s="16"/>
    </row>
    <row r="37" spans="2:18" ht="15.75" x14ac:dyDescent="0.25">
      <c r="E37" s="84">
        <v>3968</v>
      </c>
      <c r="F37" s="24" t="s">
        <v>127</v>
      </c>
      <c r="G37" s="25" t="s">
        <v>22</v>
      </c>
      <c r="H37" s="8">
        <v>91</v>
      </c>
      <c r="I37" s="8" t="s">
        <v>109</v>
      </c>
      <c r="K37" s="92"/>
      <c r="L37" s="40"/>
      <c r="M37" s="16"/>
    </row>
    <row r="38" spans="2:18" ht="15.75" x14ac:dyDescent="0.25">
      <c r="E38" s="84">
        <v>4545</v>
      </c>
      <c r="F38" s="24" t="s">
        <v>128</v>
      </c>
      <c r="G38" s="25" t="s">
        <v>22</v>
      </c>
      <c r="H38" s="8">
        <v>53.33</v>
      </c>
      <c r="I38" s="8" t="s">
        <v>129</v>
      </c>
      <c r="K38" s="92"/>
      <c r="L38" s="40"/>
      <c r="M38" s="16"/>
    </row>
    <row r="39" spans="2:18" ht="15.75" x14ac:dyDescent="0.25">
      <c r="E39" s="84">
        <v>4545</v>
      </c>
      <c r="F39" s="38" t="s">
        <v>128</v>
      </c>
      <c r="G39" s="25" t="s">
        <v>22</v>
      </c>
      <c r="H39" s="8">
        <v>53.33</v>
      </c>
      <c r="I39" s="8" t="s">
        <v>96</v>
      </c>
      <c r="K39" s="92"/>
      <c r="L39" s="40"/>
      <c r="M39" s="16"/>
    </row>
    <row r="40" spans="2:18" ht="15.75" x14ac:dyDescent="0.25">
      <c r="E40" s="86">
        <v>4545</v>
      </c>
      <c r="F40" s="35" t="s">
        <v>128</v>
      </c>
      <c r="G40" s="36" t="s">
        <v>22</v>
      </c>
      <c r="H40" s="17">
        <v>53.33</v>
      </c>
      <c r="I40" s="8" t="s">
        <v>94</v>
      </c>
      <c r="K40" s="93"/>
      <c r="L40" s="40"/>
      <c r="M40" s="16"/>
      <c r="Q40" s="1" t="s">
        <v>54</v>
      </c>
      <c r="R40" s="1">
        <f>SUM(R6:R21)</f>
        <v>1</v>
      </c>
    </row>
    <row r="41" spans="2:18" ht="15.75" x14ac:dyDescent="0.25">
      <c r="E41" s="86">
        <v>4357</v>
      </c>
      <c r="F41" s="104" t="s">
        <v>130</v>
      </c>
      <c r="G41" s="80" t="s">
        <v>16</v>
      </c>
      <c r="H41" s="81">
        <v>150</v>
      </c>
      <c r="I41" s="8" t="s">
        <v>98</v>
      </c>
      <c r="K41" s="93"/>
      <c r="L41" s="40"/>
      <c r="M41" s="16"/>
    </row>
    <row r="42" spans="2:18" ht="15.75" x14ac:dyDescent="0.25">
      <c r="E42" s="86">
        <v>4507</v>
      </c>
      <c r="F42" s="104" t="s">
        <v>130</v>
      </c>
      <c r="G42" s="80" t="s">
        <v>16</v>
      </c>
      <c r="H42" s="81">
        <v>164.28</v>
      </c>
      <c r="I42" s="8" t="s">
        <v>131</v>
      </c>
      <c r="K42" s="92"/>
      <c r="L42" s="41"/>
      <c r="M42" s="39"/>
    </row>
    <row r="43" spans="2:18" ht="15.75" x14ac:dyDescent="0.25">
      <c r="E43" s="87"/>
      <c r="F43" s="38"/>
      <c r="G43" s="25"/>
      <c r="H43" s="8"/>
      <c r="I43" s="8"/>
      <c r="K43" s="93"/>
      <c r="L43" s="40"/>
      <c r="M43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3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G35:G43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K15:K31 E35:E43 K35:K42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2" zoomScale="90" zoomScaleNormal="90" zoomScaleSheetLayoutView="48" workbookViewId="0">
      <selection activeCell="C43" sqref="C4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'21'!B1+1</f>
        <v>45618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150</v>
      </c>
      <c r="D6" s="2"/>
      <c r="E6" s="84"/>
      <c r="F6" s="24"/>
      <c r="G6" s="25"/>
      <c r="H6" s="8"/>
      <c r="I6" s="8"/>
      <c r="J6" s="2"/>
      <c r="K6" s="24"/>
      <c r="L6" s="9"/>
      <c r="M6" s="16"/>
      <c r="R6" s="1">
        <f>IF(vend22[[#This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84"/>
      <c r="F7" s="24"/>
      <c r="G7" s="25"/>
      <c r="H7" s="8"/>
      <c r="I7" s="8"/>
      <c r="J7" s="2"/>
      <c r="K7" s="24"/>
      <c r="L7" s="9"/>
      <c r="M7" s="16"/>
      <c r="R7" s="1">
        <f>IF(vend22[[#This Row],[Nº Venda]]&gt;1,1,0)</f>
        <v>0</v>
      </c>
    </row>
    <row r="8" spans="2:18" ht="15.75" x14ac:dyDescent="0.25">
      <c r="B8" s="27" t="s">
        <v>35</v>
      </c>
      <c r="C8" s="28">
        <f>SUM(C6:C7)</f>
        <v>150</v>
      </c>
      <c r="D8" s="2"/>
      <c r="E8" s="84"/>
      <c r="F8" s="24"/>
      <c r="G8" s="25"/>
      <c r="H8" s="8"/>
      <c r="I8" s="8"/>
      <c r="J8" s="2"/>
      <c r="K8" s="24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IF(vend22[[#This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IF(vend22[[#This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29" t="s">
        <v>16</v>
      </c>
      <c r="C12" s="30">
        <f>(SUMIF($G$2:$G$31,B12,$I$2:$I$31))+(SUMIF($G$35:$G$41,B12,$H$35:$H$41))</f>
        <v>150</v>
      </c>
      <c r="D12" s="2"/>
      <c r="E12" s="84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29" t="s">
        <v>18</v>
      </c>
      <c r="C13" s="30">
        <f t="shared" ref="C13:C15" si="0">(SUMIF($G$2:$G$31,B13,$I$2:$I$31))+(SUMIF($G$35:$G$41,B13,$H$35:$H$41))</f>
        <v>0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IF(vend22[[#This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IF(vend22[[#This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84"/>
      <c r="F15" s="24"/>
      <c r="G15" s="25"/>
      <c r="H15" s="8"/>
      <c r="I15" s="8"/>
      <c r="J15" s="2"/>
      <c r="K15" s="92">
        <v>4239</v>
      </c>
      <c r="L15" s="9" t="s">
        <v>10</v>
      </c>
      <c r="M15" s="16" t="s">
        <v>40</v>
      </c>
      <c r="R15" s="1">
        <f>IF(vend22[[#This Row],[Nº Venda]]&gt;1,1,0)</f>
        <v>0</v>
      </c>
    </row>
    <row r="16" spans="2:18" ht="15.75" x14ac:dyDescent="0.25">
      <c r="B16" s="27" t="s">
        <v>24</v>
      </c>
      <c r="C16" s="31">
        <f>SUM(C11:C15)</f>
        <v>150</v>
      </c>
      <c r="D16" s="2"/>
      <c r="E16" s="84"/>
      <c r="F16" s="24"/>
      <c r="G16" s="25"/>
      <c r="H16" s="8"/>
      <c r="I16" s="8"/>
      <c r="J16" s="2"/>
      <c r="K16" s="92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/>
      <c r="L17" s="9"/>
      <c r="M17" s="16"/>
      <c r="R17" s="1">
        <f>IF(vend22[[#This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IF(vend22[[#This Row],[Nº Venda]]&gt;1,1,0)</f>
        <v>0</v>
      </c>
    </row>
    <row r="19" spans="2:18" ht="15.75" x14ac:dyDescent="0.25">
      <c r="B19" s="29">
        <f>COUNT(entr_carn22[OS])</f>
        <v>0</v>
      </c>
      <c r="C19" s="30">
        <f>SUM(entr_carn22[Valor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IF(vend22[[#This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>
        <v>4239</v>
      </c>
      <c r="F26" s="24" t="s">
        <v>132</v>
      </c>
      <c r="G26" s="25" t="s">
        <v>16</v>
      </c>
      <c r="H26" s="8">
        <v>0</v>
      </c>
      <c r="I26" s="8">
        <v>150</v>
      </c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25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/>
      <c r="F35" s="24"/>
      <c r="G35" s="25"/>
      <c r="H35" s="8"/>
      <c r="I35" s="8"/>
      <c r="K35" s="92"/>
      <c r="L35" s="40"/>
      <c r="M35" s="16"/>
    </row>
    <row r="36" spans="2:18" ht="15.75" x14ac:dyDescent="0.25">
      <c r="E36" s="88"/>
      <c r="F36" s="24"/>
      <c r="G36" s="25"/>
      <c r="H36" s="8"/>
      <c r="I36" s="8"/>
      <c r="K36" s="92"/>
      <c r="L36" s="40"/>
      <c r="M36" s="16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0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1"/>
  <sheetViews>
    <sheetView showGridLines="0" topLeftCell="A9" zoomScale="90" zoomScaleNormal="90" workbookViewId="0">
      <selection activeCell="K27" sqref="K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'22'!B1+1</f>
        <v>45619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425.8</v>
      </c>
      <c r="D6" s="2"/>
      <c r="E6" s="84"/>
      <c r="F6" s="24"/>
      <c r="G6" s="25"/>
      <c r="H6" s="8"/>
      <c r="I6" s="8"/>
      <c r="J6" s="2"/>
      <c r="K6" s="24"/>
      <c r="L6" s="9"/>
      <c r="M6" s="16"/>
      <c r="R6" s="1">
        <f>IF(vend23[[#This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84"/>
      <c r="F7" s="24"/>
      <c r="G7" s="25"/>
      <c r="H7" s="8"/>
      <c r="I7" s="8"/>
      <c r="J7" s="2"/>
      <c r="K7" s="24"/>
      <c r="L7" s="9"/>
      <c r="M7" s="16"/>
      <c r="R7" s="1">
        <f>IF(vend23[[#This Row],[Nº Venda]]&gt;1,1,0)</f>
        <v>0</v>
      </c>
    </row>
    <row r="8" spans="2:18" ht="15.75" x14ac:dyDescent="0.25">
      <c r="B8" s="27" t="s">
        <v>35</v>
      </c>
      <c r="C8" s="28">
        <f>SUM(C6:C7)</f>
        <v>425.8</v>
      </c>
      <c r="D8" s="2"/>
      <c r="E8" s="84"/>
      <c r="F8" s="24"/>
      <c r="G8" s="25"/>
      <c r="H8" s="8"/>
      <c r="I8" s="8"/>
      <c r="J8" s="2"/>
      <c r="K8" s="24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IF(vend23[[#This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 x14ac:dyDescent="0.25">
      <c r="B11" s="29" t="s">
        <v>14</v>
      </c>
      <c r="C11" s="74">
        <f>(SUMIF($G$2:$G$31,B11,$I$2:$I$31))+(SUMIF($G$35:$G$40,B11,$H$35:$H$40))</f>
        <v>200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29" t="s">
        <v>16</v>
      </c>
      <c r="C12" s="74">
        <f>(SUMIF($G$2:$G$31,B12,$I$2:$I$31))+(SUMIF($G$35:$G$40,B12,$H$35:$H$40))</f>
        <v>0</v>
      </c>
      <c r="D12" s="2"/>
      <c r="E12" s="84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18</v>
      </c>
      <c r="C13" s="74">
        <f>(SUMIF($G$2:$G$31,B13,$I$2:$I$31))+(SUMIF($G$35:$G$40,B13,$H$35:$H$40))</f>
        <v>100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IF(vend23[[#This Row],[Nº Venda]]&gt;1,1,0)</f>
        <v>0</v>
      </c>
    </row>
    <row r="14" spans="2:18" ht="15.75" x14ac:dyDescent="0.25">
      <c r="B14" s="29" t="s">
        <v>20</v>
      </c>
      <c r="C14" s="74">
        <f>(SUMIF($G$2:$G$31,B14,$I$2:$I$31))+(SUMIF($G$35:$G$40,B14,$H$35:$H$40))</f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IF(vend23[[#This Row],[Nº Venda]]&gt;1,1,0)</f>
        <v>0</v>
      </c>
    </row>
    <row r="15" spans="2:18" ht="15.75" x14ac:dyDescent="0.25">
      <c r="B15" s="29" t="s">
        <v>22</v>
      </c>
      <c r="C15" s="74">
        <f>(SUMIF($G$2:$G$31,B15,$I$2:$I$31))+(SUMIF($G$35:$G$40,B15,$H$35:$H$40))</f>
        <v>125.8</v>
      </c>
      <c r="D15" s="2"/>
      <c r="E15" s="84"/>
      <c r="F15" s="24"/>
      <c r="G15" s="25"/>
      <c r="H15" s="8"/>
      <c r="I15" s="8"/>
      <c r="J15" s="2"/>
      <c r="K15" s="92">
        <v>4601</v>
      </c>
      <c r="L15" s="9" t="s">
        <v>10</v>
      </c>
      <c r="M15" s="16" t="s">
        <v>40</v>
      </c>
      <c r="R15" s="1">
        <f>IF(vend23[[#This Row],[Nº Venda]]&gt;1,1,0)</f>
        <v>0</v>
      </c>
    </row>
    <row r="16" spans="2:18" ht="15.75" x14ac:dyDescent="0.25">
      <c r="B16" s="27" t="s">
        <v>24</v>
      </c>
      <c r="C16" s="31">
        <f>SUM(C11:C15)</f>
        <v>425.8</v>
      </c>
      <c r="D16" s="2"/>
      <c r="E16" s="84"/>
      <c r="F16" s="24"/>
      <c r="G16" s="25"/>
      <c r="H16" s="8"/>
      <c r="I16" s="8"/>
      <c r="J16" s="2"/>
      <c r="K16" s="92">
        <v>4607</v>
      </c>
      <c r="L16" s="9" t="s">
        <v>10</v>
      </c>
      <c r="M16" s="16" t="s">
        <v>40</v>
      </c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>
        <v>4617</v>
      </c>
      <c r="L17" s="9" t="s">
        <v>17</v>
      </c>
      <c r="M17" s="16" t="s">
        <v>41</v>
      </c>
      <c r="R17" s="1">
        <f>IF(vend23[[#This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>
        <v>4618</v>
      </c>
      <c r="L18" s="9" t="s">
        <v>17</v>
      </c>
      <c r="M18" s="16" t="s">
        <v>41</v>
      </c>
      <c r="R18" s="1">
        <f>IF(vend23[[#This Row],[Nº Venda]]&gt;1,1,0)</f>
        <v>0</v>
      </c>
    </row>
    <row r="19" spans="2:18" ht="15.75" x14ac:dyDescent="0.25">
      <c r="B19" s="29">
        <f>COUNT(entr_carn23[OS])</f>
        <v>1</v>
      </c>
      <c r="C19" s="30">
        <f>SUM(entr_carn23[Valor Total])</f>
        <v>400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IF(vend23[[#This Row],[Nº Venda]]&gt;1,1,0)</f>
        <v>0</v>
      </c>
    </row>
    <row r="20" spans="2:18" ht="15.75" x14ac:dyDescent="0.25">
      <c r="B20" s="27" t="s">
        <v>24</v>
      </c>
      <c r="C20" s="31">
        <f>SUM(C19:C19)</f>
        <v>400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>
        <v>4634</v>
      </c>
      <c r="F26" s="24" t="s">
        <v>133</v>
      </c>
      <c r="G26" s="25" t="s">
        <v>14</v>
      </c>
      <c r="H26" s="8"/>
      <c r="I26" s="8">
        <v>200</v>
      </c>
      <c r="J26" s="2"/>
      <c r="K26" s="92"/>
      <c r="L26" s="9"/>
      <c r="M26" s="16"/>
    </row>
    <row r="27" spans="2:18" ht="15.75" x14ac:dyDescent="0.25">
      <c r="B27" s="2"/>
      <c r="C27" s="2"/>
      <c r="D27" s="2"/>
      <c r="E27" s="84">
        <v>4617</v>
      </c>
      <c r="F27" s="24" t="s">
        <v>134</v>
      </c>
      <c r="G27" s="25" t="s">
        <v>18</v>
      </c>
      <c r="H27" s="8"/>
      <c r="I27" s="8">
        <v>100</v>
      </c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>
        <v>4496</v>
      </c>
      <c r="F35" s="24" t="s">
        <v>135</v>
      </c>
      <c r="G35" s="25" t="s">
        <v>22</v>
      </c>
      <c r="H35" s="8">
        <v>125.8</v>
      </c>
      <c r="I35" s="8" t="s">
        <v>75</v>
      </c>
      <c r="K35" s="92">
        <v>4617</v>
      </c>
      <c r="L35" s="40">
        <v>4</v>
      </c>
      <c r="M35" s="16">
        <v>400</v>
      </c>
    </row>
    <row r="36" spans="2:18" ht="15.75" x14ac:dyDescent="0.25">
      <c r="E36" s="88"/>
      <c r="F36" s="24"/>
      <c r="G36" s="25"/>
      <c r="H36" s="8"/>
      <c r="I36" s="8"/>
      <c r="K36" s="92"/>
      <c r="L36" s="40"/>
      <c r="M36" s="16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0</v>
      </c>
    </row>
    <row r="41" spans="2:18" ht="15" x14ac:dyDescent="0.25"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G35:G40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K35:K41 K15:K31 E35:E40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view="pageBreakPreview" topLeftCell="A4" zoomScale="6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'23'!B1+1</f>
        <v>45620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0</v>
      </c>
      <c r="D6" s="2"/>
      <c r="E6" s="84"/>
      <c r="F6" s="24"/>
      <c r="G6" s="25"/>
      <c r="H6" s="8"/>
      <c r="I6" s="8"/>
      <c r="J6" s="2"/>
      <c r="K6" s="24"/>
      <c r="L6" s="9"/>
      <c r="M6" s="16"/>
      <c r="R6" s="1">
        <f>IF(vend24[[#This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84"/>
      <c r="F7" s="24"/>
      <c r="G7" s="25"/>
      <c r="H7" s="8"/>
      <c r="I7" s="8"/>
      <c r="J7" s="2"/>
      <c r="K7" s="24"/>
      <c r="L7" s="9"/>
      <c r="M7" s="16"/>
      <c r="R7" s="1">
        <f>IF(vend24[[#This Row],[Nº Venda]]&gt;1,1,0)</f>
        <v>0</v>
      </c>
    </row>
    <row r="8" spans="2:18" ht="15.75" x14ac:dyDescent="0.25">
      <c r="B8" s="27" t="s">
        <v>35</v>
      </c>
      <c r="C8" s="28">
        <f>SUM(C6:C7)</f>
        <v>0</v>
      </c>
      <c r="D8" s="2"/>
      <c r="E8" s="84"/>
      <c r="F8" s="24"/>
      <c r="G8" s="25"/>
      <c r="H8" s="8"/>
      <c r="I8" s="8"/>
      <c r="J8" s="2"/>
      <c r="K8" s="24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IF(vend24[[#This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84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IF(vend24[[#This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IF(vend24[[#This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84"/>
      <c r="F15" s="24"/>
      <c r="G15" s="25"/>
      <c r="H15" s="8"/>
      <c r="I15" s="8"/>
      <c r="J15" s="2"/>
      <c r="K15" s="92"/>
      <c r="L15" s="9"/>
      <c r="M15" s="16"/>
      <c r="R15" s="1">
        <f>IF(vend24[[#This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84"/>
      <c r="F16" s="24"/>
      <c r="G16" s="25"/>
      <c r="H16" s="8"/>
      <c r="I16" s="8"/>
      <c r="J16" s="2"/>
      <c r="K16" s="92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/>
      <c r="L17" s="9"/>
      <c r="M17" s="16"/>
      <c r="R17" s="1">
        <f>IF(vend24[[#This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IF(vend24[[#This Row],[Nº Venda]]&gt;1,1,0)</f>
        <v>0</v>
      </c>
    </row>
    <row r="19" spans="2:18" ht="15.75" x14ac:dyDescent="0.25">
      <c r="B19" s="29">
        <f>COUNT(entr_carn24[OS])</f>
        <v>0</v>
      </c>
      <c r="C19" s="30">
        <f>SUM(entr_carn24[Valor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/>
      <c r="F26" s="24"/>
      <c r="G26" s="25"/>
      <c r="H26" s="8"/>
      <c r="I26" s="8"/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25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/>
      <c r="F35" s="24"/>
      <c r="G35" s="25"/>
      <c r="H35" s="8"/>
      <c r="I35" s="8"/>
      <c r="K35" s="92"/>
      <c r="L35" s="40"/>
      <c r="M35" s="16"/>
    </row>
    <row r="36" spans="2:18" ht="15.75" x14ac:dyDescent="0.25">
      <c r="E36" s="88"/>
      <c r="F36" s="24"/>
      <c r="G36" s="25"/>
      <c r="H36" s="8"/>
      <c r="I36" s="8"/>
      <c r="K36" s="92"/>
      <c r="L36" s="40"/>
      <c r="M36" s="16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0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16" zoomScale="90" zoomScaleNormal="90" workbookViewId="0">
      <selection activeCell="J8" sqref="J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'24'!B1+1</f>
        <v>45621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1749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 ca="1">C16</f>
        <v>1828</v>
      </c>
      <c r="D6" s="2"/>
      <c r="E6" s="84">
        <v>4647</v>
      </c>
      <c r="F6" s="24" t="s">
        <v>136</v>
      </c>
      <c r="G6" s="25" t="s">
        <v>14</v>
      </c>
      <c r="H6" s="8">
        <v>159</v>
      </c>
      <c r="I6" s="8">
        <v>100</v>
      </c>
      <c r="J6" s="2"/>
      <c r="K6" s="24"/>
      <c r="L6" s="9"/>
      <c r="M6" s="16"/>
      <c r="R6" s="1">
        <f>IF(vend25[[#This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84">
        <v>4648</v>
      </c>
      <c r="F7" s="24" t="s">
        <v>137</v>
      </c>
      <c r="G7" s="25" t="s">
        <v>138</v>
      </c>
      <c r="H7" s="8">
        <v>0</v>
      </c>
      <c r="I7" s="8">
        <v>0</v>
      </c>
      <c r="J7" s="2"/>
      <c r="K7" s="24"/>
      <c r="L7" s="9"/>
      <c r="M7" s="16"/>
      <c r="R7" s="1">
        <f>IF(vend25[[#This Row],[Nº Venda]]&gt;1,1,0)</f>
        <v>1</v>
      </c>
    </row>
    <row r="8" spans="2:18" ht="15.75" x14ac:dyDescent="0.25">
      <c r="B8" s="27" t="s">
        <v>35</v>
      </c>
      <c r="C8" s="28">
        <f ca="1">SUM(C6:C7)</f>
        <v>1828</v>
      </c>
      <c r="D8" s="2"/>
      <c r="E8" s="84">
        <v>4649</v>
      </c>
      <c r="F8" s="24" t="s">
        <v>139</v>
      </c>
      <c r="G8" s="25" t="s">
        <v>18</v>
      </c>
      <c r="H8" s="8">
        <v>1590</v>
      </c>
      <c r="I8" s="8">
        <v>1590</v>
      </c>
      <c r="J8" s="2"/>
      <c r="K8" s="24"/>
      <c r="L8" s="9"/>
      <c r="M8" s="16"/>
      <c r="R8" s="1">
        <f>IF(vend25[[#This Row],[Nº Venda]]&gt;1,1,0)</f>
        <v>1</v>
      </c>
    </row>
    <row r="9" spans="2:18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IF(vend25[[#This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18" ht="15.75" x14ac:dyDescent="0.25">
      <c r="B11" s="29" t="s">
        <v>14</v>
      </c>
      <c r="C11" s="30">
        <f ca="1">(SUMIF($G$2:$G$31,B11,$I$2:$I$31))+(SUMIF($G$35:$G$41,B11,$H$36:$H$41))</f>
        <v>100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 ca="1">IF(C16=0,0,1)</f>
        <v>1</v>
      </c>
      <c r="R11" s="1">
        <f>IF(vend25[[#This Row],[Nº Venda]]&gt;1,1,0)</f>
        <v>0</v>
      </c>
    </row>
    <row r="12" spans="2:18" ht="15.75" x14ac:dyDescent="0.25">
      <c r="B12" s="29" t="s">
        <v>16</v>
      </c>
      <c r="C12" s="30">
        <f ca="1">(SUMIF($G$2:$G$31,B12,$I$2:$I$31))+(SUMIF($G$35:$G$41,B12,$H$36:$H$41))</f>
        <v>0</v>
      </c>
      <c r="D12" s="2"/>
      <c r="E12" s="84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29" t="s">
        <v>18</v>
      </c>
      <c r="C13" s="30">
        <f ca="1">(SUMIF($G$2:$G$31,B13,$I$2:$I$31))+(SUMIF($G$35:$G$41,B13,$H$36:$H$41))</f>
        <v>1590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IF(vend25[[#This Row],[Nº Venda]]&gt;1,1,0)</f>
        <v>0</v>
      </c>
    </row>
    <row r="14" spans="2:18" ht="15.75" x14ac:dyDescent="0.25">
      <c r="B14" s="29" t="s">
        <v>20</v>
      </c>
      <c r="C14" s="30">
        <f ca="1">(SUMIF($G$2:$G$31,B14,$I$2:$I$31))+(SUMIF($G$35:$G$41,B14,$H$36:$H$41))</f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IF(vend25[[#This Row],[Nº Venda]]&gt;1,1,0)</f>
        <v>0</v>
      </c>
    </row>
    <row r="15" spans="2:18" ht="15.75" x14ac:dyDescent="0.25">
      <c r="B15" s="29" t="s">
        <v>22</v>
      </c>
      <c r="C15" s="30">
        <f ca="1">(SUMIF($G$2:$G$31,B15,$I$2:$I$31))+(SUMIF($G$35:$G$41,B15,$H$36:$H$41))</f>
        <v>138</v>
      </c>
      <c r="D15" s="2"/>
      <c r="E15" s="84"/>
      <c r="F15" s="24"/>
      <c r="G15" s="25"/>
      <c r="H15" s="8"/>
      <c r="I15" s="8"/>
      <c r="J15" s="2"/>
      <c r="K15" s="92"/>
      <c r="L15" s="9"/>
      <c r="M15" s="16"/>
      <c r="R15" s="1">
        <f>IF(vend25[[#This Row],[Nº Venda]]&gt;1,1,0)</f>
        <v>0</v>
      </c>
    </row>
    <row r="16" spans="2:18" ht="15.75" x14ac:dyDescent="0.25">
      <c r="B16" s="27" t="s">
        <v>24</v>
      </c>
      <c r="C16" s="31">
        <f ca="1">SUM(C11:C15)</f>
        <v>1828</v>
      </c>
      <c r="D16" s="2"/>
      <c r="E16" s="84"/>
      <c r="F16" s="24"/>
      <c r="G16" s="25"/>
      <c r="H16" s="8"/>
      <c r="I16" s="8"/>
      <c r="J16" s="2"/>
      <c r="K16" s="92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/>
      <c r="L17" s="9"/>
      <c r="M17" s="16"/>
      <c r="R17" s="1">
        <f>IF(vend25[[#This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IF(vend25[[#This Row],[Nº Venda]]&gt;1,1,0)</f>
        <v>0</v>
      </c>
    </row>
    <row r="19" spans="2:18" ht="15.75" x14ac:dyDescent="0.25">
      <c r="B19" s="29">
        <f>COUNT(entr_carn25[OS])</f>
        <v>0</v>
      </c>
      <c r="C19" s="30">
        <f>SUM(entr_carn25[Valor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IF(vend25[[#This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1749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/>
      <c r="F26" s="24"/>
      <c r="G26" s="25"/>
      <c r="H26" s="8"/>
      <c r="I26" s="8"/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25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>
        <v>4612</v>
      </c>
      <c r="F35" s="24" t="s">
        <v>140</v>
      </c>
      <c r="G35" s="25" t="s">
        <v>22</v>
      </c>
      <c r="H35" s="68">
        <v>132.5</v>
      </c>
      <c r="I35" s="8" t="s">
        <v>100</v>
      </c>
      <c r="K35" s="92"/>
      <c r="L35" s="40"/>
      <c r="M35" s="16"/>
    </row>
    <row r="36" spans="2:18" ht="15.75" x14ac:dyDescent="0.25">
      <c r="E36" s="88">
        <v>4447</v>
      </c>
      <c r="F36" s="24" t="s">
        <v>141</v>
      </c>
      <c r="G36" s="25" t="s">
        <v>22</v>
      </c>
      <c r="H36" s="8">
        <v>138</v>
      </c>
      <c r="I36" s="8" t="s">
        <v>142</v>
      </c>
      <c r="K36" s="92"/>
      <c r="L36" s="40"/>
      <c r="M36" s="16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3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37" zoomScale="90" zoomScaleNormal="9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'25'!B1+1</f>
        <v>45622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0</v>
      </c>
      <c r="D6" s="2"/>
      <c r="E6" s="84"/>
      <c r="F6" s="24"/>
      <c r="G6" s="25"/>
      <c r="H6" s="8"/>
      <c r="I6" s="8"/>
      <c r="J6" s="2"/>
      <c r="K6" s="24"/>
      <c r="L6" s="9"/>
      <c r="M6" s="16"/>
      <c r="R6" s="1">
        <f>IF(vend26[[#This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84"/>
      <c r="F7" s="24"/>
      <c r="G7" s="25"/>
      <c r="H7" s="8"/>
      <c r="I7" s="8"/>
      <c r="J7" s="2"/>
      <c r="K7" s="24"/>
      <c r="L7" s="9"/>
      <c r="M7" s="16"/>
      <c r="R7" s="1">
        <f>IF(vend26[[#This Row],[Nº Venda]]&gt;1,1,0)</f>
        <v>0</v>
      </c>
    </row>
    <row r="8" spans="2:18" ht="15.75" x14ac:dyDescent="0.25">
      <c r="B8" s="27" t="s">
        <v>35</v>
      </c>
      <c r="C8" s="28">
        <f>SUM(C6:C7)</f>
        <v>0</v>
      </c>
      <c r="D8" s="2"/>
      <c r="E8" s="84"/>
      <c r="F8" s="24"/>
      <c r="G8" s="25"/>
      <c r="H8" s="8"/>
      <c r="I8" s="8"/>
      <c r="J8" s="2"/>
      <c r="K8" s="24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IF(vend26[[#This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IF(vend26[[#This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84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IF(vend26[[#This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IF(vend26[[#This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84"/>
      <c r="F15" s="24"/>
      <c r="G15" s="25"/>
      <c r="H15" s="8"/>
      <c r="I15" s="8"/>
      <c r="J15" s="2"/>
      <c r="K15" s="92">
        <v>4642</v>
      </c>
      <c r="L15" s="9" t="s">
        <v>17</v>
      </c>
      <c r="M15" s="16" t="s">
        <v>40</v>
      </c>
      <c r="R15" s="1">
        <f>IF(vend26[[#This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84"/>
      <c r="F16" s="24"/>
      <c r="G16" s="25"/>
      <c r="H16" s="8"/>
      <c r="I16" s="8"/>
      <c r="J16" s="2"/>
      <c r="K16" s="92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/>
      <c r="L17" s="9"/>
      <c r="M17" s="16"/>
      <c r="R17" s="1">
        <f>IF(vend26[[#This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IF(vend26[[#This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/>
      <c r="F26" s="24"/>
      <c r="G26" s="25"/>
      <c r="H26" s="8"/>
      <c r="I26" s="8"/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25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/>
      <c r="F35" s="24"/>
      <c r="G35" s="25"/>
      <c r="H35" s="8"/>
      <c r="I35" s="8"/>
      <c r="K35" s="92"/>
      <c r="L35" s="40"/>
      <c r="M35" s="16"/>
    </row>
    <row r="36" spans="2:18" ht="15.75" x14ac:dyDescent="0.25">
      <c r="E36" s="88"/>
      <c r="F36" s="24"/>
      <c r="G36" s="25"/>
      <c r="H36" s="8"/>
      <c r="I36" s="8"/>
      <c r="K36" s="92"/>
      <c r="L36" s="40"/>
      <c r="M36" s="16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0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9" zoomScale="90" zoomScaleNormal="9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'26'!B1+1</f>
        <v>45623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1450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2207</v>
      </c>
      <c r="D6" s="2"/>
      <c r="E6" s="84">
        <v>4650</v>
      </c>
      <c r="F6" s="24" t="s">
        <v>143</v>
      </c>
      <c r="G6" s="25" t="s">
        <v>18</v>
      </c>
      <c r="H6" s="8">
        <v>1450</v>
      </c>
      <c r="I6" s="8">
        <v>600</v>
      </c>
      <c r="J6" s="2"/>
      <c r="K6" s="24"/>
      <c r="L6" s="9"/>
      <c r="M6" s="16"/>
      <c r="R6" s="1">
        <f>IF(vend27[[#This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84"/>
      <c r="F7" s="24"/>
      <c r="G7" s="25"/>
      <c r="H7" s="8"/>
      <c r="I7" s="8"/>
      <c r="J7" s="2"/>
      <c r="K7" s="24"/>
      <c r="L7" s="9"/>
      <c r="M7" s="16"/>
      <c r="R7" s="1">
        <f>IF(vend27[[#This Row],[Nº Venda]]&gt;1,1,0)</f>
        <v>0</v>
      </c>
    </row>
    <row r="8" spans="2:18" ht="15.75" x14ac:dyDescent="0.25">
      <c r="B8" s="27" t="s">
        <v>35</v>
      </c>
      <c r="C8" s="28">
        <f>SUM(C6:C7)</f>
        <v>2207</v>
      </c>
      <c r="D8" s="2"/>
      <c r="E8" s="84"/>
      <c r="F8" s="24"/>
      <c r="G8" s="25"/>
      <c r="H8" s="8"/>
      <c r="I8" s="8"/>
      <c r="J8" s="2"/>
      <c r="K8" s="24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359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84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18</v>
      </c>
      <c r="C13" s="30">
        <f t="shared" si="0"/>
        <v>600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IF(vend27[[#This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IF(vend27[[#This Row],[Nº Venda]]&gt;1,1,0)</f>
        <v>0</v>
      </c>
    </row>
    <row r="15" spans="2:18" ht="15.75" x14ac:dyDescent="0.25">
      <c r="B15" s="29" t="s">
        <v>22</v>
      </c>
      <c r="C15" s="30">
        <f t="shared" si="0"/>
        <v>1248</v>
      </c>
      <c r="D15" s="2"/>
      <c r="E15" s="84"/>
      <c r="F15" s="24"/>
      <c r="G15" s="25"/>
      <c r="H15" s="8"/>
      <c r="I15" s="8"/>
      <c r="J15" s="2"/>
      <c r="K15" s="92">
        <v>4528</v>
      </c>
      <c r="L15" s="9" t="s">
        <v>17</v>
      </c>
      <c r="M15" s="16" t="s">
        <v>40</v>
      </c>
      <c r="R15" s="1">
        <f>IF(vend27[[#This Row],[Nº Venda]]&gt;1,1,0)</f>
        <v>0</v>
      </c>
    </row>
    <row r="16" spans="2:18" ht="15.75" x14ac:dyDescent="0.25">
      <c r="B16" s="27" t="s">
        <v>24</v>
      </c>
      <c r="C16" s="31">
        <f>SUM(C11:C15)</f>
        <v>2207</v>
      </c>
      <c r="D16" s="2"/>
      <c r="E16" s="84"/>
      <c r="F16" s="24"/>
      <c r="G16" s="25"/>
      <c r="H16" s="8"/>
      <c r="I16" s="8"/>
      <c r="J16" s="2"/>
      <c r="K16" s="92">
        <v>4529</v>
      </c>
      <c r="L16" s="9" t="s">
        <v>17</v>
      </c>
      <c r="M16" s="16" t="s">
        <v>40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>
        <v>4537</v>
      </c>
      <c r="L17" s="9" t="s">
        <v>17</v>
      </c>
      <c r="M17" s="16" t="s">
        <v>40</v>
      </c>
      <c r="R17" s="1">
        <f>IF(vend27[[#This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>
        <v>4647</v>
      </c>
      <c r="L18" s="9" t="s">
        <v>10</v>
      </c>
      <c r="M18" s="16" t="s">
        <v>40</v>
      </c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1450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>
        <v>4647</v>
      </c>
      <c r="F26" s="24" t="s">
        <v>144</v>
      </c>
      <c r="G26" s="25" t="s">
        <v>14</v>
      </c>
      <c r="H26" s="8"/>
      <c r="I26" s="8">
        <v>59</v>
      </c>
      <c r="J26" s="2"/>
      <c r="K26" s="92"/>
      <c r="L26" s="9"/>
      <c r="M26" s="16"/>
    </row>
    <row r="27" spans="2:18" ht="15.75" x14ac:dyDescent="0.25">
      <c r="B27" s="2"/>
      <c r="C27" s="2"/>
      <c r="D27" s="2"/>
      <c r="E27" s="84">
        <v>4529</v>
      </c>
      <c r="F27" s="24" t="s">
        <v>145</v>
      </c>
      <c r="G27" s="25" t="s">
        <v>22</v>
      </c>
      <c r="H27" s="8"/>
      <c r="I27" s="8">
        <v>798</v>
      </c>
      <c r="J27" s="2"/>
      <c r="K27" s="92"/>
      <c r="L27" s="9"/>
      <c r="M27" s="16"/>
    </row>
    <row r="28" spans="2:18" ht="15.75" x14ac:dyDescent="0.25">
      <c r="B28" s="2"/>
      <c r="C28" s="2"/>
      <c r="D28" s="2"/>
      <c r="E28" s="84">
        <v>4528</v>
      </c>
      <c r="F28" s="24" t="s">
        <v>146</v>
      </c>
      <c r="G28" s="25" t="s">
        <v>22</v>
      </c>
      <c r="H28" s="8"/>
      <c r="I28" s="8">
        <v>350</v>
      </c>
      <c r="J28" s="2"/>
      <c r="K28" s="92"/>
      <c r="L28" s="9"/>
      <c r="M28" s="16"/>
    </row>
    <row r="29" spans="2:18" ht="15.75" x14ac:dyDescent="0.25">
      <c r="B29" s="2"/>
      <c r="C29" s="2"/>
      <c r="D29" s="2"/>
      <c r="E29" s="84">
        <v>4630</v>
      </c>
      <c r="F29" s="24" t="s">
        <v>147</v>
      </c>
      <c r="G29" s="25" t="s">
        <v>22</v>
      </c>
      <c r="H29" s="8"/>
      <c r="I29" s="8">
        <v>100</v>
      </c>
      <c r="J29" s="2"/>
      <c r="K29" s="92"/>
      <c r="L29" s="9"/>
      <c r="M29" s="16"/>
    </row>
    <row r="30" spans="2:18" ht="15.75" x14ac:dyDescent="0.25">
      <c r="B30" s="2"/>
      <c r="C30" s="2"/>
      <c r="D30" s="2"/>
      <c r="E30" s="84">
        <v>4630</v>
      </c>
      <c r="F30" s="38" t="s">
        <v>147</v>
      </c>
      <c r="G30" s="25" t="s">
        <v>14</v>
      </c>
      <c r="H30" s="8"/>
      <c r="I30" s="8">
        <v>100</v>
      </c>
      <c r="J30" s="2"/>
      <c r="K30" s="92"/>
      <c r="L30" s="9"/>
      <c r="M30" s="16"/>
    </row>
    <row r="31" spans="2:18" ht="15.75" x14ac:dyDescent="0.25">
      <c r="B31" s="2"/>
      <c r="C31" s="2"/>
      <c r="D31" s="2"/>
      <c r="E31" s="86">
        <v>4631</v>
      </c>
      <c r="F31" s="35" t="s">
        <v>148</v>
      </c>
      <c r="G31" s="36" t="s">
        <v>14</v>
      </c>
      <c r="H31" s="17"/>
      <c r="I31" s="17">
        <v>200</v>
      </c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/>
      <c r="F35" s="24"/>
      <c r="G35" s="25"/>
      <c r="H35" s="8"/>
      <c r="I35" s="8"/>
      <c r="K35" s="92"/>
      <c r="L35" s="40"/>
      <c r="M35" s="16"/>
    </row>
    <row r="36" spans="2:18" ht="15.75" x14ac:dyDescent="0.25">
      <c r="E36" s="88"/>
      <c r="F36" s="24"/>
      <c r="G36" s="25"/>
      <c r="H36" s="8"/>
      <c r="I36" s="8"/>
      <c r="K36" s="92"/>
      <c r="L36" s="40"/>
      <c r="M36" s="16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1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C166-6C78-4667-8ACB-68F96E03D1A9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14" zoomScale="90" zoomScaleNormal="90" workbookViewId="0">
      <selection activeCell="K36" sqref="K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'27'!B1+1</f>
        <v>45624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346</v>
      </c>
      <c r="D6" s="2"/>
      <c r="E6" s="84"/>
      <c r="F6" s="24"/>
      <c r="G6" s="25"/>
      <c r="H6" s="8"/>
      <c r="I6" s="8"/>
      <c r="J6" s="2"/>
      <c r="K6" s="24"/>
      <c r="L6" s="9"/>
      <c r="M6" s="16"/>
      <c r="R6" s="1">
        <f>IF(vend28[[#This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84"/>
      <c r="F7" s="24"/>
      <c r="G7" s="25"/>
      <c r="H7" s="8"/>
      <c r="I7" s="8"/>
      <c r="J7" s="2"/>
      <c r="K7" s="24"/>
      <c r="L7" s="9"/>
      <c r="M7" s="16"/>
      <c r="R7" s="1">
        <f>IF(vend28[[#This Row],[Nº Venda]]&gt;1,1,0)</f>
        <v>0</v>
      </c>
    </row>
    <row r="8" spans="2:18" ht="15.75" x14ac:dyDescent="0.25">
      <c r="B8" s="27" t="s">
        <v>35</v>
      </c>
      <c r="C8" s="28">
        <f>SUM(C6:C7)</f>
        <v>346</v>
      </c>
      <c r="D8" s="2"/>
      <c r="E8" s="84"/>
      <c r="F8" s="24"/>
      <c r="G8" s="25"/>
      <c r="H8" s="8"/>
      <c r="I8" s="8"/>
      <c r="J8" s="2"/>
      <c r="K8" s="24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346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84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IF(vend28[[#This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IF(vend28[[#This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84"/>
      <c r="F15" s="24"/>
      <c r="G15" s="25"/>
      <c r="H15" s="8"/>
      <c r="I15" s="8"/>
      <c r="J15" s="2"/>
      <c r="K15" s="92">
        <v>4646</v>
      </c>
      <c r="L15" s="9" t="s">
        <v>10</v>
      </c>
      <c r="M15" s="16" t="s">
        <v>40</v>
      </c>
      <c r="R15" s="1">
        <f>IF(vend28[[#This Row],[Nº Venda]]&gt;1,1,0)</f>
        <v>0</v>
      </c>
    </row>
    <row r="16" spans="2:18" ht="15.75" x14ac:dyDescent="0.25">
      <c r="B16" s="27" t="s">
        <v>24</v>
      </c>
      <c r="C16" s="31">
        <f>SUM(C11:C15)</f>
        <v>346</v>
      </c>
      <c r="D16" s="2"/>
      <c r="E16" s="84"/>
      <c r="F16" s="24"/>
      <c r="G16" s="25"/>
      <c r="H16" s="8"/>
      <c r="I16" s="8"/>
      <c r="J16" s="2"/>
      <c r="K16" s="92">
        <v>4630</v>
      </c>
      <c r="L16" s="9" t="s">
        <v>10</v>
      </c>
      <c r="M16" s="16" t="s">
        <v>41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>
        <v>4631</v>
      </c>
      <c r="L17" s="9" t="s">
        <v>10</v>
      </c>
      <c r="M17" s="16" t="s">
        <v>41</v>
      </c>
      <c r="R17" s="1">
        <f>IF(vend28[[#This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IF(vend28[[#This Row],[Nº Venda]]&gt;1,1,0)</f>
        <v>0</v>
      </c>
    </row>
    <row r="19" spans="2:18" ht="15.75" x14ac:dyDescent="0.25">
      <c r="B19" s="29">
        <f>COUNT(entr_carn28[OS])</f>
        <v>1</v>
      </c>
      <c r="C19" s="30">
        <f>SUM(entr_carn28[Valor Total])</f>
        <v>800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IF(vend28[[#This Row],[Nº Venda]]&gt;1,1,0)</f>
        <v>0</v>
      </c>
    </row>
    <row r="20" spans="2:18" ht="15.75" x14ac:dyDescent="0.25">
      <c r="B20" s="27" t="s">
        <v>24</v>
      </c>
      <c r="C20" s="31">
        <f>SUM(C19:C19)</f>
        <v>800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/>
      <c r="F26" s="24"/>
      <c r="G26" s="25"/>
      <c r="H26" s="8"/>
      <c r="I26" s="8"/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25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>
        <v>4406</v>
      </c>
      <c r="F35" s="24" t="s">
        <v>149</v>
      </c>
      <c r="G35" s="25" t="s">
        <v>14</v>
      </c>
      <c r="H35" s="8">
        <v>346</v>
      </c>
      <c r="I35" s="8" t="s">
        <v>94</v>
      </c>
      <c r="K35" s="92">
        <v>4630</v>
      </c>
      <c r="L35" s="40">
        <v>3</v>
      </c>
      <c r="M35" s="16">
        <v>800</v>
      </c>
    </row>
    <row r="36" spans="2:18" ht="15.75" x14ac:dyDescent="0.25">
      <c r="E36" s="88"/>
      <c r="F36" s="24"/>
      <c r="G36" s="25"/>
      <c r="H36" s="8"/>
      <c r="I36" s="8"/>
      <c r="K36" s="92"/>
      <c r="L36" s="40"/>
      <c r="M36" s="16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0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19" zoomScale="90" zoomScaleNormal="90" zoomScaleSheetLayoutView="78" workbookViewId="0">
      <selection activeCell="E14" sqref="E14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56">
        <f>'28'!B1+1</f>
        <v>45625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1632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1257.5</v>
      </c>
      <c r="D6" s="2"/>
      <c r="E6" s="84">
        <v>4651</v>
      </c>
      <c r="F6" s="24" t="s">
        <v>150</v>
      </c>
      <c r="G6" s="25" t="s">
        <v>22</v>
      </c>
      <c r="H6" s="8">
        <v>755</v>
      </c>
      <c r="I6" s="8">
        <v>370</v>
      </c>
      <c r="J6" s="2"/>
      <c r="K6" s="24"/>
      <c r="L6" s="9"/>
      <c r="M6" s="16"/>
      <c r="R6" s="1">
        <f>IF(vend29[[#This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84">
        <v>4652</v>
      </c>
      <c r="F7" s="24" t="s">
        <v>150</v>
      </c>
      <c r="G7" s="25" t="s">
        <v>22</v>
      </c>
      <c r="H7" s="8">
        <v>187</v>
      </c>
      <c r="I7" s="8">
        <v>100</v>
      </c>
      <c r="J7" s="2"/>
      <c r="K7" s="24"/>
      <c r="L7" s="9"/>
      <c r="M7" s="16"/>
      <c r="R7" s="1">
        <f>IF(vend29[[#This Row],[Nº Venda]]&gt;1,1,0)</f>
        <v>1</v>
      </c>
    </row>
    <row r="8" spans="2:18" ht="15.75" x14ac:dyDescent="0.25">
      <c r="B8" s="27" t="s">
        <v>35</v>
      </c>
      <c r="C8" s="28">
        <f>SUM(C6:C7)</f>
        <v>1257.5</v>
      </c>
      <c r="D8" s="2"/>
      <c r="E8" s="84">
        <v>4653</v>
      </c>
      <c r="F8" s="24" t="s">
        <v>151</v>
      </c>
      <c r="G8" s="25" t="s">
        <v>18</v>
      </c>
      <c r="H8" s="8">
        <v>690</v>
      </c>
      <c r="I8" s="8">
        <v>690</v>
      </c>
      <c r="J8" s="2"/>
      <c r="K8" s="24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84"/>
      <c r="F9" s="24"/>
      <c r="G9" s="25"/>
      <c r="H9" s="44"/>
      <c r="I9" s="8"/>
      <c r="J9" s="2"/>
      <c r="K9" s="24"/>
      <c r="L9" s="9"/>
      <c r="M9" s="16"/>
      <c r="R9" s="1">
        <f>IF(vend29[[#This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IF(vend29[[#This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84"/>
      <c r="F12" s="24"/>
      <c r="G12" s="25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29" t="s">
        <v>18</v>
      </c>
      <c r="C13" s="30">
        <f t="shared" si="0"/>
        <v>690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IF(vend29[[#This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IF(vend29[[#This Row],[Nº Venda]]&gt;1,1,0)</f>
        <v>0</v>
      </c>
    </row>
    <row r="15" spans="2:18" ht="15.75" x14ac:dyDescent="0.25">
      <c r="B15" s="29" t="s">
        <v>22</v>
      </c>
      <c r="C15" s="30">
        <f t="shared" si="0"/>
        <v>567.5</v>
      </c>
      <c r="D15" s="2"/>
      <c r="E15" s="84"/>
      <c r="F15" s="24"/>
      <c r="G15" s="25"/>
      <c r="H15" s="8"/>
      <c r="I15" s="8"/>
      <c r="J15" s="2"/>
      <c r="K15" s="92"/>
      <c r="L15" s="9"/>
      <c r="M15" s="16"/>
      <c r="R15" s="1">
        <f>IF(vend29[[#This Row],[Nº Venda]]&gt;1,1,0)</f>
        <v>0</v>
      </c>
    </row>
    <row r="16" spans="2:18" ht="15.75" x14ac:dyDescent="0.25">
      <c r="B16" s="27" t="s">
        <v>24</v>
      </c>
      <c r="C16" s="31">
        <f>SUM(C11:C15)</f>
        <v>1257.5</v>
      </c>
      <c r="D16" s="2"/>
      <c r="E16" s="84"/>
      <c r="F16" s="24"/>
      <c r="G16" s="25"/>
      <c r="H16" s="8"/>
      <c r="I16" s="8"/>
      <c r="J16" s="2"/>
      <c r="K16" s="92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/>
      <c r="L17" s="9"/>
      <c r="M17" s="16"/>
      <c r="R17" s="1">
        <f>IF(vend29[[#This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IF(vend29[[#This Row],[Nº Venda]]&gt;1,1,0)</f>
        <v>0</v>
      </c>
    </row>
    <row r="19" spans="2:18" ht="15.75" x14ac:dyDescent="0.25">
      <c r="B19" s="29">
        <f>COUNT(entr_carn29[OS])</f>
        <v>0</v>
      </c>
      <c r="C19" s="30">
        <f>SUM(entr_carn29[Valor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IF(vend29[[#This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1632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/>
      <c r="F26" s="24"/>
      <c r="G26" s="25"/>
      <c r="H26" s="8"/>
      <c r="I26" s="8"/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25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>
        <v>4394</v>
      </c>
      <c r="F35" s="24" t="s">
        <v>152</v>
      </c>
      <c r="G35" s="25" t="s">
        <v>22</v>
      </c>
      <c r="H35" s="8">
        <v>97.5</v>
      </c>
      <c r="I35" s="8" t="s">
        <v>68</v>
      </c>
      <c r="K35" s="92"/>
      <c r="L35" s="40"/>
      <c r="M35" s="16"/>
    </row>
    <row r="36" spans="2:18" ht="15.75" x14ac:dyDescent="0.25">
      <c r="E36" s="88"/>
      <c r="F36" s="24"/>
      <c r="G36" s="25"/>
      <c r="H36" s="8"/>
      <c r="I36" s="8"/>
      <c r="K36" s="92"/>
      <c r="L36" s="40"/>
      <c r="M36" s="16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3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abSelected="1" topLeftCell="A21" zoomScale="90" zoomScaleNormal="90" workbookViewId="0">
      <selection activeCell="H35" sqref="H35:H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'29'!B1+1</f>
        <v>45626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4218.99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4716.99</v>
      </c>
      <c r="D6" s="2"/>
      <c r="E6" s="84">
        <v>4654</v>
      </c>
      <c r="F6" s="24" t="s">
        <v>153</v>
      </c>
      <c r="G6" s="25" t="s">
        <v>18</v>
      </c>
      <c r="H6" s="8">
        <v>999.99</v>
      </c>
      <c r="I6" s="8">
        <v>999.99</v>
      </c>
      <c r="J6" s="2"/>
      <c r="K6" s="24"/>
      <c r="L6" s="9"/>
      <c r="M6" s="16"/>
      <c r="R6" s="1">
        <f>IF(vend30[[#This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84">
        <v>4655</v>
      </c>
      <c r="F7" s="24" t="s">
        <v>154</v>
      </c>
      <c r="G7" s="25" t="s">
        <v>18</v>
      </c>
      <c r="H7" s="8">
        <v>1609.5</v>
      </c>
      <c r="I7" s="8">
        <v>1609.5</v>
      </c>
      <c r="J7" s="2"/>
      <c r="K7" s="24"/>
      <c r="L7" s="9"/>
      <c r="M7" s="16"/>
      <c r="R7" s="1">
        <f>IF(vend30[[#This Row],[Nº Venda]]&gt;1,1,0)</f>
        <v>1</v>
      </c>
    </row>
    <row r="8" spans="2:18" ht="15.75" x14ac:dyDescent="0.25">
      <c r="B8" s="27" t="s">
        <v>35</v>
      </c>
      <c r="C8" s="28">
        <f>SUM(C6:C7)</f>
        <v>4716.99</v>
      </c>
      <c r="D8" s="2"/>
      <c r="E8" s="84">
        <v>4656</v>
      </c>
      <c r="F8" s="24" t="s">
        <v>154</v>
      </c>
      <c r="G8" s="25" t="s">
        <v>18</v>
      </c>
      <c r="H8" s="8">
        <v>1609.5</v>
      </c>
      <c r="I8" s="8">
        <v>1609.5</v>
      </c>
      <c r="J8" s="2"/>
      <c r="K8" s="24"/>
      <c r="L8" s="9"/>
      <c r="M8" s="16"/>
      <c r="R8" s="1">
        <f>IF(vend30[[#This Row],[Nº Venda]]&gt;1,1,0)</f>
        <v>1</v>
      </c>
    </row>
    <row r="9" spans="2:18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IF(vend30[[#This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IF(vend30[[#This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84"/>
      <c r="F12" s="24"/>
      <c r="G12" s="25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29" t="s">
        <v>18</v>
      </c>
      <c r="C13" s="30">
        <f t="shared" si="0"/>
        <v>4218.99</v>
      </c>
      <c r="D13" s="2"/>
      <c r="E13" s="85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IF(vend30[[#This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85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IF(vend30[[#This Row],[Nº Venda]]&gt;1,1,0)</f>
        <v>0</v>
      </c>
    </row>
    <row r="15" spans="2:18" ht="15.75" x14ac:dyDescent="0.25">
      <c r="B15" s="29" t="s">
        <v>22</v>
      </c>
      <c r="C15" s="30">
        <f t="shared" si="0"/>
        <v>498</v>
      </c>
      <c r="D15" s="2"/>
      <c r="E15" s="84"/>
      <c r="F15" s="24"/>
      <c r="G15" s="25"/>
      <c r="H15" s="8"/>
      <c r="I15" s="8"/>
      <c r="J15" s="2"/>
      <c r="K15" s="92"/>
      <c r="L15" s="9"/>
      <c r="M15" s="16"/>
      <c r="R15" s="1">
        <f>IF(vend30[[#This Row],[Nº Venda]]&gt;1,1,0)</f>
        <v>0</v>
      </c>
    </row>
    <row r="16" spans="2:18" ht="15.75" x14ac:dyDescent="0.25">
      <c r="B16" s="27" t="s">
        <v>24</v>
      </c>
      <c r="C16" s="31">
        <f>SUM(C11:C15)</f>
        <v>4716.99</v>
      </c>
      <c r="D16" s="2"/>
      <c r="E16" s="84"/>
      <c r="F16" s="24"/>
      <c r="G16" s="25"/>
      <c r="H16" s="8"/>
      <c r="I16" s="8"/>
      <c r="J16" s="2"/>
      <c r="K16" s="92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/>
      <c r="L17" s="9"/>
      <c r="M17" s="16"/>
      <c r="R17" s="1">
        <f>IF(vend30[[#This Row],[Nº Venda]]&gt;1,1,0)</f>
        <v>0</v>
      </c>
    </row>
    <row r="18" spans="2:22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IF(vend30[[#This Row],[Nº Venda]]&gt;1,1,0)</f>
        <v>0</v>
      </c>
    </row>
    <row r="19" spans="2:22" ht="15.75" x14ac:dyDescent="0.25">
      <c r="B19" s="29">
        <f>COUNT(entr_carn30[OS])</f>
        <v>0</v>
      </c>
      <c r="C19" s="30">
        <f>SUM(entr_carn30[Valor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IF(vend30[[#This Row],[Nº Venda]]&gt;1,1,0)</f>
        <v>0</v>
      </c>
    </row>
    <row r="20" spans="2:22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  <c r="V21" s="1" t="s">
        <v>155</v>
      </c>
    </row>
    <row r="22" spans="2:22" ht="15.75" x14ac:dyDescent="0.25">
      <c r="B22" s="27" t="s">
        <v>42</v>
      </c>
      <c r="C22" s="31">
        <f>C5</f>
        <v>4218.99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22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22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22" ht="15.75" x14ac:dyDescent="0.25">
      <c r="B26" s="2"/>
      <c r="C26" s="2"/>
      <c r="D26" s="2"/>
      <c r="E26" s="84"/>
      <c r="F26" s="24"/>
      <c r="G26" s="25"/>
      <c r="H26" s="8"/>
      <c r="I26" s="8"/>
      <c r="J26" s="2"/>
      <c r="K26" s="92"/>
      <c r="L26" s="9"/>
      <c r="M26" s="16"/>
    </row>
    <row r="27" spans="2:22" ht="15.75" x14ac:dyDescent="0.25">
      <c r="B27" s="2"/>
      <c r="C27" s="2"/>
      <c r="D27" s="2"/>
      <c r="E27" s="84"/>
      <c r="F27" s="24"/>
      <c r="G27" s="25"/>
      <c r="H27" s="8"/>
      <c r="I27" s="8"/>
      <c r="J27" s="2"/>
      <c r="K27" s="92"/>
      <c r="L27" s="9"/>
      <c r="M27" s="16"/>
    </row>
    <row r="28" spans="2:22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22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22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22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>
        <v>4313</v>
      </c>
      <c r="F35" s="24" t="s">
        <v>156</v>
      </c>
      <c r="G35" s="25" t="s">
        <v>22</v>
      </c>
      <c r="H35" s="8">
        <v>308</v>
      </c>
      <c r="I35" s="8" t="s">
        <v>53</v>
      </c>
      <c r="K35" s="92"/>
      <c r="L35" s="40"/>
      <c r="M35" s="16"/>
    </row>
    <row r="36" spans="2:18" ht="15.75" x14ac:dyDescent="0.25">
      <c r="E36" s="88">
        <v>4619</v>
      </c>
      <c r="F36" s="24" t="s">
        <v>157</v>
      </c>
      <c r="G36" s="25" t="s">
        <v>22</v>
      </c>
      <c r="H36" s="8">
        <v>90</v>
      </c>
      <c r="I36" s="8" t="s">
        <v>129</v>
      </c>
      <c r="K36" s="92"/>
      <c r="L36" s="40"/>
      <c r="M36" s="16"/>
    </row>
    <row r="37" spans="2:18" ht="15.75" x14ac:dyDescent="0.25">
      <c r="E37" s="84">
        <v>3991</v>
      </c>
      <c r="F37" s="24" t="s">
        <v>158</v>
      </c>
      <c r="G37" s="25" t="s">
        <v>22</v>
      </c>
      <c r="H37" s="8">
        <v>100</v>
      </c>
      <c r="I37" s="8" t="s">
        <v>96</v>
      </c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3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opLeftCell="A23" zoomScale="90" zoomScaleNormal="90" workbookViewId="0">
      <selection activeCell="G38" sqref="G38:H3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'30'!B1+1</f>
        <v>45627</v>
      </c>
    </row>
    <row r="2" spans="2:18" ht="18.75" x14ac:dyDescent="0.2">
      <c r="B2" s="110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3" t="s">
        <v>3</v>
      </c>
      <c r="F4" s="113"/>
      <c r="G4" s="113"/>
      <c r="H4" s="113"/>
      <c r="I4" s="113"/>
      <c r="J4" s="21"/>
      <c r="K4" s="107" t="s">
        <v>7</v>
      </c>
      <c r="L4" s="108"/>
      <c r="M4" s="109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0</v>
      </c>
      <c r="D6" s="2"/>
      <c r="E6" s="84"/>
      <c r="F6" s="24"/>
      <c r="G6" s="25"/>
      <c r="H6" s="8"/>
      <c r="I6" s="8"/>
      <c r="J6" s="2"/>
      <c r="K6" s="24"/>
      <c r="L6" s="9"/>
      <c r="M6" s="16"/>
      <c r="R6" s="1">
        <f>IF(vend31[[#This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84"/>
      <c r="F7" s="24"/>
      <c r="G7" s="25"/>
      <c r="H7" s="8"/>
      <c r="I7" s="8"/>
      <c r="J7" s="2"/>
      <c r="K7" s="24"/>
      <c r="L7" s="9"/>
      <c r="M7" s="16"/>
      <c r="R7" s="1">
        <f>IF(vend31[[#This Row],[Nº Venda]]&gt;1,1,0)</f>
        <v>0</v>
      </c>
    </row>
    <row r="8" spans="2:18" ht="15.75" x14ac:dyDescent="0.25">
      <c r="B8" s="27" t="s">
        <v>35</v>
      </c>
      <c r="C8" s="28">
        <f>SUM(C6:C7)</f>
        <v>0</v>
      </c>
      <c r="D8" s="2"/>
      <c r="E8" s="84"/>
      <c r="F8" s="24"/>
      <c r="G8" s="25"/>
      <c r="H8" s="8"/>
      <c r="I8" s="8"/>
      <c r="J8" s="2"/>
      <c r="K8" s="24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84"/>
      <c r="F9" s="24"/>
      <c r="G9" s="25"/>
      <c r="H9" s="8"/>
      <c r="I9" s="8"/>
      <c r="J9" s="2"/>
      <c r="K9" s="24"/>
      <c r="L9" s="9"/>
      <c r="M9" s="16"/>
      <c r="R9" s="1">
        <f>IF(vend31[[#This Row],[Nº Venda]]&gt;1,1,0)</f>
        <v>0</v>
      </c>
    </row>
    <row r="10" spans="2:18" ht="15.75" x14ac:dyDescent="0.25">
      <c r="B10" s="105" t="s">
        <v>12</v>
      </c>
      <c r="C10" s="105"/>
      <c r="D10" s="2"/>
      <c r="E10" s="84"/>
      <c r="F10" s="24"/>
      <c r="G10" s="25"/>
      <c r="H10" s="8"/>
      <c r="I10" s="8"/>
      <c r="J10" s="2"/>
      <c r="K10" s="24"/>
      <c r="L10" s="9"/>
      <c r="M10" s="16"/>
      <c r="R10" s="1">
        <f>IF(vend31[[#This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84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29" t="s">
        <v>16</v>
      </c>
      <c r="C12" s="30">
        <f>(SUMIF($G$2:$G$31,B12,$I$2:$I$31))+(SUMIF($G$35:$G$41,B12,$H$35:$H$41))</f>
        <v>0</v>
      </c>
      <c r="D12" s="2"/>
      <c r="E12" s="84"/>
      <c r="F12" s="24"/>
      <c r="G12" s="25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29" t="s">
        <v>18</v>
      </c>
      <c r="C13" s="30">
        <f t="shared" ref="C13:C15" si="0">(SUMIF($G$2:$G$31,B13,$I$2:$I$31))+(SUMIF($G$35:$G$41,B13,$H$35:$H$41))</f>
        <v>0</v>
      </c>
      <c r="D13" s="2"/>
      <c r="E13" s="84"/>
      <c r="F13" s="24"/>
      <c r="G13" s="25"/>
      <c r="H13" s="8"/>
      <c r="I13" s="8"/>
      <c r="J13" s="2"/>
      <c r="K13" s="107" t="s">
        <v>36</v>
      </c>
      <c r="L13" s="108"/>
      <c r="M13" s="109"/>
      <c r="R13" s="1">
        <f>IF(vend31[[#This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84"/>
      <c r="F14" s="24"/>
      <c r="G14" s="25"/>
      <c r="H14" s="8"/>
      <c r="I14" s="8"/>
      <c r="J14" s="2"/>
      <c r="K14" s="14" t="s">
        <v>37</v>
      </c>
      <c r="L14" s="6" t="s">
        <v>38</v>
      </c>
      <c r="M14" s="15" t="s">
        <v>39</v>
      </c>
      <c r="R14" s="1">
        <f>IF(vend31[[#This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84"/>
      <c r="F15" s="24"/>
      <c r="G15" s="25"/>
      <c r="H15" s="8"/>
      <c r="I15" s="8"/>
      <c r="J15" s="2"/>
      <c r="K15" s="92"/>
      <c r="L15" s="9"/>
      <c r="M15" s="16"/>
      <c r="R15" s="1">
        <f>IF(vend31[[#This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84"/>
      <c r="F16" s="24"/>
      <c r="G16" s="25"/>
      <c r="H16" s="8"/>
      <c r="I16" s="8"/>
      <c r="J16" s="2"/>
      <c r="K16" s="92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84"/>
      <c r="F17" s="24"/>
      <c r="G17" s="25"/>
      <c r="H17" s="8"/>
      <c r="I17" s="8"/>
      <c r="J17" s="2"/>
      <c r="K17" s="92"/>
      <c r="L17" s="9"/>
      <c r="M17" s="16"/>
      <c r="R17" s="1">
        <f>IF(vend31[[#This Row],[Nº Venda]]&gt;1,1,0)</f>
        <v>0</v>
      </c>
    </row>
    <row r="18" spans="2:18" ht="15.75" x14ac:dyDescent="0.25">
      <c r="B18" s="105" t="s">
        <v>25</v>
      </c>
      <c r="C18" s="105"/>
      <c r="D18" s="2"/>
      <c r="E18" s="84"/>
      <c r="F18" s="24"/>
      <c r="G18" s="25"/>
      <c r="H18" s="8"/>
      <c r="I18" s="8"/>
      <c r="J18" s="2"/>
      <c r="K18" s="92"/>
      <c r="L18" s="9"/>
      <c r="M18" s="16"/>
      <c r="R18" s="1">
        <f>IF(vend31[[#This Row],[Nº Venda]]&gt;1,1,0)</f>
        <v>0</v>
      </c>
    </row>
    <row r="19" spans="2:18" ht="15.75" x14ac:dyDescent="0.25">
      <c r="B19" s="29">
        <f>COUNT(entr_carn31[OS])</f>
        <v>0</v>
      </c>
      <c r="C19" s="30">
        <f>SUM(entr_carn31[Valor Total])</f>
        <v>0</v>
      </c>
      <c r="D19" s="2"/>
      <c r="E19" s="84"/>
      <c r="F19" s="24"/>
      <c r="G19" s="25"/>
      <c r="H19" s="8"/>
      <c r="I19" s="8"/>
      <c r="J19" s="2"/>
      <c r="K19" s="92"/>
      <c r="L19" s="9"/>
      <c r="M19" s="16"/>
      <c r="R19" s="1">
        <f>IF(vend31[[#This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84"/>
      <c r="F20" s="25"/>
      <c r="G20" s="25"/>
      <c r="H20" s="8"/>
      <c r="I20" s="8"/>
      <c r="J20" s="2"/>
      <c r="K20" s="92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84"/>
      <c r="F21" s="24"/>
      <c r="G21" s="25"/>
      <c r="H21" s="8"/>
      <c r="I21" s="8"/>
      <c r="J21" s="2"/>
      <c r="K21" s="92"/>
      <c r="L21" s="9"/>
      <c r="M21" s="16"/>
    </row>
    <row r="22" spans="2:18" ht="15.75" x14ac:dyDescent="0.25">
      <c r="B22" s="27" t="s">
        <v>42</v>
      </c>
      <c r="C22" s="31">
        <f>C5</f>
        <v>0</v>
      </c>
      <c r="D22" s="2"/>
      <c r="E22" s="84"/>
      <c r="F22" s="24"/>
      <c r="G22" s="25"/>
      <c r="H22" s="8"/>
      <c r="I22" s="8"/>
      <c r="J22" s="2"/>
      <c r="K22" s="9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2"/>
      <c r="L23" s="9"/>
      <c r="M23" s="16"/>
    </row>
    <row r="24" spans="2:18" ht="15" x14ac:dyDescent="0.25">
      <c r="B24" s="2"/>
      <c r="C24" s="2"/>
      <c r="D24" s="2"/>
      <c r="E24" s="106" t="s">
        <v>43</v>
      </c>
      <c r="F24" s="106"/>
      <c r="G24" s="106"/>
      <c r="H24" s="106"/>
      <c r="I24" s="106"/>
      <c r="J24" s="2"/>
      <c r="K24" s="92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92"/>
      <c r="L25" s="9"/>
      <c r="M25" s="16"/>
    </row>
    <row r="26" spans="2:18" ht="15.75" x14ac:dyDescent="0.25">
      <c r="B26" s="2"/>
      <c r="C26" s="2"/>
      <c r="D26" s="2"/>
      <c r="E26" s="84"/>
      <c r="F26" s="24"/>
      <c r="G26" s="25"/>
      <c r="H26" s="8"/>
      <c r="I26" s="8"/>
      <c r="J26" s="2"/>
      <c r="K26" s="92"/>
      <c r="L26" s="9"/>
      <c r="M26" s="16"/>
    </row>
    <row r="27" spans="2:18" ht="15.75" x14ac:dyDescent="0.25">
      <c r="B27" s="2"/>
      <c r="C27" s="2"/>
      <c r="D27" s="2"/>
      <c r="E27" s="84"/>
      <c r="F27" s="24"/>
      <c r="G27" s="25"/>
      <c r="H27" s="8"/>
      <c r="I27" s="8"/>
      <c r="J27" s="2"/>
      <c r="K27" s="92"/>
      <c r="L27" s="9"/>
      <c r="M27" s="16"/>
    </row>
    <row r="28" spans="2:18" ht="15.75" x14ac:dyDescent="0.25">
      <c r="B28" s="2"/>
      <c r="C28" s="2"/>
      <c r="D28" s="2"/>
      <c r="E28" s="84"/>
      <c r="F28" s="24"/>
      <c r="G28" s="25"/>
      <c r="H28" s="8"/>
      <c r="I28" s="8"/>
      <c r="J28" s="2"/>
      <c r="K28" s="92"/>
      <c r="L28" s="9"/>
      <c r="M28" s="16"/>
    </row>
    <row r="29" spans="2:18" ht="15.75" x14ac:dyDescent="0.25">
      <c r="B29" s="2"/>
      <c r="C29" s="2"/>
      <c r="D29" s="2"/>
      <c r="E29" s="84"/>
      <c r="F29" s="24"/>
      <c r="G29" s="25"/>
      <c r="H29" s="8"/>
      <c r="I29" s="8"/>
      <c r="J29" s="2"/>
      <c r="K29" s="92"/>
      <c r="L29" s="9"/>
      <c r="M29" s="16"/>
    </row>
    <row r="30" spans="2:18" ht="15.75" x14ac:dyDescent="0.25">
      <c r="B30" s="2"/>
      <c r="C30" s="2"/>
      <c r="D30" s="2"/>
      <c r="E30" s="84"/>
      <c r="F30" s="38"/>
      <c r="G30" s="25"/>
      <c r="H30" s="8"/>
      <c r="I30" s="8"/>
      <c r="J30" s="2"/>
      <c r="K30" s="92"/>
      <c r="L30" s="9"/>
      <c r="M30" s="16"/>
    </row>
    <row r="31" spans="2:18" ht="15.75" x14ac:dyDescent="0.25">
      <c r="B31" s="2"/>
      <c r="C31" s="2"/>
      <c r="D31" s="2"/>
      <c r="E31" s="86"/>
      <c r="F31" s="35"/>
      <c r="G31" s="36"/>
      <c r="H31" s="17"/>
      <c r="I31" s="17"/>
      <c r="J31" s="2"/>
      <c r="K31" s="9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6" t="s">
        <v>47</v>
      </c>
      <c r="F33" s="106"/>
      <c r="G33" s="106"/>
      <c r="H33" s="106"/>
      <c r="I33" s="106"/>
      <c r="K33" s="107" t="s">
        <v>25</v>
      </c>
      <c r="L33" s="108"/>
      <c r="M33" s="109"/>
    </row>
    <row r="34" spans="2:18" ht="15" x14ac:dyDescent="0.25">
      <c r="E34" s="10" t="s">
        <v>37</v>
      </c>
      <c r="F34" s="10" t="s">
        <v>28</v>
      </c>
      <c r="G34" s="11" t="s">
        <v>29</v>
      </c>
      <c r="H34" s="12" t="s">
        <v>48</v>
      </c>
      <c r="I34" s="13" t="s">
        <v>49</v>
      </c>
      <c r="K34" s="14" t="s">
        <v>37</v>
      </c>
      <c r="L34" s="6" t="s">
        <v>50</v>
      </c>
      <c r="M34" s="15" t="s">
        <v>51</v>
      </c>
    </row>
    <row r="35" spans="2:18" ht="15.75" x14ac:dyDescent="0.25">
      <c r="E35" s="84"/>
      <c r="F35" s="24"/>
      <c r="G35" s="25"/>
      <c r="H35" s="8"/>
      <c r="I35" s="8"/>
      <c r="K35" s="92"/>
      <c r="L35" s="40"/>
      <c r="M35" s="16"/>
    </row>
    <row r="36" spans="2:18" ht="15.75" x14ac:dyDescent="0.25">
      <c r="E36" s="88"/>
      <c r="F36" s="24"/>
      <c r="G36" s="25"/>
      <c r="H36" s="8"/>
      <c r="I36" s="8"/>
      <c r="K36" s="92"/>
      <c r="L36" s="40"/>
      <c r="M36" s="16"/>
    </row>
    <row r="37" spans="2:18" ht="15.75" x14ac:dyDescent="0.25">
      <c r="E37" s="84"/>
      <c r="F37" s="24"/>
      <c r="G37" s="25"/>
      <c r="H37" s="8"/>
      <c r="I37" s="8"/>
      <c r="K37" s="92"/>
      <c r="L37" s="40"/>
      <c r="M37" s="16"/>
    </row>
    <row r="38" spans="2:18" ht="15.75" x14ac:dyDescent="0.25">
      <c r="E38" s="84"/>
      <c r="F38" s="24"/>
      <c r="G38" s="25"/>
      <c r="H38" s="8"/>
      <c r="I38" s="8"/>
      <c r="K38" s="92"/>
      <c r="L38" s="40"/>
      <c r="M38" s="16"/>
    </row>
    <row r="39" spans="2:18" ht="15.75" x14ac:dyDescent="0.25">
      <c r="E39" s="84"/>
      <c r="F39" s="38"/>
      <c r="G39" s="25"/>
      <c r="H39" s="8"/>
      <c r="I39" s="8"/>
      <c r="K39" s="92"/>
      <c r="L39" s="40"/>
      <c r="M39" s="16"/>
    </row>
    <row r="40" spans="2:18" ht="15.75" x14ac:dyDescent="0.25">
      <c r="E40" s="86"/>
      <c r="F40" s="35"/>
      <c r="G40" s="36"/>
      <c r="H40" s="17"/>
      <c r="I40" s="8"/>
      <c r="K40" s="93"/>
      <c r="L40" s="41"/>
      <c r="M40" s="39"/>
      <c r="Q40" s="1" t="s">
        <v>54</v>
      </c>
      <c r="R40" s="1">
        <f>SUM(R6:R21)</f>
        <v>0</v>
      </c>
    </row>
    <row r="41" spans="2:18" ht="15.75" x14ac:dyDescent="0.25">
      <c r="E41" s="87"/>
      <c r="F41" s="38"/>
      <c r="G41" s="25"/>
      <c r="H41" s="8"/>
      <c r="I41" s="8"/>
      <c r="K41" s="9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159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160</v>
      </c>
      <c r="B1" s="37" t="s">
        <v>161</v>
      </c>
      <c r="E1" s="37" t="s">
        <v>162</v>
      </c>
    </row>
    <row r="2" spans="1:5" x14ac:dyDescent="0.2">
      <c r="A2" s="37" t="s">
        <v>14</v>
      </c>
      <c r="B2" s="37" t="s">
        <v>163</v>
      </c>
      <c r="E2" t="s">
        <v>164</v>
      </c>
    </row>
    <row r="3" spans="1:5" x14ac:dyDescent="0.2">
      <c r="A3" s="37" t="s">
        <v>16</v>
      </c>
      <c r="B3" s="37" t="s">
        <v>165</v>
      </c>
      <c r="E3" t="s">
        <v>66</v>
      </c>
    </row>
    <row r="4" spans="1:5" x14ac:dyDescent="0.2">
      <c r="A4" s="37" t="s">
        <v>18</v>
      </c>
      <c r="B4" s="37" t="s">
        <v>166</v>
      </c>
      <c r="E4" t="s">
        <v>60</v>
      </c>
    </row>
    <row r="5" spans="1:5" x14ac:dyDescent="0.2">
      <c r="A5" s="37" t="s">
        <v>20</v>
      </c>
      <c r="B5" s="37" t="s">
        <v>167</v>
      </c>
      <c r="E5" t="s">
        <v>129</v>
      </c>
    </row>
    <row r="6" spans="1:5" x14ac:dyDescent="0.2">
      <c r="A6" s="37" t="s">
        <v>22</v>
      </c>
      <c r="B6" s="37" t="s">
        <v>22</v>
      </c>
      <c r="E6" t="s">
        <v>96</v>
      </c>
    </row>
    <row r="7" spans="1:5" x14ac:dyDescent="0.2">
      <c r="A7" s="37" t="s">
        <v>168</v>
      </c>
      <c r="B7" s="37" t="s">
        <v>169</v>
      </c>
      <c r="E7" t="s">
        <v>94</v>
      </c>
    </row>
    <row r="8" spans="1:5" x14ac:dyDescent="0.2">
      <c r="A8" t="s">
        <v>39</v>
      </c>
      <c r="B8" t="s">
        <v>170</v>
      </c>
      <c r="E8" t="s">
        <v>100</v>
      </c>
    </row>
    <row r="9" spans="1:5" x14ac:dyDescent="0.2">
      <c r="A9" s="37" t="s">
        <v>138</v>
      </c>
      <c r="B9" s="37" t="s">
        <v>171</v>
      </c>
      <c r="E9" t="s">
        <v>172</v>
      </c>
    </row>
    <row r="10" spans="1:5" x14ac:dyDescent="0.2">
      <c r="E10" t="s">
        <v>59</v>
      </c>
    </row>
    <row r="11" spans="1:5" x14ac:dyDescent="0.2">
      <c r="E11" t="s">
        <v>68</v>
      </c>
    </row>
    <row r="12" spans="1:5" x14ac:dyDescent="0.2">
      <c r="E12" t="s">
        <v>75</v>
      </c>
    </row>
    <row r="13" spans="1:5" x14ac:dyDescent="0.2">
      <c r="E13" t="s">
        <v>87</v>
      </c>
    </row>
    <row r="14" spans="1:5" x14ac:dyDescent="0.2">
      <c r="E14" t="s">
        <v>109</v>
      </c>
    </row>
    <row r="15" spans="1:5" x14ac:dyDescent="0.2">
      <c r="E15" t="s">
        <v>98</v>
      </c>
    </row>
    <row r="16" spans="1:5" x14ac:dyDescent="0.2">
      <c r="E16" t="s">
        <v>53</v>
      </c>
    </row>
    <row r="17" spans="5:5" x14ac:dyDescent="0.2">
      <c r="E17" t="s">
        <v>173</v>
      </c>
    </row>
    <row r="18" spans="5:5" x14ac:dyDescent="0.2">
      <c r="E18" t="s">
        <v>142</v>
      </c>
    </row>
    <row r="19" spans="5:5" x14ac:dyDescent="0.2">
      <c r="E19" t="s">
        <v>174</v>
      </c>
    </row>
    <row r="20" spans="5:5" x14ac:dyDescent="0.2">
      <c r="E20" t="s">
        <v>175</v>
      </c>
    </row>
    <row r="21" spans="5:5" x14ac:dyDescent="0.2">
      <c r="E21" t="s">
        <v>176</v>
      </c>
    </row>
    <row r="22" spans="5:5" x14ac:dyDescent="0.2">
      <c r="E22" t="s">
        <v>177</v>
      </c>
    </row>
    <row r="23" spans="5:5" x14ac:dyDescent="0.2">
      <c r="E23" t="s">
        <v>131</v>
      </c>
    </row>
    <row r="24" spans="5:5" x14ac:dyDescent="0.2">
      <c r="E24" t="s">
        <v>178</v>
      </c>
    </row>
    <row r="25" spans="5:5" x14ac:dyDescent="0.2">
      <c r="E25" t="s">
        <v>126</v>
      </c>
    </row>
    <row r="26" spans="5:5" x14ac:dyDescent="0.2">
      <c r="E26" t="s">
        <v>179</v>
      </c>
    </row>
    <row r="27" spans="5:5" x14ac:dyDescent="0.2">
      <c r="E27" t="s">
        <v>180</v>
      </c>
    </row>
    <row r="28" spans="5:5" x14ac:dyDescent="0.2">
      <c r="E28" t="s">
        <v>181</v>
      </c>
    </row>
    <row r="29" spans="5:5" x14ac:dyDescent="0.2">
      <c r="E29" t="s">
        <v>182</v>
      </c>
    </row>
    <row r="30" spans="5:5" x14ac:dyDescent="0.2">
      <c r="E30" t="s">
        <v>70</v>
      </c>
    </row>
    <row r="31" spans="5:5" x14ac:dyDescent="0.2">
      <c r="E31" t="s">
        <v>183</v>
      </c>
    </row>
    <row r="32" spans="5:5" x14ac:dyDescent="0.2">
      <c r="E32" t="s">
        <v>184</v>
      </c>
    </row>
    <row r="33" spans="5:5" x14ac:dyDescent="0.2">
      <c r="E33" t="s">
        <v>185</v>
      </c>
    </row>
    <row r="34" spans="5:5" x14ac:dyDescent="0.2">
      <c r="E34" t="s">
        <v>186</v>
      </c>
    </row>
    <row r="35" spans="5:5" x14ac:dyDescent="0.2">
      <c r="E35" t="s">
        <v>187</v>
      </c>
    </row>
    <row r="36" spans="5:5" x14ac:dyDescent="0.2">
      <c r="E36" t="s">
        <v>188</v>
      </c>
    </row>
    <row r="37" spans="5:5" x14ac:dyDescent="0.2">
      <c r="E37" t="s">
        <v>189</v>
      </c>
    </row>
    <row r="38" spans="5:5" x14ac:dyDescent="0.2">
      <c r="E38" t="s">
        <v>190</v>
      </c>
    </row>
    <row r="39" spans="5:5" x14ac:dyDescent="0.2">
      <c r="E39" t="s">
        <v>191</v>
      </c>
    </row>
    <row r="40" spans="5:5" x14ac:dyDescent="0.2">
      <c r="E40" t="s">
        <v>192</v>
      </c>
    </row>
    <row r="41" spans="5:5" x14ac:dyDescent="0.2">
      <c r="E41" t="s">
        <v>193</v>
      </c>
    </row>
    <row r="42" spans="5:5" x14ac:dyDescent="0.2">
      <c r="E42" t="s">
        <v>194</v>
      </c>
    </row>
    <row r="43" spans="5:5" x14ac:dyDescent="0.2">
      <c r="E43" t="s">
        <v>195</v>
      </c>
    </row>
    <row r="44" spans="5:5" x14ac:dyDescent="0.2">
      <c r="E44" t="s">
        <v>196</v>
      </c>
    </row>
    <row r="45" spans="5:5" x14ac:dyDescent="0.2">
      <c r="E45" t="s">
        <v>197</v>
      </c>
    </row>
    <row r="46" spans="5:5" x14ac:dyDescent="0.2">
      <c r="E46" t="s">
        <v>198</v>
      </c>
    </row>
    <row r="47" spans="5:5" x14ac:dyDescent="0.2">
      <c r="E47" t="s">
        <v>199</v>
      </c>
    </row>
    <row r="48" spans="5:5" x14ac:dyDescent="0.2">
      <c r="E48" t="s">
        <v>200</v>
      </c>
    </row>
    <row r="49" spans="5:5" x14ac:dyDescent="0.2">
      <c r="E49" t="s">
        <v>201</v>
      </c>
    </row>
    <row r="50" spans="5:5" x14ac:dyDescent="0.2">
      <c r="E50" t="s">
        <v>202</v>
      </c>
    </row>
    <row r="51" spans="5:5" x14ac:dyDescent="0.2">
      <c r="E51" t="s">
        <v>203</v>
      </c>
    </row>
    <row r="52" spans="5:5" x14ac:dyDescent="0.2">
      <c r="E52" t="s">
        <v>204</v>
      </c>
    </row>
    <row r="53" spans="5:5" x14ac:dyDescent="0.2">
      <c r="E53" t="s">
        <v>205</v>
      </c>
    </row>
    <row r="54" spans="5:5" x14ac:dyDescent="0.2">
      <c r="E54" t="s">
        <v>206</v>
      </c>
    </row>
    <row r="55" spans="5:5" x14ac:dyDescent="0.2">
      <c r="E55" t="s">
        <v>207</v>
      </c>
    </row>
    <row r="56" spans="5:5" x14ac:dyDescent="0.2">
      <c r="E56" t="s">
        <v>208</v>
      </c>
    </row>
    <row r="57" spans="5:5" x14ac:dyDescent="0.2">
      <c r="E57" t="s">
        <v>209</v>
      </c>
    </row>
    <row r="58" spans="5:5" x14ac:dyDescent="0.2">
      <c r="E58" t="s">
        <v>210</v>
      </c>
    </row>
    <row r="59" spans="5:5" x14ac:dyDescent="0.2">
      <c r="E59" t="s">
        <v>211</v>
      </c>
    </row>
    <row r="60" spans="5:5" x14ac:dyDescent="0.2">
      <c r="E60" t="s">
        <v>212</v>
      </c>
    </row>
    <row r="61" spans="5:5" x14ac:dyDescent="0.2">
      <c r="E61" t="s">
        <v>213</v>
      </c>
    </row>
    <row r="62" spans="5:5" x14ac:dyDescent="0.2">
      <c r="E62" t="s">
        <v>214</v>
      </c>
    </row>
    <row r="63" spans="5:5" x14ac:dyDescent="0.2">
      <c r="E63" t="s">
        <v>215</v>
      </c>
    </row>
    <row r="64" spans="5:5" x14ac:dyDescent="0.2">
      <c r="E64" t="s">
        <v>216</v>
      </c>
    </row>
    <row r="65" spans="5:5" x14ac:dyDescent="0.2">
      <c r="E65" t="s">
        <v>217</v>
      </c>
    </row>
    <row r="66" spans="5:5" x14ac:dyDescent="0.2">
      <c r="E66" t="s">
        <v>218</v>
      </c>
    </row>
    <row r="67" spans="5:5" x14ac:dyDescent="0.2">
      <c r="E67" t="s">
        <v>219</v>
      </c>
    </row>
    <row r="68" spans="5:5" x14ac:dyDescent="0.2">
      <c r="E68" t="s">
        <v>220</v>
      </c>
    </row>
    <row r="69" spans="5:5" x14ac:dyDescent="0.2">
      <c r="E69" t="s">
        <v>221</v>
      </c>
    </row>
    <row r="70" spans="5:5" x14ac:dyDescent="0.2">
      <c r="E70" t="s">
        <v>222</v>
      </c>
    </row>
    <row r="71" spans="5:5" x14ac:dyDescent="0.2">
      <c r="E71" t="s">
        <v>223</v>
      </c>
    </row>
    <row r="72" spans="5:5" x14ac:dyDescent="0.2">
      <c r="E72" t="s">
        <v>224</v>
      </c>
    </row>
    <row r="73" spans="5:5" x14ac:dyDescent="0.2">
      <c r="E73" t="s">
        <v>225</v>
      </c>
    </row>
    <row r="74" spans="5:5" x14ac:dyDescent="0.2">
      <c r="E74" t="s">
        <v>226</v>
      </c>
    </row>
    <row r="75" spans="5:5" x14ac:dyDescent="0.2">
      <c r="E75" t="s">
        <v>227</v>
      </c>
    </row>
    <row r="76" spans="5:5" x14ac:dyDescent="0.2">
      <c r="E76" t="s">
        <v>228</v>
      </c>
    </row>
    <row r="77" spans="5:5" x14ac:dyDescent="0.2">
      <c r="E77" t="s">
        <v>229</v>
      </c>
    </row>
    <row r="78" spans="5:5" x14ac:dyDescent="0.2">
      <c r="E78" t="s">
        <v>230</v>
      </c>
    </row>
    <row r="79" spans="5:5" x14ac:dyDescent="0.2">
      <c r="E79" t="s">
        <v>231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35</vt:i4>
      </vt:variant>
      <vt:variant>
        <vt:lpstr>Intervalos Nomeados</vt:lpstr>
      </vt:variant>
      <vt:variant>
        <vt:i4>7</vt:i4>
      </vt:variant>
    </vt:vector>
  </HeadingPairs>
  <TitlesOfParts>
    <vt:vector size="42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Planilha1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dcterms:created xsi:type="dcterms:W3CDTF">2004-04-07T20:43:43Z</dcterms:created>
  <dcterms:modified xsi:type="dcterms:W3CDTF">2025-05-30T16:45:08Z</dcterms:modified>
  <cp:category/>
  <cp:contentStatus/>
</cp:coreProperties>
</file>