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Caixa\OneDrive - oticastatymello.com.br\MAUA\CAIXA\"/>
    </mc:Choice>
  </mc:AlternateContent>
  <xr:revisionPtr revIDLastSave="0" documentId="13_ncr:1_{9CD93ABD-1B1A-4098-9429-8911DE6037BC}" xr6:coauthVersionLast="47" xr6:coauthVersionMax="47" xr10:uidLastSave="{00000000-0000-0000-0000-000000000000}"/>
  <bookViews>
    <workbookView xWindow="735" yWindow="735" windowWidth="15375" windowHeight="8760" tabRatio="895" firstSheet="15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5" sheetId="171" r:id="rId5"/>
    <sheet name="04" sheetId="172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18">'18'!$A$1:$AB$41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6" i="173"/>
  <c r="C6" i="172"/>
  <c r="C8" i="172" s="1"/>
  <c r="C6" i="171"/>
  <c r="C8" i="171" s="1"/>
  <c r="C6" i="170"/>
  <c r="C6" i="103"/>
  <c r="C6" i="178"/>
  <c r="C6" i="177"/>
  <c r="C6" i="176"/>
  <c r="C6" i="180"/>
  <c r="C8" i="180" s="1"/>
  <c r="C6" i="182"/>
  <c r="C6" i="183"/>
  <c r="C6" i="181"/>
  <c r="C6" i="179"/>
  <c r="C8" i="179" s="1"/>
  <c r="C6" i="184"/>
  <c r="C6" i="185"/>
  <c r="C6" i="186"/>
  <c r="C8" i="186" s="1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73" l="1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6" i="200" s="1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14" i="200" l="1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<sst xmlns="http://schemas.openxmlformats.org/spreadsheetml/2006/main" count="1913" uniqueCount="232">
  <si>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</si>
  <si>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</si>
  <si>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</si>
  <si>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</si>
  <si>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</si>
  <si>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</si>
  <si>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</si>
  <si>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</si>
  <si>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</si>
  <si>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</si>
  <si>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</si>
  <si>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</si>
  <si>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</si>
  <si>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</si>
  <si>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</si>
  <si>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</si>
  <si>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</si>
  <si>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</si>
  <si>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</si>
  <si>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</si>
  <si>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</si>
  <si>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</si>
  <si>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</si>
  <si>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</si>
  <si>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</si>
  <si>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</si>
  <si>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</si>
  <si>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</si>
  <si>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</si>
  <si>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</si>
  <si>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</si>
  <si>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</si>
  <si>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</si>
  <si>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</si>
  <si>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 xml:space="preserve">JOSILDO </t>
  </si>
  <si>
    <t>GARANTIA</t>
  </si>
  <si>
    <t>BETH</t>
  </si>
  <si>
    <t>Não</t>
  </si>
  <si>
    <t>EVELYNNE CAMYLLE</t>
  </si>
  <si>
    <t>PARC. 4/4</t>
  </si>
  <si>
    <t>NÃO</t>
  </si>
  <si>
    <t xml:space="preserve">MARINEUZA   SILVA </t>
  </si>
  <si>
    <t>MARLI APARECIDA ADAO</t>
  </si>
  <si>
    <t>PARC. 1/1</t>
  </si>
  <si>
    <t>MARIA DA CONCEIÇAO</t>
  </si>
  <si>
    <t xml:space="preserve">JULMAR SILVA TELES </t>
  </si>
  <si>
    <t xml:space="preserve">MARIA HELENA </t>
  </si>
  <si>
    <t>SS</t>
  </si>
  <si>
    <t xml:space="preserve">DALVA APARECIDA </t>
  </si>
  <si>
    <t>ZULEIDE  GROSSO</t>
  </si>
  <si>
    <t xml:space="preserve">DUCELIA SOUZA DA SILVA </t>
  </si>
  <si>
    <t>CLEOCI FERREIRA DOS SANTOS</t>
  </si>
  <si>
    <t>LUZILENE DA SILVA</t>
  </si>
  <si>
    <t>CRISTINA SEVERINO</t>
  </si>
  <si>
    <t>GILMAR BATISTA NUNES</t>
  </si>
  <si>
    <t>SILMARA SENTSUK</t>
  </si>
  <si>
    <t>ALBERTO DE LIMA</t>
  </si>
  <si>
    <t>KATIA APARECIDA</t>
  </si>
  <si>
    <t>NATALICE DE SOUZA</t>
  </si>
  <si>
    <t xml:space="preserve">MARINEUZA SILVA </t>
  </si>
  <si>
    <t xml:space="preserve">GABRIEL HENRRIQUE </t>
  </si>
  <si>
    <t>PARC. 5/8</t>
  </si>
  <si>
    <t>RENILDA SILVA</t>
  </si>
  <si>
    <t>PARC. 1/4</t>
  </si>
  <si>
    <t>JUDITE BARBOSA SANTANA</t>
  </si>
  <si>
    <t>PARC. 2/5</t>
  </si>
  <si>
    <t>CLAUDEMIR SILVA</t>
  </si>
  <si>
    <t>PARC. 3/6</t>
  </si>
  <si>
    <t>SIMONE  LUIZA CAMARGO</t>
  </si>
  <si>
    <t xml:space="preserve">ANDREIA MARIA </t>
  </si>
  <si>
    <t>PARC. 5/5</t>
  </si>
  <si>
    <t>WELLINGTO BARBOSA DE SOUZA</t>
  </si>
  <si>
    <t>UBER PARA LUANA</t>
  </si>
  <si>
    <t>JOSEFA MARIA CANDIDO</t>
  </si>
  <si>
    <t>Nao</t>
  </si>
  <si>
    <t>VALTER DE ARAUJO</t>
  </si>
  <si>
    <t>MARIA HELENA</t>
  </si>
  <si>
    <t>EROTHILDES FRANCISCA</t>
  </si>
  <si>
    <t>JOAO BOSCO  MOREIRA</t>
  </si>
  <si>
    <t>EDMAR COQUEIRO DUARTE</t>
  </si>
  <si>
    <t>PAULO LOPES DOS SANTOS</t>
  </si>
  <si>
    <t>PARC. 6/6</t>
  </si>
  <si>
    <t>YASMIM NASRDE DE FREITAS</t>
  </si>
  <si>
    <t xml:space="preserve">LINDALVA DE LIMA </t>
  </si>
  <si>
    <t>MARIA APARECIDA</t>
  </si>
  <si>
    <t>Sim</t>
  </si>
  <si>
    <t>JOSEMARE  SOARES</t>
  </si>
  <si>
    <t>LUIZA APARECIDA DA SILVA</t>
  </si>
  <si>
    <t xml:space="preserve">MARIA ANDREIA DA SILVA </t>
  </si>
  <si>
    <t>PARC. 4/5</t>
  </si>
  <si>
    <t>3997</t>
  </si>
  <si>
    <t>VICENTE ARIAS NETO</t>
  </si>
  <si>
    <t>3998</t>
  </si>
  <si>
    <t>LETICIA SILVA MATOS</t>
  </si>
  <si>
    <t>ROSELI VIEIRA RODRIGUES</t>
  </si>
  <si>
    <t>NERIVALDO DA S.SANTOS</t>
  </si>
  <si>
    <t xml:space="preserve">WAGNER DOS SANTOS </t>
  </si>
  <si>
    <t>FABIANA CHAVES DE PAULA</t>
  </si>
  <si>
    <t>WELLINGTON B.DE SOUZA</t>
  </si>
  <si>
    <t>4002BRENDHA OLIVEIRA ALMEIDA</t>
  </si>
  <si>
    <t>4003FRANCISCO FABIO  DA COSTA</t>
  </si>
  <si>
    <t>DUCELIA SOUZA DA SILVA</t>
  </si>
  <si>
    <t>ALDIMEIA PEREIRA MENDES</t>
  </si>
  <si>
    <t>MARIA ELIZABETH PEREIRA</t>
  </si>
  <si>
    <t xml:space="preserve"> </t>
  </si>
  <si>
    <t>ROSYMERE DA SILVA</t>
  </si>
  <si>
    <t>PARC. 1/2</t>
  </si>
  <si>
    <t>TAIANE S.SOUZA</t>
  </si>
  <si>
    <t>DANIEL CLARINDO</t>
  </si>
  <si>
    <t xml:space="preserve"> ALDIMEIA PEREIRA MENDES</t>
  </si>
  <si>
    <t>CRISTIANE R.C</t>
  </si>
  <si>
    <t>PARC. 3/3</t>
  </si>
  <si>
    <t>PRISCILA S.KUKI</t>
  </si>
  <si>
    <t>PARC. 4/6</t>
  </si>
  <si>
    <t>GILBERTO BEDESCHI</t>
  </si>
  <si>
    <t xml:space="preserve">MARIA ANDREIA </t>
  </si>
  <si>
    <t xml:space="preserve">RAQUEL BATISTA </t>
  </si>
  <si>
    <t>SILVANI PEREIRA</t>
  </si>
  <si>
    <t>MARIA DE AGUIA</t>
  </si>
  <si>
    <t>MARIE GERMAINE</t>
  </si>
  <si>
    <t>PARC. 3/5</t>
  </si>
  <si>
    <t xml:space="preserve">ANTONIO DE FABIO </t>
  </si>
  <si>
    <t xml:space="preserve">MARIA DAS NEVES </t>
  </si>
  <si>
    <t xml:space="preserve">VANDA MARIA DA SILVA </t>
  </si>
  <si>
    <t>PARC. 2/3</t>
  </si>
  <si>
    <t xml:space="preserve">CELI RAMOS DE FREITAS </t>
  </si>
  <si>
    <t>F.SULFITE 200</t>
  </si>
  <si>
    <t xml:space="preserve">FABIO ANTONIO FREITAS </t>
  </si>
  <si>
    <t xml:space="preserve">LUCAS RAMOS DE FREITAS </t>
  </si>
  <si>
    <t xml:space="preserve">ELIENE ALVES DOS SANTOS </t>
  </si>
  <si>
    <t>MARIA NAZARE S.SNTOS</t>
  </si>
  <si>
    <t>ROSANGELA SILVA PEREIRA</t>
  </si>
  <si>
    <t xml:space="preserve">ROSANGELA DA SILVA </t>
  </si>
  <si>
    <t>EDIMILSON E.ZERBETTI</t>
  </si>
  <si>
    <t>JOSE BATISTA SILVA</t>
  </si>
  <si>
    <t>GRACIANO JOSE</t>
  </si>
  <si>
    <t>JOAO VICTOR O.SANTOS</t>
  </si>
  <si>
    <t>HILDA SOUZA SANTOS</t>
  </si>
  <si>
    <t>PARC. 2/7</t>
  </si>
  <si>
    <t xml:space="preserve">CLEOCI FERREIRA </t>
  </si>
  <si>
    <t xml:space="preserve">AUDREY ALONSO </t>
  </si>
  <si>
    <t>ANTONIO CARLOS</t>
  </si>
  <si>
    <t>APARECIDA DE BORTOLI</t>
  </si>
  <si>
    <t>GUSTAVO MENEZES DIAS</t>
  </si>
  <si>
    <t>OSMAR</t>
  </si>
  <si>
    <t>beth</t>
  </si>
  <si>
    <t>MARIA DE LOURDES ARAUJO</t>
  </si>
  <si>
    <t>PARC. 5/7</t>
  </si>
  <si>
    <t>JOANA D ARC CORREIA</t>
  </si>
  <si>
    <t>VITORIA NUNES</t>
  </si>
  <si>
    <t>MOACIR MATOS</t>
  </si>
  <si>
    <t>MARCIA CRISTINA P .N</t>
  </si>
  <si>
    <t>ANTONIO MAURICIO</t>
  </si>
  <si>
    <t>DANIELA FERNADES</t>
  </si>
  <si>
    <t>PATRICIA FRANCISCA</t>
  </si>
  <si>
    <t>ROSANGELA S.PEREIRA</t>
  </si>
  <si>
    <t>PARC. 1/3</t>
  </si>
  <si>
    <t xml:space="preserve">MARIA DO CARMO </t>
  </si>
  <si>
    <t>RAQUEL B. RIBEIRO</t>
  </si>
  <si>
    <t>RARIANE F.D NACIMENTO</t>
  </si>
  <si>
    <t>PARC. 6/7</t>
  </si>
  <si>
    <t>Tipo Pagto</t>
  </si>
  <si>
    <t>descricao</t>
  </si>
  <si>
    <t xml:space="preserve">Parcelas </t>
  </si>
  <si>
    <t>Dinheiro</t>
  </si>
  <si>
    <t>Cartão Débito</t>
  </si>
  <si>
    <t>Cartão Crédito</t>
  </si>
  <si>
    <t>PARC. 2/2</t>
  </si>
  <si>
    <t>Parcelado Cartão Crédito</t>
  </si>
  <si>
    <t>Sem Sinal</t>
  </si>
  <si>
    <t xml:space="preserve">Carne </t>
  </si>
  <si>
    <t>Todas as Garantias</t>
  </si>
  <si>
    <t>PARC. 2/4</t>
  </si>
  <si>
    <t>PARC. 3/4</t>
  </si>
  <si>
    <t>PARC. 1/5</t>
  </si>
  <si>
    <t>PARC. 1/6</t>
  </si>
  <si>
    <t>PARC. 2/6</t>
  </si>
  <si>
    <t>PARC. 5/6</t>
  </si>
  <si>
    <t>PARC. 1/7</t>
  </si>
  <si>
    <t>PARC. 3/7</t>
  </si>
  <si>
    <t>PARC. 4/7</t>
  </si>
  <si>
    <t>PARC. 7/7</t>
  </si>
  <si>
    <t>PARC. 1/8</t>
  </si>
  <si>
    <t>PARC. 2/8</t>
  </si>
  <si>
    <t>PARC. 3/8</t>
  </si>
  <si>
    <t>PARC. 4/8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</si>
  <si>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</si>
  <si>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</si>
  <si>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</si>
  <si>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</si>
  <si>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</si>
  <si>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</si>
  <si>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</si>
  <si>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</si>
  <si>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</si>
  <si>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</si>
  <si>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</si>
  <si>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</si>
  <si>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</si>
  <si>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</si>
  <si>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</si>
  <si>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</si>
  <si>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</si>
  <si>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</si>
  <si>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</si>
  <si>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</si>
  <si>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</si>
  <si>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</si>
  <si>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</si>
  <si>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</si>
  <si>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</si>
  <si>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</si>
  <si>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</si>
  <si>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</si>
  <si>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</si>
  <si>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</si>
  <si>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</si>
  <si>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</si>
  <si>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</si>
  <si>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</si>
  <si>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</si>
  <si>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</si>
  <si>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</si>
  <si>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</si>
  <si>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</si>
  <si>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</si>
  <si>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</si>
  <si>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</si>
  <si>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</si>
  <si>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</si>
  <si>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</si>
  <si>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GILDA MARQUES DE CARVALHO DA SILVA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</si>
</sst>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1" fillId="0" borderId="13" xfId="39" applyNumberFormat="1" applyFont="1" applyFill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9" fontId="31" fillId="0" borderId="17" xfId="39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17" xfId="0" applyNumberFormat="1" applyFon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31190" displayName="vend31190" ref="E5:I22" totalsRowShown="0" headerRowDxfId="1644" dataDxfId="1642" headerRowBorderDxfId="1643" tableBorderDxfId="1641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2" headerRowBorderDxfId="1633" tableBorderDxfId="1631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6" dataDxfId="1624" headerRowBorderDxfId="1625" tableBorderDxfId="1623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4" headerRowBorderDxfId="1615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6" headerRowBorderDxfId="1607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80" dataCellStyle="Moeda"/>
    <tableColumn id="5" xr3:uid="{4F9ED826-A0E1-4FB0-83C6-A561EA7B6750}" name="Cliente" dataDxfId="1479" dataCellStyle="Moeda"/>
    <tableColumn id="2" xr3:uid="{C2B928FE-CB2E-4271-AE3D-2FE26117248E}" name="Forma de Pgto" dataDxfId="1478" dataCellStyle="Moeda"/>
    <tableColumn id="3" xr3:uid="{CE23E3D0-4056-4DCB-83C4-5B94BD49CAAC}" name="Valor Venda" dataDxfId="1477" dataCellStyle="Porcentagem"/>
    <tableColumn id="4" xr3:uid="{1F426340-BFB9-4B9E-B988-7A195156D2F2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4C840DC-E06E-4A51-B1BF-E769E4EC9ACB}" name="Descrição" dataDxfId="1470"/>
    <tableColumn id="2" xr3:uid="{E6DE1F07-CE97-421A-A22A-4B4270DDF46D}" name="Tipo de Pagto" dataDxfId="1469"/>
    <tableColumn id="3" xr3:uid="{D84FBA92-07C5-41FD-BBA2-2AADF245D1D6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62"/>
    <tableColumn id="2" xr3:uid="{CD77FB12-1DAA-4DAF-B42A-0357959803DD}" name="Cliente" dataDxfId="1461"/>
    <tableColumn id="3" xr3:uid="{5F4C4F5C-C920-452A-B2BA-592AD2C18723}" name="Forma de Pgto" dataDxfId="1460" dataCellStyle="Moeda"/>
    <tableColumn id="4" xr3:uid="{3930B2F0-6049-4E02-92B1-EC55A5330B2C}" name="Valor Venda" dataDxfId="1459" dataCellStyle="Porcentagem"/>
    <tableColumn id="5" xr3:uid="{82EBAE08-64CA-459E-9015-FA8F61210D87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E0565617-EB8C-486F-838C-B370E84BC8A2}" name="OS" dataDxfId="1452"/>
    <tableColumn id="2" xr3:uid="{EA20833B-67D8-48B8-B6E4-54A10D0969E8}" name="Vendedor" dataDxfId="1451"/>
    <tableColumn id="3" xr3:uid="{8B1F8993-74A4-499F-AD5E-91A6051BA219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44"/>
    <tableColumn id="2" xr3:uid="{FB461660-91D6-4E31-81FF-113A17320EED}" name="Cliente" dataDxfId="1443"/>
    <tableColumn id="3" xr3:uid="{0A47D0C3-375B-4E2D-B5E9-2048252BC0D3}" name="Forma de Pgto" dataDxfId="1442" dataCellStyle="Moeda"/>
    <tableColumn id="4" xr3:uid="{F9C62ED5-C18D-465D-B7E4-0729BD7B3A10}" name="Valor Parcela" dataDxfId="1441" dataCellStyle="Porcentagem"/>
    <tableColumn id="5" xr3:uid="{DD9D513B-1645-445F-83E9-DC54C163BD4E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39" headerRowBorderDxfId="1438" tableBorderDxfId="1437" totalsRowBorderDxfId="1436">
  <autoFilter ref="K34:M41" xr:uid="{1B8643D4-6AC3-4029-882A-C62E9D7CB225}"/>
  <tableColumns count="3">
    <tableColumn id="1" xr3:uid="{D65B195F-C059-40E5-A4CA-FE91C5DB43DB}" name="OS" dataDxfId="1435"/>
    <tableColumn id="2" xr3:uid="{A2A023CF-C61D-419E-ABB0-2F9CEE35150B}" name="Parcelas" dataDxfId="1434"/>
    <tableColumn id="3" xr3:uid="{F7D650A1-7C3D-42D0-B133-EB49D396C64F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27" dataCellStyle="Moeda"/>
    <tableColumn id="5" xr3:uid="{F5DA840E-A051-4AE4-AE1A-9DAFAF8FFC3B}" name="Cliente" dataDxfId="1426" dataCellStyle="Moeda"/>
    <tableColumn id="2" xr3:uid="{DF65CD3D-444A-4025-B98B-F38F11610432}" name="Forma de Pgto" dataDxfId="1425" dataCellStyle="Moeda"/>
    <tableColumn id="3" xr3:uid="{9A4839DC-9153-466A-B0AF-456FAEF79174}" name="Valor Venda" dataDxfId="1424" dataCellStyle="Porcentagem"/>
    <tableColumn id="4" xr3:uid="{EF410A7C-DBD1-4367-A43B-616826FFEB4F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1C90853-2F5A-4C32-8AC3-18ECE1FDDF43}" name="Descrição" dataDxfId="1417"/>
    <tableColumn id="2" xr3:uid="{DEB32F17-2D52-4FBB-90C4-1C3AE9C104E6}" name="Tipo de Pagto" dataDxfId="1416"/>
    <tableColumn id="3" xr3:uid="{089B3650-C090-496F-BF9A-6E8466DBF76A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09"/>
    <tableColumn id="2" xr3:uid="{73AEC7DD-005C-4428-9D1D-1A3761F2192B}" name="Cliente" dataDxfId="1408"/>
    <tableColumn id="3" xr3:uid="{FA28017F-3137-49BD-B826-2E261901E543}" name="Forma de Pgto" dataDxfId="1407" dataCellStyle="Moeda"/>
    <tableColumn id="4" xr3:uid="{6030418B-B1EC-4D4D-96DF-0EB78B87F6F9}" name="Valor Venda" dataDxfId="1406" dataCellStyle="Porcentagem"/>
    <tableColumn id="5" xr3:uid="{0576A975-F40D-4463-85C0-76AB6FCD63AC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830E23BA-DE90-49EF-B4EA-89C3276575B2}" name="OS" dataDxfId="1399"/>
    <tableColumn id="2" xr3:uid="{679AF5A0-4545-4316-AD6C-E4B7A7BA099A}" name="Vendedor" dataDxfId="1398"/>
    <tableColumn id="3" xr3:uid="{6B801D58-D05B-4A78-A6FE-BC9EF408DC10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91"/>
    <tableColumn id="2" xr3:uid="{953837B7-D16A-40C2-9C83-CD7E7171C88F}" name="Cliente" dataDxfId="1390"/>
    <tableColumn id="3" xr3:uid="{63860264-C651-4A12-8F01-E9F622A843C0}" name="Forma de Pgto" dataDxfId="1389" dataCellStyle="Moeda"/>
    <tableColumn id="4" xr3:uid="{584373BD-23BA-4A1E-A4FC-3D4A594F4148}" name="Valor Parcela" dataDxfId="1388" dataCellStyle="Porcentagem"/>
    <tableColumn id="5" xr3:uid="{7CBAF04B-D82E-4180-A8EA-98461BE41F4A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86" headerRowBorderDxfId="1385" tableBorderDxfId="1384" totalsRowBorderDxfId="1383">
  <autoFilter ref="K34:M41" xr:uid="{1B8643D4-6AC3-4029-882A-C62E9D7CB225}"/>
  <tableColumns count="3">
    <tableColumn id="1" xr3:uid="{F555359C-BC20-4C24-A948-500BDD3B5763}" name="OS" dataDxfId="1382"/>
    <tableColumn id="2" xr3:uid="{B72B4820-B8B5-4F80-83B5-9EC54EF78025}" name="Parcelas" dataDxfId="1381"/>
    <tableColumn id="3" xr3:uid="{893DDBC4-5663-4D63-80CB-4E7482811983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B7" sqref="B7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34102.42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28006.92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31</v>
      </c>
    </row>
    <row r="6" spans="1:2" ht="15.75" x14ac:dyDescent="0.25">
      <c r="A6" s="28" t="s">
        <v>4</v>
      </c>
      <c r="B6" s="29">
        <f>SUM(B4:B5)</f>
        <v>28037.919999999998</v>
      </c>
    </row>
    <row r="7" spans="1:2" ht="15" x14ac:dyDescent="0.25">
      <c r="A7" s="2"/>
      <c r="B7" s="2"/>
    </row>
    <row r="8" spans="1:2" ht="15" x14ac:dyDescent="0.2">
      <c r="A8" s="89" t="s">
        <v>5</v>
      </c>
      <c r="B8" s="89"/>
    </row>
    <row r="9" spans="1:2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1435</v>
      </c>
    </row>
    <row r="10" spans="1:2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3540.5</v>
      </c>
    </row>
    <row r="11" spans="1:2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5409</v>
      </c>
    </row>
    <row r="12" spans="1:2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14554.42</v>
      </c>
    </row>
    <row r="13" spans="1:2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7322</v>
      </c>
    </row>
    <row r="14" spans="1:2" ht="15.75" x14ac:dyDescent="0.25">
      <c r="A14" s="28" t="s">
        <v>11</v>
      </c>
      <c r="B14" s="32">
        <f ca="1">SUM(B9:B13)</f>
        <v>32260.92</v>
      </c>
    </row>
    <row r="15" spans="1:2" ht="15" x14ac:dyDescent="0.25">
      <c r="A15" s="2"/>
      <c r="B15" s="2"/>
    </row>
    <row r="16" spans="1:2" ht="15" x14ac:dyDescent="0.2">
      <c r="A16" s="89" t="s">
        <v>12</v>
      </c>
      <c r="B16" s="89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4258</v>
      </c>
    </row>
    <row r="18" spans="1:2" ht="15.75" x14ac:dyDescent="0.25">
      <c r="A18" s="28" t="s">
        <v>11</v>
      </c>
      <c r="B18" s="32">
        <f>SUM(B17:B17)</f>
        <v>4258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B26" sqref="B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v>45292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IF(vend31190[[#This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IF(vend31190[[#This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IF(vend31190[[#This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IF(vend31190[[#This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IF(vend31190[[#This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IF(vend31190[[#This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IF(vend31190[[#This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IF(vend31190[[#This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IF(vend31190[[#This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IF(vend31190[[#This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IF(vend31190[[#This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IF(vend31190[[#This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IF(vend31190[[#This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IF(vend31190[[#This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IF(vend31190[[#This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26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disablePrompts="1"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zoomScale="80" zoomScaleNormal="80" workbookViewId="0">
      <selection activeCell="I6" sqref="I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'01'!B1+1</f>
        <v>45293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3980</v>
      </c>
      <c r="F6" s="25" t="s">
        <v>34</v>
      </c>
      <c r="G6" s="46" t="s">
        <v>35</v>
      </c>
      <c r="H6" s="8"/>
      <c r="I6" s="8"/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C38" sqref="C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'02'!B1+1</f>
        <v>45294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108</v>
      </c>
      <c r="D15" s="2"/>
      <c r="E15" s="18"/>
      <c r="F15" s="25"/>
      <c r="G15" s="26"/>
      <c r="H15" s="8"/>
      <c r="I15" s="8"/>
      <c r="J15" s="2"/>
      <c r="K15" s="25">
        <v>3924</v>
      </c>
      <c r="L15" s="9" t="s">
        <v>36</v>
      </c>
      <c r="M15" s="16" t="s">
        <v>37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108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2080178</v>
      </c>
      <c r="F35" s="25" t="s">
        <v>38</v>
      </c>
      <c r="G35" s="26" t="s">
        <v>10</v>
      </c>
      <c r="H35" s="8">
        <v>108</v>
      </c>
      <c r="I35" s="8" t="s">
        <v>39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N17" sqref="N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'04'!B1+1</f>
        <v>45296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150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350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95</v>
      </c>
      <c r="D15" s="2"/>
      <c r="E15" s="18"/>
      <c r="F15" s="25"/>
      <c r="G15" s="26"/>
      <c r="H15" s="8"/>
      <c r="I15" s="8"/>
      <c r="J15" s="2"/>
      <c r="K15" s="25">
        <v>3949</v>
      </c>
      <c r="L15" s="9" t="s">
        <v>36</v>
      </c>
      <c r="M15" s="75" t="s">
        <v>40</v>
      </c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595</v>
      </c>
      <c r="D16" s="2"/>
      <c r="E16" s="18"/>
      <c r="F16" s="25"/>
      <c r="G16" s="26"/>
      <c r="H16" s="8"/>
      <c r="I16" s="8"/>
      <c r="J16" s="2"/>
      <c r="K16" s="25"/>
      <c r="L16" s="9"/>
      <c r="M16" s="74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3948</v>
      </c>
      <c r="F26" s="25" t="s">
        <v>41</v>
      </c>
      <c r="G26" s="46" t="s">
        <v>7</v>
      </c>
      <c r="H26" s="8">
        <v>0</v>
      </c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3902</v>
      </c>
      <c r="F35" s="25" t="s">
        <v>42</v>
      </c>
      <c r="G35" s="26" t="s">
        <v>6</v>
      </c>
      <c r="H35" s="8">
        <v>150</v>
      </c>
      <c r="I35" s="8" t="s">
        <v>43</v>
      </c>
      <c r="K35" s="25"/>
      <c r="L35" s="41"/>
      <c r="M35" s="16"/>
    </row>
    <row r="36" spans="2:18" ht="15.75" x14ac:dyDescent="0.25">
      <c r="E36" s="18">
        <v>2100343</v>
      </c>
      <c r="F36" s="25" t="s">
        <v>44</v>
      </c>
      <c r="G36" s="26" t="s">
        <v>10</v>
      </c>
      <c r="H36" s="8">
        <v>95</v>
      </c>
      <c r="I36" s="8" t="s">
        <v>39</v>
      </c>
      <c r="K36" s="25"/>
      <c r="L36" s="41"/>
      <c r="M36" s="16"/>
    </row>
    <row r="37" spans="2:18" ht="15.75" x14ac:dyDescent="0.25">
      <c r="E37" s="18">
        <v>3927</v>
      </c>
      <c r="F37" s="25" t="s">
        <v>45</v>
      </c>
      <c r="G37" s="26" t="s">
        <v>7</v>
      </c>
      <c r="H37" s="8">
        <v>100</v>
      </c>
      <c r="I37" s="8" t="s">
        <v>43</v>
      </c>
      <c r="K37" s="25"/>
      <c r="L37" s="41"/>
      <c r="M37" s="16"/>
    </row>
    <row r="38" spans="2:18" ht="15.75" x14ac:dyDescent="0.25">
      <c r="E38" s="18">
        <v>3928</v>
      </c>
      <c r="F38" s="25" t="s">
        <v>45</v>
      </c>
      <c r="G38" s="26" t="s">
        <v>7</v>
      </c>
      <c r="H38" s="8">
        <v>100</v>
      </c>
      <c r="I38" s="8" t="s">
        <v>43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4" zoomScale="80" zoomScaleNormal="8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'03'!B1+1</f>
        <v>45295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3981</v>
      </c>
      <c r="F6" s="25" t="s">
        <v>46</v>
      </c>
      <c r="G6" s="46" t="s">
        <v>47</v>
      </c>
      <c r="H6" s="8">
        <v>30</v>
      </c>
      <c r="I6" s="8"/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3982</v>
      </c>
      <c r="F7" s="25" t="s">
        <v>48</v>
      </c>
      <c r="G7" s="46" t="s">
        <v>35</v>
      </c>
      <c r="H7" s="8"/>
      <c r="I7" s="8"/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200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67">
        <v>3910</v>
      </c>
      <c r="L15" s="68" t="s">
        <v>36</v>
      </c>
      <c r="M15" s="69" t="s">
        <v>37</v>
      </c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70"/>
      <c r="L16" s="67"/>
      <c r="M16" s="69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7"/>
      <c r="L17" s="68"/>
      <c r="M17" s="69"/>
      <c r="R17" s="1">
        <f>IF(vend4[[#This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3910</v>
      </c>
      <c r="F26" s="25" t="s">
        <v>49</v>
      </c>
      <c r="G26" s="46" t="s">
        <v>10</v>
      </c>
      <c r="H26" s="8">
        <v>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F29" sqref="F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'05'!B1+1</f>
        <v>45297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840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445</v>
      </c>
      <c r="D6" s="2"/>
      <c r="E6" s="18">
        <v>3983</v>
      </c>
      <c r="F6" s="25" t="s">
        <v>50</v>
      </c>
      <c r="G6" s="26" t="s">
        <v>6</v>
      </c>
      <c r="H6" s="8">
        <v>345</v>
      </c>
      <c r="I6" s="8">
        <v>75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3984</v>
      </c>
      <c r="F7" s="25" t="s">
        <v>50</v>
      </c>
      <c r="G7" s="26" t="s">
        <v>6</v>
      </c>
      <c r="H7" s="8">
        <v>345</v>
      </c>
      <c r="I7" s="8">
        <v>75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21</v>
      </c>
      <c r="C8" s="29">
        <f>SUM(C6:C7)</f>
        <v>445</v>
      </c>
      <c r="D8" s="2"/>
      <c r="E8" s="18">
        <v>3985</v>
      </c>
      <c r="F8" s="25" t="s">
        <v>51</v>
      </c>
      <c r="G8" s="26" t="s">
        <v>10</v>
      </c>
      <c r="H8" s="8">
        <v>150</v>
      </c>
      <c r="I8" s="8">
        <v>50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" x14ac:dyDescent="0.25">
      <c r="B10" s="89" t="s">
        <v>5</v>
      </c>
      <c r="C10" s="89"/>
      <c r="D10" s="2"/>
      <c r="E10" s="66"/>
      <c r="F10" s="66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245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18">
        <v>3917</v>
      </c>
      <c r="L15" s="25" t="s">
        <v>36</v>
      </c>
      <c r="M15" s="16" t="s">
        <v>37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445</v>
      </c>
      <c r="D16" s="2"/>
      <c r="E16" s="18"/>
      <c r="F16" s="25"/>
      <c r="G16" s="26"/>
      <c r="H16" s="8"/>
      <c r="I16" s="8"/>
      <c r="J16" s="2"/>
      <c r="K16" s="25">
        <v>3900</v>
      </c>
      <c r="L16" s="9" t="s">
        <v>36</v>
      </c>
      <c r="M16" s="16" t="s">
        <v>37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3900</v>
      </c>
      <c r="F26" s="25" t="s">
        <v>52</v>
      </c>
      <c r="G26" s="26" t="s">
        <v>7</v>
      </c>
      <c r="H26" s="8">
        <v>0</v>
      </c>
      <c r="I26" s="8">
        <v>145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3917</v>
      </c>
      <c r="F27" s="25" t="s">
        <v>53</v>
      </c>
      <c r="G27" s="26" t="s">
        <v>7</v>
      </c>
      <c r="H27" s="8">
        <v>0</v>
      </c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 t="s">
        <v>6</v>
      </c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zoomScale="80" zoomScaleNormal="80" workbookViewId="0">
      <selection activeCell="G46" sqref="G4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'06'!B1+1</f>
        <v>45298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1"/>
      <c r="F6" s="49"/>
      <c r="G6" s="49"/>
      <c r="H6" s="50"/>
      <c r="I6" s="50"/>
      <c r="J6" s="2"/>
      <c r="K6" s="25"/>
      <c r="L6" s="9"/>
      <c r="M6" s="16"/>
      <c r="R6" s="1">
        <f>IF(vend7[[#This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2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3"/>
      <c r="L15" s="54"/>
      <c r="M15" s="55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86"/>
      <c r="F26" s="71"/>
      <c r="G26" s="87"/>
      <c r="H26" s="88"/>
      <c r="I26" s="88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zoomScale="80" zoomScaleNormal="80" workbookViewId="0">
      <selection activeCell="G13" sqref="G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'07'!B1+1</f>
        <v>45299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1490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2390</v>
      </c>
      <c r="D6" s="2"/>
      <c r="E6" s="56">
        <v>3986</v>
      </c>
      <c r="F6" s="8" t="s">
        <v>54</v>
      </c>
      <c r="G6" s="8" t="s">
        <v>10</v>
      </c>
      <c r="H6" s="8">
        <v>1000</v>
      </c>
      <c r="I6" s="8">
        <v>1000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>
        <v>3987</v>
      </c>
      <c r="F7" s="8" t="s">
        <v>54</v>
      </c>
      <c r="G7" s="8" t="s">
        <v>10</v>
      </c>
      <c r="H7" s="8">
        <v>350</v>
      </c>
      <c r="I7" s="8">
        <v>350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21</v>
      </c>
      <c r="C8" s="29">
        <f>SUM(C6:C7)</f>
        <v>2390</v>
      </c>
      <c r="D8" s="2"/>
      <c r="E8" s="56">
        <v>3988</v>
      </c>
      <c r="F8" s="8" t="s">
        <v>55</v>
      </c>
      <c r="G8" s="8" t="s">
        <v>35</v>
      </c>
      <c r="H8" s="8">
        <v>0</v>
      </c>
      <c r="I8" s="8">
        <v>0</v>
      </c>
      <c r="J8" s="2"/>
      <c r="K8" s="25"/>
      <c r="L8" s="9"/>
      <c r="M8" s="16"/>
      <c r="R8" s="1">
        <f>IF(vend8[[#This Row],[Nº Venda]]&gt;1,1,0)</f>
        <v>1</v>
      </c>
    </row>
    <row r="9" spans="2:18" ht="15" x14ac:dyDescent="0.25">
      <c r="B9" s="2"/>
      <c r="C9" s="2"/>
      <c r="D9" s="2"/>
      <c r="E9" s="56">
        <v>3989</v>
      </c>
      <c r="F9" s="8" t="s">
        <v>56</v>
      </c>
      <c r="G9" s="8" t="s">
        <v>8</v>
      </c>
      <c r="H9" s="8">
        <v>140</v>
      </c>
      <c r="I9" s="8">
        <v>140</v>
      </c>
      <c r="J9" s="2"/>
      <c r="K9" s="25"/>
      <c r="L9" s="9"/>
      <c r="M9" s="16"/>
      <c r="R9" s="1">
        <f>IF(vend8[[#This Row],[Nº Venda]]&gt;1,1,0)</f>
        <v>1</v>
      </c>
    </row>
    <row r="10" spans="2:18" ht="15.75" x14ac:dyDescent="0.25">
      <c r="B10" s="89" t="s">
        <v>5</v>
      </c>
      <c r="C10" s="89"/>
      <c r="D10" s="2"/>
      <c r="E10" s="18">
        <v>3990</v>
      </c>
      <c r="F10" s="25" t="s">
        <v>57</v>
      </c>
      <c r="G10" s="26" t="s">
        <v>35</v>
      </c>
      <c r="H10" s="8">
        <v>0</v>
      </c>
      <c r="I10" s="8">
        <v>0</v>
      </c>
      <c r="J10" s="2"/>
      <c r="K10" s="25"/>
      <c r="L10" s="9"/>
      <c r="M10" s="16"/>
      <c r="R10" s="1">
        <f>IF(vend8[[#This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489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540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2039</v>
      </c>
      <c r="D15" s="2"/>
      <c r="E15" s="18"/>
      <c r="F15" s="25"/>
      <c r="G15" s="26"/>
      <c r="H15" s="8"/>
      <c r="I15" s="8"/>
      <c r="J15" s="2"/>
      <c r="K15" s="25">
        <v>3989</v>
      </c>
      <c r="L15" s="9" t="s">
        <v>36</v>
      </c>
      <c r="M15" s="16" t="s">
        <v>37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3068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6">
        <v>3957</v>
      </c>
      <c r="F26" s="71" t="s">
        <v>58</v>
      </c>
      <c r="G26" s="87" t="s">
        <v>10</v>
      </c>
      <c r="H26" s="88">
        <v>0</v>
      </c>
      <c r="I26" s="8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 t="s">
        <v>8</v>
      </c>
      <c r="H27" s="8">
        <v>0</v>
      </c>
      <c r="I27" s="8">
        <v>400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3948</v>
      </c>
      <c r="F28" s="25" t="s">
        <v>59</v>
      </c>
      <c r="G28" s="46" t="s">
        <v>6</v>
      </c>
      <c r="H28" s="8">
        <v>0</v>
      </c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2092158</v>
      </c>
      <c r="F35" s="25" t="s">
        <v>60</v>
      </c>
      <c r="G35" s="26" t="s">
        <v>10</v>
      </c>
      <c r="H35" s="8">
        <v>164</v>
      </c>
      <c r="I35" s="8" t="s">
        <v>61</v>
      </c>
      <c r="K35" s="25"/>
      <c r="L35" s="41"/>
      <c r="M35" s="16"/>
    </row>
    <row r="36" spans="2:18" ht="15.75" x14ac:dyDescent="0.25">
      <c r="E36" s="18">
        <v>3922</v>
      </c>
      <c r="F36" s="25" t="s">
        <v>62</v>
      </c>
      <c r="G36" s="26" t="s">
        <v>10</v>
      </c>
      <c r="H36" s="8">
        <v>125</v>
      </c>
      <c r="I36" s="8" t="s">
        <v>63</v>
      </c>
      <c r="K36" s="25"/>
      <c r="L36" s="41"/>
      <c r="M36" s="16"/>
    </row>
    <row r="37" spans="2:18" ht="15.75" x14ac:dyDescent="0.25">
      <c r="E37" s="18">
        <v>2085651</v>
      </c>
      <c r="F37" s="25" t="s">
        <v>64</v>
      </c>
      <c r="G37" s="26" t="s">
        <v>6</v>
      </c>
      <c r="H37" s="8">
        <v>140</v>
      </c>
      <c r="I37" s="8" t="s">
        <v>65</v>
      </c>
      <c r="K37" s="25"/>
      <c r="L37" s="41"/>
      <c r="M37" s="16"/>
    </row>
    <row r="38" spans="2:18" ht="15.75" x14ac:dyDescent="0.25">
      <c r="E38" s="18">
        <v>2086597</v>
      </c>
      <c r="F38" s="25" t="s">
        <v>66</v>
      </c>
      <c r="G38" s="26" t="s">
        <v>6</v>
      </c>
      <c r="H38" s="8">
        <v>249</v>
      </c>
      <c r="I38" s="8" t="s">
        <v>67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zoomScale="80" zoomScaleNormal="80" workbookViewId="0">
      <selection activeCell="C22" sqref="C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'08'!B1+1</f>
        <v>45300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850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3991</v>
      </c>
      <c r="F6" s="25" t="s">
        <v>68</v>
      </c>
      <c r="G6" s="46" t="s">
        <v>7</v>
      </c>
      <c r="H6" s="8">
        <v>850</v>
      </c>
      <c r="I6" s="8">
        <v>50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21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230</v>
      </c>
      <c r="D15" s="2"/>
      <c r="E15" s="18"/>
      <c r="F15" s="25"/>
      <c r="G15" s="26"/>
      <c r="H15" s="8"/>
      <c r="I15" s="8"/>
      <c r="J15" s="2"/>
      <c r="K15" s="25">
        <v>3960</v>
      </c>
      <c r="L15" s="9" t="s">
        <v>36</v>
      </c>
      <c r="M15" s="16" t="s">
        <v>37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280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2100594</v>
      </c>
      <c r="F35" s="25" t="s">
        <v>69</v>
      </c>
      <c r="G35" s="26" t="s">
        <v>10</v>
      </c>
      <c r="H35" s="8">
        <v>230</v>
      </c>
      <c r="I35" s="8" t="s">
        <v>70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'09'!B1+1</f>
        <v>45301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SUMIF(I6:I32,"&gt;0",H6:H32)</f>
        <v>2186.5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3979.5</v>
      </c>
      <c r="D6" s="2"/>
      <c r="E6" s="18">
        <v>3992</v>
      </c>
      <c r="F6" s="25" t="s">
        <v>71</v>
      </c>
      <c r="G6" s="46" t="s">
        <v>10</v>
      </c>
      <c r="H6" s="8">
        <v>800</v>
      </c>
      <c r="I6" s="8">
        <v>800</v>
      </c>
      <c r="J6" s="2"/>
      <c r="K6" s="25" t="s">
        <v>72</v>
      </c>
      <c r="L6" s="9" t="s">
        <v>6</v>
      </c>
      <c r="M6" s="16">
        <v>20</v>
      </c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20</v>
      </c>
      <c r="D7" s="2"/>
      <c r="E7" s="18">
        <v>3993</v>
      </c>
      <c r="F7" s="25" t="s">
        <v>71</v>
      </c>
      <c r="G7" s="46" t="s">
        <v>9</v>
      </c>
      <c r="H7" s="8">
        <v>957.5</v>
      </c>
      <c r="I7" s="8">
        <v>957.5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21</v>
      </c>
      <c r="C8" s="29">
        <f>SUM(C6:C7)</f>
        <v>3999.5</v>
      </c>
      <c r="D8" s="2"/>
      <c r="E8" s="18">
        <v>3994</v>
      </c>
      <c r="F8" s="25" t="s">
        <v>73</v>
      </c>
      <c r="G8" s="26" t="s">
        <v>9</v>
      </c>
      <c r="H8" s="8">
        <v>399</v>
      </c>
      <c r="I8" s="8">
        <v>399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166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813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2636.5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1133</v>
      </c>
      <c r="D15" s="2"/>
      <c r="E15" s="18"/>
      <c r="F15" s="25"/>
      <c r="G15" s="26"/>
      <c r="H15" s="8"/>
      <c r="I15" s="8"/>
      <c r="J15" s="2"/>
      <c r="K15" s="25">
        <v>3958</v>
      </c>
      <c r="L15" s="9" t="s">
        <v>36</v>
      </c>
      <c r="M15" s="16" t="s">
        <v>37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4748.5</v>
      </c>
      <c r="D16" s="2"/>
      <c r="E16" s="18"/>
      <c r="F16" s="25"/>
      <c r="G16" s="26"/>
      <c r="H16" s="8"/>
      <c r="I16" s="8"/>
      <c r="J16" s="2"/>
      <c r="K16" s="25">
        <v>3877</v>
      </c>
      <c r="L16" s="9" t="s">
        <v>36</v>
      </c>
      <c r="M16" s="74" t="s">
        <v>74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3974</v>
      </c>
      <c r="L17" s="9" t="s">
        <v>36</v>
      </c>
      <c r="M17" s="16" t="s">
        <v>37</v>
      </c>
      <c r="R17" s="1">
        <f>IF(vend10[[#This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>
        <v>3975</v>
      </c>
      <c r="L18" s="9" t="s">
        <v>36</v>
      </c>
      <c r="M18" s="16" t="s">
        <v>37</v>
      </c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>
        <v>3978</v>
      </c>
      <c r="L19" s="9" t="s">
        <v>36</v>
      </c>
      <c r="M19" s="16" t="s">
        <v>37</v>
      </c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3979</v>
      </c>
      <c r="L20" s="9" t="s">
        <v>36</v>
      </c>
      <c r="M20" s="16" t="s">
        <v>37</v>
      </c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2186.5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3958</v>
      </c>
      <c r="F26" s="25" t="s">
        <v>75</v>
      </c>
      <c r="G26" s="46" t="s">
        <v>9</v>
      </c>
      <c r="H26" s="8">
        <v>0</v>
      </c>
      <c r="I26" s="8">
        <v>780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3981</v>
      </c>
      <c r="F27" s="25" t="s">
        <v>76</v>
      </c>
      <c r="G27" s="46" t="s">
        <v>6</v>
      </c>
      <c r="H27" s="8">
        <v>30</v>
      </c>
      <c r="I27" s="8">
        <v>30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3877</v>
      </c>
      <c r="F28" s="25" t="s">
        <v>77</v>
      </c>
      <c r="G28" s="46" t="s">
        <v>10</v>
      </c>
      <c r="H28" s="8">
        <v>0</v>
      </c>
      <c r="I28" s="8">
        <v>200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3877</v>
      </c>
      <c r="F29" s="25" t="s">
        <v>77</v>
      </c>
      <c r="G29" s="26" t="s">
        <v>8</v>
      </c>
      <c r="H29" s="8">
        <v>0</v>
      </c>
      <c r="I29" s="8">
        <v>430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3974</v>
      </c>
      <c r="F30" s="39" t="s">
        <v>78</v>
      </c>
      <c r="G30" s="26" t="s">
        <v>8</v>
      </c>
      <c r="H30" s="8">
        <v>0</v>
      </c>
      <c r="I30" s="8">
        <v>191.5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3975</v>
      </c>
      <c r="F31" s="36" t="s">
        <v>78</v>
      </c>
      <c r="G31" s="37" t="s">
        <v>8</v>
      </c>
      <c r="H31" s="17">
        <v>0</v>
      </c>
      <c r="I31" s="17">
        <v>191.5</v>
      </c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91" t="s">
        <v>12</v>
      </c>
      <c r="L33" s="92"/>
      <c r="M33" s="93"/>
    </row>
    <row r="34" spans="2:18" ht="15" x14ac:dyDescent="0.25">
      <c r="E34" s="90" t="s">
        <v>28</v>
      </c>
      <c r="F34" s="90"/>
      <c r="G34" s="90"/>
      <c r="H34" s="90"/>
      <c r="I34" s="90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/>
      <c r="L35" s="41"/>
      <c r="M35" s="16"/>
    </row>
    <row r="36" spans="2:18" ht="15.75" x14ac:dyDescent="0.25">
      <c r="E36" s="18">
        <v>2105210</v>
      </c>
      <c r="F36" s="25" t="s">
        <v>79</v>
      </c>
      <c r="G36" s="26" t="s">
        <v>6</v>
      </c>
      <c r="H36" s="8">
        <v>136</v>
      </c>
      <c r="I36" s="8" t="s">
        <v>65</v>
      </c>
      <c r="K36" s="25"/>
      <c r="L36" s="41"/>
      <c r="M36" s="16"/>
    </row>
    <row r="37" spans="2:18" ht="15.75" x14ac:dyDescent="0.25">
      <c r="E37" s="18">
        <v>2093825</v>
      </c>
      <c r="F37" s="25" t="s">
        <v>80</v>
      </c>
      <c r="G37" s="26" t="s">
        <v>10</v>
      </c>
      <c r="H37" s="8">
        <v>133</v>
      </c>
      <c r="I37" s="8" t="s">
        <v>81</v>
      </c>
      <c r="K37" s="25"/>
      <c r="L37" s="41"/>
      <c r="M37" s="16"/>
    </row>
    <row r="38" spans="2:18" ht="15.75" x14ac:dyDescent="0.25">
      <c r="E38" s="18">
        <v>3963</v>
      </c>
      <c r="F38" s="25" t="s">
        <v>82</v>
      </c>
      <c r="G38" s="26" t="s">
        <v>9</v>
      </c>
      <c r="H38" s="8">
        <v>500</v>
      </c>
      <c r="I38" s="8" t="s">
        <v>43</v>
      </c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C20" sqref="C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'10'!B1+1</f>
        <v>45302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1750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1830</v>
      </c>
      <c r="D6" s="2"/>
      <c r="E6" s="18">
        <v>3995</v>
      </c>
      <c r="F6" s="25" t="s">
        <v>83</v>
      </c>
      <c r="G6" s="26" t="s">
        <v>7</v>
      </c>
      <c r="H6" s="8">
        <v>1750</v>
      </c>
      <c r="I6" s="8">
        <v>1750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3996</v>
      </c>
      <c r="F7" s="25" t="s">
        <v>84</v>
      </c>
      <c r="G7" s="26" t="s">
        <v>35</v>
      </c>
      <c r="H7" s="8">
        <v>0</v>
      </c>
      <c r="I7" s="8">
        <v>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21</v>
      </c>
      <c r="C8" s="29">
        <f>SUM(C6:C7)</f>
        <v>1830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1750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126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80</v>
      </c>
      <c r="D15" s="2"/>
      <c r="E15" s="18"/>
      <c r="F15" s="25"/>
      <c r="G15" s="26"/>
      <c r="H15" s="8"/>
      <c r="I15" s="8"/>
      <c r="J15" s="2"/>
      <c r="K15" s="25">
        <v>3971</v>
      </c>
      <c r="L15" s="9" t="s">
        <v>36</v>
      </c>
      <c r="M15" s="16" t="s">
        <v>85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2036</v>
      </c>
      <c r="D16" s="2"/>
      <c r="E16" s="18"/>
      <c r="F16" s="25"/>
      <c r="G16" s="26"/>
      <c r="H16" s="8"/>
      <c r="I16" s="8"/>
      <c r="J16" s="2"/>
      <c r="K16" s="25">
        <v>3954</v>
      </c>
      <c r="L16" s="9" t="s">
        <v>36</v>
      </c>
      <c r="M16" s="16" t="s">
        <v>37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3968</v>
      </c>
      <c r="L17" s="9" t="s">
        <v>36</v>
      </c>
      <c r="M17" s="16" t="s">
        <v>85</v>
      </c>
      <c r="R17" s="1">
        <f>IF(vend11[[#This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2</v>
      </c>
      <c r="C19" s="31">
        <f>SUM(entr_carn11[Valor Total])</f>
        <v>1300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1300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3971</v>
      </c>
      <c r="F26" s="25" t="s">
        <v>86</v>
      </c>
      <c r="G26" s="46" t="s">
        <v>10</v>
      </c>
      <c r="H26" s="8">
        <v>0</v>
      </c>
      <c r="I26" s="8">
        <v>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2103024</v>
      </c>
      <c r="F35" s="25" t="s">
        <v>87</v>
      </c>
      <c r="G35" s="26" t="s">
        <v>6</v>
      </c>
      <c r="H35" s="8">
        <v>80</v>
      </c>
      <c r="I35" s="8" t="s">
        <v>65</v>
      </c>
      <c r="K35" s="25">
        <v>3971</v>
      </c>
      <c r="L35" s="41">
        <v>4</v>
      </c>
      <c r="M35" s="16">
        <v>720</v>
      </c>
    </row>
    <row r="36" spans="2:18" ht="15.75" x14ac:dyDescent="0.25">
      <c r="E36" s="18">
        <v>2100269</v>
      </c>
      <c r="F36" s="25" t="s">
        <v>88</v>
      </c>
      <c r="G36" s="26" t="s">
        <v>8</v>
      </c>
      <c r="H36" s="8">
        <v>126</v>
      </c>
      <c r="I36" s="8" t="s">
        <v>89</v>
      </c>
      <c r="K36" s="25">
        <v>3968</v>
      </c>
      <c r="L36" s="41">
        <v>5</v>
      </c>
      <c r="M36" s="16">
        <v>580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'11'!B1+1</f>
        <v>45303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1300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1900</v>
      </c>
      <c r="D6" s="2"/>
      <c r="E6" s="57" t="s">
        <v>90</v>
      </c>
      <c r="F6" s="58" t="s">
        <v>91</v>
      </c>
      <c r="G6" s="58" t="s">
        <v>9</v>
      </c>
      <c r="H6" s="59">
        <v>1000</v>
      </c>
      <c r="I6" s="59">
        <v>1000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0" t="s">
        <v>92</v>
      </c>
      <c r="F7" s="61" t="s">
        <v>93</v>
      </c>
      <c r="G7" s="61" t="s">
        <v>47</v>
      </c>
      <c r="H7" s="62">
        <v>0</v>
      </c>
      <c r="I7" s="62">
        <v>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21</v>
      </c>
      <c r="C8" s="29">
        <f>SUM(C6:C7)</f>
        <v>1900</v>
      </c>
      <c r="D8" s="2"/>
      <c r="E8" s="64"/>
      <c r="F8" s="61"/>
      <c r="G8" s="61"/>
      <c r="H8" s="62"/>
      <c r="I8" s="6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1000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600</v>
      </c>
      <c r="D15" s="2"/>
      <c r="E15" s="18"/>
      <c r="F15" s="25"/>
      <c r="G15" s="26"/>
      <c r="H15" s="8"/>
      <c r="I15" s="8"/>
      <c r="J15" s="2"/>
      <c r="K15" s="25">
        <v>3981</v>
      </c>
      <c r="L15" s="9" t="s">
        <v>36</v>
      </c>
      <c r="M15" s="16" t="s">
        <v>37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1900</v>
      </c>
      <c r="D16" s="2"/>
      <c r="E16" s="18"/>
      <c r="F16" s="25"/>
      <c r="G16" s="26"/>
      <c r="H16" s="8"/>
      <c r="I16" s="8"/>
      <c r="J16" s="2"/>
      <c r="K16" s="25">
        <v>3976</v>
      </c>
      <c r="L16" s="9" t="s">
        <v>36</v>
      </c>
      <c r="M16" s="16" t="s">
        <v>37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3969</v>
      </c>
      <c r="F26" s="63" t="s">
        <v>94</v>
      </c>
      <c r="G26" s="46" t="s">
        <v>10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3970</v>
      </c>
      <c r="F27" s="25" t="s">
        <v>94</v>
      </c>
      <c r="G27" s="26" t="s">
        <v>10</v>
      </c>
      <c r="H27" s="8"/>
      <c r="I27" s="8">
        <v>300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3976</v>
      </c>
      <c r="F28" s="25" t="s">
        <v>95</v>
      </c>
      <c r="G28" s="26" t="s">
        <v>7</v>
      </c>
      <c r="H28" s="8">
        <v>300</v>
      </c>
      <c r="I28" s="8">
        <v>300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U38" sqref="U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'12'!B1+1</f>
        <v>45304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5190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4805</v>
      </c>
      <c r="D6" s="2"/>
      <c r="E6" s="18">
        <v>3999</v>
      </c>
      <c r="F6" s="25" t="s">
        <v>96</v>
      </c>
      <c r="G6" s="26" t="s">
        <v>8</v>
      </c>
      <c r="H6" s="8">
        <v>990</v>
      </c>
      <c r="I6" s="8">
        <v>200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4000</v>
      </c>
      <c r="F7" s="25" t="s">
        <v>97</v>
      </c>
      <c r="G7" s="26" t="s">
        <v>10</v>
      </c>
      <c r="H7" s="8">
        <v>570</v>
      </c>
      <c r="I7" s="8">
        <v>570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4805</v>
      </c>
      <c r="D8" s="2"/>
      <c r="E8" s="18">
        <v>4001</v>
      </c>
      <c r="F8" s="25" t="s">
        <v>98</v>
      </c>
      <c r="G8" s="26" t="s">
        <v>8</v>
      </c>
      <c r="H8" s="8">
        <v>850</v>
      </c>
      <c r="I8" s="8">
        <v>850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4001</v>
      </c>
      <c r="F9" s="25" t="s">
        <v>98</v>
      </c>
      <c r="G9" s="26" t="s">
        <v>10</v>
      </c>
      <c r="H9" s="8">
        <v>300</v>
      </c>
      <c r="I9" s="8">
        <v>300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89" t="s">
        <v>5</v>
      </c>
      <c r="C10" s="89"/>
      <c r="D10" s="2"/>
      <c r="E10" s="18">
        <v>4002</v>
      </c>
      <c r="F10" s="25" t="s">
        <v>99</v>
      </c>
      <c r="G10" s="26" t="s">
        <v>8</v>
      </c>
      <c r="H10" s="8">
        <v>690</v>
      </c>
      <c r="I10" s="8">
        <v>100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>
        <v>4003</v>
      </c>
      <c r="F11" s="25" t="s">
        <v>100</v>
      </c>
      <c r="G11" s="26" t="s">
        <v>8</v>
      </c>
      <c r="H11" s="8">
        <v>1790</v>
      </c>
      <c r="I11" s="8">
        <v>1790</v>
      </c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3730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1151</v>
      </c>
      <c r="D15" s="2"/>
      <c r="E15" s="18"/>
      <c r="F15" s="25"/>
      <c r="G15" s="26"/>
      <c r="H15" s="8"/>
      <c r="I15" s="8"/>
      <c r="J15" s="2"/>
      <c r="K15" s="25">
        <v>3983</v>
      </c>
      <c r="L15" s="9" t="s">
        <v>36</v>
      </c>
      <c r="M15" s="16" t="s">
        <v>85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4981</v>
      </c>
      <c r="D16" s="2"/>
      <c r="E16" s="18"/>
      <c r="F16" s="25"/>
      <c r="G16" s="26"/>
      <c r="H16" s="8"/>
      <c r="I16" s="8"/>
      <c r="J16" s="2"/>
      <c r="K16" s="25">
        <v>3984</v>
      </c>
      <c r="L16" s="9" t="s">
        <v>36</v>
      </c>
      <c r="M16" s="16" t="s">
        <v>85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3977</v>
      </c>
      <c r="L17" s="9" t="s">
        <v>36</v>
      </c>
      <c r="M17" s="16" t="s">
        <v>85</v>
      </c>
      <c r="R17" s="1">
        <f>IF(vend13[[#This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>
        <v>3994</v>
      </c>
      <c r="L18" s="9" t="s">
        <v>36</v>
      </c>
      <c r="M18" s="16" t="s">
        <v>37</v>
      </c>
      <c r="R18" s="1">
        <f>IF(vend13[[#This Row],[Nº Venda]]&gt;1,1,0)</f>
        <v>0</v>
      </c>
    </row>
    <row r="19" spans="2:18" ht="15.75" x14ac:dyDescent="0.25">
      <c r="B19" s="30">
        <f>COUNT(entr_carn13[OS])</f>
        <v>4</v>
      </c>
      <c r="C19" s="31">
        <f>SUM(entr_carn13[Valor Total])</f>
        <v>915</v>
      </c>
      <c r="D19" s="2"/>
      <c r="E19" s="18"/>
      <c r="F19" s="25"/>
      <c r="G19" s="26"/>
      <c r="H19" s="8"/>
      <c r="I19" s="8"/>
      <c r="J19" s="2"/>
      <c r="K19" s="25">
        <v>3946</v>
      </c>
      <c r="L19" s="9" t="s">
        <v>36</v>
      </c>
      <c r="M19" s="16" t="s">
        <v>37</v>
      </c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915</v>
      </c>
      <c r="D20" s="2"/>
      <c r="E20" s="18"/>
      <c r="F20" s="26"/>
      <c r="G20" s="26"/>
      <c r="H20" s="8"/>
      <c r="I20" s="8"/>
      <c r="J20" s="2"/>
      <c r="K20" s="25">
        <v>3935</v>
      </c>
      <c r="L20" s="9" t="s">
        <v>36</v>
      </c>
      <c r="M20" s="16" t="s">
        <v>85</v>
      </c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5190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3983</v>
      </c>
      <c r="F26" s="25" t="s">
        <v>101</v>
      </c>
      <c r="G26" s="26" t="s">
        <v>6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3984</v>
      </c>
      <c r="F27" s="25" t="s">
        <v>101</v>
      </c>
      <c r="G27" s="26" t="s">
        <v>6</v>
      </c>
      <c r="H27" s="8"/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3935</v>
      </c>
      <c r="F28" s="25" t="s">
        <v>102</v>
      </c>
      <c r="G28" s="26" t="s">
        <v>10</v>
      </c>
      <c r="H28" s="8"/>
      <c r="I28" s="8">
        <v>105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3946</v>
      </c>
      <c r="F29" s="25" t="s">
        <v>103</v>
      </c>
      <c r="G29" s="26" t="s">
        <v>8</v>
      </c>
      <c r="H29" s="8"/>
      <c r="I29" s="8">
        <v>790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 t="s">
        <v>104</v>
      </c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B35" s="1">
        <v>3</v>
      </c>
      <c r="E35" s="18">
        <v>2102313</v>
      </c>
      <c r="F35" s="25" t="s">
        <v>105</v>
      </c>
      <c r="G35" s="26" t="s">
        <v>10</v>
      </c>
      <c r="H35" s="8">
        <v>176</v>
      </c>
      <c r="I35" s="8" t="s">
        <v>106</v>
      </c>
      <c r="K35" s="25">
        <v>3983</v>
      </c>
      <c r="L35" s="41">
        <v>1</v>
      </c>
      <c r="M35" s="16">
        <v>220</v>
      </c>
    </row>
    <row r="36" spans="2:18" ht="15.75" x14ac:dyDescent="0.25">
      <c r="E36" s="18"/>
      <c r="F36" s="25"/>
      <c r="G36" s="26"/>
      <c r="H36" s="8"/>
      <c r="I36" s="8"/>
      <c r="K36" s="25">
        <v>3984</v>
      </c>
      <c r="L36" s="41">
        <v>1</v>
      </c>
      <c r="M36" s="16">
        <v>220</v>
      </c>
    </row>
    <row r="37" spans="2:18" ht="15.75" x14ac:dyDescent="0.25">
      <c r="E37" s="18"/>
      <c r="F37" s="25"/>
      <c r="G37" s="26"/>
      <c r="H37" s="8"/>
      <c r="I37" s="8"/>
      <c r="K37" s="25">
        <v>3977</v>
      </c>
      <c r="L37" s="41">
        <v>3</v>
      </c>
      <c r="M37" s="16">
        <v>350</v>
      </c>
    </row>
    <row r="38" spans="2:18" ht="15.75" x14ac:dyDescent="0.25">
      <c r="E38" s="18"/>
      <c r="F38" s="25"/>
      <c r="G38" s="26"/>
      <c r="H38" s="8"/>
      <c r="I38" s="8"/>
      <c r="K38" s="25">
        <v>3935</v>
      </c>
      <c r="L38" s="41">
        <v>1</v>
      </c>
      <c r="M38" s="16">
        <v>125</v>
      </c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I26" sqref="I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'13'!B1+1</f>
        <v>45305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2" zoomScale="80" zoomScaleNormal="80" workbookViewId="0">
      <selection activeCell="I27" sqref="I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'14'!B1+1</f>
        <v>45306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1213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980</v>
      </c>
      <c r="D6" s="2"/>
      <c r="E6" s="18">
        <v>4004</v>
      </c>
      <c r="F6" s="25" t="s">
        <v>107</v>
      </c>
      <c r="G6" s="46" t="s">
        <v>10</v>
      </c>
      <c r="H6" s="8">
        <v>523</v>
      </c>
      <c r="I6" s="8">
        <v>270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4005</v>
      </c>
      <c r="F7" s="25" t="s">
        <v>108</v>
      </c>
      <c r="G7" s="46" t="s">
        <v>9</v>
      </c>
      <c r="H7" s="8">
        <v>600</v>
      </c>
      <c r="I7" s="8">
        <v>600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21</v>
      </c>
      <c r="C8" s="29">
        <f>SUM(C6:C7)</f>
        <v>980</v>
      </c>
      <c r="D8" s="2"/>
      <c r="E8" s="18"/>
      <c r="F8" s="25"/>
      <c r="G8" s="26" t="s">
        <v>7</v>
      </c>
      <c r="H8" s="8">
        <v>90</v>
      </c>
      <c r="I8" s="8">
        <v>90</v>
      </c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600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501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1191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1213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3935</v>
      </c>
      <c r="F26" s="25" t="s">
        <v>109</v>
      </c>
      <c r="G26" s="46" t="s">
        <v>10</v>
      </c>
      <c r="H26" s="8">
        <v>0</v>
      </c>
      <c r="I26" s="8">
        <v>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2102775</v>
      </c>
      <c r="F35" s="25" t="s">
        <v>110</v>
      </c>
      <c r="G35" s="26" t="s">
        <v>10</v>
      </c>
      <c r="H35" s="8">
        <v>78</v>
      </c>
      <c r="I35" s="8" t="s">
        <v>111</v>
      </c>
      <c r="K35" s="25"/>
      <c r="L35" s="41"/>
      <c r="M35" s="16"/>
    </row>
    <row r="36" spans="2:18" ht="15.75" x14ac:dyDescent="0.25">
      <c r="E36" s="18">
        <v>2102462</v>
      </c>
      <c r="F36" s="25" t="s">
        <v>112</v>
      </c>
      <c r="G36" s="26" t="s">
        <v>10</v>
      </c>
      <c r="H36" s="8">
        <v>133</v>
      </c>
      <c r="I36" s="8" t="s">
        <v>113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3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'15'!B1+1</f>
        <v>45307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5398.92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4167.92</v>
      </c>
      <c r="D6" s="2"/>
      <c r="E6" s="18">
        <v>4006</v>
      </c>
      <c r="F6" s="25" t="s">
        <v>114</v>
      </c>
      <c r="G6" s="46" t="s">
        <v>9</v>
      </c>
      <c r="H6" s="8">
        <v>2548</v>
      </c>
      <c r="I6" s="8">
        <v>2548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4007</v>
      </c>
      <c r="F7" s="25" t="s">
        <v>115</v>
      </c>
      <c r="G7" s="46" t="s">
        <v>9</v>
      </c>
      <c r="H7" s="8">
        <v>100</v>
      </c>
      <c r="I7" s="8">
        <v>100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21</v>
      </c>
      <c r="C8" s="29">
        <f>SUM(C6:C7)</f>
        <v>4167.92</v>
      </c>
      <c r="D8" s="2"/>
      <c r="E8" s="18">
        <v>4008</v>
      </c>
      <c r="F8" s="25" t="s">
        <v>116</v>
      </c>
      <c r="G8" s="26" t="s">
        <v>7</v>
      </c>
      <c r="H8" s="8">
        <v>799</v>
      </c>
      <c r="I8" s="8">
        <v>20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>
        <v>4009</v>
      </c>
      <c r="F9" s="25" t="s">
        <v>117</v>
      </c>
      <c r="G9" s="26" t="s">
        <v>9</v>
      </c>
      <c r="H9" s="8">
        <v>199.92</v>
      </c>
      <c r="I9" s="8">
        <v>199.92</v>
      </c>
      <c r="J9" s="2"/>
      <c r="K9" s="25"/>
      <c r="L9" s="9"/>
      <c r="M9" s="16"/>
      <c r="R9" s="1">
        <f>IF(vend16[[#This Row],[Nº Venda]]&gt;1,1,0)</f>
        <v>1</v>
      </c>
    </row>
    <row r="10" spans="2:18" ht="15.75" x14ac:dyDescent="0.25">
      <c r="B10" s="89" t="s">
        <v>5</v>
      </c>
      <c r="C10" s="89"/>
      <c r="D10" s="2"/>
      <c r="E10" s="18">
        <v>4010</v>
      </c>
      <c r="F10" s="25" t="s">
        <v>118</v>
      </c>
      <c r="G10" s="26" t="s">
        <v>9</v>
      </c>
      <c r="H10" s="8">
        <v>876</v>
      </c>
      <c r="I10" s="8">
        <v>400</v>
      </c>
      <c r="J10" s="2"/>
      <c r="K10" s="25"/>
      <c r="L10" s="9"/>
      <c r="M10" s="16"/>
      <c r="R10" s="1">
        <f>IF(vend16[[#This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4011</v>
      </c>
      <c r="F11" s="25" t="s">
        <v>118</v>
      </c>
      <c r="G11" s="26" t="s">
        <v>9</v>
      </c>
      <c r="H11" s="8">
        <v>876</v>
      </c>
      <c r="I11" s="8">
        <v>400</v>
      </c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4147.92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80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4247.92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5398.92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3955</v>
      </c>
      <c r="F26" s="25" t="s">
        <v>117</v>
      </c>
      <c r="G26" s="46" t="s">
        <v>9</v>
      </c>
      <c r="H26" s="8">
        <v>0</v>
      </c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2022486</v>
      </c>
      <c r="F35" s="25" t="s">
        <v>119</v>
      </c>
      <c r="G35" s="26" t="s">
        <v>10</v>
      </c>
      <c r="H35" s="8">
        <v>80</v>
      </c>
      <c r="I35" s="8" t="s">
        <v>120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4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'16'!B1+1</f>
        <v>45308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390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390</v>
      </c>
      <c r="D6" s="2"/>
      <c r="E6" s="18">
        <v>4012</v>
      </c>
      <c r="F6" s="25" t="s">
        <v>121</v>
      </c>
      <c r="G6" s="26" t="s">
        <v>35</v>
      </c>
      <c r="H6" s="8">
        <v>0</v>
      </c>
      <c r="I6" s="8">
        <v>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4013</v>
      </c>
      <c r="F7" s="25" t="s">
        <v>122</v>
      </c>
      <c r="G7" s="26" t="s">
        <v>9</v>
      </c>
      <c r="H7" s="8">
        <v>390</v>
      </c>
      <c r="I7" s="8">
        <v>390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21</v>
      </c>
      <c r="C8" s="29">
        <f>SUM(C6:C7)</f>
        <v>390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390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490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2089888</v>
      </c>
      <c r="F35" s="25" t="s">
        <v>123</v>
      </c>
      <c r="G35" s="26" t="s">
        <v>10</v>
      </c>
      <c r="H35" s="8">
        <v>100</v>
      </c>
      <c r="I35" s="8" t="s">
        <v>124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view="pageBreakPreview" zoomScale="6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'17'!B1+1</f>
        <v>45309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5911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2471</v>
      </c>
      <c r="D6" s="2"/>
      <c r="E6" s="18">
        <v>4014</v>
      </c>
      <c r="F6" s="25" t="s">
        <v>125</v>
      </c>
      <c r="G6" s="26" t="s">
        <v>9</v>
      </c>
      <c r="H6" s="84">
        <v>1150</v>
      </c>
      <c r="I6" s="8">
        <v>200</v>
      </c>
      <c r="J6" s="2"/>
      <c r="K6" s="25" t="s">
        <v>126</v>
      </c>
      <c r="L6" s="78" t="s">
        <v>7</v>
      </c>
      <c r="M6" s="16">
        <v>11</v>
      </c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11</v>
      </c>
      <c r="D7" s="2"/>
      <c r="E7" s="18">
        <v>4015</v>
      </c>
      <c r="F7" s="25" t="s">
        <v>125</v>
      </c>
      <c r="G7" s="26" t="s">
        <v>9</v>
      </c>
      <c r="H7" s="84">
        <v>1150</v>
      </c>
      <c r="I7" s="8">
        <v>200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21</v>
      </c>
      <c r="C8" s="29">
        <f>SUM(C6:C7)</f>
        <v>2482</v>
      </c>
      <c r="D8" s="2"/>
      <c r="E8" s="18">
        <v>4016</v>
      </c>
      <c r="F8" s="25" t="s">
        <v>127</v>
      </c>
      <c r="G8" s="26" t="s">
        <v>9</v>
      </c>
      <c r="H8" s="8">
        <v>1350</v>
      </c>
      <c r="I8" s="8">
        <v>400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>
        <v>4017</v>
      </c>
      <c r="F9" s="25" t="s">
        <v>128</v>
      </c>
      <c r="G9" s="26" t="s">
        <v>9</v>
      </c>
      <c r="H9" s="8">
        <v>890</v>
      </c>
      <c r="I9" s="8">
        <v>200</v>
      </c>
      <c r="J9" s="2"/>
      <c r="K9" s="25"/>
      <c r="L9" s="9"/>
      <c r="M9" s="16"/>
      <c r="R9" s="1">
        <f>IF(vend18[[#This Row],[Nº Venda]]&gt;1,1,0)</f>
        <v>1</v>
      </c>
    </row>
    <row r="10" spans="2:18" ht="15.75" x14ac:dyDescent="0.25">
      <c r="B10" s="89" t="s">
        <v>5</v>
      </c>
      <c r="C10" s="89"/>
      <c r="D10" s="2"/>
      <c r="E10" s="18">
        <v>4018</v>
      </c>
      <c r="F10" s="25" t="s">
        <v>129</v>
      </c>
      <c r="G10" s="26" t="s">
        <v>9</v>
      </c>
      <c r="H10" s="8">
        <v>799</v>
      </c>
      <c r="I10" s="8">
        <v>799</v>
      </c>
      <c r="J10" s="2"/>
      <c r="K10" s="25"/>
      <c r="L10" s="9"/>
      <c r="M10" s="16"/>
      <c r="R10" s="1">
        <f>IF(vend18[[#This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>
        <v>4019</v>
      </c>
      <c r="F11" s="25" t="s">
        <v>130</v>
      </c>
      <c r="G11" s="26" t="s">
        <v>9</v>
      </c>
      <c r="H11" s="8">
        <v>532</v>
      </c>
      <c r="I11" s="8">
        <v>532</v>
      </c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4020</v>
      </c>
      <c r="F12" s="25" t="s">
        <v>130</v>
      </c>
      <c r="G12" s="26" t="s">
        <v>9</v>
      </c>
      <c r="H12" s="8">
        <v>40</v>
      </c>
      <c r="I12" s="8">
        <v>40</v>
      </c>
      <c r="J12" s="2"/>
      <c r="R12" s="1">
        <f>IF(vend18[[#This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4021</v>
      </c>
      <c r="F13" s="25" t="s">
        <v>131</v>
      </c>
      <c r="G13" s="26" t="s">
        <v>35</v>
      </c>
      <c r="H13" s="8">
        <v>0</v>
      </c>
      <c r="I13" s="8">
        <v>0</v>
      </c>
      <c r="J13" s="2"/>
      <c r="K13" s="91" t="s">
        <v>22</v>
      </c>
      <c r="L13" s="92"/>
      <c r="M13" s="93"/>
      <c r="R13" s="1">
        <f>IF(vend18[[#This Row],[Nº Venda]]&gt;1,1,0)</f>
        <v>1</v>
      </c>
    </row>
    <row r="14" spans="2:18" ht="15.75" x14ac:dyDescent="0.25">
      <c r="B14" s="30" t="s">
        <v>9</v>
      </c>
      <c r="C14" s="31">
        <f t="shared" si="0"/>
        <v>2371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2471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5911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76"/>
      <c r="F23" s="76"/>
      <c r="G23" s="76"/>
      <c r="H23" s="77"/>
      <c r="I23" s="7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3942</v>
      </c>
      <c r="F26" s="25" t="s">
        <v>132</v>
      </c>
      <c r="G26" s="26" t="s">
        <v>6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8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zoomScale="80" zoomScaleNormal="80" workbookViewId="0">
      <selection activeCell="V6" sqref="V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'18'!B1+1</f>
        <v>45310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2300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2300</v>
      </c>
      <c r="D6" s="2"/>
      <c r="E6" s="18">
        <v>4022</v>
      </c>
      <c r="F6" s="25" t="s">
        <v>133</v>
      </c>
      <c r="G6" s="26" t="s">
        <v>9</v>
      </c>
      <c r="H6" s="8">
        <v>2300</v>
      </c>
      <c r="I6" s="8">
        <v>2300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4023</v>
      </c>
      <c r="F7" s="25" t="s">
        <v>134</v>
      </c>
      <c r="G7" s="26" t="s">
        <v>35</v>
      </c>
      <c r="H7" s="79">
        <v>0</v>
      </c>
      <c r="I7" s="8">
        <v>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21</v>
      </c>
      <c r="C8" s="29">
        <f>SUM(C6:C7)</f>
        <v>2300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2300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413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2713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3939</v>
      </c>
      <c r="F35" s="25" t="s">
        <v>135</v>
      </c>
      <c r="G35" s="26" t="s">
        <v>10</v>
      </c>
      <c r="H35" s="8">
        <v>160</v>
      </c>
      <c r="I35" s="8" t="s">
        <v>63</v>
      </c>
      <c r="K35" s="25"/>
      <c r="L35" s="41"/>
      <c r="M35" s="16"/>
    </row>
    <row r="36" spans="2:18" ht="15.75" x14ac:dyDescent="0.25">
      <c r="E36" s="18">
        <v>3791</v>
      </c>
      <c r="F36" s="25" t="s">
        <v>136</v>
      </c>
      <c r="G36" s="26" t="s">
        <v>10</v>
      </c>
      <c r="H36" s="8">
        <v>100</v>
      </c>
      <c r="I36" s="8" t="s">
        <v>113</v>
      </c>
      <c r="K36" s="25"/>
      <c r="L36" s="41"/>
      <c r="M36" s="16"/>
    </row>
    <row r="37" spans="2:18" ht="15.75" x14ac:dyDescent="0.25">
      <c r="E37" s="18">
        <v>2095535</v>
      </c>
      <c r="F37" s="25" t="s">
        <v>137</v>
      </c>
      <c r="G37" s="26" t="s">
        <v>10</v>
      </c>
      <c r="H37" s="8">
        <v>153</v>
      </c>
      <c r="I37" s="8" t="s">
        <v>138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'19'!B1+1</f>
        <v>45311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72">
        <v>3969</v>
      </c>
      <c r="L15" s="9" t="s">
        <v>36</v>
      </c>
      <c r="M15" s="16" t="s">
        <v>85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72">
        <v>3970</v>
      </c>
      <c r="L16" s="80" t="s">
        <v>36</v>
      </c>
      <c r="M16" s="81" t="s">
        <v>85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2</v>
      </c>
      <c r="C19" s="31">
        <f>SUM(entr_carn20[Valor Total])</f>
        <v>700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700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3969</v>
      </c>
      <c r="L35" s="41">
        <v>5</v>
      </c>
      <c r="M35" s="81">
        <v>350</v>
      </c>
    </row>
    <row r="36" spans="2:18" ht="15.75" x14ac:dyDescent="0.25">
      <c r="E36" s="18"/>
      <c r="F36" s="25"/>
      <c r="G36" s="26"/>
      <c r="H36" s="8"/>
      <c r="I36" s="8"/>
      <c r="K36" s="72">
        <v>3970</v>
      </c>
      <c r="L36" s="82">
        <v>5</v>
      </c>
      <c r="M36" s="81">
        <v>350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9" zoomScale="80" zoomScaleNormal="80" workbookViewId="0">
      <selection activeCell="K23" sqref="K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'20'!B1+1</f>
        <v>45312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2" zoomScale="80" zoomScaleNormal="80" workbookViewId="0">
      <selection activeCell="H10" sqref="H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'21'!B1+1</f>
        <v>45313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4024</v>
      </c>
      <c r="F6" s="25" t="s">
        <v>231</v>
      </c>
      <c r="G6" s="26" t="s">
        <v>8</v>
      </c>
      <c r="H6" s="8">
        <v>200</v>
      </c>
      <c r="I6" s="8">
        <v>200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116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100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120</v>
      </c>
      <c r="D15" s="2"/>
      <c r="E15" s="18"/>
      <c r="F15" s="25"/>
      <c r="G15" s="26"/>
      <c r="H15" s="8"/>
      <c r="I15" s="8"/>
      <c r="J15" s="2"/>
      <c r="K15" s="25">
        <v>3955</v>
      </c>
      <c r="L15" s="9" t="s">
        <v>36</v>
      </c>
      <c r="M15" s="16" t="s">
        <v>37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536</v>
      </c>
      <c r="D16" s="2"/>
      <c r="E16" s="18"/>
      <c r="F16" s="25"/>
      <c r="G16" s="26"/>
      <c r="H16" s="8"/>
      <c r="I16" s="8"/>
      <c r="J16" s="2"/>
      <c r="K16" s="25">
        <v>4009</v>
      </c>
      <c r="L16" s="9" t="s">
        <v>36</v>
      </c>
      <c r="M16" s="16" t="s">
        <v>37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3985</v>
      </c>
      <c r="F26" s="25" t="s">
        <v>139</v>
      </c>
      <c r="G26" s="26" t="s">
        <v>9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2030575</v>
      </c>
      <c r="F35" s="25" t="s">
        <v>140</v>
      </c>
      <c r="G35" s="26" t="s">
        <v>10</v>
      </c>
      <c r="H35" s="8">
        <v>120</v>
      </c>
      <c r="I35" s="8" t="s">
        <v>81</v>
      </c>
      <c r="K35" s="25"/>
      <c r="L35" s="41"/>
      <c r="M35" s="16"/>
    </row>
    <row r="36" spans="2:18" ht="15.75" x14ac:dyDescent="0.25">
      <c r="E36" s="18">
        <v>2103553</v>
      </c>
      <c r="F36" s="25" t="s">
        <v>141</v>
      </c>
      <c r="G36" s="26" t="s">
        <v>7</v>
      </c>
      <c r="H36" s="8">
        <v>116</v>
      </c>
      <c r="I36" s="8" t="s">
        <v>111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zoomScale="80" zoomScaleNormal="80" workbookViewId="0">
      <selection activeCell="V8" sqref="V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'22'!B1+1</f>
        <v>45314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350</v>
      </c>
      <c r="D6" s="2"/>
      <c r="E6" s="18">
        <v>4025</v>
      </c>
      <c r="F6" s="25" t="s">
        <v>142</v>
      </c>
      <c r="G6" s="26" t="s">
        <v>9</v>
      </c>
      <c r="H6" s="8">
        <v>350</v>
      </c>
      <c r="I6" s="8">
        <v>350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350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350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24" zoomScale="80" zoomScaleNormal="8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'23'!B1+1</f>
        <v>45315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4026</v>
      </c>
      <c r="F6" s="25" t="s">
        <v>143</v>
      </c>
      <c r="G6" s="26" t="s">
        <v>7</v>
      </c>
      <c r="H6" s="8">
        <v>50</v>
      </c>
      <c r="I6" s="8">
        <v>50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4027</v>
      </c>
      <c r="F7" s="25" t="s">
        <v>144</v>
      </c>
      <c r="G7" s="26" t="s">
        <v>35</v>
      </c>
      <c r="H7" s="8">
        <v>0</v>
      </c>
      <c r="I7" s="8">
        <v>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21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162</v>
      </c>
      <c r="D15" s="2"/>
      <c r="E15" s="18"/>
      <c r="F15" s="25"/>
      <c r="G15" s="26"/>
      <c r="H15" s="8"/>
      <c r="I15" s="8"/>
      <c r="J15" s="2"/>
      <c r="K15" s="25">
        <v>4000</v>
      </c>
      <c r="L15" s="9" t="s">
        <v>145</v>
      </c>
      <c r="M15" s="16" t="s">
        <v>37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292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2049565</v>
      </c>
      <c r="F35" s="25" t="s">
        <v>146</v>
      </c>
      <c r="G35" s="26" t="s">
        <v>10</v>
      </c>
      <c r="H35" s="8">
        <v>162</v>
      </c>
      <c r="I35" s="8" t="s">
        <v>147</v>
      </c>
      <c r="K35" s="25"/>
      <c r="L35" s="41"/>
      <c r="M35" s="16"/>
    </row>
    <row r="36" spans="2:18" ht="15.75" x14ac:dyDescent="0.25">
      <c r="E36" s="18">
        <v>2100300</v>
      </c>
      <c r="F36" s="25" t="s">
        <v>148</v>
      </c>
      <c r="G36" s="26" t="s">
        <v>7</v>
      </c>
      <c r="H36" s="8">
        <v>80</v>
      </c>
      <c r="I36" s="8" t="s">
        <v>70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H37" sqref="H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'24'!B1+1</f>
        <v>45316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345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345</v>
      </c>
      <c r="D6" s="2"/>
      <c r="E6" s="18">
        <v>4028</v>
      </c>
      <c r="F6" s="25" t="s">
        <v>149</v>
      </c>
      <c r="G6" s="26" t="s">
        <v>9</v>
      </c>
      <c r="H6" s="8">
        <v>345</v>
      </c>
      <c r="I6" s="8">
        <v>345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4029</v>
      </c>
      <c r="F7" s="25" t="s">
        <v>150</v>
      </c>
      <c r="G7" s="26" t="s">
        <v>35</v>
      </c>
      <c r="H7" s="8">
        <v>0</v>
      </c>
      <c r="I7" s="8">
        <v>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21</v>
      </c>
      <c r="C8" s="29">
        <f>SUM(C6:C7)</f>
        <v>345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345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345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345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3552</v>
      </c>
      <c r="F35" s="25" t="s">
        <v>151</v>
      </c>
      <c r="G35" s="26" t="s">
        <v>7</v>
      </c>
      <c r="H35" s="85">
        <v>70</v>
      </c>
      <c r="I35" s="8" t="s">
        <v>106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I1" sqref="I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'25'!B1+1</f>
        <v>45317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4030</v>
      </c>
      <c r="F6" s="25" t="s">
        <v>152</v>
      </c>
      <c r="G6" s="26" t="s">
        <v>6</v>
      </c>
      <c r="H6" s="8">
        <v>790</v>
      </c>
      <c r="I6" s="8">
        <v>50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3993</v>
      </c>
      <c r="L15" s="9" t="s">
        <v>36</v>
      </c>
      <c r="M15" s="16" t="s">
        <v>37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>
        <v>4001</v>
      </c>
      <c r="L16" s="9" t="s">
        <v>36</v>
      </c>
      <c r="M16" s="16" t="s">
        <v>37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4025</v>
      </c>
      <c r="L17" s="9" t="s">
        <v>36</v>
      </c>
      <c r="M17" s="16" t="s">
        <v>37</v>
      </c>
      <c r="R17" s="1">
        <f>IF(vend26[[#This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>
        <v>4021</v>
      </c>
      <c r="L18" s="9" t="s">
        <v>36</v>
      </c>
      <c r="M18" s="16" t="s">
        <v>85</v>
      </c>
      <c r="R18" s="1">
        <f>IF(vend26[[#This Row],[Nº Venda]]&gt;1,1,0)</f>
        <v>0</v>
      </c>
    </row>
    <row r="19" spans="2:18" ht="15.75" x14ac:dyDescent="0.25">
      <c r="B19" s="30">
        <f>COUNT(entr_carn26[OS])</f>
        <v>1</v>
      </c>
      <c r="C19" s="31">
        <f>SUM(entr_carn26[Valor Total])</f>
        <v>300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300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4021</v>
      </c>
      <c r="L35" s="41">
        <v>3</v>
      </c>
      <c r="M35" s="16">
        <v>300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2" zoomScale="80" zoomScaleNormal="80" workbookViewId="0">
      <selection activeCell="V29" sqref="V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'26'!B1+1</f>
        <v>45318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3999</v>
      </c>
      <c r="L15" s="9" t="s">
        <v>36</v>
      </c>
      <c r="M15" s="16" t="s">
        <v>85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3986</v>
      </c>
      <c r="L16" s="9" t="s">
        <v>36</v>
      </c>
      <c r="M16" s="16" t="s">
        <v>37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3995</v>
      </c>
      <c r="L17" s="9" t="s">
        <v>36</v>
      </c>
      <c r="M17" s="16" t="s">
        <v>37</v>
      </c>
      <c r="R17" s="1">
        <f>IF(vend27[[#This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1</v>
      </c>
      <c r="C19" s="31">
        <f>SUM(entr_carn27[Valor Total])</f>
        <v>790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790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3999</v>
      </c>
      <c r="L35" s="41">
        <v>5</v>
      </c>
      <c r="M35" s="16">
        <v>790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2" zoomScale="80" zoomScaleNormal="80" workbookViewId="0">
      <selection activeCell="K39" sqref="K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'27'!B1+1</f>
        <v>45319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4" zoomScale="80" zoomScaleNormal="80" workbookViewId="0">
      <selection activeCell="H8" sqref="H8:H9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73">
        <f>'28'!B1+1</f>
        <v>45320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3548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464</v>
      </c>
      <c r="D6" s="2"/>
      <c r="E6" s="18">
        <v>4031</v>
      </c>
      <c r="F6" s="25" t="s">
        <v>153</v>
      </c>
      <c r="G6" s="26" t="s">
        <v>6</v>
      </c>
      <c r="H6" s="8">
        <v>675</v>
      </c>
      <c r="I6" s="8">
        <v>50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4032</v>
      </c>
      <c r="F7" s="25" t="s">
        <v>153</v>
      </c>
      <c r="G7" s="26" t="s">
        <v>6</v>
      </c>
      <c r="H7" s="8">
        <v>675</v>
      </c>
      <c r="I7" s="8">
        <v>100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21</v>
      </c>
      <c r="C8" s="29">
        <f>SUM(C6:C7)</f>
        <v>464</v>
      </c>
      <c r="D8" s="2"/>
      <c r="E8" s="18">
        <v>4033</v>
      </c>
      <c r="F8" s="25" t="s">
        <v>154</v>
      </c>
      <c r="G8" s="26" t="s">
        <v>9</v>
      </c>
      <c r="H8" s="8">
        <v>1223.96</v>
      </c>
      <c r="I8" s="8">
        <v>157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>
        <v>4034</v>
      </c>
      <c r="F9" s="25" t="s">
        <v>154</v>
      </c>
      <c r="G9" s="26" t="s">
        <v>9</v>
      </c>
      <c r="H9" s="47">
        <v>974.04</v>
      </c>
      <c r="I9" s="8">
        <v>157</v>
      </c>
      <c r="J9" s="2"/>
      <c r="K9" s="25"/>
      <c r="L9" s="9"/>
      <c r="M9" s="16"/>
      <c r="R9" s="1">
        <f>IF(vend29[[#This Row],[Nº Venda]]&gt;1,1,0)</f>
        <v>1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314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72">
        <v>4023</v>
      </c>
      <c r="L15" s="9" t="s">
        <v>145</v>
      </c>
      <c r="M15" s="16" t="s">
        <v>37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564</v>
      </c>
      <c r="D16" s="2"/>
      <c r="E16" s="18"/>
      <c r="F16" s="25"/>
      <c r="G16" s="26"/>
      <c r="H16" s="8"/>
      <c r="I16" s="8"/>
      <c r="J16" s="2"/>
      <c r="K16" s="72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72"/>
      <c r="L17" s="9"/>
      <c r="M17" s="16"/>
      <c r="R17" s="1">
        <f>IF(vend29[[#This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3548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3942</v>
      </c>
      <c r="F35" s="25" t="s">
        <v>155</v>
      </c>
      <c r="G35" s="26" t="s">
        <v>7</v>
      </c>
      <c r="H35" s="8">
        <v>100</v>
      </c>
      <c r="I35" s="8" t="s">
        <v>156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R41"/>
  <sheetViews>
    <sheetView showGridLines="0" zoomScale="80" zoomScaleNormal="80" workbookViewId="0">
      <selection activeCell="M17" sqref="M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'29'!B1+1</f>
        <v>45321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75</v>
      </c>
      <c r="D15" s="2"/>
      <c r="E15" s="18"/>
      <c r="F15" s="25"/>
      <c r="G15" s="26"/>
      <c r="H15" s="8"/>
      <c r="I15" s="8"/>
      <c r="J15" s="2"/>
      <c r="K15" s="25">
        <v>4004</v>
      </c>
      <c r="L15" s="9" t="s">
        <v>36</v>
      </c>
      <c r="M15" s="16" t="s">
        <v>85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75</v>
      </c>
      <c r="D16" s="2"/>
      <c r="E16" s="18"/>
      <c r="F16" s="25"/>
      <c r="G16" s="26"/>
      <c r="H16" s="8"/>
      <c r="I16" s="8"/>
      <c r="J16" s="2"/>
      <c r="K16" s="25">
        <v>4005</v>
      </c>
      <c r="L16" s="9" t="s">
        <v>36</v>
      </c>
      <c r="M16" s="16" t="s">
        <v>37</v>
      </c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3997</v>
      </c>
      <c r="L17" s="9" t="s">
        <v>36</v>
      </c>
      <c r="M17" s="16" t="s">
        <v>37</v>
      </c>
      <c r="R17" s="1">
        <f>IF(vend30[[#This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1</v>
      </c>
      <c r="C19" s="31">
        <f>SUM(entr_carn30[Valor Total])</f>
        <v>253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253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3926</v>
      </c>
      <c r="F35" s="25" t="s">
        <v>157</v>
      </c>
      <c r="G35" s="26" t="s">
        <v>10</v>
      </c>
      <c r="H35" s="8">
        <v>75</v>
      </c>
      <c r="I35" s="8" t="s">
        <v>106</v>
      </c>
      <c r="K35" s="25">
        <v>4004</v>
      </c>
      <c r="L35" s="41">
        <v>4</v>
      </c>
      <c r="M35" s="16">
        <v>253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abSelected="1" zoomScale="80" zoomScaleNormal="80" workbookViewId="0">
      <selection activeCell="N25" sqref="N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'30'!B1+1</f>
        <v>45322</v>
      </c>
    </row>
    <row r="2" spans="2:18" ht="18.75" x14ac:dyDescent="0.2">
      <c r="B2" s="94" t="s">
        <v>13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7" t="s">
        <v>1</v>
      </c>
      <c r="F4" s="97"/>
      <c r="G4" s="97"/>
      <c r="H4" s="97"/>
      <c r="I4" s="97"/>
      <c r="J4" s="22"/>
      <c r="K4" s="91" t="s">
        <v>3</v>
      </c>
      <c r="L4" s="92"/>
      <c r="M4" s="9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389.5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389.5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89" t="s">
        <v>5</v>
      </c>
      <c r="C10" s="8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389.5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1" t="s">
        <v>22</v>
      </c>
      <c r="L13" s="92"/>
      <c r="M13" s="93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185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574.5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89" t="s">
        <v>12</v>
      </c>
      <c r="C18" s="8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0" t="s">
        <v>27</v>
      </c>
      <c r="F24" s="90"/>
      <c r="G24" s="90"/>
      <c r="H24" s="90"/>
      <c r="I24" s="9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4008</v>
      </c>
      <c r="F26" s="25" t="s">
        <v>158</v>
      </c>
      <c r="G26" s="26" t="s">
        <v>7</v>
      </c>
      <c r="H26" s="8">
        <v>0</v>
      </c>
      <c r="I26" s="8">
        <v>389.5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0" t="s">
        <v>28</v>
      </c>
      <c r="F33" s="90"/>
      <c r="G33" s="90"/>
      <c r="H33" s="90"/>
      <c r="I33" s="90"/>
      <c r="K33" s="91" t="s">
        <v>12</v>
      </c>
      <c r="L33" s="92"/>
      <c r="M33" s="9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206664</v>
      </c>
      <c r="F35" s="25" t="s">
        <v>159</v>
      </c>
      <c r="G35" s="26" t="s">
        <v>10</v>
      </c>
      <c r="H35" s="8">
        <v>185</v>
      </c>
      <c r="I35" s="8" t="s">
        <v>160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161</v>
      </c>
      <c r="B1" s="38" t="s">
        <v>162</v>
      </c>
      <c r="E1" s="38" t="s">
        <v>163</v>
      </c>
    </row>
    <row r="2" spans="1:5" x14ac:dyDescent="0.2">
      <c r="A2" s="38" t="s">
        <v>6</v>
      </c>
      <c r="B2" s="38" t="s">
        <v>164</v>
      </c>
      <c r="E2" t="s">
        <v>43</v>
      </c>
    </row>
    <row r="3" spans="1:5" x14ac:dyDescent="0.2">
      <c r="A3" s="38" t="s">
        <v>7</v>
      </c>
      <c r="B3" s="38" t="s">
        <v>165</v>
      </c>
      <c r="E3" t="s">
        <v>106</v>
      </c>
    </row>
    <row r="4" spans="1:5" x14ac:dyDescent="0.2">
      <c r="A4" s="38" t="s">
        <v>8</v>
      </c>
      <c r="B4" s="38" t="s">
        <v>166</v>
      </c>
      <c r="E4" t="s">
        <v>167</v>
      </c>
    </row>
    <row r="5" spans="1:5" x14ac:dyDescent="0.2">
      <c r="A5" s="38" t="s">
        <v>9</v>
      </c>
      <c r="B5" s="38" t="s">
        <v>168</v>
      </c>
      <c r="E5" t="s">
        <v>156</v>
      </c>
    </row>
    <row r="6" spans="1:5" x14ac:dyDescent="0.2">
      <c r="A6" s="38" t="s">
        <v>10</v>
      </c>
      <c r="B6" s="38" t="s">
        <v>10</v>
      </c>
      <c r="E6" t="s">
        <v>124</v>
      </c>
    </row>
    <row r="7" spans="1:5" x14ac:dyDescent="0.2">
      <c r="A7" s="38" t="s">
        <v>47</v>
      </c>
      <c r="B7" s="38" t="s">
        <v>169</v>
      </c>
      <c r="E7" t="s">
        <v>111</v>
      </c>
    </row>
    <row r="8" spans="1:5" x14ac:dyDescent="0.2">
      <c r="A8" t="s">
        <v>25</v>
      </c>
      <c r="B8" t="s">
        <v>170</v>
      </c>
      <c r="E8" t="s">
        <v>63</v>
      </c>
    </row>
    <row r="9" spans="1:5" x14ac:dyDescent="0.2">
      <c r="A9" s="38" t="s">
        <v>35</v>
      </c>
      <c r="B9" s="38" t="s">
        <v>171</v>
      </c>
      <c r="E9" t="s">
        <v>172</v>
      </c>
    </row>
    <row r="10" spans="1:5" x14ac:dyDescent="0.2">
      <c r="E10" t="s">
        <v>173</v>
      </c>
    </row>
    <row r="11" spans="1:5" x14ac:dyDescent="0.2">
      <c r="E11" t="s">
        <v>39</v>
      </c>
    </row>
    <row r="12" spans="1:5" x14ac:dyDescent="0.2">
      <c r="E12" t="s">
        <v>174</v>
      </c>
    </row>
    <row r="13" spans="1:5" x14ac:dyDescent="0.2">
      <c r="E13" t="s">
        <v>65</v>
      </c>
    </row>
    <row r="14" spans="1:5" x14ac:dyDescent="0.2">
      <c r="E14" t="s">
        <v>120</v>
      </c>
    </row>
    <row r="15" spans="1:5" x14ac:dyDescent="0.2">
      <c r="E15" t="s">
        <v>89</v>
      </c>
    </row>
    <row r="16" spans="1:5" x14ac:dyDescent="0.2">
      <c r="E16" t="s">
        <v>70</v>
      </c>
    </row>
    <row r="17" spans="5:5" x14ac:dyDescent="0.2">
      <c r="E17" t="s">
        <v>175</v>
      </c>
    </row>
    <row r="18" spans="5:5" x14ac:dyDescent="0.2">
      <c r="E18" t="s">
        <v>176</v>
      </c>
    </row>
    <row r="19" spans="5:5" x14ac:dyDescent="0.2">
      <c r="E19" t="s">
        <v>67</v>
      </c>
    </row>
    <row r="20" spans="5:5" x14ac:dyDescent="0.2">
      <c r="E20" t="s">
        <v>113</v>
      </c>
    </row>
    <row r="21" spans="5:5" x14ac:dyDescent="0.2">
      <c r="E21" t="s">
        <v>177</v>
      </c>
    </row>
    <row r="22" spans="5:5" x14ac:dyDescent="0.2">
      <c r="E22" t="s">
        <v>81</v>
      </c>
    </row>
    <row r="23" spans="5:5" x14ac:dyDescent="0.2">
      <c r="E23" t="s">
        <v>178</v>
      </c>
    </row>
    <row r="24" spans="5:5" x14ac:dyDescent="0.2">
      <c r="E24" t="s">
        <v>138</v>
      </c>
    </row>
    <row r="25" spans="5:5" x14ac:dyDescent="0.2">
      <c r="E25" t="s">
        <v>179</v>
      </c>
    </row>
    <row r="26" spans="5:5" x14ac:dyDescent="0.2">
      <c r="E26" t="s">
        <v>180</v>
      </c>
    </row>
    <row r="27" spans="5:5" x14ac:dyDescent="0.2">
      <c r="E27" t="s">
        <v>147</v>
      </c>
    </row>
    <row r="28" spans="5:5" x14ac:dyDescent="0.2">
      <c r="E28" t="s">
        <v>160</v>
      </c>
    </row>
    <row r="29" spans="5:5" x14ac:dyDescent="0.2">
      <c r="E29" t="s">
        <v>181</v>
      </c>
    </row>
    <row r="30" spans="5:5" x14ac:dyDescent="0.2">
      <c r="E30" t="s">
        <v>182</v>
      </c>
    </row>
    <row r="31" spans="5:5" x14ac:dyDescent="0.2">
      <c r="E31" t="s">
        <v>183</v>
      </c>
    </row>
    <row r="32" spans="5:5" x14ac:dyDescent="0.2">
      <c r="E32" t="s">
        <v>184</v>
      </c>
    </row>
    <row r="33" spans="5:5" x14ac:dyDescent="0.2">
      <c r="E33" t="s">
        <v>185</v>
      </c>
    </row>
    <row r="34" spans="5:5" x14ac:dyDescent="0.2">
      <c r="E34" t="s">
        <v>61</v>
      </c>
    </row>
    <row r="35" spans="5:5" x14ac:dyDescent="0.2">
      <c r="E35" t="s">
        <v>186</v>
      </c>
    </row>
    <row r="36" spans="5:5" x14ac:dyDescent="0.2">
      <c r="E36" t="s">
        <v>187</v>
      </c>
    </row>
    <row r="37" spans="5:5" x14ac:dyDescent="0.2">
      <c r="E37" t="s">
        <v>188</v>
      </c>
    </row>
    <row r="38" spans="5:5" x14ac:dyDescent="0.2">
      <c r="E38" t="s">
        <v>189</v>
      </c>
    </row>
    <row r="39" spans="5:5" x14ac:dyDescent="0.2">
      <c r="E39" t="s">
        <v>190</v>
      </c>
    </row>
    <row r="40" spans="5:5" x14ac:dyDescent="0.2">
      <c r="E40" t="s">
        <v>191</v>
      </c>
    </row>
    <row r="41" spans="5:5" x14ac:dyDescent="0.2">
      <c r="E41" t="s">
        <v>192</v>
      </c>
    </row>
    <row r="42" spans="5:5" x14ac:dyDescent="0.2">
      <c r="E42" t="s">
        <v>193</v>
      </c>
    </row>
    <row r="43" spans="5:5" x14ac:dyDescent="0.2">
      <c r="E43" t="s">
        <v>194</v>
      </c>
    </row>
    <row r="44" spans="5:5" x14ac:dyDescent="0.2">
      <c r="E44" t="s">
        <v>195</v>
      </c>
    </row>
    <row r="45" spans="5:5" x14ac:dyDescent="0.2">
      <c r="E45" t="s">
        <v>196</v>
      </c>
    </row>
    <row r="46" spans="5:5" x14ac:dyDescent="0.2">
      <c r="E46" t="s">
        <v>197</v>
      </c>
    </row>
    <row r="47" spans="5:5" x14ac:dyDescent="0.2">
      <c r="E47" t="s">
        <v>198</v>
      </c>
    </row>
    <row r="48" spans="5:5" x14ac:dyDescent="0.2">
      <c r="E48" t="s">
        <v>199</v>
      </c>
    </row>
    <row r="49" spans="5:5" x14ac:dyDescent="0.2">
      <c r="E49" t="s">
        <v>200</v>
      </c>
    </row>
    <row r="50" spans="5:5" x14ac:dyDescent="0.2">
      <c r="E50" t="s">
        <v>201</v>
      </c>
    </row>
    <row r="51" spans="5:5" x14ac:dyDescent="0.2">
      <c r="E51" t="s">
        <v>202</v>
      </c>
    </row>
    <row r="52" spans="5:5" x14ac:dyDescent="0.2">
      <c r="E52" t="s">
        <v>203</v>
      </c>
    </row>
    <row r="53" spans="5:5" x14ac:dyDescent="0.2">
      <c r="E53" t="s">
        <v>204</v>
      </c>
    </row>
    <row r="54" spans="5:5" x14ac:dyDescent="0.2">
      <c r="E54" t="s">
        <v>205</v>
      </c>
    </row>
    <row r="55" spans="5:5" x14ac:dyDescent="0.2">
      <c r="E55" t="s">
        <v>206</v>
      </c>
    </row>
    <row r="56" spans="5:5" x14ac:dyDescent="0.2">
      <c r="E56" t="s">
        <v>207</v>
      </c>
    </row>
    <row r="57" spans="5:5" x14ac:dyDescent="0.2">
      <c r="E57" t="s">
        <v>208</v>
      </c>
    </row>
    <row r="58" spans="5:5" x14ac:dyDescent="0.2">
      <c r="E58" t="s">
        <v>209</v>
      </c>
    </row>
    <row r="59" spans="5:5" x14ac:dyDescent="0.2">
      <c r="E59" t="s">
        <v>210</v>
      </c>
    </row>
    <row r="60" spans="5:5" x14ac:dyDescent="0.2">
      <c r="E60" t="s">
        <v>211</v>
      </c>
    </row>
    <row r="61" spans="5:5" x14ac:dyDescent="0.2">
      <c r="E61" t="s">
        <v>212</v>
      </c>
    </row>
    <row r="62" spans="5:5" x14ac:dyDescent="0.2">
      <c r="E62" t="s">
        <v>213</v>
      </c>
    </row>
    <row r="63" spans="5:5" x14ac:dyDescent="0.2">
      <c r="E63" t="s">
        <v>214</v>
      </c>
    </row>
    <row r="64" spans="5:5" x14ac:dyDescent="0.2">
      <c r="E64" t="s">
        <v>215</v>
      </c>
    </row>
    <row r="65" spans="5:5" x14ac:dyDescent="0.2">
      <c r="E65" t="s">
        <v>216</v>
      </c>
    </row>
    <row r="66" spans="5:5" x14ac:dyDescent="0.2">
      <c r="E66" t="s">
        <v>217</v>
      </c>
    </row>
    <row r="67" spans="5:5" x14ac:dyDescent="0.2">
      <c r="E67" t="s">
        <v>218</v>
      </c>
    </row>
    <row r="68" spans="5:5" x14ac:dyDescent="0.2">
      <c r="E68" t="s">
        <v>219</v>
      </c>
    </row>
    <row r="69" spans="5:5" x14ac:dyDescent="0.2">
      <c r="E69" t="s">
        <v>220</v>
      </c>
    </row>
    <row r="70" spans="5:5" x14ac:dyDescent="0.2">
      <c r="E70" t="s">
        <v>221</v>
      </c>
    </row>
    <row r="71" spans="5:5" x14ac:dyDescent="0.2">
      <c r="E71" t="s">
        <v>222</v>
      </c>
    </row>
    <row r="72" spans="5:5" x14ac:dyDescent="0.2">
      <c r="E72" t="s">
        <v>223</v>
      </c>
    </row>
    <row r="73" spans="5:5" x14ac:dyDescent="0.2">
      <c r="E73" t="s">
        <v>224</v>
      </c>
    </row>
    <row r="74" spans="5:5" x14ac:dyDescent="0.2">
      <c r="E74" t="s">
        <v>225</v>
      </c>
    </row>
    <row r="75" spans="5:5" x14ac:dyDescent="0.2">
      <c r="E75" t="s">
        <v>226</v>
      </c>
    </row>
    <row r="76" spans="5:5" x14ac:dyDescent="0.2">
      <c r="E76" t="s">
        <v>227</v>
      </c>
    </row>
    <row r="77" spans="5:5" x14ac:dyDescent="0.2">
      <c r="E77" t="s">
        <v>228</v>
      </c>
    </row>
    <row r="78" spans="5:5" x14ac:dyDescent="0.2">
      <c r="E78" t="s">
        <v>229</v>
      </c>
    </row>
    <row r="79" spans="5:5" x14ac:dyDescent="0.2">
      <c r="E79" t="s">
        <v>230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1</vt:i4>
      </vt:variant>
    </vt:vector>
  </HeadingPairs>
  <TitlesOfParts>
    <vt:vector size="34" baseType="lpstr">
      <vt:lpstr>resumo_cx</vt:lpstr>
      <vt:lpstr>01</vt:lpstr>
      <vt:lpstr>02</vt:lpstr>
      <vt:lpstr>03</vt:lpstr>
      <vt:lpstr>05</vt:lpstr>
      <vt:lpstr>04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'18'!Area_de_impressao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Maua Lojas</cp:lastModifiedBy>
  <cp:revision/>
  <dcterms:created xsi:type="dcterms:W3CDTF">2004-04-07T20:43:43Z</dcterms:created>
  <dcterms:modified xsi:type="dcterms:W3CDTF">2024-08-27T15:16:26Z</dcterms:modified>
  <cp:category/>
  <cp:contentStatus/>
</cp:coreProperties>
</file>