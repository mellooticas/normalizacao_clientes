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"/>
    </mc:Choice>
  </mc:AlternateContent>
  <xr:revisionPtr revIDLastSave="746" documentId="13_ncr:1_{179D1A5D-0866-4067-8373-5C1A57A60687}" xr6:coauthVersionLast="47" xr6:coauthVersionMax="47" xr10:uidLastSave="{3741DCFE-B735-442B-BA44-C79914D08465}"/>
  <bookViews>
    <workbookView xWindow="-120" yWindow="-120" windowWidth="29040" windowHeight="15840" tabRatio="892" activeTab="7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7" sheetId="185" r:id="rId17"/>
    <sheet name="16" sheetId="184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204" r:id="rId31"/>
    <sheet name="31" sheetId="199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9" l="1"/>
  <c r="R20" i="204"/>
  <c r="R19" i="204"/>
  <c r="R18" i="204"/>
  <c r="C18" i="204"/>
  <c r="C19" i="204" s="1"/>
  <c r="B18" i="204"/>
  <c r="R17" i="204"/>
  <c r="R16" i="204"/>
  <c r="R15" i="204"/>
  <c r="R14" i="204"/>
  <c r="C14" i="204"/>
  <c r="R13" i="204"/>
  <c r="C13" i="204"/>
  <c r="R12" i="204"/>
  <c r="C12" i="204"/>
  <c r="R11" i="204"/>
  <c r="C11" i="204"/>
  <c r="R10" i="204"/>
  <c r="R9" i="204"/>
  <c r="R8" i="204"/>
  <c r="R7" i="204"/>
  <c r="C7" i="204"/>
  <c r="R6" i="204"/>
  <c r="C6" i="204"/>
  <c r="C8" i="204" s="1"/>
  <c r="C5" i="204"/>
  <c r="C21" i="204" s="1"/>
  <c r="B1" i="204"/>
  <c r="R40" i="204" l="1"/>
  <c r="C15" i="204"/>
  <c r="O11" i="204" s="1"/>
  <c r="B5" i="200" l="1"/>
  <c r="C14" i="195"/>
  <c r="C13" i="195"/>
  <c r="C12" i="195"/>
  <c r="C11" i="195"/>
  <c r="C12" i="188"/>
  <c r="C13" i="188"/>
  <c r="C14" i="188"/>
  <c r="C11" i="188"/>
  <c r="C12" i="178"/>
  <c r="C13" i="178"/>
  <c r="C14" i="178"/>
  <c r="C11" i="178"/>
  <c r="R20" i="175" l="1"/>
  <c r="R19" i="175"/>
  <c r="C18" i="175"/>
  <c r="C19" i="175" s="1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 s="1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A17" i="200"/>
  <c r="C5" i="174"/>
  <c r="C21" i="174" s="1"/>
  <c r="C5" i="173"/>
  <c r="C21" i="173" s="1"/>
  <c r="C5" i="172"/>
  <c r="C21" i="172" s="1"/>
  <c r="C5" i="171"/>
  <c r="C21" i="171" s="1"/>
  <c r="C5" i="170"/>
  <c r="C21" i="170" s="1"/>
  <c r="C5" i="103"/>
  <c r="C5" i="178"/>
  <c r="C21" i="178" s="1"/>
  <c r="C5" i="177"/>
  <c r="C21" i="177" s="1"/>
  <c r="C5" i="176"/>
  <c r="C21" i="176" s="1"/>
  <c r="C5" i="180"/>
  <c r="C21" i="180" s="1"/>
  <c r="C5" i="182"/>
  <c r="C21" i="182" s="1"/>
  <c r="C5" i="183"/>
  <c r="C21" i="183" s="1"/>
  <c r="C5" i="181"/>
  <c r="C21" i="181" s="1"/>
  <c r="C5" i="179"/>
  <c r="C21" i="179" s="1"/>
  <c r="C5" i="184"/>
  <c r="C21" i="184" s="1"/>
  <c r="C5" i="185"/>
  <c r="C21" i="185" s="1"/>
  <c r="C5" i="186"/>
  <c r="C21" i="186" s="1"/>
  <c r="C5" i="187"/>
  <c r="C21" i="187" s="1"/>
  <c r="C5" i="189"/>
  <c r="C21" i="189" s="1"/>
  <c r="C5" i="190"/>
  <c r="C21" i="190" s="1"/>
  <c r="C5" i="191"/>
  <c r="C21" i="191" s="1"/>
  <c r="C5" i="188"/>
  <c r="C21" i="188" s="1"/>
  <c r="C5" i="193"/>
  <c r="C21" i="193" s="1"/>
  <c r="C5" i="195"/>
  <c r="C21" i="195" s="1"/>
  <c r="C5" i="194"/>
  <c r="C21" i="194" s="1"/>
  <c r="C5" i="197"/>
  <c r="C21" i="197" s="1"/>
  <c r="C5" i="196"/>
  <c r="C21" i="196" s="1"/>
  <c r="C5" i="192"/>
  <c r="C5" i="199"/>
  <c r="C21" i="199" s="1"/>
  <c r="C6" i="174"/>
  <c r="C8" i="174" s="1"/>
  <c r="C6" i="173"/>
  <c r="C6" i="172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6" i="184"/>
  <c r="C6" i="185"/>
  <c r="C6" i="186"/>
  <c r="C6" i="187"/>
  <c r="C8" i="187" s="1"/>
  <c r="C6" i="189"/>
  <c r="C6" i="190"/>
  <c r="C6" i="191"/>
  <c r="C6" i="188"/>
  <c r="C6" i="193"/>
  <c r="C6" i="195"/>
  <c r="C6" i="194"/>
  <c r="C8" i="194" s="1"/>
  <c r="C6" i="197"/>
  <c r="C8" i="197" s="1"/>
  <c r="C6" i="196"/>
  <c r="C6" i="192"/>
  <c r="C6" i="199"/>
  <c r="C8" i="199" s="1"/>
  <c r="R20" i="199"/>
  <c r="R19" i="199"/>
  <c r="C18" i="199"/>
  <c r="C19" i="199" s="1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8" i="197"/>
  <c r="C19" i="197" s="1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 s="1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 s="1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 s="1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 s="1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 s="1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 s="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 s="1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 s="1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 s="1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 s="1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 s="1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 s="1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 s="1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 s="1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 s="1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 s="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 s="1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 s="1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 s="1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 s="1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 s="1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 s="1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 s="1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 s="1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 s="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 s="1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B4" i="200" l="1"/>
  <c r="B9" i="200"/>
  <c r="B11" i="200"/>
  <c r="B10" i="200"/>
  <c r="C21" i="192"/>
  <c r="B3" i="200"/>
  <c r="C8" i="179"/>
  <c r="C8" i="190"/>
  <c r="C8" i="196"/>
  <c r="C8" i="189"/>
  <c r="C8" i="172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 s="1"/>
  <c r="R40" i="170"/>
  <c r="C15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 s="1"/>
  <c r="R40" i="171"/>
  <c r="B13" i="200"/>
  <c r="B12" i="200"/>
  <c r="C15" i="196"/>
  <c r="O11" i="196" s="1"/>
  <c r="C15" i="189"/>
  <c r="O11" i="189" s="1"/>
  <c r="C15" i="188"/>
  <c r="O11" i="188" s="1"/>
  <c r="C15" i="185"/>
  <c r="O11" i="185" s="1"/>
  <c r="C8" i="195"/>
  <c r="C8" i="193"/>
  <c r="C8" i="178"/>
  <c r="C8" i="185"/>
  <c r="C8" i="181"/>
  <c r="C8" i="170"/>
  <c r="C8" i="177"/>
  <c r="C8" i="182"/>
  <c r="C15" i="199"/>
  <c r="O11" i="199" s="1"/>
  <c r="C15" i="192"/>
  <c r="O11" i="192" s="1"/>
  <c r="C15" i="197"/>
  <c r="O11" i="197" s="1"/>
  <c r="C15" i="194"/>
  <c r="O11" i="194" s="1"/>
  <c r="C15" i="195"/>
  <c r="O11" i="195" s="1"/>
  <c r="C15" i="193"/>
  <c r="O11" i="193" s="1"/>
  <c r="C15" i="191"/>
  <c r="O11" i="191" s="1"/>
  <c r="C15" i="190"/>
  <c r="O11" i="190" s="1"/>
  <c r="C15" i="187"/>
  <c r="O11" i="187" s="1"/>
  <c r="C15" i="186"/>
  <c r="O11" i="186" s="1"/>
  <c r="C15" i="184"/>
  <c r="O11" i="184" s="1"/>
  <c r="C8" i="184"/>
  <c r="C15" i="179"/>
  <c r="O11" i="179" s="1"/>
  <c r="C15" i="181"/>
  <c r="O11" i="181" s="1"/>
  <c r="C15" i="183"/>
  <c r="O11" i="183" s="1"/>
  <c r="C15" i="182"/>
  <c r="O11" i="182" s="1"/>
  <c r="C15" i="180"/>
  <c r="O11" i="180" s="1"/>
  <c r="C15" i="176"/>
  <c r="O11" i="176" s="1"/>
  <c r="C15" i="177"/>
  <c r="O11" i="177" s="1"/>
  <c r="C15" i="178"/>
  <c r="O11" i="178" s="1"/>
  <c r="C15" i="172"/>
  <c r="O11" i="172" s="1"/>
  <c r="C15" i="173"/>
  <c r="O11" i="173" s="1"/>
  <c r="C15" i="174"/>
  <c r="O11" i="174" s="1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B6" i="200" l="1"/>
  <c r="B14" i="200"/>
  <c r="C15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</calcChain>
</file>

<file path=xl/sharedStrings.xml><?xml version="1.0" encoding="utf-8"?>
<sst xmlns="http://schemas.openxmlformats.org/spreadsheetml/2006/main" count="1972" uniqueCount="251">
  <si>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</si>
  <si>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</si>
  <si>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</si>
  <si>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</si>
  <si>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</si>
  <si>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</si>
  <si>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</si>
  <si>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</si>
  <si>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</si>
  <si>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</si>
  <si>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</si>
  <si>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</si>
  <si>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</si>
  <si>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</si>
  <si>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</si>
  <si>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</si>
  <si>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</si>
  <si>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</si>
  <si>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</si>
  <si>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</si>
  <si>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</si>
  <si>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</si>
  <si>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</si>
  <si>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</si>
  <si>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</si>
  <si>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</si>
  <si>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</si>
  <si>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</si>
  <si>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</si>
  <si>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</si>
  <si>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</si>
  <si>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</si>
  <si>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</si>
  <si>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</si>
  <si>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</si>
  <si>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</si>
  <si>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</si>
  <si>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</si>
  <si>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</si>
  <si>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</si>
  <si>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</si>
  <si>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</si>
  <si>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</si>
  <si>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</si>
  <si>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</si>
  <si>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</si>
  <si>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</si>
  <si>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</si>
  <si>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</si>
  <si>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</si>
  <si>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</si>
  <si>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</si>
  <si>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</si>
  <si>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</si>
  <si>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</si>
  <si>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</si>
  <si>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</si>
  <si>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</si>
  <si>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</si>
  <si>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</si>
  <si>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</si>
  <si>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</si>
  <si>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</si>
  <si>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</si>
  <si>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</si>
  <si>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</si>
  <si>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</si>
  <si>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</si>
  <si>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</si>
  <si>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</si>
  <si>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</si>
  <si>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</si>
  <si>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</si>
  <si>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</si>
  <si>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</si>
  <si>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</si>
  <si>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</si>
  <si>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</si>
  <si>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</si>
  <si>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</si>
  <si>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</si>
  <si>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</si>
  <si>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</si>
  <si>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</si>
  <si>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</si>
  <si>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</si>
  <si>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</si>
  <si>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</si>
  <si>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</si>
  <si>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</si>
  <si>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</si>
  <si>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</si>
  <si>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</si>
  <si>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</si>
  <si>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</si>
  <si>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</si>
  <si>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</si>
  <si>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</si>
  <si>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</si>
  <si>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</si>
  <si>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</si>
  <si>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</si>
  <si>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</si>
  <si>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</si>
  <si>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</si>
  <si>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</si>
  <si>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</si>
  <si>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</si>
  <si>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</si>
  <si>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</si>
  <si>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</si>
  <si>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</si>
  <si>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</si>
  <si>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</si>
  <si>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</si>
  <si>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</si>
  <si>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</si>
  <si>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</si>
  <si>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</si>
  <si>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</si>
  <si>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</si>
  <si>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</si>
  <si>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</si>
  <si>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</si>
  <si>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Coluna1</t>
  </si>
  <si>
    <t>Coluna2</t>
  </si>
  <si>
    <t>Coluna3</t>
  </si>
  <si>
    <t>Coluna4</t>
  </si>
  <si>
    <t>Coluna5</t>
  </si>
  <si>
    <t xml:space="preserve">RENAN NAZARO </t>
  </si>
  <si>
    <t xml:space="preserve">BRENDHA DE OLIVEIRA </t>
  </si>
  <si>
    <t xml:space="preserve">JACINTO FERNANDES </t>
  </si>
  <si>
    <t xml:space="preserve">GUILHERME GRACIANO </t>
  </si>
  <si>
    <t xml:space="preserve">WALTER LUIZ </t>
  </si>
  <si>
    <t xml:space="preserve">BETH </t>
  </si>
  <si>
    <t>Sim</t>
  </si>
  <si>
    <t xml:space="preserve">YASMIN FELICIANO </t>
  </si>
  <si>
    <t>HERNANE JOSE</t>
  </si>
  <si>
    <t xml:space="preserve">GILDA MARQUES </t>
  </si>
  <si>
    <t>BETH</t>
  </si>
  <si>
    <t>Não</t>
  </si>
  <si>
    <t xml:space="preserve">HILDA DE SOUZA </t>
  </si>
  <si>
    <t>ROSENILDO DE JESUS</t>
  </si>
  <si>
    <t>ANA CAVALCANTI</t>
  </si>
  <si>
    <t>Hilda de Souza</t>
  </si>
  <si>
    <t xml:space="preserve">ALTAMIR FRANCISCO </t>
  </si>
  <si>
    <t>ELZA  ROSA DE LIMA</t>
  </si>
  <si>
    <t>LUIZA BATISTA</t>
  </si>
  <si>
    <t>S/S</t>
  </si>
  <si>
    <t xml:space="preserve">JOSELIA MARIA </t>
  </si>
  <si>
    <t>GRACIANO</t>
  </si>
  <si>
    <t>LUZILENE DA SILVA</t>
  </si>
  <si>
    <t>IVO FERREIRA DE MELLO</t>
  </si>
  <si>
    <t>JEANE DE LIMA AMARAL</t>
  </si>
  <si>
    <t xml:space="preserve">SONIA MARCELINO </t>
  </si>
  <si>
    <t>MARINEIA DE SOUZA</t>
  </si>
  <si>
    <t xml:space="preserve">ROSANA BATISTA </t>
  </si>
  <si>
    <t>GILDESON SUZARTE</t>
  </si>
  <si>
    <t>MARIA APARECIDA LIMA</t>
  </si>
  <si>
    <t>PATRICIA FRANCISCA</t>
  </si>
  <si>
    <t>CELIA REGINA</t>
  </si>
  <si>
    <t>OSIAS GOMES</t>
  </si>
  <si>
    <t>VITORIA REGINA DA SILVA</t>
  </si>
  <si>
    <t>ALDIMEIA PEREIRA</t>
  </si>
  <si>
    <t>ANDRESSA DE SOUZA</t>
  </si>
  <si>
    <t>AMABELLY SILVA</t>
  </si>
  <si>
    <t>AMANDA BALBINO</t>
  </si>
  <si>
    <t>RENAN  NAZARO</t>
  </si>
  <si>
    <t>NÃO</t>
  </si>
  <si>
    <t>MARIO MIRANDA</t>
  </si>
  <si>
    <t>ELZAIR SOARES</t>
  </si>
  <si>
    <t>SIDNEI SOARES</t>
  </si>
  <si>
    <t>ISALTINA JULIA</t>
  </si>
  <si>
    <t>IVANETE DE SOUZA</t>
  </si>
  <si>
    <t>IZALTINA DE SOUZA</t>
  </si>
  <si>
    <t>JUSCELINO DOS PASSO</t>
  </si>
  <si>
    <t>SUELI FAUSTINO</t>
  </si>
  <si>
    <t>SARITA TALMELI</t>
  </si>
  <si>
    <t>ANDREA PEREIRA</t>
  </si>
  <si>
    <t xml:space="preserve">HELENA SOARRES </t>
  </si>
  <si>
    <t>CRISTIANE CAETANO</t>
  </si>
  <si>
    <t xml:space="preserve">ODILIA / BETH </t>
  </si>
  <si>
    <t>GUILERME GRACIANO</t>
  </si>
  <si>
    <t>JAQUELINE MOREIRA</t>
  </si>
  <si>
    <t>ELENITA DIAS</t>
  </si>
  <si>
    <t>GIVANILDO DA SILVA</t>
  </si>
  <si>
    <t>ISABELLY VIEIRA</t>
  </si>
  <si>
    <t>ANDREIA GOMES</t>
  </si>
  <si>
    <t>DOMINGOS ALEIXO</t>
  </si>
  <si>
    <t>NAYRA RODRIGUES</t>
  </si>
  <si>
    <t>AYSLA TATIANA</t>
  </si>
  <si>
    <t xml:space="preserve">JOSE LUIZ DE OLIVEIRA </t>
  </si>
  <si>
    <t>GIDELSON SUZARTE</t>
  </si>
  <si>
    <t>JACINTO FELICIANO</t>
  </si>
  <si>
    <t xml:space="preserve">CELI RAMOS </t>
  </si>
  <si>
    <t>VALDIRENE CLEMENTINO</t>
  </si>
  <si>
    <t>JOSÉLIA MARIA</t>
  </si>
  <si>
    <t>MARIA DO CARMNO SILVA</t>
  </si>
  <si>
    <t xml:space="preserve">ELIZA ROSA  DE LIMA </t>
  </si>
  <si>
    <t xml:space="preserve">IURAPUAN LUIZ </t>
  </si>
  <si>
    <t xml:space="preserve">JOÃO CARLOS </t>
  </si>
  <si>
    <t xml:space="preserve">ROSENILDO DE JESUS </t>
  </si>
  <si>
    <t>LARISSA</t>
  </si>
  <si>
    <t xml:space="preserve">SERGIO ROBERTO </t>
  </si>
  <si>
    <t xml:space="preserve">VERONICE DOS SANTOS </t>
  </si>
  <si>
    <t xml:space="preserve">JOSEFA  DEA SILVA </t>
  </si>
  <si>
    <t xml:space="preserve">JOSEFA  DA SILVA </t>
  </si>
  <si>
    <t xml:space="preserve">VITÓRIA REGINA </t>
  </si>
  <si>
    <t xml:space="preserve">SABRINA  DA SILVA </t>
  </si>
  <si>
    <t xml:space="preserve">ILVANETE PEREIRA </t>
  </si>
  <si>
    <t>ISALTINA JULIA SANTOS</t>
  </si>
  <si>
    <t xml:space="preserve">TAIANE SILVA </t>
  </si>
  <si>
    <t xml:space="preserve">JANAINA DOS SANTOS </t>
  </si>
  <si>
    <t xml:space="preserve">DOUGLAS LOPES </t>
  </si>
  <si>
    <t>RAQUEL BATISTA</t>
  </si>
  <si>
    <t>JANETE DOS ANJOS</t>
  </si>
  <si>
    <t>IVO FERREIRA</t>
  </si>
  <si>
    <t>JOSEMARE SOARES</t>
  </si>
  <si>
    <t>PALOMA DE SOUZA</t>
  </si>
  <si>
    <t>ROSA MARIA</t>
  </si>
  <si>
    <t>VITORIA REGINA</t>
  </si>
  <si>
    <t>AYSLA NUNES</t>
  </si>
  <si>
    <t>FRANCISCO DALTON</t>
  </si>
  <si>
    <t>TATY</t>
  </si>
  <si>
    <t>SULAMITA RENATA</t>
  </si>
  <si>
    <t>EDIMILSON ZERBETTI</t>
  </si>
  <si>
    <t xml:space="preserve">ELIANA  SIQUEIRA </t>
  </si>
  <si>
    <t>IURAPUAN LUIZ</t>
  </si>
  <si>
    <t xml:space="preserve">JUDITE BARBOSA </t>
  </si>
  <si>
    <t>ROSANGELA PAIVA</t>
  </si>
  <si>
    <t xml:space="preserve">JULIA MARLENE </t>
  </si>
  <si>
    <t>RAFAELA KUKI</t>
  </si>
  <si>
    <t xml:space="preserve">FATIMA OLIVEIRA </t>
  </si>
  <si>
    <t>SANDRA REGINA</t>
  </si>
  <si>
    <t>OSMAR ELIAS</t>
  </si>
  <si>
    <t>JUSCELINO PASSOS</t>
  </si>
  <si>
    <t xml:space="preserve">GIOVANNA DA SILVA </t>
  </si>
  <si>
    <t xml:space="preserve">JAKSON DOS SANTOS </t>
  </si>
  <si>
    <t xml:space="preserve">GEOVANA ALMEIDA </t>
  </si>
  <si>
    <t xml:space="preserve">SEVERINO DE BREGA </t>
  </si>
  <si>
    <t xml:space="preserve">MARIA DO PERPETUO </t>
  </si>
  <si>
    <t xml:space="preserve">LYDIA DOMINGOS </t>
  </si>
  <si>
    <t xml:space="preserve">SANDRO NOBREGA </t>
  </si>
  <si>
    <t>JOANA DARC</t>
  </si>
  <si>
    <t xml:space="preserve">VALDIENE  ALVES </t>
  </si>
  <si>
    <t>CARLOS  HONORIO</t>
  </si>
  <si>
    <t>ELISANGELA TEIXEIRA</t>
  </si>
  <si>
    <t>LARISSA DIAS</t>
  </si>
  <si>
    <t xml:space="preserve">ANDRESSA DE SOUZA </t>
  </si>
  <si>
    <t>MIGUEL JESUS</t>
  </si>
  <si>
    <t>IVALDO INACIO (cortesia)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</si>
</sst>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36" fillId="0" borderId="17" xfId="0" applyNumberFormat="1" applyFont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7" fillId="0" borderId="3" xfId="2" applyFont="1" applyFill="1" applyBorder="1" applyAlignment="1">
      <alignment horizontal="center"/>
    </xf>
    <xf numFmtId="164" fontId="38" fillId="0" borderId="3" xfId="2" applyFont="1" applyFill="1" applyBorder="1" applyAlignment="1">
      <alignment horizontal="center"/>
    </xf>
    <xf numFmtId="165" fontId="38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39" fillId="0" borderId="13" xfId="39" applyFont="1" applyFill="1" applyBorder="1" applyAlignment="1">
      <alignment horizontal="center"/>
    </xf>
    <xf numFmtId="165" fontId="39" fillId="0" borderId="13" xfId="4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64" fontId="42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 wrapText="1"/>
    </xf>
    <xf numFmtId="0" fontId="43" fillId="0" borderId="17" xfId="0" applyFont="1" applyBorder="1" applyAlignment="1">
      <alignment horizontal="center"/>
    </xf>
    <xf numFmtId="165" fontId="43" fillId="0" borderId="17" xfId="0" applyNumberFormat="1" applyFont="1" applyBorder="1" applyAlignment="1">
      <alignment horizontal="center"/>
    </xf>
    <xf numFmtId="165" fontId="43" fillId="0" borderId="6" xfId="0" applyNumberFormat="1" applyFont="1" applyBorder="1" applyAlignment="1">
      <alignment horizontal="center"/>
    </xf>
    <xf numFmtId="44" fontId="36" fillId="0" borderId="17" xfId="39" applyFont="1" applyFill="1" applyBorder="1" applyAlignment="1">
      <alignment horizontal="center"/>
    </xf>
    <xf numFmtId="164" fontId="12" fillId="5" borderId="0" xfId="2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44" fontId="43" fillId="0" borderId="17" xfId="39" applyFont="1" applyFill="1" applyBorder="1" applyAlignment="1">
      <alignment horizontal="center"/>
    </xf>
    <xf numFmtId="165" fontId="43" fillId="0" borderId="17" xfId="4" applyNumberFormat="1" applyFont="1" applyFill="1" applyBorder="1" applyAlignment="1">
      <alignment horizontal="center"/>
    </xf>
    <xf numFmtId="164" fontId="43" fillId="0" borderId="17" xfId="2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0" fontId="44" fillId="0" borderId="0" xfId="0" applyFont="1" applyAlignment="1">
      <alignment horizontal="center"/>
    </xf>
    <xf numFmtId="165" fontId="30" fillId="0" borderId="13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1" fontId="43" fillId="0" borderId="3" xfId="0" applyNumberFormat="1" applyFont="1" applyBorder="1" applyAlignment="1">
      <alignment horizontal="center"/>
    </xf>
    <xf numFmtId="165" fontId="43" fillId="0" borderId="5" xfId="0" applyNumberFormat="1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165" fontId="45" fillId="0" borderId="17" xfId="4" applyNumberFormat="1" applyFont="1" applyFill="1" applyBorder="1" applyAlignment="1">
      <alignment horizontal="center"/>
    </xf>
    <xf numFmtId="0" fontId="43" fillId="0" borderId="3" xfId="0" applyFont="1" applyBorder="1" applyAlignment="1">
      <alignment horizontal="center"/>
    </xf>
    <xf numFmtId="164" fontId="43" fillId="0" borderId="3" xfId="2" applyFont="1" applyFill="1" applyBorder="1" applyAlignment="1">
      <alignment horizontal="center"/>
    </xf>
    <xf numFmtId="165" fontId="43" fillId="0" borderId="3" xfId="4" applyNumberFormat="1" applyFont="1" applyFill="1" applyBorder="1" applyAlignment="1">
      <alignment horizontal="center"/>
    </xf>
    <xf numFmtId="165" fontId="43" fillId="0" borderId="13" xfId="4" applyNumberFormat="1" applyFont="1" applyFill="1" applyBorder="1" applyAlignment="1">
      <alignment horizontal="center"/>
    </xf>
    <xf numFmtId="1" fontId="43" fillId="0" borderId="17" xfId="2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Coluna1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Coluna1" dataDxfId="1126"/>
    <tableColumn id="2" xr3:uid="{A8D4686B-F05E-4D96-BDB9-FD354C9E28B8}" name="Coluna2" dataDxfId="1125"/>
    <tableColumn id="3" xr3:uid="{0FB871EC-4505-4E7C-A162-0EFDB16AB8E5}" name="Coluna3" dataDxfId="1124" dataCellStyle="Moeda"/>
    <tableColumn id="4" xr3:uid="{41436228-3E61-4F7F-80EF-627B1794150B}" name="Coluna4" dataDxfId="1123" dataCellStyle="Porcentagem"/>
    <tableColumn id="5" xr3:uid="{9C580DC7-08E3-4AD7-B73C-C1AA4298633B}" name="Coluna5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44" dataCellStyle="Moeda"/>
    <tableColumn id="5" xr3:uid="{08C272CC-0220-47BB-9263-1AA910D9829C}" name="Cliente" dataDxfId="843" dataCellStyle="Moeda"/>
    <tableColumn id="2" xr3:uid="{DF276F1F-7FCA-4CE9-AD90-5340B6E688D4}" name="Forma de Pgto" dataDxfId="842" dataCellStyle="Moeda"/>
    <tableColumn id="3" xr3:uid="{CF6FE509-8C51-4621-87DF-AAD8645E20D4}" name="Valor Venda" dataDxfId="841" dataCellStyle="Porcentagem"/>
    <tableColumn id="4" xr3:uid="{5AB6BADB-DBB7-45C0-89E8-2C836C831FCF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8CE76670-7409-454F-9B3A-4BD739F5C5E3}" name="Descrição" dataDxfId="834"/>
    <tableColumn id="2" xr3:uid="{B2BAF2DB-A6EF-41C6-8A5D-66027E15C8F8}" name="Tipo de Pagto" dataDxfId="833"/>
    <tableColumn id="3" xr3:uid="{99CFD3BD-FC58-49DA-AC21-ACD3EE40336E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826"/>
    <tableColumn id="2" xr3:uid="{B886F79B-BD9C-476A-88F8-CB3F80E42FD0}" name="Cliente" dataDxfId="825"/>
    <tableColumn id="3" xr3:uid="{78D9CA4E-E9E8-4359-8144-996DE0EE7A64}" name="Forma de Pgto" dataDxfId="824" dataCellStyle="Moeda"/>
    <tableColumn id="4" xr3:uid="{F327BA72-0013-44A1-B3CE-07FACF46CAC8}" name="Valor Venda" dataDxfId="823" dataCellStyle="Porcentagem"/>
    <tableColumn id="5" xr3:uid="{20494810-9085-4087-A73E-D3FE8DC5C40D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40D1E49B-6CB3-409E-AFC1-7315BAF42BBF}" name="OS" dataDxfId="816"/>
    <tableColumn id="2" xr3:uid="{4C8709E7-DDF3-475B-9A19-42E8B9FC587D}" name="Vendedor" dataDxfId="815"/>
    <tableColumn id="3" xr3:uid="{185D4DF1-07D8-4494-B6E4-5B4CFC4E2B4E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808"/>
    <tableColumn id="2" xr3:uid="{CA06119C-2085-4F7F-B293-65E2AF15EEE5}" name="Cliente" dataDxfId="807"/>
    <tableColumn id="3" xr3:uid="{BF529E56-33D1-40B5-8E7B-EFBAB59D2A71}" name="Forma de Pgto" dataDxfId="806" dataCellStyle="Moeda"/>
    <tableColumn id="4" xr3:uid="{66CAC967-C216-41AB-BBFE-D7EC8E60B5DB}" name="Valor Parcela" dataDxfId="805" dataCellStyle="Porcentagem"/>
    <tableColumn id="5" xr3:uid="{684E478E-5460-400B-8F1B-2956E3BF42E8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803" headerRowBorderDxfId="802" tableBorderDxfId="801" totalsRowBorderDxfId="800">
  <autoFilter ref="K34:M41" xr:uid="{1B8643D4-6AC3-4029-882A-C62E9D7CB225}"/>
  <tableColumns count="3">
    <tableColumn id="1" xr3:uid="{3DD44433-DB26-4FDD-8D11-D1C35C6FECEB}" name="OS" dataDxfId="799"/>
    <tableColumn id="2" xr3:uid="{A9DC5AE8-407E-40E2-8AD6-B02FE1A5CF20}" name="Parcelas" dataDxfId="798"/>
    <tableColumn id="3" xr3:uid="{6A850C65-FE9A-4796-B920-651ED5594439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91" dataCellStyle="Moeda"/>
    <tableColumn id="5" xr3:uid="{2B9E675C-5EB2-4EBC-8FDE-19F93E6E7B08}" name="Cliente" dataDxfId="790" dataCellStyle="Moeda"/>
    <tableColumn id="2" xr3:uid="{04A3548D-E88B-4096-85CB-E08243412A85}" name="Forma de Pgto" dataDxfId="789" dataCellStyle="Moeda"/>
    <tableColumn id="3" xr3:uid="{977F794D-E094-4347-935B-1202B7138C52}" name="Valor Venda" dataDxfId="788" dataCellStyle="Porcentagem"/>
    <tableColumn id="4" xr3:uid="{908F3845-FF06-4899-A550-28B1BE92D1A9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F9AC75BC-BCF6-4B22-9F75-0F3CC507495B}" name="Descrição" dataDxfId="781"/>
    <tableColumn id="2" xr3:uid="{61D86D1A-7892-4923-9684-5D9A01F0BD5D}" name="Tipo de Pagto" dataDxfId="780"/>
    <tableColumn id="3" xr3:uid="{3F8C718F-C7FE-423F-9F48-66FB2201CFE2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73"/>
    <tableColumn id="2" xr3:uid="{994EFF98-DD95-4B94-B1C7-D068C1D5212C}" name="Cliente" dataDxfId="772"/>
    <tableColumn id="3" xr3:uid="{7D4E72E0-4CFA-46C9-B3AF-A1654CF194A1}" name="Forma de Pgto" dataDxfId="771" dataCellStyle="Moeda"/>
    <tableColumn id="4" xr3:uid="{EE367263-F1E4-4631-A484-2013B6BA1F27}" name="Valor Venda" dataDxfId="770" dataCellStyle="Porcentagem"/>
    <tableColumn id="5" xr3:uid="{9DA475CB-BD5A-4734-A11F-3BB7DD0D9D7E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68" dataDxfId="766" headerRowBorderDxfId="767" tableBorderDxfId="765" totalsRowBorderDxfId="76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763"/>
    <tableColumn id="2" xr3:uid="{9ED68045-86C7-4BE0-8AE0-0417F1DD76FD}" name="Vendedor" dataDxfId="762"/>
    <tableColumn id="3" xr3:uid="{F4076139-8BF9-457D-ADE6-1BCD435E31BB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55"/>
    <tableColumn id="2" xr3:uid="{E89F59BF-5F0B-4E4E-B2BE-7B739967886D}" name="Cliente" dataDxfId="754"/>
    <tableColumn id="3" xr3:uid="{B348335B-A485-46BE-AECB-0672679F4468}" name="Forma de Pgto" dataDxfId="753" dataCellStyle="Moeda"/>
    <tableColumn id="4" xr3:uid="{73B13E6E-5431-4E90-9A6E-E15737DDA887}" name="Valor Parcela" dataDxfId="752" dataCellStyle="Porcentagem"/>
    <tableColumn id="5" xr3:uid="{C738A843-A8FD-4CB7-B2C8-59810BA17BF2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750" headerRowBorderDxfId="749" tableBorderDxfId="748" totalsRowBorderDxfId="747">
  <autoFilter ref="K34:M41" xr:uid="{1B8643D4-6AC3-4029-882A-C62E9D7CB225}"/>
  <tableColumns count="3">
    <tableColumn id="1" xr3:uid="{3F5F54B7-8999-4296-A374-3780F172D2B8}" name="OS" dataDxfId="746"/>
    <tableColumn id="2" xr3:uid="{5F252D86-495C-4A65-B391-3FF46311DE83}" name="Parcelas" dataDxfId="745"/>
    <tableColumn id="3" xr3:uid="{50E905DA-42A9-43E1-8D51-FD4BDEAB81C8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F99F8D7-754F-4C42-AC90-9850F4DED20B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13E90C4D-54E5-4E99-9B84-1088198952F9}" name="Nº Venda" dataDxfId="102" dataCellStyle="Moeda"/>
    <tableColumn id="5" xr3:uid="{CDDB9285-397C-49EB-B5EE-92228D8B4870}" name="Cliente" dataDxfId="101" dataCellStyle="Moeda"/>
    <tableColumn id="2" xr3:uid="{95FEA38B-9B70-42AB-A341-2951C5EFA1FC}" name="Forma de Pgto" dataDxfId="100" dataCellStyle="Moeda"/>
    <tableColumn id="3" xr3:uid="{59CBBA75-CB8F-4D5A-B8FF-7E371172F9DB}" name="Valor Venda" dataDxfId="99" dataCellStyle="Porcentagem"/>
    <tableColumn id="4" xr3:uid="{2D6E033B-27F8-4F5F-A0F2-8CF52E40B127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6DE7D62-CF86-48CD-9C7A-4C154747A7A5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F2530D7D-68B4-4A7E-809A-5C1444A8E221}" name="Descrição" dataDxfId="92"/>
    <tableColumn id="2" xr3:uid="{8A934621-1CAD-4228-B54C-881CA37603FA}" name="Tipo de Pagto" dataDxfId="91"/>
    <tableColumn id="3" xr3:uid="{BEF3EE93-A910-4806-87B1-99014BED7969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A8FED73-ABD9-4EDF-BE35-6897CB5059DA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ABF4F61-7327-4297-B652-644797541524}" name="Nº Venda" dataDxfId="84"/>
    <tableColumn id="2" xr3:uid="{9ED6B0D7-22F9-4284-A480-7DEB202659EC}" name="Cliente" dataDxfId="83"/>
    <tableColumn id="3" xr3:uid="{EFB4B69F-9973-4DAB-8248-C729C177F91E}" name="Forma de Pgto" dataDxfId="82" dataCellStyle="Moeda"/>
    <tableColumn id="4" xr3:uid="{D32039E5-8263-43BB-9A19-8045BE6B2E98}" name="Valor Venda" dataDxfId="81" dataCellStyle="Porcentagem"/>
    <tableColumn id="5" xr3:uid="{E645058F-05B0-4E2B-8891-6DFE1ED9E48A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AAF4E7B-6858-45A2-B26A-C9C074D00348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3CBC988E-727C-4F6D-94D2-E17707F24B96}" name="OS" dataDxfId="74"/>
    <tableColumn id="2" xr3:uid="{CE8F9D01-2FA2-4B8B-AE58-F61D5BC53532}" name="Vendedor" dataDxfId="73"/>
    <tableColumn id="3" xr3:uid="{966F3BE6-F7C8-445C-8579-821FB56081A0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3D9B79D-9302-4C17-B8CD-40720A9C1D1D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527B7BEF-6E50-448F-A15E-C72CA9CDE097}" name="OS" dataDxfId="66"/>
    <tableColumn id="2" xr3:uid="{B521DF80-0E9B-479A-82A6-27668F93E8F3}" name="Cliente" dataDxfId="65"/>
    <tableColumn id="3" xr3:uid="{061B1969-CF9D-402E-B0A5-8C28CB600FDF}" name="Forma de Pgto" dataDxfId="64" dataCellStyle="Moeda"/>
    <tableColumn id="4" xr3:uid="{6E3D8A73-A2EE-4680-BA60-8FC131D32763}" name="Valor Parcela" dataDxfId="63" dataCellStyle="Porcentagem"/>
    <tableColumn id="5" xr3:uid="{A135E270-2988-4F0E-B829-86C2449EA38A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90599D4-36AE-437F-A78B-33333B4D42D6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A998B2AE-1D0A-4BF0-B62C-31A17C1BCACE}" name="OS" dataDxfId="57"/>
    <tableColumn id="2" xr3:uid="{C3CB646B-8EC5-470D-B47C-32E7A3248627}" name="Parcelas" dataDxfId="56"/>
    <tableColumn id="3" xr3:uid="{9812431A-A1C9-4065-8BC5-019C2509FBA1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49" dataCellStyle="Moeda"/>
    <tableColumn id="5" xr3:uid="{6DA19713-2E98-46D3-97C5-9220DCA239CF}" name="Cliente" dataDxfId="48" dataCellStyle="Moeda"/>
    <tableColumn id="2" xr3:uid="{88459FA3-E39A-4E24-BE6F-5B43DDEA2A4A}" name="Forma de Pgto" dataDxfId="47" dataCellStyle="Moeda"/>
    <tableColumn id="3" xr3:uid="{D7168B7C-70C2-4F65-A7A3-4909E88C1A7B}" name="Valor Venda" dataDxfId="46" dataCellStyle="Porcentagem"/>
    <tableColumn id="4" xr3:uid="{ADF4588D-7BC9-4314-A427-3D24958DACCC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E442CE4D-8AE5-41ED-A914-7256B88EAC73}" name="Descrição" dataDxfId="39"/>
    <tableColumn id="2" xr3:uid="{1E7FE08B-850F-4E9F-8B47-9536C8F5EC41}" name="Tipo de Pagto" dataDxfId="38"/>
    <tableColumn id="3" xr3:uid="{3DF1C1DC-F67A-43FF-B2A1-DF362268453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31"/>
    <tableColumn id="2" xr3:uid="{7751C919-065D-412F-B8A7-F92A54826246}" name="Cliente" dataDxfId="30"/>
    <tableColumn id="3" xr3:uid="{22CEA33D-E4AE-4795-B81E-F00AEE0259C7}" name="Forma de Pgto" dataDxfId="29" dataCellStyle="Moeda"/>
    <tableColumn id="4" xr3:uid="{111A6D3D-9DF3-48E3-B298-6A078CD9958A}" name="Valor Venda" dataDxfId="28" dataCellStyle="Porcentagem"/>
    <tableColumn id="5" xr3:uid="{6FAC4EB6-9A05-4962-BE54-D649C18DF277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70EC0554-ECDB-4BBB-8EC8-2A8F33D6CFC6}" name="OS" dataDxfId="21"/>
    <tableColumn id="2" xr3:uid="{7B162083-69E8-4F3B-A78B-AAB824AC7351}" name="Vendedor" dataDxfId="20"/>
    <tableColumn id="3" xr3:uid="{A73D781B-1144-472F-AB4F-C1B60353EA62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13"/>
    <tableColumn id="2" xr3:uid="{20C66877-6F9A-47B0-A475-B6BCD966BCDE}" name="Cliente" dataDxfId="12"/>
    <tableColumn id="3" xr3:uid="{0B1C76D4-E380-4017-B2F1-2785D2AA0EB8}" name="Forma de Pgto" dataDxfId="11" dataCellStyle="Moeda"/>
    <tableColumn id="4" xr3:uid="{B7ACF4A8-9732-43AF-BAA1-9675D326ADFE}" name="Valor Parcela" dataDxfId="10" dataCellStyle="Porcentagem"/>
    <tableColumn id="5" xr3:uid="{D3AA6A31-6891-4F0D-A789-213423B77F89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2F82B378-0FB6-4745-B866-67CFE9774172}" name="OS" dataDxfId="4"/>
    <tableColumn id="2" xr3:uid="{BC22F8A2-3A5C-41B3-B76F-5C0070F63051}" name="Parcelas" dataDxfId="3"/>
    <tableColumn id="3" xr3:uid="{4BD95DAA-0D20-4678-8E3E-53FA905C70F9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B15" sqref="B15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75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SUM('01'!C5,'02'!C5,'03'!C5,'04'!C5,'05'!C5,'06'!C5,'07'!C5,'08'!C5,'09'!C5,'10'!C5,'11'!C5,'12'!C5,'13'!C5,'14'!C5,'15'!C5,'16'!C5,'17'!C5,'18'!C5,'19'!C5,'20'!C5,'21'!C5,'22'!C5,'23'!C5,'24'!C5,'25'!C5,'26'!C5,'27'!C5,'28'!C5,'29'!C5,'31'!C5)</f>
        <v>42888.99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SUM('01'!C6,'02'!C6,'03'!C6,'04'!C6,'05'!C6,'06'!C6,'07'!C6,'08'!C6,'09'!C6,'10'!C6,'11'!C6,'12'!C6,'13'!C6,'14'!C6,'15'!C6,'16'!C6,'17'!C6,'18'!C6,'19'!C6,'20'!C6,'21'!C6,'22'!C6,'23'!C6,'24'!C6,'25'!C6,'26'!C6,'27'!C6,'28'!C6,'29'!C6,'31'!C6)</f>
        <v>28582.984280000001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SUM('01'!C7,'02'!C7,'03'!C7,'04'!C7,'05'!C7,'06'!C7,'07'!C7,'08'!C7,'09'!C7,'10'!C7,'11'!C7,'12'!C7,'13'!C7,'14'!C7,'15'!C7,'16'!C7,'17'!C7,'18'!C7,'19'!C7,'20'!C7,'21'!C7,'22'!C7,'23'!C7,'24'!C7,'25'!C7,'26'!C7,'27'!C7,'28'!C7,'29'!C7,'31'!C7,)</f>
        <v>0</v>
      </c>
    </row>
    <row r="6" spans="1:2" ht="15.75" x14ac:dyDescent="0.25">
      <c r="A6" s="28" t="s">
        <v>4</v>
      </c>
      <c r="B6" s="29">
        <f>SUM(B4:B5)</f>
        <v>28582.984280000001</v>
      </c>
    </row>
    <row r="7" spans="1:2" ht="15" x14ac:dyDescent="0.25">
      <c r="A7" s="2"/>
      <c r="B7" s="2"/>
    </row>
    <row r="8" spans="1:2" ht="15" x14ac:dyDescent="0.2">
      <c r="A8" s="120" t="s">
        <v>5</v>
      </c>
      <c r="B8" s="120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SUM('01'!C11,'02'!C11,'03'!C11,'04'!C11,'05'!C11,'06'!C11,'07'!C11,'08'!C11,'09'!C11,'10'!C11,'11'!C11,'12'!C11,'13'!C11,'14'!C11,'15'!C11,'16'!C11,'17'!C11,'18'!C11,'19'!C11,'20'!C11,'21'!C11,'22'!C11,'23'!C11,'24'!C11,'25'!C11,'26'!C11,'27'!C11,'28'!C11,'29'!C11,'31'!C11)</f>
        <v>2457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SUM('01'!C12,'02'!C12,'03'!C12,'04'!C12,'05'!C12,'06'!C12,'07'!C12,'08'!C12,'09'!C12,'10'!C12,'11'!C12,'12'!C12,'13'!C12,'14'!C12,'15'!C12,'16'!C12,'17'!C12,'18'!C12,'19'!C12,'20'!C12,'21'!C12,'22'!C12,'23'!C12,'24'!C12,'25'!C12,'26'!C12,'27'!C12,'28'!C12,'29'!C12,'31'!C12,)</f>
        <v>4028.0042800000001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SUM('01'!C13,'02'!C13,'03'!C13,'04'!C13,'05'!C13,'06'!C13,'07'!C13,'08'!C13,'09'!C13,'10'!C13,'11'!C13,'12'!C13,'13'!C13,'14'!C13,'15'!C13,'16'!C13,'17'!C13,'18'!C13,'19'!C13,'20'!C13,'21'!C13,'22'!C13,'23'!C13,'24'!C13,'25'!C13,'26'!C13,'27'!C13,'28'!C13,'29'!C13,'31'!C13,)</f>
        <v>20263.989999999998</v>
      </c>
    </row>
    <row r="12" spans="1:2" ht="15" x14ac:dyDescent="0.25">
      <c r="A12" s="30" t="s">
        <v>8</v>
      </c>
      <c r="B12" s="24" t="e">
        <f>SUM('01'!#REF!,'02'!#REF!,'03'!#REF!,'04'!#REF!,'05'!#REF!,'06'!#REF!,'07'!#REF!,'08'!#REF!,'09'!#REF!,'10'!#REF!,'11'!#REF!,'12'!#REF!,'13'!#REF!,'14'!#REF!,'15'!#REF!,'16'!#REF!,'17'!#REF!,'18'!#REF!,'19'!#REF!,'20'!#REF!,'21'!#REF!,'22'!#REF!,'23'!#REF!,'24'!#REF!,'25'!#REF!,'26'!#REF!,'27'!#REF!,'28'!#REF!,'29'!#REF!,'31'!#REF!,#REF!)</f>
        <v>#REF!</v>
      </c>
    </row>
    <row r="13" spans="1:2" ht="15" x14ac:dyDescent="0.25">
      <c r="A13" s="30" t="s">
        <v>9</v>
      </c>
      <c r="B13" s="24" t="e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31'!C14,#REF!)</f>
        <v>#REF!</v>
      </c>
    </row>
    <row r="14" spans="1:2" ht="15.75" x14ac:dyDescent="0.25">
      <c r="A14" s="28" t="s">
        <v>10</v>
      </c>
      <c r="B14" s="76" t="e">
        <f>SUM(B9:B13)</f>
        <v>#REF!</v>
      </c>
    </row>
    <row r="15" spans="1:2" ht="15" x14ac:dyDescent="0.25">
      <c r="A15" s="2"/>
      <c r="B15" s="2"/>
    </row>
    <row r="16" spans="1:2" ht="15" x14ac:dyDescent="0.2">
      <c r="A16" s="120" t="s">
        <v>11</v>
      </c>
      <c r="B16" s="120"/>
    </row>
    <row r="17" spans="1:2" ht="15" x14ac:dyDescent="0.25">
      <c r="A17" s="30">
        <f>COUNT(#REF!)</f>
        <v>0</v>
      </c>
      <c r="B17" s="24" t="e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31'!C18,#REF!)</f>
        <v>#REF!</v>
      </c>
    </row>
    <row r="18" spans="1:2" ht="15.75" x14ac:dyDescent="0.25">
      <c r="A18" s="28" t="s">
        <v>10</v>
      </c>
      <c r="B18" s="76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45413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20" t="s">
        <v>5</v>
      </c>
      <c r="C10" s="12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30">
        <f>COUNT(entr_carn1[OS])</f>
        <v>0</v>
      </c>
      <c r="C18" s="31">
        <f>SUM(entr_carn1[Valor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opLeftCell="A6" zoomScale="80" zoomScaleNormal="80" workbookViewId="0">
      <selection activeCell="H20" sqref="H20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'01'!B1+1</f>
        <v>45414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4210</v>
      </c>
      <c r="F6" s="25" t="s">
        <v>129</v>
      </c>
      <c r="G6" s="46" t="s">
        <v>38</v>
      </c>
      <c r="H6" s="8">
        <v>0</v>
      </c>
      <c r="I6" s="8">
        <v>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20" t="s">
        <v>5</v>
      </c>
      <c r="C10" s="12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5"/>
      <c r="F13" s="64"/>
      <c r="G13" s="86"/>
      <c r="H13" s="71"/>
      <c r="I13" s="71"/>
      <c r="J13" s="2"/>
      <c r="K13" s="122" t="s">
        <v>21</v>
      </c>
      <c r="L13" s="123"/>
      <c r="M13" s="124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98</v>
      </c>
      <c r="D14" s="2"/>
      <c r="E14" s="85"/>
      <c r="F14" s="64"/>
      <c r="G14" s="86"/>
      <c r="H14" s="71"/>
      <c r="I14" s="71"/>
      <c r="J14" s="2"/>
      <c r="K14" s="14" t="s">
        <v>124</v>
      </c>
      <c r="L14" s="6" t="s">
        <v>23</v>
      </c>
      <c r="M14" s="15" t="s">
        <v>24</v>
      </c>
      <c r="R14" s="1">
        <f>IF(vend2[[#This Row],[Nº Venda]]&gt;1,1,0)</f>
        <v>0</v>
      </c>
    </row>
    <row r="15" spans="2:18" ht="15.75" x14ac:dyDescent="0.25">
      <c r="B15" s="28" t="s">
        <v>10</v>
      </c>
      <c r="C15" s="32">
        <f>SUM(C11:C14)</f>
        <v>98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30">
        <f>COUNT(entr_carn2[OS])</f>
        <v>0</v>
      </c>
      <c r="C18" s="31">
        <f>SUM(entr_carn2[Valor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 t="s">
        <v>56</v>
      </c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4002</v>
      </c>
      <c r="F35" s="25" t="s">
        <v>130</v>
      </c>
      <c r="G35" s="26" t="s">
        <v>9</v>
      </c>
      <c r="H35" s="8">
        <v>98</v>
      </c>
      <c r="I35" s="8" t="s">
        <v>45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45415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2535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2325</v>
      </c>
      <c r="D6" s="2"/>
      <c r="E6" s="18">
        <v>4211</v>
      </c>
      <c r="F6" s="25" t="s">
        <v>132</v>
      </c>
      <c r="G6" s="46" t="s">
        <v>6</v>
      </c>
      <c r="H6" s="8">
        <v>735</v>
      </c>
      <c r="I6" s="8">
        <v>250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4212</v>
      </c>
      <c r="F7" s="25" t="s">
        <v>136</v>
      </c>
      <c r="G7" s="26" t="s">
        <v>8</v>
      </c>
      <c r="H7" s="8">
        <v>350</v>
      </c>
      <c r="I7" s="8">
        <v>350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20</v>
      </c>
      <c r="C8" s="29">
        <f>SUM(C6:C7)</f>
        <v>2325</v>
      </c>
      <c r="D8" s="2"/>
      <c r="E8" s="18">
        <v>4213</v>
      </c>
      <c r="F8" s="25" t="s">
        <v>137</v>
      </c>
      <c r="G8" s="26" t="s">
        <v>8</v>
      </c>
      <c r="H8" s="8">
        <v>1300</v>
      </c>
      <c r="I8" s="8">
        <v>1300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>
        <v>4214</v>
      </c>
      <c r="F9" s="25" t="s">
        <v>137</v>
      </c>
      <c r="G9" s="26" t="s">
        <v>8</v>
      </c>
      <c r="H9" s="8">
        <v>150</v>
      </c>
      <c r="I9" s="8">
        <v>150</v>
      </c>
      <c r="J9" s="2"/>
      <c r="K9" s="25"/>
      <c r="L9" s="9"/>
      <c r="M9" s="16"/>
      <c r="R9" s="1">
        <f>IF(vend3[[#This Row],[Nº Venda]]&gt;1,1,0)</f>
        <v>1</v>
      </c>
    </row>
    <row r="10" spans="2:18" ht="15.75" x14ac:dyDescent="0.25">
      <c r="B10" s="120" t="s">
        <v>5</v>
      </c>
      <c r="C10" s="12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1800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75" x14ac:dyDescent="0.25">
      <c r="B15" s="28" t="s">
        <v>10</v>
      </c>
      <c r="C15" s="32">
        <f>SUM(C11:C14)</f>
        <v>2325</v>
      </c>
      <c r="D15" s="2"/>
      <c r="E15" s="18"/>
      <c r="F15" s="25"/>
      <c r="G15" s="26"/>
      <c r="H15" s="8"/>
      <c r="I15" s="8"/>
      <c r="J15" s="2"/>
      <c r="K15" s="25">
        <v>4196</v>
      </c>
      <c r="L15" s="9" t="s">
        <v>134</v>
      </c>
      <c r="M15" s="16" t="s">
        <v>135</v>
      </c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4197</v>
      </c>
      <c r="L16" s="9" t="s">
        <v>134</v>
      </c>
      <c r="M16" s="16" t="s">
        <v>135</v>
      </c>
      <c r="R16" s="1">
        <f>IF(vend3[[#This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30">
        <f>COUNT(entr_carn3[OS])</f>
        <v>2</v>
      </c>
      <c r="C18" s="31">
        <f>SUM(entr_carn3[Valor Total])</f>
        <v>1200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28" t="s">
        <v>10</v>
      </c>
      <c r="C19" s="32">
        <f>SUM(C18:C18)</f>
        <v>1200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8" t="s">
        <v>25</v>
      </c>
      <c r="C21" s="32">
        <f>C5</f>
        <v>2535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4157</v>
      </c>
      <c r="F26" s="25" t="s">
        <v>131</v>
      </c>
      <c r="G26" s="46" t="s">
        <v>6</v>
      </c>
      <c r="H26" s="8"/>
      <c r="I26" s="8">
        <v>175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4196</v>
      </c>
      <c r="F27" s="25" t="s">
        <v>133</v>
      </c>
      <c r="G27" s="26" t="s">
        <v>6</v>
      </c>
      <c r="H27" s="8"/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4197</v>
      </c>
      <c r="F28" s="25" t="s">
        <v>133</v>
      </c>
      <c r="G28" s="26" t="s">
        <v>6</v>
      </c>
      <c r="H28" s="8"/>
      <c r="I28" s="8">
        <v>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>
        <v>4196</v>
      </c>
      <c r="L35" s="41">
        <v>6</v>
      </c>
      <c r="M35" s="16">
        <v>600</v>
      </c>
    </row>
    <row r="36" spans="5:18" ht="15.75" x14ac:dyDescent="0.25">
      <c r="E36" s="18"/>
      <c r="F36" s="25"/>
      <c r="G36" s="26"/>
      <c r="H36" s="8"/>
      <c r="I36" s="8"/>
      <c r="K36" s="25">
        <v>4197</v>
      </c>
      <c r="L36" s="41">
        <v>6</v>
      </c>
      <c r="M36" s="16">
        <v>600</v>
      </c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" zoomScale="80" zoomScaleNormal="8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'03'!B1+1</f>
        <v>45416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1949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550</v>
      </c>
      <c r="D6" s="2"/>
      <c r="E6" s="18">
        <v>4215</v>
      </c>
      <c r="F6" s="25" t="s">
        <v>142</v>
      </c>
      <c r="G6" s="46" t="s">
        <v>6</v>
      </c>
      <c r="H6" s="8">
        <v>1150</v>
      </c>
      <c r="I6" s="8">
        <v>150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4216</v>
      </c>
      <c r="F7" s="25" t="s">
        <v>143</v>
      </c>
      <c r="G7" s="46" t="s">
        <v>6</v>
      </c>
      <c r="H7" s="8">
        <v>799</v>
      </c>
      <c r="I7" s="8">
        <v>150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20</v>
      </c>
      <c r="C8" s="29">
        <f>SUM(C6:C7)</f>
        <v>550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20" t="s">
        <v>5</v>
      </c>
      <c r="C10" s="12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0</v>
      </c>
    </row>
    <row r="15" spans="2:18" ht="15.75" x14ac:dyDescent="0.25">
      <c r="B15" s="28" t="s">
        <v>10</v>
      </c>
      <c r="C15" s="32">
        <f>SUM(C11:C14)</f>
        <v>700</v>
      </c>
      <c r="D15" s="2"/>
      <c r="E15" s="18"/>
      <c r="F15" s="25"/>
      <c r="G15" s="26"/>
      <c r="H15" s="8"/>
      <c r="I15" s="8"/>
      <c r="J15" s="2"/>
      <c r="K15" s="94">
        <v>4024</v>
      </c>
      <c r="L15" s="95" t="s">
        <v>139</v>
      </c>
      <c r="M15" s="96" t="s">
        <v>140</v>
      </c>
      <c r="R15" s="1">
        <f>IF(vend4[[#This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94">
        <v>4199</v>
      </c>
      <c r="L16" s="94" t="s">
        <v>139</v>
      </c>
      <c r="M16" s="96" t="s">
        <v>140</v>
      </c>
      <c r="R16" s="1">
        <f>IF(vend4[[#This Row],[Nº Venda]]&gt;1,1,0)</f>
        <v>0</v>
      </c>
    </row>
    <row r="17" spans="2:18" ht="18.75" x14ac:dyDescent="0.4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75" x14ac:dyDescent="0.25">
      <c r="B18" s="30">
        <f>COUNT(entr_carn4[OS])</f>
        <v>0</v>
      </c>
      <c r="C18" s="31">
        <f>SUM(entr_carn4[Valor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8" t="s">
        <v>25</v>
      </c>
      <c r="C21" s="32">
        <f>C5</f>
        <v>1949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>
        <v>4024</v>
      </c>
      <c r="F26" s="64" t="s">
        <v>138</v>
      </c>
      <c r="G26" s="97" t="s">
        <v>8</v>
      </c>
      <c r="H26" s="71"/>
      <c r="I26" s="71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85">
        <v>4166</v>
      </c>
      <c r="F27" s="64" t="s">
        <v>144</v>
      </c>
      <c r="G27" s="97" t="s">
        <v>6</v>
      </c>
      <c r="H27" s="71"/>
      <c r="I27" s="71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3872</v>
      </c>
      <c r="F35" s="25" t="s">
        <v>141</v>
      </c>
      <c r="G35" s="26" t="s">
        <v>6</v>
      </c>
      <c r="H35" s="8">
        <v>150</v>
      </c>
      <c r="I35" s="8" t="s">
        <v>42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'04'!B1+1</f>
        <v>45417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5"/>
      <c r="F6" s="64"/>
      <c r="G6" s="97"/>
      <c r="H6" s="71"/>
      <c r="I6" s="71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20" t="s">
        <v>5</v>
      </c>
      <c r="C10" s="120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99" t="s">
        <v>6</v>
      </c>
      <c r="C11" s="98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IF(vend5[[#This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N15" s="16"/>
      <c r="R15" s="1">
        <f>IF(vend5[[#This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5"/>
      <c r="N16" s="16"/>
      <c r="R16" s="1">
        <f>IF(vend5[[#This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30">
        <f>COUNT(entr_carn5[OS])</f>
        <v>0</v>
      </c>
      <c r="C18" s="31">
        <f>SUM(entr_carn5[Valor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85"/>
      <c r="F36" s="64"/>
      <c r="G36" s="86"/>
      <c r="H36" s="71"/>
      <c r="I36" s="71"/>
      <c r="K36" s="25"/>
      <c r="L36" s="41"/>
      <c r="M36" s="16"/>
    </row>
    <row r="37" spans="5:18" ht="15.75" x14ac:dyDescent="0.25">
      <c r="E37" s="85"/>
      <c r="F37" s="64"/>
      <c r="G37" s="86"/>
      <c r="H37" s="71"/>
      <c r="I37" s="71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B1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'05'!B1+1</f>
        <v>45418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700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50</v>
      </c>
      <c r="D6" s="2"/>
      <c r="E6" s="85">
        <v>4217</v>
      </c>
      <c r="F6" s="64" t="s">
        <v>146</v>
      </c>
      <c r="G6" s="86" t="s">
        <v>6</v>
      </c>
      <c r="H6" s="71">
        <v>700</v>
      </c>
      <c r="I6" s="71">
        <v>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20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20" t="s">
        <v>5</v>
      </c>
      <c r="C10" s="120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175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0</v>
      </c>
    </row>
    <row r="15" spans="2:18" ht="15.75" x14ac:dyDescent="0.25">
      <c r="B15" s="28" t="s">
        <v>10</v>
      </c>
      <c r="C15" s="32">
        <f>SUM(C11:C14)</f>
        <v>225</v>
      </c>
      <c r="D15" s="2"/>
      <c r="E15" s="18"/>
      <c r="F15" s="25"/>
      <c r="G15" s="26"/>
      <c r="H15" s="8"/>
      <c r="I15" s="8"/>
      <c r="J15" s="2"/>
      <c r="K15" s="18"/>
      <c r="L15" s="25"/>
      <c r="M15" s="16"/>
      <c r="R15" s="1">
        <f>IF(vend[[#This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30">
        <f>COUNT(entr_carn6[OS])</f>
        <v>0</v>
      </c>
      <c r="C18" s="31">
        <f>SUM(entr_carn6[Valor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8" t="s">
        <v>25</v>
      </c>
      <c r="C21" s="32">
        <f>C5</f>
        <v>700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/>
      <c r="F26" s="64"/>
      <c r="G26" s="86"/>
      <c r="H26" s="71"/>
      <c r="I26" s="71"/>
      <c r="J26" s="2"/>
      <c r="K26" s="25"/>
      <c r="L26" s="9"/>
      <c r="M26" s="16"/>
    </row>
    <row r="27" spans="2:18" ht="15.75" x14ac:dyDescent="0.25">
      <c r="B27" s="2"/>
      <c r="C27" s="2"/>
      <c r="D27" s="2"/>
      <c r="E27" s="85"/>
      <c r="F27" s="64"/>
      <c r="G27" s="86"/>
      <c r="H27" s="71"/>
      <c r="I27" s="71"/>
      <c r="J27" s="2"/>
      <c r="K27" s="25"/>
      <c r="L27" s="9"/>
      <c r="M27" s="16"/>
    </row>
    <row r="28" spans="2:18" ht="15.75" x14ac:dyDescent="0.25">
      <c r="B28" s="2"/>
      <c r="C28" s="2"/>
      <c r="D28" s="2"/>
      <c r="E28" s="85"/>
      <c r="F28" s="64"/>
      <c r="G28" s="86"/>
      <c r="H28" s="71"/>
      <c r="I28" s="71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4179</v>
      </c>
      <c r="F35" s="25" t="s">
        <v>145</v>
      </c>
      <c r="G35" s="26" t="s">
        <v>7</v>
      </c>
      <c r="H35" s="8">
        <v>175</v>
      </c>
      <c r="I35" s="8" t="s">
        <v>65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G35:G41 G26:G31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abSelected="1" zoomScale="80" zoomScaleNormal="80" workbookViewId="0">
      <selection activeCell="G8" sqref="G8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3">
        <f>'06'!B1+1</f>
        <v>45419</v>
      </c>
    </row>
    <row r="2" spans="2:21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  <c r="U4" s="1">
        <v>0</v>
      </c>
    </row>
    <row r="5" spans="2:21" ht="15" x14ac:dyDescent="0.25">
      <c r="B5" s="23" t="s">
        <v>1</v>
      </c>
      <c r="C5" s="24">
        <f>SUMIF(I6:I31,"&gt;0",H6:H31)</f>
        <v>799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100</v>
      </c>
      <c r="D6" s="2"/>
      <c r="E6" s="18">
        <v>4218</v>
      </c>
      <c r="F6" s="81" t="s">
        <v>149</v>
      </c>
      <c r="G6" s="81" t="s">
        <v>48</v>
      </c>
      <c r="H6" s="82">
        <v>40</v>
      </c>
      <c r="I6" s="82" t="s">
        <v>148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8">
        <v>4219</v>
      </c>
      <c r="F7" s="48" t="s">
        <v>147</v>
      </c>
      <c r="G7" s="48" t="s">
        <v>9</v>
      </c>
      <c r="H7" s="47">
        <v>799</v>
      </c>
      <c r="I7" s="47">
        <v>100</v>
      </c>
      <c r="J7" s="2"/>
      <c r="K7" s="25"/>
      <c r="L7" s="9"/>
      <c r="M7" s="16"/>
      <c r="R7" s="1">
        <f>IF(vend7[[#This Row],[Nº Venda]]&gt;1,1,0)</f>
        <v>1</v>
      </c>
    </row>
    <row r="8" spans="2:21" ht="15.75" x14ac:dyDescent="0.25">
      <c r="B8" s="28" t="s">
        <v>20</v>
      </c>
      <c r="C8" s="29">
        <f>SUM(C6:C7)</f>
        <v>100</v>
      </c>
      <c r="D8" s="2"/>
      <c r="E8" s="18">
        <v>4220</v>
      </c>
      <c r="F8" s="25" t="s">
        <v>250</v>
      </c>
      <c r="G8" s="26" t="s">
        <v>48</v>
      </c>
      <c r="H8" s="8">
        <v>0</v>
      </c>
      <c r="I8" s="8">
        <v>0</v>
      </c>
      <c r="J8" s="2"/>
      <c r="K8" s="25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20" t="s">
        <v>5</v>
      </c>
      <c r="C10" s="12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385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75" x14ac:dyDescent="0.25">
      <c r="B15" s="28" t="s">
        <v>10</v>
      </c>
      <c r="C15" s="32">
        <f>SUM(C11:C14)</f>
        <v>385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25</v>
      </c>
      <c r="C21" s="32">
        <f>C5</f>
        <v>799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2"/>
      <c r="F26" s="63"/>
      <c r="G26" s="73"/>
      <c r="H26" s="74"/>
      <c r="I26" s="74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3968</v>
      </c>
      <c r="F35" s="25" t="s">
        <v>147</v>
      </c>
      <c r="G35" s="26" t="s">
        <v>9</v>
      </c>
      <c r="H35" s="8">
        <v>125</v>
      </c>
      <c r="I35" s="8" t="s">
        <v>37</v>
      </c>
      <c r="K35" s="25"/>
      <c r="L35" s="41"/>
      <c r="M35" s="16"/>
    </row>
    <row r="36" spans="5:18" ht="15.75" x14ac:dyDescent="0.25">
      <c r="E36" s="18">
        <v>3939</v>
      </c>
      <c r="F36" s="25" t="s">
        <v>150</v>
      </c>
      <c r="G36" s="26" t="s">
        <v>9</v>
      </c>
      <c r="H36" s="8">
        <v>160</v>
      </c>
      <c r="I36" s="8" t="s">
        <v>75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4" zoomScale="80" zoomScaleNormal="80" workbookViewId="0">
      <selection activeCell="F1" sqref="F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'07'!B1+1</f>
        <v>45420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2100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1180</v>
      </c>
      <c r="D6" s="2"/>
      <c r="E6" s="84">
        <v>4221</v>
      </c>
      <c r="F6" s="8" t="s">
        <v>152</v>
      </c>
      <c r="G6" s="8" t="s">
        <v>7</v>
      </c>
      <c r="H6" s="8">
        <v>800</v>
      </c>
      <c r="I6" s="8">
        <v>100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4">
        <v>4222</v>
      </c>
      <c r="F7" s="8" t="s">
        <v>153</v>
      </c>
      <c r="G7" s="8" t="s">
        <v>9</v>
      </c>
      <c r="H7" s="8">
        <v>500</v>
      </c>
      <c r="I7" s="8">
        <v>50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20</v>
      </c>
      <c r="C8" s="29">
        <f>SUM(C6:C7)</f>
        <v>1180</v>
      </c>
      <c r="D8" s="2"/>
      <c r="E8" s="84">
        <v>4223</v>
      </c>
      <c r="F8" s="8" t="s">
        <v>154</v>
      </c>
      <c r="G8" s="8" t="s">
        <v>8</v>
      </c>
      <c r="H8" s="8">
        <v>800</v>
      </c>
      <c r="I8" s="8">
        <v>500</v>
      </c>
      <c r="J8" s="2"/>
      <c r="K8" s="25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84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20" t="s">
        <v>5</v>
      </c>
      <c r="C10" s="12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0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0">
        <f>(SUMIF($G$2:$G$31,B12,$I$2:$I$31))+(SUMIF($G$35:$G$42,B12,$H$35:$H$42))</f>
        <v>100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0">
        <f>(SUMIF($G$2:$G$31,B13,$I$2:$I$31))+(SUMIF($G$35:$G$42,B13,$H$35:$H$42))</f>
        <v>500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IF(vend8[[#This Row],[Nº Venda]]&gt;1,1,0)</f>
        <v>0</v>
      </c>
    </row>
    <row r="14" spans="2:18" ht="15.75" x14ac:dyDescent="0.25">
      <c r="B14" s="30" t="s">
        <v>9</v>
      </c>
      <c r="C14" s="80">
        <f>(SUMIF($G$2:$G$31,B14,$I$2:$I$31))+(SUMIF($G$35:$G$42,B14,$H$35:$H$42))</f>
        <v>630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0</v>
      </c>
    </row>
    <row r="15" spans="2:18" ht="15.75" x14ac:dyDescent="0.25">
      <c r="B15" s="28" t="s">
        <v>10</v>
      </c>
      <c r="C15" s="32">
        <f>SUM(C11:C14)</f>
        <v>1230</v>
      </c>
      <c r="D15" s="2"/>
      <c r="E15" s="18"/>
      <c r="F15" s="25"/>
      <c r="G15" s="26"/>
      <c r="H15" s="8"/>
      <c r="I15" s="8"/>
      <c r="J15" s="2"/>
      <c r="K15" s="25">
        <v>4134</v>
      </c>
      <c r="L15" s="9" t="s">
        <v>139</v>
      </c>
      <c r="M15" s="16" t="s">
        <v>140</v>
      </c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64"/>
      <c r="L16" s="69"/>
      <c r="M16" s="70"/>
      <c r="R16" s="1">
        <f>IF(vend8[[#This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8" t="s">
        <v>25</v>
      </c>
      <c r="C21" s="32">
        <f>C5</f>
        <v>2100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2">
        <v>4134</v>
      </c>
      <c r="F26" s="100" t="s">
        <v>155</v>
      </c>
      <c r="G26" s="101" t="s">
        <v>9</v>
      </c>
      <c r="H26" s="74"/>
      <c r="I26" s="74">
        <v>530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3106</v>
      </c>
      <c r="F35" s="25" t="s">
        <v>151</v>
      </c>
      <c r="G35" s="26" t="s">
        <v>9</v>
      </c>
      <c r="H35" s="8">
        <v>50</v>
      </c>
      <c r="I35" s="8" t="s">
        <v>97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93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3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77"/>
      <c r="G42" s="78"/>
      <c r="H42" s="79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3" zoomScale="91" zoomScaleNormal="91" workbookViewId="0">
      <selection activeCell="C41" sqref="C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45421</v>
      </c>
    </row>
    <row r="2" spans="2:22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22" ht="15" x14ac:dyDescent="0.25">
      <c r="B5" s="23" t="s">
        <v>1</v>
      </c>
      <c r="C5" s="24">
        <f>SUMIF(I6:I31,"&gt;0",H6:H31)</f>
        <v>2730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2030</v>
      </c>
      <c r="D6" s="2"/>
      <c r="E6" s="18">
        <v>4224</v>
      </c>
      <c r="F6" s="25" t="s">
        <v>156</v>
      </c>
      <c r="G6" s="46" t="s">
        <v>8</v>
      </c>
      <c r="H6" s="8">
        <v>350</v>
      </c>
      <c r="I6" s="8">
        <v>350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>
        <v>4225</v>
      </c>
      <c r="F7" s="25" t="s">
        <v>162</v>
      </c>
      <c r="G7" s="46" t="s">
        <v>6</v>
      </c>
      <c r="H7" s="8">
        <v>675</v>
      </c>
      <c r="I7" s="8">
        <v>100</v>
      </c>
      <c r="J7" s="2"/>
      <c r="K7" s="25"/>
      <c r="L7" s="9"/>
      <c r="M7" s="16"/>
      <c r="R7" s="1">
        <f>IF(vend9[[#This Row],[Nº Venda]]&gt;1,1,0)</f>
        <v>1</v>
      </c>
    </row>
    <row r="8" spans="2:22" ht="15.75" x14ac:dyDescent="0.25">
      <c r="B8" s="28" t="s">
        <v>20</v>
      </c>
      <c r="C8" s="29">
        <f>SUM(C6:C7)</f>
        <v>2030</v>
      </c>
      <c r="D8" s="2"/>
      <c r="E8" s="18">
        <v>4226</v>
      </c>
      <c r="F8" s="25" t="s">
        <v>162</v>
      </c>
      <c r="G8" s="26" t="s">
        <v>6</v>
      </c>
      <c r="H8" s="8">
        <v>675</v>
      </c>
      <c r="I8" s="8">
        <v>100</v>
      </c>
      <c r="J8" s="2"/>
      <c r="K8" s="25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18">
        <v>4227</v>
      </c>
      <c r="F9" s="25" t="s">
        <v>157</v>
      </c>
      <c r="G9" s="26" t="s">
        <v>8</v>
      </c>
      <c r="H9" s="8">
        <v>230</v>
      </c>
      <c r="I9" s="8">
        <v>230</v>
      </c>
      <c r="J9" s="2"/>
      <c r="K9" s="25"/>
      <c r="L9" s="9"/>
      <c r="M9" s="16"/>
      <c r="R9" s="1">
        <f>IF(vend9[[#This Row],[Nº Venda]]&gt;1,1,0)</f>
        <v>1</v>
      </c>
    </row>
    <row r="10" spans="2:22" ht="15.75" x14ac:dyDescent="0.25">
      <c r="B10" s="120" t="s">
        <v>5</v>
      </c>
      <c r="C10" s="120"/>
      <c r="D10" s="2"/>
      <c r="E10" s="18">
        <v>4228</v>
      </c>
      <c r="F10" s="25" t="s">
        <v>158</v>
      </c>
      <c r="G10" s="26" t="s">
        <v>8</v>
      </c>
      <c r="H10" s="8">
        <v>800</v>
      </c>
      <c r="I10" s="8">
        <v>800</v>
      </c>
      <c r="J10" s="2"/>
      <c r="K10" s="25"/>
      <c r="L10" s="9"/>
      <c r="M10" s="16"/>
      <c r="R10" s="1">
        <f>IF(vend9[[#This Row],[Nº Venda]]&gt;1,1,0)</f>
        <v>1</v>
      </c>
    </row>
    <row r="11" spans="2:22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2169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582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75" x14ac:dyDescent="0.25">
      <c r="B15" s="28" t="s">
        <v>10</v>
      </c>
      <c r="C15" s="32">
        <f>SUM(C11:C14)</f>
        <v>2951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8" t="s">
        <v>25</v>
      </c>
      <c r="C21" s="32">
        <f>C5</f>
        <v>2730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4222</v>
      </c>
      <c r="F26" s="25" t="s">
        <v>153</v>
      </c>
      <c r="G26" s="46" t="s">
        <v>8</v>
      </c>
      <c r="H26" s="8"/>
      <c r="I26" s="8">
        <v>450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4033</v>
      </c>
      <c r="F35" s="25" t="s">
        <v>159</v>
      </c>
      <c r="G35" s="26" t="s">
        <v>8</v>
      </c>
      <c r="H35" s="8">
        <v>169.5</v>
      </c>
      <c r="I35" s="8" t="s">
        <v>52</v>
      </c>
      <c r="K35" s="25"/>
      <c r="L35" s="41"/>
      <c r="M35" s="16"/>
    </row>
    <row r="36" spans="5:18" ht="15.75" x14ac:dyDescent="0.25">
      <c r="E36" s="18">
        <v>4034</v>
      </c>
      <c r="F36" s="25" t="s">
        <v>159</v>
      </c>
      <c r="G36" s="26" t="s">
        <v>8</v>
      </c>
      <c r="H36" s="8">
        <v>169.5</v>
      </c>
      <c r="I36" s="8" t="s">
        <v>52</v>
      </c>
      <c r="K36" s="25"/>
      <c r="L36" s="41"/>
      <c r="M36" s="16"/>
    </row>
    <row r="37" spans="5:18" ht="15.75" x14ac:dyDescent="0.25">
      <c r="E37" s="18">
        <v>3999</v>
      </c>
      <c r="F37" s="25" t="s">
        <v>160</v>
      </c>
      <c r="G37" s="26" t="s">
        <v>9</v>
      </c>
      <c r="H37" s="8">
        <v>170</v>
      </c>
      <c r="I37" s="8" t="s">
        <v>76</v>
      </c>
      <c r="K37" s="25"/>
      <c r="L37" s="41"/>
      <c r="M37" s="16"/>
    </row>
    <row r="38" spans="5:18" ht="15.75" x14ac:dyDescent="0.25">
      <c r="E38" s="18">
        <v>4031</v>
      </c>
      <c r="F38" s="25" t="s">
        <v>161</v>
      </c>
      <c r="G38" s="26" t="s">
        <v>9</v>
      </c>
      <c r="H38" s="8">
        <v>90</v>
      </c>
      <c r="I38" s="8" t="s">
        <v>43</v>
      </c>
      <c r="K38" s="25"/>
      <c r="L38" s="41"/>
      <c r="M38" s="16"/>
    </row>
    <row r="39" spans="5:18" ht="15.75" x14ac:dyDescent="0.25">
      <c r="E39" s="18">
        <v>4032</v>
      </c>
      <c r="F39" s="39" t="s">
        <v>161</v>
      </c>
      <c r="G39" s="26" t="s">
        <v>9</v>
      </c>
      <c r="H39" s="8">
        <v>90</v>
      </c>
      <c r="I39" s="8" t="s">
        <v>43</v>
      </c>
      <c r="K39" s="25"/>
      <c r="L39" s="41"/>
      <c r="M39" s="16"/>
    </row>
    <row r="40" spans="5:18" ht="15.75" x14ac:dyDescent="0.25">
      <c r="E40" s="35">
        <v>4072</v>
      </c>
      <c r="F40" s="36" t="s">
        <v>163</v>
      </c>
      <c r="G40" s="37" t="s">
        <v>9</v>
      </c>
      <c r="H40" s="17">
        <v>100</v>
      </c>
      <c r="I40" s="8" t="s">
        <v>51</v>
      </c>
      <c r="K40" s="36"/>
      <c r="L40" s="42"/>
      <c r="M40" s="40"/>
      <c r="Q40" s="1" t="s">
        <v>35</v>
      </c>
      <c r="R40" s="1">
        <f>SUM(R6:R21)</f>
        <v>5</v>
      </c>
    </row>
    <row r="41" spans="5:18" ht="15.75" x14ac:dyDescent="0.25">
      <c r="E41" s="35">
        <v>4075</v>
      </c>
      <c r="F41" s="39" t="s">
        <v>163</v>
      </c>
      <c r="G41" s="26" t="s">
        <v>9</v>
      </c>
      <c r="H41" s="8">
        <v>132</v>
      </c>
      <c r="I41" s="8" t="s">
        <v>51</v>
      </c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'09'!B1+1</f>
        <v>45422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20" t="s">
        <v>5</v>
      </c>
      <c r="C10" s="12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151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0</v>
      </c>
    </row>
    <row r="15" spans="2:18" ht="15.75" x14ac:dyDescent="0.25">
      <c r="B15" s="28" t="s">
        <v>10</v>
      </c>
      <c r="C15" s="32">
        <f>SUM(C11:C14)</f>
        <v>151</v>
      </c>
      <c r="D15" s="2"/>
      <c r="E15" s="18"/>
      <c r="F15" s="25"/>
      <c r="G15" s="26"/>
      <c r="H15" s="8"/>
      <c r="I15" s="8"/>
      <c r="J15" s="2"/>
      <c r="K15" s="25">
        <v>4202</v>
      </c>
      <c r="L15" s="9" t="s">
        <v>164</v>
      </c>
      <c r="M15" s="16" t="s">
        <v>140</v>
      </c>
      <c r="R15" s="1">
        <f>IF(vend10[[#This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4210</v>
      </c>
      <c r="L16" s="9" t="s">
        <v>167</v>
      </c>
      <c r="M16" s="65" t="s">
        <v>168</v>
      </c>
      <c r="R16" s="1">
        <f>IF(vend10[[#This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64"/>
      <c r="L17" s="69"/>
      <c r="M17" s="70"/>
      <c r="R17" s="1">
        <f>IF(vend10[[#This Row],[Nº Venda]]&gt;1,1,0)</f>
        <v>0</v>
      </c>
    </row>
    <row r="18" spans="2:18" ht="15.75" x14ac:dyDescent="0.25">
      <c r="B18" s="30">
        <f>COUNT(entr_carn10[OS])</f>
        <v>0</v>
      </c>
      <c r="C18" s="31">
        <f>SUM(entr_carn10[Valor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5:18" ht="15" x14ac:dyDescent="0.25">
      <c r="E33" s="33"/>
      <c r="K33" s="122" t="s">
        <v>11</v>
      </c>
      <c r="L33" s="123"/>
      <c r="M33" s="124"/>
    </row>
    <row r="34" spans="5:18" ht="15" x14ac:dyDescent="0.25">
      <c r="E34" s="121" t="s">
        <v>27</v>
      </c>
      <c r="F34" s="121"/>
      <c r="G34" s="121"/>
      <c r="H34" s="121"/>
      <c r="I34" s="121"/>
      <c r="K34" s="14" t="s">
        <v>22</v>
      </c>
      <c r="L34" s="6" t="s">
        <v>30</v>
      </c>
      <c r="M34" s="15" t="s">
        <v>31</v>
      </c>
    </row>
    <row r="35" spans="5:18" ht="15" x14ac:dyDescent="0.25">
      <c r="E35" s="10" t="s">
        <v>124</v>
      </c>
      <c r="F35" s="10" t="s">
        <v>125</v>
      </c>
      <c r="G35" s="11" t="s">
        <v>126</v>
      </c>
      <c r="H35" s="12" t="s">
        <v>127</v>
      </c>
      <c r="I35" s="13" t="s">
        <v>128</v>
      </c>
      <c r="K35" s="25"/>
      <c r="L35" s="41"/>
      <c r="M35" s="16"/>
    </row>
    <row r="36" spans="5:18" ht="15.75" x14ac:dyDescent="0.25">
      <c r="E36" s="18">
        <v>4141</v>
      </c>
      <c r="F36" s="25" t="s">
        <v>165</v>
      </c>
      <c r="G36" s="26" t="s">
        <v>9</v>
      </c>
      <c r="H36" s="8">
        <v>151</v>
      </c>
      <c r="I36" s="8" t="s">
        <v>68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'10'!B1+1</f>
        <v>45423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4500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4570</v>
      </c>
      <c r="D6" s="2"/>
      <c r="E6" s="18">
        <v>4229</v>
      </c>
      <c r="F6" s="25" t="s">
        <v>170</v>
      </c>
      <c r="G6" s="26" t="s">
        <v>7</v>
      </c>
      <c r="H6" s="8">
        <v>300</v>
      </c>
      <c r="I6" s="8">
        <v>300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4229</v>
      </c>
      <c r="F7" s="25" t="s">
        <v>170</v>
      </c>
      <c r="G7" s="26" t="s">
        <v>8</v>
      </c>
      <c r="H7" s="8">
        <v>550</v>
      </c>
      <c r="I7" s="8">
        <v>550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20</v>
      </c>
      <c r="C8" s="29">
        <f>SUM(C6:C7)</f>
        <v>4570</v>
      </c>
      <c r="D8" s="2"/>
      <c r="E8" s="18">
        <v>4230</v>
      </c>
      <c r="F8" s="25" t="s">
        <v>171</v>
      </c>
      <c r="G8" s="26" t="s">
        <v>7</v>
      </c>
      <c r="H8" s="8">
        <v>500</v>
      </c>
      <c r="I8" s="8">
        <v>500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>
        <v>4230</v>
      </c>
      <c r="F9" s="25" t="s">
        <v>171</v>
      </c>
      <c r="G9" s="26" t="s">
        <v>8</v>
      </c>
      <c r="H9" s="8">
        <v>350</v>
      </c>
      <c r="I9" s="8">
        <v>350</v>
      </c>
      <c r="J9" s="2"/>
      <c r="K9" s="25"/>
      <c r="L9" s="9"/>
      <c r="M9" s="16"/>
      <c r="R9" s="1">
        <f>IF(vend11[[#This Row],[Nº Venda]]&gt;1,1,0)</f>
        <v>1</v>
      </c>
    </row>
    <row r="10" spans="2:18" ht="15.75" x14ac:dyDescent="0.25">
      <c r="B10" s="120" t="s">
        <v>5</v>
      </c>
      <c r="C10" s="120"/>
      <c r="D10" s="2"/>
      <c r="E10" s="18">
        <v>4231</v>
      </c>
      <c r="F10" s="25" t="s">
        <v>172</v>
      </c>
      <c r="G10" s="26" t="s">
        <v>9</v>
      </c>
      <c r="H10" s="8">
        <v>580</v>
      </c>
      <c r="I10" s="8">
        <v>50</v>
      </c>
      <c r="J10" s="2"/>
      <c r="K10" s="25"/>
      <c r="L10" s="9"/>
      <c r="M10" s="16"/>
      <c r="R10" s="1">
        <f>IF(vend11[[#This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4232</v>
      </c>
      <c r="F11" s="25" t="s">
        <v>173</v>
      </c>
      <c r="G11" s="26" t="s">
        <v>7</v>
      </c>
      <c r="H11" s="8">
        <v>1620</v>
      </c>
      <c r="I11" s="8">
        <v>1620</v>
      </c>
      <c r="J11" s="2"/>
      <c r="K11" s="27"/>
      <c r="L11" s="9"/>
      <c r="M11" s="16"/>
      <c r="O11" s="1">
        <f>IF(C15=0,0,1)</f>
        <v>1</v>
      </c>
      <c r="R11" s="1">
        <f>IF(vend11[[#This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2420</v>
      </c>
      <c r="D12" s="2"/>
      <c r="E12" s="18">
        <v>4233</v>
      </c>
      <c r="F12" s="25" t="s">
        <v>173</v>
      </c>
      <c r="G12" s="26" t="s">
        <v>8</v>
      </c>
      <c r="H12" s="8">
        <v>350</v>
      </c>
      <c r="I12" s="8">
        <v>350</v>
      </c>
      <c r="J12" s="2"/>
      <c r="R12" s="1">
        <f>IF(vend11[[#This Row],[Nº Venda]]&gt;1,1,0)</f>
        <v>1</v>
      </c>
    </row>
    <row r="13" spans="2:18" ht="15.75" x14ac:dyDescent="0.25">
      <c r="B13" s="30" t="s">
        <v>8</v>
      </c>
      <c r="C13" s="31">
        <f t="shared" si="0"/>
        <v>2050</v>
      </c>
      <c r="D13" s="2"/>
      <c r="E13" s="18">
        <v>4234</v>
      </c>
      <c r="F13" s="25" t="s">
        <v>174</v>
      </c>
      <c r="G13" s="26" t="s">
        <v>9</v>
      </c>
      <c r="H13" s="8">
        <v>250</v>
      </c>
      <c r="I13" s="8">
        <v>50</v>
      </c>
      <c r="J13" s="2"/>
      <c r="K13" s="122" t="s">
        <v>21</v>
      </c>
      <c r="L13" s="123"/>
      <c r="M13" s="124"/>
      <c r="R13" s="1">
        <f>IF(vend11[[#This Row],[Nº Venda]]&gt;1,1,0)</f>
        <v>1</v>
      </c>
    </row>
    <row r="14" spans="2:18" ht="15.75" x14ac:dyDescent="0.25">
      <c r="B14" s="30" t="s">
        <v>9</v>
      </c>
      <c r="C14" s="31">
        <f t="shared" si="0"/>
        <v>197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0</v>
      </c>
    </row>
    <row r="15" spans="2:18" ht="15.75" x14ac:dyDescent="0.25">
      <c r="B15" s="28" t="s">
        <v>10</v>
      </c>
      <c r="C15" s="32">
        <f>SUM(C11:C14)</f>
        <v>4667</v>
      </c>
      <c r="D15" s="2"/>
      <c r="E15" s="18"/>
      <c r="F15" s="25"/>
      <c r="G15" s="26"/>
      <c r="H15" s="8"/>
      <c r="I15" s="8"/>
      <c r="J15" s="2"/>
      <c r="K15" s="25">
        <v>4149</v>
      </c>
      <c r="L15" s="9" t="s">
        <v>139</v>
      </c>
      <c r="M15" s="16" t="s">
        <v>140</v>
      </c>
      <c r="R15" s="1">
        <f>IF(vend11[[#This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4207</v>
      </c>
      <c r="L16" s="9" t="s">
        <v>139</v>
      </c>
      <c r="M16" s="16" t="s">
        <v>140</v>
      </c>
      <c r="R16" s="1">
        <f>IF(vend11[[#This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25">
        <v>4208</v>
      </c>
      <c r="L17" s="9" t="s">
        <v>139</v>
      </c>
      <c r="M17" s="16" t="s">
        <v>140</v>
      </c>
      <c r="R17" s="1">
        <f>IF(vend11[[#This Row],[Nº Venda]]&gt;1,1,0)</f>
        <v>0</v>
      </c>
    </row>
    <row r="18" spans="2:18" ht="15.75" x14ac:dyDescent="0.25">
      <c r="B18" s="30">
        <f>COUNT(entr_carn11[OS])</f>
        <v>0</v>
      </c>
      <c r="C18" s="31">
        <f>SUM(entr_carn11[Valor Total])</f>
        <v>0</v>
      </c>
      <c r="D18" s="2"/>
      <c r="E18" s="18"/>
      <c r="F18" s="25"/>
      <c r="G18" s="26"/>
      <c r="H18" s="8"/>
      <c r="I18" s="8"/>
      <c r="J18" s="2"/>
      <c r="K18" s="25">
        <v>4205</v>
      </c>
      <c r="L18" s="9" t="s">
        <v>139</v>
      </c>
      <c r="M18" s="16" t="s">
        <v>140</v>
      </c>
      <c r="R18" s="1">
        <f>IF(vend11[[#This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4206</v>
      </c>
      <c r="L19" s="9" t="s">
        <v>139</v>
      </c>
      <c r="M19" s="16" t="s">
        <v>140</v>
      </c>
      <c r="R19" s="1">
        <f>IF(vend11[[#This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8" t="s">
        <v>25</v>
      </c>
      <c r="C21" s="32">
        <f>C5</f>
        <v>4500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4207</v>
      </c>
      <c r="F26" s="25" t="s">
        <v>166</v>
      </c>
      <c r="G26" s="46" t="s">
        <v>8</v>
      </c>
      <c r="H26" s="8"/>
      <c r="I26" s="8">
        <v>224.99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4208</v>
      </c>
      <c r="F27" s="25" t="s">
        <v>166</v>
      </c>
      <c r="G27" s="26" t="s">
        <v>8</v>
      </c>
      <c r="H27" s="8"/>
      <c r="I27" s="8">
        <v>575.01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3947</v>
      </c>
      <c r="F35" s="25" t="s">
        <v>169</v>
      </c>
      <c r="G35" s="26" t="s">
        <v>9</v>
      </c>
      <c r="H35" s="8">
        <v>97</v>
      </c>
      <c r="I35" s="8" t="s">
        <v>57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8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45424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0</v>
      </c>
      <c r="D6" s="2"/>
      <c r="E6" s="92"/>
      <c r="F6" s="52"/>
      <c r="G6" s="52"/>
      <c r="H6" s="53"/>
      <c r="I6" s="53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7"/>
      <c r="F7" s="54"/>
      <c r="G7" s="54"/>
      <c r="H7" s="55"/>
      <c r="I7" s="55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57"/>
      <c r="F8" s="54"/>
      <c r="G8" s="54"/>
      <c r="H8" s="55"/>
      <c r="I8" s="55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20" t="s">
        <v>5</v>
      </c>
      <c r="C10" s="12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30">
        <f>COUNT(entr_carn12[OS])</f>
        <v>0</v>
      </c>
      <c r="C18" s="31">
        <f>SUM(entr_carn12[Valor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6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2" zoomScale="80" zoomScaleNormal="80" workbookViewId="0">
      <selection activeCell="I11" sqref="I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45425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1800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1900</v>
      </c>
      <c r="D6" s="2"/>
      <c r="E6" s="18">
        <v>4235</v>
      </c>
      <c r="F6" s="25" t="s">
        <v>175</v>
      </c>
      <c r="G6" s="26" t="s">
        <v>8</v>
      </c>
      <c r="H6" s="8">
        <v>500</v>
      </c>
      <c r="I6" s="8">
        <v>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4235</v>
      </c>
      <c r="F7" s="25" t="s">
        <v>175</v>
      </c>
      <c r="G7" s="26" t="s">
        <v>7</v>
      </c>
      <c r="H7" s="8"/>
      <c r="I7" s="8">
        <v>200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20</v>
      </c>
      <c r="C8" s="29">
        <f>SUM(C6:C7)</f>
        <v>1900</v>
      </c>
      <c r="D8" s="2"/>
      <c r="E8" s="18">
        <v>4236</v>
      </c>
      <c r="F8" s="25" t="s">
        <v>176</v>
      </c>
      <c r="G8" s="26" t="s">
        <v>38</v>
      </c>
      <c r="H8" s="8"/>
      <c r="I8" s="8">
        <v>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4237</v>
      </c>
      <c r="F9" s="25" t="s">
        <v>177</v>
      </c>
      <c r="G9" s="26" t="s">
        <v>8</v>
      </c>
      <c r="H9" s="8">
        <v>500</v>
      </c>
      <c r="I9" s="8">
        <v>500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20" t="s">
        <v>5</v>
      </c>
      <c r="C10" s="120"/>
      <c r="D10" s="2"/>
      <c r="E10" s="18">
        <v>4238</v>
      </c>
      <c r="F10" s="25" t="s">
        <v>179</v>
      </c>
      <c r="G10" s="26" t="s">
        <v>9</v>
      </c>
      <c r="H10" s="8">
        <v>550</v>
      </c>
      <c r="I10" s="8">
        <v>50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4239</v>
      </c>
      <c r="F11" s="25" t="s">
        <v>180</v>
      </c>
      <c r="G11" s="26" t="s">
        <v>7</v>
      </c>
      <c r="H11" s="8">
        <v>250</v>
      </c>
      <c r="I11" s="8">
        <v>100</v>
      </c>
      <c r="J11" s="2"/>
      <c r="K11" s="27"/>
      <c r="L11" s="9"/>
      <c r="M11" s="16"/>
      <c r="O11" s="1">
        <f>IF(C15=0,0,1)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1550</v>
      </c>
      <c r="D13" s="2"/>
      <c r="E13" s="18"/>
      <c r="F13" s="25"/>
      <c r="G13" s="26"/>
      <c r="H13" s="8"/>
      <c r="I13" s="8"/>
      <c r="J13" s="2"/>
      <c r="K13" s="122" t="s">
        <v>21</v>
      </c>
      <c r="L13" s="123"/>
      <c r="M13" s="124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50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75" x14ac:dyDescent="0.25">
      <c r="B15" s="28" t="s">
        <v>10</v>
      </c>
      <c r="C15" s="32">
        <f>SUM(C11:C14)</f>
        <v>1900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120" t="s">
        <v>11</v>
      </c>
      <c r="C17" s="12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30">
        <f>COUNT(entr_carn13[OS])</f>
        <v>0</v>
      </c>
      <c r="C18" s="31">
        <f>SUM(entr_carn13[Valor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8" t="s">
        <v>25</v>
      </c>
      <c r="C21" s="32">
        <f>C5</f>
        <v>1800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4201</v>
      </c>
      <c r="F26" s="25" t="s">
        <v>178</v>
      </c>
      <c r="G26" s="26" t="s">
        <v>8</v>
      </c>
      <c r="H26" s="8"/>
      <c r="I26" s="8">
        <v>1000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6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M36" sqref="M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45426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585</v>
      </c>
      <c r="D6" s="2"/>
      <c r="E6" s="94"/>
      <c r="F6" s="94"/>
      <c r="G6" s="102"/>
      <c r="H6" s="103"/>
      <c r="I6" s="103"/>
      <c r="J6" s="2"/>
      <c r="K6" s="105"/>
      <c r="L6" s="95"/>
      <c r="M6" s="9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2"/>
      <c r="H7" s="103"/>
      <c r="I7" s="103"/>
      <c r="J7" s="2"/>
      <c r="K7" s="105"/>
      <c r="L7" s="95"/>
      <c r="M7" s="96"/>
      <c r="R7" s="1">
        <f>IF(vend14[[#This Row],[Nº Venda]]&gt;1,1,0)</f>
        <v>0</v>
      </c>
    </row>
    <row r="8" spans="2:18" ht="15.75" x14ac:dyDescent="0.25">
      <c r="B8" s="28" t="s">
        <v>20</v>
      </c>
      <c r="C8" s="29">
        <f>SUM(C6:C7)</f>
        <v>585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IF(vend14[[#This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485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507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75" x14ac:dyDescent="0.25">
      <c r="B15" s="28" t="s">
        <v>10</v>
      </c>
      <c r="C15" s="32">
        <f>SUM(C11:C14)</f>
        <v>992</v>
      </c>
      <c r="D15" s="2"/>
      <c r="E15" s="94"/>
      <c r="F15" s="94"/>
      <c r="G15" s="104"/>
      <c r="H15" s="103"/>
      <c r="I15" s="103"/>
      <c r="J15" s="2"/>
      <c r="K15" s="105">
        <v>4165</v>
      </c>
      <c r="L15" s="95" t="s">
        <v>139</v>
      </c>
      <c r="M15" s="96" t="s">
        <v>140</v>
      </c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4209</v>
      </c>
      <c r="L16" s="95" t="s">
        <v>139</v>
      </c>
      <c r="M16" s="96" t="s">
        <v>140</v>
      </c>
      <c r="R16" s="1">
        <f>IF(vend14[[#This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>
        <v>4225</v>
      </c>
      <c r="L17" s="95" t="s">
        <v>139</v>
      </c>
      <c r="M17" s="96" t="s">
        <v>140</v>
      </c>
      <c r="R17" s="1">
        <f>IF(vend14[[#This Row],[Nº Venda]]&gt;1,1,0)</f>
        <v>0</v>
      </c>
    </row>
    <row r="18" spans="2:18" ht="15.75" x14ac:dyDescent="0.25">
      <c r="B18" s="30">
        <f>COUNT(entr_carn14[OS])</f>
        <v>2</v>
      </c>
      <c r="C18" s="31">
        <f>SUM(entr_carn14[Valor Total])</f>
        <v>1449</v>
      </c>
      <c r="D18" s="2"/>
      <c r="E18" s="94"/>
      <c r="F18" s="94"/>
      <c r="G18" s="104"/>
      <c r="H18" s="103"/>
      <c r="I18" s="103"/>
      <c r="J18" s="2"/>
      <c r="K18" s="105">
        <v>4166</v>
      </c>
      <c r="L18" s="95" t="s">
        <v>139</v>
      </c>
      <c r="M18" s="96" t="s">
        <v>135</v>
      </c>
      <c r="R18" s="1">
        <f>IF(vend14[[#This Row],[Nº Venda]]&gt;1,1,0)</f>
        <v>0</v>
      </c>
    </row>
    <row r="19" spans="2:18" ht="15.75" x14ac:dyDescent="0.25">
      <c r="B19" s="28" t="s">
        <v>10</v>
      </c>
      <c r="C19" s="32">
        <f>SUM(C18:C18)</f>
        <v>1449</v>
      </c>
      <c r="D19" s="2"/>
      <c r="E19" s="94"/>
      <c r="F19" s="94"/>
      <c r="G19" s="104"/>
      <c r="H19" s="103"/>
      <c r="I19" s="103"/>
      <c r="J19" s="2"/>
      <c r="K19" s="105">
        <v>4158</v>
      </c>
      <c r="L19" s="95" t="s">
        <v>139</v>
      </c>
      <c r="M19" s="96" t="s">
        <v>135</v>
      </c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IF(vend14[[#This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4204</v>
      </c>
      <c r="F26" s="94" t="s">
        <v>181</v>
      </c>
      <c r="G26" s="104" t="s">
        <v>9</v>
      </c>
      <c r="H26" s="103"/>
      <c r="I26" s="103">
        <v>100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4211</v>
      </c>
      <c r="F27" s="94" t="s">
        <v>182</v>
      </c>
      <c r="G27" s="104" t="s">
        <v>8</v>
      </c>
      <c r="H27" s="103"/>
      <c r="I27" s="103">
        <v>485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4080</v>
      </c>
      <c r="F35" s="94" t="s">
        <v>183</v>
      </c>
      <c r="G35" s="104" t="s">
        <v>9</v>
      </c>
      <c r="H35" s="103">
        <v>112</v>
      </c>
      <c r="I35" s="103" t="s">
        <v>52</v>
      </c>
      <c r="K35" s="105">
        <v>4166</v>
      </c>
      <c r="L35" s="108">
        <v>5</v>
      </c>
      <c r="M35" s="96">
        <v>649</v>
      </c>
    </row>
    <row r="36" spans="5:18" ht="15.75" x14ac:dyDescent="0.25">
      <c r="E36" s="94">
        <v>4081</v>
      </c>
      <c r="F36" s="94" t="s">
        <v>183</v>
      </c>
      <c r="G36" s="104" t="s">
        <v>9</v>
      </c>
      <c r="H36" s="103">
        <v>112</v>
      </c>
      <c r="I36" s="103" t="s">
        <v>52</v>
      </c>
      <c r="K36" s="105">
        <v>4158</v>
      </c>
      <c r="L36" s="108">
        <v>5</v>
      </c>
      <c r="M36" s="96">
        <v>800</v>
      </c>
    </row>
    <row r="37" spans="5:18" ht="15.75" x14ac:dyDescent="0.25">
      <c r="E37" s="94">
        <v>4057</v>
      </c>
      <c r="F37" s="94" t="s">
        <v>184</v>
      </c>
      <c r="G37" s="104" t="s">
        <v>9</v>
      </c>
      <c r="H37" s="103">
        <v>183</v>
      </c>
      <c r="I37" s="103" t="s">
        <v>43</v>
      </c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'14'!B1+1</f>
        <v>45427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7350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4765</v>
      </c>
      <c r="D6" s="2"/>
      <c r="E6" s="94">
        <v>4240</v>
      </c>
      <c r="F6" s="94" t="s">
        <v>185</v>
      </c>
      <c r="G6" s="102" t="s">
        <v>8</v>
      </c>
      <c r="H6" s="103">
        <v>1000</v>
      </c>
      <c r="I6" s="103">
        <v>1000</v>
      </c>
      <c r="J6" s="2"/>
      <c r="K6" s="105"/>
      <c r="L6" s="95"/>
      <c r="M6" s="9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4241</v>
      </c>
      <c r="F7" s="94" t="s">
        <v>186</v>
      </c>
      <c r="G7" s="102" t="s">
        <v>7</v>
      </c>
      <c r="H7" s="103">
        <v>1590</v>
      </c>
      <c r="I7" s="103">
        <v>150</v>
      </c>
      <c r="J7" s="2"/>
      <c r="K7" s="105"/>
      <c r="L7" s="95"/>
      <c r="M7" s="96"/>
      <c r="R7" s="1">
        <f>IF(vend15[[#This Row],[Nº Venda]]&gt;1,1,0)</f>
        <v>1</v>
      </c>
    </row>
    <row r="8" spans="2:18" ht="15.75" x14ac:dyDescent="0.25">
      <c r="B8" s="28" t="s">
        <v>20</v>
      </c>
      <c r="C8" s="29">
        <f>SUM(C6:C7)</f>
        <v>4765</v>
      </c>
      <c r="D8" s="2"/>
      <c r="E8" s="94">
        <v>4242</v>
      </c>
      <c r="F8" s="94" t="s">
        <v>186</v>
      </c>
      <c r="G8" s="104" t="s">
        <v>7</v>
      </c>
      <c r="H8" s="103">
        <v>730</v>
      </c>
      <c r="I8" s="103">
        <v>150</v>
      </c>
      <c r="J8" s="2"/>
      <c r="K8" s="105"/>
      <c r="L8" s="95"/>
      <c r="M8" s="9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94">
        <v>4243</v>
      </c>
      <c r="F9" s="94" t="s">
        <v>195</v>
      </c>
      <c r="G9" s="104" t="s">
        <v>38</v>
      </c>
      <c r="H9" s="103">
        <v>0</v>
      </c>
      <c r="I9" s="103">
        <v>0</v>
      </c>
      <c r="J9" s="2"/>
      <c r="K9" s="105"/>
      <c r="L9" s="95"/>
      <c r="M9" s="96"/>
      <c r="R9" s="1">
        <f>IF(vend15[[#This Row],[Nº Venda]]&gt;1,1,0)</f>
        <v>1</v>
      </c>
    </row>
    <row r="10" spans="2:18" ht="15.75" x14ac:dyDescent="0.25">
      <c r="B10" s="120" t="s">
        <v>5</v>
      </c>
      <c r="C10" s="120"/>
      <c r="D10" s="2"/>
      <c r="E10" s="94">
        <v>4244</v>
      </c>
      <c r="F10" s="94" t="s">
        <v>187</v>
      </c>
      <c r="G10" s="104" t="s">
        <v>48</v>
      </c>
      <c r="H10" s="103">
        <v>35</v>
      </c>
      <c r="I10" s="103">
        <v>0</v>
      </c>
      <c r="J10" s="2"/>
      <c r="K10" s="105"/>
      <c r="L10" s="95"/>
      <c r="M10" s="9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185</v>
      </c>
      <c r="D11" s="2"/>
      <c r="E11" s="94">
        <v>4245</v>
      </c>
      <c r="F11" s="94" t="s">
        <v>188</v>
      </c>
      <c r="G11" s="104" t="s">
        <v>8</v>
      </c>
      <c r="H11" s="103">
        <v>800</v>
      </c>
      <c r="I11" s="103">
        <v>500</v>
      </c>
      <c r="J11" s="2"/>
      <c r="K11" s="106"/>
      <c r="L11" s="95"/>
      <c r="M11" s="96"/>
      <c r="O11" s="1">
        <f>IF(C15=0,0,1)</f>
        <v>1</v>
      </c>
      <c r="R11" s="1">
        <f>IF(vend15[[#This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300</v>
      </c>
      <c r="D12" s="2"/>
      <c r="E12" s="94">
        <v>4246</v>
      </c>
      <c r="F12" s="94" t="s">
        <v>188</v>
      </c>
      <c r="G12" s="104" t="s">
        <v>8</v>
      </c>
      <c r="H12" s="103">
        <v>1200</v>
      </c>
      <c r="I12" s="103">
        <v>1200</v>
      </c>
      <c r="J12" s="2"/>
      <c r="R12" s="1">
        <f>IF(vend15[[#This Row],[Nº Venda]]&gt;1,1,0)</f>
        <v>1</v>
      </c>
    </row>
    <row r="13" spans="2:18" ht="15.75" x14ac:dyDescent="0.25">
      <c r="B13" s="30" t="s">
        <v>8</v>
      </c>
      <c r="C13" s="31">
        <f t="shared" si="0"/>
        <v>4280</v>
      </c>
      <c r="D13" s="2"/>
      <c r="E13" s="94">
        <v>4247</v>
      </c>
      <c r="F13" s="94" t="s">
        <v>189</v>
      </c>
      <c r="G13" s="104" t="s">
        <v>8</v>
      </c>
      <c r="H13" s="103">
        <v>1180</v>
      </c>
      <c r="I13" s="103">
        <v>1180</v>
      </c>
      <c r="J13" s="2"/>
      <c r="K13" s="122" t="s">
        <v>21</v>
      </c>
      <c r="L13" s="123"/>
      <c r="M13" s="124"/>
      <c r="R13" s="1">
        <f>IF(vend15[[#This Row],[Nº Venda]]&gt;1,1,0)</f>
        <v>1</v>
      </c>
    </row>
    <row r="14" spans="2:18" ht="15.75" x14ac:dyDescent="0.25">
      <c r="B14" s="30" t="s">
        <v>9</v>
      </c>
      <c r="C14" s="31">
        <f t="shared" si="0"/>
        <v>334</v>
      </c>
      <c r="D14" s="2"/>
      <c r="E14" s="94">
        <v>4248</v>
      </c>
      <c r="F14" s="94" t="s">
        <v>189</v>
      </c>
      <c r="G14" s="104" t="s">
        <v>8</v>
      </c>
      <c r="H14" s="103">
        <v>100</v>
      </c>
      <c r="I14" s="103">
        <v>100</v>
      </c>
      <c r="J14" s="2"/>
      <c r="K14" s="14" t="s">
        <v>22</v>
      </c>
      <c r="L14" s="6" t="s">
        <v>23</v>
      </c>
      <c r="M14" s="15" t="s">
        <v>24</v>
      </c>
      <c r="R14" s="1">
        <f>IF(vend15[[#This Row],[Nº Venda]]&gt;1,1,0)</f>
        <v>1</v>
      </c>
    </row>
    <row r="15" spans="2:18" ht="15.75" x14ac:dyDescent="0.25">
      <c r="B15" s="28" t="s">
        <v>10</v>
      </c>
      <c r="C15" s="32">
        <f>SUM(C11:C14)</f>
        <v>5099</v>
      </c>
      <c r="D15" s="2"/>
      <c r="E15" s="94">
        <v>4249</v>
      </c>
      <c r="F15" s="94" t="s">
        <v>190</v>
      </c>
      <c r="G15" s="104" t="s">
        <v>6</v>
      </c>
      <c r="H15" s="103">
        <v>450</v>
      </c>
      <c r="I15" s="103">
        <v>10</v>
      </c>
      <c r="J15" s="2"/>
      <c r="K15" s="105"/>
      <c r="L15" s="95"/>
      <c r="M15" s="96"/>
      <c r="R15" s="1">
        <f>IF(vend15[[#This Row],[Nº Venda]]&gt;1,1,0)</f>
        <v>1</v>
      </c>
    </row>
    <row r="16" spans="2:18" ht="15.75" x14ac:dyDescent="0.25">
      <c r="B16" s="2"/>
      <c r="C16" s="2"/>
      <c r="D16" s="2"/>
      <c r="E16" s="94">
        <v>4250</v>
      </c>
      <c r="F16" s="94" t="s">
        <v>191</v>
      </c>
      <c r="G16" s="104" t="s">
        <v>8</v>
      </c>
      <c r="H16" s="103">
        <v>300</v>
      </c>
      <c r="I16" s="103">
        <v>300</v>
      </c>
      <c r="J16" s="2"/>
      <c r="K16" s="105"/>
      <c r="L16" s="95"/>
      <c r="M16" s="96"/>
      <c r="R16" s="1">
        <f>IF(vend15[[#This Row],[Nº Venda]]&gt;1,1,0)</f>
        <v>1</v>
      </c>
    </row>
    <row r="17" spans="2:18" ht="15.75" x14ac:dyDescent="0.25">
      <c r="B17" s="120" t="s">
        <v>11</v>
      </c>
      <c r="C17" s="120"/>
      <c r="D17" s="2"/>
      <c r="E17" s="94">
        <v>4251</v>
      </c>
      <c r="F17" s="94" t="s">
        <v>192</v>
      </c>
      <c r="G17" s="104" t="s">
        <v>48</v>
      </c>
      <c r="H17" s="103"/>
      <c r="I17" s="103"/>
      <c r="J17" s="2"/>
      <c r="K17" s="105"/>
      <c r="L17" s="95"/>
      <c r="M17" s="96"/>
      <c r="R17" s="1">
        <f>IF(vend15[[#This Row],[Nº Venda]]&gt;1,1,0)</f>
        <v>1</v>
      </c>
    </row>
    <row r="18" spans="2:18" ht="15.75" x14ac:dyDescent="0.25">
      <c r="B18" s="30">
        <f>COUNT(entr_carn15[OS])</f>
        <v>0</v>
      </c>
      <c r="C18" s="31">
        <f>SUM(entr_carn15[Valor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IF(vend15[[#This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IF(vend15[[#This Row],[Nº Venda]]&gt;1,1,0)</f>
        <v>0</v>
      </c>
    </row>
    <row r="21" spans="2:18" ht="15.75" x14ac:dyDescent="0.25">
      <c r="B21" s="28" t="s">
        <v>25</v>
      </c>
      <c r="C21" s="32">
        <f>C5</f>
        <v>7350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4157</v>
      </c>
      <c r="F26" s="94" t="s">
        <v>193</v>
      </c>
      <c r="G26" s="102" t="s">
        <v>6</v>
      </c>
      <c r="H26" s="103"/>
      <c r="I26" s="103">
        <v>175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4013</v>
      </c>
      <c r="F35" s="94" t="s">
        <v>194</v>
      </c>
      <c r="G35" s="104" t="s">
        <v>9</v>
      </c>
      <c r="H35" s="103">
        <v>334</v>
      </c>
      <c r="I35" s="103" t="s">
        <v>47</v>
      </c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45429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1250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850</v>
      </c>
      <c r="D6" s="2"/>
      <c r="E6" s="94">
        <v>4252</v>
      </c>
      <c r="F6" s="94" t="s">
        <v>199</v>
      </c>
      <c r="G6" s="104" t="s">
        <v>9</v>
      </c>
      <c r="H6" s="103">
        <v>1250</v>
      </c>
      <c r="I6" s="103">
        <v>50</v>
      </c>
      <c r="J6" s="2"/>
      <c r="K6" s="105"/>
      <c r="L6" s="95"/>
      <c r="M6" s="9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4253</v>
      </c>
      <c r="F7" s="94" t="s">
        <v>199</v>
      </c>
      <c r="G7" s="104" t="s">
        <v>48</v>
      </c>
      <c r="H7" s="103">
        <v>0</v>
      </c>
      <c r="I7" s="103">
        <v>0</v>
      </c>
      <c r="J7" s="2"/>
      <c r="K7" s="105"/>
      <c r="L7" s="95"/>
      <c r="M7" s="96"/>
      <c r="R7" s="1">
        <f>IF(vend17[[#This Row],[Nº Venda]]&gt;1,1,0)</f>
        <v>1</v>
      </c>
    </row>
    <row r="8" spans="2:18" ht="15.75" x14ac:dyDescent="0.25">
      <c r="B8" s="28" t="s">
        <v>20</v>
      </c>
      <c r="C8" s="29">
        <f>SUM(C6:C7)</f>
        <v>850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IF(vend17[[#This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150</v>
      </c>
      <c r="D12" s="2"/>
      <c r="E12" s="94"/>
      <c r="F12" s="94"/>
      <c r="G12" s="104"/>
      <c r="H12" s="103"/>
      <c r="I12" s="103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650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50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IF(vend17[[#This Row],[Nº Venda]]&gt;1,1,0)</f>
        <v>0</v>
      </c>
    </row>
    <row r="15" spans="2:18" ht="15.75" x14ac:dyDescent="0.25">
      <c r="B15" s="28" t="s">
        <v>10</v>
      </c>
      <c r="C15" s="32">
        <f>SUM(C11:C14)</f>
        <v>850</v>
      </c>
      <c r="D15" s="2"/>
      <c r="E15" s="94"/>
      <c r="F15" s="94"/>
      <c r="G15" s="104"/>
      <c r="H15" s="103"/>
      <c r="I15" s="103"/>
      <c r="J15" s="2"/>
      <c r="K15" s="105">
        <v>4217</v>
      </c>
      <c r="L15" s="95" t="s">
        <v>139</v>
      </c>
      <c r="M15" s="96" t="s">
        <v>140</v>
      </c>
      <c r="R15" s="1">
        <f>IF(vend17[[#This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4183</v>
      </c>
      <c r="L16" s="95" t="s">
        <v>139</v>
      </c>
      <c r="M16" s="96" t="s">
        <v>135</v>
      </c>
      <c r="R16" s="1">
        <f>IF(vend17[[#This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>
        <v>4184</v>
      </c>
      <c r="L17" s="95" t="s">
        <v>139</v>
      </c>
      <c r="M17" s="96" t="s">
        <v>135</v>
      </c>
      <c r="R17" s="1">
        <f>IF(vend17[[#This Row],[Nº Venda]]&gt;1,1,0)</f>
        <v>0</v>
      </c>
    </row>
    <row r="18" spans="2:18" ht="15.75" x14ac:dyDescent="0.25">
      <c r="B18" s="30">
        <f>COUNT(entr_carn17[OS])</f>
        <v>2</v>
      </c>
      <c r="C18" s="31">
        <f>SUM(entr_carn17[Valor Total])</f>
        <v>600</v>
      </c>
      <c r="D18" s="2"/>
      <c r="E18" s="94"/>
      <c r="F18" s="94"/>
      <c r="G18" s="104"/>
      <c r="H18" s="103"/>
      <c r="I18" s="103"/>
      <c r="J18" s="2"/>
      <c r="K18" s="105">
        <v>4236</v>
      </c>
      <c r="L18" s="95" t="s">
        <v>139</v>
      </c>
      <c r="M18" s="96" t="s">
        <v>140</v>
      </c>
      <c r="R18" s="1">
        <f>IF(vend17[[#This Row],[Nº Venda]]&gt;1,1,0)</f>
        <v>0</v>
      </c>
    </row>
    <row r="19" spans="2:18" ht="15.75" x14ac:dyDescent="0.25">
      <c r="B19" s="28" t="s">
        <v>10</v>
      </c>
      <c r="C19" s="32">
        <f>SUM(C18:C18)</f>
        <v>600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IF(vend17[[#This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IF(vend17[[#This Row],[Nº Venda]]&gt;1,1,0)</f>
        <v>0</v>
      </c>
    </row>
    <row r="21" spans="2:18" ht="15.75" x14ac:dyDescent="0.25">
      <c r="B21" s="28" t="s">
        <v>25</v>
      </c>
      <c r="C21" s="32">
        <f>C5</f>
        <v>1250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4217</v>
      </c>
      <c r="F26" s="94" t="s">
        <v>198</v>
      </c>
      <c r="G26" s="104" t="s">
        <v>8</v>
      </c>
      <c r="H26" s="103"/>
      <c r="I26" s="103">
        <v>650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119">
        <v>4183</v>
      </c>
      <c r="F27" s="94" t="s">
        <v>205</v>
      </c>
      <c r="G27" s="104" t="s">
        <v>7</v>
      </c>
      <c r="H27" s="103"/>
      <c r="I27" s="103">
        <v>75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4184</v>
      </c>
      <c r="F28" s="94" t="s">
        <v>206</v>
      </c>
      <c r="G28" s="104" t="s">
        <v>7</v>
      </c>
      <c r="H28" s="103"/>
      <c r="I28" s="103">
        <v>75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>
        <v>4183</v>
      </c>
      <c r="L35" s="108">
        <v>5</v>
      </c>
      <c r="M35" s="96">
        <v>300</v>
      </c>
    </row>
    <row r="36" spans="5:18" ht="15.75" x14ac:dyDescent="0.25">
      <c r="E36" s="94"/>
      <c r="F36" s="94"/>
      <c r="G36" s="104"/>
      <c r="H36" s="103"/>
      <c r="I36" s="103"/>
      <c r="K36" s="105">
        <v>4184</v>
      </c>
      <c r="L36" s="108">
        <v>5</v>
      </c>
      <c r="M36" s="96">
        <v>300</v>
      </c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5" zoomScaleNormal="95" workbookViewId="0">
      <selection activeCell="G12" sqref="G1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'15'!B1+1</f>
        <v>45428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40</v>
      </c>
      <c r="D6" s="2"/>
      <c r="E6" s="94"/>
      <c r="F6" s="94"/>
      <c r="G6" s="102"/>
      <c r="H6" s="103"/>
      <c r="I6" s="103"/>
      <c r="J6" s="2"/>
      <c r="K6" s="105"/>
      <c r="L6" s="95"/>
      <c r="M6" s="9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2"/>
      <c r="H7" s="103"/>
      <c r="I7" s="103"/>
      <c r="J7" s="2"/>
      <c r="K7" s="105"/>
      <c r="L7" s="95"/>
      <c r="M7" s="96"/>
      <c r="R7" s="1">
        <f>IF(vend16[[#This Row],[Nº Venda]]&gt;1,1,0)</f>
        <v>0</v>
      </c>
    </row>
    <row r="8" spans="2:18" ht="15.75" x14ac:dyDescent="0.25">
      <c r="B8" s="28" t="s">
        <v>20</v>
      </c>
      <c r="C8" s="29">
        <f>SUM(C6:C7)</f>
        <v>40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IF(vend16[[#This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40</v>
      </c>
      <c r="D12" s="2"/>
      <c r="E12" s="94"/>
      <c r="F12" s="94"/>
      <c r="G12" s="104"/>
      <c r="H12" s="103"/>
      <c r="I12" s="103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IF(vend16[[#This Row],[Nº Venda]]&gt;1,1,0)</f>
        <v>0</v>
      </c>
    </row>
    <row r="15" spans="2:18" ht="15.75" x14ac:dyDescent="0.25">
      <c r="B15" s="28" t="s">
        <v>10</v>
      </c>
      <c r="C15" s="32">
        <f>SUM(C11:C14)</f>
        <v>240</v>
      </c>
      <c r="D15" s="2"/>
      <c r="E15" s="94"/>
      <c r="F15" s="94"/>
      <c r="G15" s="104"/>
      <c r="H15" s="103"/>
      <c r="I15" s="103"/>
      <c r="J15" s="2"/>
      <c r="K15" s="105">
        <v>4222</v>
      </c>
      <c r="L15" s="95" t="s">
        <v>139</v>
      </c>
      <c r="M15" s="96" t="s">
        <v>140</v>
      </c>
      <c r="R15" s="1">
        <f>IF(vend16[[#This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4218</v>
      </c>
      <c r="L16" s="95" t="s">
        <v>139</v>
      </c>
      <c r="M16" s="96" t="s">
        <v>140</v>
      </c>
      <c r="R16" s="1">
        <f>IF(vend16[[#This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IF(vend16[[#This Row],[Nº Venda]]&gt;1,1,0)</f>
        <v>0</v>
      </c>
    </row>
    <row r="18" spans="2:18" ht="15.75" x14ac:dyDescent="0.25">
      <c r="B18" s="30">
        <f>COUNT(entr_carn16[OS])</f>
        <v>0</v>
      </c>
      <c r="C18" s="31">
        <f>SUM(entr_carn16[Valor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IF(vend16[[#This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IF(vend16[[#This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4218</v>
      </c>
      <c r="F26" s="94" t="s">
        <v>196</v>
      </c>
      <c r="G26" s="102" t="s">
        <v>7</v>
      </c>
      <c r="H26" s="103"/>
      <c r="I26" s="103">
        <v>40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4125</v>
      </c>
      <c r="F35" s="94" t="s">
        <v>197</v>
      </c>
      <c r="G35" s="104" t="s">
        <v>9</v>
      </c>
      <c r="H35" s="103">
        <v>200</v>
      </c>
      <c r="I35" s="103" t="s">
        <v>37</v>
      </c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'17'!B1+1</f>
        <v>45430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3500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1299.99</v>
      </c>
      <c r="D6" s="2"/>
      <c r="E6" s="112">
        <v>4254</v>
      </c>
      <c r="F6" s="112" t="s">
        <v>204</v>
      </c>
      <c r="G6" s="113" t="s">
        <v>9</v>
      </c>
      <c r="H6" s="114">
        <v>1400</v>
      </c>
      <c r="I6" s="114">
        <v>150</v>
      </c>
      <c r="J6" s="2"/>
      <c r="K6" s="105"/>
      <c r="L6" s="107"/>
      <c r="M6" s="9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4255</v>
      </c>
      <c r="F7" s="94" t="s">
        <v>203</v>
      </c>
      <c r="G7" s="104" t="s">
        <v>9</v>
      </c>
      <c r="H7" s="103">
        <v>1250</v>
      </c>
      <c r="I7" s="103">
        <v>100</v>
      </c>
      <c r="J7" s="2"/>
      <c r="K7" s="105"/>
      <c r="L7" s="95"/>
      <c r="M7" s="96"/>
      <c r="R7" s="1">
        <f>IF(vend18[[#This Row],[Nº Venda]]&gt;1,1,0)</f>
        <v>1</v>
      </c>
    </row>
    <row r="8" spans="2:18" ht="15.75" x14ac:dyDescent="0.25">
      <c r="B8" s="28" t="s">
        <v>20</v>
      </c>
      <c r="C8" s="29">
        <f>SUM(C6:C7)</f>
        <v>1299.99</v>
      </c>
      <c r="D8" s="2"/>
      <c r="E8" s="94">
        <v>4256</v>
      </c>
      <c r="F8" s="94" t="s">
        <v>203</v>
      </c>
      <c r="G8" s="104" t="s">
        <v>9</v>
      </c>
      <c r="H8" s="103">
        <v>850</v>
      </c>
      <c r="I8" s="103">
        <v>49.99</v>
      </c>
      <c r="J8" s="2"/>
      <c r="K8" s="105"/>
      <c r="L8" s="95"/>
      <c r="M8" s="9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IF(vend18[[#This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125</v>
      </c>
      <c r="D12" s="2"/>
      <c r="E12" s="94"/>
      <c r="F12" s="94"/>
      <c r="G12" s="104"/>
      <c r="H12" s="103"/>
      <c r="I12" s="103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1000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299.99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IF(vend18[[#This Row],[Nº Venda]]&gt;1,1,0)</f>
        <v>0</v>
      </c>
    </row>
    <row r="15" spans="2:18" ht="15.75" x14ac:dyDescent="0.25">
      <c r="B15" s="28" t="s">
        <v>10</v>
      </c>
      <c r="C15" s="32">
        <f>SUM(C11:C14)</f>
        <v>1424.99</v>
      </c>
      <c r="D15" s="2"/>
      <c r="E15" s="94"/>
      <c r="F15" s="94"/>
      <c r="G15" s="104"/>
      <c r="H15" s="103"/>
      <c r="I15" s="103"/>
      <c r="J15" s="2"/>
      <c r="K15" s="105">
        <v>4216</v>
      </c>
      <c r="L15" s="95" t="s">
        <v>139</v>
      </c>
      <c r="M15" s="96" t="s">
        <v>135</v>
      </c>
      <c r="R15" s="1">
        <f>IF(vend18[[#This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4224</v>
      </c>
      <c r="L16" s="95" t="s">
        <v>202</v>
      </c>
      <c r="M16" s="96" t="s">
        <v>140</v>
      </c>
      <c r="R16" s="1">
        <f>IF(vend18[[#This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>
        <v>4215</v>
      </c>
      <c r="L17" s="95" t="s">
        <v>139</v>
      </c>
      <c r="M17" s="96" t="s">
        <v>140</v>
      </c>
      <c r="R17" s="1">
        <f>IF(vend18[[#This Row],[Nº Venda]]&gt;1,1,0)</f>
        <v>0</v>
      </c>
    </row>
    <row r="18" spans="2:18" ht="15.75" x14ac:dyDescent="0.25">
      <c r="B18" s="30">
        <f>COUNT(entr_carn18[OS])</f>
        <v>1</v>
      </c>
      <c r="C18" s="31">
        <f>SUM(entr_carn18[Valor Total])</f>
        <v>649</v>
      </c>
      <c r="D18" s="2"/>
      <c r="E18" s="94"/>
      <c r="F18" s="94"/>
      <c r="G18" s="104"/>
      <c r="H18" s="103"/>
      <c r="I18" s="103"/>
      <c r="J18" s="2"/>
      <c r="K18" s="105">
        <v>4212</v>
      </c>
      <c r="L18" s="95" t="s">
        <v>139</v>
      </c>
      <c r="M18" s="96" t="s">
        <v>140</v>
      </c>
      <c r="R18" s="1">
        <f>IF(vend18[[#This Row],[Nº Venda]]&gt;1,1,0)</f>
        <v>0</v>
      </c>
    </row>
    <row r="19" spans="2:18" ht="15.75" x14ac:dyDescent="0.25">
      <c r="B19" s="28" t="s">
        <v>10</v>
      </c>
      <c r="C19" s="32">
        <f>SUM(C18:C18)</f>
        <v>649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IF(vend18[[#This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IF(vend18[[#This Row],[Nº Venda]]&gt;1,1,0)</f>
        <v>0</v>
      </c>
    </row>
    <row r="21" spans="2:18" ht="15.75" x14ac:dyDescent="0.25">
      <c r="B21" s="28" t="s">
        <v>25</v>
      </c>
      <c r="C21" s="32">
        <f>C5</f>
        <v>3500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67"/>
      <c r="F23" s="67"/>
      <c r="G23" s="67"/>
      <c r="H23" s="68"/>
      <c r="I23" s="68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4215</v>
      </c>
      <c r="F26" s="94" t="s">
        <v>201</v>
      </c>
      <c r="G26" s="104" t="s">
        <v>8</v>
      </c>
      <c r="H26" s="103"/>
      <c r="I26" s="103">
        <v>1000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4104</v>
      </c>
      <c r="F35" s="94" t="s">
        <v>200</v>
      </c>
      <c r="G35" s="104" t="s">
        <v>7</v>
      </c>
      <c r="H35" s="103">
        <v>125</v>
      </c>
      <c r="I35" s="103" t="s">
        <v>73</v>
      </c>
      <c r="K35" s="105">
        <v>4216</v>
      </c>
      <c r="L35" s="108">
        <v>3</v>
      </c>
      <c r="M35" s="96">
        <v>649</v>
      </c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3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B12" zoomScale="80" zoomScaleNormal="80" zoomScaleSheetLayoutView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'18'!B1+1</f>
        <v>45431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IF(vend19[[#This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12"/>
      <c r="F9" s="112"/>
      <c r="G9" s="113"/>
      <c r="H9" s="114"/>
      <c r="I9" s="114"/>
      <c r="J9" s="2"/>
      <c r="K9" s="105"/>
      <c r="L9" s="95"/>
      <c r="M9" s="96"/>
      <c r="R9" s="1">
        <f>IF(vend19[[#This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IF(vend19[[#This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IF(vend19[[#This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IF(vend19[[#This Row],[Nº Venda]]&gt;1,1,0)</f>
        <v>0</v>
      </c>
    </row>
    <row r="17" spans="2:22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IF(vend19[[#This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IF(vend19[[#This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IF(vend19[[#This Row],[Nº Venda]]&gt;1,1,0)</f>
        <v>0</v>
      </c>
      <c r="V20" s="1" t="s">
        <v>56</v>
      </c>
    </row>
    <row r="21" spans="2:22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/>
      <c r="F26" s="104"/>
      <c r="G26" s="104"/>
      <c r="H26" s="103"/>
      <c r="I26" s="103"/>
      <c r="J26" s="2"/>
      <c r="K26" s="105"/>
      <c r="L26" s="95"/>
      <c r="M26" s="96"/>
    </row>
    <row r="27" spans="2:22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75" x14ac:dyDescent="0.25">
      <c r="B29" s="2"/>
      <c r="C29" s="2"/>
      <c r="D29" s="2"/>
      <c r="E29" s="94"/>
      <c r="F29" s="94"/>
      <c r="G29" s="104"/>
      <c r="H29" s="104"/>
      <c r="I29" s="103"/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9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V30" sqref="V3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'19'!B1+1</f>
        <v>45432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205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IF(vend20[[#This Row],[Nº Venda]]&gt;1,1,0)</f>
        <v>0</v>
      </c>
    </row>
    <row r="8" spans="2:18" ht="15.75" x14ac:dyDescent="0.25">
      <c r="B8" s="28" t="s">
        <v>20</v>
      </c>
      <c r="C8" s="29">
        <f>SUM(C6:C7)</f>
        <v>205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IF(vend20[[#This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185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400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IF(vend20[[#This Row],[Nº Venda]]&gt;1,1,0)</f>
        <v>0</v>
      </c>
    </row>
    <row r="15" spans="2:18" ht="15.75" x14ac:dyDescent="0.25">
      <c r="B15" s="28" t="s">
        <v>10</v>
      </c>
      <c r="C15" s="32">
        <f>SUM(C11:C14)</f>
        <v>585</v>
      </c>
      <c r="D15" s="2"/>
      <c r="E15" s="94"/>
      <c r="F15" s="94"/>
      <c r="G15" s="104"/>
      <c r="H15" s="103"/>
      <c r="I15" s="103"/>
      <c r="J15" s="2"/>
      <c r="K15" s="105">
        <v>4244</v>
      </c>
      <c r="L15" s="95" t="s">
        <v>139</v>
      </c>
      <c r="M15" s="96" t="s">
        <v>140</v>
      </c>
      <c r="R15" s="1">
        <f>IF(vend20[[#This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4219</v>
      </c>
      <c r="L16" s="95" t="s">
        <v>139</v>
      </c>
      <c r="M16" s="96" t="s">
        <v>135</v>
      </c>
      <c r="R16" s="1">
        <f>IF(vend20[[#This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IF(vend20[[#This Row],[Nº Venda]]&gt;1,1,0)</f>
        <v>0</v>
      </c>
    </row>
    <row r="18" spans="2:18" ht="15.75" x14ac:dyDescent="0.25">
      <c r="B18" s="30">
        <f>COUNT(entr_carn20[OS])</f>
        <v>1</v>
      </c>
      <c r="C18" s="31">
        <f>SUM(entr_carn20[Valor Total])</f>
        <v>699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IF(vend20[[#This Row],[Nº Venda]]&gt;1,1,0)</f>
        <v>0</v>
      </c>
    </row>
    <row r="19" spans="2:18" ht="15.75" x14ac:dyDescent="0.25">
      <c r="B19" s="28" t="s">
        <v>10</v>
      </c>
      <c r="C19" s="32">
        <f>SUM(C18:C18)</f>
        <v>699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IF(vend20[[#This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IF(vend20[[#This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4125</v>
      </c>
      <c r="F26" s="94" t="s">
        <v>207</v>
      </c>
      <c r="G26" s="104" t="s">
        <v>9</v>
      </c>
      <c r="H26" s="103"/>
      <c r="I26" s="103">
        <v>50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4126</v>
      </c>
      <c r="F27" s="94" t="s">
        <v>207</v>
      </c>
      <c r="G27" s="104" t="s">
        <v>9</v>
      </c>
      <c r="H27" s="103"/>
      <c r="I27" s="103">
        <v>50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4244</v>
      </c>
      <c r="F28" s="94" t="s">
        <v>187</v>
      </c>
      <c r="G28" s="104" t="s">
        <v>6</v>
      </c>
      <c r="H28" s="103"/>
      <c r="I28" s="103">
        <v>35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>
        <v>4231</v>
      </c>
      <c r="F29" s="94" t="s">
        <v>210</v>
      </c>
      <c r="G29" s="104" t="s">
        <v>9</v>
      </c>
      <c r="H29" s="103"/>
      <c r="I29" s="103">
        <v>35</v>
      </c>
      <c r="J29" s="2"/>
      <c r="K29" s="105"/>
      <c r="L29" s="95"/>
      <c r="M29" s="96"/>
    </row>
    <row r="30" spans="2:18" ht="15.75" x14ac:dyDescent="0.25">
      <c r="B30" s="2"/>
      <c r="C30" s="2"/>
      <c r="D30" s="2"/>
      <c r="E30" s="94">
        <v>4234</v>
      </c>
      <c r="F30" s="104" t="s">
        <v>210</v>
      </c>
      <c r="G30" s="104" t="s">
        <v>9</v>
      </c>
      <c r="H30" s="103"/>
      <c r="I30" s="103">
        <v>35</v>
      </c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4091</v>
      </c>
      <c r="F35" s="94" t="s">
        <v>208</v>
      </c>
      <c r="G35" s="104" t="s">
        <v>9</v>
      </c>
      <c r="H35" s="103">
        <v>230</v>
      </c>
      <c r="I35" s="103" t="s">
        <v>51</v>
      </c>
      <c r="K35" s="105">
        <v>4219</v>
      </c>
      <c r="L35" s="108">
        <v>5</v>
      </c>
      <c r="M35" s="96">
        <v>699</v>
      </c>
    </row>
    <row r="36" spans="5:18" ht="15.75" x14ac:dyDescent="0.25">
      <c r="E36" s="94">
        <v>4161</v>
      </c>
      <c r="F36" s="94" t="s">
        <v>209</v>
      </c>
      <c r="G36" s="104" t="s">
        <v>6</v>
      </c>
      <c r="H36" s="103">
        <v>150</v>
      </c>
      <c r="I36" s="103" t="s">
        <v>46</v>
      </c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8" zoomScale="80" zoomScaleNormal="80" workbookViewId="0">
      <selection activeCell="G27" sqref="G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45433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1450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1150</v>
      </c>
      <c r="D6" s="2"/>
      <c r="E6" s="94">
        <v>4257</v>
      </c>
      <c r="F6" s="94" t="s">
        <v>212</v>
      </c>
      <c r="G6" s="104" t="s">
        <v>9</v>
      </c>
      <c r="H6" s="103">
        <v>450</v>
      </c>
      <c r="I6" s="103">
        <v>150</v>
      </c>
      <c r="J6" s="2"/>
      <c r="K6" s="105"/>
      <c r="L6" s="95"/>
      <c r="M6" s="9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4258</v>
      </c>
      <c r="F7" s="94" t="s">
        <v>213</v>
      </c>
      <c r="G7" s="104" t="s">
        <v>9</v>
      </c>
      <c r="H7" s="103">
        <v>850</v>
      </c>
      <c r="I7" s="103">
        <v>150</v>
      </c>
      <c r="J7" s="2"/>
      <c r="K7" s="105"/>
      <c r="L7" s="95"/>
      <c r="M7" s="96"/>
      <c r="R7" s="1">
        <f>IF(vend21[[#This Row],[Nº Venda]]&gt;1,1,0)</f>
        <v>1</v>
      </c>
    </row>
    <row r="8" spans="2:18" ht="15.75" x14ac:dyDescent="0.25">
      <c r="B8" s="28" t="s">
        <v>20</v>
      </c>
      <c r="C8" s="29">
        <f>SUM(C6:C7)</f>
        <v>1150</v>
      </c>
      <c r="D8" s="2"/>
      <c r="E8" s="94">
        <v>4259</v>
      </c>
      <c r="F8" s="94" t="s">
        <v>214</v>
      </c>
      <c r="G8" s="104" t="s">
        <v>38</v>
      </c>
      <c r="H8" s="103"/>
      <c r="I8" s="103"/>
      <c r="J8" s="2"/>
      <c r="K8" s="105"/>
      <c r="L8" s="95"/>
      <c r="M8" s="9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94">
        <v>4260</v>
      </c>
      <c r="F9" s="94" t="s">
        <v>215</v>
      </c>
      <c r="G9" s="104" t="s">
        <v>8</v>
      </c>
      <c r="H9" s="103">
        <v>150</v>
      </c>
      <c r="I9" s="103">
        <v>150</v>
      </c>
      <c r="J9" s="2"/>
      <c r="K9" s="105"/>
      <c r="L9" s="95"/>
      <c r="M9" s="96"/>
      <c r="R9" s="1">
        <f>IF(vend21[[#This Row],[Nº Venda]]&gt;1,1,0)</f>
        <v>1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850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544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IF(vend21[[#This Row],[Nº Venda]]&gt;1,1,0)</f>
        <v>0</v>
      </c>
    </row>
    <row r="15" spans="2:18" ht="15.75" x14ac:dyDescent="0.25">
      <c r="B15" s="28" t="s">
        <v>10</v>
      </c>
      <c r="C15" s="32">
        <f>SUM(C11:C14)</f>
        <v>1394</v>
      </c>
      <c r="D15" s="2"/>
      <c r="E15" s="94"/>
      <c r="F15" s="94"/>
      <c r="G15" s="104"/>
      <c r="H15" s="103"/>
      <c r="I15" s="103"/>
      <c r="J15" s="2"/>
      <c r="K15" s="105">
        <v>4228</v>
      </c>
      <c r="L15" s="95" t="s">
        <v>139</v>
      </c>
      <c r="M15" s="96" t="s">
        <v>140</v>
      </c>
      <c r="R15" s="1">
        <f>IF(vend21[[#This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4213</v>
      </c>
      <c r="L16" s="95" t="s">
        <v>139</v>
      </c>
      <c r="M16" s="96" t="s">
        <v>140</v>
      </c>
      <c r="R16" s="1">
        <f>IF(vend21[[#This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>
        <v>4221</v>
      </c>
      <c r="L17" s="95" t="s">
        <v>139</v>
      </c>
      <c r="M17" s="96" t="s">
        <v>140</v>
      </c>
      <c r="R17" s="1">
        <f>IF(vend21[[#This Row],[Nº Venda]]&gt;1,1,0)</f>
        <v>0</v>
      </c>
    </row>
    <row r="18" spans="2:18" ht="15.75" x14ac:dyDescent="0.25">
      <c r="B18" s="30">
        <f>COUNT(entr_carn21[OS])</f>
        <v>0</v>
      </c>
      <c r="C18" s="31">
        <f>SUM(entr_carn21[Valor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IF(vend21[[#This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IF(vend21[[#This Row],[Nº Venda]]&gt;1,1,0)</f>
        <v>0</v>
      </c>
    </row>
    <row r="21" spans="2:18" ht="15.75" x14ac:dyDescent="0.25">
      <c r="B21" s="28" t="s">
        <v>25</v>
      </c>
      <c r="C21" s="32">
        <f>C5</f>
        <v>1450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4221</v>
      </c>
      <c r="F26" s="94" t="s">
        <v>216</v>
      </c>
      <c r="G26" s="104" t="s">
        <v>8</v>
      </c>
      <c r="H26" s="103"/>
      <c r="I26" s="103">
        <v>700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4004</v>
      </c>
      <c r="F35" s="94" t="s">
        <v>211</v>
      </c>
      <c r="G35" s="104" t="s">
        <v>9</v>
      </c>
      <c r="H35" s="103">
        <v>64</v>
      </c>
      <c r="I35" s="103" t="s">
        <v>75</v>
      </c>
      <c r="K35" s="105"/>
      <c r="L35" s="108"/>
      <c r="M35" s="96"/>
    </row>
    <row r="36" spans="5:18" ht="15.75" x14ac:dyDescent="0.25">
      <c r="E36" s="94">
        <v>3971</v>
      </c>
      <c r="F36" s="94" t="s">
        <v>217</v>
      </c>
      <c r="G36" s="104" t="s">
        <v>9</v>
      </c>
      <c r="H36" s="103">
        <v>180</v>
      </c>
      <c r="I36" s="103" t="s">
        <v>75</v>
      </c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4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2" zoomScale="80" zoomScaleNormal="80" workbookViewId="0">
      <selection activeCell="H29" sqref="H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45434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1300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680</v>
      </c>
      <c r="D6" s="2"/>
      <c r="E6" s="94">
        <v>4261</v>
      </c>
      <c r="F6" s="94" t="s">
        <v>225</v>
      </c>
      <c r="G6" s="104" t="s">
        <v>38</v>
      </c>
      <c r="H6" s="103"/>
      <c r="I6" s="103"/>
      <c r="J6" s="2"/>
      <c r="K6" s="105"/>
      <c r="L6" s="95"/>
      <c r="M6" s="9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4262</v>
      </c>
      <c r="F7" s="94" t="s">
        <v>224</v>
      </c>
      <c r="G7" s="104" t="s">
        <v>8</v>
      </c>
      <c r="H7" s="103">
        <v>1300</v>
      </c>
      <c r="I7" s="103">
        <v>150</v>
      </c>
      <c r="J7" s="2"/>
      <c r="K7" s="105"/>
      <c r="L7" s="95"/>
      <c r="M7" s="96"/>
      <c r="R7" s="1">
        <f>IF(vend22[[#This Row],[Nº Venda]]&gt;1,1,0)</f>
        <v>1</v>
      </c>
    </row>
    <row r="8" spans="2:18" ht="15.75" x14ac:dyDescent="0.25">
      <c r="B8" s="28" t="s">
        <v>20</v>
      </c>
      <c r="C8" s="29">
        <f>SUM(C6:C7)</f>
        <v>680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IF(vend22[[#This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130</v>
      </c>
      <c r="D12" s="2"/>
      <c r="E12" s="94"/>
      <c r="F12" s="94"/>
      <c r="G12" s="104"/>
      <c r="H12" s="103"/>
      <c r="I12" s="103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350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480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IF(vend22[[#This Row],[Nº Venda]]&gt;1,1,0)</f>
        <v>0</v>
      </c>
    </row>
    <row r="15" spans="2:18" ht="15.75" x14ac:dyDescent="0.25">
      <c r="B15" s="28" t="s">
        <v>10</v>
      </c>
      <c r="C15" s="32">
        <f>SUM(C11:C14)</f>
        <v>960</v>
      </c>
      <c r="D15" s="2"/>
      <c r="E15" s="94"/>
      <c r="F15" s="94"/>
      <c r="G15" s="104"/>
      <c r="H15" s="103"/>
      <c r="I15" s="103"/>
      <c r="J15" s="2"/>
      <c r="K15" s="105">
        <v>4225</v>
      </c>
      <c r="L15" s="95" t="s">
        <v>139</v>
      </c>
      <c r="M15" s="96" t="s">
        <v>135</v>
      </c>
      <c r="R15" s="1">
        <f>IF(vend22[[#This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4226</v>
      </c>
      <c r="L16" s="95" t="s">
        <v>139</v>
      </c>
      <c r="M16" s="96" t="s">
        <v>135</v>
      </c>
      <c r="R16" s="1">
        <f>IF(vend22[[#This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>
        <v>4249</v>
      </c>
      <c r="L17" s="95" t="s">
        <v>223</v>
      </c>
      <c r="M17" s="96" t="s">
        <v>135</v>
      </c>
      <c r="R17" s="1">
        <f>IF(vend22[[#This Row],[Nº Venda]]&gt;1,1,0)</f>
        <v>0</v>
      </c>
    </row>
    <row r="18" spans="2:18" ht="15.75" x14ac:dyDescent="0.25">
      <c r="B18" s="30">
        <f>COUNT(entr_carn22[OS])</f>
        <v>3</v>
      </c>
      <c r="C18" s="31">
        <f>SUM(entr_carn22[Valor Total])</f>
        <v>1090</v>
      </c>
      <c r="D18" s="2"/>
      <c r="E18" s="94"/>
      <c r="F18" s="94"/>
      <c r="G18" s="104"/>
      <c r="H18" s="103"/>
      <c r="I18" s="103"/>
      <c r="J18" s="2"/>
      <c r="K18" s="105">
        <v>4269</v>
      </c>
      <c r="L18" s="95" t="s">
        <v>139</v>
      </c>
      <c r="M18" s="96" t="s">
        <v>140</v>
      </c>
      <c r="R18" s="1">
        <f>IF(vend22[[#This Row],[Nº Venda]]&gt;1,1,0)</f>
        <v>0</v>
      </c>
    </row>
    <row r="19" spans="2:18" ht="15.75" x14ac:dyDescent="0.25">
      <c r="B19" s="28" t="s">
        <v>10</v>
      </c>
      <c r="C19" s="32">
        <f>SUM(C18:C18)</f>
        <v>1090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IF(vend22[[#This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IF(vend22[[#This Row],[Nº Venda]]&gt;1,1,0)</f>
        <v>0</v>
      </c>
    </row>
    <row r="21" spans="2:18" ht="15.75" x14ac:dyDescent="0.25">
      <c r="B21" s="28" t="s">
        <v>25</v>
      </c>
      <c r="C21" s="32">
        <f>C5</f>
        <v>1300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4225</v>
      </c>
      <c r="F26" s="94" t="s">
        <v>220</v>
      </c>
      <c r="G26" s="104" t="s">
        <v>9</v>
      </c>
      <c r="H26" s="103"/>
      <c r="I26" s="103">
        <v>100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4226</v>
      </c>
      <c r="F27" s="94" t="s">
        <v>220</v>
      </c>
      <c r="G27" s="104" t="s">
        <v>9</v>
      </c>
      <c r="H27" s="103"/>
      <c r="I27" s="103">
        <v>100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4249</v>
      </c>
      <c r="F28" s="94" t="s">
        <v>221</v>
      </c>
      <c r="G28" s="104" t="s">
        <v>8</v>
      </c>
      <c r="H28" s="103"/>
      <c r="I28" s="103">
        <v>200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>
        <v>4169</v>
      </c>
      <c r="F29" s="94" t="s">
        <v>222</v>
      </c>
      <c r="G29" s="104" t="s">
        <v>7</v>
      </c>
      <c r="H29" s="103"/>
      <c r="I29" s="103">
        <v>130</v>
      </c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4169</v>
      </c>
      <c r="F35" s="94" t="s">
        <v>218</v>
      </c>
      <c r="G35" s="104" t="s">
        <v>9</v>
      </c>
      <c r="H35" s="103">
        <v>140</v>
      </c>
      <c r="I35" s="103" t="s">
        <v>37</v>
      </c>
      <c r="K35" s="105">
        <v>4225</v>
      </c>
      <c r="L35" s="108">
        <v>5</v>
      </c>
      <c r="M35" s="96">
        <v>425</v>
      </c>
    </row>
    <row r="36" spans="5:18" ht="15.75" x14ac:dyDescent="0.25">
      <c r="E36" s="94">
        <v>4084</v>
      </c>
      <c r="F36" s="94" t="s">
        <v>219</v>
      </c>
      <c r="G36" s="104" t="s">
        <v>9</v>
      </c>
      <c r="H36" s="103">
        <v>140</v>
      </c>
      <c r="I36" s="103" t="s">
        <v>37</v>
      </c>
      <c r="K36" s="105">
        <v>4226</v>
      </c>
      <c r="L36" s="108">
        <v>5</v>
      </c>
      <c r="M36" s="96">
        <v>425</v>
      </c>
    </row>
    <row r="37" spans="5:18" ht="15.75" x14ac:dyDescent="0.25">
      <c r="E37" s="94"/>
      <c r="F37" s="94"/>
      <c r="G37" s="104"/>
      <c r="H37" s="103"/>
      <c r="I37" s="103"/>
      <c r="K37" s="105">
        <v>4249</v>
      </c>
      <c r="L37" s="108">
        <v>3</v>
      </c>
      <c r="M37" s="96">
        <v>240</v>
      </c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G35:G41 G26:G31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22" zoomScale="80" zoomScaleNormal="80" workbookViewId="0">
      <selection activeCell="M35" sqref="M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45435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750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250</v>
      </c>
      <c r="D6" s="2"/>
      <c r="E6" s="94">
        <v>4263</v>
      </c>
      <c r="F6" s="94" t="s">
        <v>226</v>
      </c>
      <c r="G6" s="104" t="s">
        <v>8</v>
      </c>
      <c r="H6" s="103">
        <v>750</v>
      </c>
      <c r="I6" s="103">
        <v>50</v>
      </c>
      <c r="J6" s="2"/>
      <c r="K6" s="105"/>
      <c r="L6" s="95"/>
      <c r="M6" s="9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IF(vend23[[#This Row],[Nº Venda]]&gt;1,1,0)</f>
        <v>0</v>
      </c>
    </row>
    <row r="8" spans="2:18" ht="15.75" x14ac:dyDescent="0.25">
      <c r="B8" s="28" t="s">
        <v>20</v>
      </c>
      <c r="C8" s="29">
        <f>SUM(C6:C7)</f>
        <v>250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IF(vend23[[#This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IF(vend23[[#This Row],[Nº Venda]]&gt;1,1,0)</f>
        <v>0</v>
      </c>
    </row>
    <row r="11" spans="2:18" ht="15.75" x14ac:dyDescent="0.25">
      <c r="B11" s="30" t="s">
        <v>6</v>
      </c>
      <c r="C11" s="80">
        <f>(SUMIF($G$2:$G$31,B11,$I$2:$I$31))+(SUMIF($G$35:$G$44,B11,$H$35:$H$44))</f>
        <v>200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0">
        <f>(SUMIF($G$2:$G$31,B12,$I$2:$I$31))+(SUMIF($G$35:$G$44,B12,$H$35:$H$44))</f>
        <v>0</v>
      </c>
      <c r="D12" s="2"/>
      <c r="E12" s="94"/>
      <c r="F12" s="94"/>
      <c r="G12" s="104"/>
      <c r="H12" s="103"/>
      <c r="I12" s="103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0">
        <f>(SUMIF($G$2:$G$31,B13,$I$2:$I$31))+(SUMIF($G$35:$G$44,B13,$H$35:$H$44))</f>
        <v>50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IF(vend23[[#This Row],[Nº Venda]]&gt;1,1,0)</f>
        <v>0</v>
      </c>
    </row>
    <row r="14" spans="2:18" ht="15.75" x14ac:dyDescent="0.25">
      <c r="B14" s="30" t="s">
        <v>9</v>
      </c>
      <c r="C14" s="80">
        <f>(SUMIF($G$2:$G$31,B14,$I$2:$I$31))+(SUMIF($G$35:$G$44,B14,$H$35:$H$44))</f>
        <v>200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IF(vend23[[#This Row],[Nº Venda]]&gt;1,1,0)</f>
        <v>0</v>
      </c>
    </row>
    <row r="15" spans="2:18" ht="15.75" x14ac:dyDescent="0.25">
      <c r="B15" s="28" t="s">
        <v>10</v>
      </c>
      <c r="C15" s="32">
        <f>SUM(C11:C14)</f>
        <v>450</v>
      </c>
      <c r="D15" s="2"/>
      <c r="E15" s="94"/>
      <c r="F15" s="94"/>
      <c r="G15" s="104"/>
      <c r="H15" s="103"/>
      <c r="I15" s="103"/>
      <c r="J15" s="2"/>
      <c r="K15" s="105">
        <v>4229</v>
      </c>
      <c r="L15" s="95" t="s">
        <v>139</v>
      </c>
      <c r="M15" s="96" t="s">
        <v>140</v>
      </c>
      <c r="R15" s="1">
        <f>IF(vend23[[#This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4247</v>
      </c>
      <c r="L16" s="95" t="s">
        <v>139</v>
      </c>
      <c r="M16" s="96" t="s">
        <v>140</v>
      </c>
      <c r="R16" s="1">
        <f>IF(vend23[[#This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>
        <v>4248</v>
      </c>
      <c r="L17" s="95" t="s">
        <v>139</v>
      </c>
      <c r="M17" s="96" t="s">
        <v>140</v>
      </c>
      <c r="R17" s="1">
        <f>IF(vend23[[#This Row],[Nº Venda]]&gt;1,1,0)</f>
        <v>0</v>
      </c>
    </row>
    <row r="18" spans="2:18" ht="15.75" x14ac:dyDescent="0.25">
      <c r="B18" s="30">
        <f>COUNT(entr_carn23[OS])</f>
        <v>1</v>
      </c>
      <c r="C18" s="31">
        <f>SUM(entr_carn23[Valor Total])</f>
        <v>1200</v>
      </c>
      <c r="D18" s="2"/>
      <c r="E18" s="94"/>
      <c r="F18" s="94"/>
      <c r="G18" s="104"/>
      <c r="H18" s="103"/>
      <c r="I18" s="103"/>
      <c r="J18" s="2"/>
      <c r="K18" s="105">
        <v>4197</v>
      </c>
      <c r="L18" s="95" t="s">
        <v>139</v>
      </c>
      <c r="M18" s="96" t="s">
        <v>135</v>
      </c>
      <c r="R18" s="1">
        <f>IF(vend23[[#This Row],[Nº Venda]]&gt;1,1,0)</f>
        <v>0</v>
      </c>
    </row>
    <row r="19" spans="2:18" ht="15.75" x14ac:dyDescent="0.25">
      <c r="B19" s="28" t="s">
        <v>10</v>
      </c>
      <c r="C19" s="32">
        <f>SUM(C18:C18)</f>
        <v>1200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IF(vend23[[#This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IF(vend23[[#This Row],[Nº Venda]]&gt;1,1,0)</f>
        <v>0</v>
      </c>
    </row>
    <row r="21" spans="2:18" ht="15.75" x14ac:dyDescent="0.25">
      <c r="B21" s="28" t="s">
        <v>25</v>
      </c>
      <c r="C21" s="32">
        <f>C5</f>
        <v>750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4252</v>
      </c>
      <c r="F26" s="94" t="s">
        <v>227</v>
      </c>
      <c r="G26" s="104" t="s">
        <v>9</v>
      </c>
      <c r="H26" s="103"/>
      <c r="I26" s="103">
        <v>100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4253</v>
      </c>
      <c r="F27" s="94" t="s">
        <v>227</v>
      </c>
      <c r="G27" s="104" t="s">
        <v>9</v>
      </c>
      <c r="H27" s="103"/>
      <c r="I27" s="103">
        <v>100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4196</v>
      </c>
      <c r="F35" s="94" t="s">
        <v>133</v>
      </c>
      <c r="G35" s="104" t="s">
        <v>6</v>
      </c>
      <c r="H35" s="103">
        <v>100</v>
      </c>
      <c r="I35" s="103" t="s">
        <v>40</v>
      </c>
      <c r="K35" s="105">
        <v>4297</v>
      </c>
      <c r="L35" s="108">
        <v>6</v>
      </c>
      <c r="M35" s="96">
        <v>1200</v>
      </c>
    </row>
    <row r="36" spans="5:18" ht="15.75" x14ac:dyDescent="0.25">
      <c r="E36" s="94">
        <v>4197</v>
      </c>
      <c r="F36" s="94" t="s">
        <v>133</v>
      </c>
      <c r="G36" s="104" t="s">
        <v>6</v>
      </c>
      <c r="H36" s="103">
        <v>100</v>
      </c>
      <c r="I36" s="103" t="s">
        <v>40</v>
      </c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</v>
      </c>
    </row>
    <row r="41" spans="5:18" ht="15.75" x14ac:dyDescent="0.25">
      <c r="E41" s="115"/>
      <c r="F41" s="104"/>
      <c r="G41" s="104"/>
      <c r="H41" s="103"/>
      <c r="I41" s="103"/>
      <c r="K41" s="44"/>
      <c r="L41" s="41"/>
      <c r="M41" s="40"/>
    </row>
    <row r="42" spans="5:18" ht="15.75" x14ac:dyDescent="0.25">
      <c r="E42" s="90"/>
      <c r="F42" s="77"/>
      <c r="G42" s="78"/>
      <c r="H42" s="79"/>
      <c r="I42" s="17"/>
    </row>
    <row r="43" spans="5:18" ht="15.75" x14ac:dyDescent="0.25">
      <c r="E43" s="90"/>
      <c r="F43" s="88"/>
      <c r="G43" s="87"/>
      <c r="H43" s="89"/>
      <c r="I43" s="8"/>
    </row>
    <row r="44" spans="5:18" ht="15.75" x14ac:dyDescent="0.25">
      <c r="E44" s="91"/>
      <c r="F44" s="77"/>
      <c r="G44" s="78"/>
      <c r="H44" s="79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M35" sqref="M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45436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IF(vend24[[#This Row],[Nº Venda]]&gt;1,1,0)</f>
        <v>0</v>
      </c>
    </row>
    <row r="8" spans="2:18" ht="15.75" x14ac:dyDescent="0.25">
      <c r="B8" s="28" t="s">
        <v>20</v>
      </c>
      <c r="C8" s="29">
        <f>SUM(C6:C7)</f>
        <v>30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IF(vend24[[#This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138</v>
      </c>
      <c r="D12" s="2"/>
      <c r="E12" s="94"/>
      <c r="F12" s="94"/>
      <c r="G12" s="104"/>
      <c r="H12" s="103"/>
      <c r="I12" s="103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IF(vend24[[#This Row],[Nº Venda]]&gt;1,1,0)</f>
        <v>0</v>
      </c>
    </row>
    <row r="15" spans="2:18" ht="15.75" x14ac:dyDescent="0.25">
      <c r="B15" s="28" t="s">
        <v>10</v>
      </c>
      <c r="C15" s="32">
        <f>SUM(C11:C14)</f>
        <v>138</v>
      </c>
      <c r="D15" s="2"/>
      <c r="E15" s="94"/>
      <c r="F15" s="94"/>
      <c r="G15" s="104"/>
      <c r="H15" s="103"/>
      <c r="I15" s="103"/>
      <c r="J15" s="2"/>
      <c r="K15" s="105">
        <v>4261</v>
      </c>
      <c r="L15" s="95" t="s">
        <v>139</v>
      </c>
      <c r="M15" s="96" t="s">
        <v>140</v>
      </c>
      <c r="R15" s="1">
        <f>IF(vend24[[#This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4231</v>
      </c>
      <c r="L16" s="95" t="s">
        <v>139</v>
      </c>
      <c r="M16" s="96" t="s">
        <v>135</v>
      </c>
      <c r="R16" s="1">
        <f>IF(vend24[[#This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>
        <v>4234</v>
      </c>
      <c r="L17" s="95" t="s">
        <v>139</v>
      </c>
      <c r="M17" s="96" t="s">
        <v>135</v>
      </c>
      <c r="R17" s="1">
        <f>IF(vend24[[#This Row],[Nº Venda]]&gt;1,1,0)</f>
        <v>0</v>
      </c>
    </row>
    <row r="18" spans="2:18" ht="15.75" x14ac:dyDescent="0.25">
      <c r="B18" s="30">
        <f>COUNT(entr_carn24[OS])</f>
        <v>1</v>
      </c>
      <c r="C18" s="31">
        <f>SUM(entr_carn24[Valor Total])</f>
        <v>630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IF(vend24[[#This Row],[Nº Venda]]&gt;1,1,0)</f>
        <v>0</v>
      </c>
    </row>
    <row r="19" spans="2:18" ht="15.75" x14ac:dyDescent="0.25">
      <c r="B19" s="28" t="s">
        <v>10</v>
      </c>
      <c r="C19" s="32">
        <f>SUM(C18:C18)</f>
        <v>630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IF(vend24[[#This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IF(vend24[[#This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4231</v>
      </c>
      <c r="F26" s="94" t="s">
        <v>172</v>
      </c>
      <c r="G26" s="104"/>
      <c r="H26" s="103"/>
      <c r="I26" s="103">
        <v>15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4234</v>
      </c>
      <c r="F27" s="94" t="s">
        <v>172</v>
      </c>
      <c r="G27" s="104"/>
      <c r="H27" s="103"/>
      <c r="I27" s="103">
        <v>15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3806</v>
      </c>
      <c r="F35" s="94" t="s">
        <v>228</v>
      </c>
      <c r="G35" s="104" t="s">
        <v>7</v>
      </c>
      <c r="H35" s="103">
        <v>138</v>
      </c>
      <c r="I35" s="103" t="s">
        <v>46</v>
      </c>
      <c r="K35" s="105">
        <v>42131</v>
      </c>
      <c r="L35" s="108">
        <v>5</v>
      </c>
      <c r="M35" s="96">
        <v>630</v>
      </c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A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1:18" ht="27" x14ac:dyDescent="0.5">
      <c r="B1" s="58">
        <f>'24'!B1+1</f>
        <v>45437</v>
      </c>
    </row>
    <row r="2" spans="1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1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1:18" ht="15" x14ac:dyDescent="0.25">
      <c r="B5" s="23" t="s">
        <v>1</v>
      </c>
      <c r="C5" s="24">
        <f>SUMIF(I6:I31,"&gt;0",H6:H31)</f>
        <v>990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1:18" ht="15.75" x14ac:dyDescent="0.25">
      <c r="A6" s="1">
        <v>67</v>
      </c>
      <c r="B6" s="23" t="s">
        <v>2</v>
      </c>
      <c r="C6" s="24">
        <f>SUM(I6:I41)</f>
        <v>400</v>
      </c>
      <c r="D6" s="2"/>
      <c r="E6" s="94">
        <v>4267</v>
      </c>
      <c r="F6" s="94" t="s">
        <v>229</v>
      </c>
      <c r="G6" s="104" t="s">
        <v>9</v>
      </c>
      <c r="H6" s="103">
        <v>990</v>
      </c>
      <c r="I6" s="103">
        <v>400</v>
      </c>
      <c r="J6" s="2"/>
      <c r="K6" s="105"/>
      <c r="L6" s="95"/>
      <c r="M6" s="96"/>
      <c r="R6" s="1">
        <f>IF(vend25[[#This Row],[Nº Venda]]&gt;1,1,0)</f>
        <v>1</v>
      </c>
    </row>
    <row r="7" spans="1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IF(vend25[[#This Row],[Nº Venda]]&gt;1,1,0)</f>
        <v>0</v>
      </c>
    </row>
    <row r="8" spans="1:18" ht="15.75" x14ac:dyDescent="0.25">
      <c r="B8" s="28" t="s">
        <v>20</v>
      </c>
      <c r="C8" s="29">
        <f>SUM(C6:C7)</f>
        <v>400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IF(vend25[[#This Row],[Nº Venda]]&gt;1,1,0)</f>
        <v>0</v>
      </c>
    </row>
    <row r="9" spans="1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IF(vend25[[#This Row],[Nº Venda]]&gt;1,1,0)</f>
        <v>0</v>
      </c>
    </row>
    <row r="10" spans="1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IF(vend25[[#This Row],[Nº Venda]]&gt;1,1,0)</f>
        <v>0</v>
      </c>
    </row>
    <row r="11" spans="1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IF(vend25[[#This Row],[Nº Venda]]&gt;1,1,0)</f>
        <v>0</v>
      </c>
    </row>
    <row r="12" spans="1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IF(vend25[[#This Row],[Nº Venda]]&gt;1,1,0)</f>
        <v>0</v>
      </c>
    </row>
    <row r="13" spans="1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IF(vend25[[#This Row],[Nº Venda]]&gt;1,1,0)</f>
        <v>0</v>
      </c>
    </row>
    <row r="14" spans="1:18" ht="15.75" x14ac:dyDescent="0.25">
      <c r="B14" s="30" t="s">
        <v>9</v>
      </c>
      <c r="C14" s="31">
        <f>(SUMIF($G$2:$G$31,B14,$I$2:$I$31))+(SUMIF($G$35:$G$41,B14,$H$35:$H$41))</f>
        <v>540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IF(vend25[[#This Row],[Nº Venda]]&gt;1,1,0)</f>
        <v>0</v>
      </c>
    </row>
    <row r="15" spans="1:18" ht="15.75" x14ac:dyDescent="0.25">
      <c r="B15" s="28" t="s">
        <v>10</v>
      </c>
      <c r="C15" s="32">
        <f>SUM(C11:C14)</f>
        <v>540</v>
      </c>
      <c r="D15" s="2"/>
      <c r="E15" s="94"/>
      <c r="F15" s="94"/>
      <c r="G15" s="104"/>
      <c r="H15" s="103"/>
      <c r="I15" s="103"/>
      <c r="J15" s="2"/>
      <c r="K15" s="105">
        <v>4240</v>
      </c>
      <c r="L15" s="95" t="s">
        <v>202</v>
      </c>
      <c r="M15" s="96" t="s">
        <v>140</v>
      </c>
      <c r="R15" s="1">
        <f>IF(vend25[[#This Row],[Nº Venda]]&gt;1,1,0)</f>
        <v>0</v>
      </c>
    </row>
    <row r="16" spans="1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4260</v>
      </c>
      <c r="L16" s="95" t="s">
        <v>202</v>
      </c>
      <c r="M16" s="96" t="s">
        <v>140</v>
      </c>
      <c r="R16" s="1">
        <f>IF(vend25[[#This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>
        <v>4232</v>
      </c>
      <c r="L17" s="95" t="s">
        <v>139</v>
      </c>
      <c r="M17" s="96" t="s">
        <v>140</v>
      </c>
      <c r="R17" s="1">
        <f>IF(vend25[[#This Row],[Nº Venda]]&gt;1,1,0)</f>
        <v>0</v>
      </c>
    </row>
    <row r="18" spans="2:18" ht="15.75" x14ac:dyDescent="0.25">
      <c r="B18" s="30">
        <f>COUNT(entr_carn25[OS])</f>
        <v>0</v>
      </c>
      <c r="C18" s="31">
        <f>SUM(entr_carn25[Valor Total])</f>
        <v>0</v>
      </c>
      <c r="D18" s="2"/>
      <c r="E18" s="94"/>
      <c r="F18" s="94"/>
      <c r="G18" s="104"/>
      <c r="H18" s="103"/>
      <c r="I18" s="103"/>
      <c r="J18" s="2"/>
      <c r="K18" s="105">
        <v>4233</v>
      </c>
      <c r="L18" s="95" t="s">
        <v>134</v>
      </c>
      <c r="M18" s="96" t="s">
        <v>140</v>
      </c>
      <c r="R18" s="1">
        <f>IF(vend25[[#This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>
        <v>4119</v>
      </c>
      <c r="L19" s="95" t="s">
        <v>139</v>
      </c>
      <c r="M19" s="96" t="s">
        <v>140</v>
      </c>
      <c r="R19" s="1">
        <f>IF(vend25[[#This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>
        <v>4191</v>
      </c>
      <c r="L20" s="95" t="s">
        <v>139</v>
      </c>
      <c r="M20" s="96" t="s">
        <v>140</v>
      </c>
      <c r="R20" s="1">
        <f>IF(vend25[[#This Row],[Nº Venda]]&gt;1,1,0)</f>
        <v>0</v>
      </c>
    </row>
    <row r="21" spans="2:18" ht="15.75" x14ac:dyDescent="0.25">
      <c r="B21" s="28" t="s">
        <v>25</v>
      </c>
      <c r="C21" s="32">
        <f>C5</f>
        <v>990</v>
      </c>
      <c r="D21" s="2"/>
      <c r="E21" s="94"/>
      <c r="F21" s="94"/>
      <c r="G21" s="104"/>
      <c r="H21" s="103"/>
      <c r="I21" s="103"/>
      <c r="J21" s="2"/>
      <c r="K21" s="105">
        <v>4188</v>
      </c>
      <c r="L21" s="95" t="s">
        <v>139</v>
      </c>
      <c r="M21" s="96" t="s">
        <v>140</v>
      </c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4082</v>
      </c>
      <c r="F35" s="94" t="s">
        <v>219</v>
      </c>
      <c r="G35" s="104" t="s">
        <v>9</v>
      </c>
      <c r="H35" s="118">
        <v>140</v>
      </c>
      <c r="I35" s="103" t="s">
        <v>37</v>
      </c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I14" sqref="I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45438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IF(vend26[[#This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IF(vend26[[#This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IF(vend26[[#This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IF(vend26[[#This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IF(vend26[[#This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IF(vend26[[#This Row],[Nº Venda]]&gt;1,1,0)</f>
        <v>0</v>
      </c>
    </row>
    <row r="18" spans="2:18" ht="15.75" x14ac:dyDescent="0.25">
      <c r="B18" s="30">
        <f>COUNT(entr_carn26[OS])</f>
        <v>0</v>
      </c>
      <c r="C18" s="31">
        <f>SUM(entr_carn26[Valor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IF(vend26[[#This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IF(vend26[[#This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45439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>
        <v>4268</v>
      </c>
      <c r="F6" s="94" t="s">
        <v>230</v>
      </c>
      <c r="G6" s="104" t="s">
        <v>38</v>
      </c>
      <c r="H6" s="103">
        <v>0</v>
      </c>
      <c r="I6" s="103">
        <v>0</v>
      </c>
      <c r="J6" s="2"/>
      <c r="K6" s="105"/>
      <c r="L6" s="95"/>
      <c r="M6" s="9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IF(vend27[[#This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IF(vend27[[#This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145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IF(vend27[[#This Row],[Nº Venda]]&gt;1,1,0)</f>
        <v>0</v>
      </c>
    </row>
    <row r="15" spans="2:18" ht="15.75" x14ac:dyDescent="0.25">
      <c r="B15" s="28" t="s">
        <v>10</v>
      </c>
      <c r="C15" s="32">
        <f>SUM(C11:C14)</f>
        <v>145</v>
      </c>
      <c r="D15" s="2"/>
      <c r="E15" s="94"/>
      <c r="F15" s="94"/>
      <c r="G15" s="104"/>
      <c r="H15" s="103"/>
      <c r="I15" s="103"/>
      <c r="J15" s="2"/>
      <c r="K15" s="105">
        <v>4237</v>
      </c>
      <c r="L15" s="95" t="s">
        <v>202</v>
      </c>
      <c r="M15" s="96" t="s">
        <v>140</v>
      </c>
      <c r="R15" s="1">
        <f>IF(vend27[[#This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4211</v>
      </c>
      <c r="L16" s="95" t="s">
        <v>139</v>
      </c>
      <c r="M16" s="96" t="s">
        <v>140</v>
      </c>
      <c r="R16" s="1">
        <f>IF(vend27[[#This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IF(vend27[[#This Row],[Nº Venda]]&gt;1,1,0)</f>
        <v>0</v>
      </c>
    </row>
    <row r="18" spans="2:18" ht="15.75" x14ac:dyDescent="0.25">
      <c r="B18" s="30">
        <f>COUNT(entr_carn27[OS])</f>
        <v>0</v>
      </c>
      <c r="C18" s="31">
        <f>SUM(entr_carn27[Valor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IF(vend27[[#This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IF(vend27[[#This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3729</v>
      </c>
      <c r="F35" s="94" t="s">
        <v>231</v>
      </c>
      <c r="G35" s="104" t="s">
        <v>9</v>
      </c>
      <c r="H35" s="103">
        <v>145</v>
      </c>
      <c r="I35" s="103" t="s">
        <v>57</v>
      </c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2" zoomScale="80" zoomScaleNormal="80" workbookViewId="0">
      <selection activeCell="G10" sqref="G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45440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1940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1640</v>
      </c>
      <c r="D6" s="2"/>
      <c r="E6" s="94">
        <v>4269</v>
      </c>
      <c r="F6" s="94" t="s">
        <v>232</v>
      </c>
      <c r="G6" s="104" t="s">
        <v>6</v>
      </c>
      <c r="H6" s="103">
        <v>650</v>
      </c>
      <c r="I6" s="103">
        <v>100</v>
      </c>
      <c r="J6" s="2"/>
      <c r="K6" s="105"/>
      <c r="L6" s="95"/>
      <c r="M6" s="9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4270</v>
      </c>
      <c r="F7" s="94" t="s">
        <v>233</v>
      </c>
      <c r="G7" s="104" t="s">
        <v>8</v>
      </c>
      <c r="H7" s="103">
        <v>990</v>
      </c>
      <c r="I7" s="103">
        <v>990</v>
      </c>
      <c r="J7" s="2"/>
      <c r="K7" s="105"/>
      <c r="L7" s="95"/>
      <c r="M7" s="96"/>
      <c r="R7" s="1">
        <f>IF(vend28[[#This Row],[Nº Venda]]&gt;1,1,0)</f>
        <v>1</v>
      </c>
    </row>
    <row r="8" spans="2:18" ht="15.75" x14ac:dyDescent="0.25">
      <c r="B8" s="28" t="s">
        <v>20</v>
      </c>
      <c r="C8" s="29">
        <f>SUM(C6:C7)</f>
        <v>1640</v>
      </c>
      <c r="D8" s="2"/>
      <c r="E8" s="94">
        <v>4271</v>
      </c>
      <c r="F8" s="94" t="s">
        <v>234</v>
      </c>
      <c r="G8" s="104" t="s">
        <v>8</v>
      </c>
      <c r="H8" s="103">
        <v>300</v>
      </c>
      <c r="I8" s="103">
        <v>300</v>
      </c>
      <c r="J8" s="2"/>
      <c r="K8" s="105"/>
      <c r="L8" s="95"/>
      <c r="M8" s="9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IF(vend28[[#This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350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1290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IF(vend28[[#This Row],[Nº Venda]]&gt;1,1,0)</f>
        <v>0</v>
      </c>
    </row>
    <row r="15" spans="2:18" ht="15.75" x14ac:dyDescent="0.25">
      <c r="B15" s="28" t="s">
        <v>10</v>
      </c>
      <c r="C15" s="32">
        <f>SUM(C11:C14)</f>
        <v>1640</v>
      </c>
      <c r="D15" s="2"/>
      <c r="E15" s="94"/>
      <c r="F15" s="94"/>
      <c r="G15" s="104"/>
      <c r="H15" s="103"/>
      <c r="I15" s="103"/>
      <c r="J15" s="2"/>
      <c r="K15" s="105">
        <v>4235</v>
      </c>
      <c r="L15" s="95" t="s">
        <v>202</v>
      </c>
      <c r="M15" s="96" t="s">
        <v>140</v>
      </c>
      <c r="R15" s="1">
        <f>IF(vend28[[#This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4246</v>
      </c>
      <c r="L16" s="95" t="s">
        <v>139</v>
      </c>
      <c r="M16" s="96" t="s">
        <v>140</v>
      </c>
      <c r="R16" s="1">
        <f>IF(vend28[[#This Row],[Nº Venda]]&gt;1,1,0)</f>
        <v>0</v>
      </c>
    </row>
    <row r="17" spans="2:18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IF(vend28[[#This Row],[Nº Venda]]&gt;1,1,0)</f>
        <v>0</v>
      </c>
    </row>
    <row r="18" spans="2:18" ht="15.75" x14ac:dyDescent="0.25">
      <c r="B18" s="30">
        <f>COUNT(entr_carn28[OS])</f>
        <v>0</v>
      </c>
      <c r="C18" s="31">
        <f>SUM(entr_carn28[Valor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IF(vend28[[#This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IF(vend28[[#This Row],[Nº Venda]]&gt;1,1,0)</f>
        <v>0</v>
      </c>
    </row>
    <row r="21" spans="2:18" ht="15.75" x14ac:dyDescent="0.25">
      <c r="B21" s="28" t="s">
        <v>25</v>
      </c>
      <c r="C21" s="32">
        <f>C5</f>
        <v>1940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4235</v>
      </c>
      <c r="F26" s="94" t="s">
        <v>235</v>
      </c>
      <c r="G26" s="104" t="s">
        <v>6</v>
      </c>
      <c r="H26" s="103"/>
      <c r="I26" s="103">
        <v>250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3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E6" sqref="E6:I22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'28'!B1+1</f>
        <v>45441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6265.99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3732.9942799999999</v>
      </c>
      <c r="D6" s="2"/>
      <c r="E6" s="94">
        <v>4272</v>
      </c>
      <c r="F6" s="94" t="s">
        <v>236</v>
      </c>
      <c r="G6" s="104" t="s">
        <v>9</v>
      </c>
      <c r="H6" s="103">
        <v>750</v>
      </c>
      <c r="I6" s="103">
        <v>50</v>
      </c>
      <c r="J6" s="2"/>
      <c r="K6" s="105"/>
      <c r="L6" s="95"/>
      <c r="M6" s="9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4273</v>
      </c>
      <c r="F7" s="94" t="s">
        <v>244</v>
      </c>
      <c r="G7" s="104" t="s">
        <v>6</v>
      </c>
      <c r="H7" s="103">
        <v>240</v>
      </c>
      <c r="I7" s="103">
        <v>20</v>
      </c>
      <c r="J7" s="2"/>
      <c r="K7" s="105"/>
      <c r="L7" s="95"/>
      <c r="M7" s="96"/>
      <c r="R7" s="1">
        <f>IF(vend29[[#This Row],[Nº Venda]]&gt;1,1,0)</f>
        <v>1</v>
      </c>
    </row>
    <row r="8" spans="2:18" ht="15.75" x14ac:dyDescent="0.25">
      <c r="B8" s="28" t="s">
        <v>20</v>
      </c>
      <c r="C8" s="29">
        <f>SUM(C6:C7)</f>
        <v>3732.9942799999999</v>
      </c>
      <c r="D8" s="2"/>
      <c r="E8" s="94">
        <v>4274</v>
      </c>
      <c r="F8" s="94" t="s">
        <v>237</v>
      </c>
      <c r="G8" s="104" t="s">
        <v>48</v>
      </c>
      <c r="H8" s="103">
        <v>0</v>
      </c>
      <c r="I8" s="103">
        <v>0</v>
      </c>
      <c r="J8" s="2"/>
      <c r="K8" s="105"/>
      <c r="L8" s="95"/>
      <c r="M8" s="9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94">
        <v>4275</v>
      </c>
      <c r="F9" s="94" t="s">
        <v>240</v>
      </c>
      <c r="G9" s="104" t="s">
        <v>6</v>
      </c>
      <c r="H9" s="103">
        <v>500</v>
      </c>
      <c r="I9" s="103">
        <v>20</v>
      </c>
      <c r="J9" s="2"/>
      <c r="K9" s="105"/>
      <c r="L9" s="95"/>
      <c r="M9" s="96"/>
      <c r="R9" s="1">
        <f>IF(vend29[[#This Row],[Nº Venda]]&gt;1,1,0)</f>
        <v>1</v>
      </c>
    </row>
    <row r="10" spans="2:18" ht="15.75" x14ac:dyDescent="0.25">
      <c r="B10" s="120" t="s">
        <v>5</v>
      </c>
      <c r="C10" s="120"/>
      <c r="D10" s="2"/>
      <c r="E10" s="94">
        <v>4276</v>
      </c>
      <c r="F10" s="94" t="s">
        <v>241</v>
      </c>
      <c r="G10" s="104" t="s">
        <v>8</v>
      </c>
      <c r="H10" s="103">
        <v>990</v>
      </c>
      <c r="I10" s="103">
        <v>990</v>
      </c>
      <c r="J10" s="2"/>
      <c r="K10" s="105"/>
      <c r="L10" s="95"/>
      <c r="M10" s="96"/>
      <c r="R10" s="1">
        <f>IF(vend29[[#This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262</v>
      </c>
      <c r="D11" s="2"/>
      <c r="E11" s="94">
        <v>4277</v>
      </c>
      <c r="F11" s="94" t="s">
        <v>242</v>
      </c>
      <c r="G11" s="104" t="s">
        <v>8</v>
      </c>
      <c r="H11" s="103">
        <v>800</v>
      </c>
      <c r="I11" s="103">
        <v>800</v>
      </c>
      <c r="J11" s="2"/>
      <c r="K11" s="106"/>
      <c r="L11" s="95"/>
      <c r="M11" s="96"/>
      <c r="O11" s="1">
        <f>IF(C15=0,0,1)</f>
        <v>1</v>
      </c>
      <c r="R11" s="1">
        <f>IF(vend29[[#This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150.00427999999999</v>
      </c>
      <c r="D12" s="2"/>
      <c r="E12" s="94">
        <v>4278</v>
      </c>
      <c r="F12" s="94" t="s">
        <v>243</v>
      </c>
      <c r="G12" s="104" t="s">
        <v>8</v>
      </c>
      <c r="H12" s="103">
        <v>1099.99</v>
      </c>
      <c r="I12" s="103">
        <v>749.99</v>
      </c>
      <c r="J12" s="2"/>
      <c r="R12" s="1">
        <f>IF(vend29[[#This Row],[Nº Venda]]&gt;1,1,0)</f>
        <v>1</v>
      </c>
    </row>
    <row r="13" spans="2:18" ht="15.75" x14ac:dyDescent="0.25">
      <c r="B13" s="30" t="s">
        <v>8</v>
      </c>
      <c r="C13" s="31">
        <f t="shared" si="0"/>
        <v>3039.99</v>
      </c>
      <c r="D13" s="2"/>
      <c r="E13" s="94">
        <v>4278</v>
      </c>
      <c r="F13" s="94" t="s">
        <v>243</v>
      </c>
      <c r="G13" s="104" t="s">
        <v>7</v>
      </c>
      <c r="H13" s="103"/>
      <c r="I13" s="103">
        <v>100</v>
      </c>
      <c r="J13" s="2"/>
      <c r="K13" s="122" t="s">
        <v>21</v>
      </c>
      <c r="L13" s="123"/>
      <c r="M13" s="124"/>
      <c r="R13" s="1">
        <f>IF(vend29[[#This Row],[Nº Venda]]&gt;1,1,0)</f>
        <v>1</v>
      </c>
    </row>
    <row r="14" spans="2:18" ht="15.75" x14ac:dyDescent="0.25">
      <c r="B14" s="30" t="s">
        <v>9</v>
      </c>
      <c r="C14" s="31">
        <f t="shared" si="0"/>
        <v>503</v>
      </c>
      <c r="D14" s="2"/>
      <c r="E14" s="94">
        <v>4279</v>
      </c>
      <c r="F14" s="94" t="s">
        <v>245</v>
      </c>
      <c r="G14" s="104" t="s">
        <v>7</v>
      </c>
      <c r="H14" s="103">
        <v>350</v>
      </c>
      <c r="I14" s="103">
        <v>50.004280000000001</v>
      </c>
      <c r="J14" s="2"/>
      <c r="K14" s="14" t="s">
        <v>22</v>
      </c>
      <c r="L14" s="6" t="s">
        <v>23</v>
      </c>
      <c r="M14" s="15" t="s">
        <v>24</v>
      </c>
      <c r="R14" s="1">
        <f>IF(vend29[[#This Row],[Nº Venda]]&gt;1,1,0)</f>
        <v>1</v>
      </c>
    </row>
    <row r="15" spans="2:18" ht="15.75" x14ac:dyDescent="0.25">
      <c r="B15" s="28" t="s">
        <v>10</v>
      </c>
      <c r="C15" s="32">
        <f>SUM(C11:C14)</f>
        <v>3954.9942799999999</v>
      </c>
      <c r="D15" s="2"/>
      <c r="E15" s="94">
        <v>4280</v>
      </c>
      <c r="F15" s="94" t="s">
        <v>246</v>
      </c>
      <c r="G15" s="104" t="s">
        <v>9</v>
      </c>
      <c r="H15" s="103">
        <v>596</v>
      </c>
      <c r="I15" s="103">
        <v>3</v>
      </c>
      <c r="J15" s="2"/>
      <c r="K15" s="105">
        <v>4135</v>
      </c>
      <c r="L15" s="95" t="s">
        <v>139</v>
      </c>
      <c r="M15" s="96" t="s">
        <v>140</v>
      </c>
      <c r="R15" s="1">
        <f>IF(vend29[[#This Row],[Nº Venda]]&gt;1,1,0)</f>
        <v>1</v>
      </c>
    </row>
    <row r="16" spans="2:18" ht="15.75" x14ac:dyDescent="0.25">
      <c r="B16" s="2"/>
      <c r="C16" s="2"/>
      <c r="D16" s="2"/>
      <c r="E16" s="94">
        <v>4281</v>
      </c>
      <c r="F16" s="94" t="s">
        <v>247</v>
      </c>
      <c r="G16" s="104" t="s">
        <v>9</v>
      </c>
      <c r="H16" s="103">
        <v>440</v>
      </c>
      <c r="I16" s="103">
        <v>50</v>
      </c>
      <c r="J16" s="2"/>
      <c r="K16" s="105"/>
      <c r="L16" s="95"/>
      <c r="M16" s="96"/>
      <c r="R16" s="1">
        <f>IF(vend29[[#This Row],[Nº Venda]]&gt;1,1,0)</f>
        <v>1</v>
      </c>
    </row>
    <row r="17" spans="2:18" ht="15.75" x14ac:dyDescent="0.25">
      <c r="B17" s="120" t="s">
        <v>11</v>
      </c>
      <c r="C17" s="120"/>
      <c r="D17" s="2"/>
      <c r="E17" s="94">
        <v>4282</v>
      </c>
      <c r="F17" s="94" t="s">
        <v>241</v>
      </c>
      <c r="G17" s="104" t="s">
        <v>8</v>
      </c>
      <c r="H17" s="103">
        <v>500</v>
      </c>
      <c r="I17" s="103">
        <v>500</v>
      </c>
      <c r="J17" s="2"/>
      <c r="K17" s="105"/>
      <c r="L17" s="95"/>
      <c r="M17" s="96"/>
      <c r="R17" s="1">
        <f>IF(vend29[[#This Row],[Nº Venda]]&gt;1,1,0)</f>
        <v>1</v>
      </c>
    </row>
    <row r="18" spans="2:18" ht="15.75" x14ac:dyDescent="0.25">
      <c r="B18" s="30">
        <f>COUNT(entr_carn29[OS])</f>
        <v>0</v>
      </c>
      <c r="C18" s="31">
        <f>SUM(entr_carn29[Valor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IF(vend29[[#This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IF(vend29[[#This Row],[Nº Venda]]&gt;1,1,0)</f>
        <v>0</v>
      </c>
    </row>
    <row r="21" spans="2:18" ht="15.75" x14ac:dyDescent="0.25">
      <c r="B21" s="28" t="s">
        <v>25</v>
      </c>
      <c r="C21" s="32">
        <f>C5</f>
        <v>6265.99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4203</v>
      </c>
      <c r="F26" s="94" t="s">
        <v>238</v>
      </c>
      <c r="G26" s="104" t="s">
        <v>9</v>
      </c>
      <c r="H26" s="103"/>
      <c r="I26" s="103">
        <v>400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4181</v>
      </c>
      <c r="F35" s="94" t="s">
        <v>239</v>
      </c>
      <c r="G35" s="104" t="s">
        <v>6</v>
      </c>
      <c r="H35" s="103">
        <v>111</v>
      </c>
      <c r="I35" s="103" t="s">
        <v>37</v>
      </c>
      <c r="K35" s="105"/>
      <c r="L35" s="108"/>
      <c r="M35" s="96"/>
    </row>
    <row r="36" spans="5:18" ht="15.75" x14ac:dyDescent="0.25">
      <c r="E36" s="94">
        <v>4182</v>
      </c>
      <c r="F36" s="94" t="s">
        <v>239</v>
      </c>
      <c r="G36" s="104" t="s">
        <v>6</v>
      </c>
      <c r="H36" s="103">
        <v>111</v>
      </c>
      <c r="I36" s="103" t="s">
        <v>37</v>
      </c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BDD5-213E-40F6-B154-E8D1E0FBC3A6}">
  <dimension ref="B1:V41"/>
  <sheetViews>
    <sheetView showGridLines="0" zoomScale="80" zoomScaleNormal="80" workbookViewId="0">
      <selection activeCell="K15" sqref="K15:M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45442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IF(vend30[[#This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IF(vend30[[#This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IF(vend30[[#This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IF(vend30[[#This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IF(vend30[[#This Row],[Nº Venda]]&gt;1,1,0)</f>
        <v>0</v>
      </c>
    </row>
    <row r="17" spans="2:22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IF(vend30[[#This Row],[Nº Venda]]&gt;1,1,0)</f>
        <v>0</v>
      </c>
    </row>
    <row r="18" spans="2:22" ht="15.75" x14ac:dyDescent="0.25">
      <c r="B18" s="30">
        <f>COUNT(entr_carn30[OS])</f>
        <v>0</v>
      </c>
      <c r="C18" s="31">
        <f>SUM(entr_carn30[Valor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IF(vend30[[#This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IF(vend30[[#This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IF(vend30[[#This Row],[Nº Venda]]&gt;1,1,0)</f>
        <v>0</v>
      </c>
    </row>
    <row r="21" spans="2:22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  <c r="V21" s="1" t="s">
        <v>123</v>
      </c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22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E853D627-741B-4F61-B3C1-DF7E8F735D8E}">
      <formula1>"Sim, Não"</formula1>
    </dataValidation>
    <dataValidation type="list" allowBlank="1" showInputMessage="1" showErrorMessage="1" sqref="L35:L41" xr:uid="{41B3285E-1906-4563-A36F-18138E30BBD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58BA60-B38F-441D-AE9C-AD4C620DA11E}">
          <x14:formula1>
            <xm:f>base!$A$2:$A$8</xm:f>
          </x14:formula1>
          <xm:sqref>G6:G22</xm:sqref>
        </x14:dataValidation>
        <x14:dataValidation type="list" allowBlank="1" showInputMessage="1" showErrorMessage="1" xr:uid="{ED979471-96AC-4C55-8C69-659B816A25D3}">
          <x14:formula1>
            <xm:f>base!$A$2:$A$5</xm:f>
          </x14:formula1>
          <xm:sqref>G26:G31 G35:G41</xm:sqref>
        </x14:dataValidation>
        <x14:dataValidation type="list" allowBlank="1" showInputMessage="1" showErrorMessage="1" xr:uid="{66F7707C-0728-4F92-B340-FBEC75F47AD1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E34" sqref="E34:I3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45443</v>
      </c>
    </row>
    <row r="2" spans="2:18" ht="18.75" x14ac:dyDescent="0.2">
      <c r="B2" s="125" t="s">
        <v>12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8" t="s">
        <v>1</v>
      </c>
      <c r="F4" s="128"/>
      <c r="G4" s="128"/>
      <c r="H4" s="128"/>
      <c r="I4" s="128"/>
      <c r="J4" s="22"/>
      <c r="K4" s="122" t="s">
        <v>3</v>
      </c>
      <c r="L4" s="123"/>
      <c r="M4" s="124"/>
    </row>
    <row r="5" spans="2:18" ht="15" x14ac:dyDescent="0.25">
      <c r="B5" s="23" t="s">
        <v>1</v>
      </c>
      <c r="C5" s="24">
        <f>SUMIF(I6:I31,"&gt;0",H6:H31)</f>
        <v>980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250</v>
      </c>
      <c r="D6" s="2"/>
      <c r="E6" s="94">
        <v>4283</v>
      </c>
      <c r="F6" s="94" t="s">
        <v>248</v>
      </c>
      <c r="G6" s="104" t="s">
        <v>38</v>
      </c>
      <c r="H6" s="103">
        <v>0</v>
      </c>
      <c r="I6" s="103">
        <v>0</v>
      </c>
      <c r="J6" s="2"/>
      <c r="K6" s="105"/>
      <c r="L6" s="95"/>
      <c r="M6" s="9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4284</v>
      </c>
      <c r="F7" s="94" t="s">
        <v>249</v>
      </c>
      <c r="G7" s="104" t="s">
        <v>9</v>
      </c>
      <c r="H7" s="103">
        <v>980</v>
      </c>
      <c r="I7" s="103">
        <v>250</v>
      </c>
      <c r="J7" s="2"/>
      <c r="K7" s="105"/>
      <c r="L7" s="95"/>
      <c r="M7" s="96"/>
      <c r="R7" s="1">
        <f>IF(vend31[[#This Row],[Nº Venda]]&gt;1,1,0)</f>
        <v>1</v>
      </c>
    </row>
    <row r="8" spans="2:18" ht="15.75" x14ac:dyDescent="0.25">
      <c r="B8" s="28" t="s">
        <v>20</v>
      </c>
      <c r="C8" s="29">
        <f>SUM(C6:C7)</f>
        <v>250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IF(vend31[[#This Row],[Nº Venda]]&gt;1,1,0)</f>
        <v>0</v>
      </c>
    </row>
    <row r="10" spans="2:18" ht="15.75" x14ac:dyDescent="0.25">
      <c r="B10" s="120" t="s">
        <v>5</v>
      </c>
      <c r="C10" s="120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2" t="s">
        <v>21</v>
      </c>
      <c r="L13" s="123"/>
      <c r="M13" s="124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250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IF(vend31[[#This Row],[Nº Venda]]&gt;1,1,0)</f>
        <v>0</v>
      </c>
    </row>
    <row r="15" spans="2:18" ht="15.75" x14ac:dyDescent="0.25">
      <c r="B15" s="28" t="s">
        <v>10</v>
      </c>
      <c r="C15" s="32">
        <f>SUM(C11:C14)</f>
        <v>250</v>
      </c>
      <c r="D15" s="2"/>
      <c r="E15" s="94"/>
      <c r="F15" s="94"/>
      <c r="G15" s="104"/>
      <c r="H15" s="103"/>
      <c r="I15" s="103"/>
      <c r="J15" s="2"/>
      <c r="K15" s="105">
        <v>4230</v>
      </c>
      <c r="L15" s="95" t="s">
        <v>139</v>
      </c>
      <c r="M15" s="96" t="s">
        <v>140</v>
      </c>
      <c r="R15" s="1">
        <f>IF(vend31[[#This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IF(vend31[[#This Row],[Nº Venda]]&gt;1,1,0)</f>
        <v>0</v>
      </c>
    </row>
    <row r="17" spans="2:22" ht="15.75" x14ac:dyDescent="0.25">
      <c r="B17" s="120" t="s">
        <v>11</v>
      </c>
      <c r="C17" s="120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IF(vend31[[#This Row],[Nº Venda]]&gt;1,1,0)</f>
        <v>0</v>
      </c>
    </row>
    <row r="18" spans="2:22" ht="15.75" x14ac:dyDescent="0.25">
      <c r="B18" s="30">
        <f>COUNT(entr_carn31[OS])</f>
        <v>0</v>
      </c>
      <c r="C18" s="31">
        <f>SUM(entr_carn31[Valor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IF(vend31[[#This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IF(vend31[[#This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IF(vend31[[#This Row],[Nº Venda]]&gt;1,1,0)</f>
        <v>0</v>
      </c>
    </row>
    <row r="21" spans="2:22" ht="15.75" x14ac:dyDescent="0.25">
      <c r="B21" s="28" t="s">
        <v>25</v>
      </c>
      <c r="C21" s="32">
        <f>C5</f>
        <v>980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  <c r="V21" s="1" t="s">
        <v>123</v>
      </c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1" t="s">
        <v>26</v>
      </c>
      <c r="F24" s="121"/>
      <c r="G24" s="121"/>
      <c r="H24" s="121"/>
      <c r="I24" s="121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22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1" t="s">
        <v>27</v>
      </c>
      <c r="F33" s="121"/>
      <c r="G33" s="121"/>
      <c r="H33" s="121"/>
      <c r="I33" s="121"/>
      <c r="K33" s="122" t="s">
        <v>11</v>
      </c>
      <c r="L33" s="123"/>
      <c r="M33" s="12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B18" sqref="B18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60</v>
      </c>
      <c r="B1" s="38" t="s">
        <v>61</v>
      </c>
      <c r="E1" s="38" t="s">
        <v>62</v>
      </c>
    </row>
    <row r="2" spans="1:5" x14ac:dyDescent="0.2">
      <c r="A2" s="38" t="s">
        <v>6</v>
      </c>
      <c r="B2" s="38" t="s">
        <v>63</v>
      </c>
      <c r="E2" t="s">
        <v>44</v>
      </c>
    </row>
    <row r="3" spans="1:5" x14ac:dyDescent="0.2">
      <c r="A3" s="38" t="s">
        <v>7</v>
      </c>
      <c r="B3" s="38" t="s">
        <v>64</v>
      </c>
      <c r="E3" t="s">
        <v>65</v>
      </c>
    </row>
    <row r="4" spans="1:5" x14ac:dyDescent="0.2">
      <c r="A4" s="38" t="s">
        <v>8</v>
      </c>
      <c r="B4" s="38" t="s">
        <v>66</v>
      </c>
      <c r="E4" t="s">
        <v>67</v>
      </c>
    </row>
    <row r="5" spans="1:5" x14ac:dyDescent="0.2">
      <c r="A5" s="38" t="s">
        <v>9</v>
      </c>
      <c r="B5" s="38" t="s">
        <v>9</v>
      </c>
      <c r="E5" t="s">
        <v>68</v>
      </c>
    </row>
    <row r="6" spans="1:5" x14ac:dyDescent="0.2">
      <c r="A6" s="38" t="s">
        <v>48</v>
      </c>
      <c r="B6" s="38" t="s">
        <v>69</v>
      </c>
      <c r="E6" t="s">
        <v>32</v>
      </c>
    </row>
    <row r="7" spans="1:5" x14ac:dyDescent="0.2">
      <c r="A7" t="s">
        <v>24</v>
      </c>
      <c r="B7" t="s">
        <v>71</v>
      </c>
      <c r="E7" t="s">
        <v>70</v>
      </c>
    </row>
    <row r="8" spans="1:5" x14ac:dyDescent="0.2">
      <c r="A8" s="38" t="s">
        <v>38</v>
      </c>
      <c r="B8" s="38" t="s">
        <v>72</v>
      </c>
      <c r="E8" t="s">
        <v>50</v>
      </c>
    </row>
    <row r="9" spans="1:5" x14ac:dyDescent="0.2">
      <c r="E9" t="s">
        <v>73</v>
      </c>
    </row>
    <row r="10" spans="1:5" x14ac:dyDescent="0.2">
      <c r="E10" t="s">
        <v>74</v>
      </c>
    </row>
    <row r="11" spans="1:5" x14ac:dyDescent="0.2">
      <c r="E11" t="s">
        <v>75</v>
      </c>
    </row>
    <row r="12" spans="1:5" x14ac:dyDescent="0.2">
      <c r="E12" t="s">
        <v>37</v>
      </c>
    </row>
    <row r="13" spans="1:5" x14ac:dyDescent="0.2">
      <c r="E13" t="s">
        <v>51</v>
      </c>
    </row>
    <row r="14" spans="1:5" x14ac:dyDescent="0.2">
      <c r="E14" t="s">
        <v>45</v>
      </c>
    </row>
    <row r="15" spans="1:5" x14ac:dyDescent="0.2">
      <c r="E15" t="s">
        <v>76</v>
      </c>
    </row>
    <row r="16" spans="1:5" x14ac:dyDescent="0.2">
      <c r="E16" t="s">
        <v>46</v>
      </c>
    </row>
    <row r="17" spans="5:5" x14ac:dyDescent="0.2">
      <c r="E17" t="s">
        <v>40</v>
      </c>
    </row>
    <row r="18" spans="5:5" x14ac:dyDescent="0.2">
      <c r="E18" t="s">
        <v>52</v>
      </c>
    </row>
    <row r="19" spans="5:5" x14ac:dyDescent="0.2">
      <c r="E19" t="s">
        <v>43</v>
      </c>
    </row>
    <row r="20" spans="5:5" x14ac:dyDescent="0.2">
      <c r="E20" t="s">
        <v>77</v>
      </c>
    </row>
    <row r="21" spans="5:5" x14ac:dyDescent="0.2">
      <c r="E21" t="s">
        <v>78</v>
      </c>
    </row>
    <row r="22" spans="5:5" x14ac:dyDescent="0.2">
      <c r="E22" t="s">
        <v>57</v>
      </c>
    </row>
    <row r="23" spans="5:5" x14ac:dyDescent="0.2">
      <c r="E23" t="s">
        <v>34</v>
      </c>
    </row>
    <row r="24" spans="5:5" x14ac:dyDescent="0.2">
      <c r="E24" t="s">
        <v>53</v>
      </c>
    </row>
    <row r="25" spans="5:5" x14ac:dyDescent="0.2">
      <c r="E25" t="s">
        <v>47</v>
      </c>
    </row>
    <row r="26" spans="5:5" x14ac:dyDescent="0.2">
      <c r="E26" t="s">
        <v>39</v>
      </c>
    </row>
    <row r="27" spans="5:5" x14ac:dyDescent="0.2">
      <c r="E27" t="s">
        <v>42</v>
      </c>
    </row>
    <row r="28" spans="5:5" x14ac:dyDescent="0.2">
      <c r="E28" t="s">
        <v>58</v>
      </c>
    </row>
    <row r="29" spans="5:5" x14ac:dyDescent="0.2">
      <c r="E29" t="s">
        <v>59</v>
      </c>
    </row>
    <row r="30" spans="5:5" x14ac:dyDescent="0.2">
      <c r="E30" t="s">
        <v>79</v>
      </c>
    </row>
    <row r="31" spans="5:5" x14ac:dyDescent="0.2">
      <c r="E31" t="s">
        <v>33</v>
      </c>
    </row>
    <row r="32" spans="5:5" x14ac:dyDescent="0.2">
      <c r="E32" t="s">
        <v>80</v>
      </c>
    </row>
    <row r="33" spans="5:5" x14ac:dyDescent="0.2">
      <c r="E33" t="s">
        <v>55</v>
      </c>
    </row>
    <row r="34" spans="5:5" x14ac:dyDescent="0.2">
      <c r="E34" t="s">
        <v>36</v>
      </c>
    </row>
    <row r="35" spans="5:5" x14ac:dyDescent="0.2">
      <c r="E35" t="s">
        <v>54</v>
      </c>
    </row>
    <row r="36" spans="5:5" x14ac:dyDescent="0.2">
      <c r="E36" t="s">
        <v>41</v>
      </c>
    </row>
    <row r="37" spans="5:5" x14ac:dyDescent="0.2">
      <c r="E37" t="s">
        <v>49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17</vt:lpstr>
      <vt:lpstr>16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ADM - Oticas Taty Mello</cp:lastModifiedBy>
  <cp:revision/>
  <cp:lastPrinted>2024-05-29T22:41:49Z</cp:lastPrinted>
  <dcterms:created xsi:type="dcterms:W3CDTF">2004-04-07T20:43:43Z</dcterms:created>
  <dcterms:modified xsi:type="dcterms:W3CDTF">2024-07-05T13:10:16Z</dcterms:modified>
  <cp:category/>
  <cp:contentStatus/>
</cp:coreProperties>
</file>