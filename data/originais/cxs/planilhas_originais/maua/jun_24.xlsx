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2024/"/>
    </mc:Choice>
  </mc:AlternateContent>
  <xr:revisionPtr revIDLastSave="1386" documentId="13_ncr:1_{0402BA61-346E-4614-9EF8-32644BD0418E}" xr6:coauthVersionLast="47" xr6:coauthVersionMax="47" xr10:uidLastSave="{CD42C33E-4487-4168-BFA9-9D00FB5E7DC0}"/>
  <bookViews>
    <workbookView xWindow="2340" yWindow="2115" windowWidth="15150" windowHeight="8955" tabRatio="895" firstSheet="12" activeTab="2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8" l="1"/>
  <c r="C11" i="199"/>
  <c r="C11" i="192"/>
  <c r="C11" i="196"/>
  <c r="C11" i="197"/>
  <c r="C11" i="194"/>
  <c r="C11" i="195"/>
  <c r="C12" i="188"/>
  <c r="C13" i="188"/>
  <c r="C14" i="188"/>
  <c r="C15" i="188"/>
  <c r="C11" i="188"/>
  <c r="C12" i="178"/>
  <c r="C13" i="178"/>
  <c r="C14" i="178"/>
  <c r="C16" i="178"/>
  <c r="O11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6" i="179" s="1"/>
  <c r="O11" i="179" s="1"/>
  <c r="C11" i="184"/>
  <c r="C11" i="185"/>
  <c r="C11" i="186"/>
  <c r="C11" i="187"/>
  <c r="C11" i="189"/>
  <c r="C11" i="190"/>
  <c r="C11" i="191"/>
  <c r="C11" i="193"/>
  <c r="C16" i="193" s="1"/>
  <c r="O11" i="193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/>
  <c r="C5" i="181"/>
  <c r="C22" i="181"/>
  <c r="C5" i="179"/>
  <c r="C22" i="179" s="1"/>
  <c r="C5" i="184"/>
  <c r="C22" i="184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/>
  <c r="C5" i="193"/>
  <c r="C22" i="193" s="1"/>
  <c r="C5" i="195"/>
  <c r="C22" i="195" s="1"/>
  <c r="C5" i="194"/>
  <c r="C22" i="194" s="1"/>
  <c r="C5" i="197"/>
  <c r="C22" i="197"/>
  <c r="C5" i="196"/>
  <c r="C22" i="196" s="1"/>
  <c r="C5" i="192"/>
  <c r="C22" i="192" s="1"/>
  <c r="C5" i="199"/>
  <c r="C22" i="199"/>
  <c r="C5" i="198"/>
  <c r="C22" i="198" s="1"/>
  <c r="C6" i="174"/>
  <c r="C8" i="174"/>
  <c r="C6" i="173"/>
  <c r="C6" i="172"/>
  <c r="C8" i="172"/>
  <c r="C6" i="171"/>
  <c r="C8" i="171"/>
  <c r="C6" i="170"/>
  <c r="C6" i="103"/>
  <c r="C6" i="178"/>
  <c r="C8" i="178"/>
  <c r="C6" i="177"/>
  <c r="C6" i="176"/>
  <c r="C6" i="180"/>
  <c r="C6" i="182"/>
  <c r="C8" i="182"/>
  <c r="C6" i="183"/>
  <c r="C6" i="181"/>
  <c r="C8" i="181"/>
  <c r="C6" i="179"/>
  <c r="C8" i="179" s="1"/>
  <c r="C6" i="184"/>
  <c r="C6" i="185"/>
  <c r="C6" i="186"/>
  <c r="C6" i="187"/>
  <c r="C8" i="187"/>
  <c r="C6" i="189"/>
  <c r="C8" i="189" s="1"/>
  <c r="C6" i="190"/>
  <c r="C8" i="190" s="1"/>
  <c r="C6" i="191"/>
  <c r="C8" i="191" s="1"/>
  <c r="C6" i="188"/>
  <c r="C6" i="193"/>
  <c r="C8" i="193" s="1"/>
  <c r="C6" i="195"/>
  <c r="C8" i="195" s="1"/>
  <c r="C6" i="194"/>
  <c r="C8" i="194" s="1"/>
  <c r="C6" i="197"/>
  <c r="C8" i="197" s="1"/>
  <c r="C6" i="196"/>
  <c r="C8" i="196" s="1"/>
  <c r="C6" i="192"/>
  <c r="C8" i="192" s="1"/>
  <c r="C6" i="199"/>
  <c r="C8" i="199" s="1"/>
  <c r="C6" i="198"/>
  <c r="C8" i="198" s="1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40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/>
  <c r="C8" i="173"/>
  <c r="C8" i="176"/>
  <c r="C8" i="183"/>
  <c r="C8" i="175"/>
  <c r="R40" i="196"/>
  <c r="R40" i="198"/>
  <c r="B17" i="200"/>
  <c r="B18" i="200" s="1"/>
  <c r="R40" i="187"/>
  <c r="R40" i="195"/>
  <c r="R40" i="180"/>
  <c r="R40" i="188"/>
  <c r="R40" i="197"/>
  <c r="R40" i="199"/>
  <c r="C8" i="188"/>
  <c r="C16" i="170"/>
  <c r="O11" i="170"/>
  <c r="R40" i="170"/>
  <c r="C16" i="175"/>
  <c r="O11" i="175"/>
  <c r="R40" i="175"/>
  <c r="R40" i="184"/>
  <c r="R40" i="179"/>
  <c r="R40" i="177"/>
  <c r="R40" i="178"/>
  <c r="R40" i="172"/>
  <c r="R40" i="173"/>
  <c r="R40" i="174"/>
  <c r="R40" i="176"/>
  <c r="C16" i="171"/>
  <c r="O11" i="171"/>
  <c r="R40" i="171"/>
  <c r="B5" i="200"/>
  <c r="C16" i="188"/>
  <c r="O11" i="188"/>
  <c r="C8" i="185"/>
  <c r="C8" i="170"/>
  <c r="C8" i="177"/>
  <c r="C16" i="198"/>
  <c r="O11" i="198" s="1"/>
  <c r="C16" i="184"/>
  <c r="O11" i="184"/>
  <c r="C8" i="184"/>
  <c r="C16" i="180"/>
  <c r="O11" i="180"/>
  <c r="C16" i="176"/>
  <c r="O11" i="176"/>
  <c r="C16" i="177"/>
  <c r="O11" i="177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 s="1"/>
  <c r="B1" i="194" s="1"/>
  <c r="B1" i="197" s="1"/>
  <c r="B1" i="196" s="1"/>
  <c r="B1" i="192" s="1"/>
  <c r="B1" i="199" s="1"/>
  <c r="B1" i="198" s="1"/>
  <c r="C16" i="183"/>
  <c r="O11" i="183"/>
  <c r="R40" i="182"/>
  <c r="C16" i="182"/>
  <c r="O11" i="182"/>
  <c r="R40" i="181"/>
  <c r="C16" i="181"/>
  <c r="O11" i="181"/>
  <c r="C8" i="180"/>
  <c r="C16" i="199" l="1"/>
  <c r="O11" i="199" s="1"/>
  <c r="C16" i="192"/>
  <c r="O11" i="192" s="1"/>
  <c r="R40" i="192"/>
  <c r="C16" i="196"/>
  <c r="O11" i="196" s="1"/>
  <c r="C16" i="197"/>
  <c r="O11" i="197" s="1"/>
  <c r="R40" i="194"/>
  <c r="C16" i="194"/>
  <c r="O11" i="194" s="1"/>
  <c r="B13" i="200"/>
  <c r="B12" i="200"/>
  <c r="R40" i="193"/>
  <c r="R40" i="190"/>
  <c r="R40" i="191"/>
  <c r="C16" i="191"/>
  <c r="O11" i="191" s="1"/>
  <c r="C16" i="190"/>
  <c r="O11" i="190" s="1"/>
  <c r="R40" i="189"/>
  <c r="C16" i="189"/>
  <c r="O11" i="189" s="1"/>
  <c r="C16" i="187"/>
  <c r="O11" i="187" s="1"/>
  <c r="B11" i="200"/>
  <c r="R40" i="186"/>
  <c r="C16" i="186"/>
  <c r="O11" i="186" s="1"/>
  <c r="B10" i="200"/>
  <c r="R40" i="185"/>
  <c r="C16" i="185"/>
  <c r="O11" i="185" s="1"/>
  <c r="B4" i="200"/>
  <c r="B6" i="200" s="1"/>
  <c r="B3" i="200"/>
  <c r="B9" i="200"/>
  <c r="C16" i="195"/>
  <c r="O11" i="195" s="1"/>
  <c r="B14" i="200" l="1"/>
</calcChain>
</file>

<file path=xl/sharedStrings.xml><?xml version="1.0" encoding="utf-8"?>
<sst xmlns="http://schemas.openxmlformats.org/spreadsheetml/2006/main" count="1962" uniqueCount="253">
  <si>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</si>
  <si>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</si>
  <si>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</si>
  <si>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</si>
  <si>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</si>
  <si>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</si>
  <si>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</si>
  <si>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</si>
  <si>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</si>
  <si>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</si>
  <si>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</si>
  <si>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</si>
  <si>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</si>
  <si>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</si>
  <si>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</si>
  <si>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</si>
  <si>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</si>
  <si>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</si>
  <si>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</si>
  <si>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</si>
  <si>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</si>
  <si>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 xml:space="preserve">SUZANA LINS 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</si>
  <si>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</si>
  <si>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</si>
  <si>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</si>
  <si>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</si>
  <si>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</si>
  <si>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</si>
  <si>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</si>
  <si>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LARISSA DIAS</t>
  </si>
  <si>
    <t>DOMINGOS ALEIXO</t>
  </si>
  <si>
    <t>Recebimento de Carnê</t>
  </si>
  <si>
    <t>Valor Parcela</t>
  </si>
  <si>
    <t>Nº Parcela</t>
  </si>
  <si>
    <t>Parcelas</t>
  </si>
  <si>
    <t>Valor Total</t>
  </si>
  <si>
    <t xml:space="preserve">BRENDHA DE OLIVEIRA </t>
  </si>
  <si>
    <t>PARC. 4/5</t>
  </si>
  <si>
    <t>Total de OS</t>
  </si>
  <si>
    <t>Fechamento Diário do Caixa</t>
  </si>
  <si>
    <t xml:space="preserve"> V</t>
  </si>
  <si>
    <t>DINALVA NASCIMENTO</t>
  </si>
  <si>
    <t>ROSELI VIEIRA</t>
  </si>
  <si>
    <t>FERNANDA  DA SILVA SANTOS</t>
  </si>
  <si>
    <t>BETH</t>
  </si>
  <si>
    <t>Sim</t>
  </si>
  <si>
    <t>Não</t>
  </si>
  <si>
    <t>SERGIO ROBERTO</t>
  </si>
  <si>
    <t>JACINTO FERNANDES</t>
  </si>
  <si>
    <t xml:space="preserve">MARIA DO PERPETUO </t>
  </si>
  <si>
    <t xml:space="preserve"> JANAINA DOS SANTOS</t>
  </si>
  <si>
    <t xml:space="preserve">  DOUGLAS LOPES ARAUJO</t>
  </si>
  <si>
    <t>DOUGLAS LOPES ARAUJO</t>
  </si>
  <si>
    <t>PARC. 1/4</t>
  </si>
  <si>
    <t>PARC. 2/4</t>
  </si>
  <si>
    <t>SELMA MIRANDA ALMEIDA</t>
  </si>
  <si>
    <t>PARC. 4/4</t>
  </si>
  <si>
    <t>MONIQUE FERREIRA</t>
  </si>
  <si>
    <t xml:space="preserve">MONETI APARECIDA </t>
  </si>
  <si>
    <t xml:space="preserve">JOSÉ GOMES </t>
  </si>
  <si>
    <t xml:space="preserve">HELENA SOARES </t>
  </si>
  <si>
    <t xml:space="preserve">SUNAMITA RENATA </t>
  </si>
  <si>
    <t xml:space="preserve">PATRICIA FRANCISCA </t>
  </si>
  <si>
    <t>PARC. 3/6</t>
  </si>
  <si>
    <t xml:space="preserve">VALDINEI DO NASCIMENTO </t>
  </si>
  <si>
    <t>PARC. 6/6</t>
  </si>
  <si>
    <t>FRANCINE ZANONI</t>
  </si>
  <si>
    <t>PAGAMENTO LARISSA</t>
  </si>
  <si>
    <t>VALERIA SILVA</t>
  </si>
  <si>
    <t xml:space="preserve">JOSÉ ANTONIO </t>
  </si>
  <si>
    <t xml:space="preserve"> </t>
  </si>
  <si>
    <t>beth</t>
  </si>
  <si>
    <t xml:space="preserve">        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</si>
  <si>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</si>
  <si>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</si>
  <si>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</si>
  <si>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</si>
  <si>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</si>
  <si>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</si>
  <si>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</si>
  <si>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</si>
  <si>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</si>
  <si>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</si>
  <si>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</si>
  <si>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</si>
  <si>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SS</t>
  </si>
  <si>
    <t>Sem Sinal</t>
  </si>
  <si>
    <t>PARC. 3/3</t>
  </si>
  <si>
    <t xml:space="preserve">Carne </t>
  </si>
  <si>
    <t>GARANTIA</t>
  </si>
  <si>
    <t>Todas as Garantias</t>
  </si>
  <si>
    <t>PARC. 3/4</t>
  </si>
  <si>
    <t>PARC. 1/5</t>
  </si>
  <si>
    <t>PARC. 2/5</t>
  </si>
  <si>
    <t>PARC. 3/5</t>
  </si>
  <si>
    <t>PARC. 5/5</t>
  </si>
  <si>
    <t>PARC. 1/6</t>
  </si>
  <si>
    <t>PARC. 2/6</t>
  </si>
  <si>
    <t>PARC. 4/6</t>
  </si>
  <si>
    <t>PARC. 5/6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</si>
  <si>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</si>
  <si>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</si>
  <si>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</si>
  <si>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</si>
  <si>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</si>
  <si>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</si>
  <si>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</si>
  <si>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</si>
  <si>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</si>
  <si>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</si>
  <si>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</si>
  <si>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</si>
  <si>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</si>
  <si>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</si>
  <si>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</si>
  <si>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</si>
  <si>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</si>
  <si>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</si>
  <si>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</si>
  <si>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</si>
  <si>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</si>
  <si>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</si>
  <si>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</si>
  <si>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</si>
  <si>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</si>
  <si>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</si>
  <si>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</si>
  <si>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</si>
  <si>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</si>
  <si>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</si>
  <si>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</si>
  <si>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</si>
  <si>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</si>
  <si>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</si>
  <si>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</si>
  <si>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</si>
  <si>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</si>
  <si>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</si>
  <si>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</si>
  <si>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</si>
  <si>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</si>
  <si>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</si>
  <si>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</si>
  <si>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</si>
  <si>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</si>
  <si>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</si>
  <si>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</si>
  <si>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</si>
  <si>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</si>
  <si>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</si>
  <si>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</si>
  <si>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</si>
  <si>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</si>
  <si>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</si>
  <si>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</si>
  <si>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</si>
  <si>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</si>
  <si>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VALERIA OLINDA</t>
  </si>
  <si>
    <t>EDITE FRANCISCA</t>
  </si>
  <si>
    <t>MARCIA CRISTINA</t>
  </si>
  <si>
    <t>ALTAMIR FRANCISCO</t>
  </si>
  <si>
    <t>ELIANA SIQUEIRA</t>
  </si>
  <si>
    <t>SONIA MARCELINO</t>
  </si>
  <si>
    <t xml:space="preserve">HELENA  SOARES </t>
  </si>
  <si>
    <t>HELENA SOARES</t>
  </si>
  <si>
    <t>ALBERTO DA SILVA</t>
  </si>
  <si>
    <t xml:space="preserve">VALDIRENE CLEMENTINO </t>
  </si>
  <si>
    <t>edilene elias</t>
  </si>
  <si>
    <t>jose elias inacio</t>
  </si>
  <si>
    <t>severina da silva</t>
  </si>
  <si>
    <t>reinaldo romanhalo</t>
  </si>
  <si>
    <t xml:space="preserve">adão domingos </t>
  </si>
  <si>
    <t>elias dos santos</t>
  </si>
  <si>
    <t>paloma thaisa</t>
  </si>
  <si>
    <t>natalia regina</t>
  </si>
  <si>
    <t xml:space="preserve">noemi rodrigues </t>
  </si>
  <si>
    <t>silvia regina</t>
  </si>
  <si>
    <t>eudes conceição</t>
  </si>
  <si>
    <t>evenildo souza</t>
  </si>
  <si>
    <t>gislene rodrigues</t>
  </si>
  <si>
    <t>carlos honorio</t>
  </si>
  <si>
    <t>iurapuan luiz</t>
  </si>
  <si>
    <t xml:space="preserve">celi ramos lima </t>
  </si>
  <si>
    <t>Josefina Severina da Silva</t>
  </si>
  <si>
    <t>LUIZ CARLOS</t>
  </si>
  <si>
    <t>JOSÉ ANTONIO</t>
  </si>
  <si>
    <t/>
  </si>
  <si>
    <t>SIMONE VALES</t>
  </si>
  <si>
    <t xml:space="preserve">HILDA SOUZA </t>
  </si>
  <si>
    <t>B ETH</t>
  </si>
  <si>
    <t>ALDIMEIA PEREIRA</t>
  </si>
  <si>
    <t xml:space="preserve">ELENITA DIAS </t>
  </si>
  <si>
    <t xml:space="preserve">FATIMA OLIVEIRA </t>
  </si>
  <si>
    <t>ROSANGELA DA FONSECA</t>
  </si>
  <si>
    <t xml:space="preserve">PAULO ALEXANDRE </t>
  </si>
  <si>
    <t xml:space="preserve">GIOVANNA  DA SILVA </t>
  </si>
  <si>
    <t>HELEN  MARIA CARVALHO</t>
  </si>
  <si>
    <t xml:space="preserve">JOSÉ JACKSON </t>
  </si>
  <si>
    <t xml:space="preserve">LIDIANE THAIS </t>
  </si>
  <si>
    <t xml:space="preserve">RAQUEL BATISTA </t>
  </si>
  <si>
    <t xml:space="preserve">WALDOMIRO  RIBEIRO </t>
  </si>
  <si>
    <t xml:space="preserve">MARIA REGINA </t>
  </si>
  <si>
    <t>CHARLETON  CRISTINO</t>
  </si>
  <si>
    <t>ASYLA TATIANA</t>
  </si>
  <si>
    <t>GRAZIELE CUSTODIO</t>
  </si>
  <si>
    <t>ROGERIO  MARQUES</t>
  </si>
  <si>
    <t xml:space="preserve">IVANETE PEREIRA </t>
  </si>
  <si>
    <t>REINALDO ROMANHHALO</t>
  </si>
  <si>
    <t>OLINDA GONÇALVES</t>
  </si>
  <si>
    <t>RITA NATHALIA</t>
  </si>
  <si>
    <t>JAQUELINE TIGRE</t>
  </si>
  <si>
    <t>ROSANGELA PAIVA</t>
  </si>
  <si>
    <t>ROSA MARIA</t>
  </si>
  <si>
    <t>SABRINA SILVA</t>
  </si>
  <si>
    <t>LARISSA</t>
  </si>
  <si>
    <t>TATY</t>
  </si>
  <si>
    <t>LUZIA PARECIDA TERASSI</t>
  </si>
  <si>
    <t>JOSE GOMES</t>
  </si>
  <si>
    <t>VALDIENE ALVES</t>
  </si>
  <si>
    <t>WEVILLY</t>
  </si>
  <si>
    <t>CELIA ESPINDOLA</t>
  </si>
  <si>
    <t>JAQUELINE MOREIRA</t>
  </si>
  <si>
    <t>JOAO  CARLOS</t>
  </si>
  <si>
    <t>PALOMA DE SOUSA</t>
  </si>
  <si>
    <t>HILDA  CONCEICAO</t>
  </si>
  <si>
    <t>VALDIRENE CLEMENTINO</t>
  </si>
  <si>
    <t xml:space="preserve">VALQUIRIA ALVES </t>
  </si>
  <si>
    <t xml:space="preserve">PEDRO BRITO </t>
  </si>
  <si>
    <t xml:space="preserve">ERIKA TODAO </t>
  </si>
  <si>
    <t>INES JOANA SANTOS</t>
  </si>
  <si>
    <t>MARIA DO CARMO</t>
  </si>
  <si>
    <t xml:space="preserve">WALTER LUIZ </t>
  </si>
  <si>
    <t xml:space="preserve">ISALTINA JULIA </t>
  </si>
  <si>
    <t xml:space="preserve">FRANCISCA SOLANGE </t>
  </si>
  <si>
    <t xml:space="preserve">OSIAS GOMES </t>
  </si>
  <si>
    <t>VALQUIRIA DUBAS</t>
  </si>
  <si>
    <t>LINDALVA ALVAREZ</t>
  </si>
  <si>
    <t>laudevan barboza</t>
  </si>
  <si>
    <t>midia barbosa</t>
  </si>
  <si>
    <t xml:space="preserve">sonia maria </t>
  </si>
  <si>
    <t xml:space="preserve">vanizia suena </t>
  </si>
  <si>
    <t>magda alves</t>
  </si>
  <si>
    <t xml:space="preserve">ROSA MARIA DE SOUZA </t>
  </si>
  <si>
    <t xml:space="preserve">MARIA DO CARMO </t>
  </si>
  <si>
    <t xml:space="preserve">GISLENE RODRIGUES </t>
  </si>
  <si>
    <t xml:space="preserve">SEVERINO DE BRAGA </t>
  </si>
  <si>
    <t>ESMERALDO JOAQUIM</t>
  </si>
  <si>
    <t>LUCIENE DE FREITAS</t>
  </si>
  <si>
    <t>CHARLETON CRISTINO</t>
  </si>
  <si>
    <t>EUDES CONCEIÇAO</t>
  </si>
  <si>
    <t>WEVELLY</t>
  </si>
  <si>
    <t>BRENDHA OLIVEIRA</t>
  </si>
  <si>
    <t xml:space="preserve">HELEN MARIA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</si>
</sst>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0" fillId="5" borderId="0" xfId="2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164" fontId="44" fillId="0" borderId="17" xfId="2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0" fontId="43" fillId="0" borderId="17" xfId="4" applyNumberFormat="1" applyFont="1" applyFill="1" applyBorder="1" applyAlignment="1">
      <alignment horizontal="center"/>
    </xf>
    <xf numFmtId="0" fontId="24" fillId="0" borderId="17" xfId="0" quotePrefix="1" applyFont="1" applyBorder="1" applyAlignment="1">
      <alignment horizontal="center"/>
    </xf>
    <xf numFmtId="1" fontId="45" fillId="0" borderId="17" xfId="2" applyNumberFormat="1" applyFont="1" applyFill="1" applyBorder="1" applyAlignment="1">
      <alignment horizontal="center"/>
    </xf>
    <xf numFmtId="0" fontId="30" fillId="0" borderId="17" xfId="0" quotePrefix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81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39131.99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33300.99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500</v>
      </c>
    </row>
    <row r="6" spans="1:2" ht="15.75" x14ac:dyDescent="0.25">
      <c r="A6" s="28" t="s">
        <v>4</v>
      </c>
      <c r="B6" s="29">
        <f>SUM(B4:B5)</f>
        <v>33800.99</v>
      </c>
    </row>
    <row r="7" spans="1:2" ht="15" x14ac:dyDescent="0.25">
      <c r="A7" s="2"/>
      <c r="B7" s="2"/>
    </row>
    <row r="8" spans="1:2" ht="15" x14ac:dyDescent="0.2">
      <c r="A8" s="102" t="s">
        <v>5</v>
      </c>
      <c r="B8" s="102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3766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5625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14793.99</v>
      </c>
    </row>
    <row r="12" spans="1:2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5190</v>
      </c>
    </row>
    <row r="13" spans="1:2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9289.7799999999988</v>
      </c>
    </row>
    <row r="14" spans="1:2" ht="15.75" x14ac:dyDescent="0.25">
      <c r="A14" s="28" t="s">
        <v>11</v>
      </c>
      <c r="B14" s="82">
        <f ca="1">SUM(B9:B13)</f>
        <v>38664.769999999997</v>
      </c>
    </row>
    <row r="15" spans="1:2" ht="15" x14ac:dyDescent="0.25">
      <c r="A15" s="2"/>
      <c r="B15" s="2"/>
    </row>
    <row r="16" spans="1:2" ht="15" x14ac:dyDescent="0.2">
      <c r="A16" s="102" t="s">
        <v>12</v>
      </c>
      <c r="B16" s="102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6260</v>
      </c>
    </row>
    <row r="18" spans="1:2" ht="15.75" x14ac:dyDescent="0.25">
      <c r="A18" s="28" t="s">
        <v>11</v>
      </c>
      <c r="B18" s="82">
        <f>SUM(B17:B17)</f>
        <v>6260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7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45444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1190</v>
      </c>
      <c r="D6" s="2"/>
      <c r="E6" s="18">
        <v>4285</v>
      </c>
      <c r="F6" s="25" t="s">
        <v>21</v>
      </c>
      <c r="G6" s="26" t="s">
        <v>7</v>
      </c>
      <c r="H6" s="8">
        <v>600</v>
      </c>
      <c r="I6" s="8">
        <v>600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22</v>
      </c>
      <c r="C8" s="29">
        <f>SUM(C6:C7)</f>
        <v>1190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390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98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1288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4281</v>
      </c>
      <c r="F26" s="25" t="s">
        <v>29</v>
      </c>
      <c r="G26" s="26" t="s">
        <v>9</v>
      </c>
      <c r="H26" s="8"/>
      <c r="I26" s="8">
        <v>390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4245</v>
      </c>
      <c r="F27" s="25" t="s">
        <v>30</v>
      </c>
      <c r="G27" s="26" t="s">
        <v>6</v>
      </c>
      <c r="H27" s="8"/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4002</v>
      </c>
      <c r="F35" s="25" t="s">
        <v>36</v>
      </c>
      <c r="G35" s="26" t="s">
        <v>10</v>
      </c>
      <c r="H35" s="8">
        <v>98</v>
      </c>
      <c r="I35" s="8" t="s">
        <v>37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9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4">
        <f>'01'!B1+1</f>
        <v>45445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0"/>
      <c r="F13" s="65"/>
      <c r="G13" s="91"/>
      <c r="H13" s="77"/>
      <c r="I13" s="77"/>
      <c r="J13" s="2"/>
      <c r="K13" s="104" t="s">
        <v>23</v>
      </c>
      <c r="L13" s="105"/>
      <c r="M13" s="106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0"/>
      <c r="F14" s="65"/>
      <c r="G14" s="91"/>
      <c r="H14" s="77"/>
      <c r="I14" s="77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21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  <c r="U34" s="1" t="s">
        <v>40</v>
      </c>
    </row>
    <row r="35" spans="2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7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45446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2190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2190</v>
      </c>
      <c r="D6" s="2"/>
      <c r="E6" s="18">
        <v>4286</v>
      </c>
      <c r="F6" s="25" t="s">
        <v>41</v>
      </c>
      <c r="G6" s="46" t="s">
        <v>9</v>
      </c>
      <c r="H6" s="8">
        <v>2190</v>
      </c>
      <c r="I6" s="8">
        <v>2190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22</v>
      </c>
      <c r="C8" s="29">
        <f>SUM(C6:C7)</f>
        <v>2190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2190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2330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2190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3969</v>
      </c>
      <c r="F35" s="25" t="s">
        <v>42</v>
      </c>
      <c r="G35" s="26" t="s">
        <v>10</v>
      </c>
      <c r="H35" s="8">
        <v>140</v>
      </c>
      <c r="I35" s="8" t="s">
        <v>37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9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45447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2055</v>
      </c>
      <c r="D6" s="2"/>
      <c r="E6" s="18">
        <v>4287</v>
      </c>
      <c r="F6" s="25" t="s">
        <v>43</v>
      </c>
      <c r="G6" s="46" t="s">
        <v>7</v>
      </c>
      <c r="H6" s="8">
        <v>50</v>
      </c>
      <c r="I6" s="8">
        <v>50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22</v>
      </c>
      <c r="C8" s="29">
        <f>SUM(C6:C7)</f>
        <v>2055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480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1938</v>
      </c>
      <c r="D15" s="2"/>
      <c r="E15" s="18"/>
      <c r="F15" s="25"/>
      <c r="G15" s="26"/>
      <c r="H15" s="8"/>
      <c r="I15" s="8"/>
      <c r="J15" s="2"/>
      <c r="K15" s="60">
        <v>4257</v>
      </c>
      <c r="L15" s="61" t="s">
        <v>44</v>
      </c>
      <c r="M15" s="62" t="s">
        <v>45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2543</v>
      </c>
      <c r="D16" s="2"/>
      <c r="E16" s="18"/>
      <c r="F16" s="25"/>
      <c r="G16" s="26"/>
      <c r="H16" s="8"/>
      <c r="I16" s="8"/>
      <c r="J16" s="2"/>
      <c r="K16" s="63">
        <v>4258</v>
      </c>
      <c r="L16" s="60" t="s">
        <v>44</v>
      </c>
      <c r="M16" s="62" t="s">
        <v>45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0">
        <v>4124</v>
      </c>
      <c r="L17" s="61" t="s">
        <v>44</v>
      </c>
      <c r="M17" s="62" t="s">
        <v>46</v>
      </c>
      <c r="R17" s="1">
        <f>IF(vend4[[#This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1</v>
      </c>
      <c r="C19" s="31">
        <f>SUM(entr_carn4[Valor Total])</f>
        <v>650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650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4255</v>
      </c>
      <c r="F26" s="25" t="s">
        <v>47</v>
      </c>
      <c r="G26" s="46" t="s">
        <v>10</v>
      </c>
      <c r="H26" s="8"/>
      <c r="I26" s="8">
        <v>1000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4256</v>
      </c>
      <c r="F27" s="25" t="s">
        <v>47</v>
      </c>
      <c r="G27" s="46" t="s">
        <v>10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4157</v>
      </c>
      <c r="F28" s="25" t="s">
        <v>48</v>
      </c>
      <c r="G28" s="46" t="s">
        <v>6</v>
      </c>
      <c r="H28" s="8"/>
      <c r="I28" s="8">
        <v>75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4275</v>
      </c>
      <c r="F29" s="25" t="s">
        <v>49</v>
      </c>
      <c r="G29" s="26" t="s">
        <v>9</v>
      </c>
      <c r="H29" s="8"/>
      <c r="I29" s="8">
        <v>480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4257</v>
      </c>
      <c r="F30" s="39" t="s">
        <v>50</v>
      </c>
      <c r="G30" s="26" t="s">
        <v>10</v>
      </c>
      <c r="H30" s="8"/>
      <c r="I30" s="8">
        <v>150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4258</v>
      </c>
      <c r="F31" s="36" t="s">
        <v>51</v>
      </c>
      <c r="G31" s="37" t="s">
        <v>10</v>
      </c>
      <c r="H31" s="17"/>
      <c r="I31" s="17">
        <v>200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4257</v>
      </c>
      <c r="F35" s="25" t="s">
        <v>52</v>
      </c>
      <c r="G35" s="26" t="s">
        <v>10</v>
      </c>
      <c r="H35" s="8">
        <v>164</v>
      </c>
      <c r="I35" s="8" t="s">
        <v>53</v>
      </c>
      <c r="K35" s="25">
        <v>4257</v>
      </c>
      <c r="L35" s="41">
        <v>4</v>
      </c>
      <c r="M35" s="16">
        <v>650</v>
      </c>
    </row>
    <row r="36" spans="2:18" ht="15.75" x14ac:dyDescent="0.25">
      <c r="E36" s="18">
        <v>4257</v>
      </c>
      <c r="F36" s="25" t="s">
        <v>52</v>
      </c>
      <c r="G36" s="26" t="s">
        <v>10</v>
      </c>
      <c r="H36" s="8">
        <v>162</v>
      </c>
      <c r="I36" s="8" t="s">
        <v>54</v>
      </c>
      <c r="K36" s="25"/>
      <c r="L36" s="41"/>
      <c r="M36" s="16"/>
    </row>
    <row r="37" spans="2:18" ht="15.75" x14ac:dyDescent="0.25">
      <c r="E37" s="18">
        <v>4038</v>
      </c>
      <c r="F37" s="25" t="s">
        <v>55</v>
      </c>
      <c r="G37" s="26" t="s">
        <v>10</v>
      </c>
      <c r="H37" s="8">
        <v>162</v>
      </c>
      <c r="I37" s="8" t="s">
        <v>56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1" zoomScale="80" zoomScaleNormal="80" workbookViewId="0">
      <selection activeCell="V13" sqref="V13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4">
        <f>'04'!B1+1</f>
        <v>45448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240</v>
      </c>
      <c r="D6" s="2"/>
      <c r="E6" s="18">
        <v>4288</v>
      </c>
      <c r="F6" s="25" t="s">
        <v>57</v>
      </c>
      <c r="G6" s="46" t="s">
        <v>7</v>
      </c>
      <c r="H6" s="8">
        <v>450</v>
      </c>
      <c r="I6" s="8">
        <v>150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4289</v>
      </c>
      <c r="F7" s="25" t="s">
        <v>58</v>
      </c>
      <c r="G7" s="46" t="s">
        <v>7</v>
      </c>
      <c r="H7" s="8">
        <v>190</v>
      </c>
      <c r="I7" s="8">
        <v>90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22</v>
      </c>
      <c r="C8" s="29">
        <f>SUM(C6:C7)</f>
        <v>240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240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8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240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87"/>
      <c r="F37" s="86"/>
      <c r="G37" s="88"/>
      <c r="H37" s="89"/>
      <c r="I37" s="89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C4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'05'!B1+1</f>
        <v>45449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1465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925</v>
      </c>
      <c r="D6" s="2"/>
      <c r="E6" s="18">
        <v>4290</v>
      </c>
      <c r="F6" s="25" t="s">
        <v>59</v>
      </c>
      <c r="G6" s="26" t="s">
        <v>6</v>
      </c>
      <c r="H6" s="8">
        <v>575</v>
      </c>
      <c r="I6" s="8">
        <v>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4290</v>
      </c>
      <c r="F7" s="25" t="s">
        <v>59</v>
      </c>
      <c r="G7" s="26" t="s">
        <v>7</v>
      </c>
      <c r="H7" s="8"/>
      <c r="I7" s="8">
        <v>325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22</v>
      </c>
      <c r="C8" s="29">
        <f>SUM(C6:C7)</f>
        <v>925</v>
      </c>
      <c r="D8" s="2"/>
      <c r="E8" s="18">
        <v>4291</v>
      </c>
      <c r="F8" s="25" t="s">
        <v>60</v>
      </c>
      <c r="G8" s="26"/>
      <c r="H8" s="8">
        <v>890</v>
      </c>
      <c r="I8" s="8">
        <v>50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325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941</v>
      </c>
      <c r="D15" s="2"/>
      <c r="E15" s="18"/>
      <c r="F15" s="25"/>
      <c r="G15" s="26"/>
      <c r="H15" s="8"/>
      <c r="I15" s="8"/>
      <c r="J15" s="2"/>
      <c r="K15" s="18">
        <v>4262</v>
      </c>
      <c r="L15" s="25" t="s">
        <v>44</v>
      </c>
      <c r="M15" s="16" t="s">
        <v>45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1316</v>
      </c>
      <c r="D16" s="2"/>
      <c r="E16" s="18"/>
      <c r="F16" s="25"/>
      <c r="G16" s="26"/>
      <c r="H16" s="8"/>
      <c r="I16" s="8"/>
      <c r="J16" s="2"/>
      <c r="K16" s="25">
        <v>4271</v>
      </c>
      <c r="L16" s="9" t="s">
        <v>44</v>
      </c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1</v>
      </c>
      <c r="C19" s="31">
        <f>SUM(entr_carn6[Valor Total])</f>
        <v>650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650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1465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4262</v>
      </c>
      <c r="F26" s="25" t="s">
        <v>61</v>
      </c>
      <c r="G26" s="26" t="s">
        <v>10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4033</v>
      </c>
      <c r="F35" s="25" t="s">
        <v>62</v>
      </c>
      <c r="G35" s="26" t="s">
        <v>10</v>
      </c>
      <c r="H35" s="8">
        <v>314</v>
      </c>
      <c r="I35" s="8" t="s">
        <v>63</v>
      </c>
      <c r="K35" s="25">
        <v>4262</v>
      </c>
      <c r="L35" s="41">
        <v>5</v>
      </c>
      <c r="M35" s="16">
        <v>650</v>
      </c>
    </row>
    <row r="36" spans="2:18" ht="15.75" x14ac:dyDescent="0.25">
      <c r="E36" s="18">
        <v>3862</v>
      </c>
      <c r="F36" s="25" t="s">
        <v>64</v>
      </c>
      <c r="G36" s="26" t="s">
        <v>10</v>
      </c>
      <c r="H36" s="8">
        <v>127</v>
      </c>
      <c r="I36" s="8" t="s">
        <v>65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3" zoomScale="71" zoomScaleNormal="71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4">
        <f>'06'!B1+1</f>
        <v>45450</v>
      </c>
    </row>
    <row r="2" spans="2:21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  <c r="U4" s="1">
        <v>0</v>
      </c>
    </row>
    <row r="5" spans="2:21" ht="15" x14ac:dyDescent="0.25">
      <c r="B5" s="23" t="s">
        <v>1</v>
      </c>
      <c r="C5" s="24">
        <f>SUMIF(I6:I31,"&gt;0",H6:H31)</f>
        <v>1030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1530</v>
      </c>
      <c r="D6" s="2"/>
      <c r="E6" s="18">
        <v>4292</v>
      </c>
      <c r="F6" s="48" t="s">
        <v>66</v>
      </c>
      <c r="G6" s="48" t="s">
        <v>9</v>
      </c>
      <c r="H6" s="47">
        <v>990</v>
      </c>
      <c r="I6" s="47">
        <v>990</v>
      </c>
      <c r="J6" s="2"/>
      <c r="K6" s="25" t="s">
        <v>67</v>
      </c>
      <c r="L6" s="71" t="s">
        <v>6</v>
      </c>
      <c r="M6" s="9">
        <v>500</v>
      </c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500</v>
      </c>
      <c r="D7" s="2"/>
      <c r="E7" s="18">
        <v>4293</v>
      </c>
      <c r="F7" s="48" t="s">
        <v>68</v>
      </c>
      <c r="G7" s="48" t="s">
        <v>7</v>
      </c>
      <c r="H7" s="47">
        <v>40</v>
      </c>
      <c r="I7" s="47">
        <v>40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22</v>
      </c>
      <c r="C8" s="29">
        <f>SUM(C6:C7)</f>
        <v>2030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40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990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>
        <v>4201</v>
      </c>
      <c r="L15" s="50" t="s">
        <v>44</v>
      </c>
      <c r="M15" s="51" t="s">
        <v>45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1530</v>
      </c>
      <c r="D16" s="2"/>
      <c r="E16" s="18"/>
      <c r="F16" s="25"/>
      <c r="G16" s="26"/>
      <c r="H16" s="8"/>
      <c r="I16" s="8"/>
      <c r="J16" s="2"/>
      <c r="K16" s="45">
        <v>4293</v>
      </c>
      <c r="L16" s="9" t="s">
        <v>44</v>
      </c>
      <c r="M16" s="16" t="s">
        <v>46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1</v>
      </c>
      <c r="C19" s="31">
        <f>SUM(entr_carn7[Valor Total])</f>
        <v>340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340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27</v>
      </c>
      <c r="C22" s="32">
        <f>C5</f>
        <v>1030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8">
        <v>4200</v>
      </c>
      <c r="F26" s="64" t="s">
        <v>69</v>
      </c>
      <c r="G26" s="79" t="s">
        <v>6</v>
      </c>
      <c r="H26" s="80"/>
      <c r="I26" s="80">
        <v>500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4201</v>
      </c>
      <c r="L35" s="41">
        <v>3</v>
      </c>
      <c r="M35" s="16">
        <v>340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4">
        <f>'07'!B1+1</f>
        <v>45451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3120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2190</v>
      </c>
      <c r="D6" s="2"/>
      <c r="E6" s="85">
        <v>4294</v>
      </c>
      <c r="F6" s="8" t="s">
        <v>157</v>
      </c>
      <c r="G6" s="8" t="s">
        <v>8</v>
      </c>
      <c r="H6" s="8">
        <v>950</v>
      </c>
      <c r="I6" s="8">
        <v>160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8">
        <v>4295</v>
      </c>
      <c r="F7" s="89" t="s">
        <v>158</v>
      </c>
      <c r="G7" s="89" t="s">
        <v>8</v>
      </c>
      <c r="H7" s="89">
        <v>1380</v>
      </c>
      <c r="I7" s="89">
        <v>1380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22</v>
      </c>
      <c r="C8" s="29">
        <f>SUM(C6:C7)</f>
        <v>2190</v>
      </c>
      <c r="D8" s="2"/>
      <c r="E8" s="85">
        <v>4296</v>
      </c>
      <c r="F8" s="8" t="s">
        <v>159</v>
      </c>
      <c r="G8" s="8" t="s">
        <v>7</v>
      </c>
      <c r="H8" s="8">
        <v>790</v>
      </c>
      <c r="I8" s="8">
        <v>50</v>
      </c>
      <c r="J8" s="2"/>
      <c r="K8" s="25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5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(SUMIF($G$2:$G$31,B11,$I$2:$I$31))+(SUMIF($G$35:$G$42,B11,$H$35:$H$42))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(SUMIF($G$2:$G$31,B12,$I$2:$I$31))+(SUMIF($G$35:$G$42,B12,$H$35:$H$42))</f>
        <v>325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(SUMIF($G$2:$G$31,B13,$I$2:$I$31))+(SUMIF($G$35:$G$42,B13,$H$35:$H$42))</f>
        <v>2140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IF(vend8[[#This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>
        <v>3966</v>
      </c>
      <c r="L15" s="9" t="s">
        <v>44</v>
      </c>
      <c r="M15" s="16" t="s">
        <v>46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2485</v>
      </c>
      <c r="D16" s="2"/>
      <c r="E16" s="18"/>
      <c r="F16" s="25"/>
      <c r="G16" s="26"/>
      <c r="H16" s="8"/>
      <c r="I16" s="8"/>
      <c r="J16" s="2"/>
      <c r="K16" s="25">
        <v>4285</v>
      </c>
      <c r="L16" s="9" t="s">
        <v>44</v>
      </c>
      <c r="M16" s="16" t="s">
        <v>46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4223</v>
      </c>
      <c r="L17" s="9" t="s">
        <v>44</v>
      </c>
      <c r="M17" s="16" t="s">
        <v>46</v>
      </c>
      <c r="R17" s="1">
        <f>IF(vend8[[#This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>
        <v>4263</v>
      </c>
      <c r="L18" s="9" t="s">
        <v>44</v>
      </c>
      <c r="M18" s="16" t="s">
        <v>45</v>
      </c>
      <c r="R18" s="1">
        <f>IF(vend8[[#This Row],[Nº Venda]]&gt;1,1,0)</f>
        <v>0</v>
      </c>
    </row>
    <row r="19" spans="2:18" ht="15.75" x14ac:dyDescent="0.25">
      <c r="B19" s="30">
        <f>COUNT(entr_carn8[OS])</f>
        <v>1</v>
      </c>
      <c r="C19" s="31">
        <f>SUM(entr_carn8[Valor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8">
        <v>4263</v>
      </c>
      <c r="F26" s="96" t="s">
        <v>161</v>
      </c>
      <c r="G26" s="97" t="s">
        <v>8</v>
      </c>
      <c r="H26" s="80"/>
      <c r="I26" s="80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4223</v>
      </c>
      <c r="F27" s="25" t="s">
        <v>162</v>
      </c>
      <c r="G27" s="46" t="s">
        <v>8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4179</v>
      </c>
      <c r="F35" s="25" t="s">
        <v>160</v>
      </c>
      <c r="G35" s="26" t="s">
        <v>7</v>
      </c>
      <c r="H35" s="8">
        <v>175</v>
      </c>
      <c r="I35" s="8" t="s">
        <v>81</v>
      </c>
      <c r="K35" s="25">
        <v>4263</v>
      </c>
      <c r="L35" s="41">
        <v>2</v>
      </c>
      <c r="M35" s="16">
        <v>400</v>
      </c>
    </row>
    <row r="36" spans="2:18" ht="15.75" x14ac:dyDescent="0.25">
      <c r="E36" s="87">
        <v>4183</v>
      </c>
      <c r="F36" s="86" t="s">
        <v>183</v>
      </c>
      <c r="G36" s="88" t="s">
        <v>7</v>
      </c>
      <c r="H36" s="89">
        <v>100</v>
      </c>
      <c r="I36" s="89" t="s">
        <v>92</v>
      </c>
      <c r="K36" s="25"/>
      <c r="L36" s="41"/>
      <c r="M36" s="16"/>
    </row>
    <row r="37" spans="2:18" ht="15.75" x14ac:dyDescent="0.25">
      <c r="E37" s="87">
        <v>4183</v>
      </c>
      <c r="F37" s="86" t="s">
        <v>183</v>
      </c>
      <c r="G37" s="88" t="s">
        <v>6</v>
      </c>
      <c r="H37" s="89">
        <v>20</v>
      </c>
      <c r="I37" s="89" t="s">
        <v>92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3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93"/>
      <c r="G42" s="37"/>
      <c r="H42" s="17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9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45452</v>
      </c>
    </row>
    <row r="2" spans="2:22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B9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45453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1340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22</v>
      </c>
      <c r="C8" s="29">
        <f>SUM(C6:C7)</f>
        <v>1340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1140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200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1340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4238</v>
      </c>
      <c r="F26" s="25" t="s">
        <v>163</v>
      </c>
      <c r="G26" s="46" t="s">
        <v>10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4238</v>
      </c>
      <c r="F27" s="25" t="s">
        <v>164</v>
      </c>
      <c r="G27" s="95" t="s">
        <v>9</v>
      </c>
      <c r="H27" s="95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4291</v>
      </c>
      <c r="F28" s="25" t="s">
        <v>60</v>
      </c>
      <c r="G28" s="46" t="s">
        <v>9</v>
      </c>
      <c r="H28" s="8"/>
      <c r="I28" s="8">
        <v>640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4" t="s">
        <v>12</v>
      </c>
      <c r="L33" s="105"/>
      <c r="M33" s="106"/>
    </row>
    <row r="34" spans="2:18" ht="15" x14ac:dyDescent="0.25">
      <c r="E34" s="103" t="s">
        <v>31</v>
      </c>
      <c r="F34" s="103"/>
      <c r="G34" s="103"/>
      <c r="H34" s="103"/>
      <c r="I34" s="103"/>
      <c r="K34" s="14" t="s">
        <v>24</v>
      </c>
      <c r="L34" s="6" t="s">
        <v>34</v>
      </c>
      <c r="M34" s="15" t="s">
        <v>35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32</v>
      </c>
      <c r="I35" s="13" t="s">
        <v>33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G36:G42 G26 G28:G32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2" zoomScale="80" zoomScaleNormal="80" workbookViewId="0">
      <selection activeCell="J8" sqref="J8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4">
        <f>'10'!B1+1</f>
        <v>45454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2250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2250</v>
      </c>
      <c r="D6" s="2"/>
      <c r="E6" s="18">
        <v>4297</v>
      </c>
      <c r="F6" s="25" t="s">
        <v>165</v>
      </c>
      <c r="G6" s="26" t="s">
        <v>8</v>
      </c>
      <c r="H6" s="8">
        <v>1900</v>
      </c>
      <c r="I6" s="8">
        <v>1900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4298</v>
      </c>
      <c r="F7" s="25" t="s">
        <v>165</v>
      </c>
      <c r="G7" s="26" t="s">
        <v>8</v>
      </c>
      <c r="H7" s="8">
        <v>350</v>
      </c>
      <c r="I7" s="8">
        <v>350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22</v>
      </c>
      <c r="C8" s="29">
        <f>SUM(C6:C7)</f>
        <v>2250</v>
      </c>
      <c r="D8" s="2"/>
      <c r="E8" s="18">
        <v>4299</v>
      </c>
      <c r="F8" s="25" t="s">
        <v>166</v>
      </c>
      <c r="G8" s="26" t="s">
        <v>85</v>
      </c>
      <c r="H8" s="8">
        <v>70</v>
      </c>
      <c r="I8" s="8">
        <v>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2250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2250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4" zoomScale="80" zoomScaleNormal="80" workbookViewId="0">
      <selection activeCell="E18" sqref="E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7.425781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45455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10638.99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5499.99</v>
      </c>
      <c r="D6" s="2"/>
      <c r="E6" s="92">
        <v>4300</v>
      </c>
      <c r="F6" s="52" t="s">
        <v>167</v>
      </c>
      <c r="G6" s="52" t="s">
        <v>6</v>
      </c>
      <c r="H6" s="53">
        <v>380</v>
      </c>
      <c r="I6" s="53">
        <v>100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7">
        <v>4301</v>
      </c>
      <c r="F7" s="54" t="s">
        <v>168</v>
      </c>
      <c r="G7" s="54" t="s">
        <v>7</v>
      </c>
      <c r="H7" s="55">
        <v>1400</v>
      </c>
      <c r="I7" s="55">
        <v>1400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22</v>
      </c>
      <c r="C8" s="29">
        <f>SUM(C6:C7)</f>
        <v>5499.99</v>
      </c>
      <c r="D8" s="2"/>
      <c r="E8" s="57">
        <v>4302</v>
      </c>
      <c r="F8" s="54" t="s">
        <v>169</v>
      </c>
      <c r="G8" s="54" t="s">
        <v>6</v>
      </c>
      <c r="H8" s="55">
        <v>50</v>
      </c>
      <c r="I8" s="55">
        <v>50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4303</v>
      </c>
      <c r="F9" s="25" t="s">
        <v>179</v>
      </c>
      <c r="G9" s="26" t="s">
        <v>6</v>
      </c>
      <c r="H9" s="8">
        <v>1000</v>
      </c>
      <c r="I9" s="8">
        <v>100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102" t="s">
        <v>5</v>
      </c>
      <c r="C10" s="102"/>
      <c r="D10" s="2"/>
      <c r="E10" s="18">
        <v>4304</v>
      </c>
      <c r="F10" s="99" t="s">
        <v>186</v>
      </c>
      <c r="G10" s="26" t="s">
        <v>8</v>
      </c>
      <c r="H10" s="8">
        <v>380</v>
      </c>
      <c r="I10" s="8">
        <v>380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460</v>
      </c>
      <c r="D11" s="2"/>
      <c r="E11" s="18">
        <v>4305</v>
      </c>
      <c r="F11" s="25" t="s">
        <v>170</v>
      </c>
      <c r="G11" s="26" t="s">
        <v>6</v>
      </c>
      <c r="H11" s="8">
        <v>590</v>
      </c>
      <c r="I11" s="8">
        <v>10</v>
      </c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1700</v>
      </c>
      <c r="D12" s="2"/>
      <c r="E12" s="18">
        <v>4306</v>
      </c>
      <c r="F12" s="25" t="s">
        <v>171</v>
      </c>
      <c r="G12" s="26" t="s">
        <v>8</v>
      </c>
      <c r="H12" s="8">
        <v>390</v>
      </c>
      <c r="I12" s="8">
        <v>100</v>
      </c>
      <c r="J12" s="2"/>
      <c r="R12" s="1">
        <f>IF(vend12[[#This Row],[Nº Venda]]&gt;1,1,0)</f>
        <v>1</v>
      </c>
    </row>
    <row r="13" spans="2:18" ht="15.75" x14ac:dyDescent="0.25">
      <c r="B13" s="30" t="s">
        <v>8</v>
      </c>
      <c r="C13" s="31">
        <f t="shared" si="0"/>
        <v>3139.99</v>
      </c>
      <c r="D13" s="2"/>
      <c r="E13" s="18">
        <v>4308</v>
      </c>
      <c r="F13" s="25" t="s">
        <v>172</v>
      </c>
      <c r="G13" s="26" t="s">
        <v>8</v>
      </c>
      <c r="H13" s="8">
        <v>880</v>
      </c>
      <c r="I13" s="8">
        <v>880</v>
      </c>
      <c r="J13" s="2"/>
      <c r="K13" s="104" t="s">
        <v>23</v>
      </c>
      <c r="L13" s="105"/>
      <c r="M13" s="106"/>
      <c r="R13" s="1">
        <f>IF(vend12[[#This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4309</v>
      </c>
      <c r="F14" s="25" t="s">
        <v>173</v>
      </c>
      <c r="G14" s="26" t="s">
        <v>8</v>
      </c>
      <c r="H14" s="8">
        <v>499.99</v>
      </c>
      <c r="I14" s="8">
        <v>499.99</v>
      </c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1</v>
      </c>
    </row>
    <row r="15" spans="2:18" ht="15.75" x14ac:dyDescent="0.25">
      <c r="B15" s="30" t="s">
        <v>10</v>
      </c>
      <c r="C15" s="31">
        <f t="shared" si="0"/>
        <v>534.28</v>
      </c>
      <c r="D15" s="2"/>
      <c r="E15" s="18">
        <v>4310</v>
      </c>
      <c r="F15" s="25" t="s">
        <v>174</v>
      </c>
      <c r="G15" s="26" t="s">
        <v>10</v>
      </c>
      <c r="H15" s="8">
        <v>599</v>
      </c>
      <c r="I15" s="8">
        <v>30</v>
      </c>
      <c r="J15" s="2"/>
      <c r="K15" s="25">
        <v>4302</v>
      </c>
      <c r="L15" s="9" t="s">
        <v>71</v>
      </c>
      <c r="M15" s="16" t="s">
        <v>46</v>
      </c>
      <c r="R15" s="1">
        <f>IF(vend12[[#This Row],[Nº Venda]]&gt;1,1,0)</f>
        <v>1</v>
      </c>
    </row>
    <row r="16" spans="2:18" ht="15.75" x14ac:dyDescent="0.25">
      <c r="B16" s="28" t="s">
        <v>11</v>
      </c>
      <c r="C16" s="32">
        <f>SUM(C11:C15)</f>
        <v>5834.2699999999995</v>
      </c>
      <c r="D16" s="2"/>
      <c r="E16" s="18">
        <v>4311</v>
      </c>
      <c r="F16" s="25" t="s">
        <v>175</v>
      </c>
      <c r="G16" s="26" t="s">
        <v>8</v>
      </c>
      <c r="H16" s="8">
        <v>900</v>
      </c>
      <c r="I16" s="8">
        <v>900</v>
      </c>
      <c r="J16" s="2"/>
      <c r="K16" s="25"/>
      <c r="L16" s="9"/>
      <c r="M16" s="16"/>
      <c r="R16" s="1">
        <f>IF(vend12[[#This Row],[Nº Venda]]&gt;1,1,0)</f>
        <v>1</v>
      </c>
    </row>
    <row r="17" spans="2:18" ht="15.75" x14ac:dyDescent="0.25">
      <c r="B17" s="2"/>
      <c r="C17" s="2"/>
      <c r="D17" s="2"/>
      <c r="E17" s="18">
        <v>4312</v>
      </c>
      <c r="F17" s="25" t="s">
        <v>176</v>
      </c>
      <c r="G17" s="26" t="s">
        <v>10</v>
      </c>
      <c r="H17" s="8">
        <v>1000</v>
      </c>
      <c r="I17" s="8">
        <v>70</v>
      </c>
      <c r="J17" s="2"/>
      <c r="K17" s="25"/>
      <c r="L17" s="9"/>
      <c r="M17" s="16"/>
      <c r="R17" s="1">
        <f>IF(vend12[[#This Row],[Nº Venda]]&gt;1,1,0)</f>
        <v>1</v>
      </c>
    </row>
    <row r="18" spans="2:18" ht="15.75" x14ac:dyDescent="0.25">
      <c r="B18" s="102" t="s">
        <v>12</v>
      </c>
      <c r="C18" s="102"/>
      <c r="D18" s="2"/>
      <c r="E18" s="18">
        <v>4313</v>
      </c>
      <c r="F18" s="25" t="s">
        <v>177</v>
      </c>
      <c r="G18" s="26" t="s">
        <v>10</v>
      </c>
      <c r="H18" s="8">
        <v>2190</v>
      </c>
      <c r="I18" s="8">
        <v>100</v>
      </c>
      <c r="J18" s="2"/>
      <c r="K18" s="25"/>
      <c r="L18" s="9"/>
      <c r="M18" s="16"/>
      <c r="R18" s="1">
        <f>IF(vend12[[#This Row],[Nº Venda]]&gt;1,1,0)</f>
        <v>1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>
        <v>4314</v>
      </c>
      <c r="F19" s="25" t="s">
        <v>178</v>
      </c>
      <c r="G19" s="26" t="s">
        <v>8</v>
      </c>
      <c r="H19" s="8">
        <v>380</v>
      </c>
      <c r="I19" s="8">
        <v>380</v>
      </c>
      <c r="J19" s="2"/>
      <c r="K19" s="25"/>
      <c r="L19" s="9"/>
      <c r="M19" s="16"/>
      <c r="R19" s="1">
        <f>IF(vend12[[#This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59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10638.99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4279</v>
      </c>
      <c r="F26" s="56" t="s">
        <v>180</v>
      </c>
      <c r="G26" s="46" t="s">
        <v>7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4252</v>
      </c>
      <c r="F27" s="25" t="s">
        <v>181</v>
      </c>
      <c r="G27" s="26" t="s">
        <v>6</v>
      </c>
      <c r="H27" s="8"/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4013</v>
      </c>
      <c r="F35" s="25" t="s">
        <v>182</v>
      </c>
      <c r="G35" s="26" t="s">
        <v>10</v>
      </c>
      <c r="H35" s="8">
        <v>334.28</v>
      </c>
      <c r="I35" s="8" t="s">
        <v>103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14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B19" zoomScale="80" zoomScaleNormal="80" workbookViewId="0">
      <selection activeCell="I38" sqref="I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45456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395</v>
      </c>
      <c r="D6" s="2"/>
      <c r="E6" s="18">
        <v>4315</v>
      </c>
      <c r="F6" s="25" t="s">
        <v>184</v>
      </c>
      <c r="G6" s="26" t="s">
        <v>7</v>
      </c>
      <c r="H6" s="8">
        <v>60</v>
      </c>
      <c r="I6" s="8">
        <v>60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4316</v>
      </c>
      <c r="F7" s="25" t="s">
        <v>187</v>
      </c>
      <c r="G7" s="26" t="s">
        <v>6</v>
      </c>
      <c r="H7" s="8">
        <v>35</v>
      </c>
      <c r="I7" s="8">
        <v>35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22</v>
      </c>
      <c r="C8" s="29">
        <f>SUM(C6:C7)</f>
        <v>395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415.5</v>
      </c>
      <c r="D15" s="2"/>
      <c r="E15" s="18"/>
      <c r="F15" s="25"/>
      <c r="G15" s="26"/>
      <c r="H15" s="8"/>
      <c r="I15" s="8"/>
      <c r="J15" s="2"/>
      <c r="K15" s="25">
        <v>4281</v>
      </c>
      <c r="L15" s="9" t="s">
        <v>44</v>
      </c>
      <c r="M15" s="16" t="s">
        <v>46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960.5</v>
      </c>
      <c r="D16" s="2"/>
      <c r="E16" s="18"/>
      <c r="F16" s="25"/>
      <c r="G16" s="26"/>
      <c r="H16" s="8"/>
      <c r="I16" s="8"/>
      <c r="J16" s="2"/>
      <c r="K16" s="25">
        <v>4307</v>
      </c>
      <c r="L16" s="9" t="s">
        <v>44</v>
      </c>
      <c r="M16" s="16" t="s">
        <v>46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4200</v>
      </c>
      <c r="L17" s="9" t="s">
        <v>189</v>
      </c>
      <c r="M17" s="16" t="s">
        <v>46</v>
      </c>
      <c r="R17" s="1">
        <f>IF(vend13[[#This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4200</v>
      </c>
      <c r="F26" s="25" t="s">
        <v>185</v>
      </c>
      <c r="G26" s="26" t="s">
        <v>6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3872</v>
      </c>
      <c r="F35" s="25" t="s">
        <v>188</v>
      </c>
      <c r="G35" s="26" t="s">
        <v>7</v>
      </c>
      <c r="H35" s="8">
        <v>150</v>
      </c>
      <c r="I35" s="8" t="s">
        <v>105</v>
      </c>
      <c r="K35" s="25"/>
      <c r="L35" s="41"/>
      <c r="M35" s="16"/>
    </row>
    <row r="36" spans="2:18" ht="15.75" x14ac:dyDescent="0.25">
      <c r="E36" s="18">
        <v>4072</v>
      </c>
      <c r="F36" s="25" t="s">
        <v>190</v>
      </c>
      <c r="G36" s="26" t="s">
        <v>10</v>
      </c>
      <c r="H36" s="8">
        <v>100</v>
      </c>
      <c r="I36" s="8" t="s">
        <v>94</v>
      </c>
      <c r="K36" s="25"/>
      <c r="L36" s="41"/>
      <c r="M36" s="16"/>
    </row>
    <row r="37" spans="2:18" ht="15.75" x14ac:dyDescent="0.25">
      <c r="E37" s="18">
        <v>4075</v>
      </c>
      <c r="F37" s="25" t="s">
        <v>190</v>
      </c>
      <c r="G37" s="26" t="s">
        <v>10</v>
      </c>
      <c r="H37" s="8">
        <v>132.5</v>
      </c>
      <c r="I37" s="8" t="s">
        <v>94</v>
      </c>
      <c r="K37" s="25"/>
      <c r="L37" s="41"/>
      <c r="M37" s="16"/>
    </row>
    <row r="38" spans="2:18" ht="15.75" x14ac:dyDescent="0.25">
      <c r="E38" s="18">
        <v>4057</v>
      </c>
      <c r="F38" s="25" t="s">
        <v>191</v>
      </c>
      <c r="G38" s="26" t="s">
        <v>10</v>
      </c>
      <c r="H38" s="8">
        <v>183</v>
      </c>
      <c r="I38" s="8" t="s">
        <v>103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K22" sqref="K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45457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140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190</v>
      </c>
      <c r="D6" s="2"/>
      <c r="E6" s="18">
        <v>4317</v>
      </c>
      <c r="F6" s="25" t="s">
        <v>194</v>
      </c>
      <c r="G6" s="46" t="s">
        <v>7</v>
      </c>
      <c r="H6" s="8">
        <v>100</v>
      </c>
      <c r="I6" s="8">
        <v>100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4318</v>
      </c>
      <c r="F7" s="25" t="s">
        <v>193</v>
      </c>
      <c r="G7" s="46" t="s">
        <v>7</v>
      </c>
      <c r="H7" s="8">
        <v>40</v>
      </c>
      <c r="I7" s="8">
        <v>40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22</v>
      </c>
      <c r="C8" s="29">
        <f>SUM(C6:C7)</f>
        <v>190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140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4284</v>
      </c>
      <c r="L15" s="9" t="s">
        <v>44</v>
      </c>
      <c r="M15" s="16" t="s">
        <v>45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1</v>
      </c>
      <c r="C19" s="31">
        <f>SUM(entr_carn14[Valor Total])</f>
        <v>730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730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4269</v>
      </c>
      <c r="F26" s="25" t="s">
        <v>192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4284</v>
      </c>
      <c r="L35" s="41">
        <v>4</v>
      </c>
      <c r="M35" s="16">
        <v>730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7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4">
        <f>'14'!B1+1</f>
        <v>45458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1000</v>
      </c>
      <c r="D6" s="2"/>
      <c r="E6" s="18">
        <v>4319</v>
      </c>
      <c r="F6" s="25" t="s">
        <v>196</v>
      </c>
      <c r="G6" s="46" t="s">
        <v>10</v>
      </c>
      <c r="H6" s="8">
        <v>300</v>
      </c>
      <c r="I6" s="8">
        <v>200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22</v>
      </c>
      <c r="C8" s="29">
        <f>SUM(C6:C7)</f>
        <v>1000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700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65">
        <v>4272</v>
      </c>
      <c r="L15" s="73" t="s">
        <v>44</v>
      </c>
      <c r="M15" s="74" t="s">
        <v>46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1000</v>
      </c>
      <c r="D16" s="2"/>
      <c r="E16" s="18"/>
      <c r="F16" s="25"/>
      <c r="G16" s="26"/>
      <c r="H16" s="8"/>
      <c r="I16" s="8"/>
      <c r="J16" s="2"/>
      <c r="K16" s="25">
        <v>4245</v>
      </c>
      <c r="L16" s="9" t="s">
        <v>44</v>
      </c>
      <c r="M16" s="16" t="s">
        <v>46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5"/>
      <c r="L19" s="73"/>
      <c r="M19" s="74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4245</v>
      </c>
      <c r="F26" s="25" t="s">
        <v>30</v>
      </c>
      <c r="G26" s="4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4272</v>
      </c>
      <c r="F27" s="25" t="s">
        <v>195</v>
      </c>
      <c r="G27" s="26" t="s">
        <v>8</v>
      </c>
      <c r="H27" s="8"/>
      <c r="I27" s="8">
        <v>700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2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4">
        <f>'15'!B1+1</f>
        <v>45459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/>
      <c r="L17" s="73"/>
      <c r="M17" s="74"/>
      <c r="R17" s="1">
        <f>IF(vend16[[#This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6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45460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2249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2249</v>
      </c>
      <c r="D6" s="2"/>
      <c r="E6" s="18">
        <v>4320</v>
      </c>
      <c r="F6" s="25" t="s">
        <v>197</v>
      </c>
      <c r="G6" s="26" t="s">
        <v>89</v>
      </c>
      <c r="H6" s="8">
        <v>0</v>
      </c>
      <c r="I6" s="8">
        <v>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4321</v>
      </c>
      <c r="F7" s="25" t="s">
        <v>198</v>
      </c>
      <c r="G7" s="26" t="s">
        <v>10</v>
      </c>
      <c r="H7" s="8">
        <v>550</v>
      </c>
      <c r="I7" s="8">
        <v>550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22</v>
      </c>
      <c r="C8" s="29">
        <f>SUM(C6:C7)</f>
        <v>2249</v>
      </c>
      <c r="D8" s="2"/>
      <c r="E8" s="18">
        <v>4322</v>
      </c>
      <c r="F8" s="25" t="s">
        <v>198</v>
      </c>
      <c r="G8" s="26" t="s">
        <v>10</v>
      </c>
      <c r="H8" s="8">
        <v>300</v>
      </c>
      <c r="I8" s="8">
        <v>300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4323</v>
      </c>
      <c r="F9" s="25" t="s">
        <v>200</v>
      </c>
      <c r="G9" s="26" t="s">
        <v>8</v>
      </c>
      <c r="H9" s="8">
        <v>1399</v>
      </c>
      <c r="I9" s="8">
        <v>1399</v>
      </c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1399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850</v>
      </c>
      <c r="D15" s="2"/>
      <c r="E15" s="18"/>
      <c r="F15" s="25"/>
      <c r="G15" s="26"/>
      <c r="H15" s="8"/>
      <c r="I15" s="8"/>
      <c r="J15" s="2"/>
      <c r="K15" s="25">
        <v>4008</v>
      </c>
      <c r="L15" s="9" t="s">
        <v>44</v>
      </c>
      <c r="M15" s="16" t="s">
        <v>46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2449</v>
      </c>
      <c r="D16" s="2"/>
      <c r="E16" s="18"/>
      <c r="F16" s="25"/>
      <c r="G16" s="26"/>
      <c r="H16" s="8"/>
      <c r="I16" s="8"/>
      <c r="J16" s="2"/>
      <c r="K16" s="25">
        <v>4277</v>
      </c>
      <c r="L16" s="9" t="s">
        <v>44</v>
      </c>
      <c r="M16" s="16" t="s">
        <v>45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4276</v>
      </c>
      <c r="L17" s="9" t="s">
        <v>44</v>
      </c>
      <c r="M17" s="16" t="s">
        <v>46</v>
      </c>
      <c r="R17" s="1">
        <f>IF(vend17[[#This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>
        <v>4282</v>
      </c>
      <c r="L18" s="9" t="s">
        <v>44</v>
      </c>
      <c r="M18" s="16" t="s">
        <v>46</v>
      </c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2249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4008</v>
      </c>
      <c r="F35" s="25" t="s">
        <v>199</v>
      </c>
      <c r="G35" s="26" t="s">
        <v>6</v>
      </c>
      <c r="H35" s="8">
        <v>100</v>
      </c>
      <c r="I35" s="8" t="s">
        <v>83</v>
      </c>
      <c r="K35" s="25"/>
      <c r="L35" s="41"/>
      <c r="M35" s="16"/>
    </row>
    <row r="36" spans="2:18" ht="15.75" x14ac:dyDescent="0.25">
      <c r="E36" s="18">
        <v>4008</v>
      </c>
      <c r="F36" s="25" t="s">
        <v>199</v>
      </c>
      <c r="G36" s="26" t="s">
        <v>6</v>
      </c>
      <c r="H36" s="8">
        <v>100</v>
      </c>
      <c r="I36" s="8" t="s">
        <v>84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2" zoomScale="80" zoomScaleNormal="80" workbookViewId="0">
      <selection activeCell="G8" sqref="G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'17'!B1+1</f>
        <v>45461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790</v>
      </c>
      <c r="D6" s="2"/>
      <c r="E6" s="90">
        <v>4324</v>
      </c>
      <c r="F6" s="65" t="s">
        <v>201</v>
      </c>
      <c r="G6" s="91" t="s">
        <v>8</v>
      </c>
      <c r="H6" s="77">
        <v>40</v>
      </c>
      <c r="I6" s="77">
        <v>40</v>
      </c>
      <c r="J6" s="2"/>
      <c r="K6" s="25"/>
      <c r="L6" s="71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4325</v>
      </c>
      <c r="F7" s="25" t="s">
        <v>202</v>
      </c>
      <c r="G7" s="26" t="s">
        <v>7</v>
      </c>
      <c r="H7" s="8">
        <v>700</v>
      </c>
      <c r="I7" s="8">
        <v>700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22</v>
      </c>
      <c r="C8" s="29">
        <f>SUM(C6:C7)</f>
        <v>790</v>
      </c>
      <c r="D8" s="2"/>
      <c r="E8" s="18">
        <v>4325</v>
      </c>
      <c r="F8" s="25" t="s">
        <v>202</v>
      </c>
      <c r="G8" s="26" t="s">
        <v>7</v>
      </c>
      <c r="H8" s="8">
        <v>50</v>
      </c>
      <c r="I8" s="8">
        <v>50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750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40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>
        <v>4288</v>
      </c>
      <c r="L15" s="9" t="s">
        <v>44</v>
      </c>
      <c r="M15" s="16" t="s">
        <v>45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870</v>
      </c>
      <c r="D16" s="2"/>
      <c r="E16" s="18"/>
      <c r="F16" s="25"/>
      <c r="G16" s="26"/>
      <c r="H16" s="8"/>
      <c r="I16" s="8"/>
      <c r="J16" s="2"/>
      <c r="K16" s="25">
        <v>4289</v>
      </c>
      <c r="L16" s="9" t="s">
        <v>44</v>
      </c>
      <c r="M16" s="16" t="s">
        <v>45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2</v>
      </c>
      <c r="C19" s="31">
        <f>SUM(entr_carn18[Valor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9"/>
      <c r="F23" s="69"/>
      <c r="G23" s="69"/>
      <c r="H23" s="70"/>
      <c r="I23" s="70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4249</v>
      </c>
      <c r="F35" s="25" t="s">
        <v>203</v>
      </c>
      <c r="G35" s="26" t="s">
        <v>10</v>
      </c>
      <c r="H35" s="8">
        <v>80</v>
      </c>
      <c r="I35" s="8" t="s">
        <v>83</v>
      </c>
      <c r="K35" s="25">
        <v>4288</v>
      </c>
      <c r="L35" s="41">
        <v>1</v>
      </c>
      <c r="M35" s="16">
        <v>100</v>
      </c>
    </row>
    <row r="36" spans="2:18" ht="15.75" x14ac:dyDescent="0.25">
      <c r="E36" s="18"/>
      <c r="F36" s="25"/>
      <c r="G36" s="26"/>
      <c r="H36" s="8"/>
      <c r="I36" s="8"/>
      <c r="K36" s="25">
        <v>4289</v>
      </c>
      <c r="L36" s="41">
        <v>3</v>
      </c>
      <c r="M36" s="16">
        <v>300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80" zoomScaleNormal="80" zoomScaleSheetLayoutView="70" workbookViewId="0">
      <selection activeCell="V22" sqref="V2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4">
        <f>'18'!B1+1</f>
        <v>45462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1149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517</v>
      </c>
      <c r="D6" s="2"/>
      <c r="E6" s="18">
        <v>4326</v>
      </c>
      <c r="F6" s="25" t="s">
        <v>204</v>
      </c>
      <c r="G6" s="26" t="s">
        <v>10</v>
      </c>
      <c r="H6" s="8">
        <v>499</v>
      </c>
      <c r="I6" s="8">
        <v>200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4327</v>
      </c>
      <c r="F7" s="25" t="s">
        <v>205</v>
      </c>
      <c r="G7" s="26" t="s">
        <v>10</v>
      </c>
      <c r="H7" s="72">
        <v>650</v>
      </c>
      <c r="I7" s="8">
        <v>200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22</v>
      </c>
      <c r="C8" s="29">
        <f>SUM(C6:C7)</f>
        <v>517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0"/>
      <c r="F9" s="65"/>
      <c r="G9" s="91"/>
      <c r="H9" s="77"/>
      <c r="I9" s="77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267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>
        <v>4270</v>
      </c>
      <c r="L15" s="9" t="s">
        <v>44</v>
      </c>
      <c r="M15" s="16" t="s">
        <v>46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667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70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27</v>
      </c>
      <c r="C22" s="32">
        <f>C5</f>
        <v>1149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4305</v>
      </c>
      <c r="F26" s="39" t="s">
        <v>207</v>
      </c>
      <c r="G26" s="26" t="s">
        <v>6</v>
      </c>
      <c r="H26" s="8"/>
      <c r="I26" s="8">
        <v>117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4326</v>
      </c>
      <c r="F35" s="25" t="s">
        <v>206</v>
      </c>
      <c r="G35" s="26" t="s">
        <v>6</v>
      </c>
      <c r="H35" s="8">
        <v>150</v>
      </c>
      <c r="I35" s="8" t="s">
        <v>93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7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'19'!B1+1</f>
        <v>45463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1990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1025</v>
      </c>
      <c r="D6" s="2"/>
      <c r="E6" s="18">
        <v>4328</v>
      </c>
      <c r="F6" s="25" t="s">
        <v>208</v>
      </c>
      <c r="G6" s="26" t="s">
        <v>7</v>
      </c>
      <c r="H6" s="8">
        <v>250</v>
      </c>
      <c r="I6" s="8">
        <v>250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4329</v>
      </c>
      <c r="F7" s="25" t="s">
        <v>209</v>
      </c>
      <c r="G7" s="26" t="s">
        <v>7</v>
      </c>
      <c r="H7" s="8">
        <v>350</v>
      </c>
      <c r="I7" s="8">
        <v>85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22</v>
      </c>
      <c r="C8" s="29">
        <f>SUM(C6:C7)</f>
        <v>1025</v>
      </c>
      <c r="D8" s="2"/>
      <c r="E8" s="18">
        <v>4330</v>
      </c>
      <c r="F8" s="25" t="s">
        <v>210</v>
      </c>
      <c r="G8" s="26" t="s">
        <v>7</v>
      </c>
      <c r="H8" s="8">
        <v>1390</v>
      </c>
      <c r="I8" s="8">
        <v>100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435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960</v>
      </c>
      <c r="D15" s="2"/>
      <c r="E15" s="18"/>
      <c r="F15" s="25"/>
      <c r="G15" s="26"/>
      <c r="H15" s="8"/>
      <c r="I15" s="8"/>
      <c r="J15" s="2"/>
      <c r="K15" s="65">
        <v>4267</v>
      </c>
      <c r="L15" s="9" t="s">
        <v>44</v>
      </c>
      <c r="M15" s="16" t="s">
        <v>46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1395</v>
      </c>
      <c r="D16" s="2"/>
      <c r="E16" s="18"/>
      <c r="F16" s="25"/>
      <c r="G16" s="26"/>
      <c r="H16" s="8"/>
      <c r="I16" s="8"/>
      <c r="J16" s="2"/>
      <c r="K16" s="65"/>
      <c r="L16" s="73"/>
      <c r="M16" s="74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4267</v>
      </c>
      <c r="F26" s="25" t="s">
        <v>211</v>
      </c>
      <c r="G26" s="26" t="s">
        <v>10</v>
      </c>
      <c r="H26" s="8"/>
      <c r="I26" s="8">
        <v>590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4084</v>
      </c>
      <c r="F35" s="25" t="s">
        <v>212</v>
      </c>
      <c r="G35" s="26" t="s">
        <v>10</v>
      </c>
      <c r="H35" s="8">
        <v>140</v>
      </c>
      <c r="I35" s="8" t="s">
        <v>94</v>
      </c>
      <c r="K35" s="25"/>
      <c r="L35" s="41"/>
      <c r="M35" s="74"/>
    </row>
    <row r="36" spans="2:18" ht="15.75" x14ac:dyDescent="0.25">
      <c r="E36" s="18">
        <v>4091</v>
      </c>
      <c r="F36" s="25" t="s">
        <v>213</v>
      </c>
      <c r="G36" s="26" t="s">
        <v>10</v>
      </c>
      <c r="H36" s="8">
        <v>230</v>
      </c>
      <c r="I36" s="8" t="s">
        <v>94</v>
      </c>
      <c r="K36" s="65"/>
      <c r="L36" s="75"/>
      <c r="M36" s="74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4" zoomScale="80" zoomScaleNormal="8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45464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1100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1520</v>
      </c>
      <c r="D6" s="2"/>
      <c r="E6" s="18">
        <v>4331</v>
      </c>
      <c r="F6" s="25" t="s">
        <v>216</v>
      </c>
      <c r="G6" s="26" t="s">
        <v>8</v>
      </c>
      <c r="H6" s="8">
        <v>1100</v>
      </c>
      <c r="I6" s="8">
        <v>1100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22</v>
      </c>
      <c r="C8" s="29">
        <f>SUM(C6:C7)</f>
        <v>1520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355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1100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639</v>
      </c>
      <c r="D15" s="2"/>
      <c r="E15" s="18"/>
      <c r="F15" s="25"/>
      <c r="G15" s="26"/>
      <c r="H15" s="8"/>
      <c r="I15" s="8"/>
      <c r="J15" s="2"/>
      <c r="K15" s="25">
        <v>4286</v>
      </c>
      <c r="L15" s="9" t="s">
        <v>214</v>
      </c>
      <c r="M15" s="16" t="s">
        <v>46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2314</v>
      </c>
      <c r="D16" s="2"/>
      <c r="E16" s="18"/>
      <c r="F16" s="25"/>
      <c r="G16" s="26"/>
      <c r="H16" s="8"/>
      <c r="I16" s="8"/>
      <c r="J16" s="2"/>
      <c r="K16" s="25">
        <v>4290</v>
      </c>
      <c r="L16" s="9" t="s">
        <v>44</v>
      </c>
      <c r="M16" s="16" t="s">
        <v>46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4309</v>
      </c>
      <c r="L17" s="9" t="s">
        <v>215</v>
      </c>
      <c r="M17" s="16" t="s">
        <v>46</v>
      </c>
      <c r="R17" s="1">
        <f>IF(vend21[[#This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>
        <v>4273</v>
      </c>
      <c r="L18" s="9" t="s">
        <v>219</v>
      </c>
      <c r="M18" s="16" t="s">
        <v>46</v>
      </c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1100</v>
      </c>
      <c r="D22" s="2"/>
      <c r="E22" s="18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01" t="s">
        <v>186</v>
      </c>
      <c r="F26" s="25" t="s">
        <v>217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00">
        <v>4273</v>
      </c>
      <c r="F27" s="25" t="s">
        <v>218</v>
      </c>
      <c r="G27" s="26" t="s">
        <v>6</v>
      </c>
      <c r="H27" s="8"/>
      <c r="I27" s="8">
        <v>220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3999</v>
      </c>
      <c r="F35" s="25" t="s">
        <v>220</v>
      </c>
      <c r="G35" s="26" t="s">
        <v>10</v>
      </c>
      <c r="H35" s="8">
        <v>150</v>
      </c>
      <c r="I35" s="8" t="s">
        <v>95</v>
      </c>
      <c r="K35" s="25"/>
      <c r="L35" s="41"/>
      <c r="M35" s="16"/>
    </row>
    <row r="36" spans="2:18" ht="15.75" x14ac:dyDescent="0.25">
      <c r="E36" s="18">
        <v>4080</v>
      </c>
      <c r="F36" s="25" t="s">
        <v>221</v>
      </c>
      <c r="G36" s="26" t="s">
        <v>10</v>
      </c>
      <c r="H36" s="8">
        <v>224</v>
      </c>
      <c r="I36" s="8" t="s">
        <v>63</v>
      </c>
      <c r="K36" s="25"/>
      <c r="L36" s="41"/>
      <c r="M36" s="16"/>
    </row>
    <row r="37" spans="2:18" ht="15.75" x14ac:dyDescent="0.25">
      <c r="E37" s="18">
        <v>4104</v>
      </c>
      <c r="F37" s="25" t="s">
        <v>222</v>
      </c>
      <c r="G37" s="26" t="s">
        <v>10</v>
      </c>
      <c r="H37" s="8">
        <v>125</v>
      </c>
      <c r="I37" s="8" t="s">
        <v>91</v>
      </c>
      <c r="K37" s="25"/>
      <c r="L37" s="41"/>
      <c r="M37" s="16"/>
    </row>
    <row r="38" spans="2:18" ht="15.75" x14ac:dyDescent="0.25">
      <c r="E38" s="18">
        <v>4168</v>
      </c>
      <c r="F38" s="25" t="s">
        <v>223</v>
      </c>
      <c r="G38" s="26" t="s">
        <v>10</v>
      </c>
      <c r="H38" s="8">
        <v>140</v>
      </c>
      <c r="I38" s="8" t="s">
        <v>93</v>
      </c>
      <c r="K38" s="25"/>
      <c r="L38" s="41"/>
      <c r="M38" s="16"/>
    </row>
    <row r="39" spans="2:18" ht="15.75" x14ac:dyDescent="0.25">
      <c r="E39" s="18">
        <v>3872</v>
      </c>
      <c r="F39" s="39" t="s">
        <v>224</v>
      </c>
      <c r="G39" s="26" t="s">
        <v>7</v>
      </c>
      <c r="H39" s="8">
        <v>155</v>
      </c>
      <c r="I39" s="8" t="s">
        <v>95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abSelected="1" topLeftCell="A2" zoomScale="80" zoomScaleNormal="8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3.7109375" style="1" bestFit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45465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3055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2205</v>
      </c>
      <c r="D6" s="2"/>
      <c r="E6" s="18">
        <v>4299</v>
      </c>
      <c r="F6" s="25" t="s">
        <v>225</v>
      </c>
      <c r="G6" s="26" t="s">
        <v>7</v>
      </c>
      <c r="H6" s="8">
        <v>70</v>
      </c>
      <c r="I6" s="8">
        <v>70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4331</v>
      </c>
      <c r="F7" s="25" t="s">
        <v>226</v>
      </c>
      <c r="G7" s="26" t="s">
        <v>6</v>
      </c>
      <c r="H7" s="8">
        <v>800</v>
      </c>
      <c r="I7" s="8">
        <v>250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22</v>
      </c>
      <c r="C8" s="29">
        <f>SUM(C6:C7)</f>
        <v>2205</v>
      </c>
      <c r="D8" s="2"/>
      <c r="E8" s="18">
        <v>4331</v>
      </c>
      <c r="F8" s="25" t="s">
        <v>226</v>
      </c>
      <c r="G8" s="26" t="s">
        <v>8</v>
      </c>
      <c r="H8" s="8"/>
      <c r="I8" s="8">
        <v>550</v>
      </c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>
        <v>4332</v>
      </c>
      <c r="F9" s="25" t="s">
        <v>227</v>
      </c>
      <c r="G9" s="26" t="s">
        <v>10</v>
      </c>
      <c r="H9" s="8">
        <v>1850</v>
      </c>
      <c r="I9" s="8">
        <v>1000</v>
      </c>
      <c r="J9" s="2"/>
      <c r="K9" s="25"/>
      <c r="L9" s="9"/>
      <c r="M9" s="16"/>
      <c r="R9" s="1">
        <f>IF(vend22[[#This Row],[Nº Venda]]&gt;1,1,0)</f>
        <v>1</v>
      </c>
    </row>
    <row r="10" spans="2:18" ht="15.75" x14ac:dyDescent="0.25">
      <c r="B10" s="102" t="s">
        <v>5</v>
      </c>
      <c r="C10" s="102"/>
      <c r="D10" s="2"/>
      <c r="E10" s="18">
        <v>4333</v>
      </c>
      <c r="F10" s="25" t="s">
        <v>228</v>
      </c>
      <c r="G10" s="26" t="s">
        <v>6</v>
      </c>
      <c r="H10" s="8">
        <v>300</v>
      </c>
      <c r="I10" s="8">
        <v>300</v>
      </c>
      <c r="J10" s="2"/>
      <c r="K10" s="25"/>
      <c r="L10" s="9"/>
      <c r="M10" s="16"/>
      <c r="R10" s="1">
        <f>IF(vend22[[#This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550</v>
      </c>
      <c r="D11" s="2"/>
      <c r="E11" s="18">
        <v>4334</v>
      </c>
      <c r="F11" s="25" t="s">
        <v>229</v>
      </c>
      <c r="G11" s="26" t="s">
        <v>7</v>
      </c>
      <c r="H11" s="8">
        <v>35</v>
      </c>
      <c r="I11" s="8">
        <v>35</v>
      </c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105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550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1200</v>
      </c>
      <c r="D15" s="2"/>
      <c r="E15" s="18"/>
      <c r="F15" s="25"/>
      <c r="G15" s="26"/>
      <c r="H15" s="8"/>
      <c r="I15" s="8"/>
      <c r="J15" s="2"/>
      <c r="K15" s="25">
        <v>4240</v>
      </c>
      <c r="L15" s="9" t="s">
        <v>44</v>
      </c>
      <c r="M15" s="16" t="s">
        <v>46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2405</v>
      </c>
      <c r="D16" s="2"/>
      <c r="E16" s="18"/>
      <c r="F16" s="25"/>
      <c r="G16" s="26"/>
      <c r="H16" s="8"/>
      <c r="I16" s="8"/>
      <c r="J16" s="2"/>
      <c r="K16" s="25">
        <v>4269</v>
      </c>
      <c r="L16" s="9" t="s">
        <v>44</v>
      </c>
      <c r="M16" s="16" t="s">
        <v>45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500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500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3055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4125</v>
      </c>
      <c r="F35" s="25" t="s">
        <v>230</v>
      </c>
      <c r="G35" s="26" t="s">
        <v>10</v>
      </c>
      <c r="H35" s="8">
        <v>200</v>
      </c>
      <c r="I35" s="8" t="s">
        <v>93</v>
      </c>
      <c r="K35" s="25">
        <v>4269</v>
      </c>
      <c r="L35" s="41">
        <v>5</v>
      </c>
      <c r="M35" s="16">
        <v>500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2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45466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IF(vend23[[#This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93"/>
      <c r="G42" s="37"/>
      <c r="H42" s="17"/>
      <c r="I42" s="17"/>
    </row>
    <row r="43" spans="2:18" ht="15.75" x14ac:dyDescent="0.25">
      <c r="E43" s="35"/>
      <c r="F43" s="39"/>
      <c r="G43" s="26"/>
      <c r="H43" s="8"/>
      <c r="I43" s="8"/>
    </row>
    <row r="44" spans="2:18" ht="15.75" x14ac:dyDescent="0.25">
      <c r="E44" s="94"/>
      <c r="F44" s="93"/>
      <c r="G44" s="37"/>
      <c r="H44" s="1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9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45467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4335</v>
      </c>
      <c r="F6" s="25" t="s">
        <v>233</v>
      </c>
      <c r="G6" s="26" t="s">
        <v>7</v>
      </c>
      <c r="H6" s="8">
        <v>890</v>
      </c>
      <c r="I6" s="8">
        <v>200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22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306</v>
      </c>
      <c r="D15" s="2"/>
      <c r="E15" s="18"/>
      <c r="F15" s="25"/>
      <c r="G15" s="26"/>
      <c r="H15" s="8"/>
      <c r="I15" s="8"/>
      <c r="J15" s="2"/>
      <c r="K15" s="25">
        <v>4255</v>
      </c>
      <c r="L15" s="9" t="s">
        <v>44</v>
      </c>
      <c r="M15" s="16" t="s">
        <v>45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706</v>
      </c>
      <c r="D16" s="2"/>
      <c r="E16" s="18"/>
      <c r="F16" s="25"/>
      <c r="G16" s="26"/>
      <c r="H16" s="8"/>
      <c r="I16" s="8"/>
      <c r="J16" s="2"/>
      <c r="K16" s="25">
        <v>4256</v>
      </c>
      <c r="L16" s="9" t="s">
        <v>44</v>
      </c>
      <c r="M16" s="16" t="s">
        <v>45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1</v>
      </c>
      <c r="C19" s="31">
        <f>SUM(entr_carn24[Valor Total])</f>
        <v>1050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1050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4196</v>
      </c>
      <c r="F35" s="25" t="s">
        <v>231</v>
      </c>
      <c r="G35" s="26" t="s">
        <v>6</v>
      </c>
      <c r="H35" s="8">
        <v>200</v>
      </c>
      <c r="I35" s="8" t="s">
        <v>97</v>
      </c>
      <c r="K35" s="25">
        <v>4255</v>
      </c>
      <c r="L35" s="41">
        <v>4</v>
      </c>
      <c r="M35" s="16">
        <v>1050</v>
      </c>
    </row>
    <row r="36" spans="2:18" ht="15.75" x14ac:dyDescent="0.25">
      <c r="E36" s="18">
        <v>4231</v>
      </c>
      <c r="F36" s="25" t="s">
        <v>232</v>
      </c>
      <c r="G36" s="26" t="s">
        <v>10</v>
      </c>
      <c r="H36" s="8">
        <v>126</v>
      </c>
      <c r="I36" s="8" t="s">
        <v>92</v>
      </c>
      <c r="K36" s="25"/>
      <c r="L36" s="41"/>
      <c r="M36" s="16"/>
    </row>
    <row r="37" spans="2:18" ht="15.75" x14ac:dyDescent="0.25">
      <c r="E37" s="18">
        <v>4031</v>
      </c>
      <c r="F37" s="25" t="s">
        <v>234</v>
      </c>
      <c r="G37" s="26" t="s">
        <v>10</v>
      </c>
      <c r="H37" s="8">
        <v>180</v>
      </c>
      <c r="I37" s="8" t="s">
        <v>98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B5E2F884-8C4F-469E-8FB6-72D5A797D309}">
      <formula1>"1,2,3,4,5,6,7,8,9,10"</formula1>
    </dataValidation>
    <dataValidation type="list" allowBlank="1" showInputMessage="1" showErrorMessage="1" sqref="M15:M31" xr:uid="{3D247495-8FC6-4FD0-AFBF-086A0464979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7" zoomScale="80" zoomScaleNormal="80" workbookViewId="0">
      <selection activeCell="V20" sqref="V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45468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</v>
      </c>
      <c r="D6" s="2"/>
      <c r="E6" s="18">
        <v>4336</v>
      </c>
      <c r="F6" s="25" t="s">
        <v>235</v>
      </c>
      <c r="G6" s="26" t="s">
        <v>6</v>
      </c>
      <c r="H6" s="8">
        <v>35</v>
      </c>
      <c r="I6" s="8">
        <v>15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22</v>
      </c>
      <c r="C8" s="29">
        <f>SUM(C6:C7)</f>
        <v>15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232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>
        <v>4328</v>
      </c>
      <c r="L15" s="9" t="s">
        <v>214</v>
      </c>
      <c r="M15" s="16" t="s">
        <v>46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232</v>
      </c>
      <c r="D16" s="2"/>
      <c r="E16" s="18"/>
      <c r="F16" s="25"/>
      <c r="G16" s="26"/>
      <c r="H16" s="8"/>
      <c r="I16" s="8"/>
      <c r="J16" s="2"/>
      <c r="K16" s="25">
        <v>4314</v>
      </c>
      <c r="L16" s="9" t="s">
        <v>44</v>
      </c>
      <c r="M16" s="16" t="s">
        <v>46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4216</v>
      </c>
      <c r="F35" s="25" t="s">
        <v>236</v>
      </c>
      <c r="G35" s="26" t="s">
        <v>6</v>
      </c>
      <c r="H35" s="80">
        <v>217</v>
      </c>
      <c r="I35" s="8" t="s">
        <v>83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4" zoomScale="80" zoomScaleNormal="80" workbookViewId="0">
      <selection activeCell="E11" sqref="E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45469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4120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1060</v>
      </c>
      <c r="D6" s="2"/>
      <c r="E6" s="18">
        <v>4337</v>
      </c>
      <c r="F6" s="25" t="s">
        <v>237</v>
      </c>
      <c r="G6" s="26" t="s">
        <v>8</v>
      </c>
      <c r="H6" s="8">
        <v>450</v>
      </c>
      <c r="I6" s="8">
        <v>450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4338</v>
      </c>
      <c r="F7" s="25" t="s">
        <v>238</v>
      </c>
      <c r="G7" s="26" t="s">
        <v>8</v>
      </c>
      <c r="H7" s="8">
        <v>1120</v>
      </c>
      <c r="I7" s="8">
        <v>80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22</v>
      </c>
      <c r="C8" s="29">
        <f>SUM(C6:C7)</f>
        <v>1060</v>
      </c>
      <c r="D8" s="2"/>
      <c r="E8" s="18">
        <v>4339</v>
      </c>
      <c r="F8" s="25" t="s">
        <v>238</v>
      </c>
      <c r="G8" s="26" t="s">
        <v>8</v>
      </c>
      <c r="H8" s="8">
        <v>360</v>
      </c>
      <c r="I8" s="8">
        <v>20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4340</v>
      </c>
      <c r="F9" s="25" t="s">
        <v>239</v>
      </c>
      <c r="G9" s="26" t="s">
        <v>8</v>
      </c>
      <c r="H9" s="8">
        <v>450</v>
      </c>
      <c r="I9" s="8">
        <v>450</v>
      </c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102" t="s">
        <v>5</v>
      </c>
      <c r="C10" s="102"/>
      <c r="D10" s="2"/>
      <c r="E10" s="18">
        <v>4341</v>
      </c>
      <c r="F10" s="25" t="s">
        <v>240</v>
      </c>
      <c r="G10" s="26" t="s">
        <v>10</v>
      </c>
      <c r="H10" s="8">
        <v>650</v>
      </c>
      <c r="I10" s="8">
        <v>50</v>
      </c>
      <c r="J10" s="2"/>
      <c r="K10" s="25"/>
      <c r="L10" s="9"/>
      <c r="M10" s="16"/>
      <c r="R10" s="1">
        <f>IF(vend26[[#This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</v>
      </c>
      <c r="D11" s="2"/>
      <c r="E11" s="18">
        <v>4342</v>
      </c>
      <c r="F11" s="25" t="s">
        <v>241</v>
      </c>
      <c r="G11" s="26" t="s">
        <v>6</v>
      </c>
      <c r="H11" s="8">
        <v>1090</v>
      </c>
      <c r="I11" s="8">
        <v>10</v>
      </c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1000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4294</v>
      </c>
      <c r="L15" s="9" t="s">
        <v>71</v>
      </c>
      <c r="M15" s="16" t="s">
        <v>45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1060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790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790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4294</v>
      </c>
      <c r="L35" s="41">
        <v>5</v>
      </c>
      <c r="M35" s="16">
        <v>790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4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45470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>
        <v>4311</v>
      </c>
      <c r="L15" s="9" t="s">
        <v>44</v>
      </c>
      <c r="M15" s="16" t="s">
        <v>46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215</v>
      </c>
      <c r="D16" s="2"/>
      <c r="E16" s="18"/>
      <c r="F16" s="25"/>
      <c r="G16" s="26"/>
      <c r="H16" s="8"/>
      <c r="I16" s="8"/>
      <c r="J16" s="2"/>
      <c r="K16" s="25">
        <v>4308</v>
      </c>
      <c r="L16" s="9" t="s">
        <v>44</v>
      </c>
      <c r="M16" s="16" t="s">
        <v>46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4082</v>
      </c>
      <c r="F35" s="25" t="s">
        <v>242</v>
      </c>
      <c r="G35" s="26" t="s">
        <v>10</v>
      </c>
      <c r="H35" s="8">
        <v>140</v>
      </c>
      <c r="I35" s="8" t="s">
        <v>93</v>
      </c>
      <c r="K35" s="25"/>
      <c r="L35" s="41"/>
      <c r="M35" s="16"/>
    </row>
    <row r="36" spans="2:18" ht="15.75" x14ac:dyDescent="0.25">
      <c r="E36" s="18">
        <v>3926</v>
      </c>
      <c r="F36" s="25" t="s">
        <v>243</v>
      </c>
      <c r="G36" s="26" t="s">
        <v>6</v>
      </c>
      <c r="H36" s="8">
        <v>75</v>
      </c>
      <c r="I36" s="8" t="s">
        <v>81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5" zoomScale="80" zoomScaleNormal="8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45471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22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4303</v>
      </c>
      <c r="L15" s="9" t="s">
        <v>44</v>
      </c>
      <c r="M15" s="16" t="s">
        <v>45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372</v>
      </c>
      <c r="D16" s="2"/>
      <c r="E16" s="18"/>
      <c r="F16" s="25"/>
      <c r="G16" s="26"/>
      <c r="H16" s="8"/>
      <c r="I16" s="8"/>
      <c r="J16" s="2"/>
      <c r="K16" s="25">
        <v>4304</v>
      </c>
      <c r="L16" s="9" t="s">
        <v>44</v>
      </c>
      <c r="M16" s="16" t="s">
        <v>46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2324</v>
      </c>
      <c r="L17" s="9" t="s">
        <v>214</v>
      </c>
      <c r="M17" s="16" t="s">
        <v>46</v>
      </c>
      <c r="R17" s="1">
        <f>IF(vend28[[#This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>
        <v>4318</v>
      </c>
      <c r="L18" s="9" t="s">
        <v>214</v>
      </c>
      <c r="M18" s="16" t="s">
        <v>46</v>
      </c>
      <c r="R18" s="1">
        <f>IF(vend28[[#This Row],[Nº Venda]]&gt;1,1,0)</f>
        <v>0</v>
      </c>
    </row>
    <row r="19" spans="2:18" ht="15.75" x14ac:dyDescent="0.25">
      <c r="B19" s="30">
        <f>COUNT(entr_carn28[OS])</f>
        <v>1</v>
      </c>
      <c r="C19" s="31">
        <f>SUM(entr_carn28[Valor Total])</f>
        <v>750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750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4303</v>
      </c>
      <c r="F26" s="25" t="s">
        <v>244</v>
      </c>
      <c r="G26" s="26" t="s">
        <v>7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4181</v>
      </c>
      <c r="F35" s="25" t="s">
        <v>245</v>
      </c>
      <c r="G35" s="26" t="s">
        <v>6</v>
      </c>
      <c r="H35" s="8">
        <v>111</v>
      </c>
      <c r="I35" s="8" t="s">
        <v>93</v>
      </c>
      <c r="K35" s="25">
        <v>4303</v>
      </c>
      <c r="L35" s="41">
        <v>5</v>
      </c>
      <c r="M35" s="16">
        <v>750</v>
      </c>
    </row>
    <row r="36" spans="2:18" ht="15.75" x14ac:dyDescent="0.25">
      <c r="E36" s="18">
        <v>4182</v>
      </c>
      <c r="F36" s="25" t="s">
        <v>245</v>
      </c>
      <c r="G36" s="26" t="s">
        <v>6</v>
      </c>
      <c r="H36" s="8">
        <v>111</v>
      </c>
      <c r="I36" s="8" t="s">
        <v>93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3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6">
        <f>'28'!B1+1</f>
        <v>45472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1235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2575</v>
      </c>
      <c r="D6" s="2"/>
      <c r="E6" s="18">
        <v>4343</v>
      </c>
      <c r="F6" s="25" t="s">
        <v>246</v>
      </c>
      <c r="G6" s="26" t="s">
        <v>8</v>
      </c>
      <c r="H6" s="8">
        <v>35</v>
      </c>
      <c r="I6" s="8">
        <v>35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4344</v>
      </c>
      <c r="F7" s="25" t="s">
        <v>247</v>
      </c>
      <c r="G7" s="26" t="s">
        <v>8</v>
      </c>
      <c r="H7" s="8">
        <v>1200</v>
      </c>
      <c r="I7" s="8">
        <v>1200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22</v>
      </c>
      <c r="C8" s="29">
        <f>SUM(C6:C7)</f>
        <v>2575</v>
      </c>
      <c r="D8" s="2"/>
      <c r="E8" s="18">
        <v>4345</v>
      </c>
      <c r="F8" s="25" t="s">
        <v>248</v>
      </c>
      <c r="G8" s="26" t="s">
        <v>89</v>
      </c>
      <c r="H8" s="8">
        <v>0</v>
      </c>
      <c r="I8" s="8">
        <v>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2475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198</v>
      </c>
      <c r="D15" s="2"/>
      <c r="E15" s="18"/>
      <c r="F15" s="25"/>
      <c r="G15" s="26"/>
      <c r="H15" s="8"/>
      <c r="I15" s="8"/>
      <c r="J15" s="2"/>
      <c r="K15" s="65">
        <v>4292</v>
      </c>
      <c r="L15" s="9" t="s">
        <v>71</v>
      </c>
      <c r="M15" s="16" t="s">
        <v>46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2673</v>
      </c>
      <c r="D16" s="2"/>
      <c r="E16" s="18"/>
      <c r="F16" s="25"/>
      <c r="G16" s="26"/>
      <c r="H16" s="8"/>
      <c r="I16" s="8"/>
      <c r="J16" s="2"/>
      <c r="K16" s="65">
        <v>4218</v>
      </c>
      <c r="L16" s="9" t="s">
        <v>214</v>
      </c>
      <c r="M16" s="16" t="s">
        <v>46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>
        <v>4301</v>
      </c>
      <c r="L17" s="9" t="s">
        <v>44</v>
      </c>
      <c r="M17" s="16" t="s">
        <v>46</v>
      </c>
      <c r="R17" s="1">
        <f>IF(vend29[[#This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>
        <v>4275</v>
      </c>
      <c r="L18" s="9" t="s">
        <v>250</v>
      </c>
      <c r="M18" s="16" t="s">
        <v>46</v>
      </c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1235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4313</v>
      </c>
      <c r="F26" s="25" t="s">
        <v>249</v>
      </c>
      <c r="G26" s="26" t="s">
        <v>8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4296</v>
      </c>
      <c r="F27" s="25" t="s">
        <v>159</v>
      </c>
      <c r="G27" s="26" t="s">
        <v>8</v>
      </c>
      <c r="H27" s="8"/>
      <c r="I27" s="8">
        <v>740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4319</v>
      </c>
      <c r="F28" s="25" t="s">
        <v>252</v>
      </c>
      <c r="G28" s="26" t="s">
        <v>10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4002</v>
      </c>
      <c r="F35" s="25" t="s">
        <v>251</v>
      </c>
      <c r="G35" s="26" t="s">
        <v>10</v>
      </c>
      <c r="H35" s="8">
        <v>98</v>
      </c>
      <c r="I35" s="8" t="s">
        <v>95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G35:G41 G26:G31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E26" sqref="E26:I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45473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72</v>
      </c>
    </row>
    <row r="22" spans="2:22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E26" sqref="E26:I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45474</v>
      </c>
    </row>
    <row r="2" spans="2:18" ht="18.75" x14ac:dyDescent="0.2">
      <c r="B2" s="107" t="s">
        <v>39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0" t="s">
        <v>1</v>
      </c>
      <c r="F4" s="110"/>
      <c r="G4" s="110"/>
      <c r="H4" s="110"/>
      <c r="I4" s="110"/>
      <c r="J4" s="22"/>
      <c r="K4" s="104" t="s">
        <v>3</v>
      </c>
      <c r="L4" s="105"/>
      <c r="M4" s="10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2" t="s">
        <v>5</v>
      </c>
      <c r="C10" s="10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4" t="s">
        <v>23</v>
      </c>
      <c r="L13" s="105"/>
      <c r="M13" s="106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2" t="s">
        <v>12</v>
      </c>
      <c r="C18" s="10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3" t="s">
        <v>28</v>
      </c>
      <c r="F24" s="103"/>
      <c r="G24" s="103"/>
      <c r="H24" s="103"/>
      <c r="I24" s="10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3" t="s">
        <v>31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38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73</v>
      </c>
      <c r="B1" s="38" t="s">
        <v>74</v>
      </c>
      <c r="E1" s="38" t="s">
        <v>75</v>
      </c>
    </row>
    <row r="2" spans="1:5" x14ac:dyDescent="0.2">
      <c r="A2" s="38" t="s">
        <v>6</v>
      </c>
      <c r="B2" s="38" t="s">
        <v>76</v>
      </c>
      <c r="E2" t="s">
        <v>77</v>
      </c>
    </row>
    <row r="3" spans="1:5" x14ac:dyDescent="0.2">
      <c r="A3" s="38" t="s">
        <v>7</v>
      </c>
      <c r="B3" s="38" t="s">
        <v>78</v>
      </c>
      <c r="E3" t="s">
        <v>79</v>
      </c>
    </row>
    <row r="4" spans="1:5" x14ac:dyDescent="0.2">
      <c r="A4" s="38" t="s">
        <v>8</v>
      </c>
      <c r="B4" s="38" t="s">
        <v>80</v>
      </c>
      <c r="E4" t="s">
        <v>81</v>
      </c>
    </row>
    <row r="5" spans="1:5" x14ac:dyDescent="0.2">
      <c r="A5" s="38" t="s">
        <v>9</v>
      </c>
      <c r="B5" s="38" t="s">
        <v>82</v>
      </c>
      <c r="E5" t="s">
        <v>83</v>
      </c>
    </row>
    <row r="6" spans="1:5" x14ac:dyDescent="0.2">
      <c r="A6" s="38" t="s">
        <v>10</v>
      </c>
      <c r="B6" s="38" t="s">
        <v>10</v>
      </c>
      <c r="E6" t="s">
        <v>84</v>
      </c>
    </row>
    <row r="7" spans="1:5" x14ac:dyDescent="0.2">
      <c r="A7" s="38" t="s">
        <v>85</v>
      </c>
      <c r="B7" s="38" t="s">
        <v>86</v>
      </c>
      <c r="E7" t="s">
        <v>87</v>
      </c>
    </row>
    <row r="8" spans="1:5" x14ac:dyDescent="0.2">
      <c r="A8" t="s">
        <v>26</v>
      </c>
      <c r="B8" t="s">
        <v>88</v>
      </c>
      <c r="E8" t="s">
        <v>53</v>
      </c>
    </row>
    <row r="9" spans="1:5" x14ac:dyDescent="0.2">
      <c r="A9" s="38" t="s">
        <v>89</v>
      </c>
      <c r="B9" s="38" t="s">
        <v>90</v>
      </c>
      <c r="E9" t="s">
        <v>54</v>
      </c>
    </row>
    <row r="10" spans="1:5" x14ac:dyDescent="0.2">
      <c r="E10" t="s">
        <v>91</v>
      </c>
    </row>
    <row r="11" spans="1:5" x14ac:dyDescent="0.2">
      <c r="E11" t="s">
        <v>56</v>
      </c>
    </row>
    <row r="12" spans="1:5" x14ac:dyDescent="0.2">
      <c r="E12" t="s">
        <v>92</v>
      </c>
    </row>
    <row r="13" spans="1:5" x14ac:dyDescent="0.2">
      <c r="E13" t="s">
        <v>93</v>
      </c>
    </row>
    <row r="14" spans="1:5" x14ac:dyDescent="0.2">
      <c r="E14" t="s">
        <v>94</v>
      </c>
    </row>
    <row r="15" spans="1:5" x14ac:dyDescent="0.2">
      <c r="E15" t="s">
        <v>37</v>
      </c>
    </row>
    <row r="16" spans="1:5" x14ac:dyDescent="0.2">
      <c r="E16" t="s">
        <v>95</v>
      </c>
    </row>
    <row r="17" spans="5:5" x14ac:dyDescent="0.2">
      <c r="E17" t="s">
        <v>96</v>
      </c>
    </row>
    <row r="18" spans="5:5" x14ac:dyDescent="0.2">
      <c r="E18" t="s">
        <v>97</v>
      </c>
    </row>
    <row r="19" spans="5:5" x14ac:dyDescent="0.2">
      <c r="E19" t="s">
        <v>63</v>
      </c>
    </row>
    <row r="20" spans="5:5" x14ac:dyDescent="0.2">
      <c r="E20" t="s">
        <v>98</v>
      </c>
    </row>
    <row r="21" spans="5:5" x14ac:dyDescent="0.2">
      <c r="E21" t="s">
        <v>99</v>
      </c>
    </row>
    <row r="22" spans="5:5" x14ac:dyDescent="0.2">
      <c r="E22" t="s">
        <v>65</v>
      </c>
    </row>
    <row r="23" spans="5:5" x14ac:dyDescent="0.2">
      <c r="E23" t="s">
        <v>100</v>
      </c>
    </row>
    <row r="24" spans="5:5" x14ac:dyDescent="0.2">
      <c r="E24" t="s">
        <v>101</v>
      </c>
    </row>
    <row r="25" spans="5:5" x14ac:dyDescent="0.2">
      <c r="E25" t="s">
        <v>102</v>
      </c>
    </row>
    <row r="26" spans="5:5" x14ac:dyDescent="0.2">
      <c r="E26" t="s">
        <v>103</v>
      </c>
    </row>
    <row r="27" spans="5:5" x14ac:dyDescent="0.2">
      <c r="E27" t="s">
        <v>104</v>
      </c>
    </row>
    <row r="28" spans="5:5" x14ac:dyDescent="0.2">
      <c r="E28" t="s">
        <v>105</v>
      </c>
    </row>
    <row r="29" spans="5:5" x14ac:dyDescent="0.2">
      <c r="E29" t="s">
        <v>106</v>
      </c>
    </row>
    <row r="30" spans="5:5" x14ac:dyDescent="0.2">
      <c r="E30" t="s">
        <v>107</v>
      </c>
    </row>
    <row r="31" spans="5:5" x14ac:dyDescent="0.2">
      <c r="E31" t="s">
        <v>108</v>
      </c>
    </row>
    <row r="32" spans="5:5" x14ac:dyDescent="0.2">
      <c r="E32" t="s">
        <v>109</v>
      </c>
    </row>
    <row r="33" spans="5:5" x14ac:dyDescent="0.2">
      <c r="E33" t="s">
        <v>110</v>
      </c>
    </row>
    <row r="34" spans="5:5" x14ac:dyDescent="0.2">
      <c r="E34" t="s">
        <v>111</v>
      </c>
    </row>
    <row r="35" spans="5:5" x14ac:dyDescent="0.2">
      <c r="E35" t="s">
        <v>112</v>
      </c>
    </row>
    <row r="36" spans="5:5" x14ac:dyDescent="0.2">
      <c r="E36" t="s">
        <v>113</v>
      </c>
    </row>
    <row r="37" spans="5:5" x14ac:dyDescent="0.2">
      <c r="E37" t="s">
        <v>114</v>
      </c>
    </row>
    <row r="38" spans="5:5" x14ac:dyDescent="0.2">
      <c r="E38" t="s">
        <v>115</v>
      </c>
    </row>
    <row r="39" spans="5:5" x14ac:dyDescent="0.2">
      <c r="E39" t="s">
        <v>116</v>
      </c>
    </row>
    <row r="40" spans="5:5" x14ac:dyDescent="0.2">
      <c r="E40" t="s">
        <v>117</v>
      </c>
    </row>
    <row r="41" spans="5:5" x14ac:dyDescent="0.2">
      <c r="E41" t="s">
        <v>118</v>
      </c>
    </row>
    <row r="42" spans="5:5" x14ac:dyDescent="0.2">
      <c r="E42" t="s">
        <v>119</v>
      </c>
    </row>
    <row r="43" spans="5:5" x14ac:dyDescent="0.2">
      <c r="E43" t="s">
        <v>120</v>
      </c>
    </row>
    <row r="44" spans="5:5" x14ac:dyDescent="0.2">
      <c r="E44" t="s">
        <v>121</v>
      </c>
    </row>
    <row r="45" spans="5:5" x14ac:dyDescent="0.2">
      <c r="E45" t="s">
        <v>122</v>
      </c>
    </row>
    <row r="46" spans="5:5" x14ac:dyDescent="0.2">
      <c r="E46" t="s">
        <v>123</v>
      </c>
    </row>
    <row r="47" spans="5:5" x14ac:dyDescent="0.2">
      <c r="E47" t="s">
        <v>124</v>
      </c>
    </row>
    <row r="48" spans="5:5" x14ac:dyDescent="0.2">
      <c r="E48" t="s">
        <v>125</v>
      </c>
    </row>
    <row r="49" spans="5:5" x14ac:dyDescent="0.2">
      <c r="E49" t="s">
        <v>126</v>
      </c>
    </row>
    <row r="50" spans="5:5" x14ac:dyDescent="0.2">
      <c r="E50" t="s">
        <v>127</v>
      </c>
    </row>
    <row r="51" spans="5:5" x14ac:dyDescent="0.2">
      <c r="E51" t="s">
        <v>128</v>
      </c>
    </row>
    <row r="52" spans="5:5" x14ac:dyDescent="0.2">
      <c r="E52" t="s">
        <v>129</v>
      </c>
    </row>
    <row r="53" spans="5:5" x14ac:dyDescent="0.2">
      <c r="E53" t="s">
        <v>130</v>
      </c>
    </row>
    <row r="54" spans="5:5" x14ac:dyDescent="0.2">
      <c r="E54" t="s">
        <v>131</v>
      </c>
    </row>
    <row r="55" spans="5:5" x14ac:dyDescent="0.2">
      <c r="E55" t="s">
        <v>132</v>
      </c>
    </row>
    <row r="56" spans="5:5" x14ac:dyDescent="0.2">
      <c r="E56" t="s">
        <v>133</v>
      </c>
    </row>
    <row r="57" spans="5:5" x14ac:dyDescent="0.2">
      <c r="E57" t="s">
        <v>134</v>
      </c>
    </row>
    <row r="58" spans="5:5" x14ac:dyDescent="0.2">
      <c r="E58" t="s">
        <v>135</v>
      </c>
    </row>
    <row r="59" spans="5:5" x14ac:dyDescent="0.2">
      <c r="E59" t="s">
        <v>136</v>
      </c>
    </row>
    <row r="60" spans="5:5" x14ac:dyDescent="0.2">
      <c r="E60" t="s">
        <v>137</v>
      </c>
    </row>
    <row r="61" spans="5:5" x14ac:dyDescent="0.2">
      <c r="E61" t="s">
        <v>138</v>
      </c>
    </row>
    <row r="62" spans="5:5" x14ac:dyDescent="0.2">
      <c r="E62" t="s">
        <v>139</v>
      </c>
    </row>
    <row r="63" spans="5:5" x14ac:dyDescent="0.2">
      <c r="E63" t="s">
        <v>140</v>
      </c>
    </row>
    <row r="64" spans="5:5" x14ac:dyDescent="0.2">
      <c r="E64" t="s">
        <v>141</v>
      </c>
    </row>
    <row r="65" spans="5:5" x14ac:dyDescent="0.2">
      <c r="E65" t="s">
        <v>142</v>
      </c>
    </row>
    <row r="66" spans="5:5" x14ac:dyDescent="0.2">
      <c r="E66" t="s">
        <v>143</v>
      </c>
    </row>
    <row r="67" spans="5:5" x14ac:dyDescent="0.2">
      <c r="E67" t="s">
        <v>144</v>
      </c>
    </row>
    <row r="68" spans="5:5" x14ac:dyDescent="0.2">
      <c r="E68" t="s">
        <v>145</v>
      </c>
    </row>
    <row r="69" spans="5:5" x14ac:dyDescent="0.2">
      <c r="E69" t="s">
        <v>146</v>
      </c>
    </row>
    <row r="70" spans="5:5" x14ac:dyDescent="0.2">
      <c r="E70" t="s">
        <v>147</v>
      </c>
    </row>
    <row r="71" spans="5:5" x14ac:dyDescent="0.2">
      <c r="E71" t="s">
        <v>148</v>
      </c>
    </row>
    <row r="72" spans="5:5" x14ac:dyDescent="0.2">
      <c r="E72" t="s">
        <v>149</v>
      </c>
    </row>
    <row r="73" spans="5:5" x14ac:dyDescent="0.2">
      <c r="E73" t="s">
        <v>150</v>
      </c>
    </row>
    <row r="74" spans="5:5" x14ac:dyDescent="0.2">
      <c r="E74" t="s">
        <v>151</v>
      </c>
    </row>
    <row r="75" spans="5:5" x14ac:dyDescent="0.2">
      <c r="E75" t="s">
        <v>152</v>
      </c>
    </row>
    <row r="76" spans="5:5" x14ac:dyDescent="0.2">
      <c r="E76" t="s">
        <v>153</v>
      </c>
    </row>
    <row r="77" spans="5:5" x14ac:dyDescent="0.2">
      <c r="E77" t="s">
        <v>154</v>
      </c>
    </row>
    <row r="78" spans="5:5" x14ac:dyDescent="0.2">
      <c r="E78" t="s">
        <v>155</v>
      </c>
    </row>
    <row r="79" spans="5:5" x14ac:dyDescent="0.2">
      <c r="E79" t="s">
        <v>156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Loja Mauá</cp:lastModifiedBy>
  <cp:revision/>
  <cp:lastPrinted>2024-07-01T14:49:50Z</cp:lastPrinted>
  <dcterms:created xsi:type="dcterms:W3CDTF">2004-04-07T20:43:43Z</dcterms:created>
  <dcterms:modified xsi:type="dcterms:W3CDTF">2025-01-30T19:12:27Z</dcterms:modified>
  <cp:category/>
  <cp:contentStatus/>
</cp:coreProperties>
</file>