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1154" documentId="8_{A04863FD-99A3-4C80-A5AC-7ED4539B7B53}" xr6:coauthVersionLast="47" xr6:coauthVersionMax="47" xr10:uidLastSave="{04529930-ECF4-4AB2-9E03-A9B99B4E1E5A}"/>
  <bookViews>
    <workbookView xWindow="-120" yWindow="-120" windowWidth="20730" windowHeight="11310" tabRatio="895" firstSheet="6" activeTab="7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75" l="1"/>
  <c r="C14" i="175"/>
  <c r="C13" i="175"/>
  <c r="C12" i="175"/>
  <c r="C11" i="175"/>
  <c r="C15" i="190"/>
  <c r="C14" i="190"/>
  <c r="C13" i="190"/>
  <c r="C12" i="190"/>
  <c r="C15" i="191"/>
  <c r="C14" i="191"/>
  <c r="C13" i="191"/>
  <c r="C12" i="191"/>
  <c r="C15" i="188"/>
  <c r="C14" i="188"/>
  <c r="C13" i="188"/>
  <c r="C12" i="188"/>
  <c r="C15" i="193"/>
  <c r="C14" i="193"/>
  <c r="C13" i="193"/>
  <c r="C12" i="193"/>
  <c r="C15" i="195"/>
  <c r="C14" i="195"/>
  <c r="C13" i="195"/>
  <c r="C12" i="195"/>
  <c r="C11" i="195"/>
  <c r="C12" i="170"/>
  <c r="C13" i="170"/>
  <c r="C14" i="170"/>
  <c r="C15" i="170"/>
  <c r="C11" i="170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<sst xmlns="http://schemas.openxmlformats.org/spreadsheetml/2006/main" count="2015" uniqueCount="255">
  <si>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</si>
  <si>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</si>
  <si>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</si>
  <si>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</si>
  <si>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</si>
  <si>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</si>
  <si>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</si>
  <si>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</si>
  <si>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</si>
  <si>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</si>
  <si>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</si>
  <si>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</si>
  <si>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</si>
  <si>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</si>
  <si>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</si>
  <si>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</si>
  <si>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</si>
  <si>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</si>
  <si>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</si>
  <si>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</si>
  <si>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</si>
  <si>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</si>
  <si>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</si>
  <si>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</si>
  <si>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</si>
  <si>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</si>
  <si>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</si>
  <si>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</si>
  <si>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</si>
  <si>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</si>
  <si>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</si>
  <si>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</si>
  <si>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</si>
  <si>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</si>
  <si>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</si>
  <si>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</si>
  <si>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</si>
  <si>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</si>
  <si>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</si>
  <si>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</si>
  <si>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</si>
  <si>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</si>
  <si>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</si>
  <si>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</si>
  <si>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</si>
  <si>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</si>
  <si>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</si>
  <si>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</si>
  <si>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</si>
  <si>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</si>
  <si>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</si>
  <si>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</si>
  <si>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</si>
  <si>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</si>
  <si>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</si>
  <si>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</si>
  <si>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</si>
  <si>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</si>
  <si>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</si>
  <si>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</si>
  <si>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</si>
  <si>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</si>
  <si>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</si>
  <si>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</si>
  <si>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</si>
  <si>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</si>
  <si>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</si>
  <si>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</si>
  <si>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</si>
  <si>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</si>
  <si>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</si>
  <si>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</si>
  <si>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</si>
  <si>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</si>
  <si>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</si>
  <si>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</si>
  <si>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</si>
  <si>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</si>
  <si>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</si>
  <si>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</si>
  <si>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</si>
  <si>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</si>
  <si>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</si>
  <si>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</si>
  <si>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</si>
  <si>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</si>
  <si>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</si>
  <si>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</si>
  <si>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</si>
  <si>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</si>
  <si>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</si>
  <si>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</si>
  <si>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</si>
  <si>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</si>
  <si>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</si>
  <si>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</si>
  <si>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</si>
  <si>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</si>
  <si>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</si>
  <si>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</si>
  <si>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</si>
  <si>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</si>
  <si>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</si>
  <si>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</si>
  <si>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</si>
  <si>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</si>
  <si>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</si>
  <si>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</si>
  <si>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</si>
  <si>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</si>
  <si>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</si>
  <si>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</si>
  <si>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</si>
  <si>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</si>
  <si>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</si>
  <si>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</si>
  <si>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</si>
  <si>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</si>
  <si>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</si>
  <si>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</si>
  <si>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</si>
  <si>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</si>
  <si>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</si>
  <si>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</si>
  <si>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</si>
  <si>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</si>
  <si>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</si>
  <si>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</si>
  <si>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</si>
  <si>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</si>
  <si>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</si>
  <si>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</si>
  <si>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</si>
  <si>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</si>
  <si>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</si>
  <si>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</si>
  <si>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</si>
  <si>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</si>
  <si>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</si>
  <si>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</si>
  <si>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</si>
  <si>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</si>
  <si>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 xml:space="preserve">LINDALVA CAVALCANTI </t>
  </si>
  <si>
    <t>JOAQUIM LIANDRO</t>
  </si>
  <si>
    <t>AMANDA BALBINO</t>
  </si>
  <si>
    <t>RAQUEL DE OLIVEIRA</t>
  </si>
  <si>
    <t>PALOMA DE SOUZA CARVALHO</t>
  </si>
  <si>
    <t>MARIA DE JESUS S.SANTOS</t>
  </si>
  <si>
    <t>Não</t>
  </si>
  <si>
    <t>Sim</t>
  </si>
  <si>
    <t>LEONILDA MARTINS</t>
  </si>
  <si>
    <t>SEVERINO DE BRAGA</t>
  </si>
  <si>
    <t>marluce maria de jesus</t>
  </si>
  <si>
    <t>iracelio alves feitosa</t>
  </si>
  <si>
    <t>danieli teles</t>
  </si>
  <si>
    <t>MONIQUE FERREIRA</t>
  </si>
  <si>
    <t>PEDRO EDUARDO</t>
  </si>
  <si>
    <t>NICELLY ALVES</t>
  </si>
  <si>
    <t xml:space="preserve">JAQUELINE DOS SANTOS </t>
  </si>
  <si>
    <t xml:space="preserve">TALITA RIBEIRO </t>
  </si>
  <si>
    <t>VALERIA OLINDA</t>
  </si>
  <si>
    <t>JOELMA DE SOUZA SANTOS</t>
  </si>
  <si>
    <t>MARIA JOSE MENDES DE OLIVEIRA</t>
  </si>
  <si>
    <t xml:space="preserve">JUSSARA PEREIRA </t>
  </si>
  <si>
    <t>EUDES CONCEIÇAO</t>
  </si>
  <si>
    <t>Coluna1</t>
  </si>
  <si>
    <t>NÃO</t>
  </si>
  <si>
    <t>VANI REGINA TALARICO</t>
  </si>
  <si>
    <t>EDIPO TELES</t>
  </si>
  <si>
    <t>VANI REGINA</t>
  </si>
  <si>
    <t xml:space="preserve">SUELI  FAUSTINA </t>
  </si>
  <si>
    <t>ANGELITA FERREIRA</t>
  </si>
  <si>
    <t>GISLEINE NASCIMENTO</t>
  </si>
  <si>
    <t xml:space="preserve">FÁBIO GONÇALVES </t>
  </si>
  <si>
    <t xml:space="preserve">DOUGLAS LOPES </t>
  </si>
  <si>
    <t xml:space="preserve">ALZEMIR MARIA </t>
  </si>
  <si>
    <t>MARLI APARECIDA</t>
  </si>
  <si>
    <t>VERONICE DOS SANTOS</t>
  </si>
  <si>
    <t>PARC.4/4</t>
  </si>
  <si>
    <t>PARC.3/4</t>
  </si>
  <si>
    <t xml:space="preserve">LIDIA VIEIRA </t>
  </si>
  <si>
    <t xml:space="preserve">ROSINEIDE CARDOSO </t>
  </si>
  <si>
    <t>leandro pereira</t>
  </si>
  <si>
    <t>fabiana de paula</t>
  </si>
  <si>
    <t xml:space="preserve">joser joão </t>
  </si>
  <si>
    <t>neusa camargo</t>
  </si>
  <si>
    <t xml:space="preserve">victor hugo </t>
  </si>
  <si>
    <t>marta ferreira</t>
  </si>
  <si>
    <t>joana dark</t>
  </si>
  <si>
    <t xml:space="preserve">ALDIMEIA PEREIRA </t>
  </si>
  <si>
    <t xml:space="preserve">FABIANA DE PAULA </t>
  </si>
  <si>
    <t xml:space="preserve">NÃO </t>
  </si>
  <si>
    <t>simone castro</t>
  </si>
  <si>
    <t>SUNAMITA RENATA</t>
  </si>
  <si>
    <t xml:space="preserve">VITÓRIA REGINA </t>
  </si>
  <si>
    <t xml:space="preserve">VANUZA TEIXEIRA </t>
  </si>
  <si>
    <t>LETICIA ANDRESSA</t>
  </si>
  <si>
    <t xml:space="preserve">MARIA DE FÁTIMA </t>
  </si>
  <si>
    <t xml:space="preserve">MARIA APARECIDA </t>
  </si>
  <si>
    <t xml:space="preserve">TEREZINHA DE LOUDES </t>
  </si>
  <si>
    <t>VANUZA TEIXEIRA</t>
  </si>
  <si>
    <t>william dos santos</t>
  </si>
  <si>
    <t>robert lahuerta</t>
  </si>
  <si>
    <t>claudia braz</t>
  </si>
  <si>
    <t xml:space="preserve">maria de lourdes </t>
  </si>
  <si>
    <t>gonsalo da costa</t>
  </si>
  <si>
    <t xml:space="preserve">hilda conceição </t>
  </si>
  <si>
    <t>miguel jesus</t>
  </si>
  <si>
    <t>hilda souza</t>
  </si>
  <si>
    <t>paulo alexandre</t>
  </si>
  <si>
    <t>LARISSA MARIA</t>
  </si>
  <si>
    <t>carlos alberto</t>
  </si>
  <si>
    <t>angelita ferreira</t>
  </si>
  <si>
    <t>sunamita ferreira</t>
  </si>
  <si>
    <t>marluce maria</t>
  </si>
  <si>
    <t>sueli faustino</t>
  </si>
  <si>
    <t xml:space="preserve">josefa severina </t>
  </si>
  <si>
    <t>neide maria</t>
  </si>
  <si>
    <t xml:space="preserve">fabio gonçalves </t>
  </si>
  <si>
    <t>sandra  regina</t>
  </si>
  <si>
    <t>sandra regina</t>
  </si>
  <si>
    <t>leticia andressa correa</t>
  </si>
  <si>
    <t>MARIA JOSE</t>
  </si>
  <si>
    <t>IRACELIO ALVES</t>
  </si>
  <si>
    <t xml:space="preserve">JOSÉ JOÃO </t>
  </si>
  <si>
    <t>HUMBERTO CORREA</t>
  </si>
  <si>
    <t>SILENE LEITE</t>
  </si>
  <si>
    <t xml:space="preserve">ROBERT LAHERUTA </t>
  </si>
  <si>
    <t xml:space="preserve">ROBERT LAHUERTA </t>
  </si>
  <si>
    <t xml:space="preserve">WILFRID FRERIVAL </t>
  </si>
  <si>
    <t xml:space="preserve">IURAPUAM   LUIZ </t>
  </si>
  <si>
    <t xml:space="preserve">WALTER LUIZ </t>
  </si>
  <si>
    <t xml:space="preserve">JOSÉ SEMEAO DOS SANTOS </t>
  </si>
  <si>
    <t>-</t>
  </si>
  <si>
    <t xml:space="preserve">MARIA RUTE </t>
  </si>
  <si>
    <t xml:space="preserve">ADRIANO DA SILVA </t>
  </si>
  <si>
    <t xml:space="preserve">TAYNARA CRISTINA </t>
  </si>
  <si>
    <t xml:space="preserve">Vale adiantamento: Larissa Dias </t>
  </si>
  <si>
    <t>Vale adiantamento: Maria Elizabeth (parte)</t>
  </si>
  <si>
    <t xml:space="preserve">EDNALVA DOS SANTOS </t>
  </si>
  <si>
    <t xml:space="preserve">GISLEINE RODRIGUES </t>
  </si>
  <si>
    <t xml:space="preserve">IZALTINA JULIA </t>
  </si>
  <si>
    <t xml:space="preserve">TAYNARA DOS  SANTOS </t>
  </si>
  <si>
    <t xml:space="preserve">CINIRA LUCIA </t>
  </si>
  <si>
    <t>VANESSA NEVES</t>
  </si>
  <si>
    <t>MARIA APARECIDA</t>
  </si>
  <si>
    <t>ELIZABETE ALVES</t>
  </si>
  <si>
    <t xml:space="preserve">REINALDO ROMANHALO </t>
  </si>
  <si>
    <t xml:space="preserve">GREISON LOPES </t>
  </si>
  <si>
    <t xml:space="preserve">ORECIO DE OLIVEIRA </t>
  </si>
  <si>
    <t xml:space="preserve">MARTA LOPES </t>
  </si>
  <si>
    <t xml:space="preserve">EUDES CONCEIÇÃO </t>
  </si>
  <si>
    <t xml:space="preserve">FABIO GONÇALVES </t>
  </si>
  <si>
    <t xml:space="preserve">ELIZEU LUCIO </t>
  </si>
  <si>
    <t xml:space="preserve">PALOMA DE SOUSA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</si>
</sst>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</font>
    <font>
      <sz val="11"/>
      <name val="Calibri"/>
      <scheme val="minor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7" fillId="0" borderId="6" xfId="0" applyNumberFormat="1" applyFont="1" applyBorder="1" applyAlignment="1">
      <alignment horizontal="center"/>
    </xf>
    <xf numFmtId="1" fontId="37" fillId="0" borderId="17" xfId="0" applyNumberFormat="1" applyFont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9" fillId="0" borderId="3" xfId="2" applyFont="1" applyFill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14" fontId="41" fillId="0" borderId="0" xfId="0" applyNumberFormat="1" applyFont="1" applyAlignment="1">
      <alignment horizontal="center"/>
    </xf>
    <xf numFmtId="164" fontId="35" fillId="0" borderId="13" xfId="2" applyFont="1" applyFill="1" applyBorder="1" applyAlignment="1">
      <alignment horizontal="center"/>
    </xf>
    <xf numFmtId="164" fontId="37" fillId="0" borderId="13" xfId="2" applyFont="1" applyFill="1" applyBorder="1" applyAlignment="1">
      <alignment horizontal="center"/>
    </xf>
    <xf numFmtId="165" fontId="37" fillId="0" borderId="13" xfId="4" applyNumberFormat="1" applyFont="1" applyFill="1" applyBorder="1" applyAlignment="1">
      <alignment horizontal="center"/>
    </xf>
    <xf numFmtId="0" fontId="43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42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64" fontId="24" fillId="0" borderId="3" xfId="2" applyFont="1" applyFill="1" applyBorder="1" applyAlignment="1">
      <alignment horizontal="center"/>
    </xf>
    <xf numFmtId="165" fontId="40" fillId="5" borderId="18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left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2" applyFont="1" applyFill="1" applyBorder="1" applyAlignment="1">
      <alignment horizontal="center"/>
    </xf>
    <xf numFmtId="165" fontId="5" fillId="0" borderId="0" xfId="4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0" fontId="45" fillId="7" borderId="6" xfId="0" applyFont="1" applyFill="1" applyBorder="1" applyAlignment="1">
      <alignment horizontal="center" vertical="center"/>
    </xf>
    <xf numFmtId="0" fontId="45" fillId="7" borderId="7" xfId="0" applyFont="1" applyFill="1" applyBorder="1" applyAlignment="1">
      <alignment horizontal="center" vertical="center"/>
    </xf>
    <xf numFmtId="0" fontId="45" fillId="7" borderId="8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7" borderId="17" xfId="0" applyFont="1" applyFill="1" applyBorder="1" applyAlignment="1">
      <alignment horizontal="center"/>
    </xf>
    <xf numFmtId="165" fontId="18" fillId="7" borderId="5" xfId="0" applyNumberFormat="1" applyFont="1" applyFill="1" applyBorder="1" applyAlignment="1">
      <alignment horizontal="center"/>
    </xf>
    <xf numFmtId="165" fontId="18" fillId="7" borderId="4" xfId="0" applyNumberFormat="1" applyFont="1" applyFill="1" applyBorder="1" applyAlignment="1">
      <alignment horizontal="center"/>
    </xf>
    <xf numFmtId="165" fontId="18" fillId="7" borderId="12" xfId="0" applyNumberFormat="1" applyFont="1" applyFill="1" applyBorder="1" applyAlignment="1">
      <alignment horizontal="center"/>
    </xf>
    <xf numFmtId="44" fontId="5" fillId="0" borderId="17" xfId="39" applyFont="1" applyFill="1" applyBorder="1" applyAlignment="1">
      <alignment horizontal="center"/>
    </xf>
    <xf numFmtId="0" fontId="46" fillId="7" borderId="6" xfId="0" applyFont="1" applyFill="1" applyBorder="1" applyAlignment="1">
      <alignment horizontal="center"/>
    </xf>
    <xf numFmtId="165" fontId="46" fillId="7" borderId="8" xfId="0" applyNumberFormat="1" applyFont="1" applyFill="1" applyBorder="1" applyAlignment="1">
      <alignment horizontal="center"/>
    </xf>
    <xf numFmtId="164" fontId="46" fillId="7" borderId="6" xfId="2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5" fontId="5" fillId="0" borderId="11" xfId="4" applyNumberFormat="1" applyFont="1" applyFill="1" applyBorder="1" applyAlignment="1">
      <alignment horizontal="center"/>
    </xf>
    <xf numFmtId="0" fontId="18" fillId="7" borderId="3" xfId="0" applyFont="1" applyFill="1" applyBorder="1" applyAlignment="1">
      <alignment horizontal="center"/>
    </xf>
    <xf numFmtId="44" fontId="5" fillId="0" borderId="13" xfId="39" applyFont="1" applyFill="1" applyBorder="1" applyAlignment="1">
      <alignment horizontal="center"/>
    </xf>
    <xf numFmtId="165" fontId="5" fillId="0" borderId="13" xfId="4" applyNumberFormat="1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3">
    <dxf>
      <font>
        <b val="0"/>
        <i val="0"/>
        <family val="2"/>
      </font>
      <numFmt numFmtId="169" formatCode="&quot;R$&quot;\ #.##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9" formatCode="&quot;R$&quot;\ #.##000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2" headerRowBorderDxfId="1641" tableBorderDxfId="1640" totalsRowBorderDxfId="1639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8" dataCellStyle="Moeda"/>
    <tableColumn id="5" xr3:uid="{45BECD08-8ABE-4A34-BD78-E2D3AFB8C62A}" name="Cliente" dataDxfId="1637" dataCellStyle="Moeda"/>
    <tableColumn id="2" xr3:uid="{A0D6666C-9CF7-4343-AF6B-BDFE62F94469}" name="Forma de Pgto" dataDxfId="1636" dataCellStyle="Moeda"/>
    <tableColumn id="3" xr3:uid="{988F127F-9D83-4428-BB94-C16FBBB1BD89}" name="Valor Venda" dataDxfId="1635" dataCellStyle="Porcentagem"/>
    <tableColumn id="4" xr3:uid="{6A2928C3-17B0-4FA3-B60C-9E1A2C0324E1}" name="Entrada" dataDxfId="1634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3" dataDxfId="1631" headerRowBorderDxfId="1632" tableBorderDxfId="1630" totalsRowBorderDxfId="1629">
  <autoFilter ref="K5:M11" xr:uid="{DD403130-B35C-452C-92F9-290622D77A3D}"/>
  <tableColumns count="3">
    <tableColumn id="1" xr3:uid="{FAD87634-3375-4B41-BEC0-5B072F6B52CE}" name="Descrição" dataDxfId="1628"/>
    <tableColumn id="2" xr3:uid="{7688071E-9548-4552-8BB1-3BA5128DF645}" name="Tipo de Pagto" dataDxfId="1627"/>
    <tableColumn id="3" xr3:uid="{2B260C33-79A5-4C5D-9195-15780C53A861}" name="Valor" dataDxfId="16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40" totalsRowShown="0" headerRowDxfId="1625" headerRowBorderDxfId="1624" tableBorderDxfId="1623" totalsRowBorderDxfId="1622">
  <autoFilter ref="E25:I40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6" headerRowBorderDxfId="1615" tableBorderDxfId="1614" totalsRowBorderDxfId="1613">
  <autoFilter ref="K14:M31" xr:uid="{F07D43AD-1A4D-4B31-96B8-824F8623E518}"/>
  <tableColumns count="3">
    <tableColumn id="1" xr3:uid="{3AF01421-A7B6-4D23-9DA8-C20FAFAFDD9C}" name="OS" dataDxfId="1612"/>
    <tableColumn id="2" xr3:uid="{55DCC30E-EB52-427E-A16A-B2C93A41F1CE}" name="Vendedor" dataDxfId="1611"/>
    <tableColumn id="3" xr3:uid="{23EDA46C-42B4-4F6C-97D9-7040D6B9797C}" name="CARNE" dataDxfId="16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43:I50" totalsRowShown="0" headerRowDxfId="1609" headerRowBorderDxfId="1608" tableBorderDxfId="1607" totalsRowBorderDxfId="1606">
  <autoFilter ref="E43:I50" xr:uid="{160070D3-12DB-4B84-9ECC-6FB01084295E}"/>
  <sortState xmlns:xlrd2="http://schemas.microsoft.com/office/spreadsheetml/2017/richdata2" ref="E44:I49">
    <sortCondition ref="E25:E31"/>
  </sortState>
  <tableColumns count="5">
    <tableColumn id="1" xr3:uid="{BB49FC7C-C2C1-4464-B507-93763DA8CB96}" name="OS" dataDxfId="1605"/>
    <tableColumn id="2" xr3:uid="{FBA6EA78-F44B-4D22-A27A-92A91C10551F}" name="Cliente" dataDxfId="1604"/>
    <tableColumn id="3" xr3:uid="{749B4D89-29B3-4987-91D3-6BA3C44D9B96}" name="Forma de Pgto" dataDxfId="1603" dataCellStyle="Moeda"/>
    <tableColumn id="4" xr3:uid="{A84A6598-B291-4809-A78D-AB810461733D}" name="Valor Parcela" dataDxfId="1602" dataCellStyle="Porcentagem"/>
    <tableColumn id="5" xr3:uid="{3C45FEEC-5E06-4ED7-87CD-0097DB6BC817}" name="Nº Parcela" dataDxfId="1601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00" headerRowBorderDxfId="1599" tableBorderDxfId="1598" totalsRowBorderDxfId="1597">
  <autoFilter ref="K34:M41" xr:uid="{42BA126A-AECD-4CD6-8583-BD2352D82FB9}"/>
  <tableColumns count="3">
    <tableColumn id="1" xr3:uid="{0989D88A-7CB7-4008-94FC-B7FFB3CAE582}" name="OS" dataDxfId="1596"/>
    <tableColumn id="2" xr3:uid="{AC9D76CC-A537-4210-9893-E8C57DA30B4D}" name="Parcelas" dataDxfId="1595"/>
    <tableColumn id="3" xr3:uid="{D4D72E6E-DAE0-4860-8606-BFD8E469AE3D}" name="Valor Total" dataDxfId="159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3" dataDxfId="1591" headerRowBorderDxfId="1592" tableBorderDxfId="1590" totalsRowBorderDxfId="15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8" dataCellStyle="Moeda"/>
    <tableColumn id="5" xr3:uid="{62DCD49D-7CD9-4268-A2D5-B3A594E461BB}" name="Cliente" dataDxfId="1587" dataCellStyle="Moeda"/>
    <tableColumn id="2" xr3:uid="{50D45495-B1A2-4885-996A-3E6DD92E280E}" name="Forma de Pgto" dataDxfId="1586" dataCellStyle="Moeda"/>
    <tableColumn id="3" xr3:uid="{DE57E226-692B-42B0-911E-ACCF59BC6D86}" name="Valor Venda" dataDxfId="1585" dataCellStyle="Porcentagem"/>
    <tableColumn id="4" xr3:uid="{CE230B3B-D2C9-4A92-A5F3-A5EE4A74409A}" name="Entrada" dataDxfId="1584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3" dataDxfId="1581" headerRowBorderDxfId="1582" tableBorderDxfId="1580" totalsRowBorderDxfId="1579">
  <autoFilter ref="K5:M11" xr:uid="{00000000-0009-0000-0100-000015000000}"/>
  <tableColumns count="3">
    <tableColumn id="1" xr3:uid="{58E2E66D-9AC0-4A69-BF19-1AB9AD59BA2F}" name="Descrição" dataDxfId="1578"/>
    <tableColumn id="2" xr3:uid="{FE1E3124-46C3-49A6-AE83-7C14B341DF59}" name="Tipo de Pagto" dataDxfId="1577"/>
    <tableColumn id="3" xr3:uid="{D8FBF474-04EE-46ED-9B9E-791D937CF715}" name="Valor" dataDxfId="157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5" dataDxfId="1573" headerRowBorderDxfId="1574" tableBorderDxfId="1572" totalsRowBorderDxfId="15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70"/>
    <tableColumn id="2" xr3:uid="{595EF087-A3B2-4C2B-AEEA-F930A6C2F5F4}" name="Cliente" dataDxfId="1569"/>
    <tableColumn id="3" xr3:uid="{C5C2BC75-6E8D-4808-A5EE-A5F9251ECE6C}" name="Forma de Pgto" dataDxfId="1568" dataCellStyle="Moeda"/>
    <tableColumn id="4" xr3:uid="{20CF776B-B9F4-48DD-9379-961689B40B71}" name="Valor Venda" dataDxfId="1567" dataCellStyle="Porcentagem"/>
    <tableColumn id="5" xr3:uid="{65177CB6-6D07-42E6-8EFE-435282A2F5BA}" name="Entrada" dataDxfId="1566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5" dataDxfId="1563" headerRowBorderDxfId="1564" tableBorderDxfId="1562" totalsRowBorderDxfId="156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60"/>
    <tableColumn id="2" xr3:uid="{D1AEFC99-FF9D-4A0D-BE93-D866BDC7A817}" name="Vendedor" dataDxfId="1559"/>
    <tableColumn id="3" xr3:uid="{CA30546E-8A3F-45D5-BE2B-24DCF738F1F2}" name="CARNE" dataDxfId="155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7" dataDxfId="1555" headerRowBorderDxfId="1556" tableBorderDxfId="1554" totalsRowBorderDxfId="155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2"/>
    <tableColumn id="2" xr3:uid="{7D38F106-0145-4B73-951B-86BF22EC7FAB}" name="Cliente" dataDxfId="1551"/>
    <tableColumn id="3" xr3:uid="{11A4EEBE-D35C-4719-B2B9-16486260EF79}" name="Forma de Pgto" dataDxfId="1550" dataCellStyle="Moeda"/>
    <tableColumn id="4" xr3:uid="{1BAB2FC5-9F2C-41DD-994A-6BA83A984883}" name="Valor Parcela" dataDxfId="1549" dataCellStyle="Porcentagem"/>
    <tableColumn id="5" xr3:uid="{8C539F89-5F96-4DB9-B7A4-784EA1B5350C}" name="Nº Parcela" dataDxfId="1548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7" headerRowBorderDxfId="1546" tableBorderDxfId="1545" totalsRowBorderDxfId="1544">
  <autoFilter ref="K34:M41" xr:uid="{1B8643D4-6AC3-4029-882A-C62E9D7CB225}"/>
  <tableColumns count="3">
    <tableColumn id="1" xr3:uid="{0B93901B-D681-410F-8B28-E186D9A3CAC3}" name="OS" dataDxfId="1543"/>
    <tableColumn id="2" xr3:uid="{A57C0E02-6258-48F0-9407-2095CD96B2D4}" name="Parcelas" dataDxfId="1542"/>
    <tableColumn id="3" xr3:uid="{1EA087CF-658D-4951-89BB-508667E3BBBE}" name="Valor Total" dataDxfId="154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40" dataDxfId="1538" headerRowBorderDxfId="1539" tableBorderDxfId="1537" totalsRowBorderDxfId="15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5" dataCellStyle="Moeda"/>
    <tableColumn id="5" xr3:uid="{98DC42E5-632F-4288-9CC5-1F032859A7E7}" name="Cliente" dataDxfId="1534" dataCellStyle="Moeda"/>
    <tableColumn id="2" xr3:uid="{4AE32B81-9EBD-470B-9ABE-A82D6658F3FE}" name="Forma de Pgto" dataDxfId="1533" dataCellStyle="Moeda"/>
    <tableColumn id="3" xr3:uid="{6E5BAEC1-2689-4ABB-93EC-298595B5C82E}" name="Valor Venda" dataDxfId="1532" dataCellStyle="Porcentagem"/>
    <tableColumn id="4" xr3:uid="{24493E7B-FE77-4A85-8810-0F0A4A84D997}" name="Entrada" dataDxfId="1531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30" dataDxfId="1528" headerRowBorderDxfId="1529" tableBorderDxfId="1527" totalsRowBorderDxfId="1526">
  <autoFilter ref="K5:M11" xr:uid="{00000000-0009-0000-0100-000015000000}"/>
  <tableColumns count="3">
    <tableColumn id="1" xr3:uid="{DA50BBFB-ECA9-45DE-9949-F3F90EEC3BA7}" name="Descrição" dataDxfId="1525"/>
    <tableColumn id="2" xr3:uid="{A64D4F88-B62D-440B-BA71-6D7BB28D542E}" name="Tipo de Pagto" dataDxfId="1524"/>
    <tableColumn id="3" xr3:uid="{0406A209-0652-47F9-9AB4-3256B26876D2}" name="Valor" dataDxfId="152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2" dataDxfId="1520" headerRowBorderDxfId="1521" tableBorderDxfId="1519" totalsRowBorderDxfId="15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7"/>
    <tableColumn id="2" xr3:uid="{8B8D24E4-1123-478B-838C-FCF56EABBDFD}" name="Cliente" dataDxfId="1516"/>
    <tableColumn id="3" xr3:uid="{8B7DE8DF-8D5D-4245-A63D-EF550AE347E3}" name="Forma de Pgto" dataDxfId="1515" dataCellStyle="Moeda"/>
    <tableColumn id="4" xr3:uid="{95A77C0C-49D0-45A2-8B99-A765C4741CE7}" name="Valor Venda" dataDxfId="1514" dataCellStyle="Porcentagem"/>
    <tableColumn id="5" xr3:uid="{FF4FDD32-DA70-4723-A8FB-07B3FB04B5CD}" name="Entrada" dataDxfId="1513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2" dataDxfId="1510" headerRowBorderDxfId="1511" tableBorderDxfId="1509" totalsRowBorderDxfId="1508">
  <autoFilter ref="K14:M31" xr:uid="{C83FE64B-E221-4DAA-89EA-5307A7BC98B3}"/>
  <tableColumns count="3">
    <tableColumn id="1" xr3:uid="{A31E67F7-E266-4220-8D3F-09556FCE20B1}" name="OS" dataDxfId="1507"/>
    <tableColumn id="2" xr3:uid="{2ED39269-8DA5-4157-9E82-8C8ED0C828A3}" name="Vendedor" dataDxfId="1506"/>
    <tableColumn id="3" xr3:uid="{F550B35D-6F70-4E2E-9037-3A7DF5BB4D86}" name="CARNE" dataDxfId="15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4" dataDxfId="1502" headerRowBorderDxfId="1503" tableBorderDxfId="1501" totalsRowBorderDxfId="15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9"/>
    <tableColumn id="2" xr3:uid="{58D563AD-1DCA-4768-9170-A0079A20A1DF}" name="Cliente" dataDxfId="1498"/>
    <tableColumn id="3" xr3:uid="{FE883FCE-942C-4DE5-904D-B12FE6C4992D}" name="Forma de Pgto" dataDxfId="1497" dataCellStyle="Moeda"/>
    <tableColumn id="4" xr3:uid="{21451B08-4DF0-4C35-AC45-94C183AA6A59}" name="Valor Parcela" dataDxfId="1496" dataCellStyle="Porcentagem"/>
    <tableColumn id="5" xr3:uid="{8F93C3AE-47D0-4E55-A038-445341804CE9}" name="Nº Parcela" dataDxfId="1495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4" headerRowBorderDxfId="1493" tableBorderDxfId="1492" totalsRowBorderDxfId="1491">
  <autoFilter ref="K34:M41" xr:uid="{1B8643D4-6AC3-4029-882A-C62E9D7CB225}"/>
  <tableColumns count="3">
    <tableColumn id="1" xr3:uid="{2687574F-C0F9-4AD1-A54B-286C1AE50D97}" name="OS" dataDxfId="1490"/>
    <tableColumn id="2" xr3:uid="{AE623FF4-38C1-45D9-B220-1CD4A553B7C1}" name="Parcelas" dataDxfId="1489"/>
    <tableColumn id="3" xr3:uid="{EEBFC521-3084-43FF-A36B-C25CE198B817}" name="Valor Total" dataDxfId="1488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7" dataDxfId="1485" headerRowBorderDxfId="1486" tableBorderDxfId="1484" totalsRowBorderDxfId="1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2" dataCellStyle="Moeda"/>
    <tableColumn id="5" xr3:uid="{F5DA840E-A051-4AE4-AE1A-9DAFAF8FFC3B}" name="Cliente" dataDxfId="1481" dataCellStyle="Moeda"/>
    <tableColumn id="2" xr3:uid="{DF65CD3D-444A-4025-B98B-F38F11610432}" name="Forma de Pgto" dataDxfId="1480" dataCellStyle="Moeda"/>
    <tableColumn id="3" xr3:uid="{9A4839DC-9153-466A-B0AF-456FAEF79174}" name="Valor Venda" dataDxfId="1479" dataCellStyle="Porcentagem"/>
    <tableColumn id="4" xr3:uid="{EF410A7C-DBD1-4367-A43B-616826FFEB4F}" name="Entrada" dataDxfId="1478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7" dataDxfId="1475" headerRowBorderDxfId="1476" tableBorderDxfId="1474" totalsRowBorderDxfId="1473">
  <autoFilter ref="K5:M11" xr:uid="{00000000-0009-0000-0100-000015000000}"/>
  <tableColumns count="3">
    <tableColumn id="1" xr3:uid="{F1C90853-2F5A-4C32-8AC3-18ECE1FDDF43}" name="Descrição" dataDxfId="1472"/>
    <tableColumn id="2" xr3:uid="{DEB32F17-2D52-4FBB-90C4-1C3AE9C104E6}" name="Tipo de Pagto" dataDxfId="1471"/>
    <tableColumn id="3" xr3:uid="{089B3650-C090-496F-BF9A-6E8466DBF76A}" name="Valor" dataDxfId="147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9" dataDxfId="1467" headerRowBorderDxfId="1468" tableBorderDxfId="1466" totalsRowBorderDxfId="1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4"/>
    <tableColumn id="2" xr3:uid="{73AEC7DD-005C-4428-9D1D-1A3761F2192B}" name="Cliente" dataDxfId="1463"/>
    <tableColumn id="3" xr3:uid="{FA28017F-3137-49BD-B826-2E261901E543}" name="Forma de Pgto" dataDxfId="1462" dataCellStyle="Moeda"/>
    <tableColumn id="4" xr3:uid="{6030418B-B1EC-4D4D-96DF-0EB78B87F6F9}" name="Valor Venda" dataDxfId="1461" dataCellStyle="Porcentagem"/>
    <tableColumn id="5" xr3:uid="{0576A975-F40D-4463-85C0-76AB6FCD63AC}" name="Entrada" dataDxfId="1460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9" dataDxfId="1457" headerRowBorderDxfId="1458" tableBorderDxfId="1456" totalsRowBorderDxfId="1455">
  <autoFilter ref="K14:M31" xr:uid="{C83FE64B-E221-4DAA-89EA-5307A7BC98B3}"/>
  <tableColumns count="3">
    <tableColumn id="1" xr3:uid="{830E23BA-DE90-49EF-B4EA-89C3276575B2}" name="OS" dataDxfId="1454"/>
    <tableColumn id="2" xr3:uid="{679AF5A0-4545-4316-AD6C-E4B7A7BA099A}" name="Vendedor" dataDxfId="1453"/>
    <tableColumn id="3" xr3:uid="{6B801D58-D05B-4A78-A6FE-BC9EF408DC10}" name="CARNE" dataDxfId="1452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1" dataDxfId="1449" headerRowBorderDxfId="1450" tableBorderDxfId="1448" totalsRowBorderDxfId="1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6"/>
    <tableColumn id="2" xr3:uid="{953837B7-D16A-40C2-9C83-CD7E7171C88F}" name="Cliente" dataDxfId="1445"/>
    <tableColumn id="3" xr3:uid="{63860264-C651-4A12-8F01-E9F622A843C0}" name="Forma de Pgto" dataDxfId="1444" dataCellStyle="Moeda"/>
    <tableColumn id="4" xr3:uid="{584373BD-23BA-4A1E-A4FC-3D4A594F4148}" name="Valor Parcela" dataDxfId="1443" dataCellStyle="Porcentagem"/>
    <tableColumn id="5" xr3:uid="{7CBAF04B-D82E-4180-A8EA-98461BE41F4A}" name="Nº Parcela" dataDxfId="1442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1" headerRowBorderDxfId="1440" tableBorderDxfId="1439" totalsRowBorderDxfId="1438">
  <autoFilter ref="K34:M41" xr:uid="{1B8643D4-6AC3-4029-882A-C62E9D7CB225}"/>
  <tableColumns count="3">
    <tableColumn id="1" xr3:uid="{F555359C-BC20-4C24-A948-500BDD3B5763}" name="OS" dataDxfId="1437"/>
    <tableColumn id="2" xr3:uid="{B72B4820-B8B5-4F80-83B5-9EC54EF78025}" name="Parcelas" dataDxfId="1436"/>
    <tableColumn id="3" xr3:uid="{893DDBC4-5663-4D63-80CB-4E7482811983}" name="Valor Total" dataDxfId="1435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4" dataDxfId="1432" headerRowBorderDxfId="1433" tableBorderDxfId="1431" totalsRowBorderDxfId="143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9" dataCellStyle="Moeda"/>
    <tableColumn id="5" xr3:uid="{4F9ED826-A0E1-4FB0-83C6-A561EA7B6750}" name="Cliente" dataDxfId="1428" dataCellStyle="Moeda"/>
    <tableColumn id="2" xr3:uid="{C2B928FE-CB2E-4271-AE3D-2FE26117248E}" name="Forma de Pgto" dataDxfId="1427" dataCellStyle="Moeda"/>
    <tableColumn id="3" xr3:uid="{CE23E3D0-4056-4DCB-83C4-5B94BD49CAAC}" name="Valor Venda" dataDxfId="1426" dataCellStyle="Porcentagem"/>
    <tableColumn id="4" xr3:uid="{1F426340-BFB9-4B9E-B988-7A195156D2F2}" name="Entrada" dataDxfId="1425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4" dataDxfId="1422" headerRowBorderDxfId="1423" tableBorderDxfId="1421" totalsRowBorderDxfId="1420">
  <autoFilter ref="K5:M11" xr:uid="{00000000-0009-0000-0100-000015000000}"/>
  <tableColumns count="3">
    <tableColumn id="1" xr3:uid="{F4C840DC-E06E-4A51-B1BF-E769E4EC9ACB}" name="Descrição" dataDxfId="1419"/>
    <tableColumn id="2" xr3:uid="{E6DE1F07-CE97-421A-A22A-4B4270DDF46D}" name="Tipo de Pagto" dataDxfId="1418"/>
    <tableColumn id="3" xr3:uid="{D84FBA92-07C5-41FD-BBA2-2AADF245D1D6}" name="Valor" dataDxfId="1417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6" dataDxfId="1414" headerRowBorderDxfId="1415" tableBorderDxfId="1413" totalsRowBorderDxfId="141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1"/>
    <tableColumn id="2" xr3:uid="{CD77FB12-1DAA-4DAF-B42A-0357959803DD}" name="Cliente" dataDxfId="1410"/>
    <tableColumn id="3" xr3:uid="{5F4C4F5C-C920-452A-B2BA-592AD2C18723}" name="Forma de Pgto" dataDxfId="1409" dataCellStyle="Moeda"/>
    <tableColumn id="4" xr3:uid="{3930B2F0-6049-4E02-92B1-EC55A5330B2C}" name="Valor Venda" dataDxfId="1408" dataCellStyle="Porcentagem"/>
    <tableColumn id="5" xr3:uid="{82EBAE08-64CA-459E-9015-FA8F61210D87}" name="Entrada" dataDxfId="1407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N31" totalsRowShown="0" headerRowDxfId="1406" dataDxfId="1404" headerRowBorderDxfId="1405" tableBorderDxfId="1403" totalsRowBorderDxfId="1402">
  <autoFilter ref="K14:N31" xr:uid="{C83FE64B-E221-4DAA-89EA-5307A7BC98B3}"/>
  <tableColumns count="4">
    <tableColumn id="1" xr3:uid="{E0565617-EB8C-486F-838C-B370E84BC8A2}" name="OS" dataDxfId="1401"/>
    <tableColumn id="2" xr3:uid="{EA20833B-67D8-48B8-B6E4-54A10D0969E8}" name="Vendedor" dataDxfId="1400"/>
    <tableColumn id="3" xr3:uid="{8B1F8993-74A4-499F-AD5E-91A6051BA219}" name="CARNE" dataDxfId="1399"/>
    <tableColumn id="4" xr3:uid="{B8618325-4D94-4622-AC60-DA2C3E0EBDEF}" name="Coluna1" dataDxfId="1398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7" dataDxfId="1395" headerRowBorderDxfId="1396" tableBorderDxfId="1394" totalsRowBorderDxfId="1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2"/>
    <tableColumn id="2" xr3:uid="{FB461660-91D6-4E31-81FF-113A17320EED}" name="Cliente" dataDxfId="1391"/>
    <tableColumn id="3" xr3:uid="{0A47D0C3-375B-4E2D-B5E9-2048252BC0D3}" name="Forma de Pgto" dataDxfId="1390" dataCellStyle="Moeda"/>
    <tableColumn id="4" xr3:uid="{F9C62ED5-C18D-465D-B7E4-0729BD7B3A10}" name="Valor Parcela" dataDxfId="1389" dataCellStyle="Porcentagem"/>
    <tableColumn id="5" xr3:uid="{DD9D513B-1645-445F-83E9-DC54C163BD4E}" name="Nº Parcela" dataDxfId="1388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7" headerRowBorderDxfId="1386" tableBorderDxfId="1385" totalsRowBorderDxfId="1384">
  <autoFilter ref="K34:M41" xr:uid="{1B8643D4-6AC3-4029-882A-C62E9D7CB225}"/>
  <tableColumns count="3">
    <tableColumn id="1" xr3:uid="{D65B195F-C059-40E5-A4CA-FE91C5DB43DB}" name="OS" dataDxfId="1383"/>
    <tableColumn id="2" xr3:uid="{A2A023CF-C61D-419E-ABB0-2F9CEE35150B}" name="Parcelas" dataDxfId="1382"/>
    <tableColumn id="3" xr3:uid="{F7D650A1-7C3D-42D0-B133-EB49D396C64F}" name="Valor Total" dataDxfId="138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0" dataDxfId="1378" headerRowBorderDxfId="1379" tableBorderDxfId="1377" totalsRowBorderDxfId="137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5" dataCellStyle="Moeda"/>
    <tableColumn id="5" xr3:uid="{FF96847D-D5C5-4F73-905C-E549112972E1}" name="Cliente" dataDxfId="1374" dataCellStyle="Moeda"/>
    <tableColumn id="2" xr3:uid="{1B47815A-C2E2-4886-9A6F-B2A7307F901E}" name="Forma de Pgto" dataDxfId="1373" dataCellStyle="Moeda"/>
    <tableColumn id="3" xr3:uid="{FD86C99A-4E69-452A-8D71-B939B84F2B55}" name="Valor Venda" dataDxfId="1372" dataCellStyle="Porcentagem"/>
    <tableColumn id="4" xr3:uid="{49ECBAAC-14EE-43F3-BE6F-974EF5F3E156}" name="Entrada" dataDxfId="1371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0" dataDxfId="1368" headerRowBorderDxfId="1369" tableBorderDxfId="1367" totalsRowBorderDxfId="1366">
  <autoFilter ref="K5:M11" xr:uid="{00000000-0009-0000-0100-000015000000}"/>
  <tableColumns count="3">
    <tableColumn id="1" xr3:uid="{5236D397-E61A-4AA1-B99C-AD40093239F9}" name="Descrição" dataDxfId="1365"/>
    <tableColumn id="2" xr3:uid="{3341FC2A-819A-41AF-B8A9-B5A195B8D597}" name="Tipo de Pagto" dataDxfId="1364"/>
    <tableColumn id="3" xr3:uid="{D568CA16-B32B-4F86-9DE5-B8B3E9825745}" name="Valor" dataDxfId="136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2" dataDxfId="1360" headerRowBorderDxfId="1361" tableBorderDxfId="1359" totalsRowBorderDxfId="135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7"/>
    <tableColumn id="2" xr3:uid="{DEEB020C-2BC4-4E77-9557-B0FDBCF683E9}" name="Cliente" dataDxfId="1356"/>
    <tableColumn id="3" xr3:uid="{FC27FDBE-5194-4E32-AFD1-DB754ECCEF38}" name="Forma de Pgto" dataDxfId="1355" dataCellStyle="Moeda"/>
    <tableColumn id="4" xr3:uid="{489A4CE9-C3F1-4322-9639-D01F0935FB0E}" name="Valor Venda" dataDxfId="1354" dataCellStyle="Porcentagem"/>
    <tableColumn id="5" xr3:uid="{07E5F22F-7782-466E-98DB-48416B35B9C4}" name="Entrada" dataDxfId="1353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2" dataDxfId="1350" headerRowBorderDxfId="1351" tableBorderDxfId="1349" totalsRowBorderDxfId="1348">
  <autoFilter ref="K14:M31" xr:uid="{C83FE64B-E221-4DAA-89EA-5307A7BC98B3}"/>
  <tableColumns count="3">
    <tableColumn id="1" xr3:uid="{E4926A1A-00A9-4844-90B1-E36D53050FAD}" name="OS" dataDxfId="1347"/>
    <tableColumn id="2" xr3:uid="{CFC62C38-9887-48E6-A3B8-42586D1EC066}" name="Vendedor" dataDxfId="1346"/>
    <tableColumn id="3" xr3:uid="{32577275-2002-496E-8AD4-5FE489DBC179}" name="CARNE" dataDxfId="1345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4" dataDxfId="1342" headerRowBorderDxfId="1343" tableBorderDxfId="1341" totalsRowBorderDxfId="134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9"/>
    <tableColumn id="2" xr3:uid="{19438CD0-86D0-4CC4-9B41-5D756AC61E4D}" name="Cliente" dataDxfId="1338"/>
    <tableColumn id="3" xr3:uid="{59621200-4821-4583-9D35-A2EA6C27B52D}" name="Forma de Pgto" dataDxfId="1337" dataCellStyle="Moeda"/>
    <tableColumn id="4" xr3:uid="{35A817E7-6B21-48A7-863E-225DFEDD8B2A}" name="Valor Parcela" dataDxfId="1336" dataCellStyle="Porcentagem"/>
    <tableColumn id="5" xr3:uid="{77D80430-C5F8-4582-B3DF-9A9A9350F565}" name="Nº Parcela" dataDxfId="1335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4" headerRowBorderDxfId="1333" tableBorderDxfId="1332" totalsRowBorderDxfId="1331">
  <autoFilter ref="K34:M41" xr:uid="{1B8643D4-6AC3-4029-882A-C62E9D7CB225}"/>
  <tableColumns count="3">
    <tableColumn id="1" xr3:uid="{503F9F70-E540-4505-B65D-D233FCB88D5F}" name="OS" dataDxfId="1330"/>
    <tableColumn id="2" xr3:uid="{6A2B4927-D830-4C18-8831-6FE23BFAD877}" name="Parcelas" dataDxfId="1329"/>
    <tableColumn id="3" xr3:uid="{8E06E94A-FF62-4D13-8B11-C6CE2990FCDF}" name="Valor Total" dataDxfId="132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30" dataDxfId="29" headerRowBorderDxfId="1327" tableBorderDxfId="1326" totalsRowBorderDxfId="132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35" dataCellStyle="Moeda"/>
    <tableColumn id="5" xr3:uid="{00000000-0010-0000-0900-000005000000}" name="Cliente" dataDxfId="34" dataCellStyle="Moeda"/>
    <tableColumn id="2" xr3:uid="{00000000-0010-0000-0900-000002000000}" name="Forma de Pgto" dataDxfId="33" dataCellStyle="Moeda"/>
    <tableColumn id="3" xr3:uid="{00000000-0010-0000-0900-000003000000}" name="Valor Venda" dataDxfId="32" dataCellStyle="Porcentagem"/>
    <tableColumn id="4" xr3:uid="{00000000-0010-0000-0900-000004000000}" name="Entrada" dataDxfId="31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25" dataDxfId="24" headerRowBorderDxfId="1324" tableBorderDxfId="1323" totalsRowBorderDxfId="1322">
  <autoFilter ref="K5:M11" xr:uid="{00000000-0009-0000-0100-000015000000}"/>
  <tableColumns count="3">
    <tableColumn id="1" xr3:uid="{00000000-0010-0000-0A00-000001000000}" name="Descrição" dataDxfId="28"/>
    <tableColumn id="2" xr3:uid="{00000000-0010-0000-0A00-000002000000}" name="Tipo de Pagto" dataDxfId="27"/>
    <tableColumn id="3" xr3:uid="{00000000-0010-0000-0A00-000003000000}" name="Valor" dataDxfId="26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8" dataDxfId="17" headerRowBorderDxfId="1321" tableBorderDxfId="1320" totalsRowBorderDxfId="13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23"/>
    <tableColumn id="2" xr3:uid="{00000000-0010-0000-0B00-000002000000}" name="Cliente" dataDxfId="22"/>
    <tableColumn id="3" xr3:uid="{00000000-0010-0000-0B00-000003000000}" name="Forma de Pgto" dataDxfId="21" dataCellStyle="Moeda"/>
    <tableColumn id="4" xr3:uid="{00000000-0010-0000-0B00-000004000000}" name="Valor Venda" dataDxfId="20" dataCellStyle="Porcentagem"/>
    <tableColumn id="5" xr3:uid="{00000000-0010-0000-0B00-000005000000}" name="Entrada" dataDxfId="1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" dataDxfId="12" headerRowBorderDxfId="1318" tableBorderDxfId="1317" totalsRowBorderDxfId="1316">
  <autoFilter ref="K14:M31" xr:uid="{C83FE64B-E221-4DAA-89EA-5307A7BC98B3}"/>
  <tableColumns count="3">
    <tableColumn id="1" xr3:uid="{E5EB8AC8-7F8E-49D1-A903-14124A5BA1B1}" name="OS" dataDxfId="16"/>
    <tableColumn id="2" xr3:uid="{E1794679-294A-42ED-9D8F-4C0874170BFA}" name="Vendedor" dataDxfId="15"/>
    <tableColumn id="3" xr3:uid="{CB411C23-941D-4548-984D-68460932D683}" name="CARNE" dataDxfId="14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6" dataDxfId="5" headerRowBorderDxfId="1315" tableBorderDxfId="1314" totalsRowBorderDxfId="131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1"/>
    <tableColumn id="2" xr3:uid="{430FE27E-32BC-43B0-BB6E-CCBAB36B2A5A}" name="Cliente" dataDxfId="10"/>
    <tableColumn id="3" xr3:uid="{568CECCF-BE0A-4266-A7C7-9359F722EA0F}" name="Forma de Pgto" dataDxfId="9" dataCellStyle="Moeda"/>
    <tableColumn id="4" xr3:uid="{9CF4291A-8808-43DB-9F83-A7EB463C5F4A}" name="Valor Parcela" dataDxfId="8" dataCellStyle="Porcentagem"/>
    <tableColumn id="5" xr3:uid="{736EA743-97FA-4800-BEDD-5C07EEB144A8}" name="Nº Parcela" dataDxfId="7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" dataDxfId="0" headerRowBorderDxfId="1312" tableBorderDxfId="1311" totalsRowBorderDxfId="1310">
  <autoFilter ref="K34:M41" xr:uid="{1B8643D4-6AC3-4029-882A-C62E9D7CB225}"/>
  <tableColumns count="3">
    <tableColumn id="1" xr3:uid="{132FEC50-51B3-4AAA-BF48-63FA39ED861C}" name="OS" dataDxfId="4"/>
    <tableColumn id="2" xr3:uid="{11276640-1C63-48D7-BE0B-1FE7C736A1A8}" name="Parcelas" dataDxfId="3"/>
    <tableColumn id="3" xr3:uid="{96591591-9F74-40A6-B0B9-BA6D2106107F}" name="Valor Total" dataDxfId="2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309" dataDxfId="1307" headerRowBorderDxfId="1308" tableBorderDxfId="1306" totalsRowBorderDxfId="13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304" dataCellStyle="Moeda"/>
    <tableColumn id="5" xr3:uid="{795F9F6D-AAE5-4C61-A646-82BF506C503E}" name="Cliente" dataDxfId="1303" dataCellStyle="Moeda"/>
    <tableColumn id="2" xr3:uid="{DD13626B-6361-410E-BFB7-9E75436163A4}" name="Forma de Pgto" dataDxfId="1302" dataCellStyle="Moeda"/>
    <tableColumn id="3" xr3:uid="{8939280F-F6DC-4F66-ADDF-59F6A387460C}" name="Valor Venda" dataDxfId="1301" dataCellStyle="Porcentagem"/>
    <tableColumn id="4" xr3:uid="{FFC83B9E-825A-4058-BFEA-DA64D7159065}" name="Entrada" dataDxfId="1300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99" dataDxfId="1297" headerRowBorderDxfId="1298" tableBorderDxfId="1296" totalsRowBorderDxfId="1295">
  <autoFilter ref="K5:M11" xr:uid="{00000000-0009-0000-0100-000015000000}"/>
  <tableColumns count="3">
    <tableColumn id="1" xr3:uid="{9309A091-2326-4B68-B8C9-B31CF2D72EAF}" name="Descrição" dataDxfId="1294"/>
    <tableColumn id="2" xr3:uid="{910D89CE-506B-440F-8EB2-31633D7CAD51}" name="Tipo de Pagto" dataDxfId="1293"/>
    <tableColumn id="3" xr3:uid="{7155C391-52F1-4F4A-84B1-7BBC44A35A99}" name="Valor" dataDxfId="1292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91" dataDxfId="1289" headerRowBorderDxfId="1290" tableBorderDxfId="1288" totalsRowBorderDxfId="12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86"/>
    <tableColumn id="2" xr3:uid="{75B601B3-9668-4B1A-ADF2-17DA487A3413}" name="Cliente" dataDxfId="1285"/>
    <tableColumn id="3" xr3:uid="{64F47935-52AF-4AE3-9262-06D7472567D7}" name="Forma de Pgto" dataDxfId="1284" dataCellStyle="Moeda"/>
    <tableColumn id="4" xr3:uid="{9257AA0D-34DE-4B38-8406-BC1F561A53B3}" name="Valor Venda" dataDxfId="1283" dataCellStyle="Porcentagem"/>
    <tableColumn id="5" xr3:uid="{4C98958F-FB27-4968-81B6-D7CC6BBD2DAE}" name="Entrada" dataDxfId="1282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81" dataDxfId="1279" headerRowBorderDxfId="1280" tableBorderDxfId="1278" totalsRowBorderDxfId="127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76"/>
    <tableColumn id="2" xr3:uid="{AEB024E2-EB15-40A6-B65B-468339937BD0}" name="Vendedor" dataDxfId="1275"/>
    <tableColumn id="3" xr3:uid="{ACDDDA2A-4116-4E25-B799-0071372A8FAA}" name="CARNE" dataDxfId="1274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73" dataDxfId="1271" headerRowBorderDxfId="1272" tableBorderDxfId="1270" totalsRowBorderDxfId="1269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68"/>
    <tableColumn id="2" xr3:uid="{A06C5B3A-A28C-4563-87C4-B63635D6E7B9}" name="Cliente" dataDxfId="1267"/>
    <tableColumn id="3" xr3:uid="{4AC120F2-6F4A-41F2-87D2-680E8D6F8D96}" name="Forma de Pgto" dataDxfId="1266" dataCellStyle="Moeda"/>
    <tableColumn id="4" xr3:uid="{17DB2EA9-C13D-4AEB-AB97-B4C907D16420}" name="Valor Parcela" dataDxfId="1265" dataCellStyle="Porcentagem"/>
    <tableColumn id="5" xr3:uid="{F6E09F06-2F23-4822-A9B4-D8898604A1E0}" name="Nº Parcela" dataDxfId="1264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63" headerRowBorderDxfId="1262" tableBorderDxfId="1261" totalsRowBorderDxfId="1260">
  <autoFilter ref="K34:M41" xr:uid="{1B8643D4-6AC3-4029-882A-C62E9D7CB225}"/>
  <tableColumns count="3">
    <tableColumn id="1" xr3:uid="{D0DE8F47-9BDA-4E4F-92E6-E2404F920F1B}" name="OS" dataDxfId="1259"/>
    <tableColumn id="2" xr3:uid="{43AD47D8-F738-4D39-8B0B-E0AC217D9D32}" name="Parcelas" dataDxfId="1258"/>
    <tableColumn id="3" xr3:uid="{024ED2FF-C4EC-44DC-9129-9BE8032DC4A5}" name="Valor Total" dataDxfId="125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56" dataDxfId="1254" headerRowBorderDxfId="1255" tableBorderDxfId="1253" totalsRowBorderDxfId="125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51" dataCellStyle="Moeda"/>
    <tableColumn id="5" xr3:uid="{C13AA79A-76C7-4954-B055-3EC7A6A9008A}" name="Cliente" dataDxfId="1250" dataCellStyle="Moeda"/>
    <tableColumn id="2" xr3:uid="{56D92948-0431-4E11-AC7A-A6D6B6D3D15E}" name="Forma de Pgto" dataDxfId="1249" dataCellStyle="Moeda"/>
    <tableColumn id="3" xr3:uid="{3348DA9C-6AA9-49E4-8450-E8BC22BC5F6C}" name="Valor Venda" dataDxfId="1248" dataCellStyle="Porcentagem"/>
    <tableColumn id="4" xr3:uid="{A03B4BE2-2B4F-4512-98ED-45C3754F4D2A}" name="Entrada" dataDxfId="1247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46" dataDxfId="1244" headerRowBorderDxfId="1245" tableBorderDxfId="1243" totalsRowBorderDxfId="1242">
  <autoFilter ref="K5:M11" xr:uid="{00000000-0009-0000-0100-000015000000}"/>
  <tableColumns count="3">
    <tableColumn id="1" xr3:uid="{2700D0CD-8906-41BB-B51F-AAECD67A05FE}" name="Descrição" dataDxfId="1241"/>
    <tableColumn id="2" xr3:uid="{00E5FAC2-C7E2-44A6-AA64-460782F41E47}" name="Tipo de Pagto" dataDxfId="1240"/>
    <tableColumn id="3" xr3:uid="{70D30678-03EC-4DC1-BB28-EBD756D1976D}" name="Valor" dataDxfId="1239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38" dataDxfId="1236" headerRowBorderDxfId="1237" tableBorderDxfId="1235" totalsRowBorderDxfId="123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33"/>
    <tableColumn id="2" xr3:uid="{59310BF7-C6CA-49AF-8D7C-32023868A553}" name="Cliente" dataDxfId="1232"/>
    <tableColumn id="3" xr3:uid="{C13BE163-BA03-41E0-A121-27164C58ABA3}" name="Forma de Pgto" dataDxfId="1231" dataCellStyle="Moeda"/>
    <tableColumn id="4" xr3:uid="{E9797482-8A01-4C8B-8B66-47DE3D38D78F}" name="Valor Venda" dataDxfId="1230" dataCellStyle="Porcentagem"/>
    <tableColumn id="5" xr3:uid="{864D3F67-D199-48BA-8E16-3EFBAC4AF8A2}" name="Entrada" dataDxfId="1229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28" dataDxfId="1226" headerRowBorderDxfId="1227" tableBorderDxfId="1225" totalsRowBorderDxfId="1224">
  <autoFilter ref="K14:M31" xr:uid="{C83FE64B-E221-4DAA-89EA-5307A7BC98B3}"/>
  <tableColumns count="3">
    <tableColumn id="1" xr3:uid="{92200504-6651-4517-B155-4C75687BBC1E}" name="OS" dataDxfId="1223"/>
    <tableColumn id="2" xr3:uid="{BE1934F5-5D06-41D6-9394-C4D383C8CD33}" name="Vendedor" dataDxfId="1222"/>
    <tableColumn id="3" xr3:uid="{F504E9B2-856C-4C10-AA72-D7A7B035B330}" name="CARNE" dataDxfId="1221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20" dataDxfId="1218" headerRowBorderDxfId="1219" tableBorderDxfId="1217" totalsRowBorderDxfId="121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15"/>
    <tableColumn id="2" xr3:uid="{95B09C40-3752-47D7-9085-F5B42BC487DA}" name="Cliente" dataDxfId="1214"/>
    <tableColumn id="3" xr3:uid="{1A0B311C-327A-4C44-9D04-81730B41B9A2}" name="Forma de Pgto" dataDxfId="1213" dataCellStyle="Moeda"/>
    <tableColumn id="4" xr3:uid="{9A802666-F9A1-4EB6-824C-ECF60066044F}" name="Valor Parcela" dataDxfId="1212" dataCellStyle="Porcentagem"/>
    <tableColumn id="5" xr3:uid="{1CC0AF26-B599-4D4F-8BD5-BBE76DBCE085}" name="Nº Parcela" dataDxfId="1211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210" headerRowBorderDxfId="1209" tableBorderDxfId="1208" totalsRowBorderDxfId="1207">
  <autoFilter ref="K34:M41" xr:uid="{1B8643D4-6AC3-4029-882A-C62E9D7CB225}"/>
  <tableColumns count="3">
    <tableColumn id="1" xr3:uid="{D712257D-E310-4A34-972E-E8E3502C0E07}" name="OS" dataDxfId="1206"/>
    <tableColumn id="2" xr3:uid="{DE78D123-6817-4646-8C08-920B2F11524F}" name="Parcelas" dataDxfId="1205"/>
    <tableColumn id="3" xr3:uid="{5BFF5A3E-02FE-410E-B1DB-45BB5A31FC42}" name="Valor Total" dataDxfId="1204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203" dataDxfId="1201" headerRowBorderDxfId="1202" tableBorderDxfId="1200" totalsRowBorderDxfId="11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98" dataCellStyle="Moeda"/>
    <tableColumn id="5" xr3:uid="{A57F8BDB-02F9-493C-AD6D-F47611C369D5}" name="Cliente" dataDxfId="1197" dataCellStyle="Moeda"/>
    <tableColumn id="2" xr3:uid="{3BF4EA26-026F-42E1-9B28-3FCC68B54E9F}" name="Forma de Pgto" dataDxfId="1196" dataCellStyle="Moeda"/>
    <tableColumn id="3" xr3:uid="{FD063076-8462-4774-B716-34AAD1738449}" name="Valor Venda" dataDxfId="1195" dataCellStyle="Porcentagem"/>
    <tableColumn id="4" xr3:uid="{690445E0-65B1-450A-A6D3-179070107086}" name="Entrada" dataDxfId="1194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93" dataDxfId="1191" headerRowBorderDxfId="1192" tableBorderDxfId="1190" totalsRowBorderDxfId="1189">
  <autoFilter ref="K5:M11" xr:uid="{00000000-0009-0000-0100-000015000000}"/>
  <tableColumns count="3">
    <tableColumn id="1" xr3:uid="{5D510C76-887A-4F0A-A2F3-BD55732E9E85}" name="Descrição" dataDxfId="1188"/>
    <tableColumn id="2" xr3:uid="{F6C1F4A7-28F4-48F8-905E-708FA62EB574}" name="Tipo de Pagto" dataDxfId="1187"/>
    <tableColumn id="3" xr3:uid="{E62B0002-F6CD-4351-A9EA-673FC7C97B03}" name="Valor" dataDxfId="1186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85" dataDxfId="1183" headerRowBorderDxfId="1184" tableBorderDxfId="1182" totalsRowBorderDxfId="1181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80"/>
    <tableColumn id="2" xr3:uid="{822B50C3-46B7-46F0-8829-5293CCAFB21E}" name="Cliente" dataDxfId="1179"/>
    <tableColumn id="3" xr3:uid="{F2A36AB3-30D6-4C43-A466-18FF147EE075}" name="Forma de Pgto" dataDxfId="1178" dataCellStyle="Moeda"/>
    <tableColumn id="4" xr3:uid="{AD829CF8-2271-44F1-A1F1-4928D83ED658}" name="Valor Venda" dataDxfId="1177" dataCellStyle="Porcentagem"/>
    <tableColumn id="5" xr3:uid="{7973C843-3740-4AE2-931D-89DE845BA145}" name="Entrada" dataDxfId="1176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75" dataDxfId="1173" headerRowBorderDxfId="1174" tableBorderDxfId="1172" totalsRowBorderDxfId="1171">
  <autoFilter ref="K14:M31" xr:uid="{C83FE64B-E221-4DAA-89EA-5307A7BC98B3}"/>
  <tableColumns count="3">
    <tableColumn id="1" xr3:uid="{404BEA27-9F48-40AC-AF84-177E7CA2ADEC}" name="OS" dataDxfId="1170"/>
    <tableColumn id="2" xr3:uid="{BC07784A-25E9-4C57-B0FF-1E3D183BCD37}" name="Vendedor" dataDxfId="1169"/>
    <tableColumn id="3" xr3:uid="{EFFF7860-5B35-466B-BA53-4485DC02FB15}" name="CARNE" dataDxfId="1168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67" dataDxfId="1165" headerRowBorderDxfId="1166" tableBorderDxfId="1164" totalsRowBorderDxfId="1163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62"/>
    <tableColumn id="2" xr3:uid="{A8D4686B-F05E-4D96-BDB9-FD354C9E28B8}" name="Cliente" dataDxfId="1161"/>
    <tableColumn id="3" xr3:uid="{0FB871EC-4505-4E7C-A162-0EFDB16AB8E5}" name="Forma de Pgto" dataDxfId="1160" dataCellStyle="Moeda"/>
    <tableColumn id="4" xr3:uid="{41436228-3E61-4F7F-80EF-627B1794150B}" name="Valor Parcela" dataDxfId="1159" dataCellStyle="Porcentagem"/>
    <tableColumn id="5" xr3:uid="{9C580DC7-08E3-4AD7-B73C-C1AA4298633B}" name="Nº Parcela" dataDxfId="1158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57" headerRowBorderDxfId="1156" tableBorderDxfId="1155" totalsRowBorderDxfId="1154">
  <autoFilter ref="K34:M41" xr:uid="{1B8643D4-6AC3-4029-882A-C62E9D7CB225}"/>
  <tableColumns count="3">
    <tableColumn id="1" xr3:uid="{6E774D52-7DFE-4ED1-9F2F-47B5899CBAC1}" name="OS" dataDxfId="1153"/>
    <tableColumn id="2" xr3:uid="{39CE62CA-537C-4DF4-B8D5-281ED0EE57C3}" name="Parcelas" dataDxfId="1152"/>
    <tableColumn id="3" xr3:uid="{830AFF05-9BCF-488F-97F3-8D4378DE4DCB}" name="Valor Total" dataDxfId="115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50" dataDxfId="1148" headerRowBorderDxfId="1149" tableBorderDxfId="1147" totalsRowBorderDxfId="114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45" dataCellStyle="Moeda"/>
    <tableColumn id="5" xr3:uid="{CE0B3E90-9420-4A96-9195-72088311874E}" name="Cliente" dataDxfId="1144" dataCellStyle="Moeda"/>
    <tableColumn id="2" xr3:uid="{3EF1B45D-588D-4066-8ACF-697863B5F984}" name="Forma de Pgto" dataDxfId="1143" dataCellStyle="Moeda"/>
    <tableColumn id="3" xr3:uid="{9ADBAC7B-B04C-4E2B-9C83-E18200698CCE}" name="Valor Venda" dataDxfId="1142" dataCellStyle="Porcentagem"/>
    <tableColumn id="4" xr3:uid="{16823673-1F5B-4F46-A676-8665CF4D02BA}" name="Entrada" dataDxfId="1141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40" dataDxfId="1138" headerRowBorderDxfId="1139" tableBorderDxfId="1137" totalsRowBorderDxfId="1136">
  <autoFilter ref="K5:M11" xr:uid="{00000000-0009-0000-0100-000015000000}"/>
  <tableColumns count="3">
    <tableColumn id="1" xr3:uid="{A02811B4-F6FA-4EDA-94FE-5EDFE6293B48}" name="Descrição" dataDxfId="1135"/>
    <tableColumn id="2" xr3:uid="{39EAD4CE-DDFA-4948-8B1E-10589BABDD84}" name="Tipo de Pagto" dataDxfId="1134"/>
    <tableColumn id="3" xr3:uid="{30C3BD81-38C9-4C67-BF45-044DFDDD7A0B}" name="Valor" dataDxfId="1133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32" dataDxfId="1130" headerRowBorderDxfId="1131" tableBorderDxfId="1129" totalsRowBorderDxfId="112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27"/>
    <tableColumn id="2" xr3:uid="{BE6E3444-490A-4F75-BE63-234EB84D04F7}" name="Cliente" dataDxfId="1126"/>
    <tableColumn id="3" xr3:uid="{868472E6-6C45-4AEC-9672-E559CFA15EA7}" name="Forma de Pgto" dataDxfId="1125" dataCellStyle="Moeda"/>
    <tableColumn id="4" xr3:uid="{DB2D0AA9-9B1E-4A35-B9B2-8B1052EAD782}" name="Valor Venda" dataDxfId="1124" dataCellStyle="Porcentagem"/>
    <tableColumn id="5" xr3:uid="{C23CEEDF-415E-4EFC-ACF7-2661157A84C3}" name="Entrada" dataDxfId="1123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22" dataDxfId="1120" headerRowBorderDxfId="1121" tableBorderDxfId="1119" totalsRowBorderDxfId="111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Coluna1" dataDxfId="1117"/>
    <tableColumn id="2" xr3:uid="{13D709D4-8F81-4D58-95F2-22F1C686CB18}" name="Vendedor" dataDxfId="1116"/>
    <tableColumn id="3" xr3:uid="{92130A71-CEC8-4371-B6C9-DA29C0189A09}" name="CARNE" dataDxfId="1115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114" dataDxfId="1112" headerRowBorderDxfId="1113" tableBorderDxfId="1111" totalsRowBorderDxfId="111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109"/>
    <tableColumn id="2" xr3:uid="{7652DD36-D535-400C-856B-02CB62C18176}" name="Cliente" dataDxfId="1108"/>
    <tableColumn id="3" xr3:uid="{129618E1-FDB4-497A-9DB0-29AC7143AF10}" name="Forma de Pgto" dataDxfId="1107" dataCellStyle="Moeda"/>
    <tableColumn id="4" xr3:uid="{EC69F906-8001-4D12-8ED6-D597AE23E936}" name="Valor Parcela" dataDxfId="1106" dataCellStyle="Porcentagem"/>
    <tableColumn id="5" xr3:uid="{65040BF1-55E0-4DD6-926F-3F0324D47077}" name="Nº Parcela" dataDxfId="1105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104" headerRowBorderDxfId="1103" tableBorderDxfId="1102" totalsRowBorderDxfId="1101">
  <autoFilter ref="K34:M41" xr:uid="{1B8643D4-6AC3-4029-882A-C62E9D7CB225}"/>
  <tableColumns count="3">
    <tableColumn id="1" xr3:uid="{710179D9-1888-45A0-96B5-C6E1151FFFF0}" name="OS" dataDxfId="1100"/>
    <tableColumn id="2" xr3:uid="{D9D130F4-6D87-4655-90D8-AF3976107C2A}" name="Parcelas" dataDxfId="1099"/>
    <tableColumn id="3" xr3:uid="{07DCBA20-7E86-4F99-AED4-2BDCD854B71C}" name="Valor Total" dataDxfId="1098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97" dataDxfId="1095" headerRowBorderDxfId="1096" tableBorderDxfId="1094" totalsRowBorderDxfId="10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92" dataCellStyle="Moeda"/>
    <tableColumn id="5" xr3:uid="{C388448A-992D-4C2D-8BB2-14D587C7E260}" name="Cliente" dataDxfId="1091" dataCellStyle="Moeda"/>
    <tableColumn id="2" xr3:uid="{C66BE185-63F5-4991-91CC-2661F40F891F}" name="Forma de Pgto" dataDxfId="1090" dataCellStyle="Moeda"/>
    <tableColumn id="3" xr3:uid="{C86C165C-F04B-4F8A-9769-AE38C03F025E}" name="Valor Venda" dataDxfId="1089" dataCellStyle="Porcentagem"/>
    <tableColumn id="4" xr3:uid="{C11C99C9-E646-4417-8698-61AFF55AB567}" name="Entrada" dataDxfId="1088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87" dataDxfId="1085" headerRowBorderDxfId="1086" tableBorderDxfId="1084" totalsRowBorderDxfId="1083">
  <autoFilter ref="K5:M11" xr:uid="{00000000-0009-0000-0100-000015000000}"/>
  <tableColumns count="3">
    <tableColumn id="1" xr3:uid="{696BC9EF-69BB-4D0D-96DF-B836B5771C08}" name="Descrição" dataDxfId="1082"/>
    <tableColumn id="2" xr3:uid="{4F12E940-09E4-4E51-A2A0-CEF5523233E2}" name="Tipo de Pagto" dataDxfId="1081"/>
    <tableColumn id="3" xr3:uid="{329E2ABB-99D4-47D1-8CEB-C3F4DE69A1C8}" name="Valor" dataDxfId="1080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79" dataDxfId="1077" headerRowBorderDxfId="1078" tableBorderDxfId="1076" totalsRowBorderDxfId="10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74"/>
    <tableColumn id="2" xr3:uid="{4745164B-5E29-4C65-87CA-C8C1B31B8272}" name="Cliente" dataDxfId="1073"/>
    <tableColumn id="3" xr3:uid="{69D7D490-36CA-4F69-BF76-2ADB810B4F37}" name="Forma de Pgto" dataDxfId="1072" dataCellStyle="Moeda"/>
    <tableColumn id="4" xr3:uid="{9B6B365B-42F7-499F-B705-B8F5196F8192}" name="Valor Venda" dataDxfId="1071" dataCellStyle="Porcentagem"/>
    <tableColumn id="5" xr3:uid="{7C88B9A2-2920-4AD8-AC1F-7417F3FA8282}" name="Entrada" dataDxfId="1070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69" dataDxfId="1067" headerRowBorderDxfId="1068" tableBorderDxfId="1066" totalsRowBorderDxfId="1065">
  <autoFilter ref="K14:M31" xr:uid="{C83FE64B-E221-4DAA-89EA-5307A7BC98B3}"/>
  <tableColumns count="3">
    <tableColumn id="1" xr3:uid="{5740FA63-223C-47B7-8842-178B003DB4BC}" name="OS" dataDxfId="1064"/>
    <tableColumn id="2" xr3:uid="{5CCC3C75-C80E-44BB-BC37-80F487481DDA}" name="Vendedor" dataDxfId="1063"/>
    <tableColumn id="3" xr3:uid="{585175B8-B982-429E-9344-163CE2687302}" name="CARNE" dataDxfId="1062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61" dataDxfId="1059" headerRowBorderDxfId="1060" tableBorderDxfId="1058" totalsRowBorderDxfId="105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56"/>
    <tableColumn id="2" xr3:uid="{2540FF22-68AB-4A04-B72D-DDBC8B064A8D}" name="Cliente" dataDxfId="1055"/>
    <tableColumn id="3" xr3:uid="{A7CB1680-9636-42C6-8AD9-F68C54BBCE0A}" name="Forma de Pgto" dataDxfId="1054" dataCellStyle="Moeda"/>
    <tableColumn id="4" xr3:uid="{727C37A8-450C-4D57-A2C9-396F29733C0A}" name="Valor Parcela" dataDxfId="1053" dataCellStyle="Porcentagem"/>
    <tableColumn id="5" xr3:uid="{4B27DCBF-BD8C-46A2-BC12-DE369C458E8A}" name="Nº Parcela" dataDxfId="1052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51" headerRowBorderDxfId="1050" tableBorderDxfId="1049" totalsRowBorderDxfId="1048">
  <autoFilter ref="K34:M41" xr:uid="{1B8643D4-6AC3-4029-882A-C62E9D7CB225}"/>
  <tableColumns count="3">
    <tableColumn id="1" xr3:uid="{60FAE849-4EC1-49E6-990F-8A43377EE6C3}" name="OS" dataDxfId="1047"/>
    <tableColumn id="2" xr3:uid="{B3127003-34D7-49FE-AFFC-7FA256F8BC3F}" name="Parcelas" dataDxfId="1046"/>
    <tableColumn id="3" xr3:uid="{412AC98E-5FB9-4C3C-9FBF-2EBE1631A397}" name="Valor Total" dataDxfId="1045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44" dataDxfId="1042" headerRowBorderDxfId="1043" tableBorderDxfId="1041" totalsRowBorderDxfId="104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39" dataCellStyle="Moeda"/>
    <tableColumn id="5" xr3:uid="{A1AF61B3-EFAB-450A-92B2-38E357233CD5}" name="Cliente" dataDxfId="1038" dataCellStyle="Moeda"/>
    <tableColumn id="2" xr3:uid="{DF277353-579D-439F-85C3-76DEACDE7A39}" name="Forma de Pgto" dataDxfId="1037" dataCellStyle="Moeda"/>
    <tableColumn id="3" xr3:uid="{7164D8F5-C0CB-47F7-BD16-B590E7D85EDB}" name="Valor Venda" dataDxfId="1036" dataCellStyle="Porcentagem"/>
    <tableColumn id="4" xr3:uid="{065B051D-7958-4E7D-972D-DDB0E8E7D052}" name="Entrada" dataDxfId="1035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34" dataDxfId="1032" headerRowBorderDxfId="1033" tableBorderDxfId="1031" totalsRowBorderDxfId="1030">
  <autoFilter ref="K5:M11" xr:uid="{00000000-0009-0000-0100-000015000000}"/>
  <tableColumns count="3">
    <tableColumn id="1" xr3:uid="{865498B1-F05E-46C9-B6C1-CCD85D9306C6}" name="Descrição" dataDxfId="1029"/>
    <tableColumn id="2" xr3:uid="{37F7AC6A-A7CD-43FB-89B1-5E904BAC1EBD}" name="Tipo de Pagto" dataDxfId="1028"/>
    <tableColumn id="3" xr3:uid="{A014E45A-B38A-47C2-A582-411CA2B495EE}" name="Valor" dataDxfId="1027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26" dataDxfId="1024" headerRowBorderDxfId="1025" tableBorderDxfId="1023" totalsRowBorderDxfId="102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21"/>
    <tableColumn id="2" xr3:uid="{BC7B7FC1-CF4C-42C2-ABD3-DFEEA234B02B}" name="Cliente" dataDxfId="1020"/>
    <tableColumn id="3" xr3:uid="{67F17557-E38E-4865-93F5-DCEF4A7ED2C6}" name="Forma de Pgto" dataDxfId="1019" dataCellStyle="Moeda"/>
    <tableColumn id="4" xr3:uid="{D2C10329-9C1A-4D0D-BC74-3A320E9B6593}" name="Valor Venda" dataDxfId="1018" dataCellStyle="Porcentagem"/>
    <tableColumn id="5" xr3:uid="{82810E21-D152-4A22-94D5-0A28C60F4849}" name="Entrada" dataDxfId="1017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1016" dataDxfId="1014" headerRowBorderDxfId="1015" tableBorderDxfId="1013" totalsRowBorderDxfId="1012">
  <autoFilter ref="K14:M31" xr:uid="{C83FE64B-E221-4DAA-89EA-5307A7BC98B3}"/>
  <tableColumns count="3">
    <tableColumn id="1" xr3:uid="{7A4CC637-3546-4D1B-9D86-75C6034079BF}" name="OS" dataDxfId="1011"/>
    <tableColumn id="2" xr3:uid="{CEB52B1C-2642-45A1-A1EB-26029A9B5402}" name="Vendedor" dataDxfId="1010"/>
    <tableColumn id="3" xr3:uid="{8C88CFEB-7155-49BD-9D63-1FCC9096735E}" name="CARNE" dataDxfId="1009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1008" dataDxfId="1006" headerRowBorderDxfId="1007" tableBorderDxfId="1005" totalsRowBorderDxfId="100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1003"/>
    <tableColumn id="2" xr3:uid="{7C3577CA-FC44-4DC9-9002-D4EA74DFF73F}" name="Cliente" dataDxfId="1002"/>
    <tableColumn id="3" xr3:uid="{77D25058-5D06-4E37-8746-BF184DDEEA81}" name="Forma de Pgto" dataDxfId="1001" dataCellStyle="Moeda"/>
    <tableColumn id="4" xr3:uid="{5EDAFC3F-F478-449C-990C-45300A2C66DF}" name="Valor Parcela" dataDxfId="1000" dataCellStyle="Porcentagem"/>
    <tableColumn id="5" xr3:uid="{5DBCC805-C046-4526-8886-13334D431CB2}" name="Nº Parcela" dataDxfId="999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98" headerRowBorderDxfId="997" tableBorderDxfId="996" totalsRowBorderDxfId="995">
  <autoFilter ref="K34:M41" xr:uid="{1B8643D4-6AC3-4029-882A-C62E9D7CB225}"/>
  <tableColumns count="3">
    <tableColumn id="1" xr3:uid="{FDFEB034-D746-488E-9611-5C5421DF9812}" name="OS" dataDxfId="994"/>
    <tableColumn id="2" xr3:uid="{AD1C8A9C-91DA-4D2C-A438-9B8648A5521B}" name="Parcelas" dataDxfId="993"/>
    <tableColumn id="3" xr3:uid="{577D3B3F-3A18-4FE3-8E0F-E82C9012821F}" name="Valor Total" dataDxfId="992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91" dataDxfId="989" headerRowBorderDxfId="990" tableBorderDxfId="988" totalsRowBorderDxfId="9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86" dataCellStyle="Moeda"/>
    <tableColumn id="5" xr3:uid="{53B9FE46-E769-466F-9757-A5C752203582}" name="Cliente" dataDxfId="985" dataCellStyle="Moeda"/>
    <tableColumn id="2" xr3:uid="{9AFD5C78-132A-4E21-96EC-75882307A334}" name="Forma de Pgto" dataDxfId="984" dataCellStyle="Moeda"/>
    <tableColumn id="3" xr3:uid="{0B7791DE-BC7F-4EA7-87CC-E8588E2F6D00}" name="Valor Venda" dataDxfId="983" dataCellStyle="Porcentagem"/>
    <tableColumn id="4" xr3:uid="{EDACC2B7-28DE-40D1-BC9D-356B5D64934D}" name="Entrada" dataDxfId="982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81" dataDxfId="979" headerRowBorderDxfId="980" tableBorderDxfId="978" totalsRowBorderDxfId="977">
  <autoFilter ref="K5:M11" xr:uid="{00000000-0009-0000-0100-000015000000}"/>
  <tableColumns count="3">
    <tableColumn id="1" xr3:uid="{F638F61A-E4B9-4300-BD8D-C0A6A3D7A8E2}" name="Descrição" dataDxfId="976"/>
    <tableColumn id="2" xr3:uid="{9DC04330-37E5-4813-8F2D-4BAA554527A5}" name="Tipo de Pagto" dataDxfId="975"/>
    <tableColumn id="3" xr3:uid="{799A991A-3D2C-4EC1-A2D8-A1F3023DD9AF}" name="Valor" dataDxfId="974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73" dataDxfId="971" headerRowBorderDxfId="972" tableBorderDxfId="970" totalsRowBorderDxfId="9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68"/>
    <tableColumn id="2" xr3:uid="{2FD43CA2-90CA-449B-821F-205F1748177C}" name="Cliente" dataDxfId="967"/>
    <tableColumn id="3" xr3:uid="{A5640B64-FD50-49A5-B305-E61D9280F57A}" name="Forma de Pgto" dataDxfId="966" dataCellStyle="Moeda"/>
    <tableColumn id="4" xr3:uid="{26AD2EE8-2400-4B07-A340-99B1BA546B01}" name="Valor Venda" dataDxfId="965" dataCellStyle="Porcentagem"/>
    <tableColumn id="5" xr3:uid="{DF786930-B464-48C0-92C5-A18D129572D3}" name="Entrada" dataDxfId="964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63" dataDxfId="961" headerRowBorderDxfId="962" tableBorderDxfId="960" totalsRowBorderDxfId="959">
  <autoFilter ref="K14:M31" xr:uid="{C83FE64B-E221-4DAA-89EA-5307A7BC98B3}"/>
  <tableColumns count="3">
    <tableColumn id="1" xr3:uid="{686E8A3B-2CC1-443E-B3F0-07F1D6AF8C19}" name="OS" dataDxfId="958"/>
    <tableColumn id="2" xr3:uid="{1250D1EA-82EB-4EB4-AEDB-99799165C996}" name="Vendedor" dataDxfId="957"/>
    <tableColumn id="3" xr3:uid="{F6A6C0FE-3106-4929-AC63-C2A418BAD9A1}" name="CARNE" dataDxfId="956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55" dataDxfId="953" headerRowBorderDxfId="954" tableBorderDxfId="952" totalsRowBorderDxfId="9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50"/>
    <tableColumn id="2" xr3:uid="{6946C657-632E-4A47-A04C-EBD987018798}" name="Cliente" dataDxfId="949"/>
    <tableColumn id="3" xr3:uid="{11747110-E63B-4D92-AE0D-F744DD494204}" name="Forma de Pgto" dataDxfId="948" dataCellStyle="Moeda"/>
    <tableColumn id="4" xr3:uid="{7637A14A-3C11-482C-A77B-09489718F039}" name="Valor Parcela" dataDxfId="947" dataCellStyle="Porcentagem"/>
    <tableColumn id="5" xr3:uid="{E03E863B-EAD4-4137-9B26-2CA0EAC2F09E}" name="Nº Parcela" dataDxfId="946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45" headerRowBorderDxfId="944" tableBorderDxfId="943" totalsRowBorderDxfId="942">
  <autoFilter ref="K34:M41" xr:uid="{1B8643D4-6AC3-4029-882A-C62E9D7CB225}"/>
  <tableColumns count="3">
    <tableColumn id="1" xr3:uid="{6F6F5FBA-037D-4F8B-8355-AC821A55F803}" name="OS" dataDxfId="941"/>
    <tableColumn id="2" xr3:uid="{BEED8472-6636-42D9-A60A-E43C842B7D8F}" name="Parcelas" dataDxfId="940"/>
    <tableColumn id="3" xr3:uid="{0CE64280-F6A9-46AC-8696-F227912F6552}" name="Valor Total" dataDxfId="939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38" dataDxfId="936" headerRowBorderDxfId="937" tableBorderDxfId="935" totalsRowBorderDxfId="9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33" dataCellStyle="Moeda"/>
    <tableColumn id="5" xr3:uid="{864A4F89-382F-4099-9D59-467A7AB12940}" name="Cliente" dataDxfId="932" dataCellStyle="Moeda"/>
    <tableColumn id="2" xr3:uid="{529253EE-0917-4E7A-AA5F-14D2DCAD4080}" name="Forma de Pgto" dataDxfId="931" dataCellStyle="Moeda"/>
    <tableColumn id="3" xr3:uid="{7A07E6EC-5721-4AB5-B7BB-F8D16153B615}" name="Valor Venda" dataDxfId="930" dataCellStyle="Porcentagem"/>
    <tableColumn id="4" xr3:uid="{E3569DCA-7BA5-47A8-9C20-6FB2B553052E}" name="Entrada" dataDxfId="929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28" dataDxfId="926" headerRowBorderDxfId="927" tableBorderDxfId="925" totalsRowBorderDxfId="924">
  <autoFilter ref="K5:M11" xr:uid="{00000000-0009-0000-0100-000015000000}"/>
  <tableColumns count="3">
    <tableColumn id="1" xr3:uid="{95CF041F-F7B4-4974-9B76-66A5C7C3CF1E}" name="Descrição" dataDxfId="923"/>
    <tableColumn id="2" xr3:uid="{010F2147-2B02-4E80-9D4E-E9E6110BD535}" name="Tipo de Pagto" dataDxfId="922"/>
    <tableColumn id="3" xr3:uid="{667C80AD-481C-4689-8F6A-2426991759A7}" name="Valor" dataDxfId="921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20" dataDxfId="918" headerRowBorderDxfId="919" tableBorderDxfId="917" totalsRowBorderDxfId="9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915"/>
    <tableColumn id="2" xr3:uid="{A401C727-3942-4BDF-BC32-5D789E1F6979}" name="Cliente" dataDxfId="914"/>
    <tableColumn id="3" xr3:uid="{29237CE2-AC3D-477F-ABA7-60B5DA6F8120}" name="Forma de Pgto" dataDxfId="913" dataCellStyle="Moeda"/>
    <tableColumn id="4" xr3:uid="{A39B1F5A-49E3-45B8-BCA8-E3252A43E2CC}" name="Valor Venda" dataDxfId="912" dataCellStyle="Porcentagem"/>
    <tableColumn id="5" xr3:uid="{A1809E96-D43C-48CA-B4B0-F8952BB21709}" name="Entrada" dataDxfId="911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910" dataDxfId="908" headerRowBorderDxfId="909" tableBorderDxfId="907" totalsRowBorderDxfId="906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905"/>
    <tableColumn id="2" xr3:uid="{61C3945B-58EB-4D02-A420-14D13F69B1FD}" name="Vendedor" dataDxfId="904"/>
    <tableColumn id="3" xr3:uid="{310A696D-E474-4609-8CAC-92E3BC19A517}" name="CARNE" dataDxfId="903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902" dataDxfId="900" headerRowBorderDxfId="901" tableBorderDxfId="899" totalsRowBorderDxfId="8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97"/>
    <tableColumn id="2" xr3:uid="{A7114117-5F41-4611-B14C-A3B2F7C35961}" name="Cliente" dataDxfId="896"/>
    <tableColumn id="3" xr3:uid="{3B2F2924-60FC-459E-BAAE-2D26D316360F}" name="Forma de Pgto" dataDxfId="895" dataCellStyle="Moeda"/>
    <tableColumn id="4" xr3:uid="{8C86BF8B-36B7-46FA-B050-2F1437A14710}" name="Valor Parcela" dataDxfId="894" dataCellStyle="Porcentagem"/>
    <tableColumn id="5" xr3:uid="{C429DF1A-E6B0-43DD-A949-A1EBA6DBEC04}" name="Nº Parcela" dataDxfId="893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92" headerRowBorderDxfId="891" tableBorderDxfId="890" totalsRowBorderDxfId="889">
  <autoFilter ref="K34:M41" xr:uid="{1B8643D4-6AC3-4029-882A-C62E9D7CB225}"/>
  <tableColumns count="3">
    <tableColumn id="1" xr3:uid="{182484ED-66B8-43D1-B168-BDEB5996673F}" name="OS" dataDxfId="888"/>
    <tableColumn id="2" xr3:uid="{FC47BB11-B6D3-4928-BFCD-BDAC4B2BDD2F}" name="Parcelas" dataDxfId="887"/>
    <tableColumn id="3" xr3:uid="{F7E0E4E8-A2A1-4513-B1F5-B98008299FD0}" name="Valor Total" dataDxfId="88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85" dataDxfId="883" headerRowBorderDxfId="884" tableBorderDxfId="882" totalsRowBorderDxfId="8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80" dataCellStyle="Moeda"/>
    <tableColumn id="5" xr3:uid="{2B9E675C-5EB2-4EBC-8FDE-19F93E6E7B08}" name="Cliente" dataDxfId="879" dataCellStyle="Moeda"/>
    <tableColumn id="2" xr3:uid="{04A3548D-E88B-4096-85CB-E08243412A85}" name="Forma de Pgto" dataDxfId="878" dataCellStyle="Moeda"/>
    <tableColumn id="3" xr3:uid="{977F794D-E094-4347-935B-1202B7138C52}" name="Valor Venda" dataDxfId="877" dataCellStyle="Porcentagem"/>
    <tableColumn id="4" xr3:uid="{908F3845-FF06-4899-A550-28B1BE92D1A9}" name="Entrada" dataDxfId="87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75" dataDxfId="873" headerRowBorderDxfId="874" tableBorderDxfId="872" totalsRowBorderDxfId="871">
  <autoFilter ref="K5:M11" xr:uid="{00000000-0009-0000-0100-000015000000}"/>
  <tableColumns count="3">
    <tableColumn id="1" xr3:uid="{F9AC75BC-BCF6-4B22-9F75-0F3CC507495B}" name="Descrição" dataDxfId="870"/>
    <tableColumn id="2" xr3:uid="{61D86D1A-7892-4923-9684-5D9A01F0BD5D}" name="Tipo de Pagto" dataDxfId="869"/>
    <tableColumn id="3" xr3:uid="{3F8C718F-C7FE-423F-9F48-66FB2201CFE2}" name="Valor" dataDxfId="86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67" dataDxfId="865" headerRowBorderDxfId="866" tableBorderDxfId="864" totalsRowBorderDxfId="8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62"/>
    <tableColumn id="2" xr3:uid="{994EFF98-DD95-4B94-B1C7-D068C1D5212C}" name="Cliente" dataDxfId="861"/>
    <tableColumn id="3" xr3:uid="{7D4E72E0-4CFA-46C9-B3AF-A1654CF194A1}" name="Forma de Pgto" dataDxfId="860" dataCellStyle="Moeda"/>
    <tableColumn id="4" xr3:uid="{EE367263-F1E4-4631-A484-2013B6BA1F27}" name="Valor Venda" dataDxfId="859" dataCellStyle="Porcentagem"/>
    <tableColumn id="5" xr3:uid="{9DA475CB-BD5A-4734-A11F-3BB7DD0D9D7E}" name="Entrada" dataDxfId="85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57" dataDxfId="855" headerRowBorderDxfId="856" tableBorderDxfId="854" totalsRowBorderDxfId="85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52"/>
    <tableColumn id="2" xr3:uid="{9ED68045-86C7-4BE0-8AE0-0417F1DD76FD}" name="Vendedor" dataDxfId="851"/>
    <tableColumn id="3" xr3:uid="{F4076139-8BF9-457D-ADE6-1BCD435E31BB}" name="CARNE" dataDxfId="85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49" dataDxfId="847" headerRowBorderDxfId="848" tableBorderDxfId="846" totalsRowBorderDxfId="8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44"/>
    <tableColumn id="2" xr3:uid="{E89F59BF-5F0B-4E4E-B2BE-7B739967886D}" name="Cliente" dataDxfId="843"/>
    <tableColumn id="3" xr3:uid="{B348335B-A485-46BE-AECB-0672679F4468}" name="Forma de Pgto" dataDxfId="842" dataCellStyle="Moeda"/>
    <tableColumn id="4" xr3:uid="{73B13E6E-5431-4E90-9A6E-E15737DDA887}" name="Valor Parcela" dataDxfId="841" dataCellStyle="Porcentagem"/>
    <tableColumn id="5" xr3:uid="{C738A843-A8FD-4CB7-B2C8-59810BA17BF2}" name="Nº Parcela" dataDxfId="84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39" headerRowBorderDxfId="838" tableBorderDxfId="837" totalsRowBorderDxfId="836">
  <autoFilter ref="K34:M41" xr:uid="{1B8643D4-6AC3-4029-882A-C62E9D7CB225}"/>
  <tableColumns count="3">
    <tableColumn id="1" xr3:uid="{3F5F54B7-8999-4296-A374-3780F172D2B8}" name="OS" dataDxfId="835"/>
    <tableColumn id="2" xr3:uid="{5F252D86-495C-4A65-B391-3FF46311DE83}" name="Parcelas" dataDxfId="834"/>
    <tableColumn id="3" xr3:uid="{50E905DA-42A9-43E1-8D51-FD4BDEAB81C8}" name="Valor Total" dataDxfId="833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32" dataDxfId="830" headerRowBorderDxfId="831" tableBorderDxfId="829" totalsRowBorderDxfId="8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27" dataCellStyle="Moeda"/>
    <tableColumn id="5" xr3:uid="{08C272CC-0220-47BB-9263-1AA910D9829C}" name="Cliente" dataDxfId="826" dataCellStyle="Moeda"/>
    <tableColumn id="2" xr3:uid="{DF276F1F-7FCA-4CE9-AD90-5340B6E688D4}" name="Forma de Pgto" dataDxfId="825" dataCellStyle="Moeda"/>
    <tableColumn id="3" xr3:uid="{CF6FE509-8C51-4621-87DF-AAD8645E20D4}" name="Valor Venda" dataDxfId="824" dataCellStyle="Porcentagem"/>
    <tableColumn id="4" xr3:uid="{5AB6BADB-DBB7-45C0-89E8-2C836C831FCF}" name="Entrada" dataDxfId="823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22" dataDxfId="820" headerRowBorderDxfId="821" tableBorderDxfId="819" totalsRowBorderDxfId="818">
  <autoFilter ref="K5:M11" xr:uid="{00000000-0009-0000-0100-000015000000}"/>
  <tableColumns count="3">
    <tableColumn id="1" xr3:uid="{8CE76670-7409-454F-9B3A-4BD739F5C5E3}" name="Descrição" dataDxfId="817"/>
    <tableColumn id="2" xr3:uid="{B2BAF2DB-A6EF-41C6-8A5D-66027E15C8F8}" name="Tipo de Pagto" dataDxfId="816"/>
    <tableColumn id="3" xr3:uid="{99CFD3BD-FC58-49DA-AC21-ACD3EE40336E}" name="Valor" dataDxfId="815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814" dataDxfId="812" headerRowBorderDxfId="813" tableBorderDxfId="811" totalsRowBorderDxfId="8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809"/>
    <tableColumn id="2" xr3:uid="{B886F79B-BD9C-476A-88F8-CB3F80E42FD0}" name="Cliente" dataDxfId="808"/>
    <tableColumn id="3" xr3:uid="{78D9CA4E-E9E8-4359-8144-996DE0EE7A64}" name="Forma de Pgto" dataDxfId="807" dataCellStyle="Moeda"/>
    <tableColumn id="4" xr3:uid="{F327BA72-0013-44A1-B3CE-07FACF46CAC8}" name="Valor Venda" dataDxfId="806" dataCellStyle="Porcentagem"/>
    <tableColumn id="5" xr3:uid="{20494810-9085-4087-A73E-D3FE8DC5C40D}" name="Entrada" dataDxfId="805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804" dataDxfId="802" headerRowBorderDxfId="803" tableBorderDxfId="801" totalsRowBorderDxfId="800">
  <autoFilter ref="K14:M31" xr:uid="{C83FE64B-E221-4DAA-89EA-5307A7BC98B3}"/>
  <tableColumns count="3">
    <tableColumn id="1" xr3:uid="{40D1E49B-6CB3-409E-AFC1-7315BAF42BBF}" name="OS" dataDxfId="799"/>
    <tableColumn id="2" xr3:uid="{4C8709E7-DDF3-475B-9A19-42E8B9FC587D}" name="Vendedor" dataDxfId="798"/>
    <tableColumn id="3" xr3:uid="{185D4DF1-07D8-4494-B6E4-5B4CFC4E2B4E}" name="CARNE" dataDxfId="797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96" dataDxfId="794" headerRowBorderDxfId="795" tableBorderDxfId="793" totalsRowBorderDxfId="7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91"/>
    <tableColumn id="2" xr3:uid="{CA06119C-2085-4F7F-B293-65E2AF15EEE5}" name="Cliente" dataDxfId="790"/>
    <tableColumn id="3" xr3:uid="{BF529E56-33D1-40B5-8E7B-EFBAB59D2A71}" name="Forma de Pgto" dataDxfId="789" dataCellStyle="Moeda"/>
    <tableColumn id="4" xr3:uid="{66CAC967-C216-41AB-BBFE-D7EC8E60B5DB}" name="Valor Parcela" dataDxfId="788" dataCellStyle="Porcentagem"/>
    <tableColumn id="5" xr3:uid="{684E478E-5460-400B-8F1B-2956E3BF42E8}" name="Nº Parcela" dataDxfId="787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86" headerRowBorderDxfId="785" tableBorderDxfId="784" totalsRowBorderDxfId="783">
  <autoFilter ref="K34:M41" xr:uid="{1B8643D4-6AC3-4029-882A-C62E9D7CB225}"/>
  <tableColumns count="3">
    <tableColumn id="1" xr3:uid="{3DD44433-DB26-4FDD-8D11-D1C35C6FECEB}" name="OS" dataDxfId="782"/>
    <tableColumn id="2" xr3:uid="{A9DC5AE8-407E-40E2-8AD6-B02FE1A5CF20}" name="Parcelas" dataDxfId="781"/>
    <tableColumn id="3" xr3:uid="{6A850C65-FE9A-4796-B920-651ED5594439}" name="Valor Total" dataDxfId="780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79" dataDxfId="777" headerRowBorderDxfId="778" tableBorderDxfId="776" totalsRowBorderDxfId="775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74" dataCellStyle="Moeda"/>
    <tableColumn id="5" xr3:uid="{60E6A65C-186D-4764-A3E8-74F5C0B0AFC1}" name="Cliente" dataDxfId="773" dataCellStyle="Moeda"/>
    <tableColumn id="2" xr3:uid="{22FA520F-5DA7-46FD-9861-DF942B6D91AB}" name="Forma de Pgto" dataDxfId="772" dataCellStyle="Moeda"/>
    <tableColumn id="3" xr3:uid="{7DEE868C-EA7D-401A-A3DF-4CC64A44467F}" name="Valor Venda" dataDxfId="771" dataCellStyle="Porcentagem"/>
    <tableColumn id="4" xr3:uid="{720D25ED-5FF4-421F-94C6-24275CF94733}" name="Entrada" dataDxfId="770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69" dataDxfId="767" headerRowBorderDxfId="768" tableBorderDxfId="766" totalsRowBorderDxfId="765">
  <autoFilter ref="K5:M11" xr:uid="{00000000-0009-0000-0100-000015000000}"/>
  <tableColumns count="3">
    <tableColumn id="1" xr3:uid="{2FBA0522-04E5-4ED5-94F6-52B232AF2373}" name="Descrição" dataDxfId="764"/>
    <tableColumn id="2" xr3:uid="{DB3FC5DE-C5F6-4B07-A662-D19BD76E91F6}" name="Tipo de Pagto" dataDxfId="763"/>
    <tableColumn id="3" xr3:uid="{A2799F30-0033-4E72-9108-ABF645A8DCD3}" name="Valor" dataDxfId="762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61" dataDxfId="759" headerRowBorderDxfId="760" tableBorderDxfId="758" totalsRowBorderDxfId="7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56"/>
    <tableColumn id="2" xr3:uid="{6DECDDC0-CF3A-4677-94C4-62618488FE89}" name="Cliente" dataDxfId="755"/>
    <tableColumn id="3" xr3:uid="{D40EA3F2-0782-4C3D-A060-4DCC1DCF2881}" name="Forma de Pgto" dataDxfId="754" dataCellStyle="Moeda"/>
    <tableColumn id="4" xr3:uid="{A527DD67-780C-4EE1-A7AE-0831114EA80A}" name="Valor Venda" dataDxfId="753" dataCellStyle="Porcentagem"/>
    <tableColumn id="5" xr3:uid="{4082F19A-5570-4E9D-B250-BCD24B16165E}" name="Entrada" dataDxfId="752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51" dataDxfId="749" headerRowBorderDxfId="750" tableBorderDxfId="748" totalsRowBorderDxfId="747">
  <autoFilter ref="K14:M31" xr:uid="{C83FE64B-E221-4DAA-89EA-5307A7BC98B3}"/>
  <tableColumns count="3">
    <tableColumn id="1" xr3:uid="{CF4CC083-8415-4A42-9102-69414AAB96C8}" name="OS" dataDxfId="746"/>
    <tableColumn id="2" xr3:uid="{AFF5A585-6EEA-427D-B49B-A553763AA94C}" name="Vendedor" dataDxfId="745"/>
    <tableColumn id="3" xr3:uid="{2D8D088A-4AB0-487F-929A-89D197884938}" name="CARNE" dataDxfId="744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43" dataDxfId="741" headerRowBorderDxfId="742" tableBorderDxfId="740" totalsRowBorderDxfId="7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38"/>
    <tableColumn id="2" xr3:uid="{71667114-B8E0-4FEE-B3C4-B23C231E71C9}" name="Cliente" dataDxfId="737"/>
    <tableColumn id="3" xr3:uid="{413E4F46-D41F-4D0A-8403-3244651C22ED}" name="Forma de Pgto" dataDxfId="736" dataCellStyle="Moeda"/>
    <tableColumn id="4" xr3:uid="{695A7396-BEC7-498E-8F8D-5C11C17422D0}" name="Valor Parcela" dataDxfId="735" dataCellStyle="Porcentagem"/>
    <tableColumn id="5" xr3:uid="{7D0562F5-5DF1-49C0-BE96-CBD4632BD577}" name="Nº Parcela" dataDxfId="734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33" headerRowBorderDxfId="732" tableBorderDxfId="731" totalsRowBorderDxfId="730">
  <autoFilter ref="K34:M41" xr:uid="{1B8643D4-6AC3-4029-882A-C62E9D7CB225}"/>
  <tableColumns count="3">
    <tableColumn id="1" xr3:uid="{468A4151-2B13-428F-B7B3-DD7850FB056D}" name="OS" dataDxfId="729"/>
    <tableColumn id="2" xr3:uid="{0E5A1628-3806-4E80-9B5C-6CCB43ED7A95}" name="Parcelas" dataDxfId="728"/>
    <tableColumn id="3" xr3:uid="{94527026-C4E7-48B1-ADEC-FAE98EDE2DF7}" name="Valor Total" dataDxfId="727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26" dataDxfId="724" headerRowBorderDxfId="725" tableBorderDxfId="723" totalsRowBorderDxfId="7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721" dataCellStyle="Moeda"/>
    <tableColumn id="5" xr3:uid="{B476382F-8FC0-4C4B-904B-9CEC2FD1737F}" name="Cliente" dataDxfId="720" dataCellStyle="Moeda"/>
    <tableColumn id="2" xr3:uid="{9347CB1E-8ECB-4789-B3B3-F0676BCEF308}" name="Forma de Pgto" dataDxfId="719" dataCellStyle="Moeda"/>
    <tableColumn id="3" xr3:uid="{95E7B651-F8E7-4260-A9CD-31524C1AF920}" name="Valor Venda" dataDxfId="718" dataCellStyle="Porcentagem"/>
    <tableColumn id="4" xr3:uid="{E1F36979-874B-46CF-A70F-6769CE2B4972}" name="Entrada" dataDxfId="717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716" dataDxfId="714" headerRowBorderDxfId="715" tableBorderDxfId="713" totalsRowBorderDxfId="712">
  <autoFilter ref="K5:M11" xr:uid="{00000000-0009-0000-0100-000015000000}"/>
  <tableColumns count="3">
    <tableColumn id="1" xr3:uid="{5DAF9728-D097-46AC-AFA1-2A7D5A636197}" name="Descrição" dataDxfId="711"/>
    <tableColumn id="2" xr3:uid="{7E14BBAB-F602-43F7-BA75-66182DDDFB5A}" name="Tipo de Pagto" dataDxfId="710"/>
    <tableColumn id="3" xr3:uid="{807C6654-E3F5-4B45-B712-93A22255EE13}" name="Valor" dataDxfId="709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708" dataDxfId="706" headerRowBorderDxfId="707" tableBorderDxfId="705" totalsRowBorderDxfId="7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703"/>
    <tableColumn id="2" xr3:uid="{DA2D4CE2-3235-4592-824A-D21C9FEE1324}" name="Cliente" dataDxfId="702"/>
    <tableColumn id="3" xr3:uid="{78436E8E-423C-4634-A0AC-78283D9649B2}" name="Forma de Pgto" dataDxfId="701" dataCellStyle="Moeda"/>
    <tableColumn id="4" xr3:uid="{9B5C140A-AEF6-451D-B599-1B3C00239BF3}" name="Valor Venda" dataDxfId="700" dataCellStyle="Porcentagem"/>
    <tableColumn id="5" xr3:uid="{91C4587E-3C3A-4A8E-B0CF-84D9FBCB29D6}" name="Entrada" dataDxfId="699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98" dataDxfId="696" headerRowBorderDxfId="697" tableBorderDxfId="695" totalsRowBorderDxfId="694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93"/>
    <tableColumn id="2" xr3:uid="{8A5D657B-8F60-4746-999B-0FA3393A39E9}" name="Vendedor" dataDxfId="692"/>
    <tableColumn id="3" xr3:uid="{496CB9CC-67BF-4541-A109-5F5FF565C716}" name="CARNE" dataDxfId="691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90" dataDxfId="688" headerRowBorderDxfId="689" tableBorderDxfId="687" totalsRowBorderDxfId="6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85"/>
    <tableColumn id="2" xr3:uid="{B3362A08-206B-41A8-970B-34C6B8B4C7AA}" name="Cliente" dataDxfId="684"/>
    <tableColumn id="3" xr3:uid="{718A6844-98C1-4F96-8966-19162734BEB9}" name="Forma de Pgto" dataDxfId="683" dataCellStyle="Moeda"/>
    <tableColumn id="4" xr3:uid="{DC15894A-49A7-435B-A661-5666005BEEC8}" name="Valor Parcela" dataDxfId="682" dataCellStyle="Porcentagem"/>
    <tableColumn id="5" xr3:uid="{DE080DD1-0F6B-485E-8515-CE624433C220}" name="Nº Parcela" dataDxfId="681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80" headerRowBorderDxfId="679" tableBorderDxfId="678" totalsRowBorderDxfId="677">
  <autoFilter ref="K34:M41" xr:uid="{1B8643D4-6AC3-4029-882A-C62E9D7CB225}"/>
  <tableColumns count="3">
    <tableColumn id="1" xr3:uid="{DF952D1A-166D-4762-BD7E-3B8C91304310}" name="OS" dataDxfId="676"/>
    <tableColumn id="2" xr3:uid="{4F0F7384-D5B8-477E-9EC7-B82060EBBD78}" name="Parcelas" dataDxfId="675"/>
    <tableColumn id="3" xr3:uid="{8DD00EBF-D0FE-4903-8F44-7064A873609A}" name="Valor Total" dataDxfId="674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73" dataDxfId="671" headerRowBorderDxfId="672" tableBorderDxfId="670" totalsRowBorderDxfId="6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68" dataCellStyle="Moeda"/>
    <tableColumn id="5" xr3:uid="{F65697F3-20D0-4B41-BE55-C2885202D924}" name="Cliente" dataDxfId="667" dataCellStyle="Moeda"/>
    <tableColumn id="2" xr3:uid="{11E8E848-C035-46A3-B1AB-9BBD863CA30A}" name="Forma de Pgto" dataDxfId="666" dataCellStyle="Moeda"/>
    <tableColumn id="3" xr3:uid="{CE50BBF0-66D9-4ABB-AD66-D300C740ED4C}" name="Valor Venda" dataDxfId="665" dataCellStyle="Porcentagem"/>
    <tableColumn id="4" xr3:uid="{A6700982-093E-4E60-A8B4-C0EB11A78A03}" name="Entrada" dataDxfId="664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63" dataDxfId="661" headerRowBorderDxfId="662" tableBorderDxfId="660" totalsRowBorderDxfId="659">
  <autoFilter ref="K5:M11" xr:uid="{00000000-0009-0000-0100-000015000000}"/>
  <tableColumns count="3">
    <tableColumn id="1" xr3:uid="{53B1873C-545D-4906-B601-0C81EDA7CFE1}" name="Descrição" dataDxfId="658"/>
    <tableColumn id="2" xr3:uid="{76E6DB40-F96B-4A9C-8632-7103030C72DC}" name="Tipo de Pagto" dataDxfId="657"/>
    <tableColumn id="3" xr3:uid="{C62F93B6-2A0A-47C6-8FF1-E604490619BC}" name="Valor" dataDxfId="656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55" dataDxfId="653" headerRowBorderDxfId="654" tableBorderDxfId="652" totalsRowBorderDxfId="6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50"/>
    <tableColumn id="2" xr3:uid="{B806E92F-CE0E-4D07-A956-20D8F2029057}" name="Cliente" dataDxfId="649"/>
    <tableColumn id="3" xr3:uid="{36BDBAFD-E01B-4EEA-BEB0-2FB5914B315B}" name="Forma de Pgto" dataDxfId="648" dataCellStyle="Moeda"/>
    <tableColumn id="4" xr3:uid="{56605023-01AD-4E35-8794-2FCCF14CCA1F}" name="Valor Venda" dataDxfId="647" dataCellStyle="Porcentagem"/>
    <tableColumn id="5" xr3:uid="{C1960D0E-D625-415E-9C4E-608948FC535D}" name="Entrada" dataDxfId="646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45" dataDxfId="643" headerRowBorderDxfId="644" tableBorderDxfId="642" totalsRowBorderDxfId="641">
  <autoFilter ref="K14:M31" xr:uid="{C83FE64B-E221-4DAA-89EA-5307A7BC98B3}"/>
  <tableColumns count="3">
    <tableColumn id="1" xr3:uid="{6A036C59-7D03-43F7-84CF-EE3CB14BE67B}" name="OS" dataDxfId="640"/>
    <tableColumn id="2" xr3:uid="{C5A126A9-9B7F-4F06-ADC7-ACCED0396BF3}" name="Vendedor" dataDxfId="639"/>
    <tableColumn id="3" xr3:uid="{BA1C7B45-A00B-472E-A02F-25A3DC58D90D}" name="CARNE" dataDxfId="638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37" dataDxfId="635" headerRowBorderDxfId="636" tableBorderDxfId="634" totalsRowBorderDxfId="6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32"/>
    <tableColumn id="2" xr3:uid="{2C145274-4831-4FAC-9C72-4EE6C56B54AE}" name="Cliente" dataDxfId="631"/>
    <tableColumn id="3" xr3:uid="{DE981E69-6CF2-49CA-A2F4-E16E28E648B8}" name="Forma de Pgto" dataDxfId="630" dataCellStyle="Moeda"/>
    <tableColumn id="4" xr3:uid="{6444B2E2-EBBD-4AD1-8C9A-93047C0686E8}" name="Valor Parcela" dataDxfId="629" dataCellStyle="Porcentagem"/>
    <tableColumn id="5" xr3:uid="{04528C7F-DC52-411C-A2BF-BF90292C4224}" name="Nº Parcela" dataDxfId="628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27" headerRowBorderDxfId="626" tableBorderDxfId="625" totalsRowBorderDxfId="624">
  <autoFilter ref="K34:M41" xr:uid="{1B8643D4-6AC3-4029-882A-C62E9D7CB225}"/>
  <tableColumns count="3">
    <tableColumn id="1" xr3:uid="{B8F19651-A782-44BC-8BA0-FFD090973F4B}" name="OS" dataDxfId="623"/>
    <tableColumn id="2" xr3:uid="{47E2F01C-C7E6-4997-80A0-4C35FA7B082A}" name="Parcelas" dataDxfId="622"/>
    <tableColumn id="3" xr3:uid="{BBBC80DF-0D25-47A9-9C8A-B68DAC85549A}" name="Valor Total" dataDxfId="621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620" dataDxfId="618" headerRowBorderDxfId="619" tableBorderDxfId="617" totalsRowBorderDxfId="6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615" dataCellStyle="Moeda"/>
    <tableColumn id="5" xr3:uid="{63E5AEF6-80DE-4801-B1C2-914D1F185217}" name="Cliente" dataDxfId="614" dataCellStyle="Moeda"/>
    <tableColumn id="2" xr3:uid="{1109E74A-578C-491B-B35C-C22544718F14}" name="Forma de Pgto" dataDxfId="613" dataCellStyle="Moeda"/>
    <tableColumn id="3" xr3:uid="{5C59392A-0568-4E84-9867-F9DCD09B25B6}" name="Valor Venda" dataDxfId="612" dataCellStyle="Porcentagem"/>
    <tableColumn id="4" xr3:uid="{D2C3A378-8143-432B-A8C6-A6193ABD7662}" name="Entrada" dataDxfId="611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610" dataDxfId="608" headerRowBorderDxfId="609" tableBorderDxfId="607" totalsRowBorderDxfId="606">
  <autoFilter ref="K5:M11" xr:uid="{00000000-0009-0000-0100-000015000000}"/>
  <tableColumns count="3">
    <tableColumn id="1" xr3:uid="{E6962685-66B9-4B52-AFC6-82E1DC5ABF13}" name="Descrição" dataDxfId="605"/>
    <tableColumn id="2" xr3:uid="{632111FE-E109-4AB8-89E6-0435B85BD131}" name="Tipo de Pagto" dataDxfId="604"/>
    <tableColumn id="3" xr3:uid="{E8C5B365-8D2D-4605-8A16-1AB9150BCC44}" name="Valor" dataDxfId="603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602" dataDxfId="600" headerRowBorderDxfId="601" tableBorderDxfId="599" totalsRowBorderDxfId="5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97"/>
    <tableColumn id="2" xr3:uid="{C0E81097-83C4-4524-8E34-CEF9787F8A7E}" name="Cliente" dataDxfId="596"/>
    <tableColumn id="3" xr3:uid="{8D59E67E-B452-4F9A-AAE0-36EA95BB6E19}" name="Forma de Pgto" dataDxfId="595" dataCellStyle="Moeda"/>
    <tableColumn id="4" xr3:uid="{F7466880-2D96-46D0-97F5-A0F3057F4B83}" name="Valor Venda" dataDxfId="594" dataCellStyle="Porcentagem"/>
    <tableColumn id="5" xr3:uid="{1C9ACBF3-A8FA-4869-9459-B9FD6EE7CC98}" name="Entrada" dataDxfId="593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92" dataDxfId="590" headerRowBorderDxfId="591" tableBorderDxfId="589" totalsRowBorderDxfId="588">
  <autoFilter ref="K14:M31" xr:uid="{C83FE64B-E221-4DAA-89EA-5307A7BC98B3}"/>
  <tableColumns count="3">
    <tableColumn id="1" xr3:uid="{B00D0221-B7E2-4319-872F-39A5F278179B}" name="OS" dataDxfId="587"/>
    <tableColumn id="2" xr3:uid="{EB50C8BC-2DB9-4F7B-B612-681BB547926A}" name="Vendedor" dataDxfId="586"/>
    <tableColumn id="3" xr3:uid="{35270191-CAC7-406B-B916-370E9194FBD0}" name="CARNE" dataDxfId="585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84" dataDxfId="582" headerRowBorderDxfId="583" tableBorderDxfId="581" totalsRowBorderDxfId="5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79"/>
    <tableColumn id="2" xr3:uid="{D650DC73-190F-4D20-A432-5DFA05B32EBB}" name="Cliente" dataDxfId="578"/>
    <tableColumn id="3" xr3:uid="{B232D3BA-4291-4772-8FA1-966DFC2F6BAD}" name="Forma de Pgto" dataDxfId="577" dataCellStyle="Moeda"/>
    <tableColumn id="4" xr3:uid="{27933DC4-0B14-4F8A-9424-CDECA8B0BE13}" name="Valor Parcela" dataDxfId="576" dataCellStyle="Porcentagem"/>
    <tableColumn id="5" xr3:uid="{812A2DA5-D78D-454A-BF37-5BC7C8B486FB}" name="Nº Parcela" dataDxfId="575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74" headerRowBorderDxfId="573" tableBorderDxfId="572" totalsRowBorderDxfId="571">
  <autoFilter ref="K34:M41" xr:uid="{1B8643D4-6AC3-4029-882A-C62E9D7CB225}"/>
  <tableColumns count="3">
    <tableColumn id="1" xr3:uid="{F3E7E89B-8196-4CDC-A23E-947DB3CEA07C}" name="OS" dataDxfId="570"/>
    <tableColumn id="2" xr3:uid="{D705822D-AFE1-401D-A8C8-7D7BB7A4C86C}" name="Parcelas" dataDxfId="569"/>
    <tableColumn id="3" xr3:uid="{C528E7A1-6466-4E27-8A7C-A46F4678792C}" name="Valor Total" dataDxfId="568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67" dataDxfId="565" headerRowBorderDxfId="566" tableBorderDxfId="564" totalsRowBorderDxfId="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62" dataCellStyle="Moeda"/>
    <tableColumn id="5" xr3:uid="{935EFB73-C7DF-4DB2-A9CA-2CCBA3650F22}" name="Cliente" dataDxfId="561" dataCellStyle="Moeda"/>
    <tableColumn id="2" xr3:uid="{869122A0-3CC2-4E92-8EFB-746E8E8CB311}" name="Forma de Pgto" dataDxfId="560" dataCellStyle="Moeda"/>
    <tableColumn id="3" xr3:uid="{6DA3B9FE-BCC2-4503-9E60-EA0ED444B7A6}" name="Valor Venda" dataDxfId="559" dataCellStyle="Porcentagem"/>
    <tableColumn id="4" xr3:uid="{A8A1A79C-5DE2-48A0-9D24-1DA382BBF42E}" name="Entrada" dataDxfId="558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57" dataDxfId="555" headerRowBorderDxfId="556" tableBorderDxfId="554" totalsRowBorderDxfId="553">
  <autoFilter ref="K5:M11" xr:uid="{00000000-0009-0000-0100-000015000000}"/>
  <tableColumns count="3">
    <tableColumn id="1" xr3:uid="{3E8535D4-7B2A-41EF-B25F-D96FCA746C77}" name="Descrição" dataDxfId="552"/>
    <tableColumn id="2" xr3:uid="{29FD7EBB-FAB4-46A7-8D0C-8DEF811BE03C}" name="Tipo de Pagto" dataDxfId="551"/>
    <tableColumn id="3" xr3:uid="{42A84199-904C-48CF-9EA1-668D5693A5E1}" name="Valor" dataDxfId="550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49" dataDxfId="547" headerRowBorderDxfId="548" tableBorderDxfId="546" totalsRowBorderDxfId="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44"/>
    <tableColumn id="2" xr3:uid="{06FD4E8A-ECFC-46A5-9546-F18D5C7CCF46}" name="Cliente" dataDxfId="543"/>
    <tableColumn id="3" xr3:uid="{393434A3-085F-407B-B651-4C537A1C4DCA}" name="Forma de Pgto" dataDxfId="542" dataCellStyle="Moeda"/>
    <tableColumn id="4" xr3:uid="{D08FA6C2-56D1-4A76-94C1-132618C070F2}" name="Valor Venda" dataDxfId="541" dataCellStyle="Porcentagem"/>
    <tableColumn id="5" xr3:uid="{A94780A1-5426-454F-8950-AFE4D356071F}" name="Entrada" dataDxfId="540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39" dataDxfId="537" headerRowBorderDxfId="538" tableBorderDxfId="536" totalsRowBorderDxfId="535">
  <autoFilter ref="K14:M31" xr:uid="{C83FE64B-E221-4DAA-89EA-5307A7BC98B3}"/>
  <tableColumns count="3">
    <tableColumn id="1" xr3:uid="{5F81F202-5A63-416E-B66A-BC7A70C51944}" name="OS" dataDxfId="534"/>
    <tableColumn id="2" xr3:uid="{74527326-0E45-44AC-976A-01AD354EEF97}" name="Vendedor" dataDxfId="533"/>
    <tableColumn id="3" xr3:uid="{7E368C39-6290-45A4-8C60-3E0B6BEC860E}" name="CARNE" dataDxfId="532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31" dataDxfId="529" headerRowBorderDxfId="530" tableBorderDxfId="528" totalsRowBorderDxfId="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26"/>
    <tableColumn id="2" xr3:uid="{5FB18F19-64B5-46AA-955B-A301C651C0F2}" name="Cliente" dataDxfId="525"/>
    <tableColumn id="3" xr3:uid="{51F731CD-986B-4FF6-A861-83997E66998E}" name="Forma de Pgto" dataDxfId="524" dataCellStyle="Moeda"/>
    <tableColumn id="4" xr3:uid="{BD861052-26CD-48E9-91C6-0A6DF7C6A099}" name="Valor Parcela" dataDxfId="523" dataCellStyle="Porcentagem"/>
    <tableColumn id="5" xr3:uid="{8A5D6765-7637-45A4-9660-09EDBB031EC1}" name="Nº Parcela" dataDxfId="522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521" headerRowBorderDxfId="520" tableBorderDxfId="519" totalsRowBorderDxfId="518">
  <autoFilter ref="K34:M41" xr:uid="{1B8643D4-6AC3-4029-882A-C62E9D7CB225}"/>
  <tableColumns count="3">
    <tableColumn id="1" xr3:uid="{96F2F5A7-6005-4604-8B24-0E2838B4DD29}" name="OS" dataDxfId="517"/>
    <tableColumn id="2" xr3:uid="{ED904B68-5D9C-4B50-96BA-96CAD5E34CF1}" name="Parcelas" dataDxfId="516"/>
    <tableColumn id="3" xr3:uid="{317680F4-80F7-44BC-B3EF-4EFC6A803CAC}" name="Valor Total" dataDxfId="515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514" dataDxfId="512" headerRowBorderDxfId="513" tableBorderDxfId="511" totalsRowBorderDxfId="5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509" dataCellStyle="Moeda"/>
    <tableColumn id="5" xr3:uid="{8C950723-3D74-47BB-96EF-8D7D6A2189F6}" name="Cliente" dataDxfId="508" dataCellStyle="Moeda"/>
    <tableColumn id="2" xr3:uid="{891A7678-229E-4FF4-AD78-C00F149C7AB3}" name="Forma de Pgto" dataDxfId="507" dataCellStyle="Moeda"/>
    <tableColumn id="3" xr3:uid="{C1AD64CF-D636-4D0B-90AF-998E65C41E3B}" name="Valor Venda" dataDxfId="506" dataCellStyle="Porcentagem"/>
    <tableColumn id="4" xr3:uid="{4674130B-789D-479A-9F01-407FB3322D27}" name="Entrada" dataDxfId="505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504" dataDxfId="502" headerRowBorderDxfId="503" tableBorderDxfId="501" totalsRowBorderDxfId="500">
  <autoFilter ref="K5:M11" xr:uid="{00000000-0009-0000-0100-000015000000}"/>
  <tableColumns count="3">
    <tableColumn id="1" xr3:uid="{558DC85F-C627-4F48-82AA-C24727E75A42}" name="Descrição" dataDxfId="499"/>
    <tableColumn id="2" xr3:uid="{8346B0E0-FB0D-4ED3-ABBC-3816B7CB40C9}" name="Tipo de Pagto" dataDxfId="498"/>
    <tableColumn id="3" xr3:uid="{362F9934-CC54-4E70-A26F-6CDF66DEB838}" name="Valor" dataDxfId="497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96" dataDxfId="494" headerRowBorderDxfId="495" tableBorderDxfId="493" totalsRowBorderDxfId="4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91"/>
    <tableColumn id="2" xr3:uid="{B711E4E6-0AE5-42C8-8015-A72C2855CDFB}" name="Cliente" dataDxfId="490"/>
    <tableColumn id="3" xr3:uid="{016D3713-BA29-48F8-8683-6E42C1C8BDFE}" name="Forma de Pgto" dataDxfId="489" dataCellStyle="Moeda"/>
    <tableColumn id="4" xr3:uid="{66F30211-F047-40DA-B134-05B87A798574}" name="Valor Venda" dataDxfId="488" dataCellStyle="Porcentagem"/>
    <tableColumn id="5" xr3:uid="{2FB6AB3C-AA9E-4034-AF4B-12D9A3ECBBCA}" name="Entrada" dataDxfId="487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86" dataDxfId="484" headerRowBorderDxfId="485" tableBorderDxfId="483" totalsRowBorderDxfId="482">
  <autoFilter ref="K14:M31" xr:uid="{C83FE64B-E221-4DAA-89EA-5307A7BC98B3}"/>
  <tableColumns count="3">
    <tableColumn id="1" xr3:uid="{D6DF1477-46D1-47E2-A070-9A33886E6137}" name="OS" dataDxfId="481"/>
    <tableColumn id="2" xr3:uid="{C4215FA6-4F2C-444A-8E0B-4F99AEEE9430}" name="Vendedor" dataDxfId="480"/>
    <tableColumn id="3" xr3:uid="{7B8AD675-F389-4803-BFFB-8166F703E829}" name="CARNE" dataDxfId="479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78" dataDxfId="476" headerRowBorderDxfId="477" tableBorderDxfId="475" totalsRowBorderDxfId="474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73"/>
    <tableColumn id="2" xr3:uid="{45674E96-72EC-433B-9141-E40A07A72A19}" name="Cliente" dataDxfId="472"/>
    <tableColumn id="3" xr3:uid="{22102B96-8607-4584-B5A3-C1EE639E0F4C}" name="Forma de Pgto" dataDxfId="471" dataCellStyle="Moeda"/>
    <tableColumn id="4" xr3:uid="{DC2E9D15-91B3-4478-AA38-B98773D1B0DA}" name="Valor Parcela" dataDxfId="470" dataCellStyle="Porcentagem"/>
    <tableColumn id="5" xr3:uid="{ABCCDEDB-69A0-4492-A24A-12A60E76A2F8}" name="Nº Parcela" dataDxfId="469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68" headerRowBorderDxfId="467" tableBorderDxfId="466" totalsRowBorderDxfId="465">
  <autoFilter ref="K34:M41" xr:uid="{1B8643D4-6AC3-4029-882A-C62E9D7CB225}"/>
  <tableColumns count="3">
    <tableColumn id="1" xr3:uid="{96E4A694-A16C-4FAB-8484-5D1DCD513FF1}" name="OS" dataDxfId="464"/>
    <tableColumn id="2" xr3:uid="{CEC7F98C-5986-47BB-824E-5616D5A150E4}" name="Parcelas" dataDxfId="463"/>
    <tableColumn id="3" xr3:uid="{A82CBD0B-203D-4ED5-BDE4-3B77ECED5860}" name="Valor Total" dataDxfId="462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61" dataDxfId="459" headerRowBorderDxfId="460" tableBorderDxfId="458" totalsRowBorderDxfId="4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56" dataCellStyle="Moeda"/>
    <tableColumn id="5" xr3:uid="{28960474-C27A-4147-BD99-7BB60462B8B0}" name="Cliente" dataDxfId="455" dataCellStyle="Moeda"/>
    <tableColumn id="2" xr3:uid="{67D37C1F-FE45-48AD-BED8-2CFECE89FEA0}" name="Forma de Pgto" dataDxfId="454" dataCellStyle="Moeda"/>
    <tableColumn id="3" xr3:uid="{9D53CA59-8DC0-45C1-B948-0BC9CE105A46}" name="Valor Venda" dataDxfId="453" dataCellStyle="Porcentagem"/>
    <tableColumn id="4" xr3:uid="{63C5EED9-C4FA-4177-B2B7-18053322A958}" name="Entrada" dataDxfId="452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51" dataDxfId="449" headerRowBorderDxfId="450" tableBorderDxfId="448" totalsRowBorderDxfId="447">
  <autoFilter ref="K5:M11" xr:uid="{00000000-0009-0000-0100-000015000000}"/>
  <tableColumns count="3">
    <tableColumn id="1" xr3:uid="{EA5469B7-1D8E-40E9-95A2-35DAC9D5EC13}" name="Descrição" dataDxfId="446"/>
    <tableColumn id="2" xr3:uid="{6149AE8A-4EBC-4D73-8258-5E25710E3A30}" name="Tipo de Pagto" dataDxfId="445"/>
    <tableColumn id="3" xr3:uid="{6872D867-5B80-4E69-B012-87CC7B75B649}" name="Valor" dataDxfId="444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43" dataDxfId="441" headerRowBorderDxfId="442" tableBorderDxfId="440" totalsRowBorderDxfId="4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38"/>
    <tableColumn id="2" xr3:uid="{83BEE3E3-D5E6-4B4E-B0F3-B7D166EBC951}" name="Cliente" dataDxfId="437"/>
    <tableColumn id="3" xr3:uid="{D56D36FF-3364-4C9B-95E8-FF48852EB70B}" name="Forma de Pgto" dataDxfId="436" dataCellStyle="Moeda"/>
    <tableColumn id="4" xr3:uid="{E2E76570-BF3A-47F8-A702-0FE2FE405B33}" name="Valor Venda" dataDxfId="435" dataCellStyle="Porcentagem"/>
    <tableColumn id="5" xr3:uid="{19FD5054-F0CE-4B30-BF14-7D86B666A44E}" name="Entrada" dataDxfId="434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33" dataDxfId="431" headerRowBorderDxfId="432" tableBorderDxfId="430" totalsRowBorderDxfId="429">
  <autoFilter ref="K14:M31" xr:uid="{C83FE64B-E221-4DAA-89EA-5307A7BC98B3}"/>
  <tableColumns count="3">
    <tableColumn id="1" xr3:uid="{2A900AC2-CDD6-4655-B7AF-13F9A8DDD9FF}" name="OS" dataDxfId="428"/>
    <tableColumn id="2" xr3:uid="{D566D654-CC7D-40A6-874D-6CD6342DEC3B}" name="Vendedor" dataDxfId="427"/>
    <tableColumn id="3" xr3:uid="{E8D97BA9-0913-40AD-B2A5-0F60E6A0BE95}" name="CARNE" dataDxfId="426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425" dataDxfId="423" headerRowBorderDxfId="424" tableBorderDxfId="422" totalsRowBorderDxfId="4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420"/>
    <tableColumn id="2" xr3:uid="{CDAD5229-EE1B-4727-8C27-8A17FEDA1C5C}" name="Cliente" dataDxfId="419"/>
    <tableColumn id="3" xr3:uid="{93224419-805E-4D8C-A296-80DA02CCC413}" name="Forma de Pgto" dataDxfId="418" dataCellStyle="Moeda"/>
    <tableColumn id="4" xr3:uid="{40C77CE6-762C-49C9-94EB-7D5AFC9A73A4}" name="Valor Parcela" dataDxfId="417" dataCellStyle="Porcentagem"/>
    <tableColumn id="5" xr3:uid="{8A7914AB-189B-4928-860C-9AB79BAA232D}" name="Nº Parcela" dataDxfId="416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415" headerRowBorderDxfId="414" tableBorderDxfId="413" totalsRowBorderDxfId="412">
  <autoFilter ref="K34:M41" xr:uid="{1B8643D4-6AC3-4029-882A-C62E9D7CB225}"/>
  <tableColumns count="3">
    <tableColumn id="1" xr3:uid="{C92D7BD7-E114-41CE-802D-B41EFFA721F2}" name="OS" dataDxfId="411"/>
    <tableColumn id="2" xr3:uid="{C67ABBBE-4637-4653-928F-36D0678D64F6}" name="Parcelas" dataDxfId="410"/>
    <tableColumn id="3" xr3:uid="{2217F874-8724-4CC1-9542-1585CC1817E3}" name="Valor Total" dataDxfId="409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408" dataDxfId="406" headerRowBorderDxfId="407" tableBorderDxfId="405" totalsRowBorderDxfId="4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403" dataCellStyle="Moeda"/>
    <tableColumn id="5" xr3:uid="{EA7582FE-FEFF-4011-BD42-218C3664E6AB}" name="Cliente" dataDxfId="402" dataCellStyle="Moeda"/>
    <tableColumn id="2" xr3:uid="{F90F407A-44F2-4B25-95B2-7FFF747C7AA1}" name="Forma de Pgto" dataDxfId="401" dataCellStyle="Moeda"/>
    <tableColumn id="3" xr3:uid="{3ED51D07-27C8-4437-A49E-867C7274BC65}" name="Valor Venda" dataDxfId="400" dataCellStyle="Porcentagem"/>
    <tableColumn id="4" xr3:uid="{42C92817-5DF0-4DE7-B430-03840EF6E852}" name="Entrada" dataDxfId="399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98" dataDxfId="396" headerRowBorderDxfId="397" tableBorderDxfId="395" totalsRowBorderDxfId="394">
  <autoFilter ref="K5:M11" xr:uid="{00000000-0009-0000-0100-000015000000}"/>
  <tableColumns count="3">
    <tableColumn id="1" xr3:uid="{BCDA9109-FE1B-43D0-A775-F187BA433103}" name="Descrição" dataDxfId="393"/>
    <tableColumn id="2" xr3:uid="{6200DB38-1340-49E2-8DB4-68F203C169F1}" name="Tipo de Pagto" dataDxfId="392"/>
    <tableColumn id="3" xr3:uid="{27595B27-AB97-40C9-BECE-DEB4EF2576B7}" name="Valor" dataDxfId="391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90" dataDxfId="388" headerRowBorderDxfId="389" tableBorderDxfId="387" totalsRowBorderDxfId="3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85"/>
    <tableColumn id="2" xr3:uid="{2547CEAB-188F-4407-8B89-F3536432D0FA}" name="Cliente" dataDxfId="384"/>
    <tableColumn id="3" xr3:uid="{54CBD340-AB1A-4F98-A129-037389C3E236}" name="Forma de Pgto" dataDxfId="383" dataCellStyle="Moeda"/>
    <tableColumn id="4" xr3:uid="{CB0BC571-5837-4C35-AFDD-D5873CE23AE9}" name="Valor Venda" dataDxfId="382" dataCellStyle="Porcentagem"/>
    <tableColumn id="5" xr3:uid="{517A77AC-A76A-4CE7-B5D1-3FEFDF7B8722}" name="Entrada" dataDxfId="381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80" dataDxfId="378" headerRowBorderDxfId="379" tableBorderDxfId="377" totalsRowBorderDxfId="376">
  <autoFilter ref="K14:M31" xr:uid="{C83FE64B-E221-4DAA-89EA-5307A7BC98B3}"/>
  <tableColumns count="3">
    <tableColumn id="1" xr3:uid="{71C4392B-8887-40B1-9A7B-C600C91C0A9F}" name="OS" dataDxfId="375"/>
    <tableColumn id="2" xr3:uid="{EAC02F14-380C-4B61-8944-E4F1EC6C2572}" name="Vendedor" dataDxfId="374"/>
    <tableColumn id="3" xr3:uid="{04750BAB-2533-45E4-AD1A-4273DBA80CF4}" name="CARNE" dataDxfId="373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72" dataDxfId="370" headerRowBorderDxfId="371" tableBorderDxfId="369" totalsRowBorderDxfId="3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67"/>
    <tableColumn id="2" xr3:uid="{C78ED1A0-4ABC-4C46-9011-9E7D40E53828}" name="Cliente" dataDxfId="366"/>
    <tableColumn id="3" xr3:uid="{5CDE3049-7EDA-4337-9E8E-58F0DB4CFDD5}" name="Forma de Pgto" dataDxfId="365" dataCellStyle="Moeda"/>
    <tableColumn id="4" xr3:uid="{7ACCAB16-AFFF-4B9D-A25F-B45F3BBA93B9}" name="Valor Parcela" dataDxfId="364" dataCellStyle="Porcentagem"/>
    <tableColumn id="5" xr3:uid="{15EC4276-5957-4146-877A-2D9AF52832DE}" name="Nº Parcela" dataDxfId="363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62" headerRowBorderDxfId="361" tableBorderDxfId="360" totalsRowBorderDxfId="359">
  <autoFilter ref="K34:M41" xr:uid="{1B8643D4-6AC3-4029-882A-C62E9D7CB225}"/>
  <tableColumns count="3">
    <tableColumn id="1" xr3:uid="{509FE920-B0D4-48CC-8AFC-C231084014ED}" name="OS" dataDxfId="358"/>
    <tableColumn id="2" xr3:uid="{648797DA-323D-4F7C-95F3-3223D3A08821}" name="Parcelas" dataDxfId="357"/>
    <tableColumn id="3" xr3:uid="{0684A7C0-4163-4297-B332-DFFBB65E266D}" name="Valor Total" dataDxfId="35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55" dataDxfId="353" headerRowBorderDxfId="354" tableBorderDxfId="352" totalsRowBorderDxfId="3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50" dataCellStyle="Moeda"/>
    <tableColumn id="5" xr3:uid="{FA1FA1DC-5352-4524-9AB2-369222C4BDD1}" name="Cliente" dataDxfId="349" dataCellStyle="Moeda"/>
    <tableColumn id="2" xr3:uid="{A73B5E06-AB1F-48ED-B61C-8853446A4F5E}" name="Forma de Pgto" dataDxfId="348" dataCellStyle="Moeda"/>
    <tableColumn id="3" xr3:uid="{E5231A7F-7D20-4503-A786-BF9FC0E23F42}" name="Valor Venda" dataDxfId="347" dataCellStyle="Porcentagem"/>
    <tableColumn id="4" xr3:uid="{86DAF072-A11E-464D-A335-9A5F5FF09F8D}" name="Entrada" dataDxfId="34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45" dataDxfId="343" headerRowBorderDxfId="344" tableBorderDxfId="342" totalsRowBorderDxfId="341">
  <autoFilter ref="K5:M11" xr:uid="{00000000-0009-0000-0100-000015000000}"/>
  <tableColumns count="3">
    <tableColumn id="1" xr3:uid="{0C299E65-9391-4336-8CF7-2EC1702B221E}" name="Descrição" dataDxfId="340"/>
    <tableColumn id="2" xr3:uid="{45EA8371-50DD-4161-8CE6-AE739B48843A}" name="Tipo de Pagto" dataDxfId="339"/>
    <tableColumn id="3" xr3:uid="{4D98764C-873C-4A32-9ABD-121372723463}" name="Valor" dataDxfId="33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37" dataDxfId="335" headerRowBorderDxfId="336" tableBorderDxfId="334" totalsRowBorderDxfId="3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32"/>
    <tableColumn id="2" xr3:uid="{212BE65F-3FA5-419B-B9A4-58240EFDEBFA}" name="Cliente" dataDxfId="331"/>
    <tableColumn id="3" xr3:uid="{1EE1E2AC-25F1-4013-8D38-A0638CF454DB}" name="Forma de Pgto" dataDxfId="330" dataCellStyle="Moeda"/>
    <tableColumn id="4" xr3:uid="{38D98562-880F-4C00-A26B-F40D7F6C9E67}" name="Valor Venda" dataDxfId="329" dataCellStyle="Porcentagem"/>
    <tableColumn id="5" xr3:uid="{183B778F-EB01-4FDA-BD28-D4D361F688C4}" name="Entrada" dataDxfId="32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327" dataDxfId="325" headerRowBorderDxfId="326" tableBorderDxfId="324" totalsRowBorderDxfId="323">
  <autoFilter ref="K14:M31" xr:uid="{C83FE64B-E221-4DAA-89EA-5307A7BC98B3}"/>
  <tableColumns count="3">
    <tableColumn id="1" xr3:uid="{21BA2342-0EF4-4D12-8CEB-D5F98AF1E43D}" name="OS" dataDxfId="322"/>
    <tableColumn id="2" xr3:uid="{8EC3F5A2-9325-43BD-A364-C3D24B7F492B}" name="Vendedor" dataDxfId="321"/>
    <tableColumn id="3" xr3:uid="{60B7BB21-2E30-4BF0-9109-7C61A6F8023E}" name="CARNE" dataDxfId="32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319" dataDxfId="317" headerRowBorderDxfId="318" tableBorderDxfId="316" totalsRowBorderDxfId="3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314"/>
    <tableColumn id="2" xr3:uid="{FEC021D0-C21F-4087-AA46-92F79B0BD15C}" name="Cliente" dataDxfId="313"/>
    <tableColumn id="3" xr3:uid="{B057DFD4-3A13-40AD-95B0-7A4A6D2F12EA}" name="Forma de Pgto" dataDxfId="312" dataCellStyle="Moeda"/>
    <tableColumn id="4" xr3:uid="{8571FA4F-3615-40B7-87DD-4A3572C756ED}" name="Valor Parcela" dataDxfId="311" dataCellStyle="Porcentagem"/>
    <tableColumn id="5" xr3:uid="{32F42922-7FF4-44E6-8FE1-CF1D84ED2607}" name="Nº Parcela" dataDxfId="31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309" headerRowBorderDxfId="308" tableBorderDxfId="307" totalsRowBorderDxfId="306">
  <autoFilter ref="K34:M41" xr:uid="{1B8643D4-6AC3-4029-882A-C62E9D7CB225}"/>
  <tableColumns count="3">
    <tableColumn id="1" xr3:uid="{239C8B86-39AD-48DE-8CD4-9E298F831595}" name="OS" dataDxfId="305"/>
    <tableColumn id="2" xr3:uid="{52A4913C-562E-40FD-8422-19A5A2E9F3E9}" name="Parcelas" dataDxfId="304"/>
    <tableColumn id="3" xr3:uid="{A2980378-BECE-4786-B65D-94F14F69AE6B}" name="Valor Total" dataDxfId="303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302" dataDxfId="300" headerRowBorderDxfId="301" tableBorderDxfId="299" totalsRowBorderDxfId="2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97" dataCellStyle="Moeda"/>
    <tableColumn id="5" xr3:uid="{570F0DA8-D686-4E48-AB43-770DB49D735A}" name="Cliente" dataDxfId="296" dataCellStyle="Moeda"/>
    <tableColumn id="2" xr3:uid="{80EB692B-CEF9-4384-93C3-D0C2D659D8B9}" name="Forma de Pgto" dataDxfId="295" dataCellStyle="Moeda"/>
    <tableColumn id="3" xr3:uid="{C072FA33-E65C-46A1-9619-122C55ADB543}" name="Valor Venda" dataDxfId="294" dataCellStyle="Porcentagem"/>
    <tableColumn id="4" xr3:uid="{A6AD7AE2-A356-40B6-8551-4661FBEB3F51}" name="Entrada" dataDxfId="293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92" dataDxfId="290" headerRowBorderDxfId="291" tableBorderDxfId="289" totalsRowBorderDxfId="288">
  <autoFilter ref="K5:M11" xr:uid="{00000000-0009-0000-0100-000015000000}"/>
  <tableColumns count="3">
    <tableColumn id="1" xr3:uid="{B332CB19-9163-40A3-A95C-B96A1582E073}" name="Descrição" dataDxfId="287"/>
    <tableColumn id="2" xr3:uid="{61F5EE7F-73F4-42E2-A9DC-23449B0C3C01}" name="Tipo de Pagto" dataDxfId="286"/>
    <tableColumn id="3" xr3:uid="{DA89D608-9609-4843-A5C1-DE0E1200E4A8}" name="Valor" dataDxfId="285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84" dataDxfId="282" headerRowBorderDxfId="283" tableBorderDxfId="281" totalsRowBorderDxfId="2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79"/>
    <tableColumn id="2" xr3:uid="{AC5BDFCE-FCF6-4AAB-9202-5F41FD623E7A}" name="Cliente" dataDxfId="278"/>
    <tableColumn id="3" xr3:uid="{60B29A82-92C4-41E9-85E9-1CB47FDC0F48}" name="Forma de Pgto" dataDxfId="277" dataCellStyle="Moeda"/>
    <tableColumn id="4" xr3:uid="{77AEFEA3-2B2A-45D9-B420-2C503790CB98}" name="Valor Venda" dataDxfId="276" dataCellStyle="Porcentagem"/>
    <tableColumn id="5" xr3:uid="{ADAFB771-5146-4657-B325-26E81CB97F70}" name="Entrada" dataDxfId="275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74" dataDxfId="272" headerRowBorderDxfId="273" tableBorderDxfId="271" totalsRowBorderDxfId="270">
  <autoFilter ref="K14:M31" xr:uid="{C83FE64B-E221-4DAA-89EA-5307A7BC98B3}"/>
  <tableColumns count="3">
    <tableColumn id="1" xr3:uid="{A681CC1B-EF00-4702-9240-49A1F9CD0ED9}" name="OS" dataDxfId="269"/>
    <tableColumn id="2" xr3:uid="{CACBAC13-6FB8-41CD-B9DA-E0BF6545625A}" name="Vendedor" dataDxfId="268"/>
    <tableColumn id="3" xr3:uid="{62DBFAEA-33ED-481B-88FE-D480C79BD70A}" name="CARNE" dataDxfId="267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66" dataDxfId="264" headerRowBorderDxfId="265" tableBorderDxfId="263" totalsRowBorderDxfId="2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61"/>
    <tableColumn id="2" xr3:uid="{84774BA8-817B-4BB4-B330-18FC2D74BEBD}" name="Cliente" dataDxfId="260"/>
    <tableColumn id="3" xr3:uid="{B445E0F1-2EE3-48E4-A8D9-FA43238816EF}" name="Forma de Pgto" dataDxfId="259" dataCellStyle="Moeda"/>
    <tableColumn id="4" xr3:uid="{ABB960AB-65AE-4F15-BF53-C9D07E2FDA8B}" name="Valor Parcela" dataDxfId="258" dataCellStyle="Porcentagem"/>
    <tableColumn id="5" xr3:uid="{89825584-3833-4995-A86E-D7E4080CB9BB}" name="Nº Parcela" dataDxfId="257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56" headerRowBorderDxfId="255" tableBorderDxfId="254" totalsRowBorderDxfId="253">
  <autoFilter ref="K34:M41" xr:uid="{1B8643D4-6AC3-4029-882A-C62E9D7CB225}"/>
  <tableColumns count="3">
    <tableColumn id="1" xr3:uid="{EAA08E73-C7D6-46EB-8CB3-0B41DCC95916}" name="OS" dataDxfId="252"/>
    <tableColumn id="2" xr3:uid="{706D1FAA-0C88-4CDF-B8E1-15AD01A2E582}" name="Parcelas" dataDxfId="251"/>
    <tableColumn id="3" xr3:uid="{98D05923-385E-4F7C-ADF4-C1FB7F5B5CC5}" name="Valor Total" dataDxfId="250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49" dataDxfId="247" headerRowBorderDxfId="248" tableBorderDxfId="246" totalsRowBorderDxfId="2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44" dataCellStyle="Moeda"/>
    <tableColumn id="5" xr3:uid="{57575EBC-6B68-41EF-9676-918A4ABDCB4D}" name="Cliente" dataDxfId="243" dataCellStyle="Moeda"/>
    <tableColumn id="2" xr3:uid="{85714B76-869D-4DF7-8709-20EB0FE90848}" name="Forma de Pgto" dataDxfId="242" dataCellStyle="Moeda"/>
    <tableColumn id="3" xr3:uid="{A556487C-0FB8-4138-908B-0692480ED40F}" name="Valor Venda" dataDxfId="241" dataCellStyle="Porcentagem"/>
    <tableColumn id="4" xr3:uid="{2437A1CF-1861-42F2-9B6F-020480542B91}" name="Entrada" dataDxfId="240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39" dataDxfId="237" headerRowBorderDxfId="238" tableBorderDxfId="236" totalsRowBorderDxfId="235">
  <autoFilter ref="K5:M11" xr:uid="{00000000-0009-0000-0100-000015000000}"/>
  <tableColumns count="3">
    <tableColumn id="1" xr3:uid="{EA498FD3-4549-4930-A7C5-2A6A697F86CC}" name="Descrição" dataDxfId="234"/>
    <tableColumn id="2" xr3:uid="{8748D917-3F00-4700-B7E5-7700540A331D}" name="Tipo de Pagto" dataDxfId="233"/>
    <tableColumn id="3" xr3:uid="{42A9985B-0743-4482-AA4C-D8FD0E0F72A5}" name="Valor" dataDxfId="232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231" dataDxfId="229" headerRowBorderDxfId="230" tableBorderDxfId="228" totalsRowBorderDxfId="2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226"/>
    <tableColumn id="2" xr3:uid="{FE587643-BC52-4E6E-AF00-724AEF5CF68E}" name="Cliente" dataDxfId="225"/>
    <tableColumn id="3" xr3:uid="{7FE7D67C-9631-4982-8037-006DC6383D49}" name="Forma de Pgto" dataDxfId="224" dataCellStyle="Moeda"/>
    <tableColumn id="4" xr3:uid="{F211FF52-FD8A-4441-B1F6-EDB12BA108C0}" name="Valor Venda" dataDxfId="223" dataCellStyle="Porcentagem"/>
    <tableColumn id="5" xr3:uid="{16E4261B-0737-47FE-A7D3-731BFAF25FF7}" name="Entrada" dataDxfId="222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21" dataDxfId="219" headerRowBorderDxfId="220" tableBorderDxfId="218" totalsRowBorderDxfId="217">
  <autoFilter ref="K14:M31" xr:uid="{C83FE64B-E221-4DAA-89EA-5307A7BC98B3}"/>
  <tableColumns count="3">
    <tableColumn id="1" xr3:uid="{8E54EB92-C776-41FF-A0DB-06AF704A4887}" name="OS" dataDxfId="216"/>
    <tableColumn id="2" xr3:uid="{6868B7F3-9EF7-46C7-BEF9-654E8E36ED1C}" name="Vendedor" dataDxfId="215"/>
    <tableColumn id="3" xr3:uid="{1350521A-D743-40D9-A465-2D8D4BFE6A10}" name="CARNE" dataDxfId="214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213" dataDxfId="211" headerRowBorderDxfId="212" tableBorderDxfId="210" totalsRowBorderDxfId="2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208"/>
    <tableColumn id="2" xr3:uid="{85BDCF85-AA6C-42E1-B1B7-C516556DBDB9}" name="Cliente" dataDxfId="207"/>
    <tableColumn id="3" xr3:uid="{9F8DE4E4-D5E2-48B5-8EAA-40EB197D32AC}" name="Forma de Pgto" dataDxfId="206" dataCellStyle="Moeda"/>
    <tableColumn id="4" xr3:uid="{C6290D95-7284-445D-8939-C5FD7951996B}" name="Valor Parcela" dataDxfId="205" dataCellStyle="Porcentagem"/>
    <tableColumn id="5" xr3:uid="{52285BEC-0F7D-418F-A98F-3BC424F4B159}" name="Nº Parcela" dataDxfId="204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203" headerRowBorderDxfId="202" tableBorderDxfId="201" totalsRowBorderDxfId="200">
  <autoFilter ref="K34:M41" xr:uid="{1B8643D4-6AC3-4029-882A-C62E9D7CB225}"/>
  <tableColumns count="3">
    <tableColumn id="1" xr3:uid="{2CBB75AA-30A1-4E7B-931E-A32395F87AA4}" name="OS" dataDxfId="199"/>
    <tableColumn id="2" xr3:uid="{9C8D7AA6-CFE0-4494-82DC-042A052CAAA0}" name="Parcelas" dataDxfId="198"/>
    <tableColumn id="3" xr3:uid="{57D19216-198A-4E06-835D-91E30A9FE599}" name="Valor Total" dataDxfId="197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96" dataDxfId="194" headerRowBorderDxfId="195" tableBorderDxfId="193" totalsRowBorderDxfId="1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Coluna1" dataDxfId="191" dataCellStyle="Moeda"/>
    <tableColumn id="5" xr3:uid="{B57FE100-D980-4793-9BEF-6EB81A189BDF}" name="Cliente" dataDxfId="190" dataCellStyle="Moeda"/>
    <tableColumn id="2" xr3:uid="{E3E7153F-994D-48FC-90C4-2CBF846DD020}" name="Forma de Pgto" dataDxfId="189" dataCellStyle="Moeda"/>
    <tableColumn id="3" xr3:uid="{665F1580-FA55-4C7F-BD41-C142CAFE3223}" name="Valor Venda" dataDxfId="188" dataCellStyle="Porcentagem"/>
    <tableColumn id="4" xr3:uid="{6F1E523A-10ED-4EDD-B2CA-D0C7AD019914}" name="Entrada" dataDxfId="187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86" dataDxfId="184" headerRowBorderDxfId="185" tableBorderDxfId="183" totalsRowBorderDxfId="182">
  <autoFilter ref="K5:M11" xr:uid="{00000000-0009-0000-0100-000015000000}"/>
  <tableColumns count="3">
    <tableColumn id="1" xr3:uid="{8A51E802-CECA-43FB-B82C-E6736A43EA3D}" name="Descrição" dataDxfId="181"/>
    <tableColumn id="2" xr3:uid="{5BCD8607-AADC-48F8-8E37-0466420D4FCD}" name="Tipo de Pagto" dataDxfId="180"/>
    <tableColumn id="3" xr3:uid="{4723FDE3-A519-42AE-9778-8C9E4D87D4F8}" name="Valor" dataDxfId="179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78" dataDxfId="176" headerRowBorderDxfId="177" tableBorderDxfId="175" totalsRowBorderDxfId="1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73"/>
    <tableColumn id="2" xr3:uid="{DD36027F-0205-4159-9C6C-7703DD9F61D1}" name="Cliente" dataDxfId="172"/>
    <tableColumn id="3" xr3:uid="{C8916D40-C533-47FF-A39E-183396744611}" name="Forma de Pgto" dataDxfId="171" dataCellStyle="Moeda"/>
    <tableColumn id="4" xr3:uid="{80EB5638-1F44-4817-8C1B-9EB07004D4CA}" name="Valor Venda" dataDxfId="170" dataCellStyle="Porcentagem"/>
    <tableColumn id="5" xr3:uid="{B4816614-99C6-4C2F-BA88-5290B6B734E3}" name="Entrada" dataDxfId="169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68" dataDxfId="166" headerRowBorderDxfId="167" tableBorderDxfId="165" totalsRowBorderDxfId="164">
  <autoFilter ref="K14:M31" xr:uid="{C83FE64B-E221-4DAA-89EA-5307A7BC98B3}"/>
  <tableColumns count="3">
    <tableColumn id="1" xr3:uid="{DCFC0FAB-C428-42CC-A79B-6BBC4C4E77BA}" name="OS" dataDxfId="163"/>
    <tableColumn id="2" xr3:uid="{55C72FAB-171A-4E5F-A55F-BBFBE0F4AF66}" name="Vendedor" dataDxfId="162"/>
    <tableColumn id="3" xr3:uid="{DCD6A944-16B4-44C6-9625-37A26D7A1151}" name="CARNE" dataDxfId="161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60" dataDxfId="158" headerRowBorderDxfId="159" tableBorderDxfId="157" totalsRowBorderDxfId="1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55"/>
    <tableColumn id="2" xr3:uid="{D2E85D99-F671-4642-9D56-7BBD7EADC926}" name="Cliente" dataDxfId="154"/>
    <tableColumn id="3" xr3:uid="{B8D270E5-112A-4D49-B21F-9055AF1F02FC}" name="Forma de Pgto" dataDxfId="153" dataCellStyle="Moeda"/>
    <tableColumn id="4" xr3:uid="{BA14CF36-FD33-4C35-B77D-D8C5207F906C}" name="Valor Parcela" dataDxfId="152" dataCellStyle="Porcentagem"/>
    <tableColumn id="5" xr3:uid="{2E862B2B-4705-4EDB-B528-4C423CDCC317}" name="Nº Parcela" dataDxfId="151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50" headerRowBorderDxfId="149" tableBorderDxfId="148" totalsRowBorderDxfId="147">
  <autoFilter ref="K34:M41" xr:uid="{1B8643D4-6AC3-4029-882A-C62E9D7CB225}"/>
  <tableColumns count="3">
    <tableColumn id="1" xr3:uid="{2092375F-825B-4295-AC07-BBBA3650EB3F}" name="OS" dataDxfId="146"/>
    <tableColumn id="2" xr3:uid="{8614B6AF-F25C-401B-AE51-F9959608EB4A}" name="Parcelas" dataDxfId="145"/>
    <tableColumn id="3" xr3:uid="{9702475E-64D8-4282-B5F4-F45E7E7B1891}" name="Valor Total" dataDxfId="144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43" dataDxfId="141" headerRowBorderDxfId="142" tableBorderDxfId="140" totalsRowBorderDxfId="1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38" dataCellStyle="Moeda"/>
    <tableColumn id="5" xr3:uid="{6DA19713-2E98-46D3-97C5-9220DCA239CF}" name="Cliente" dataDxfId="137" dataCellStyle="Moeda"/>
    <tableColumn id="2" xr3:uid="{88459FA3-E39A-4E24-BE6F-5B43DDEA2A4A}" name="Forma de Pgto" dataDxfId="136" dataCellStyle="Moeda"/>
    <tableColumn id="3" xr3:uid="{D7168B7C-70C2-4F65-A7A3-4909E88C1A7B}" name="Valor Venda" dataDxfId="135" dataCellStyle="Porcentagem"/>
    <tableColumn id="4" xr3:uid="{ADF4588D-7BC9-4314-A427-3D24958DACCC}" name="Entrada" dataDxfId="134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133" dataDxfId="131" headerRowBorderDxfId="132" tableBorderDxfId="130" totalsRowBorderDxfId="129">
  <autoFilter ref="K5:M11" xr:uid="{00000000-0009-0000-0100-000015000000}"/>
  <tableColumns count="3">
    <tableColumn id="1" xr3:uid="{E442CE4D-8AE5-41ED-A914-7256B88EAC73}" name="Descrição" dataDxfId="128"/>
    <tableColumn id="2" xr3:uid="{1E7FE08B-850F-4E9F-8B47-9536C8F5EC41}" name="Tipo de Pagto" dataDxfId="127"/>
    <tableColumn id="3" xr3:uid="{3DF1C1DC-F67A-43FF-B2A1-DF3622684536}" name="Valor" dataDxfId="126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125" dataDxfId="123" headerRowBorderDxfId="124" tableBorderDxfId="122" totalsRowBorderDxfId="1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120"/>
    <tableColumn id="2" xr3:uid="{7751C919-065D-412F-B8A7-F92A54826246}" name="Cliente" dataDxfId="119"/>
    <tableColumn id="3" xr3:uid="{22CEA33D-E4AE-4795-B81E-F00AEE0259C7}" name="Forma de Pgto" dataDxfId="118" dataCellStyle="Moeda"/>
    <tableColumn id="4" xr3:uid="{111A6D3D-9DF3-48E3-B298-6A078CD9958A}" name="Valor Venda" dataDxfId="117" dataCellStyle="Porcentagem"/>
    <tableColumn id="5" xr3:uid="{6FAC4EB6-9A05-4962-BE54-D649C18DF277}" name="Entrada" dataDxfId="116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115" dataDxfId="113" headerRowBorderDxfId="114" tableBorderDxfId="112" totalsRowBorderDxfId="111">
  <autoFilter ref="K14:M31" xr:uid="{C83FE64B-E221-4DAA-89EA-5307A7BC98B3}"/>
  <tableColumns count="3">
    <tableColumn id="1" xr3:uid="{70EC0554-ECDB-4BBB-8EC8-2A8F33D6CFC6}" name="OS" dataDxfId="110"/>
    <tableColumn id="2" xr3:uid="{7B162083-69E8-4F3B-A78B-AAB824AC7351}" name="Vendedor" dataDxfId="109"/>
    <tableColumn id="3" xr3:uid="{A73D781B-1144-472F-AB4F-C1B60353EA62}" name="CARNE" dataDxfId="108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107" dataDxfId="105" headerRowBorderDxfId="106" tableBorderDxfId="104" totalsRowBorderDxfId="1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02"/>
    <tableColumn id="2" xr3:uid="{20C66877-6F9A-47B0-A475-B6BCD966BCDE}" name="Cliente" dataDxfId="101"/>
    <tableColumn id="3" xr3:uid="{0B1C76D4-E380-4017-B2F1-2785D2AA0EB8}" name="Forma de Pgto" dataDxfId="100" dataCellStyle="Moeda"/>
    <tableColumn id="4" xr3:uid="{B7ACF4A8-9732-43AF-BAA1-9675D326ADFE}" name="Valor Parcela" dataDxfId="99" dataCellStyle="Porcentagem"/>
    <tableColumn id="5" xr3:uid="{D3AA6A31-6891-4F0D-A789-213423B77F89}" name="Nº Parcela" dataDxfId="98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97" headerRowBorderDxfId="96" tableBorderDxfId="95" totalsRowBorderDxfId="94">
  <autoFilter ref="K34:M41" xr:uid="{1B8643D4-6AC3-4029-882A-C62E9D7CB225}"/>
  <tableColumns count="3">
    <tableColumn id="1" xr3:uid="{2F82B378-0FB6-4745-B866-67CFE9774172}" name="OS" dataDxfId="93"/>
    <tableColumn id="2" xr3:uid="{BC22F8A2-3A5C-41B3-B76F-5C0070F63051}" name="Parcelas" dataDxfId="92"/>
    <tableColumn id="3" xr3:uid="{4BD95DAA-0D20-4678-8E3E-53FA905C70F9}" name="Valor Total" dataDxfId="91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90" dataDxfId="88" headerRowBorderDxfId="89" tableBorderDxfId="87" totalsRowBorderDxfId="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85" dataCellStyle="Moeda"/>
    <tableColumn id="5" xr3:uid="{B349F75C-FD83-42BC-AC89-09AA029D8EFE}" name="Cliente" dataDxfId="84" dataCellStyle="Moeda"/>
    <tableColumn id="2" xr3:uid="{5AC8E623-19E4-4450-B04F-87D3C51A3106}" name="Forma de Pgto" dataDxfId="83" dataCellStyle="Moeda"/>
    <tableColumn id="3" xr3:uid="{B508839F-67B8-4567-A0E7-F626D9292F0F}" name="Valor Venda" dataDxfId="82" dataCellStyle="Porcentagem"/>
    <tableColumn id="4" xr3:uid="{EEC337BF-1756-4A9B-AD25-186C19F608E4}" name="Entrada" dataDxfId="81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80" dataDxfId="78" headerRowBorderDxfId="79" tableBorderDxfId="77" totalsRowBorderDxfId="76">
  <autoFilter ref="K5:M11" xr:uid="{00000000-0009-0000-0100-000015000000}"/>
  <tableColumns count="3">
    <tableColumn id="1" xr3:uid="{3592BEEC-943B-4302-A978-B56ADB08BED9}" name="Descrição" dataDxfId="75"/>
    <tableColumn id="2" xr3:uid="{49221644-AE32-4BF9-BB52-77A3EABD5F0C}" name="Tipo de Pagto" dataDxfId="74"/>
    <tableColumn id="3" xr3:uid="{88361A78-CF3F-4DCF-8424-AE46053C75E6}" name="Valor" dataDxfId="73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72" dataDxfId="70" headerRowBorderDxfId="71" tableBorderDxfId="69" totalsRowBorderDxfId="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67"/>
    <tableColumn id="2" xr3:uid="{97DD3132-3804-4C47-A6DB-7DC40600EC8C}" name="Cliente" dataDxfId="66"/>
    <tableColumn id="3" xr3:uid="{1BC70869-3856-4ED9-8F16-5BD65C3868A7}" name="Forma de Pgto" dataDxfId="65" dataCellStyle="Moeda"/>
    <tableColumn id="4" xr3:uid="{C05A5EE1-AECF-408D-AE83-591D903C7D3B}" name="Valor Venda" dataDxfId="64" dataCellStyle="Porcentagem"/>
    <tableColumn id="5" xr3:uid="{1797FF6E-998A-42EF-B971-6F5AF105380C}" name="Entrada" dataDxfId="63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62" dataDxfId="60" headerRowBorderDxfId="61" tableBorderDxfId="59" totalsRowBorderDxfId="58">
  <autoFilter ref="K14:M31" xr:uid="{C83FE64B-E221-4DAA-89EA-5307A7BC98B3}"/>
  <tableColumns count="3">
    <tableColumn id="1" xr3:uid="{9DE4A889-248F-459E-8992-681934B06197}" name="OS" dataDxfId="57"/>
    <tableColumn id="2" xr3:uid="{02C1F889-1B21-460D-A9B5-23882A34C610}" name="Vendedor" dataDxfId="56"/>
    <tableColumn id="3" xr3:uid="{7BA38CB9-A108-482C-89FC-5BAC0E16D20B}" name="CARNE" dataDxfId="55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54" dataDxfId="52" headerRowBorderDxfId="53" tableBorderDxfId="51" totalsRowBorderDxfId="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49"/>
    <tableColumn id="2" xr3:uid="{0384488B-A6E8-45B8-95DF-1AFC546D97F7}" name="Cliente" dataDxfId="48"/>
    <tableColumn id="3" xr3:uid="{27D144F0-AF87-462E-9717-001979EED817}" name="Forma de Pgto" dataDxfId="47" dataCellStyle="Moeda"/>
    <tableColumn id="4" xr3:uid="{53029C9F-CBAD-4B52-99B7-2C6ECD96CA7E}" name="Valor Parcela" dataDxfId="46" dataCellStyle="Porcentagem"/>
    <tableColumn id="5" xr3:uid="{6A53694F-D9A9-435C-8BF9-62A66BB6F1AD}" name="Nº Parcela" dataDxfId="45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44" headerRowBorderDxfId="43" tableBorderDxfId="42" totalsRowBorderDxfId="41">
  <autoFilter ref="K34:M41" xr:uid="{1B8643D4-6AC3-4029-882A-C62E9D7CB225}"/>
  <tableColumns count="3">
    <tableColumn id="1" xr3:uid="{020197BA-2A99-4121-9009-08C7A97AAB2F}" name="OS" dataDxfId="40"/>
    <tableColumn id="2" xr3:uid="{49A38415-1806-416E-A85E-CB9375CEB636}" name="Parcelas" dataDxfId="39"/>
    <tableColumn id="3" xr3:uid="{C6C0E4B4-CF56-4449-80ED-8D397C1D20D4}" name="Valor Total" dataDxfId="38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37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36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8" t="s">
        <v>0</v>
      </c>
      <c r="B2" s="69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31191.99</v>
      </c>
      <c r="P3" t="s">
        <v>130</v>
      </c>
    </row>
    <row r="4" spans="1:16" ht="15" x14ac:dyDescent="0.25">
      <c r="A4" s="22" t="s">
        <v>2</v>
      </c>
      <c r="B4" s="23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21755.99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774</v>
      </c>
      <c r="P5" t="s">
        <v>132</v>
      </c>
    </row>
    <row r="6" spans="1:16" ht="15.75" x14ac:dyDescent="0.25">
      <c r="A6" s="27" t="s">
        <v>4</v>
      </c>
      <c r="B6" s="28">
        <f>SUM(B4:B5)</f>
        <v>22529.99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3" t="s">
        <v>5</v>
      </c>
      <c r="B8" s="103"/>
      <c r="P8" t="s">
        <v>135</v>
      </c>
    </row>
    <row r="9" spans="1:16" ht="15" x14ac:dyDescent="0.25">
      <c r="A9" s="29" t="s">
        <v>6</v>
      </c>
      <c r="B9" s="23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4192</v>
      </c>
      <c r="P9" t="s">
        <v>136</v>
      </c>
    </row>
    <row r="10" spans="1:16" ht="15" x14ac:dyDescent="0.25">
      <c r="A10" s="29" t="s">
        <v>7</v>
      </c>
      <c r="B10" s="23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6751</v>
      </c>
      <c r="P10" t="s">
        <v>137</v>
      </c>
    </row>
    <row r="11" spans="1:16" ht="15" x14ac:dyDescent="0.25">
      <c r="A11" s="29" t="s">
        <v>8</v>
      </c>
      <c r="B11" s="23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11177</v>
      </c>
      <c r="P11" t="s">
        <v>138</v>
      </c>
    </row>
    <row r="12" spans="1:16" ht="15" x14ac:dyDescent="0.25">
      <c r="A12" s="29" t="s">
        <v>9</v>
      </c>
      <c r="B12" s="23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5171.7599999999993</v>
      </c>
      <c r="P13" t="s">
        <v>140</v>
      </c>
    </row>
    <row r="14" spans="1:16" ht="15.75" x14ac:dyDescent="0.25">
      <c r="A14" s="27" t="s">
        <v>11</v>
      </c>
      <c r="B14" s="70">
        <f>SUM(B9:B13)</f>
        <v>27291.759999999998</v>
      </c>
    </row>
    <row r="15" spans="1:16" ht="15" x14ac:dyDescent="0.25">
      <c r="A15" s="2"/>
      <c r="B15" s="2"/>
    </row>
    <row r="16" spans="1:16" ht="15" x14ac:dyDescent="0.2">
      <c r="A16" s="103" t="s">
        <v>12</v>
      </c>
      <c r="B16" s="103"/>
    </row>
    <row r="17" spans="1:2" ht="15" x14ac:dyDescent="0.25">
      <c r="A17" s="29">
        <f>COUNT(#REF!)</f>
        <v>0</v>
      </c>
      <c r="B17" s="23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4592.8</v>
      </c>
    </row>
    <row r="18" spans="1:2" ht="15.75" x14ac:dyDescent="0.25">
      <c r="A18" s="27" t="s">
        <v>11</v>
      </c>
      <c r="B18" s="70">
        <f>SUM(B17:B17)</f>
        <v>4592.8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50"/>
  <sheetViews>
    <sheetView showGridLines="0" zoomScale="80" zoomScaleNormal="8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v>45566</v>
      </c>
    </row>
    <row r="2" spans="2:18" ht="18.75" x14ac:dyDescent="0.2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SUM(I6:I50)</f>
        <v>1996</v>
      </c>
      <c r="D6" s="2"/>
      <c r="E6" s="90">
        <v>4512</v>
      </c>
      <c r="F6" s="24" t="s">
        <v>142</v>
      </c>
      <c r="G6" s="25" t="s">
        <v>6</v>
      </c>
      <c r="H6" s="8">
        <v>850</v>
      </c>
      <c r="I6" s="8">
        <v>200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4513</v>
      </c>
      <c r="F7" s="24" t="s">
        <v>143</v>
      </c>
      <c r="G7" s="25" t="s">
        <v>8</v>
      </c>
      <c r="H7" s="8">
        <v>400</v>
      </c>
      <c r="I7" s="8">
        <v>400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1996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(SUMIF($G$2:$G$40,B11,$I$2:$I$40))+(SUMIF($G$44:$G$50,B11,$H$44:$H$50))</f>
        <v>563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>(SUMIF($G$2:$G$40,B12,$I$2:$I$40))+(SUMIF($G$44:$G$50,B12,$H$44:$H$50))</f>
        <v>0</v>
      </c>
      <c r="D12" s="2"/>
      <c r="E12" s="90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>(SUMIF($G$2:$G$40,B13,$I$2:$I$40))+(SUMIF($G$44:$G$50,B13,$H$44:$H$50))</f>
        <v>773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>(SUMIF($G$2:$G$40,B14,$I$2:$I$40))+(SUMIF($G$44:$G$50,B14,$H$44:$H$50))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>(SUMIF($G$2:$G$40,B15,$I$2:$I$40))+(SUMIF($G$44:$G$50,B15,$H$44:$H$50))</f>
        <v>874.28</v>
      </c>
      <c r="D15" s="2"/>
      <c r="E15" s="90"/>
      <c r="F15" s="24"/>
      <c r="G15" s="25"/>
      <c r="H15" s="8"/>
      <c r="I15" s="8"/>
      <c r="J15" s="2"/>
      <c r="K15" s="98">
        <v>4452</v>
      </c>
      <c r="L15" s="9" t="s">
        <v>133</v>
      </c>
      <c r="M15" s="16" t="s">
        <v>148</v>
      </c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2210.2799999999997</v>
      </c>
      <c r="D16" s="2"/>
      <c r="E16" s="90"/>
      <c r="F16" s="24"/>
      <c r="G16" s="25"/>
      <c r="H16" s="8"/>
      <c r="I16" s="8"/>
      <c r="J16" s="2"/>
      <c r="K16" s="98">
        <v>4453</v>
      </c>
      <c r="L16" s="9" t="s">
        <v>133</v>
      </c>
      <c r="M16" s="16" t="s">
        <v>148</v>
      </c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4449</v>
      </c>
      <c r="L17" s="9" t="s">
        <v>133</v>
      </c>
      <c r="M17" s="16" t="s">
        <v>148</v>
      </c>
      <c r="R17" s="1">
        <f>IF(vend1[[#This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>
        <v>4450</v>
      </c>
      <c r="L18" s="9" t="s">
        <v>133</v>
      </c>
      <c r="M18" s="16" t="s">
        <v>149</v>
      </c>
      <c r="R18" s="1">
        <f>IF(vend1[[#This Row],[Nº Venda]]&gt;1,1,0)</f>
        <v>0</v>
      </c>
    </row>
    <row r="19" spans="2:18" ht="15.75" x14ac:dyDescent="0.25">
      <c r="B19" s="29">
        <f>COUNT(entr_carn1[OS])</f>
        <v>1</v>
      </c>
      <c r="C19" s="30">
        <f>SUM(entr_carn1[Valor Total])</f>
        <v>292</v>
      </c>
      <c r="D19" s="2"/>
      <c r="E19" s="90"/>
      <c r="F19" s="24"/>
      <c r="G19" s="25"/>
      <c r="H19" s="8"/>
      <c r="I19" s="8"/>
      <c r="J19" s="2"/>
      <c r="K19" s="98">
        <v>4472</v>
      </c>
      <c r="L19" s="9" t="s">
        <v>133</v>
      </c>
      <c r="M19" s="16" t="s">
        <v>148</v>
      </c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292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1250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4452</v>
      </c>
      <c r="F26" s="24" t="s">
        <v>144</v>
      </c>
      <c r="G26" s="25" t="s">
        <v>8</v>
      </c>
      <c r="H26" s="8"/>
      <c r="I26" s="8">
        <v>186.5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4453</v>
      </c>
      <c r="F27" s="24" t="s">
        <v>144</v>
      </c>
      <c r="G27" s="25" t="s">
        <v>8</v>
      </c>
      <c r="H27" s="8"/>
      <c r="I27" s="8">
        <v>186.5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>
        <v>4449</v>
      </c>
      <c r="F28" s="24" t="s">
        <v>145</v>
      </c>
      <c r="G28" s="25" t="s">
        <v>6</v>
      </c>
      <c r="H28" s="8"/>
      <c r="I28" s="8">
        <v>250</v>
      </c>
      <c r="J28" s="2"/>
      <c r="K28" s="98"/>
      <c r="L28" s="9"/>
      <c r="M28" s="16"/>
    </row>
    <row r="29" spans="2:18" ht="15.75" x14ac:dyDescent="0.25">
      <c r="B29" s="2"/>
      <c r="C29" s="2"/>
      <c r="D29" s="2"/>
      <c r="E29" s="90">
        <v>4449</v>
      </c>
      <c r="F29" s="24" t="s">
        <v>145</v>
      </c>
      <c r="G29" s="25" t="s">
        <v>10</v>
      </c>
      <c r="H29" s="8"/>
      <c r="I29" s="8">
        <v>160</v>
      </c>
      <c r="J29" s="2"/>
      <c r="K29" s="98"/>
      <c r="L29" s="9"/>
      <c r="M29" s="16"/>
    </row>
    <row r="30" spans="2:18" ht="15.75" x14ac:dyDescent="0.25">
      <c r="B30" s="2"/>
      <c r="C30" s="2"/>
      <c r="D30" s="2"/>
      <c r="E30" s="90">
        <v>4449</v>
      </c>
      <c r="F30" s="38" t="s">
        <v>145</v>
      </c>
      <c r="G30" s="25" t="s">
        <v>10</v>
      </c>
      <c r="H30" s="8"/>
      <c r="I30" s="8">
        <v>85</v>
      </c>
      <c r="J30" s="2"/>
      <c r="K30" s="98"/>
      <c r="L30" s="9"/>
      <c r="M30" s="16"/>
    </row>
    <row r="31" spans="2:18" ht="15.75" x14ac:dyDescent="0.25">
      <c r="B31" s="2"/>
      <c r="C31" s="2"/>
      <c r="D31" s="2"/>
      <c r="E31" s="92">
        <v>4450</v>
      </c>
      <c r="F31" s="35" t="s">
        <v>145</v>
      </c>
      <c r="G31" s="36" t="s">
        <v>10</v>
      </c>
      <c r="H31" s="17"/>
      <c r="I31" s="17">
        <v>15</v>
      </c>
      <c r="J31" s="2"/>
      <c r="K31" s="98"/>
      <c r="L31" s="9"/>
      <c r="M31" s="16"/>
    </row>
    <row r="32" spans="2:18" ht="15.75" x14ac:dyDescent="0.25">
      <c r="B32" s="2"/>
      <c r="C32" s="2"/>
      <c r="E32" s="97">
        <v>4450</v>
      </c>
      <c r="F32" s="100" t="s">
        <v>145</v>
      </c>
      <c r="G32" s="36" t="s">
        <v>6</v>
      </c>
      <c r="H32" s="17"/>
      <c r="I32" s="17">
        <v>113</v>
      </c>
    </row>
    <row r="33" spans="2:18" ht="15.75" x14ac:dyDescent="0.25">
      <c r="B33" s="2"/>
      <c r="C33" s="2"/>
      <c r="E33" s="93">
        <v>4391</v>
      </c>
      <c r="F33" s="38" t="s">
        <v>150</v>
      </c>
      <c r="G33" s="25" t="s">
        <v>10</v>
      </c>
      <c r="H33" s="8"/>
      <c r="I33" s="8">
        <v>200</v>
      </c>
      <c r="K33" s="105" t="s">
        <v>12</v>
      </c>
      <c r="L33" s="106"/>
      <c r="M33" s="107"/>
    </row>
    <row r="34" spans="2:18" ht="15.75" x14ac:dyDescent="0.25">
      <c r="E34" s="93">
        <v>4392</v>
      </c>
      <c r="F34" s="38" t="s">
        <v>150</v>
      </c>
      <c r="G34" s="25" t="s">
        <v>10</v>
      </c>
      <c r="H34" s="8"/>
      <c r="I34" s="8">
        <v>200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3"/>
      <c r="F35" s="38"/>
      <c r="G35" s="25"/>
      <c r="H35" s="8"/>
      <c r="I35" s="8"/>
      <c r="K35" s="98">
        <v>4450</v>
      </c>
      <c r="L35" s="40">
        <v>2</v>
      </c>
      <c r="M35" s="16">
        <v>292</v>
      </c>
    </row>
    <row r="36" spans="2:18" ht="15.75" x14ac:dyDescent="0.25">
      <c r="E36" s="93"/>
      <c r="F36" s="38"/>
      <c r="G36" s="25"/>
      <c r="H36" s="8"/>
      <c r="I36" s="8"/>
      <c r="K36" s="98"/>
      <c r="L36" s="40"/>
      <c r="M36" s="16"/>
    </row>
    <row r="37" spans="2:18" ht="15.75" x14ac:dyDescent="0.25">
      <c r="E37" s="93"/>
      <c r="F37" s="38"/>
      <c r="G37" s="25"/>
      <c r="H37" s="8"/>
      <c r="I37" s="8"/>
      <c r="K37" s="98"/>
      <c r="L37" s="40"/>
      <c r="M37" s="16"/>
    </row>
    <row r="38" spans="2:18" ht="15.75" x14ac:dyDescent="0.25">
      <c r="E38" s="93"/>
      <c r="F38" s="38"/>
      <c r="G38" s="25"/>
      <c r="H38" s="8"/>
      <c r="I38" s="8"/>
      <c r="K38" s="98"/>
      <c r="L38" s="40"/>
      <c r="M38" s="16"/>
    </row>
    <row r="39" spans="2:18" ht="15.75" x14ac:dyDescent="0.25">
      <c r="E39" s="90"/>
      <c r="F39" s="24"/>
      <c r="G39" s="25"/>
      <c r="H39" s="8"/>
      <c r="I39" s="8"/>
      <c r="K39" s="98"/>
      <c r="L39" s="40"/>
      <c r="M39" s="16"/>
    </row>
    <row r="40" spans="2:18" ht="15.75" x14ac:dyDescent="0.25">
      <c r="E40" s="97"/>
      <c r="F40" s="100"/>
      <c r="G40" s="36"/>
      <c r="H40" s="17"/>
      <c r="I40" s="17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7"/>
      <c r="F41" s="100"/>
      <c r="G41" s="36"/>
      <c r="H41" s="17"/>
      <c r="I41" s="17"/>
      <c r="K41" s="98"/>
      <c r="L41" s="40"/>
      <c r="M41" s="39"/>
    </row>
    <row r="42" spans="2:18" ht="15" x14ac:dyDescent="0.25">
      <c r="E42" s="104" t="s">
        <v>28</v>
      </c>
      <c r="F42" s="104"/>
      <c r="G42" s="104"/>
      <c r="H42" s="104"/>
      <c r="I42" s="104"/>
    </row>
    <row r="43" spans="2:18" ht="15" x14ac:dyDescent="0.25">
      <c r="E43" s="10" t="s">
        <v>23</v>
      </c>
      <c r="F43" s="10" t="s">
        <v>15</v>
      </c>
      <c r="G43" s="11" t="s">
        <v>16</v>
      </c>
      <c r="H43" s="12" t="s">
        <v>29</v>
      </c>
      <c r="I43" s="13" t="s">
        <v>30</v>
      </c>
    </row>
    <row r="44" spans="2:18" ht="15.75" x14ac:dyDescent="0.25">
      <c r="E44" s="90">
        <v>4169</v>
      </c>
      <c r="F44" s="24" t="s">
        <v>146</v>
      </c>
      <c r="G44" s="25" t="s">
        <v>10</v>
      </c>
      <c r="H44" s="8">
        <v>150</v>
      </c>
      <c r="I44" s="8" t="s">
        <v>79</v>
      </c>
    </row>
    <row r="45" spans="2:18" ht="15.75" x14ac:dyDescent="0.25">
      <c r="E45" s="90">
        <v>4385</v>
      </c>
      <c r="F45" s="24" t="s">
        <v>147</v>
      </c>
      <c r="G45" s="25" t="s">
        <v>10</v>
      </c>
      <c r="H45" s="8">
        <v>64.28</v>
      </c>
      <c r="I45" s="8" t="s">
        <v>55</v>
      </c>
    </row>
    <row r="46" spans="2:18" ht="15.75" x14ac:dyDescent="0.25">
      <c r="E46" s="90"/>
      <c r="F46" s="24"/>
      <c r="G46" s="25"/>
      <c r="H46" s="8"/>
      <c r="I46" s="8"/>
    </row>
    <row r="47" spans="2:18" ht="15.75" x14ac:dyDescent="0.25">
      <c r="E47" s="90"/>
      <c r="F47" s="24"/>
      <c r="G47" s="25"/>
      <c r="H47" s="8"/>
      <c r="I47" s="8"/>
    </row>
    <row r="48" spans="2:18" ht="15.75" x14ac:dyDescent="0.25">
      <c r="E48" s="90"/>
      <c r="F48" s="38"/>
      <c r="G48" s="25"/>
      <c r="H48" s="8"/>
      <c r="I48" s="8"/>
    </row>
    <row r="49" spans="5:9" ht="15.75" x14ac:dyDescent="0.25">
      <c r="E49" s="92"/>
      <c r="F49" s="35"/>
      <c r="G49" s="36"/>
      <c r="H49" s="17"/>
      <c r="I49" s="8"/>
    </row>
    <row r="50" spans="5:9" ht="15.75" x14ac:dyDescent="0.25">
      <c r="E50" s="93"/>
      <c r="F50" s="38"/>
      <c r="G50" s="25"/>
      <c r="H50" s="8"/>
      <c r="I50" s="8"/>
    </row>
  </sheetData>
  <mergeCells count="9">
    <mergeCell ref="E24:I24"/>
    <mergeCell ref="E42:I42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I44:I50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G44:G50 G26:G41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K15:K31 K35:K41 E44:E50 E26:E41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20" zoomScale="80" zoomScaleNormal="80" workbookViewId="0">
      <selection activeCell="F39" sqref="F3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'01'!B1+1</f>
        <v>45567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2628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210</v>
      </c>
      <c r="D6" s="2"/>
      <c r="E6" s="90">
        <v>4514</v>
      </c>
      <c r="F6" s="24" t="s">
        <v>152</v>
      </c>
      <c r="G6" s="43" t="s">
        <v>7</v>
      </c>
      <c r="H6" s="8">
        <v>999</v>
      </c>
      <c r="I6" s="8">
        <v>100</v>
      </c>
      <c r="J6" s="2"/>
      <c r="K6" s="24"/>
      <c r="L6" s="9"/>
      <c r="M6" s="16"/>
      <c r="R6" s="1">
        <f>IF(vend2[[#This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4515</v>
      </c>
      <c r="F7" s="24" t="s">
        <v>153</v>
      </c>
      <c r="G7" s="43" t="s">
        <v>6</v>
      </c>
      <c r="H7" s="8">
        <v>630</v>
      </c>
      <c r="I7" s="8">
        <v>100</v>
      </c>
      <c r="J7" s="2"/>
      <c r="K7" s="24"/>
      <c r="L7" s="9"/>
      <c r="M7" s="16"/>
      <c r="R7" s="1">
        <f>IF(vend2[[#This Row],[Nº Venda]]&gt;1,1,0)</f>
        <v>1</v>
      </c>
    </row>
    <row r="8" spans="2:18" ht="15.75" x14ac:dyDescent="0.25">
      <c r="B8" s="27" t="s">
        <v>21</v>
      </c>
      <c r="C8" s="28">
        <f>SUM(C6:C7)</f>
        <v>210</v>
      </c>
      <c r="D8" s="2"/>
      <c r="E8" s="90">
        <v>4516</v>
      </c>
      <c r="F8" s="24" t="s">
        <v>154</v>
      </c>
      <c r="G8" s="25" t="s">
        <v>7</v>
      </c>
      <c r="H8" s="8">
        <v>999</v>
      </c>
      <c r="I8" s="8">
        <v>10</v>
      </c>
      <c r="J8" s="2"/>
      <c r="K8" s="24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322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110</v>
      </c>
      <c r="D12" s="2"/>
      <c r="E12" s="90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55"/>
      <c r="G13" s="82"/>
      <c r="H13" s="66"/>
      <c r="I13" s="66"/>
      <c r="J13" s="2"/>
      <c r="K13" s="105" t="s">
        <v>22</v>
      </c>
      <c r="L13" s="106"/>
      <c r="M13" s="107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55"/>
      <c r="G14" s="82"/>
      <c r="H14" s="66"/>
      <c r="I14" s="66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197.5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629.5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2628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90">
        <v>4181</v>
      </c>
      <c r="F35" s="24" t="s">
        <v>151</v>
      </c>
      <c r="G35" s="25" t="s">
        <v>6</v>
      </c>
      <c r="H35" s="8">
        <v>111</v>
      </c>
      <c r="I35" s="8" t="s">
        <v>48</v>
      </c>
      <c r="K35" s="98"/>
      <c r="L35" s="40"/>
      <c r="M35" s="16"/>
    </row>
    <row r="36" spans="2:21" ht="15.75" x14ac:dyDescent="0.25">
      <c r="E36" s="90">
        <v>4182</v>
      </c>
      <c r="F36" s="24" t="s">
        <v>151</v>
      </c>
      <c r="G36" s="25" t="s">
        <v>6</v>
      </c>
      <c r="H36" s="8">
        <v>111</v>
      </c>
      <c r="I36" s="8" t="s">
        <v>48</v>
      </c>
      <c r="K36" s="98"/>
      <c r="L36" s="40"/>
      <c r="M36" s="16"/>
    </row>
    <row r="37" spans="2:21" ht="15.75" x14ac:dyDescent="0.25">
      <c r="E37" s="90">
        <v>4443</v>
      </c>
      <c r="F37" s="24" t="s">
        <v>155</v>
      </c>
      <c r="G37" s="25" t="s">
        <v>10</v>
      </c>
      <c r="H37" s="8">
        <v>100</v>
      </c>
      <c r="I37" s="8" t="s">
        <v>67</v>
      </c>
      <c r="K37" s="98"/>
      <c r="L37" s="40"/>
      <c r="M37" s="16"/>
    </row>
    <row r="38" spans="2:21" ht="15.75" x14ac:dyDescent="0.25">
      <c r="E38" s="90">
        <v>4394</v>
      </c>
      <c r="F38" s="24" t="s">
        <v>155</v>
      </c>
      <c r="G38" s="25" t="s">
        <v>10</v>
      </c>
      <c r="H38" s="8">
        <v>97.5</v>
      </c>
      <c r="I38" s="8" t="s">
        <v>76</v>
      </c>
      <c r="K38" s="98"/>
      <c r="L38" s="40"/>
      <c r="M38" s="16"/>
    </row>
    <row r="39" spans="2:21" ht="15.75" x14ac:dyDescent="0.25">
      <c r="E39" s="90"/>
      <c r="F39" s="38"/>
      <c r="G39" s="25"/>
      <c r="H39" s="8"/>
      <c r="I39" s="8"/>
      <c r="K39" s="98"/>
      <c r="L39" s="40"/>
      <c r="M39" s="16"/>
    </row>
    <row r="40" spans="2:21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3</v>
      </c>
    </row>
    <row r="41" spans="2:21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K15:K31 E26:E31 E35:E41 K35:K41 E6:E22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80" zoomScaleNormal="80" workbookViewId="0">
      <selection activeCell="I7" sqref="I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'02'!B1+1</f>
        <v>45568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899</v>
      </c>
      <c r="D6" s="2"/>
      <c r="E6" s="90">
        <v>4517</v>
      </c>
      <c r="F6" s="24" t="s">
        <v>168</v>
      </c>
      <c r="G6" s="43" t="s">
        <v>40</v>
      </c>
      <c r="H6" s="8"/>
      <c r="I6" s="8"/>
      <c r="J6" s="2"/>
      <c r="K6" s="24"/>
      <c r="L6" s="9"/>
      <c r="M6" s="16"/>
      <c r="R6" s="1">
        <f>IF(vend3[[#This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4518</v>
      </c>
      <c r="F7" s="24" t="s">
        <v>169</v>
      </c>
      <c r="G7" s="25" t="s">
        <v>8</v>
      </c>
      <c r="H7" s="8">
        <v>1200</v>
      </c>
      <c r="I7" s="8">
        <v>50</v>
      </c>
      <c r="J7" s="2"/>
      <c r="K7" s="24"/>
      <c r="L7" s="9"/>
      <c r="M7" s="16"/>
      <c r="R7" s="1">
        <f>IF(vend3[[#This Row],[Nº Venda]]&gt;1,1,0)</f>
        <v>1</v>
      </c>
    </row>
    <row r="8" spans="2:18" ht="15.75" x14ac:dyDescent="0.25">
      <c r="B8" s="27" t="s">
        <v>21</v>
      </c>
      <c r="C8" s="28">
        <f>SUM(C6:C7)</f>
        <v>899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899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132</v>
      </c>
      <c r="D15" s="2"/>
      <c r="E15" s="90"/>
      <c r="F15" s="24"/>
      <c r="G15" s="25"/>
      <c r="H15" s="8"/>
      <c r="I15" s="8"/>
      <c r="J15" s="2"/>
      <c r="K15" s="98">
        <v>4496</v>
      </c>
      <c r="L15" s="9" t="s">
        <v>133</v>
      </c>
      <c r="M15" s="16" t="s">
        <v>149</v>
      </c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1031</v>
      </c>
      <c r="D16" s="2"/>
      <c r="E16" s="90"/>
      <c r="F16" s="24"/>
      <c r="G16" s="25"/>
      <c r="H16" s="8"/>
      <c r="I16" s="8"/>
      <c r="J16" s="2"/>
      <c r="K16" s="98">
        <v>4497</v>
      </c>
      <c r="L16" s="9" t="s">
        <v>137</v>
      </c>
      <c r="M16" s="16" t="s">
        <v>148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IF(vend3[[#This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1</v>
      </c>
      <c r="C19" s="30">
        <f>SUM(entr_carn3[Valor Total])</f>
        <v>125.8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125.8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1200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4497</v>
      </c>
      <c r="F26" s="24" t="s">
        <v>156</v>
      </c>
      <c r="G26" s="43" t="s">
        <v>8</v>
      </c>
      <c r="H26" s="8"/>
      <c r="I26" s="8">
        <v>849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4005</v>
      </c>
      <c r="F35" s="24" t="s">
        <v>157</v>
      </c>
      <c r="G35" s="25" t="s">
        <v>10</v>
      </c>
      <c r="H35" s="8">
        <v>132</v>
      </c>
      <c r="I35" s="8" t="s">
        <v>39</v>
      </c>
      <c r="K35" s="98">
        <v>4496</v>
      </c>
      <c r="L35" s="40">
        <v>5</v>
      </c>
      <c r="M35" s="16">
        <v>125.8</v>
      </c>
    </row>
    <row r="36" spans="2:18" ht="15.75" x14ac:dyDescent="0.25">
      <c r="E36" s="90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'03'!B1+1</f>
        <v>45569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2696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260</v>
      </c>
      <c r="D6" s="2"/>
      <c r="E6" s="90">
        <v>4519</v>
      </c>
      <c r="F6" s="24" t="s">
        <v>161</v>
      </c>
      <c r="G6" s="43" t="s">
        <v>7</v>
      </c>
      <c r="H6" s="8">
        <v>1246</v>
      </c>
      <c r="I6" s="8">
        <v>50</v>
      </c>
      <c r="J6" s="2"/>
      <c r="K6" s="24"/>
      <c r="L6" s="9"/>
      <c r="M6" s="16"/>
      <c r="R6" s="1">
        <f>IF(vend4[[#This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4520</v>
      </c>
      <c r="F7" s="24" t="s">
        <v>162</v>
      </c>
      <c r="G7" s="43" t="s">
        <v>7</v>
      </c>
      <c r="H7" s="8">
        <v>1390</v>
      </c>
      <c r="I7" s="8">
        <v>50</v>
      </c>
      <c r="J7" s="2"/>
      <c r="K7" s="24"/>
      <c r="L7" s="9"/>
      <c r="M7" s="16"/>
      <c r="R7" s="1">
        <f>IF(vend4[[#This Row],[Nº Venda]]&gt;1,1,0)</f>
        <v>1</v>
      </c>
    </row>
    <row r="8" spans="2:18" ht="15.75" x14ac:dyDescent="0.25">
      <c r="B8" s="27" t="s">
        <v>21</v>
      </c>
      <c r="C8" s="28">
        <f>SUM(C6:C7)</f>
        <v>260</v>
      </c>
      <c r="D8" s="2"/>
      <c r="E8" s="90">
        <v>4521</v>
      </c>
      <c r="F8" s="24" t="s">
        <v>163</v>
      </c>
      <c r="G8" s="43" t="s">
        <v>7</v>
      </c>
      <c r="H8" s="8">
        <v>60</v>
      </c>
      <c r="I8" s="8">
        <v>60</v>
      </c>
      <c r="J8" s="2"/>
      <c r="K8" s="24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90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260</v>
      </c>
      <c r="D12" s="2"/>
      <c r="E12" s="90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465</v>
      </c>
      <c r="D15" s="2"/>
      <c r="E15" s="90"/>
      <c r="F15" s="24"/>
      <c r="G15" s="25"/>
      <c r="H15" s="8"/>
      <c r="I15" s="8"/>
      <c r="J15" s="2"/>
      <c r="K15" s="98">
        <v>4502</v>
      </c>
      <c r="L15" s="9" t="s">
        <v>133</v>
      </c>
      <c r="M15" s="53" t="s">
        <v>149</v>
      </c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725</v>
      </c>
      <c r="D16" s="2"/>
      <c r="E16" s="90"/>
      <c r="F16" s="24"/>
      <c r="G16" s="25"/>
      <c r="H16" s="8"/>
      <c r="I16" s="8"/>
      <c r="J16" s="2"/>
      <c r="K16" s="98">
        <v>4478</v>
      </c>
      <c r="L16" s="9" t="s">
        <v>133</v>
      </c>
      <c r="M16" s="53" t="s">
        <v>148</v>
      </c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53"/>
      <c r="R17" s="1">
        <f>IF(vend4[[#This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1</v>
      </c>
      <c r="C19" s="30">
        <f>SUM(entr_carn4[Valor Total])</f>
        <v>90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90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2696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4502</v>
      </c>
      <c r="F26" s="24" t="s">
        <v>158</v>
      </c>
      <c r="G26" s="43" t="s">
        <v>7</v>
      </c>
      <c r="H26" s="8"/>
      <c r="I26" s="8">
        <v>100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4355</v>
      </c>
      <c r="F35" s="24" t="s">
        <v>159</v>
      </c>
      <c r="G35" s="25" t="s">
        <v>10</v>
      </c>
      <c r="H35" s="8">
        <v>157</v>
      </c>
      <c r="I35" s="8" t="s">
        <v>77</v>
      </c>
      <c r="K35" s="98">
        <v>4502</v>
      </c>
      <c r="L35" s="40">
        <v>5</v>
      </c>
      <c r="M35" s="16">
        <v>90</v>
      </c>
    </row>
    <row r="36" spans="2:18" ht="15.75" x14ac:dyDescent="0.25">
      <c r="E36" s="90">
        <v>4294</v>
      </c>
      <c r="F36" s="24" t="s">
        <v>160</v>
      </c>
      <c r="G36" s="25" t="s">
        <v>10</v>
      </c>
      <c r="H36" s="8">
        <v>158</v>
      </c>
      <c r="I36" s="8" t="s">
        <v>47</v>
      </c>
      <c r="K36" s="98"/>
      <c r="L36" s="40"/>
      <c r="M36" s="16"/>
    </row>
    <row r="37" spans="2:18" ht="15.75" x14ac:dyDescent="0.25">
      <c r="E37" s="90">
        <v>4357</v>
      </c>
      <c r="F37" s="24" t="s">
        <v>173</v>
      </c>
      <c r="G37" s="25" t="s">
        <v>10</v>
      </c>
      <c r="H37" s="8">
        <v>150</v>
      </c>
      <c r="I37" s="8" t="s">
        <v>39</v>
      </c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9" zoomScale="80" zoomScaleNormal="80" workbookViewId="0">
      <selection activeCell="M20" sqref="M20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'04'!B1+1</f>
        <v>45570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150</v>
      </c>
      <c r="D6" s="2"/>
      <c r="E6" s="90">
        <v>4522</v>
      </c>
      <c r="F6" s="24" t="s">
        <v>164</v>
      </c>
      <c r="G6" s="43" t="s">
        <v>40</v>
      </c>
      <c r="H6" s="8">
        <v>0</v>
      </c>
      <c r="I6" s="8">
        <v>0</v>
      </c>
      <c r="J6" s="2"/>
      <c r="K6" s="24"/>
      <c r="L6" s="9"/>
      <c r="M6" s="16"/>
      <c r="R6" s="1">
        <f>IF(vend5[[#This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150</v>
      </c>
      <c r="D8" s="2"/>
      <c r="E8" s="90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43"/>
      <c r="H11" s="8"/>
      <c r="I11" s="8"/>
      <c r="J11" s="2"/>
      <c r="K11" s="26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N14" s="101" t="s">
        <v>165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150</v>
      </c>
      <c r="D15" s="2"/>
      <c r="E15" s="90"/>
      <c r="F15" s="24"/>
      <c r="G15" s="25"/>
      <c r="H15" s="8"/>
      <c r="I15" s="8"/>
      <c r="J15" s="2"/>
      <c r="K15" s="98">
        <v>4489</v>
      </c>
      <c r="L15" s="9" t="s">
        <v>133</v>
      </c>
      <c r="M15" s="58"/>
      <c r="N15" s="16" t="s">
        <v>148</v>
      </c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90"/>
      <c r="F16" s="24"/>
      <c r="G16" s="25"/>
      <c r="H16" s="8"/>
      <c r="I16" s="8"/>
      <c r="J16" s="2"/>
      <c r="K16" s="98">
        <v>4512</v>
      </c>
      <c r="L16" s="9" t="s">
        <v>133</v>
      </c>
      <c r="M16" s="57"/>
      <c r="N16" s="16" t="s">
        <v>149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4480</v>
      </c>
      <c r="L17" s="9" t="s">
        <v>133</v>
      </c>
      <c r="M17" s="16"/>
      <c r="N17" s="1" t="s">
        <v>166</v>
      </c>
      <c r="R17" s="1">
        <f>IF(vend5[[#This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>
        <v>4481</v>
      </c>
      <c r="L18" s="9" t="s">
        <v>133</v>
      </c>
      <c r="M18" s="16"/>
      <c r="N18" s="1" t="s">
        <v>166</v>
      </c>
      <c r="R18" s="1">
        <f>IF(vend5[[#This Row],[Nº Venda]]&gt;1,1,0)</f>
        <v>0</v>
      </c>
    </row>
    <row r="19" spans="2:18" ht="15.75" x14ac:dyDescent="0.25">
      <c r="B19" s="29">
        <f>COUNT(entr_carn5[OS])</f>
        <v>1</v>
      </c>
      <c r="C19" s="30">
        <f>SUM(entr_carn5[Valor Total])</f>
        <v>650</v>
      </c>
      <c r="D19" s="2"/>
      <c r="E19" s="90"/>
      <c r="F19" s="24"/>
      <c r="G19" s="25"/>
      <c r="H19" s="8"/>
      <c r="I19" s="8"/>
      <c r="J19" s="2"/>
      <c r="K19" s="98">
        <v>4473</v>
      </c>
      <c r="L19" s="9" t="s">
        <v>133</v>
      </c>
      <c r="M19" s="16" t="s">
        <v>148</v>
      </c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650</v>
      </c>
      <c r="D20" s="2"/>
      <c r="E20" s="90"/>
      <c r="F20" s="25"/>
      <c r="G20" s="25"/>
      <c r="H20" s="8"/>
      <c r="I20" s="8"/>
      <c r="J20" s="2"/>
      <c r="K20" s="98">
        <v>4454</v>
      </c>
      <c r="L20" s="9" t="s">
        <v>133</v>
      </c>
      <c r="M20" s="16" t="s">
        <v>148</v>
      </c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4518</v>
      </c>
      <c r="F26" s="24" t="s">
        <v>167</v>
      </c>
      <c r="G26" s="43" t="s">
        <v>10</v>
      </c>
      <c r="H26" s="8"/>
      <c r="I26" s="8">
        <v>150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>
        <v>4512</v>
      </c>
      <c r="L35" s="40">
        <v>4</v>
      </c>
      <c r="M35" s="16">
        <v>650</v>
      </c>
    </row>
    <row r="36" spans="2:18" ht="15.75" x14ac:dyDescent="0.25">
      <c r="E36" s="97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79"/>
      <c r="G37" s="80"/>
      <c r="H37" s="81"/>
      <c r="I37" s="81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'05'!B1+1</f>
        <v>45571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52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(SUMIF($G$2:$G$31,B13,$I$2:$I$31))+(SUMIF($G$35:$G$41,B13,$H$35:$H$41))</f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(SUMIF($G$2:$G$31,B15,$I$2:$I$31))+(SUMIF($G$35:$G$41,B15,$H$35:$H$41))</f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5"/>
      <c r="F41" s="38"/>
      <c r="G41" s="25"/>
      <c r="H41" s="8"/>
      <c r="I41" s="8"/>
      <c r="K41" s="98"/>
      <c r="L41" s="40"/>
      <c r="M41" s="39"/>
    </row>
    <row r="42" spans="2:18" x14ac:dyDescent="0.2">
      <c r="F42" s="89"/>
      <c r="G42" s="89"/>
      <c r="H42" s="88"/>
      <c r="I42" s="88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abSelected="1" view="pageBreakPreview" zoomScale="60" zoomScaleNormal="80" workbookViewId="0">
      <selection activeCell="B18" sqref="B18:C18"/>
    </sheetView>
  </sheetViews>
  <sheetFormatPr defaultColWidth="9.140625" defaultRowHeight="12.75" x14ac:dyDescent="0.2"/>
  <cols>
    <col min="1" max="1" width="3.7109375" style="112" customWidth="1"/>
    <col min="2" max="2" width="29.42578125" style="112" bestFit="1" customWidth="1"/>
    <col min="3" max="3" width="14" style="112" customWidth="1"/>
    <col min="4" max="4" width="2.7109375" style="112" customWidth="1"/>
    <col min="5" max="5" width="15.5703125" style="113" customWidth="1"/>
    <col min="6" max="6" width="26.28515625" style="113" customWidth="1"/>
    <col min="7" max="7" width="17.28515625" style="113" customWidth="1"/>
    <col min="8" max="8" width="19.140625" style="114" customWidth="1"/>
    <col min="9" max="9" width="15.5703125" style="114" customWidth="1"/>
    <col min="10" max="10" width="2.7109375" style="112" customWidth="1"/>
    <col min="11" max="11" width="21.7109375" style="115" customWidth="1"/>
    <col min="12" max="12" width="24.28515625" style="115" bestFit="1" customWidth="1"/>
    <col min="13" max="13" width="15.7109375" style="115" customWidth="1"/>
    <col min="14" max="14" width="4.28515625" style="112" customWidth="1"/>
    <col min="15" max="15" width="2.140625" style="112" hidden="1" customWidth="1"/>
    <col min="16" max="16" width="9.140625" style="112" hidden="1" customWidth="1"/>
    <col min="17" max="17" width="11.42578125" style="112" hidden="1" customWidth="1"/>
    <col min="18" max="18" width="2.42578125" style="112" hidden="1" customWidth="1"/>
    <col min="19" max="20" width="0" style="112" hidden="1" customWidth="1"/>
    <col min="21" max="16384" width="9.140625" style="112"/>
  </cols>
  <sheetData>
    <row r="1" spans="2:21" ht="31.5" x14ac:dyDescent="0.5">
      <c r="B1" s="75">
        <f>'06'!B1+1</f>
        <v>45572</v>
      </c>
    </row>
    <row r="2" spans="2:21" ht="18.75" x14ac:dyDescent="0.2">
      <c r="B2" s="116" t="s">
        <v>13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8"/>
    </row>
    <row r="3" spans="2:21" ht="18.75" x14ac:dyDescent="0.2"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</row>
    <row r="4" spans="2:21" ht="15" x14ac:dyDescent="0.25">
      <c r="B4" s="18" t="s">
        <v>0</v>
      </c>
      <c r="C4" s="120">
        <v>0</v>
      </c>
      <c r="D4" s="121"/>
      <c r="E4" s="122" t="s">
        <v>1</v>
      </c>
      <c r="F4" s="122"/>
      <c r="G4" s="122"/>
      <c r="H4" s="122"/>
      <c r="I4" s="122"/>
      <c r="J4" s="2"/>
      <c r="K4" s="123" t="s">
        <v>3</v>
      </c>
      <c r="L4" s="124"/>
      <c r="M4" s="125"/>
      <c r="U4" s="112">
        <v>0</v>
      </c>
    </row>
    <row r="5" spans="2:21" ht="15" x14ac:dyDescent="0.25">
      <c r="B5" s="22" t="s">
        <v>1</v>
      </c>
      <c r="C5" s="23">
        <f>SUMIF(I6:I31,"&gt;0",H6:H31)</f>
        <v>1340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SUM(I6:I41)</f>
        <v>140</v>
      </c>
      <c r="D6" s="2"/>
      <c r="E6" s="90">
        <v>4523</v>
      </c>
      <c r="F6" s="133" t="s">
        <v>170</v>
      </c>
      <c r="G6" s="133" t="s">
        <v>7</v>
      </c>
      <c r="H6" s="134">
        <v>40</v>
      </c>
      <c r="I6" s="134">
        <v>40</v>
      </c>
      <c r="J6" s="2"/>
      <c r="K6" s="24"/>
      <c r="L6" s="9"/>
      <c r="M6" s="16"/>
      <c r="R6" s="112">
        <f>IF(vend7[[#This Row],[Nº Venda]]&gt;1,1,0)</f>
        <v>1</v>
      </c>
    </row>
    <row r="7" spans="2:21" ht="15.75" x14ac:dyDescent="0.25">
      <c r="B7" s="22" t="s">
        <v>3</v>
      </c>
      <c r="C7" s="23">
        <f>SUM(M6:M11)</f>
        <v>0</v>
      </c>
      <c r="D7" s="2"/>
      <c r="E7" s="90">
        <v>4524</v>
      </c>
      <c r="F7" s="126" t="s">
        <v>171</v>
      </c>
      <c r="G7" s="126" t="s">
        <v>6</v>
      </c>
      <c r="H7" s="62">
        <v>700</v>
      </c>
      <c r="I7" s="62">
        <v>50</v>
      </c>
      <c r="J7" s="2"/>
      <c r="K7" s="24"/>
      <c r="L7" s="9"/>
      <c r="M7" s="16"/>
      <c r="R7" s="112">
        <f>IF(vend7[[#This Row],[Nº Venda]]&gt;1,1,0)</f>
        <v>1</v>
      </c>
    </row>
    <row r="8" spans="2:21" ht="15.75" x14ac:dyDescent="0.25">
      <c r="B8" s="127" t="s">
        <v>21</v>
      </c>
      <c r="C8" s="128">
        <f>SUM(C6:C7)</f>
        <v>140</v>
      </c>
      <c r="D8" s="2"/>
      <c r="E8" s="90">
        <v>4525</v>
      </c>
      <c r="F8" s="24" t="s">
        <v>171</v>
      </c>
      <c r="G8" s="25" t="s">
        <v>6</v>
      </c>
      <c r="H8" s="8">
        <v>600</v>
      </c>
      <c r="I8" s="8">
        <v>50</v>
      </c>
      <c r="J8" s="2"/>
      <c r="K8" s="24"/>
      <c r="L8" s="9"/>
      <c r="M8" s="16"/>
      <c r="R8" s="112">
        <f>IF(vend7[[#This Row],[Nº Venda]]&gt;1,1,0)</f>
        <v>1</v>
      </c>
    </row>
    <row r="9" spans="2:21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12">
        <f>IF(vend7[[#This Row],[Nº Venda]]&gt;1,1,0)</f>
        <v>0</v>
      </c>
    </row>
    <row r="10" spans="2:21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12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100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12">
        <f>IF(C16=0,0,1)</f>
        <v>1</v>
      </c>
      <c r="R11" s="112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40</v>
      </c>
      <c r="D12" s="2"/>
      <c r="E12" s="90"/>
      <c r="F12" s="24"/>
      <c r="G12" s="25"/>
      <c r="H12" s="8"/>
      <c r="I12" s="8"/>
      <c r="J12" s="2"/>
      <c r="R12" s="112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23" t="s">
        <v>22</v>
      </c>
      <c r="L13" s="124"/>
      <c r="M13" s="125"/>
      <c r="R13" s="112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12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130</v>
      </c>
      <c r="D15" s="2"/>
      <c r="E15" s="90"/>
      <c r="F15" s="24"/>
      <c r="G15" s="25"/>
      <c r="H15" s="8"/>
      <c r="I15" s="8"/>
      <c r="J15" s="2"/>
      <c r="K15" s="98">
        <v>4367</v>
      </c>
      <c r="L15" s="9" t="s">
        <v>133</v>
      </c>
      <c r="M15" s="45" t="s">
        <v>148</v>
      </c>
      <c r="R15" s="112">
        <f>IF(vend7[[#This Row],[Nº Venda]]&gt;1,1,0)</f>
        <v>0</v>
      </c>
    </row>
    <row r="16" spans="2:21" ht="15.75" x14ac:dyDescent="0.25">
      <c r="B16" s="127" t="s">
        <v>11</v>
      </c>
      <c r="C16" s="129">
        <f>SUM(C11:C15)</f>
        <v>270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12">
        <f>IF(vend7[[#This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12">
        <f>IF(vend7[[#This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12">
        <f>IF(vend7[[#This Row],[Nº Venda]]&gt;1,1,0)</f>
        <v>0</v>
      </c>
    </row>
    <row r="19" spans="2:18" ht="15.75" x14ac:dyDescent="0.25">
      <c r="B19" s="29">
        <f>COUNT(entr_carn7[OS])</f>
        <v>0</v>
      </c>
      <c r="C19" s="30">
        <f>SUM(entr_carn7[Valor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12">
        <f>IF(vend7[[#This Row],[Nº Venda]]&gt;1,1,0)</f>
        <v>0</v>
      </c>
    </row>
    <row r="20" spans="2:18" ht="15.75" x14ac:dyDescent="0.25">
      <c r="B20" s="127" t="s">
        <v>11</v>
      </c>
      <c r="C20" s="129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12">
        <f>IF(vend7[[#This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127" t="s">
        <v>26</v>
      </c>
      <c r="C22" s="129">
        <f>C5</f>
        <v>1340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130"/>
      <c r="H23" s="131"/>
      <c r="J23" s="2"/>
      <c r="K23" s="98"/>
      <c r="L23" s="9"/>
      <c r="M23" s="16"/>
    </row>
    <row r="24" spans="2:18" ht="15" x14ac:dyDescent="0.25">
      <c r="B24" s="2"/>
      <c r="C24" s="2"/>
      <c r="D24" s="2"/>
      <c r="E24" s="132" t="s">
        <v>27</v>
      </c>
      <c r="F24" s="132"/>
      <c r="G24" s="132"/>
      <c r="H24" s="132"/>
      <c r="I24" s="132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54"/>
      <c r="G26" s="67"/>
      <c r="H26" s="68"/>
      <c r="I26" s="6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130"/>
    </row>
    <row r="33" spans="2:18" ht="15" x14ac:dyDescent="0.25">
      <c r="B33" s="2"/>
      <c r="C33" s="2"/>
      <c r="E33" s="132" t="s">
        <v>28</v>
      </c>
      <c r="F33" s="132"/>
      <c r="G33" s="132"/>
      <c r="H33" s="132"/>
      <c r="I33" s="132"/>
      <c r="K33" s="123" t="s">
        <v>12</v>
      </c>
      <c r="L33" s="124"/>
      <c r="M33" s="12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4363</v>
      </c>
      <c r="F35" s="24" t="s">
        <v>172</v>
      </c>
      <c r="G35" s="25" t="s">
        <v>10</v>
      </c>
      <c r="H35" s="8">
        <v>130</v>
      </c>
      <c r="I35" s="8" t="s">
        <v>47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12" t="s">
        <v>36</v>
      </c>
      <c r="R40" s="112">
        <f>SUM(R6:R21)</f>
        <v>3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9" zoomScale="80" zoomScaleNormal="80" workbookViewId="0">
      <selection activeCell="A11" sqref="A11:XFD11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'07'!B1+1</f>
        <v>45573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260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140</v>
      </c>
      <c r="D6" s="2"/>
      <c r="E6" s="90">
        <v>4526</v>
      </c>
      <c r="F6" s="8" t="s">
        <v>174</v>
      </c>
      <c r="G6" s="8" t="s">
        <v>8</v>
      </c>
      <c r="H6" s="8">
        <v>30</v>
      </c>
      <c r="I6" s="8">
        <v>30</v>
      </c>
      <c r="J6" s="2"/>
      <c r="K6" s="24"/>
      <c r="L6" s="9"/>
      <c r="M6" s="16"/>
      <c r="R6" s="1">
        <f>IF(vend8[[#This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4527</v>
      </c>
      <c r="F7" s="8" t="s">
        <v>176</v>
      </c>
      <c r="G7" s="8" t="s">
        <v>7</v>
      </c>
      <c r="H7" s="8">
        <v>230</v>
      </c>
      <c r="I7" s="8">
        <v>10</v>
      </c>
      <c r="J7" s="2"/>
      <c r="K7" s="24"/>
      <c r="L7" s="9"/>
      <c r="M7" s="16"/>
      <c r="R7" s="1">
        <f>IF(vend8[[#This Row],[Nº Venda]]&gt;1,1,0)</f>
        <v>1</v>
      </c>
    </row>
    <row r="8" spans="2:18" ht="15.75" x14ac:dyDescent="0.25">
      <c r="B8" s="27" t="s">
        <v>21</v>
      </c>
      <c r="C8" s="28">
        <f>SUM(C6:C7)</f>
        <v>140</v>
      </c>
      <c r="D8" s="2"/>
      <c r="E8" s="90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90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(SUMIF($G$2:$G$31,B11,$I$2:$I$31))+(SUMIF($G$35:$G$42,B11,$H$35:$H$42))</f>
        <v>200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(SUMIF($G$2:$G$31,B12,$I$2:$I$31))+(SUMIF($G$35:$G$42,B12,$H$35:$H$42))</f>
        <v>110</v>
      </c>
      <c r="D12" s="2"/>
      <c r="E12" s="90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(SUMIF($G$2:$G$31,B13,$I$2:$I$31))+(SUMIF($G$35:$G$42,B13,$H$35:$H$42))</f>
        <v>370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(SUMIF($G$2:$G$31,B14,$I$2:$I$31))+(SUMIF($G$35:$G$42,B14,$H$35:$H$42))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(SUMIF($G$2:$G$31,B15,$I$2:$I$31))+(SUMIF($G$35:$G$42,B15,$H$35:$H$42))</f>
        <v>462.5</v>
      </c>
      <c r="D15" s="2"/>
      <c r="E15" s="90"/>
      <c r="F15" s="24"/>
      <c r="G15" s="25"/>
      <c r="H15" s="8"/>
      <c r="I15" s="8"/>
      <c r="J15" s="2"/>
      <c r="K15" s="98">
        <v>4527</v>
      </c>
      <c r="L15" s="9" t="s">
        <v>133</v>
      </c>
      <c r="M15" s="16" t="s">
        <v>149</v>
      </c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1142.5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IF(vend8[[#This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1</v>
      </c>
      <c r="C19" s="30">
        <f>SUM(entr_carn8[Valor Total])</f>
        <v>220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220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260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4519</v>
      </c>
      <c r="F26" s="76" t="s">
        <v>233</v>
      </c>
      <c r="G26" s="77" t="s">
        <v>7</v>
      </c>
      <c r="H26" s="78"/>
      <c r="I26" s="78">
        <v>100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43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24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4257</v>
      </c>
      <c r="F35" s="24" t="s">
        <v>174</v>
      </c>
      <c r="G35" s="25" t="s">
        <v>8</v>
      </c>
      <c r="H35" s="8">
        <v>170</v>
      </c>
      <c r="I35" s="8" t="s">
        <v>77</v>
      </c>
      <c r="K35" s="98">
        <v>4527</v>
      </c>
      <c r="L35" s="40">
        <v>2</v>
      </c>
      <c r="M35" s="16">
        <v>220</v>
      </c>
    </row>
    <row r="36" spans="2:18" ht="15.75" x14ac:dyDescent="0.25">
      <c r="E36" s="94">
        <v>4257</v>
      </c>
      <c r="F36" s="24" t="s">
        <v>174</v>
      </c>
      <c r="G36" s="25" t="s">
        <v>8</v>
      </c>
      <c r="H36" s="8">
        <v>170</v>
      </c>
      <c r="I36" s="8" t="s">
        <v>78</v>
      </c>
      <c r="K36" s="98"/>
      <c r="L36" s="40"/>
      <c r="M36" s="16"/>
    </row>
    <row r="37" spans="2:18" ht="15.75" x14ac:dyDescent="0.25">
      <c r="E37" s="90">
        <v>4356</v>
      </c>
      <c r="F37" s="24" t="s">
        <v>175</v>
      </c>
      <c r="G37" s="25" t="s">
        <v>6</v>
      </c>
      <c r="H37" s="8">
        <v>200</v>
      </c>
      <c r="I37" s="8" t="s">
        <v>33</v>
      </c>
      <c r="K37" s="98"/>
      <c r="L37" s="40"/>
      <c r="M37" s="16"/>
    </row>
    <row r="38" spans="2:18" ht="15.75" x14ac:dyDescent="0.25">
      <c r="E38" s="90">
        <v>4255</v>
      </c>
      <c r="F38" s="24" t="s">
        <v>177</v>
      </c>
      <c r="G38" s="25" t="s">
        <v>10</v>
      </c>
      <c r="H38" s="8">
        <v>262.5</v>
      </c>
      <c r="I38" s="8" t="s">
        <v>178</v>
      </c>
      <c r="J38" s="8"/>
      <c r="K38" s="98"/>
      <c r="L38" s="40"/>
      <c r="M38" s="16"/>
    </row>
    <row r="39" spans="2:18" ht="15.75" x14ac:dyDescent="0.25">
      <c r="E39" s="90">
        <v>4256</v>
      </c>
      <c r="F39" s="38" t="s">
        <v>177</v>
      </c>
      <c r="G39" s="25" t="s">
        <v>10</v>
      </c>
      <c r="H39" s="8">
        <v>200</v>
      </c>
      <c r="I39" s="8" t="s">
        <v>179</v>
      </c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5"/>
      <c r="F41" s="38"/>
      <c r="G41" s="25"/>
      <c r="H41" s="8"/>
      <c r="I41" s="8"/>
      <c r="K41" s="98"/>
      <c r="L41" s="40"/>
      <c r="M41" s="39"/>
    </row>
    <row r="42" spans="2:18" ht="15.75" x14ac:dyDescent="0.25">
      <c r="E42" s="34"/>
      <c r="F42" s="71"/>
      <c r="G42" s="72"/>
      <c r="H42" s="73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I40:I42 J38 I35:I37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7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1">
        <f>'08'!B1+1</f>
        <v>45574</v>
      </c>
    </row>
    <row r="2" spans="2:22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22" ht="15" x14ac:dyDescent="0.25">
      <c r="B5" s="22" t="s">
        <v>1</v>
      </c>
      <c r="C5" s="23">
        <f>SUMIF(I6:I31,"&gt;0",H6:H31)</f>
        <v>4105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SUM(I6:I41)</f>
        <v>3008</v>
      </c>
      <c r="D6" s="2"/>
      <c r="E6" s="90">
        <v>4528</v>
      </c>
      <c r="F6" s="24" t="s">
        <v>182</v>
      </c>
      <c r="G6" s="43" t="s">
        <v>10</v>
      </c>
      <c r="H6" s="8">
        <v>400</v>
      </c>
      <c r="I6" s="8">
        <v>50</v>
      </c>
      <c r="J6" s="2"/>
      <c r="K6" s="24"/>
      <c r="L6" s="9"/>
      <c r="M6" s="16"/>
      <c r="R6" s="1">
        <f>IF(vend9[[#This Row],[Nº Venda]]&gt;1,1,0)</f>
        <v>1</v>
      </c>
    </row>
    <row r="7" spans="2:22" ht="15.75" x14ac:dyDescent="0.25">
      <c r="B7" s="22" t="s">
        <v>3</v>
      </c>
      <c r="C7" s="23">
        <f>SUM(M6:M11)</f>
        <v>0</v>
      </c>
      <c r="D7" s="2"/>
      <c r="E7" s="90">
        <v>4529</v>
      </c>
      <c r="F7" s="24" t="s">
        <v>183</v>
      </c>
      <c r="G7" s="43" t="s">
        <v>10</v>
      </c>
      <c r="H7" s="8">
        <v>848</v>
      </c>
      <c r="I7" s="8">
        <v>50</v>
      </c>
      <c r="J7" s="2"/>
      <c r="K7" s="24"/>
      <c r="L7" s="9"/>
      <c r="M7" s="16"/>
      <c r="R7" s="1">
        <f>IF(vend9[[#This Row],[Nº Venda]]&gt;1,1,0)</f>
        <v>1</v>
      </c>
    </row>
    <row r="8" spans="2:22" ht="15.75" x14ac:dyDescent="0.25">
      <c r="B8" s="27" t="s">
        <v>21</v>
      </c>
      <c r="C8" s="28">
        <f>SUM(C6:C7)</f>
        <v>3008</v>
      </c>
      <c r="D8" s="2"/>
      <c r="E8" s="90">
        <v>4530</v>
      </c>
      <c r="F8" s="24" t="s">
        <v>184</v>
      </c>
      <c r="G8" s="25" t="s">
        <v>7</v>
      </c>
      <c r="H8" s="8">
        <v>499</v>
      </c>
      <c r="I8" s="8">
        <v>60</v>
      </c>
      <c r="J8" s="2"/>
      <c r="K8" s="24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90">
        <v>4531</v>
      </c>
      <c r="F9" s="24" t="s">
        <v>185</v>
      </c>
      <c r="G9" s="25" t="s">
        <v>8</v>
      </c>
      <c r="H9" s="8">
        <v>990</v>
      </c>
      <c r="I9" s="8">
        <v>990</v>
      </c>
      <c r="J9" s="2"/>
      <c r="K9" s="24"/>
      <c r="L9" s="9"/>
      <c r="M9" s="16"/>
      <c r="R9" s="1">
        <f>IF(vend9[[#This Row],[Nº Venda]]&gt;1,1,0)</f>
        <v>1</v>
      </c>
    </row>
    <row r="10" spans="2:22" ht="15.75" x14ac:dyDescent="0.25">
      <c r="B10" s="103" t="s">
        <v>5</v>
      </c>
      <c r="C10" s="103"/>
      <c r="D10" s="2"/>
      <c r="E10" s="90">
        <v>4532</v>
      </c>
      <c r="F10" s="24" t="s">
        <v>186</v>
      </c>
      <c r="G10" s="25" t="s">
        <v>8</v>
      </c>
      <c r="H10" s="8">
        <v>70</v>
      </c>
      <c r="I10" s="8">
        <v>70</v>
      </c>
      <c r="J10" s="2"/>
      <c r="K10" s="24"/>
      <c r="L10" s="9"/>
      <c r="M10" s="16"/>
      <c r="R10" s="1">
        <f>IF(vend9[[#This Row],[Nº Venda]]&gt;1,1,0)</f>
        <v>1</v>
      </c>
    </row>
    <row r="11" spans="2:22" ht="15.75" x14ac:dyDescent="0.25">
      <c r="B11" s="29" t="s">
        <v>6</v>
      </c>
      <c r="C11" s="30">
        <f>(SUMIF($G$2:$G$31,B11,$I$2:$I$31))+(SUMIF($G$35:$G$41,B11,$H$35:$H$41))</f>
        <v>218</v>
      </c>
      <c r="D11" s="2"/>
      <c r="E11" s="90">
        <v>4533</v>
      </c>
      <c r="F11" s="24" t="s">
        <v>187</v>
      </c>
      <c r="G11" s="25" t="s">
        <v>8</v>
      </c>
      <c r="H11" s="8">
        <v>410</v>
      </c>
      <c r="I11" s="8">
        <v>410</v>
      </c>
      <c r="J11" s="2"/>
      <c r="K11" s="26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60</v>
      </c>
      <c r="D12" s="2"/>
      <c r="E12" s="90">
        <v>4534</v>
      </c>
      <c r="F12" s="24" t="s">
        <v>187</v>
      </c>
      <c r="G12" s="25" t="s">
        <v>8</v>
      </c>
      <c r="H12" s="8">
        <v>410</v>
      </c>
      <c r="I12" s="8">
        <v>410</v>
      </c>
      <c r="J12" s="2"/>
      <c r="R12" s="1">
        <f>IF(vend9[[#This Row],[Nº Venda]]&gt;1,1,0)</f>
        <v>1</v>
      </c>
      <c r="V12" s="1">
        <v>0</v>
      </c>
    </row>
    <row r="13" spans="2:22" ht="15.75" x14ac:dyDescent="0.25">
      <c r="B13" s="29" t="s">
        <v>8</v>
      </c>
      <c r="C13" s="30">
        <f t="shared" si="0"/>
        <v>2748</v>
      </c>
      <c r="D13" s="2"/>
      <c r="E13" s="91">
        <v>4535</v>
      </c>
      <c r="F13" s="24" t="s">
        <v>209</v>
      </c>
      <c r="G13" s="25" t="s">
        <v>6</v>
      </c>
      <c r="H13" s="8">
        <v>100</v>
      </c>
      <c r="I13" s="8">
        <v>100</v>
      </c>
      <c r="J13" s="2"/>
      <c r="K13" s="105" t="s">
        <v>22</v>
      </c>
      <c r="L13" s="106"/>
      <c r="M13" s="107"/>
      <c r="R13" s="1">
        <f>IF(vend9[[#This Row],[Nº Venda]]&gt;1,1,0)</f>
        <v>1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1">
        <v>4536</v>
      </c>
      <c r="F14" s="24" t="s">
        <v>188</v>
      </c>
      <c r="G14" s="25" t="s">
        <v>8</v>
      </c>
      <c r="H14" s="8">
        <v>378</v>
      </c>
      <c r="I14" s="8">
        <v>378</v>
      </c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1</v>
      </c>
    </row>
    <row r="15" spans="2:22" ht="15.75" x14ac:dyDescent="0.25">
      <c r="B15" s="29" t="s">
        <v>10</v>
      </c>
      <c r="C15" s="30">
        <f t="shared" si="0"/>
        <v>100</v>
      </c>
      <c r="D15" s="2"/>
      <c r="E15" s="90"/>
      <c r="F15" s="24"/>
      <c r="G15" s="25"/>
      <c r="H15" s="8"/>
      <c r="I15" s="8"/>
      <c r="J15" s="2"/>
      <c r="K15" s="98">
        <v>4532</v>
      </c>
      <c r="L15" s="9" t="s">
        <v>133</v>
      </c>
      <c r="M15" s="16" t="s">
        <v>148</v>
      </c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3126</v>
      </c>
      <c r="D16" s="2"/>
      <c r="E16" s="90"/>
      <c r="F16" s="24"/>
      <c r="G16" s="25"/>
      <c r="H16" s="8"/>
      <c r="I16" s="8"/>
      <c r="J16" s="2"/>
      <c r="K16" s="98">
        <v>4535</v>
      </c>
      <c r="L16" s="9" t="s">
        <v>133</v>
      </c>
      <c r="M16" s="16" t="s">
        <v>148</v>
      </c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4498</v>
      </c>
      <c r="L17" s="9" t="s">
        <v>133</v>
      </c>
      <c r="M17" s="16" t="s">
        <v>148</v>
      </c>
      <c r="R17" s="1">
        <f>IF(vend9[[#This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4"/>
      <c r="G20" s="25"/>
      <c r="H20" s="8"/>
      <c r="I20" s="8"/>
      <c r="J20" s="2"/>
      <c r="K20" s="98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4105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4498</v>
      </c>
      <c r="F26" s="24" t="s">
        <v>181</v>
      </c>
      <c r="G26" s="43" t="s">
        <v>8</v>
      </c>
      <c r="H26" s="8"/>
      <c r="I26" s="8">
        <v>490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4467</v>
      </c>
      <c r="F35" s="24" t="s">
        <v>180</v>
      </c>
      <c r="G35" s="25" t="s">
        <v>6</v>
      </c>
      <c r="H35" s="8">
        <v>118</v>
      </c>
      <c r="I35" s="8" t="s">
        <v>39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9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'09'!B1+1</f>
        <v>45575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SUM(I6:I42)</f>
        <v>250</v>
      </c>
      <c r="D6" s="2"/>
      <c r="E6" s="90">
        <v>4537</v>
      </c>
      <c r="F6" s="24" t="s">
        <v>190</v>
      </c>
      <c r="G6" s="43" t="s">
        <v>50</v>
      </c>
      <c r="H6" s="8">
        <v>0</v>
      </c>
      <c r="I6" s="8">
        <v>0</v>
      </c>
      <c r="J6" s="2"/>
      <c r="K6" s="24"/>
      <c r="L6" s="9"/>
      <c r="M6" s="16"/>
      <c r="R6" s="1">
        <f>IF(vend10[[#This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250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90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250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110</v>
      </c>
      <c r="D15" s="2"/>
      <c r="E15" s="90"/>
      <c r="F15" s="24"/>
      <c r="G15" s="25"/>
      <c r="H15" s="8"/>
      <c r="I15" s="8"/>
      <c r="J15" s="2"/>
      <c r="K15" s="98">
        <v>4459</v>
      </c>
      <c r="L15" s="9" t="s">
        <v>133</v>
      </c>
      <c r="M15" s="16" t="s">
        <v>148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360</v>
      </c>
      <c r="D16" s="2"/>
      <c r="E16" s="90"/>
      <c r="F16" s="24"/>
      <c r="G16" s="25"/>
      <c r="H16" s="8"/>
      <c r="I16" s="8"/>
      <c r="J16" s="2"/>
      <c r="K16" s="98">
        <v>4504</v>
      </c>
      <c r="L16" s="9" t="s">
        <v>136</v>
      </c>
      <c r="M16" s="57" t="s">
        <v>191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IF(vend10[[#This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4459</v>
      </c>
      <c r="F26" s="24" t="s">
        <v>192</v>
      </c>
      <c r="G26" s="43" t="s">
        <v>8</v>
      </c>
      <c r="H26" s="8"/>
      <c r="I26" s="8">
        <v>250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43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43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5" t="s">
        <v>12</v>
      </c>
      <c r="L33" s="106"/>
      <c r="M33" s="107"/>
    </row>
    <row r="34" spans="2:18" ht="15" x14ac:dyDescent="0.25">
      <c r="E34" s="104" t="s">
        <v>28</v>
      </c>
      <c r="F34" s="104"/>
      <c r="G34" s="104"/>
      <c r="H34" s="104"/>
      <c r="I34" s="104"/>
      <c r="K34" s="14" t="s">
        <v>23</v>
      </c>
      <c r="L34" s="6" t="s">
        <v>31</v>
      </c>
      <c r="M34" s="15" t="s">
        <v>32</v>
      </c>
    </row>
    <row r="35" spans="2:18" ht="15" x14ac:dyDescent="0.25">
      <c r="E35" s="96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8"/>
      <c r="L35" s="40"/>
      <c r="M35" s="16"/>
    </row>
    <row r="36" spans="2:18" ht="15.75" x14ac:dyDescent="0.25">
      <c r="E36" s="90">
        <v>4347</v>
      </c>
      <c r="F36" s="24" t="s">
        <v>189</v>
      </c>
      <c r="G36" s="25" t="s">
        <v>10</v>
      </c>
      <c r="H36" s="8">
        <v>110</v>
      </c>
      <c r="I36" s="8" t="s">
        <v>53</v>
      </c>
      <c r="K36" s="98"/>
      <c r="L36" s="40"/>
      <c r="M36" s="16"/>
    </row>
    <row r="37" spans="2:18" ht="15.75" x14ac:dyDescent="0.25">
      <c r="E37" s="94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24"/>
      <c r="G39" s="25"/>
      <c r="H39" s="8"/>
      <c r="I39" s="8"/>
      <c r="K39" s="98"/>
      <c r="L39" s="40"/>
      <c r="M39" s="16"/>
    </row>
    <row r="40" spans="2:18" ht="15.75" x14ac:dyDescent="0.25">
      <c r="E40" s="90"/>
      <c r="F40" s="38"/>
      <c r="G40" s="25"/>
      <c r="H40" s="8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2"/>
      <c r="F41" s="35"/>
      <c r="G41" s="36"/>
      <c r="H41" s="17"/>
      <c r="I41" s="8"/>
      <c r="K41" s="98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3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'10'!B1+1</f>
        <v>45576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160</v>
      </c>
      <c r="D6" s="2"/>
      <c r="E6" s="90">
        <v>4538</v>
      </c>
      <c r="F6" s="24" t="s">
        <v>195</v>
      </c>
      <c r="G6" s="25" t="s">
        <v>10</v>
      </c>
      <c r="H6" s="8">
        <v>700</v>
      </c>
      <c r="I6" s="8">
        <v>10</v>
      </c>
      <c r="J6" s="2"/>
      <c r="K6" s="24"/>
      <c r="L6" s="9"/>
      <c r="M6" s="16"/>
      <c r="R6" s="1">
        <f>IF(vend11[[#This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160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150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165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210</v>
      </c>
      <c r="D15" s="2"/>
      <c r="E15" s="90"/>
      <c r="F15" s="24"/>
      <c r="G15" s="25"/>
      <c r="H15" s="8"/>
      <c r="I15" s="8"/>
      <c r="J15" s="2"/>
      <c r="K15" s="98">
        <v>4511</v>
      </c>
      <c r="L15" s="9" t="s">
        <v>133</v>
      </c>
      <c r="M15" s="16" t="s">
        <v>148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360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IF(vend11[[#This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0</v>
      </c>
      <c r="C19" s="30">
        <f>SUM(entr_carn11[Valor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700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4511</v>
      </c>
      <c r="F26" s="24" t="s">
        <v>194</v>
      </c>
      <c r="G26" s="43" t="s">
        <v>8</v>
      </c>
      <c r="H26" s="8"/>
      <c r="I26" s="8">
        <v>150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4262</v>
      </c>
      <c r="F35" s="24" t="s">
        <v>193</v>
      </c>
      <c r="G35" s="25" t="s">
        <v>10</v>
      </c>
      <c r="H35" s="8">
        <v>100</v>
      </c>
      <c r="I35" s="8" t="s">
        <v>79</v>
      </c>
      <c r="K35" s="98"/>
      <c r="L35" s="40"/>
      <c r="M35" s="16"/>
    </row>
    <row r="36" spans="2:18" ht="15.75" x14ac:dyDescent="0.25">
      <c r="E36" s="94">
        <v>4468</v>
      </c>
      <c r="F36" s="24" t="s">
        <v>193</v>
      </c>
      <c r="G36" s="25" t="s">
        <v>10</v>
      </c>
      <c r="H36" s="8">
        <v>100</v>
      </c>
      <c r="I36" s="8" t="s">
        <v>71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F14" sqref="F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'11'!B1+1</f>
        <v>45577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1398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1099</v>
      </c>
      <c r="D6" s="2"/>
      <c r="E6" s="90">
        <v>4539</v>
      </c>
      <c r="F6" s="46" t="s">
        <v>196</v>
      </c>
      <c r="G6" s="46" t="s">
        <v>10</v>
      </c>
      <c r="H6" s="47">
        <v>399</v>
      </c>
      <c r="I6" s="47">
        <v>100</v>
      </c>
      <c r="J6" s="2"/>
      <c r="K6" s="24"/>
      <c r="L6" s="9"/>
      <c r="M6" s="16"/>
      <c r="R6" s="1">
        <f>IF(vend12[[#This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4540</v>
      </c>
      <c r="F7" s="48" t="s">
        <v>197</v>
      </c>
      <c r="G7" s="48" t="s">
        <v>7</v>
      </c>
      <c r="H7" s="49">
        <v>999</v>
      </c>
      <c r="I7" s="49">
        <v>500</v>
      </c>
      <c r="J7" s="2"/>
      <c r="K7" s="24"/>
      <c r="L7" s="9"/>
      <c r="M7" s="16"/>
      <c r="R7" s="1">
        <f>IF(vend12[[#This Row],[Nº Venda]]&gt;1,1,0)</f>
        <v>1</v>
      </c>
    </row>
    <row r="8" spans="2:18" ht="15.75" x14ac:dyDescent="0.25">
      <c r="B8" s="27" t="s">
        <v>21</v>
      </c>
      <c r="C8" s="28">
        <f>SUM(C6:C7)</f>
        <v>1099</v>
      </c>
      <c r="D8" s="2"/>
      <c r="E8" s="90">
        <v>4540</v>
      </c>
      <c r="F8" s="48" t="s">
        <v>197</v>
      </c>
      <c r="G8" s="48" t="s">
        <v>8</v>
      </c>
      <c r="H8" s="49"/>
      <c r="I8" s="49">
        <v>499</v>
      </c>
      <c r="J8" s="2"/>
      <c r="K8" s="24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500</v>
      </c>
      <c r="D12" s="2"/>
      <c r="E12" s="90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499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100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1099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IF(vend12[[#This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1398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50"/>
      <c r="G26" s="43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7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'12'!B1+1</f>
        <v>45578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IF(vend13[[#This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7" zoomScale="80" zoomScaleNormal="80" workbookViewId="0">
      <selection activeCell="H17" sqref="H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'13'!B1+1</f>
        <v>45579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659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90</v>
      </c>
      <c r="D6" s="2"/>
      <c r="E6" s="90">
        <v>4541</v>
      </c>
      <c r="F6" s="24" t="s">
        <v>198</v>
      </c>
      <c r="G6" s="43" t="s">
        <v>6</v>
      </c>
      <c r="H6" s="8">
        <v>40</v>
      </c>
      <c r="I6" s="8">
        <v>40</v>
      </c>
      <c r="J6" s="2"/>
      <c r="K6" s="24"/>
      <c r="L6" s="9"/>
      <c r="M6" s="16"/>
      <c r="R6" s="1">
        <f>IF(vend14[[#This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4542</v>
      </c>
      <c r="F7" s="24" t="s">
        <v>199</v>
      </c>
      <c r="G7" s="43" t="s">
        <v>8</v>
      </c>
      <c r="H7" s="8">
        <v>619</v>
      </c>
      <c r="I7" s="8">
        <v>50</v>
      </c>
      <c r="J7" s="2"/>
      <c r="K7" s="24"/>
      <c r="L7" s="9"/>
      <c r="M7" s="16"/>
      <c r="R7" s="1">
        <f>IF(vend14[[#This Row],[Nº Venda]]&gt;1,1,0)</f>
        <v>1</v>
      </c>
    </row>
    <row r="8" spans="2:18" ht="15.75" x14ac:dyDescent="0.25">
      <c r="B8" s="27" t="s">
        <v>21</v>
      </c>
      <c r="C8" s="28">
        <f>SUM(C6:C7)</f>
        <v>90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50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90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IF(vend14[[#This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659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7" zoomScale="80" zoomScaleNormal="80" workbookViewId="0">
      <selection activeCell="G17" sqref="G1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'14'!B1+1</f>
        <v>45580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690</v>
      </c>
      <c r="D6" s="2"/>
      <c r="E6" s="90">
        <v>4543</v>
      </c>
      <c r="F6" s="24" t="s">
        <v>200</v>
      </c>
      <c r="G6" s="43" t="s">
        <v>40</v>
      </c>
      <c r="H6" s="8">
        <v>0</v>
      </c>
      <c r="I6" s="8">
        <v>0</v>
      </c>
      <c r="J6" s="2"/>
      <c r="K6" s="24"/>
      <c r="L6" s="9"/>
      <c r="M6" s="16"/>
      <c r="R6" s="1">
        <f>IF(vend15[[#This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690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690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63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690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IF(vend15[[#This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63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4538</v>
      </c>
      <c r="F26" s="24" t="s">
        <v>195</v>
      </c>
      <c r="G26" s="43" t="s">
        <v>8</v>
      </c>
      <c r="H26" s="8"/>
      <c r="I26" s="8">
        <v>690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2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'15'!B1+1</f>
        <v>45581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4914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1723</v>
      </c>
      <c r="D6" s="2"/>
      <c r="E6" s="90">
        <v>4544</v>
      </c>
      <c r="F6" s="24" t="s">
        <v>201</v>
      </c>
      <c r="G6" s="43" t="s">
        <v>10</v>
      </c>
      <c r="H6" s="8">
        <v>999</v>
      </c>
      <c r="I6" s="8">
        <v>50</v>
      </c>
      <c r="J6" s="2"/>
      <c r="K6" s="24"/>
      <c r="L6" s="9"/>
      <c r="M6" s="16"/>
      <c r="R6" s="1">
        <f>IF(vend16[[#This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4545</v>
      </c>
      <c r="F7" s="24" t="s">
        <v>202</v>
      </c>
      <c r="G7" s="43" t="s">
        <v>10</v>
      </c>
      <c r="H7" s="8">
        <v>400</v>
      </c>
      <c r="I7" s="8">
        <v>100</v>
      </c>
      <c r="J7" s="2"/>
      <c r="K7" s="24"/>
      <c r="L7" s="9"/>
      <c r="M7" s="16"/>
      <c r="R7" s="1">
        <f>IF(vend16[[#This Row],[Nº Venda]]&gt;1,1,0)</f>
        <v>1</v>
      </c>
    </row>
    <row r="8" spans="2:18" ht="15.75" x14ac:dyDescent="0.25">
      <c r="B8" s="27" t="s">
        <v>21</v>
      </c>
      <c r="C8" s="28">
        <f>SUM(C6:C7)</f>
        <v>1723</v>
      </c>
      <c r="D8" s="2"/>
      <c r="E8" s="90">
        <v>4546</v>
      </c>
      <c r="F8" s="24" t="s">
        <v>203</v>
      </c>
      <c r="G8" s="25" t="s">
        <v>8</v>
      </c>
      <c r="H8" s="8">
        <v>530</v>
      </c>
      <c r="I8" s="8">
        <v>530</v>
      </c>
      <c r="J8" s="2"/>
      <c r="K8" s="24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0">
        <v>4547</v>
      </c>
      <c r="F9" s="24" t="s">
        <v>204</v>
      </c>
      <c r="G9" s="25" t="s">
        <v>10</v>
      </c>
      <c r="H9" s="8">
        <v>599</v>
      </c>
      <c r="I9" s="8">
        <v>5</v>
      </c>
      <c r="J9" s="2"/>
      <c r="K9" s="24"/>
      <c r="L9" s="9"/>
      <c r="M9" s="16"/>
      <c r="R9" s="1">
        <f>IF(vend16[[#This Row],[Nº Venda]]&gt;1,1,0)</f>
        <v>1</v>
      </c>
    </row>
    <row r="10" spans="2:18" ht="15.75" x14ac:dyDescent="0.25">
      <c r="B10" s="103" t="s">
        <v>5</v>
      </c>
      <c r="C10" s="103"/>
      <c r="D10" s="2"/>
      <c r="E10" s="90">
        <v>4548</v>
      </c>
      <c r="F10" s="24" t="s">
        <v>205</v>
      </c>
      <c r="G10" s="25" t="s">
        <v>7</v>
      </c>
      <c r="H10" s="8">
        <v>1299</v>
      </c>
      <c r="I10" s="8">
        <v>700</v>
      </c>
      <c r="J10" s="2"/>
      <c r="K10" s="24"/>
      <c r="L10" s="9"/>
      <c r="M10" s="16"/>
      <c r="R10" s="1">
        <f>IF(vend16[[#This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>
        <v>4599</v>
      </c>
      <c r="F11" s="24" t="s">
        <v>205</v>
      </c>
      <c r="G11" s="25" t="s">
        <v>7</v>
      </c>
      <c r="H11" s="8">
        <v>288</v>
      </c>
      <c r="I11" s="8">
        <v>288</v>
      </c>
      <c r="J11" s="2"/>
      <c r="K11" s="26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1171</v>
      </c>
      <c r="D12" s="2"/>
      <c r="E12" s="90">
        <v>4600</v>
      </c>
      <c r="F12" s="24" t="s">
        <v>206</v>
      </c>
      <c r="G12" s="25" t="s">
        <v>7</v>
      </c>
      <c r="H12" s="8">
        <v>799</v>
      </c>
      <c r="I12" s="8">
        <v>50</v>
      </c>
      <c r="J12" s="2"/>
      <c r="R12" s="1">
        <f>IF(vend16[[#This Row],[Nº Venda]]&gt;1,1,0)</f>
        <v>1</v>
      </c>
    </row>
    <row r="13" spans="2:18" ht="15.75" x14ac:dyDescent="0.25">
      <c r="B13" s="29" t="s">
        <v>8</v>
      </c>
      <c r="C13" s="30">
        <f t="shared" si="0"/>
        <v>530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337.5</v>
      </c>
      <c r="D15" s="2"/>
      <c r="E15" s="90"/>
      <c r="F15" s="24"/>
      <c r="G15" s="25"/>
      <c r="H15" s="8"/>
      <c r="I15" s="8"/>
      <c r="J15" s="2"/>
      <c r="K15" s="98">
        <v>4505</v>
      </c>
      <c r="L15" s="9" t="s">
        <v>136</v>
      </c>
      <c r="M15" s="16" t="s">
        <v>148</v>
      </c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2038.5</v>
      </c>
      <c r="D16" s="2"/>
      <c r="E16" s="90"/>
      <c r="F16" s="24"/>
      <c r="G16" s="25"/>
      <c r="H16" s="8"/>
      <c r="I16" s="8"/>
      <c r="J16" s="2"/>
      <c r="K16" s="98">
        <v>4513</v>
      </c>
      <c r="L16" s="9" t="s">
        <v>133</v>
      </c>
      <c r="M16" s="16" t="s">
        <v>148</v>
      </c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63"/>
      <c r="R17" s="1">
        <f>IF(vend16[[#This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4914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43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4284</v>
      </c>
      <c r="F35" s="24" t="s">
        <v>207</v>
      </c>
      <c r="G35" s="25" t="s">
        <v>10</v>
      </c>
      <c r="H35" s="8">
        <v>182.5</v>
      </c>
      <c r="I35" s="8" t="s">
        <v>78</v>
      </c>
      <c r="K35" s="98"/>
      <c r="L35" s="40"/>
      <c r="M35" s="16"/>
    </row>
    <row r="36" spans="2:18" ht="15.75" x14ac:dyDescent="0.25">
      <c r="E36" s="94">
        <v>4166</v>
      </c>
      <c r="F36" s="24" t="s">
        <v>208</v>
      </c>
      <c r="G36" s="25" t="s">
        <v>7</v>
      </c>
      <c r="H36" s="8">
        <v>133</v>
      </c>
      <c r="I36" s="8" t="s">
        <v>81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12" zoomScale="80" zoomScaleNormal="80" workbookViewId="0">
      <selection activeCell="U11" sqref="U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'16'!B1+1</f>
        <v>45582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>
        <v>4601</v>
      </c>
      <c r="F6" s="24" t="s">
        <v>210</v>
      </c>
      <c r="G6" s="25" t="s">
        <v>40</v>
      </c>
      <c r="H6" s="8"/>
      <c r="I6" s="8">
        <v>0</v>
      </c>
      <c r="J6" s="2"/>
      <c r="K6" s="24"/>
      <c r="L6" s="9"/>
      <c r="M6" s="16"/>
      <c r="R6" s="1">
        <f>IF(vend17[[#This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4517</v>
      </c>
      <c r="L15" s="9" t="s">
        <v>133</v>
      </c>
      <c r="M15" s="16" t="s">
        <v>148</v>
      </c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IF(vend17[[#This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1" zoomScale="91" zoomScaleNormal="91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'17'!B1+1</f>
        <v>45583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1200</v>
      </c>
      <c r="D6" s="2"/>
      <c r="E6" s="90">
        <v>4602</v>
      </c>
      <c r="F6" s="55" t="s">
        <v>211</v>
      </c>
      <c r="G6" s="82" t="s">
        <v>8</v>
      </c>
      <c r="H6" s="66">
        <v>699</v>
      </c>
      <c r="I6" s="66">
        <v>200</v>
      </c>
      <c r="J6" s="2"/>
      <c r="K6" s="24"/>
      <c r="L6" s="61"/>
      <c r="M6" s="16"/>
      <c r="R6" s="1">
        <f>IF(vend18[[#This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1200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1000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200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60</v>
      </c>
      <c r="D15" s="2"/>
      <c r="E15" s="90"/>
      <c r="F15" s="24"/>
      <c r="G15" s="25"/>
      <c r="H15" s="8"/>
      <c r="I15" s="8"/>
      <c r="J15" s="2"/>
      <c r="K15" s="98">
        <v>4541</v>
      </c>
      <c r="L15" s="9" t="s">
        <v>133</v>
      </c>
      <c r="M15" s="16" t="s">
        <v>148</v>
      </c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1260</v>
      </c>
      <c r="D16" s="2"/>
      <c r="E16" s="90"/>
      <c r="F16" s="24"/>
      <c r="G16" s="25"/>
      <c r="H16" s="8"/>
      <c r="I16" s="8"/>
      <c r="J16" s="2"/>
      <c r="K16" s="98">
        <v>4499</v>
      </c>
      <c r="L16" s="9" t="s">
        <v>136</v>
      </c>
      <c r="M16" s="16" t="s">
        <v>148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4524</v>
      </c>
      <c r="L17" s="9" t="s">
        <v>137</v>
      </c>
      <c r="M17" s="16" t="s">
        <v>148</v>
      </c>
      <c r="R17" s="1">
        <f>IF(vend18[[#This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699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59"/>
      <c r="F23" s="59"/>
      <c r="G23" s="59"/>
      <c r="H23" s="60"/>
      <c r="I23" s="60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4524</v>
      </c>
      <c r="F26" s="24" t="s">
        <v>212</v>
      </c>
      <c r="G26" s="25" t="s">
        <v>6</v>
      </c>
      <c r="H26" s="8"/>
      <c r="I26" s="8">
        <v>650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4525</v>
      </c>
      <c r="F27" s="24" t="s">
        <v>212</v>
      </c>
      <c r="G27" s="25" t="s">
        <v>6</v>
      </c>
      <c r="H27" s="8"/>
      <c r="I27" s="8">
        <v>350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4262</v>
      </c>
      <c r="F35" s="24" t="s">
        <v>213</v>
      </c>
      <c r="G35" s="25" t="s">
        <v>10</v>
      </c>
      <c r="H35" s="8">
        <v>30</v>
      </c>
      <c r="I35" s="8" t="s">
        <v>71</v>
      </c>
      <c r="K35" s="98"/>
      <c r="L35" s="40"/>
      <c r="M35" s="16"/>
    </row>
    <row r="36" spans="2:18" ht="15.75" x14ac:dyDescent="0.25">
      <c r="E36" s="94">
        <v>4468</v>
      </c>
      <c r="F36" s="24" t="s">
        <v>213</v>
      </c>
      <c r="G36" s="25" t="s">
        <v>10</v>
      </c>
      <c r="H36" s="8">
        <v>30</v>
      </c>
      <c r="I36" s="8" t="s">
        <v>79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9" zoomScale="80" zoomScaleNormal="80" zoomScaleSheetLayoutView="70" workbookViewId="0">
      <selection activeCell="M16" sqref="M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75">
        <f>'18'!B1+1</f>
        <v>45584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2030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3392</v>
      </c>
      <c r="D6" s="2"/>
      <c r="E6" s="90">
        <v>4603</v>
      </c>
      <c r="F6" s="24" t="s">
        <v>215</v>
      </c>
      <c r="G6" s="25" t="s">
        <v>7</v>
      </c>
      <c r="H6" s="8">
        <v>100</v>
      </c>
      <c r="I6" s="8">
        <v>100</v>
      </c>
      <c r="J6" s="2"/>
      <c r="K6" s="24"/>
      <c r="L6" s="9"/>
      <c r="M6" s="16"/>
      <c r="R6" s="1">
        <f>IF(vend19[[#This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4604</v>
      </c>
      <c r="F7" s="24" t="s">
        <v>218</v>
      </c>
      <c r="G7" s="25" t="s">
        <v>10</v>
      </c>
      <c r="H7" s="62">
        <v>140</v>
      </c>
      <c r="I7" s="8">
        <v>30</v>
      </c>
      <c r="J7" s="2"/>
      <c r="K7" s="24"/>
      <c r="L7" s="9"/>
      <c r="M7" s="16"/>
      <c r="R7" s="1">
        <f>IF(vend19[[#This Row],[Nº Venda]]&gt;1,1,0)</f>
        <v>1</v>
      </c>
    </row>
    <row r="8" spans="2:18" ht="15.75" x14ac:dyDescent="0.25">
      <c r="B8" s="27" t="s">
        <v>21</v>
      </c>
      <c r="C8" s="28">
        <f>SUM(C6:C7)</f>
        <v>3392</v>
      </c>
      <c r="D8" s="2"/>
      <c r="E8" s="90">
        <v>4605</v>
      </c>
      <c r="F8" s="24" t="s">
        <v>219</v>
      </c>
      <c r="G8" s="25" t="s">
        <v>8</v>
      </c>
      <c r="H8" s="8">
        <v>895</v>
      </c>
      <c r="I8" s="8">
        <v>645</v>
      </c>
      <c r="J8" s="2"/>
      <c r="K8" s="24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90">
        <v>4606</v>
      </c>
      <c r="F9" s="55" t="s">
        <v>220</v>
      </c>
      <c r="G9" s="82" t="s">
        <v>8</v>
      </c>
      <c r="H9" s="66">
        <v>895</v>
      </c>
      <c r="I9" s="66">
        <v>645</v>
      </c>
      <c r="J9" s="2"/>
      <c r="K9" s="24"/>
      <c r="L9" s="9"/>
      <c r="M9" s="16"/>
      <c r="R9" s="1">
        <f>IF(vend19[[#This Row],[Nº Venda]]&gt;1,1,0)</f>
        <v>1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774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450</v>
      </c>
      <c r="D12" s="2"/>
      <c r="E12" s="90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2488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30</v>
      </c>
      <c r="D15" s="2"/>
      <c r="E15" s="90"/>
      <c r="F15" s="24"/>
      <c r="G15" s="25"/>
      <c r="H15" s="8"/>
      <c r="I15" s="8"/>
      <c r="J15" s="2"/>
      <c r="K15" s="98">
        <v>4522</v>
      </c>
      <c r="L15" s="9" t="s">
        <v>133</v>
      </c>
      <c r="M15" s="16" t="s">
        <v>148</v>
      </c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3742</v>
      </c>
      <c r="D16" s="2"/>
      <c r="E16" s="90"/>
      <c r="F16" s="24"/>
      <c r="G16" s="25"/>
      <c r="H16" s="8"/>
      <c r="I16" s="8"/>
      <c r="J16" s="2"/>
      <c r="K16" s="98">
        <v>4539</v>
      </c>
      <c r="L16" s="9" t="s">
        <v>137</v>
      </c>
      <c r="M16" s="16" t="s">
        <v>148</v>
      </c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IF(vend19[[#This Row],[Nº Venda]]&gt;1,1,0)</f>
        <v>0</v>
      </c>
    </row>
    <row r="18" spans="2:22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22" ht="15.75" x14ac:dyDescent="0.25">
      <c r="B22" s="27" t="s">
        <v>26</v>
      </c>
      <c r="C22" s="31">
        <f>C5</f>
        <v>2030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22" ht="15.75" x14ac:dyDescent="0.25">
      <c r="B26" s="2"/>
      <c r="C26" s="2"/>
      <c r="D26" s="2"/>
      <c r="E26" s="90">
        <v>4514</v>
      </c>
      <c r="F26" s="38" t="s">
        <v>214</v>
      </c>
      <c r="G26" s="25" t="s">
        <v>8</v>
      </c>
      <c r="H26" s="8"/>
      <c r="I26" s="8">
        <v>899</v>
      </c>
      <c r="J26" s="2"/>
      <c r="K26" s="98"/>
      <c r="L26" s="9"/>
      <c r="M26" s="16"/>
    </row>
    <row r="27" spans="2:22" ht="15.75" x14ac:dyDescent="0.25">
      <c r="B27" s="2"/>
      <c r="C27" s="2"/>
      <c r="D27" s="2"/>
      <c r="E27" s="90">
        <v>4547</v>
      </c>
      <c r="F27" s="24" t="s">
        <v>204</v>
      </c>
      <c r="G27" s="25" t="s">
        <v>6</v>
      </c>
      <c r="H27" s="8"/>
      <c r="I27" s="8">
        <v>774</v>
      </c>
      <c r="J27" s="2"/>
      <c r="K27" s="98"/>
      <c r="L27" s="9"/>
      <c r="M27" s="16"/>
    </row>
    <row r="28" spans="2:22" ht="15.75" x14ac:dyDescent="0.25">
      <c r="B28" s="2"/>
      <c r="C28" s="2"/>
      <c r="D28" s="2"/>
      <c r="E28" s="90">
        <v>4539</v>
      </c>
      <c r="F28" s="24" t="s">
        <v>221</v>
      </c>
      <c r="G28" s="25" t="s">
        <v>8</v>
      </c>
      <c r="H28" s="8"/>
      <c r="I28" s="8">
        <v>299</v>
      </c>
      <c r="J28" s="2"/>
      <c r="K28" s="98"/>
      <c r="L28" s="9"/>
      <c r="M28" s="16"/>
    </row>
    <row r="29" spans="2:22" ht="15.75" x14ac:dyDescent="0.25">
      <c r="B29" s="2"/>
      <c r="C29" s="2"/>
      <c r="D29" s="2"/>
      <c r="E29" s="90"/>
      <c r="F29" s="24"/>
      <c r="G29" s="83"/>
      <c r="H29" s="25"/>
      <c r="I29" s="8"/>
      <c r="J29" s="2"/>
      <c r="K29" s="98"/>
      <c r="L29" s="9"/>
      <c r="M29" s="16"/>
    </row>
    <row r="30" spans="2:22" ht="15.75" x14ac:dyDescent="0.25">
      <c r="B30" s="2"/>
      <c r="C30" s="2"/>
      <c r="D30" s="2"/>
      <c r="E30" s="90"/>
      <c r="F30" s="24"/>
      <c r="G30" s="25"/>
      <c r="H30" s="8"/>
      <c r="I30" s="8"/>
      <c r="J30" s="2"/>
      <c r="K30" s="98"/>
      <c r="L30" s="9"/>
      <c r="M30" s="16"/>
    </row>
    <row r="31" spans="2:22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4183</v>
      </c>
      <c r="F35" s="24" t="s">
        <v>216</v>
      </c>
      <c r="G35" s="25" t="s">
        <v>7</v>
      </c>
      <c r="H35" s="8">
        <v>120</v>
      </c>
      <c r="I35" s="8" t="s">
        <v>79</v>
      </c>
      <c r="K35" s="98"/>
      <c r="L35" s="40"/>
      <c r="M35" s="16"/>
    </row>
    <row r="36" spans="2:18" ht="15.75" x14ac:dyDescent="0.25">
      <c r="E36" s="94">
        <v>4183</v>
      </c>
      <c r="F36" s="24" t="s">
        <v>216</v>
      </c>
      <c r="G36" s="25" t="s">
        <v>7</v>
      </c>
      <c r="H36" s="8">
        <v>120</v>
      </c>
      <c r="I36" s="8" t="s">
        <v>48</v>
      </c>
      <c r="K36" s="98"/>
      <c r="L36" s="40"/>
      <c r="M36" s="16"/>
    </row>
    <row r="37" spans="2:18" ht="15.75" x14ac:dyDescent="0.25">
      <c r="E37" s="90">
        <v>4423</v>
      </c>
      <c r="F37" s="24" t="s">
        <v>217</v>
      </c>
      <c r="G37" s="25" t="s">
        <v>7</v>
      </c>
      <c r="H37" s="8">
        <v>110</v>
      </c>
      <c r="I37" s="8" t="s">
        <v>39</v>
      </c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2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65">
        <f>'19'!B1+1</f>
        <v>45585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63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IF(vend20[[#This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63"/>
    </row>
    <row r="36" spans="2:18" ht="15.75" x14ac:dyDescent="0.25">
      <c r="E36" s="94"/>
      <c r="F36" s="24"/>
      <c r="G36" s="25"/>
      <c r="H36" s="8"/>
      <c r="I36" s="8"/>
      <c r="K36" s="98"/>
      <c r="L36" s="64"/>
      <c r="M36" s="63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80" workbookViewId="0">
      <selection activeCell="K9" sqref="K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40.4257812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'20'!B1+1</f>
        <v>45586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1475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2975</v>
      </c>
      <c r="D6" s="2"/>
      <c r="E6" s="90">
        <v>4607</v>
      </c>
      <c r="F6" s="24" t="s">
        <v>225</v>
      </c>
      <c r="G6" s="25" t="s">
        <v>7</v>
      </c>
      <c r="H6" s="8">
        <v>1425</v>
      </c>
      <c r="I6" s="8">
        <v>1425</v>
      </c>
      <c r="J6" s="2"/>
      <c r="K6" s="102" t="s">
        <v>237</v>
      </c>
      <c r="L6" s="9" t="s">
        <v>6</v>
      </c>
      <c r="M6" s="16">
        <v>764</v>
      </c>
      <c r="R6" s="1">
        <f>IF(vend21[[#This Row],[Nº Venda]]&gt;1,1,0)</f>
        <v>1</v>
      </c>
    </row>
    <row r="7" spans="2:18" ht="15.75" x14ac:dyDescent="0.25">
      <c r="B7" s="22" t="s">
        <v>3</v>
      </c>
      <c r="C7" s="23">
        <f>SUM(M6:M11)</f>
        <v>774</v>
      </c>
      <c r="D7" s="2"/>
      <c r="E7" s="90">
        <v>4608</v>
      </c>
      <c r="F7" s="24" t="s">
        <v>226</v>
      </c>
      <c r="G7" s="25" t="s">
        <v>7</v>
      </c>
      <c r="H7" s="8">
        <v>50</v>
      </c>
      <c r="I7" s="8">
        <v>50</v>
      </c>
      <c r="J7" s="2"/>
      <c r="K7" s="102" t="s">
        <v>238</v>
      </c>
      <c r="L7" s="9" t="s">
        <v>6</v>
      </c>
      <c r="M7" s="16">
        <v>10</v>
      </c>
      <c r="R7" s="1">
        <f>IF(vend21[[#This Row],[Nº Venda]]&gt;1,1,0)</f>
        <v>1</v>
      </c>
    </row>
    <row r="8" spans="2:18" ht="15.75" x14ac:dyDescent="0.25">
      <c r="B8" s="27" t="s">
        <v>21</v>
      </c>
      <c r="C8" s="28">
        <f>SUM(C6:C7)</f>
        <v>3749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60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1575</v>
      </c>
      <c r="D12" s="2"/>
      <c r="E12" s="90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1340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0</v>
      </c>
      <c r="D15" s="2"/>
      <c r="E15" s="90"/>
      <c r="F15" s="24"/>
      <c r="G15" s="25"/>
      <c r="H15" s="8"/>
      <c r="I15" s="8"/>
      <c r="J15" s="2"/>
      <c r="K15" s="98">
        <v>4479</v>
      </c>
      <c r="L15" s="9" t="s">
        <v>133</v>
      </c>
      <c r="M15" s="16" t="s">
        <v>148</v>
      </c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2975</v>
      </c>
      <c r="D16" s="2"/>
      <c r="E16" s="90"/>
      <c r="F16" s="24"/>
      <c r="G16" s="25"/>
      <c r="H16" s="8"/>
      <c r="I16" s="8"/>
      <c r="J16" s="2"/>
      <c r="K16" s="98">
        <v>4515</v>
      </c>
      <c r="L16" s="9" t="s">
        <v>133</v>
      </c>
      <c r="M16" s="16" t="s">
        <v>149</v>
      </c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4520</v>
      </c>
      <c r="L17" s="9" t="s">
        <v>133</v>
      </c>
      <c r="M17" s="16" t="s">
        <v>148</v>
      </c>
      <c r="R17" s="1">
        <f>IF(vend21[[#This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>
        <v>4509</v>
      </c>
      <c r="L18" s="9" t="s">
        <v>133</v>
      </c>
      <c r="M18" s="16" t="s">
        <v>148</v>
      </c>
      <c r="R18" s="1">
        <f>IF(vend21[[#This Row],[Nº Venda]]&gt;1,1,0)</f>
        <v>0</v>
      </c>
    </row>
    <row r="19" spans="2:18" ht="15.75" x14ac:dyDescent="0.25">
      <c r="B19" s="29">
        <f>COUNT(entr_carn21[OS])</f>
        <v>2</v>
      </c>
      <c r="C19" s="30">
        <f>SUM(entr_carn21[Valor Total])</f>
        <v>809</v>
      </c>
      <c r="D19" s="2"/>
      <c r="E19" s="90"/>
      <c r="F19" s="24"/>
      <c r="G19" s="25"/>
      <c r="H19" s="8"/>
      <c r="I19" s="8"/>
      <c r="J19" s="2"/>
      <c r="K19" s="98">
        <v>4510</v>
      </c>
      <c r="L19" s="9" t="s">
        <v>133</v>
      </c>
      <c r="M19" s="16" t="s">
        <v>148</v>
      </c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809</v>
      </c>
      <c r="D20" s="2"/>
      <c r="E20" s="90"/>
      <c r="F20" s="25"/>
      <c r="G20" s="25"/>
      <c r="H20" s="8"/>
      <c r="I20" s="8"/>
      <c r="J20" s="2"/>
      <c r="K20" s="98">
        <v>4608</v>
      </c>
      <c r="L20" s="9" t="s">
        <v>133</v>
      </c>
      <c r="M20" s="16" t="s">
        <v>148</v>
      </c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>
        <v>4494</v>
      </c>
      <c r="L21" s="9" t="s">
        <v>133</v>
      </c>
      <c r="M21" s="16" t="s">
        <v>148</v>
      </c>
    </row>
    <row r="22" spans="2:18" ht="15.75" x14ac:dyDescent="0.25">
      <c r="B22" s="27" t="s">
        <v>26</v>
      </c>
      <c r="C22" s="31">
        <f>C5</f>
        <v>1475</v>
      </c>
      <c r="D22" s="2"/>
      <c r="E22" s="90"/>
      <c r="F22" s="24"/>
      <c r="G22" s="25"/>
      <c r="H22" s="8"/>
      <c r="I22" s="8"/>
      <c r="J22" s="2"/>
      <c r="K22" s="98">
        <v>4530</v>
      </c>
      <c r="L22" s="9" t="s">
        <v>136</v>
      </c>
      <c r="M22" s="16" t="s">
        <v>149</v>
      </c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4520</v>
      </c>
      <c r="F26" s="24" t="s">
        <v>222</v>
      </c>
      <c r="G26" s="25" t="s">
        <v>8</v>
      </c>
      <c r="H26" s="8"/>
      <c r="I26" s="8">
        <v>1340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>
        <v>4515</v>
      </c>
      <c r="F27" s="24" t="s">
        <v>223</v>
      </c>
      <c r="G27" s="25" t="s">
        <v>7</v>
      </c>
      <c r="H27" s="8"/>
      <c r="I27" s="8">
        <v>100</v>
      </c>
      <c r="J27" s="2"/>
      <c r="K27" s="98"/>
      <c r="L27" s="9"/>
      <c r="M27" s="16"/>
    </row>
    <row r="28" spans="2:18" ht="15.75" x14ac:dyDescent="0.25">
      <c r="B28" s="2"/>
      <c r="C28" s="2"/>
      <c r="D28" s="2"/>
      <c r="E28" s="90">
        <v>4530</v>
      </c>
      <c r="F28" s="24" t="s">
        <v>224</v>
      </c>
      <c r="G28" s="25" t="s">
        <v>6</v>
      </c>
      <c r="H28" s="8"/>
      <c r="I28" s="8">
        <v>60</v>
      </c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>
        <v>4515</v>
      </c>
      <c r="L35" s="40">
        <v>5</v>
      </c>
      <c r="M35" s="16">
        <v>430</v>
      </c>
    </row>
    <row r="36" spans="2:18" ht="15.75" x14ac:dyDescent="0.25">
      <c r="E36" s="94"/>
      <c r="F36" s="24"/>
      <c r="G36" s="25"/>
      <c r="H36" s="8"/>
      <c r="I36" s="8"/>
      <c r="K36" s="98">
        <v>4530</v>
      </c>
      <c r="L36" s="40">
        <v>8</v>
      </c>
      <c r="M36" s="16">
        <v>379</v>
      </c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2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7:L41 L35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4" zoomScale="80" zoomScaleNormal="80" workbookViewId="0">
      <selection activeCell="E35" sqref="E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'21'!B1+1</f>
        <v>45587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20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200</v>
      </c>
      <c r="D12" s="2"/>
      <c r="E12" s="90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438</v>
      </c>
      <c r="D15" s="2"/>
      <c r="E15" s="90"/>
      <c r="F15" s="24"/>
      <c r="G15" s="25"/>
      <c r="H15" s="8"/>
      <c r="I15" s="8"/>
      <c r="J15" s="2"/>
      <c r="K15" s="98">
        <v>4430</v>
      </c>
      <c r="L15" s="9" t="s">
        <v>133</v>
      </c>
      <c r="M15" s="16" t="s">
        <v>148</v>
      </c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638</v>
      </c>
      <c r="D16" s="2"/>
      <c r="E16" s="90"/>
      <c r="F16" s="24"/>
      <c r="G16" s="25"/>
      <c r="H16" s="8"/>
      <c r="I16" s="8"/>
      <c r="J16" s="2"/>
      <c r="K16" s="98">
        <v>4526</v>
      </c>
      <c r="L16" s="9" t="s">
        <v>137</v>
      </c>
      <c r="M16" s="16" t="s">
        <v>148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4500</v>
      </c>
      <c r="L17" s="9" t="s">
        <v>136</v>
      </c>
      <c r="M17" s="16" t="s">
        <v>148</v>
      </c>
      <c r="R17" s="1">
        <f>IF(vend22[[#This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4545</v>
      </c>
      <c r="F26" s="24" t="s">
        <v>228</v>
      </c>
      <c r="G26" s="25" t="s">
        <v>10</v>
      </c>
      <c r="H26" s="8"/>
      <c r="I26" s="8">
        <v>20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4545</v>
      </c>
      <c r="F35" s="24" t="s">
        <v>227</v>
      </c>
      <c r="G35" s="25" t="s">
        <v>10</v>
      </c>
      <c r="H35" s="8">
        <v>120</v>
      </c>
      <c r="I35" s="8" t="s">
        <v>52</v>
      </c>
      <c r="K35" s="98"/>
      <c r="L35" s="40"/>
      <c r="M35" s="16"/>
    </row>
    <row r="36" spans="2:18" ht="15.75" x14ac:dyDescent="0.25">
      <c r="E36" s="94">
        <v>4447</v>
      </c>
      <c r="F36" s="24" t="s">
        <v>229</v>
      </c>
      <c r="G36" s="25" t="s">
        <v>10</v>
      </c>
      <c r="H36" s="8">
        <v>138</v>
      </c>
      <c r="I36" s="8" t="s">
        <v>42</v>
      </c>
      <c r="K36" s="98"/>
      <c r="L36" s="40"/>
      <c r="M36" s="16"/>
    </row>
    <row r="37" spans="2:18" ht="15.75" x14ac:dyDescent="0.25">
      <c r="E37" s="90">
        <v>4252</v>
      </c>
      <c r="F37" s="24" t="s">
        <v>230</v>
      </c>
      <c r="G37" s="25" t="s">
        <v>10</v>
      </c>
      <c r="H37" s="8">
        <v>160</v>
      </c>
      <c r="I37" s="8" t="s">
        <v>79</v>
      </c>
      <c r="K37" s="98"/>
      <c r="L37" s="40"/>
      <c r="M37" s="16"/>
    </row>
    <row r="38" spans="2:18" ht="15.75" x14ac:dyDescent="0.25">
      <c r="E38" s="90">
        <v>4196</v>
      </c>
      <c r="F38" s="24" t="s">
        <v>231</v>
      </c>
      <c r="G38" s="25" t="s">
        <v>7</v>
      </c>
      <c r="H38" s="8">
        <v>200</v>
      </c>
      <c r="I38" s="8" t="s">
        <v>59</v>
      </c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F10" sqref="F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'22'!B1+1</f>
        <v>45588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1797.99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808.99</v>
      </c>
      <c r="D6" s="2"/>
      <c r="E6" s="90">
        <v>4609</v>
      </c>
      <c r="F6" s="24" t="s">
        <v>232</v>
      </c>
      <c r="G6" s="25" t="s">
        <v>7</v>
      </c>
      <c r="H6" s="8">
        <v>299</v>
      </c>
      <c r="I6" s="8">
        <v>299</v>
      </c>
      <c r="J6" s="2"/>
      <c r="K6" s="24"/>
      <c r="L6" s="9"/>
      <c r="M6" s="16"/>
      <c r="R6" s="1">
        <f>IF(vend23[[#This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4610</v>
      </c>
      <c r="F7" s="24" t="s">
        <v>234</v>
      </c>
      <c r="G7" s="25" t="s">
        <v>7</v>
      </c>
      <c r="H7" s="8">
        <v>399</v>
      </c>
      <c r="I7" s="8">
        <v>40</v>
      </c>
      <c r="J7" s="2"/>
      <c r="K7" s="24"/>
      <c r="L7" s="9"/>
      <c r="M7" s="16"/>
      <c r="R7" s="1">
        <f>IF(vend23[[#This Row],[Nº Venda]]&gt;1,1,0)</f>
        <v>1</v>
      </c>
    </row>
    <row r="8" spans="2:18" ht="15.75" x14ac:dyDescent="0.25">
      <c r="B8" s="27" t="s">
        <v>21</v>
      </c>
      <c r="C8" s="28">
        <f>SUM(C6:C7)</f>
        <v>808.99</v>
      </c>
      <c r="D8" s="2"/>
      <c r="E8" s="90">
        <v>4611</v>
      </c>
      <c r="F8" s="24" t="s">
        <v>235</v>
      </c>
      <c r="G8" s="25" t="s">
        <v>10</v>
      </c>
      <c r="H8" s="8">
        <v>399.99</v>
      </c>
      <c r="I8" s="8">
        <v>399.99</v>
      </c>
      <c r="J8" s="2"/>
      <c r="K8" s="24"/>
      <c r="L8" s="9"/>
      <c r="M8" s="1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90">
        <v>4612</v>
      </c>
      <c r="F9" s="24" t="s">
        <v>236</v>
      </c>
      <c r="G9" s="25" t="s">
        <v>10</v>
      </c>
      <c r="H9" s="8">
        <v>700</v>
      </c>
      <c r="I9" s="8">
        <v>70</v>
      </c>
      <c r="J9" s="2"/>
      <c r="K9" s="24"/>
      <c r="L9" s="9"/>
      <c r="M9" s="16"/>
      <c r="R9" s="1">
        <f>IF(vend23[[#This Row],[Nº Venda]]&gt;1,1,0)</f>
        <v>1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4">
        <f>(SUMIF($G$2:$G$31,B11,$I$2:$I$31))+(SUMIF($G$35:$G$44,B11,$H$35:$H$44))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4">
        <f>(SUMIF($G$2:$G$31,B12,$I$2:$I$31))+(SUMIF($G$35:$G$44,B12,$H$35:$H$44))</f>
        <v>339</v>
      </c>
      <c r="D12" s="2"/>
      <c r="E12" s="90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4">
        <f>(SUMIF($G$2:$G$31,B13,$I$2:$I$31))+(SUMIF($G$35:$G$44,B13,$H$35:$H$44))</f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.75" x14ac:dyDescent="0.25">
      <c r="B14" s="29" t="s">
        <v>9</v>
      </c>
      <c r="C14" s="74">
        <f>(SUMIF($G$2:$G$31,B14,$I$2:$I$31))+(SUMIF($G$35:$G$44,B14,$H$35:$H$44))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4">
        <f>(SUMIF($G$2:$G$31,B15,$I$2:$I$31))+(SUMIF($G$35:$G$44,B15,$H$35:$H$44))</f>
        <v>469.99</v>
      </c>
      <c r="D15" s="2"/>
      <c r="E15" s="90"/>
      <c r="F15" s="24"/>
      <c r="G15" s="25"/>
      <c r="H15" s="8"/>
      <c r="I15" s="8"/>
      <c r="J15" s="2"/>
      <c r="K15" s="98">
        <v>4519</v>
      </c>
      <c r="L15" s="9" t="s">
        <v>133</v>
      </c>
      <c r="M15" s="16" t="s">
        <v>149</v>
      </c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808.99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IF(vend23[[#This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1</v>
      </c>
      <c r="C19" s="30">
        <f>SUM(entr_carn23[Valor Total])</f>
        <v>1096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1096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1797.99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>
        <v>4519</v>
      </c>
      <c r="L35" s="40">
        <v>8</v>
      </c>
      <c r="M35" s="16">
        <v>1096</v>
      </c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5"/>
      <c r="F41" s="38"/>
      <c r="G41" s="25"/>
      <c r="H41" s="8"/>
      <c r="I41" s="8"/>
      <c r="K41" s="98"/>
      <c r="L41" s="40"/>
      <c r="M41" s="39"/>
    </row>
    <row r="42" spans="2:18" ht="15.75" x14ac:dyDescent="0.25">
      <c r="E42" s="86"/>
      <c r="F42" s="71"/>
      <c r="G42" s="72"/>
      <c r="H42" s="73"/>
      <c r="I42" s="17"/>
    </row>
    <row r="43" spans="2:18" ht="15.75" x14ac:dyDescent="0.25">
      <c r="E43" s="86"/>
      <c r="F43" s="84"/>
      <c r="G43" s="83"/>
      <c r="H43" s="85"/>
      <c r="I43" s="8"/>
    </row>
    <row r="44" spans="2:18" ht="15.75" x14ac:dyDescent="0.25">
      <c r="E44" s="87"/>
      <c r="F44" s="71"/>
      <c r="G44" s="72"/>
      <c r="H44" s="73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G35:G44 G26:G31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E35:E41 K35:K41 K15:K31 E26:E31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8" zoomScale="80" zoomScaleNormal="80" workbookViewId="0">
      <selection activeCell="G16" sqref="G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'23'!B1+1</f>
        <v>45589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>
        <v>4613</v>
      </c>
      <c r="F6" s="24" t="s">
        <v>239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IF(vend24[[#This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>(SUMIF($G$2:$G$31,B13,$I$2:$I$31))+(SUMIF($G$35:$G$41,B13,$H$35:$H$41))</f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150</v>
      </c>
      <c r="D15" s="2"/>
      <c r="E15" s="90"/>
      <c r="F15" s="24"/>
      <c r="G15" s="25"/>
      <c r="H15" s="8"/>
      <c r="I15" s="8"/>
      <c r="J15" s="2"/>
      <c r="K15" s="98">
        <v>4498</v>
      </c>
      <c r="L15" s="9" t="s">
        <v>137</v>
      </c>
      <c r="M15" s="16" t="s">
        <v>148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150</v>
      </c>
      <c r="D16" s="2"/>
      <c r="E16" s="90"/>
      <c r="F16" s="24"/>
      <c r="G16" s="25"/>
      <c r="H16" s="8"/>
      <c r="I16" s="8"/>
      <c r="J16" s="2"/>
      <c r="K16" s="98">
        <v>4501</v>
      </c>
      <c r="L16" s="9" t="s">
        <v>136</v>
      </c>
      <c r="M16" s="16" t="s">
        <v>148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4523</v>
      </c>
      <c r="L17" s="9" t="s">
        <v>137</v>
      </c>
      <c r="M17" s="16" t="s">
        <v>148</v>
      </c>
      <c r="R17" s="1">
        <f>IF(vend24[[#This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>
        <v>4603</v>
      </c>
      <c r="L18" s="9" t="s">
        <v>133</v>
      </c>
      <c r="M18" s="16" t="s">
        <v>148</v>
      </c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4303</v>
      </c>
      <c r="F35" s="24" t="s">
        <v>240</v>
      </c>
      <c r="G35" s="25" t="s">
        <v>10</v>
      </c>
      <c r="H35" s="8">
        <v>150</v>
      </c>
      <c r="I35" s="8" t="s">
        <v>79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3" zoomScale="80" zoomScaleNormal="80" workbookViewId="0">
      <selection activeCell="F36" sqref="F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'24'!B1+1</f>
        <v>45590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1630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335</v>
      </c>
      <c r="D6" s="2"/>
      <c r="E6" s="90">
        <v>4614</v>
      </c>
      <c r="F6" s="24" t="s">
        <v>158</v>
      </c>
      <c r="G6" s="25" t="s">
        <v>40</v>
      </c>
      <c r="H6" s="8">
        <v>0</v>
      </c>
      <c r="I6" s="8">
        <v>0</v>
      </c>
      <c r="J6" s="2"/>
      <c r="K6" s="24"/>
      <c r="L6" s="9"/>
      <c r="M6" s="16"/>
      <c r="R6" s="1">
        <f>IF(vend25[[#This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4615</v>
      </c>
      <c r="F7" s="24" t="s">
        <v>243</v>
      </c>
      <c r="G7" s="25" t="s">
        <v>6</v>
      </c>
      <c r="H7" s="8">
        <v>100</v>
      </c>
      <c r="I7" s="8">
        <v>100</v>
      </c>
      <c r="J7" s="2"/>
      <c r="K7" s="24"/>
      <c r="L7" s="9"/>
      <c r="M7" s="16"/>
      <c r="R7" s="1">
        <f>IF(vend25[[#This Row],[Nº Venda]]&gt;1,1,0)</f>
        <v>1</v>
      </c>
    </row>
    <row r="8" spans="2:18" ht="15.75" x14ac:dyDescent="0.25">
      <c r="B8" s="27" t="s">
        <v>21</v>
      </c>
      <c r="C8" s="28">
        <f>SUM(C6:C7)</f>
        <v>335</v>
      </c>
      <c r="D8" s="2"/>
      <c r="E8" s="90">
        <v>4615</v>
      </c>
      <c r="F8" s="24" t="s">
        <v>243</v>
      </c>
      <c r="G8" s="25" t="s">
        <v>8</v>
      </c>
      <c r="H8" s="8">
        <v>90</v>
      </c>
      <c r="I8" s="8">
        <v>90</v>
      </c>
      <c r="J8" s="2"/>
      <c r="K8" s="24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90">
        <v>4615</v>
      </c>
      <c r="F9" s="24" t="s">
        <v>243</v>
      </c>
      <c r="G9" s="25" t="s">
        <v>7</v>
      </c>
      <c r="H9" s="8">
        <v>40</v>
      </c>
      <c r="I9" s="8">
        <v>40</v>
      </c>
      <c r="J9" s="2"/>
      <c r="K9" s="24"/>
      <c r="L9" s="9"/>
      <c r="M9" s="16"/>
      <c r="R9" s="1">
        <f>IF(vend25[[#This Row],[Nº Venda]]&gt;1,1,0)</f>
        <v>1</v>
      </c>
    </row>
    <row r="10" spans="2:18" ht="15.75" x14ac:dyDescent="0.25">
      <c r="B10" s="103" t="s">
        <v>5</v>
      </c>
      <c r="C10" s="103"/>
      <c r="D10" s="2"/>
      <c r="E10" s="90">
        <v>4616</v>
      </c>
      <c r="F10" s="24" t="s">
        <v>245</v>
      </c>
      <c r="G10" s="25" t="s">
        <v>6</v>
      </c>
      <c r="H10" s="8">
        <v>800</v>
      </c>
      <c r="I10" s="8">
        <v>5</v>
      </c>
      <c r="J10" s="2"/>
      <c r="K10" s="24"/>
      <c r="L10" s="9"/>
      <c r="M10" s="16"/>
      <c r="R10" s="1">
        <f>IF(vend25[[#This Row],[Nº Venda]]&gt;1,1,0)</f>
        <v>1</v>
      </c>
    </row>
    <row r="11" spans="2:18" ht="15.75" x14ac:dyDescent="0.25">
      <c r="B11" s="29" t="s">
        <v>6</v>
      </c>
      <c r="C11" s="30">
        <f>(SUMIF($G$2:$G$31,B11,$I$2:$I$31))+(SUMIF($G$35:$G$41,B11,$H$35:$H$41))</f>
        <v>105</v>
      </c>
      <c r="D11" s="2"/>
      <c r="E11" s="90">
        <v>4617</v>
      </c>
      <c r="F11" s="24" t="s">
        <v>244</v>
      </c>
      <c r="G11" s="25" t="s">
        <v>8</v>
      </c>
      <c r="H11" s="8">
        <v>300</v>
      </c>
      <c r="I11" s="8">
        <v>50</v>
      </c>
      <c r="J11" s="2"/>
      <c r="K11" s="26"/>
      <c r="L11" s="9"/>
      <c r="M11" s="16"/>
      <c r="O11" s="1">
        <f>IF(C16=0,0,1)</f>
        <v>1</v>
      </c>
      <c r="R11" s="1">
        <f>IF(vend25[[#This Row],[Nº Venda]]&gt;1,1,0)</f>
        <v>1</v>
      </c>
    </row>
    <row r="12" spans="2:18" ht="15.75" x14ac:dyDescent="0.25">
      <c r="B12" s="29" t="s">
        <v>7</v>
      </c>
      <c r="C12" s="30">
        <f>(SUMIF($G$2:$G$31,B12,$I$2:$I$31))+(SUMIF($G$35:$G$41,B12,$H$35:$H$41))</f>
        <v>40</v>
      </c>
      <c r="D12" s="2"/>
      <c r="E12" s="90">
        <v>4618</v>
      </c>
      <c r="F12" s="24" t="s">
        <v>244</v>
      </c>
      <c r="G12" s="25" t="s">
        <v>8</v>
      </c>
      <c r="H12" s="8">
        <v>300</v>
      </c>
      <c r="I12" s="8">
        <v>50</v>
      </c>
      <c r="J12" s="2"/>
      <c r="R12" s="1">
        <f>IF(vend25[[#This Row],[Nº Venda]]&gt;1,1,0)</f>
        <v>1</v>
      </c>
    </row>
    <row r="13" spans="2:18" ht="15.75" x14ac:dyDescent="0.25">
      <c r="B13" s="29" t="s">
        <v>8</v>
      </c>
      <c r="C13" s="30">
        <f>(SUMIF($G$2:$G$31,B13,$I$2:$I$31))+(SUMIF($G$35:$G$41,B13,$H$35:$H$41))</f>
        <v>190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>(SUMIF($G$2:$G$31,B14,$I$2:$I$31))+(SUMIF($G$35:$G$41,B14,$H$35:$H$41))</f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>(SUMIF($G$2:$G$31,B15,$I$2:$I$31))+(SUMIF($G$35:$G$41,B15,$H$35:$H$41))</f>
        <v>202</v>
      </c>
      <c r="D15" s="2"/>
      <c r="E15" s="90"/>
      <c r="F15" s="24"/>
      <c r="G15" s="25"/>
      <c r="H15" s="8"/>
      <c r="I15" s="8"/>
      <c r="J15" s="2"/>
      <c r="K15" s="98">
        <v>4615</v>
      </c>
      <c r="L15" s="9" t="s">
        <v>133</v>
      </c>
      <c r="M15" s="16" t="s">
        <v>148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>SUM(C11:C15)</f>
        <v>537</v>
      </c>
      <c r="D16" s="2"/>
      <c r="E16" s="90"/>
      <c r="F16" s="24"/>
      <c r="G16" s="25"/>
      <c r="H16" s="8"/>
      <c r="I16" s="8"/>
      <c r="J16" s="2"/>
      <c r="K16" s="98">
        <v>4546</v>
      </c>
      <c r="L16" s="9" t="s">
        <v>137</v>
      </c>
      <c r="M16" s="16" t="s">
        <v>148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IF(vend25[[#This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1630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4231</v>
      </c>
      <c r="F35" s="24" t="s">
        <v>241</v>
      </c>
      <c r="G35" s="25" t="s">
        <v>10</v>
      </c>
      <c r="H35" s="68">
        <v>126</v>
      </c>
      <c r="I35" s="8" t="s">
        <v>78</v>
      </c>
      <c r="K35" s="98"/>
      <c r="L35" s="40"/>
      <c r="M35" s="16"/>
    </row>
    <row r="36" spans="2:18" ht="15.75" x14ac:dyDescent="0.25">
      <c r="E36" s="94">
        <v>3835</v>
      </c>
      <c r="F36" s="24" t="s">
        <v>242</v>
      </c>
      <c r="G36" s="25" t="s">
        <v>10</v>
      </c>
      <c r="H36" s="8">
        <v>76</v>
      </c>
      <c r="I36" s="8" t="s">
        <v>48</v>
      </c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7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D1" zoomScale="80" zoomScaleNormal="80" workbookViewId="0">
      <selection activeCell="F20" sqref="F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'25'!B1+1</f>
        <v>45591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560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200</v>
      </c>
      <c r="D6" s="2"/>
      <c r="E6" s="90">
        <v>4619</v>
      </c>
      <c r="F6" s="24" t="s">
        <v>246</v>
      </c>
      <c r="G6" s="25" t="s">
        <v>7</v>
      </c>
      <c r="H6" s="8">
        <v>560</v>
      </c>
      <c r="I6" s="8">
        <v>200</v>
      </c>
      <c r="J6" s="2"/>
      <c r="K6" s="24"/>
      <c r="L6" s="9"/>
      <c r="M6" s="16"/>
      <c r="R6" s="1">
        <f>IF(vend26[[#This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200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200</v>
      </c>
      <c r="D12" s="2"/>
      <c r="E12" s="90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4521</v>
      </c>
      <c r="L15" s="9" t="s">
        <v>133</v>
      </c>
      <c r="M15" s="16" t="s">
        <v>148</v>
      </c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200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IF(vend26[[#This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560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1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B40" sqref="B4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'26'!B1+1</f>
        <v>45592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IF(vend27[[#This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'27'!B1+1</f>
        <v>45593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99.99</v>
      </c>
      <c r="D15" s="2"/>
      <c r="E15" s="90"/>
      <c r="F15" s="24"/>
      <c r="G15" s="25"/>
      <c r="H15" s="8"/>
      <c r="I15" s="8"/>
      <c r="J15" s="2"/>
      <c r="K15" s="98">
        <v>4609</v>
      </c>
      <c r="L15" s="9" t="s">
        <v>137</v>
      </c>
      <c r="M15" s="16" t="s">
        <v>148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99.99</v>
      </c>
      <c r="D16" s="2"/>
      <c r="E16" s="90"/>
      <c r="F16" s="24"/>
      <c r="G16" s="25"/>
      <c r="H16" s="8"/>
      <c r="I16" s="8"/>
      <c r="J16" s="2"/>
      <c r="K16" s="98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/>
      <c r="L17" s="9"/>
      <c r="M17" s="16"/>
      <c r="R17" s="1">
        <f>IF(vend28[[#This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/>
      <c r="F26" s="24"/>
      <c r="G26" s="25"/>
      <c r="H26" s="8"/>
      <c r="I26" s="8"/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4305</v>
      </c>
      <c r="F35" s="24" t="s">
        <v>247</v>
      </c>
      <c r="G35" s="25" t="s">
        <v>10</v>
      </c>
      <c r="H35" s="8">
        <v>99.99</v>
      </c>
      <c r="I35" s="8" t="s">
        <v>78</v>
      </c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C1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56">
        <f>'28'!B1+1</f>
        <v>45594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1850</v>
      </c>
      <c r="D5" s="2"/>
      <c r="E5" s="10" t="s">
        <v>165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1750</v>
      </c>
      <c r="D6" s="2"/>
      <c r="E6" s="90">
        <v>4620</v>
      </c>
      <c r="F6" s="24" t="s">
        <v>249</v>
      </c>
      <c r="G6" s="25" t="s">
        <v>6</v>
      </c>
      <c r="H6" s="8">
        <v>700</v>
      </c>
      <c r="I6" s="8">
        <v>400</v>
      </c>
      <c r="J6" s="2"/>
      <c r="K6" s="24"/>
      <c r="L6" s="9"/>
      <c r="M6" s="16"/>
      <c r="R6" s="1">
        <f>IF(vend29[[#This Row],[Coluna1]]&gt;1,1,0)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90">
        <v>4621</v>
      </c>
      <c r="F7" s="24" t="s">
        <v>248</v>
      </c>
      <c r="G7" s="25" t="s">
        <v>7</v>
      </c>
      <c r="H7" s="8">
        <v>600</v>
      </c>
      <c r="I7" s="8">
        <v>600</v>
      </c>
      <c r="J7" s="2"/>
      <c r="K7" s="24"/>
      <c r="L7" s="9"/>
      <c r="M7" s="16"/>
      <c r="R7" s="1">
        <f>IF(vend29[[#This Row],[Coluna1]]&gt;1,1,0)</f>
        <v>1</v>
      </c>
    </row>
    <row r="8" spans="2:18" ht="15.75" x14ac:dyDescent="0.25">
      <c r="B8" s="27" t="s">
        <v>21</v>
      </c>
      <c r="C8" s="28">
        <f>SUM(C6:C7)</f>
        <v>1750</v>
      </c>
      <c r="D8" s="2"/>
      <c r="E8" s="90">
        <v>4622</v>
      </c>
      <c r="F8" s="24" t="s">
        <v>250</v>
      </c>
      <c r="G8" s="25" t="s">
        <v>7</v>
      </c>
      <c r="H8" s="8">
        <v>550</v>
      </c>
      <c r="I8" s="8">
        <v>550</v>
      </c>
      <c r="J8" s="2"/>
      <c r="K8" s="24"/>
      <c r="L8" s="9"/>
      <c r="M8" s="16"/>
      <c r="R8" s="1">
        <f>IF(vend29[[#This Row],[Coluna1]]&gt;1,1,0)</f>
        <v>1</v>
      </c>
    </row>
    <row r="9" spans="2:18" ht="15.75" x14ac:dyDescent="0.25">
      <c r="B9" s="2"/>
      <c r="C9" s="2"/>
      <c r="D9" s="2"/>
      <c r="E9" s="90"/>
      <c r="F9" s="24"/>
      <c r="G9" s="25"/>
      <c r="H9" s="44"/>
      <c r="I9" s="8"/>
      <c r="J9" s="2"/>
      <c r="K9" s="24"/>
      <c r="L9" s="9"/>
      <c r="M9" s="16"/>
      <c r="R9" s="1">
        <f>IF(vend29[[#This Row],[Coluna1]]&gt;1,1,0)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IF(vend29[[#This Row],[Coluna1]]&gt;1,1,0)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400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IF(vend29[[#This Row],[Coluna1]]&gt;1,1,0)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1350</v>
      </c>
      <c r="D12" s="2"/>
      <c r="E12" s="90"/>
      <c r="F12" s="24"/>
      <c r="G12" s="25"/>
      <c r="H12" s="8"/>
      <c r="I12" s="8"/>
      <c r="J12" s="2"/>
      <c r="R12" s="1">
        <f>IF(vend29[[#This Row],[Coluna1]]&gt;1,1,0)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IF(vend29[[#This Row],[Coluna1]]&gt;1,1,0)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Row],[Coluna1]]&gt;1,1,0)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90"/>
      <c r="F15" s="24"/>
      <c r="G15" s="25"/>
      <c r="H15" s="8"/>
      <c r="I15" s="8"/>
      <c r="J15" s="2"/>
      <c r="K15" s="98">
        <v>4506</v>
      </c>
      <c r="L15" s="9" t="s">
        <v>133</v>
      </c>
      <c r="M15" s="16" t="s">
        <v>148</v>
      </c>
      <c r="R15" s="1">
        <f>IF(vend29[[#This Row],[Coluna1]]&gt;1,1,0)</f>
        <v>0</v>
      </c>
    </row>
    <row r="16" spans="2:18" ht="15.75" x14ac:dyDescent="0.25">
      <c r="B16" s="27" t="s">
        <v>11</v>
      </c>
      <c r="C16" s="31">
        <f>SUM(C11:C15)</f>
        <v>1750</v>
      </c>
      <c r="D16" s="2"/>
      <c r="E16" s="90"/>
      <c r="F16" s="24"/>
      <c r="G16" s="25"/>
      <c r="H16" s="8"/>
      <c r="I16" s="8"/>
      <c r="J16" s="2"/>
      <c r="K16" s="98">
        <v>4465</v>
      </c>
      <c r="L16" s="9" t="s">
        <v>133</v>
      </c>
      <c r="M16" s="16" t="s">
        <v>148</v>
      </c>
      <c r="R16" s="1">
        <f>IF(vend29[[#This Row],[Coluna1]]&gt;1,1,0)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4466</v>
      </c>
      <c r="L17" s="9" t="s">
        <v>133</v>
      </c>
      <c r="M17" s="16" t="s">
        <v>148</v>
      </c>
      <c r="R17" s="1">
        <f>IF(vend29[[#This Row],[Coluna1]]&gt;1,1,0)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IF(vend29[[#This Row],[Coluna1]]&gt;1,1,0)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IF(vend29[[#This Row],[Coluna1]]&gt;1,1,0)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IF(vend29[[#This Row],[Coluna1]]&gt;1,1,0)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1850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4616</v>
      </c>
      <c r="F26" s="24" t="s">
        <v>198</v>
      </c>
      <c r="G26" s="25" t="s">
        <v>7</v>
      </c>
      <c r="H26" s="8"/>
      <c r="I26" s="8">
        <v>200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/>
      <c r="F35" s="24"/>
      <c r="G35" s="25"/>
      <c r="H35" s="8"/>
      <c r="I35" s="8"/>
      <c r="K35" s="98"/>
      <c r="L35" s="40"/>
      <c r="M35" s="16"/>
    </row>
    <row r="36" spans="2:18" ht="15.75" x14ac:dyDescent="0.25">
      <c r="E36" s="94"/>
      <c r="F36" s="24"/>
      <c r="G36" s="25"/>
      <c r="H36" s="8"/>
      <c r="I36" s="8"/>
      <c r="K36" s="98"/>
      <c r="L36" s="40"/>
      <c r="M36" s="16"/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3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16" zoomScale="80" zoomScaleNormal="8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'29'!B1+1</f>
        <v>45595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150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150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150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90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1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1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308</v>
      </c>
      <c r="D15" s="2"/>
      <c r="E15" s="90"/>
      <c r="F15" s="24"/>
      <c r="G15" s="25"/>
      <c r="H15" s="8"/>
      <c r="I15" s="8"/>
      <c r="J15" s="2"/>
      <c r="K15" s="98">
        <v>4545</v>
      </c>
      <c r="L15" s="9" t="s">
        <v>136</v>
      </c>
      <c r="M15" s="16" t="s">
        <v>149</v>
      </c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458</v>
      </c>
      <c r="D16" s="2"/>
      <c r="E16" s="90"/>
      <c r="F16" s="24"/>
      <c r="G16" s="25"/>
      <c r="H16" s="8"/>
      <c r="I16" s="8"/>
      <c r="J16" s="2"/>
      <c r="K16" s="98">
        <v>4531</v>
      </c>
      <c r="L16" s="9" t="s">
        <v>133</v>
      </c>
      <c r="M16" s="16" t="s">
        <v>148</v>
      </c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4507</v>
      </c>
      <c r="L17" s="9" t="s">
        <v>133</v>
      </c>
      <c r="M17" s="16" t="s">
        <v>149</v>
      </c>
      <c r="R17" s="1">
        <f>IF(vend30[[#This Row],[Nº Venda]]&gt;1,1,0)</f>
        <v>0</v>
      </c>
    </row>
    <row r="18" spans="2:22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2</v>
      </c>
      <c r="C19" s="30">
        <f>SUM(entr_carn30[Valor Total])</f>
        <v>1310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1310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22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22" ht="15.75" x14ac:dyDescent="0.25">
      <c r="B26" s="2"/>
      <c r="C26" s="2"/>
      <c r="D26" s="2"/>
      <c r="E26" s="90">
        <v>4507</v>
      </c>
      <c r="F26" s="24" t="s">
        <v>252</v>
      </c>
      <c r="G26" s="25" t="s">
        <v>6</v>
      </c>
      <c r="H26" s="8"/>
      <c r="I26" s="8">
        <v>150</v>
      </c>
      <c r="J26" s="2"/>
      <c r="K26" s="98"/>
      <c r="L26" s="9"/>
      <c r="M26" s="16"/>
    </row>
    <row r="27" spans="2:22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22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22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22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22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4313</v>
      </c>
      <c r="F35" s="24" t="s">
        <v>251</v>
      </c>
      <c r="G35" s="25" t="s">
        <v>10</v>
      </c>
      <c r="H35" s="8">
        <v>308</v>
      </c>
      <c r="I35" s="8" t="s">
        <v>79</v>
      </c>
      <c r="K35" s="98">
        <v>4507</v>
      </c>
      <c r="L35" s="40">
        <v>7</v>
      </c>
      <c r="M35" s="16">
        <v>1150</v>
      </c>
    </row>
    <row r="36" spans="2:18" ht="15.75" x14ac:dyDescent="0.25">
      <c r="E36" s="94"/>
      <c r="F36" s="24"/>
      <c r="G36" s="25"/>
      <c r="H36" s="8"/>
      <c r="I36" s="8"/>
      <c r="K36" s="98">
        <v>4545</v>
      </c>
      <c r="L36" s="40">
        <v>3</v>
      </c>
      <c r="M36" s="16">
        <v>160</v>
      </c>
    </row>
    <row r="37" spans="2:18" ht="15.75" x14ac:dyDescent="0.25">
      <c r="E37" s="90"/>
      <c r="F37" s="24"/>
      <c r="G37" s="25"/>
      <c r="H37" s="8"/>
      <c r="I37" s="8"/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16" zoomScale="80" zoomScaleNormal="80" workbookViewId="0">
      <selection activeCell="H27" sqref="H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1">
        <f>'30'!B1+1</f>
        <v>45596</v>
      </c>
    </row>
    <row r="2" spans="2:18" ht="18.75" x14ac:dyDescent="0.2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1" t="s">
        <v>1</v>
      </c>
      <c r="F4" s="111"/>
      <c r="G4" s="111"/>
      <c r="H4" s="111"/>
      <c r="I4" s="111"/>
      <c r="J4" s="21"/>
      <c r="K4" s="105" t="s">
        <v>3</v>
      </c>
      <c r="L4" s="106"/>
      <c r="M4" s="107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SUM(I6:I41)</f>
        <v>110</v>
      </c>
      <c r="D6" s="2"/>
      <c r="E6" s="90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90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110</v>
      </c>
      <c r="D8" s="2"/>
      <c r="E8" s="90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90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3" t="s">
        <v>5</v>
      </c>
      <c r="C10" s="103"/>
      <c r="D10" s="2"/>
      <c r="E10" s="90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260</v>
      </c>
      <c r="D11" s="2"/>
      <c r="E11" s="90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346</v>
      </c>
      <c r="D12" s="2"/>
      <c r="E12" s="90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145</v>
      </c>
      <c r="D15" s="2"/>
      <c r="E15" s="90"/>
      <c r="F15" s="24"/>
      <c r="G15" s="25"/>
      <c r="H15" s="8"/>
      <c r="I15" s="8"/>
      <c r="J15" s="2"/>
      <c r="K15" s="98">
        <v>4538</v>
      </c>
      <c r="L15" s="9" t="s">
        <v>133</v>
      </c>
      <c r="M15" s="16" t="s">
        <v>148</v>
      </c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751</v>
      </c>
      <c r="D16" s="2"/>
      <c r="E16" s="90"/>
      <c r="F16" s="24"/>
      <c r="G16" s="25"/>
      <c r="H16" s="8"/>
      <c r="I16" s="8"/>
      <c r="J16" s="2"/>
      <c r="K16" s="98">
        <v>4543</v>
      </c>
      <c r="L16" s="9" t="s">
        <v>133</v>
      </c>
      <c r="M16" s="16" t="s">
        <v>148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90"/>
      <c r="F17" s="24"/>
      <c r="G17" s="25"/>
      <c r="H17" s="8"/>
      <c r="I17" s="8"/>
      <c r="J17" s="2"/>
      <c r="K17" s="98">
        <v>4540</v>
      </c>
      <c r="L17" s="9" t="s">
        <v>133</v>
      </c>
      <c r="M17" s="16" t="s">
        <v>148</v>
      </c>
      <c r="R17" s="1">
        <f>IF(vend31[[#This Row],[Nº Venda]]&gt;1,1,0)</f>
        <v>0</v>
      </c>
    </row>
    <row r="18" spans="2:18" ht="15.75" x14ac:dyDescent="0.25">
      <c r="B18" s="103" t="s">
        <v>12</v>
      </c>
      <c r="C18" s="103"/>
      <c r="D18" s="2"/>
      <c r="E18" s="90"/>
      <c r="F18" s="24"/>
      <c r="G18" s="25"/>
      <c r="H18" s="8"/>
      <c r="I18" s="8"/>
      <c r="J18" s="2"/>
      <c r="K18" s="98">
        <v>4604</v>
      </c>
      <c r="L18" s="9" t="s">
        <v>133</v>
      </c>
      <c r="M18" s="16" t="s">
        <v>148</v>
      </c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90"/>
      <c r="F19" s="24"/>
      <c r="G19" s="25"/>
      <c r="H19" s="8"/>
      <c r="I19" s="8"/>
      <c r="J19" s="2"/>
      <c r="K19" s="98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90"/>
      <c r="F20" s="25"/>
      <c r="G20" s="25"/>
      <c r="H20" s="8"/>
      <c r="I20" s="8"/>
      <c r="J20" s="2"/>
      <c r="K20" s="98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90"/>
      <c r="F21" s="24"/>
      <c r="G21" s="25"/>
      <c r="H21" s="8"/>
      <c r="I21" s="8"/>
      <c r="J21" s="2"/>
      <c r="K21" s="98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90"/>
      <c r="F22" s="24"/>
      <c r="G22" s="25"/>
      <c r="H22" s="8"/>
      <c r="I22" s="8"/>
      <c r="J22" s="2"/>
      <c r="K22" s="98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8"/>
      <c r="L23" s="9"/>
      <c r="M23" s="16"/>
    </row>
    <row r="24" spans="2:18" ht="15" x14ac:dyDescent="0.25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98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8"/>
      <c r="L25" s="9"/>
      <c r="M25" s="16"/>
    </row>
    <row r="26" spans="2:18" ht="15.75" x14ac:dyDescent="0.25">
      <c r="B26" s="2"/>
      <c r="C26" s="2"/>
      <c r="D26" s="2"/>
      <c r="E26" s="90">
        <v>4604</v>
      </c>
      <c r="F26" s="24" t="s">
        <v>173</v>
      </c>
      <c r="G26" s="25" t="s">
        <v>6</v>
      </c>
      <c r="H26" s="8"/>
      <c r="I26" s="8">
        <v>110</v>
      </c>
      <c r="J26" s="2"/>
      <c r="K26" s="98"/>
      <c r="L26" s="9"/>
      <c r="M26" s="16"/>
    </row>
    <row r="27" spans="2:18" ht="15.75" x14ac:dyDescent="0.25">
      <c r="B27" s="2"/>
      <c r="C27" s="2"/>
      <c r="D27" s="2"/>
      <c r="E27" s="90"/>
      <c r="F27" s="24"/>
      <c r="G27" s="25"/>
      <c r="H27" s="8"/>
      <c r="I27" s="8"/>
      <c r="J27" s="2"/>
      <c r="K27" s="98"/>
      <c r="L27" s="9"/>
      <c r="M27" s="16"/>
    </row>
    <row r="28" spans="2:18" ht="15.75" x14ac:dyDescent="0.25">
      <c r="B28" s="2"/>
      <c r="C28" s="2"/>
      <c r="D28" s="2"/>
      <c r="E28" s="90"/>
      <c r="F28" s="24"/>
      <c r="G28" s="25"/>
      <c r="H28" s="8"/>
      <c r="I28" s="8"/>
      <c r="J28" s="2"/>
      <c r="K28" s="98"/>
      <c r="L28" s="9"/>
      <c r="M28" s="16"/>
    </row>
    <row r="29" spans="2:18" ht="15.75" x14ac:dyDescent="0.25">
      <c r="B29" s="2"/>
      <c r="C29" s="2"/>
      <c r="D29" s="2"/>
      <c r="E29" s="90"/>
      <c r="F29" s="24"/>
      <c r="G29" s="25"/>
      <c r="H29" s="8"/>
      <c r="I29" s="8"/>
      <c r="J29" s="2"/>
      <c r="K29" s="98"/>
      <c r="L29" s="9"/>
      <c r="M29" s="16"/>
    </row>
    <row r="30" spans="2:18" ht="15.75" x14ac:dyDescent="0.25">
      <c r="B30" s="2"/>
      <c r="C30" s="2"/>
      <c r="D30" s="2"/>
      <c r="E30" s="90"/>
      <c r="F30" s="38"/>
      <c r="G30" s="25"/>
      <c r="H30" s="8"/>
      <c r="I30" s="8"/>
      <c r="J30" s="2"/>
      <c r="K30" s="98"/>
      <c r="L30" s="9"/>
      <c r="M30" s="16"/>
    </row>
    <row r="31" spans="2:18" ht="15.75" x14ac:dyDescent="0.25">
      <c r="B31" s="2"/>
      <c r="C31" s="2"/>
      <c r="D31" s="2"/>
      <c r="E31" s="92"/>
      <c r="F31" s="35"/>
      <c r="G31" s="36"/>
      <c r="H31" s="17"/>
      <c r="I31" s="17"/>
      <c r="J31" s="2"/>
      <c r="K31" s="98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90">
        <v>4406</v>
      </c>
      <c r="F35" s="24" t="s">
        <v>253</v>
      </c>
      <c r="G35" s="25" t="s">
        <v>7</v>
      </c>
      <c r="H35" s="8">
        <v>346</v>
      </c>
      <c r="I35" s="8" t="s">
        <v>33</v>
      </c>
      <c r="K35" s="98"/>
      <c r="L35" s="40"/>
      <c r="M35" s="16"/>
    </row>
    <row r="36" spans="2:18" ht="15.75" x14ac:dyDescent="0.25">
      <c r="E36" s="94">
        <v>4169</v>
      </c>
      <c r="F36" s="24" t="s">
        <v>254</v>
      </c>
      <c r="G36" s="25" t="s">
        <v>10</v>
      </c>
      <c r="H36" s="8">
        <v>145</v>
      </c>
      <c r="I36" s="8" t="s">
        <v>48</v>
      </c>
      <c r="K36" s="98"/>
      <c r="L36" s="40"/>
      <c r="M36" s="16"/>
    </row>
    <row r="37" spans="2:18" ht="15.75" x14ac:dyDescent="0.25">
      <c r="E37" s="90">
        <v>4357</v>
      </c>
      <c r="F37" s="24" t="s">
        <v>173</v>
      </c>
      <c r="G37" s="25" t="s">
        <v>6</v>
      </c>
      <c r="H37" s="8">
        <v>150</v>
      </c>
      <c r="I37" s="8" t="s">
        <v>47</v>
      </c>
      <c r="K37" s="98"/>
      <c r="L37" s="40"/>
      <c r="M37" s="16"/>
    </row>
    <row r="38" spans="2:18" ht="15.75" x14ac:dyDescent="0.25">
      <c r="E38" s="90"/>
      <c r="F38" s="24"/>
      <c r="G38" s="25"/>
      <c r="H38" s="8"/>
      <c r="I38" s="8"/>
      <c r="K38" s="98"/>
      <c r="L38" s="40"/>
      <c r="M38" s="16"/>
    </row>
    <row r="39" spans="2:18" ht="15.75" x14ac:dyDescent="0.25">
      <c r="E39" s="90"/>
      <c r="F39" s="38"/>
      <c r="G39" s="25"/>
      <c r="H39" s="8"/>
      <c r="I39" s="8"/>
      <c r="K39" s="98"/>
      <c r="L39" s="40"/>
      <c r="M39" s="16"/>
    </row>
    <row r="40" spans="2:18" ht="15.75" x14ac:dyDescent="0.25">
      <c r="E40" s="92"/>
      <c r="F40" s="35"/>
      <c r="G40" s="36"/>
      <c r="H40" s="17"/>
      <c r="I40" s="8"/>
      <c r="K40" s="99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3"/>
      <c r="F41" s="38"/>
      <c r="G41" s="25"/>
      <c r="H41" s="8"/>
      <c r="I41" s="8"/>
      <c r="K41" s="98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sheetPr codeName="Planilha34"/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Loja Mauá</cp:lastModifiedBy>
  <cp:revision/>
  <cp:lastPrinted>2024-11-09T14:36:08Z</cp:lastPrinted>
  <dcterms:created xsi:type="dcterms:W3CDTF">2004-04-07T20:43:43Z</dcterms:created>
  <dcterms:modified xsi:type="dcterms:W3CDTF">2024-11-09T14:36:10Z</dcterms:modified>
  <cp:category/>
  <cp:contentStatus/>
</cp:coreProperties>
</file>