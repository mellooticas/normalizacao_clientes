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2024/"/>
    </mc:Choice>
  </mc:AlternateContent>
  <xr:revisionPtr revIDLastSave="0" documentId="13_ncr:1_{92FD5AE1-D66F-47F7-A9B3-078914E905E0}" xr6:coauthVersionLast="47" xr6:coauthVersionMax="47" xr10:uidLastSave="{00000000-0000-0000-0000-000000000000}"/>
  <bookViews>
    <workbookView xWindow="5280" yWindow="2115" windowWidth="15150" windowHeight="8955" tabRatio="895" activeTab="1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18">'18'!$A$1:$AB$41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6" i="173"/>
  <c r="C6" i="172"/>
  <c r="C8" i="172" s="1"/>
  <c r="C6" i="171"/>
  <c r="C8" i="171" s="1"/>
  <c r="C6" i="170"/>
  <c r="C6" i="103"/>
  <c r="C6" i="178"/>
  <c r="C6" i="177"/>
  <c r="C6" i="176"/>
  <c r="C6" i="180"/>
  <c r="C8" i="180" s="1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 l="1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<sst xmlns="http://schemas.openxmlformats.org/spreadsheetml/2006/main" count="1958" uniqueCount="233">
  <si>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</si>
  <si>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</si>
  <si>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</si>
  <si>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</si>
  <si>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</si>
  <si>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</si>
  <si>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</si>
  <si>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</si>
  <si>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</si>
  <si>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</si>
  <si>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</si>
  <si>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</si>
  <si>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</si>
  <si>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</si>
  <si>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</si>
  <si>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</si>
  <si>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</si>
  <si>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</si>
  <si>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</si>
  <si>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</si>
  <si>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</si>
  <si>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 xml:space="preserve">JOSE LUIZ 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</si>
  <si>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</si>
  <si>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</si>
  <si>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</si>
  <si>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</si>
  <si>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</si>
  <si>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</si>
  <si>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</si>
  <si>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GERALDO FERREIRA</t>
  </si>
  <si>
    <t xml:space="preserve">JAQUELINE MOREIRA </t>
  </si>
  <si>
    <t>Recebimento de Carnê</t>
  </si>
  <si>
    <t>Valor Parcela</t>
  </si>
  <si>
    <t>Nº Parcela</t>
  </si>
  <si>
    <t>Parcelas</t>
  </si>
  <si>
    <t>Valor Total</t>
  </si>
  <si>
    <t>Total de OS</t>
  </si>
  <si>
    <t xml:space="preserve">NATHALIA  FELIX </t>
  </si>
  <si>
    <t>JOAO DA ROCHA</t>
  </si>
  <si>
    <t>BETH</t>
  </si>
  <si>
    <t>Não</t>
  </si>
  <si>
    <t>ADRIANA MARCIA</t>
  </si>
  <si>
    <t>ADRIANA SOARES</t>
  </si>
  <si>
    <t>GARANTIA</t>
  </si>
  <si>
    <t>LUCAS RAMOS FREITAS</t>
  </si>
  <si>
    <t>WALTER CORREA</t>
  </si>
  <si>
    <t>ROSELI VIERIRA</t>
  </si>
  <si>
    <t>PARC. 2/5</t>
  </si>
  <si>
    <t>JUDITE BARBOSA</t>
  </si>
  <si>
    <t>PARC. 4/5</t>
  </si>
  <si>
    <t>HERMES DE CARVALHO</t>
  </si>
  <si>
    <t xml:space="preserve">SABRINA  DA SILVA </t>
  </si>
  <si>
    <t>CLAUDINEI LESSA</t>
  </si>
  <si>
    <t>PARC. 2/3</t>
  </si>
  <si>
    <t>CIBELE CRISTINA</t>
  </si>
  <si>
    <t>JOANA SANTOS</t>
  </si>
  <si>
    <t>SABRINA DA SILVA</t>
  </si>
  <si>
    <t>GABRIEL HENRRIQUE</t>
  </si>
  <si>
    <t>PARC. 7/8</t>
  </si>
  <si>
    <t>FABRICIA DA CONCEIÇAO</t>
  </si>
  <si>
    <t>MARINEIA DE SOUZA</t>
  </si>
  <si>
    <t>CLAUDEINEIA GONÇALVES</t>
  </si>
  <si>
    <t>FABRIO GONÇALVES</t>
  </si>
  <si>
    <t>JAQUELELINE</t>
  </si>
  <si>
    <t>OSIAS GOMES</t>
  </si>
  <si>
    <t>PARC. 1/6</t>
  </si>
  <si>
    <t>SEVERINO PINTO</t>
  </si>
  <si>
    <t>PARC. 5/5</t>
  </si>
  <si>
    <t xml:space="preserve">GABRIELA DA SILVA </t>
  </si>
  <si>
    <t xml:space="preserve"> CIBELE CRISTINA </t>
  </si>
  <si>
    <t>LUIZA PERIRA</t>
  </si>
  <si>
    <t>BRENDHA DE OLIVIREIRA</t>
  </si>
  <si>
    <t>PARC. 1/5</t>
  </si>
  <si>
    <t>IRINEU FLORIANO</t>
  </si>
  <si>
    <t>MARIA CRISTINA</t>
  </si>
  <si>
    <t>APARECIDA CELIA</t>
  </si>
  <si>
    <t xml:space="preserve">FRNCISCO FABIO </t>
  </si>
  <si>
    <t>CLAUDEMIR SILVA</t>
  </si>
  <si>
    <t>PARC. 5/6</t>
  </si>
  <si>
    <t>CELIA REGINA</t>
  </si>
  <si>
    <t>MARIE GERMAINE</t>
  </si>
  <si>
    <t>TAIANE SILVA</t>
  </si>
  <si>
    <t>PARC. 2/4</t>
  </si>
  <si>
    <t>LUIZA APARECIDA</t>
  </si>
  <si>
    <t>JOÃO  CARLOS</t>
  </si>
  <si>
    <t xml:space="preserve">JAYNE DOS SANTOS </t>
  </si>
  <si>
    <t>MIRIAM ARCANJO</t>
  </si>
  <si>
    <t xml:space="preserve">GABRIELA  DA SILVA </t>
  </si>
  <si>
    <t xml:space="preserve">RENILDA  SILVA </t>
  </si>
  <si>
    <t>PARC. 3/4</t>
  </si>
  <si>
    <t xml:space="preserve">DUCELIA  SOUZA </t>
  </si>
  <si>
    <t xml:space="preserve">EDMAR COQUEIRO </t>
  </si>
  <si>
    <t xml:space="preserve">HILDA SOUZA </t>
  </si>
  <si>
    <t>PARC. 4/7</t>
  </si>
  <si>
    <t>Ana Paula Quintinho de Oliveira</t>
  </si>
  <si>
    <t>COMISSÃO: Luana Cristina (abatido no carnê)</t>
  </si>
  <si>
    <t>SS</t>
  </si>
  <si>
    <t>Raquel Batista Ribeiro</t>
  </si>
  <si>
    <t>Maria Alves Rodrigues</t>
  </si>
  <si>
    <t>Luiza Pereira de Oliveira</t>
  </si>
  <si>
    <t>ELENITA DIAS</t>
  </si>
  <si>
    <t>CELI RAMOS</t>
  </si>
  <si>
    <t>PARC. 1/7</t>
  </si>
  <si>
    <t>Luana Cristina Martins Campos</t>
  </si>
  <si>
    <t>PARC. 1/4</t>
  </si>
  <si>
    <t>PARC. 4/4</t>
  </si>
  <si>
    <t>JOAO BATISTA DA SILVA</t>
  </si>
  <si>
    <t>KEITTY LARANJEIRA</t>
  </si>
  <si>
    <t>VANDA  MARIA da SILVA</t>
  </si>
  <si>
    <t>PARC. 3/3</t>
  </si>
  <si>
    <t>JOAO TEIXEIRA GABRIEL</t>
  </si>
  <si>
    <t>CLEUZA APARECIDA</t>
  </si>
  <si>
    <t>TEREZA MARIA</t>
  </si>
  <si>
    <t>ALDIMEIA PEREIRA</t>
  </si>
  <si>
    <t>EDIMILSON EDIVALDO</t>
  </si>
  <si>
    <t>MARIA ALVES RODRIGUES</t>
  </si>
  <si>
    <t>JOSEMARE SOARES</t>
  </si>
  <si>
    <t>FABIANA ALVES</t>
  </si>
  <si>
    <t>DALVA APARECIDA</t>
  </si>
  <si>
    <t>CLEBER DA SILVA</t>
  </si>
  <si>
    <t>JULIO DA SILVA</t>
  </si>
  <si>
    <t>ROSA MARIA</t>
  </si>
  <si>
    <t xml:space="preserve">LUIZ CARLOS </t>
  </si>
  <si>
    <t>ILSA PAS DA SILVA</t>
  </si>
  <si>
    <t>MARIA ALAIDE</t>
  </si>
  <si>
    <t>Sim</t>
  </si>
  <si>
    <t>JOAO VICTOR</t>
  </si>
  <si>
    <t>PARC. 6/6</t>
  </si>
  <si>
    <t>RAFAEL DA SILVA</t>
  </si>
  <si>
    <t xml:space="preserve">GRACIANO JOSE </t>
  </si>
  <si>
    <t xml:space="preserve">IVANI CAMPOS </t>
  </si>
  <si>
    <t>GILBERTO BEDESCHI</t>
  </si>
  <si>
    <t>beth</t>
  </si>
  <si>
    <t xml:space="preserve">JOSE REIS </t>
  </si>
  <si>
    <t>MIRIAN  ARCANJO</t>
  </si>
  <si>
    <t>VALDINEI V.D. NASCIMENTO</t>
  </si>
  <si>
    <t>PARC. 4/6</t>
  </si>
  <si>
    <t xml:space="preserve">MARCIA CRISTINA </t>
  </si>
  <si>
    <t>PARC. 2/2</t>
  </si>
  <si>
    <t xml:space="preserve">CLEUSA MARIA </t>
  </si>
  <si>
    <t>HERMES  DE CARVALHO</t>
  </si>
  <si>
    <t>JAQUELINE  MOREIRA</t>
  </si>
  <si>
    <t>MARINEIA SOUZA</t>
  </si>
  <si>
    <t>MARCIA NASCIMENTO</t>
  </si>
  <si>
    <t>FABIO GONCALVES</t>
  </si>
  <si>
    <t>MARIA APARECIDA SANTOS</t>
  </si>
  <si>
    <t>JULYELLY INACIO</t>
  </si>
  <si>
    <t>TAYNARA CRISTINA</t>
  </si>
  <si>
    <t>PARC. 3/5</t>
  </si>
  <si>
    <t>AMABELLY  SILVA</t>
  </si>
  <si>
    <t xml:space="preserve">JOAO CARLOS </t>
  </si>
  <si>
    <t>MARIA DE LOUDES</t>
  </si>
  <si>
    <t>PARC. 7/7</t>
  </si>
  <si>
    <t>ISABELA CRISTINA</t>
  </si>
  <si>
    <t>ODILIA BRAZ</t>
  </si>
  <si>
    <t>DANIELLE ANDRADE</t>
  </si>
  <si>
    <t>TANIA NAZARO</t>
  </si>
  <si>
    <t>RENAN NAZARO</t>
  </si>
  <si>
    <t xml:space="preserve">MARIO MIRANDA </t>
  </si>
  <si>
    <t xml:space="preserve">VALDIRENE CLEMENTE </t>
  </si>
  <si>
    <t>FRANCISCO ALVES</t>
  </si>
  <si>
    <t xml:space="preserve">JOSE AIRTON </t>
  </si>
  <si>
    <t>DONIZETE APRECIDO</t>
  </si>
  <si>
    <t>BRENDHA  D. OLIVEIRA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</si>
  <si>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</si>
  <si>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</si>
  <si>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</si>
  <si>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</si>
  <si>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</si>
  <si>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</si>
  <si>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</si>
  <si>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</si>
  <si>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Parcelado Cartão Crédito</t>
  </si>
  <si>
    <t>PARC. 1/3</t>
  </si>
  <si>
    <t>Sem Sinal</t>
  </si>
  <si>
    <t xml:space="preserve">Carne </t>
  </si>
  <si>
    <t>Todas as Garantias</t>
  </si>
  <si>
    <t>PARC. 2/6</t>
  </si>
  <si>
    <t>PARC. 3/6</t>
  </si>
  <si>
    <t>PARC. 2/7</t>
  </si>
  <si>
    <t>PARC. 3/7</t>
  </si>
  <si>
    <t>PARC. 5/7</t>
  </si>
  <si>
    <t>PARC. 6/7</t>
  </si>
  <si>
    <t>PARC. 1/8</t>
  </si>
  <si>
    <t>PARC. 2/8</t>
  </si>
  <si>
    <t>PARC. 3/8</t>
  </si>
  <si>
    <t>PARC. 4/8</t>
  </si>
  <si>
    <t>PARC. 5/8</t>
  </si>
  <si>
    <t>PARC. 6/8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</si>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</sst>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24"/>
      <name val="Castellar"/>
      <family val="1"/>
    </font>
    <font>
      <b/>
      <i/>
      <sz val="12"/>
      <name val="Arial"/>
      <family val="2"/>
    </font>
    <font>
      <b/>
      <sz val="12"/>
      <name val="Arial"/>
      <family val="2"/>
    </font>
    <font>
      <b/>
      <sz val="11"/>
      <name val="Calibri"/>
      <family val="2"/>
    </font>
    <font>
      <b/>
      <i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8" fillId="0" borderId="17" xfId="0" applyNumberFormat="1" applyFon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4" fontId="40" fillId="0" borderId="0" xfId="0" applyNumberFormat="1" applyFont="1" applyAlignment="1">
      <alignment horizontal="center"/>
    </xf>
    <xf numFmtId="0" fontId="41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0" fontId="30" fillId="0" borderId="17" xfId="39" applyNumberFormat="1" applyFont="1" applyFill="1" applyBorder="1" applyAlignment="1">
      <alignment horizontal="center"/>
    </xf>
    <xf numFmtId="49" fontId="30" fillId="0" borderId="17" xfId="39" applyNumberFormat="1" applyFont="1" applyFill="1" applyBorder="1" applyAlignment="1">
      <alignment horizontal="center"/>
    </xf>
    <xf numFmtId="44" fontId="44" fillId="0" borderId="17" xfId="39" applyFont="1" applyFill="1" applyBorder="1" applyAlignment="1">
      <alignment horizontal="center"/>
    </xf>
    <xf numFmtId="165" fontId="44" fillId="0" borderId="17" xfId="4" applyNumberFormat="1" applyFont="1" applyFill="1" applyBorder="1" applyAlignment="1">
      <alignment horizontal="center"/>
    </xf>
    <xf numFmtId="0" fontId="41" fillId="0" borderId="17" xfId="39" applyNumberFormat="1" applyFont="1" applyFill="1" applyBorder="1" applyAlignment="1">
      <alignment horizontal="center"/>
    </xf>
    <xf numFmtId="164" fontId="30" fillId="0" borderId="13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31190" displayName="vend31190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>
      <calculatedColumnFormula>E31</calculatedColumnFormula>
    </tableColumn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3" totalsRowShown="0" headerRowDxfId="566" dataDxfId="564" headerRowBorderDxfId="565" tableBorderDxfId="563" totalsRowBorderDxfId="562">
  <autoFilter ref="E25:I33" xr:uid="{00000000-0009-0000-0100-000016000000}"/>
  <sortState xmlns:xlrd2="http://schemas.microsoft.com/office/spreadsheetml/2017/richdata2" ref="E26:I33">
    <sortCondition ref="E25:E33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6:I43" totalsRowShown="0" headerRowDxfId="548" dataDxfId="546" headerRowBorderDxfId="547" tableBorderDxfId="545" totalsRowBorderDxfId="544">
  <autoFilter ref="E36:I43" xr:uid="{B9E2F984-8588-4F2C-9FB9-680284154679}"/>
  <sortState xmlns:xlrd2="http://schemas.microsoft.com/office/spreadsheetml/2017/richdata2" ref="E37:I42">
    <sortCondition ref="E25:E33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0" sqref="D1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81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36537.68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25921.919999999998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200</v>
      </c>
    </row>
    <row r="6" spans="1:2" ht="15.75" x14ac:dyDescent="0.25">
      <c r="A6" s="28" t="s">
        <v>4</v>
      </c>
      <c r="B6" s="29">
        <f>SUM(B4:B5)</f>
        <v>26121.919999999998</v>
      </c>
    </row>
    <row r="7" spans="1:2" ht="15" x14ac:dyDescent="0.25">
      <c r="A7" s="2"/>
      <c r="B7" s="2"/>
    </row>
    <row r="8" spans="1:2" ht="15" x14ac:dyDescent="0.2">
      <c r="A8" s="97" t="s">
        <v>5</v>
      </c>
      <c r="B8" s="97"/>
    </row>
    <row r="9" spans="1:2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4948</v>
      </c>
    </row>
    <row r="10" spans="1:2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3092</v>
      </c>
    </row>
    <row r="11" spans="1:2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2888</v>
      </c>
    </row>
    <row r="12" spans="1:2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11792.92</v>
      </c>
    </row>
    <row r="13" spans="1:2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7259.28</v>
      </c>
    </row>
    <row r="14" spans="1:2" ht="15.75" x14ac:dyDescent="0.25">
      <c r="A14" s="28" t="s">
        <v>11</v>
      </c>
      <c r="B14" s="82">
        <f ca="1">SUM(B9:B13)</f>
        <v>29980.199999999997</v>
      </c>
    </row>
    <row r="15" spans="1:2" ht="15" x14ac:dyDescent="0.25">
      <c r="A15" s="2"/>
      <c r="B15" s="2"/>
    </row>
    <row r="16" spans="1:2" ht="15" x14ac:dyDescent="0.2">
      <c r="A16" s="97" t="s">
        <v>12</v>
      </c>
      <c r="B16" s="97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4065.76</v>
      </c>
    </row>
    <row r="18" spans="1:2" ht="15.75" x14ac:dyDescent="0.25">
      <c r="A18" s="28" t="s">
        <v>11</v>
      </c>
      <c r="B18" s="82">
        <f>SUM(B17:B17)</f>
        <v>4065.76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E29" sqref="E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45352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4085</v>
      </c>
      <c r="F6" s="25" t="s">
        <v>21</v>
      </c>
      <c r="G6" s="26" t="s">
        <v>7</v>
      </c>
      <c r="H6" s="8">
        <v>350</v>
      </c>
      <c r="I6" s="8">
        <v>30</v>
      </c>
      <c r="J6" s="2"/>
      <c r="K6" s="25"/>
      <c r="L6" s="9"/>
      <c r="M6" s="16"/>
      <c r="R6" s="1">
        <f>IF(vend31190[[#This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IF(vend31190[[#This Row],[Nº Venda]]&gt;1,1,0)</f>
        <v>0</v>
      </c>
    </row>
    <row r="8" spans="2:18" ht="15.75" x14ac:dyDescent="0.25">
      <c r="B8" s="28" t="s">
        <v>22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IF(vend31190[[#This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IF(vend31190[[#This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IF(vend31190[[#This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IF(vend31190[[#This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</v>
      </c>
      <c r="D12" s="2"/>
      <c r="E12" s="18"/>
      <c r="F12" s="25"/>
      <c r="G12" s="26"/>
      <c r="H12" s="8"/>
      <c r="I12" s="8"/>
      <c r="J12" s="2"/>
      <c r="R12" s="1">
        <f>IF(vend31190[[#This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IF(vend31190[[#This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IF(vend31190[[#This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IF(vend31190[[#This Row],[Nº Venda]]&gt;1,1,0)</f>
        <v>0</v>
      </c>
    </row>
    <row r="16" spans="2:18" ht="15.75" x14ac:dyDescent="0.2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IF(vend31190[[#This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IF(vend31190[[#This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IF(vend31190[[#This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IF(vend31190[[#This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IF(vend31190[[#This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4068</v>
      </c>
      <c r="F26" s="25" t="s">
        <v>29</v>
      </c>
      <c r="G26" s="26" t="s">
        <v>6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4069</v>
      </c>
      <c r="F27" s="25" t="s">
        <v>29</v>
      </c>
      <c r="G27" s="26" t="s">
        <v>6</v>
      </c>
      <c r="H27" s="8">
        <v>0</v>
      </c>
      <c r="I27" s="8">
        <v>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4080</v>
      </c>
      <c r="F28" s="25" t="s">
        <v>30</v>
      </c>
      <c r="G28" s="26" t="s">
        <v>10</v>
      </c>
      <c r="H28" s="8">
        <v>0</v>
      </c>
      <c r="I28" s="8">
        <v>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4081</v>
      </c>
      <c r="F29" s="25" t="s">
        <v>30</v>
      </c>
      <c r="G29" s="26" t="s">
        <v>10</v>
      </c>
      <c r="H29" s="8">
        <v>0</v>
      </c>
      <c r="I29" s="8">
        <v>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26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'01'!B1+1</f>
        <v>45353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1750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2300</v>
      </c>
      <c r="D6" s="2"/>
      <c r="E6" s="18">
        <v>4086</v>
      </c>
      <c r="F6" s="25" t="s">
        <v>37</v>
      </c>
      <c r="G6" s="46" t="s">
        <v>9</v>
      </c>
      <c r="H6" s="8">
        <v>1250</v>
      </c>
      <c r="I6" s="8">
        <v>1250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4087</v>
      </c>
      <c r="F7" s="25" t="s">
        <v>38</v>
      </c>
      <c r="G7" s="46" t="s">
        <v>9</v>
      </c>
      <c r="H7" s="8">
        <v>500</v>
      </c>
      <c r="I7" s="8">
        <v>500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22</v>
      </c>
      <c r="C8" s="29">
        <f>SUM(C6:C7)</f>
        <v>2300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1750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4049</v>
      </c>
      <c r="L15" s="9" t="s">
        <v>39</v>
      </c>
      <c r="M15" s="16" t="s">
        <v>40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2300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4049</v>
      </c>
      <c r="F26" s="25" t="s">
        <v>41</v>
      </c>
      <c r="G26" s="26" t="s">
        <v>6</v>
      </c>
      <c r="H26" s="8">
        <v>0</v>
      </c>
      <c r="I26" s="8">
        <v>550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D1" zoomScale="148" zoomScaleNormal="148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45354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C1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'03'!B1+1</f>
        <v>45355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190</v>
      </c>
      <c r="D6" s="2"/>
      <c r="E6" s="18">
        <v>4088</v>
      </c>
      <c r="F6" s="25" t="s">
        <v>42</v>
      </c>
      <c r="G6" s="46" t="s">
        <v>43</v>
      </c>
      <c r="H6" s="8">
        <v>0</v>
      </c>
      <c r="I6" s="8">
        <v>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4089</v>
      </c>
      <c r="F7" s="25" t="s">
        <v>44</v>
      </c>
      <c r="G7" s="46" t="s">
        <v>43</v>
      </c>
      <c r="H7" s="8">
        <v>0</v>
      </c>
      <c r="I7" s="8">
        <v>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22</v>
      </c>
      <c r="C8" s="29">
        <f>SUM(C6:C7)</f>
        <v>190</v>
      </c>
      <c r="D8" s="2"/>
      <c r="E8" s="59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335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60">
        <v>4053</v>
      </c>
      <c r="L15" s="61" t="s">
        <v>39</v>
      </c>
      <c r="M15" s="62" t="s">
        <v>40</v>
      </c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475</v>
      </c>
      <c r="D16" s="2"/>
      <c r="E16" s="18"/>
      <c r="F16" s="25"/>
      <c r="G16" s="26"/>
      <c r="H16" s="8"/>
      <c r="I16" s="8"/>
      <c r="J16" s="2"/>
      <c r="K16" s="63"/>
      <c r="L16" s="60"/>
      <c r="M16" s="62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0"/>
      <c r="L17" s="61"/>
      <c r="M17" s="62"/>
      <c r="R17" s="1">
        <f>IF(vend4[[#This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4053</v>
      </c>
      <c r="F26" s="25" t="s">
        <v>45</v>
      </c>
      <c r="G26" s="46" t="s">
        <v>6</v>
      </c>
      <c r="H26" s="8">
        <v>0</v>
      </c>
      <c r="I26" s="8">
        <v>190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3969</v>
      </c>
      <c r="F35" s="25" t="s">
        <v>46</v>
      </c>
      <c r="G35" s="26" t="s">
        <v>10</v>
      </c>
      <c r="H35" s="8">
        <v>140</v>
      </c>
      <c r="I35" s="8" t="s">
        <v>47</v>
      </c>
      <c r="K35" s="25"/>
      <c r="L35" s="41"/>
      <c r="M35" s="16"/>
    </row>
    <row r="36" spans="2:18" ht="15.75" x14ac:dyDescent="0.25">
      <c r="E36" s="18">
        <v>2085651</v>
      </c>
      <c r="F36" s="25" t="s">
        <v>48</v>
      </c>
      <c r="G36" s="26" t="s">
        <v>6</v>
      </c>
      <c r="H36" s="8">
        <v>145</v>
      </c>
      <c r="I36" s="8" t="s">
        <v>49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U10" sqref="U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'04'!B1+1</f>
        <v>45356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2370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413</v>
      </c>
      <c r="D6" s="2"/>
      <c r="E6" s="18">
        <v>4090</v>
      </c>
      <c r="F6" s="25" t="s">
        <v>50</v>
      </c>
      <c r="G6" s="46" t="s">
        <v>7</v>
      </c>
      <c r="H6" s="8">
        <v>990</v>
      </c>
      <c r="I6" s="8">
        <v>400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4091</v>
      </c>
      <c r="F7" s="25" t="s">
        <v>51</v>
      </c>
      <c r="G7" s="46" t="s">
        <v>6</v>
      </c>
      <c r="H7" s="8">
        <v>1380</v>
      </c>
      <c r="I7" s="8">
        <v>13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22</v>
      </c>
      <c r="C8" s="29">
        <f>SUM(C6:C7)</f>
        <v>413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13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116</v>
      </c>
      <c r="D15" s="2"/>
      <c r="E15" s="18"/>
      <c r="F15" s="25"/>
      <c r="G15" s="26"/>
      <c r="H15" s="8"/>
      <c r="I15" s="8"/>
      <c r="J15" s="2"/>
      <c r="K15" s="25"/>
      <c r="L15" s="9"/>
      <c r="M15" s="68"/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529</v>
      </c>
      <c r="D16" s="2"/>
      <c r="E16" s="18"/>
      <c r="F16" s="25"/>
      <c r="G16" s="26"/>
      <c r="H16" s="8"/>
      <c r="I16" s="8"/>
      <c r="J16" s="2"/>
      <c r="K16" s="25"/>
      <c r="L16" s="9"/>
      <c r="M16" s="67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2370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3977</v>
      </c>
      <c r="F35" s="25" t="s">
        <v>52</v>
      </c>
      <c r="G35" s="26" t="s">
        <v>10</v>
      </c>
      <c r="H35" s="8">
        <v>116</v>
      </c>
      <c r="I35" s="8" t="s">
        <v>53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80" zoomScaleNormal="80" workbookViewId="0">
      <selection activeCell="G16" sqref="G16"/>
    </sheetView>
  </sheetViews>
  <sheetFormatPr defaultColWidth="9.140625" defaultRowHeight="12.75" x14ac:dyDescent="0.2"/>
  <cols>
    <col min="1" max="1" width="3.7109375" style="1" customWidth="1"/>
    <col min="2" max="2" width="29.5703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'05'!B1+1</f>
        <v>45357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2325.7600000000002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375</v>
      </c>
      <c r="D6" s="2"/>
      <c r="E6" s="84">
        <v>4092</v>
      </c>
      <c r="F6" s="65" t="s">
        <v>54</v>
      </c>
      <c r="G6" s="85" t="s">
        <v>8</v>
      </c>
      <c r="H6" s="77">
        <v>1425.76</v>
      </c>
      <c r="I6" s="77">
        <v>50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4093</v>
      </c>
      <c r="F7" s="25" t="s">
        <v>55</v>
      </c>
      <c r="G7" s="26" t="s">
        <v>6</v>
      </c>
      <c r="H7" s="8">
        <v>900</v>
      </c>
      <c r="I7" s="8">
        <v>100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22</v>
      </c>
      <c r="C8" s="29">
        <f>SUM(C6:C7)</f>
        <v>375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" x14ac:dyDescent="0.25">
      <c r="B10" s="97" t="s">
        <v>5</v>
      </c>
      <c r="C10" s="97"/>
      <c r="D10" s="2"/>
      <c r="E10" s="59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389</v>
      </c>
      <c r="D15" s="2"/>
      <c r="E15" s="18"/>
      <c r="F15" s="25"/>
      <c r="G15" s="26"/>
      <c r="H15" s="8"/>
      <c r="I15" s="8"/>
      <c r="J15" s="2"/>
      <c r="K15" s="18"/>
      <c r="L15" s="25"/>
      <c r="M15" s="16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539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2325.7600000000002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4091</v>
      </c>
      <c r="F26" s="25" t="s">
        <v>56</v>
      </c>
      <c r="G26" s="26" t="s">
        <v>10</v>
      </c>
      <c r="H26" s="8">
        <v>0</v>
      </c>
      <c r="I26" s="8">
        <v>225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2021158</v>
      </c>
      <c r="F35" s="25" t="s">
        <v>57</v>
      </c>
      <c r="G35" s="26" t="s">
        <v>10</v>
      </c>
      <c r="H35" s="8">
        <v>164</v>
      </c>
      <c r="I35" s="8" t="s">
        <v>58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topLeftCell="E1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'06'!B1+1</f>
        <v>45358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2568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925</v>
      </c>
      <c r="D6" s="2"/>
      <c r="E6" s="18">
        <v>4094</v>
      </c>
      <c r="F6" s="49" t="s">
        <v>59</v>
      </c>
      <c r="G6" s="49" t="s">
        <v>7</v>
      </c>
      <c r="H6" s="50">
        <v>499</v>
      </c>
      <c r="I6" s="50">
        <v>200</v>
      </c>
      <c r="J6" s="2"/>
      <c r="K6" s="25"/>
      <c r="L6" s="9"/>
      <c r="M6" s="16"/>
      <c r="R6" s="1">
        <f>IF(vend7[[#This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4095</v>
      </c>
      <c r="F7" s="48" t="s">
        <v>60</v>
      </c>
      <c r="G7" s="48" t="s">
        <v>7</v>
      </c>
      <c r="H7" s="47">
        <v>900</v>
      </c>
      <c r="I7" s="47">
        <v>225</v>
      </c>
      <c r="J7" s="2"/>
      <c r="K7" s="25"/>
      <c r="L7" s="9"/>
      <c r="M7" s="16"/>
      <c r="R7" s="1">
        <f>IF(vend7[[#This Row],[Nº Venda]]&gt;1,1,0)</f>
        <v>1</v>
      </c>
    </row>
    <row r="8" spans="2:18" ht="15.75" x14ac:dyDescent="0.25">
      <c r="B8" s="28" t="s">
        <v>22</v>
      </c>
      <c r="C8" s="29">
        <f>SUM(C6:C7)</f>
        <v>925</v>
      </c>
      <c r="D8" s="2"/>
      <c r="E8" s="18"/>
      <c r="F8" s="25"/>
      <c r="G8" s="26" t="s">
        <v>6</v>
      </c>
      <c r="H8" s="8">
        <v>0</v>
      </c>
      <c r="I8" s="8">
        <v>25</v>
      </c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>
        <v>4096</v>
      </c>
      <c r="F9" s="25" t="s">
        <v>60</v>
      </c>
      <c r="G9" s="26" t="s">
        <v>7</v>
      </c>
      <c r="H9" s="8">
        <v>350</v>
      </c>
      <c r="I9" s="8">
        <v>225</v>
      </c>
      <c r="J9" s="2"/>
      <c r="K9" s="25"/>
      <c r="L9" s="9"/>
      <c r="M9" s="16"/>
      <c r="R9" s="1">
        <f>IF(vend7[[#This Row],[Nº Venda]]&gt;1,1,0)</f>
        <v>1</v>
      </c>
    </row>
    <row r="10" spans="2:18" ht="15.75" x14ac:dyDescent="0.25">
      <c r="B10" s="97" t="s">
        <v>5</v>
      </c>
      <c r="C10" s="97"/>
      <c r="D10" s="2"/>
      <c r="E10" s="18"/>
      <c r="F10" s="25"/>
      <c r="G10" s="26" t="s">
        <v>6</v>
      </c>
      <c r="H10" s="8">
        <v>0</v>
      </c>
      <c r="I10" s="8">
        <v>25</v>
      </c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>
        <v>4097</v>
      </c>
      <c r="F11" s="25" t="s">
        <v>61</v>
      </c>
      <c r="G11" s="26" t="s">
        <v>7</v>
      </c>
      <c r="H11" s="8">
        <v>170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947</v>
      </c>
      <c r="D12" s="2"/>
      <c r="E12" s="18">
        <v>4098</v>
      </c>
      <c r="F12" s="25" t="s">
        <v>62</v>
      </c>
      <c r="G12" s="26" t="s">
        <v>7</v>
      </c>
      <c r="H12" s="8">
        <v>649</v>
      </c>
      <c r="I12" s="8">
        <v>50</v>
      </c>
      <c r="J12" s="2"/>
      <c r="R12" s="1">
        <f>IF(vend7[[#This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255</v>
      </c>
      <c r="D15" s="2"/>
      <c r="E15" s="18"/>
      <c r="F15" s="25"/>
      <c r="G15" s="26"/>
      <c r="H15" s="8"/>
      <c r="I15" s="8"/>
      <c r="J15" s="2"/>
      <c r="K15" s="51">
        <v>4074</v>
      </c>
      <c r="L15" s="52" t="s">
        <v>39</v>
      </c>
      <c r="M15" s="53" t="s">
        <v>40</v>
      </c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1252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27</v>
      </c>
      <c r="C22" s="32">
        <f>C5</f>
        <v>2568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8">
        <v>4080</v>
      </c>
      <c r="F26" s="64" t="s">
        <v>63</v>
      </c>
      <c r="G26" s="79" t="s">
        <v>10</v>
      </c>
      <c r="H26" s="80">
        <v>0</v>
      </c>
      <c r="I26" s="80">
        <v>75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4031</v>
      </c>
      <c r="F35" s="25" t="s">
        <v>64</v>
      </c>
      <c r="G35" s="26" t="s">
        <v>10</v>
      </c>
      <c r="H35" s="8">
        <v>180</v>
      </c>
      <c r="I35" s="8" t="s">
        <v>65</v>
      </c>
      <c r="K35" s="25"/>
      <c r="L35" s="41"/>
      <c r="M35" s="16"/>
    </row>
    <row r="36" spans="2:18" ht="15.75" x14ac:dyDescent="0.25">
      <c r="E36" s="18">
        <v>2056693</v>
      </c>
      <c r="F36" s="25" t="s">
        <v>66</v>
      </c>
      <c r="G36" s="26" t="s">
        <v>7</v>
      </c>
      <c r="H36" s="8">
        <v>147</v>
      </c>
      <c r="I36" s="8" t="s">
        <v>67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'07'!B1+1</f>
        <v>45359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850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1000</v>
      </c>
      <c r="D6" s="2"/>
      <c r="E6" s="54">
        <v>4099</v>
      </c>
      <c r="F6" s="8" t="s">
        <v>68</v>
      </c>
      <c r="G6" s="8" t="s">
        <v>7</v>
      </c>
      <c r="H6" s="8">
        <v>850</v>
      </c>
      <c r="I6" s="8">
        <v>200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4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22</v>
      </c>
      <c r="C8" s="29">
        <f>SUM(C6:C7)</f>
        <v>1000</v>
      </c>
      <c r="D8" s="2"/>
      <c r="E8" s="54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4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98</v>
      </c>
      <c r="D15" s="2"/>
      <c r="E15" s="18"/>
      <c r="F15" s="25"/>
      <c r="G15" s="26"/>
      <c r="H15" s="8"/>
      <c r="I15" s="8"/>
      <c r="J15" s="2"/>
      <c r="K15" s="25">
        <v>4080</v>
      </c>
      <c r="L15" s="9" t="s">
        <v>39</v>
      </c>
      <c r="M15" s="16" t="s">
        <v>40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1098</v>
      </c>
      <c r="D16" s="2"/>
      <c r="E16" s="18"/>
      <c r="F16" s="25"/>
      <c r="G16" s="26"/>
      <c r="H16" s="8"/>
      <c r="I16" s="8"/>
      <c r="J16" s="2"/>
      <c r="K16" s="25">
        <v>4062</v>
      </c>
      <c r="L16" s="9" t="s">
        <v>39</v>
      </c>
      <c r="M16" s="16" t="s">
        <v>40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850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8">
        <v>4092</v>
      </c>
      <c r="F26" s="64" t="s">
        <v>69</v>
      </c>
      <c r="G26" s="79" t="s">
        <v>7</v>
      </c>
      <c r="H26" s="80">
        <v>0</v>
      </c>
      <c r="I26" s="80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4062</v>
      </c>
      <c r="F27" s="25" t="s">
        <v>70</v>
      </c>
      <c r="G27" s="46" t="s">
        <v>6</v>
      </c>
      <c r="H27" s="8"/>
      <c r="I27" s="8">
        <v>600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4002</v>
      </c>
      <c r="F35" s="25" t="s">
        <v>71</v>
      </c>
      <c r="G35" s="26" t="s">
        <v>10</v>
      </c>
      <c r="H35" s="8">
        <v>98</v>
      </c>
      <c r="I35" s="8" t="s">
        <v>72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9.57031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'08'!B1+1</f>
        <v>45360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2553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1190</v>
      </c>
      <c r="D6" s="2"/>
      <c r="E6" s="18">
        <v>4100</v>
      </c>
      <c r="F6" s="25" t="s">
        <v>73</v>
      </c>
      <c r="G6" s="46" t="s">
        <v>9</v>
      </c>
      <c r="H6" s="8">
        <v>700</v>
      </c>
      <c r="I6" s="8">
        <v>700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4101</v>
      </c>
      <c r="F7" s="25" t="s">
        <v>74</v>
      </c>
      <c r="G7" s="46" t="s">
        <v>9</v>
      </c>
      <c r="H7" s="8">
        <v>290</v>
      </c>
      <c r="I7" s="8">
        <v>290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22</v>
      </c>
      <c r="C8" s="29">
        <f>SUM(C6:C7)</f>
        <v>1190</v>
      </c>
      <c r="D8" s="2"/>
      <c r="E8" s="18">
        <v>4102</v>
      </c>
      <c r="F8" s="25" t="s">
        <v>75</v>
      </c>
      <c r="G8" s="26" t="s">
        <v>10</v>
      </c>
      <c r="H8" s="8">
        <v>1463</v>
      </c>
      <c r="I8" s="8">
        <v>100</v>
      </c>
      <c r="J8" s="2"/>
      <c r="K8" s="25"/>
      <c r="L8" s="9"/>
      <c r="M8" s="16"/>
      <c r="R8" s="1">
        <f>IF(vend9[[#This Row],[Nº Venda]]&gt;1,1,0)</f>
        <v>1</v>
      </c>
    </row>
    <row r="9" spans="2:18" ht="15.75" x14ac:dyDescent="0.25">
      <c r="B9" s="2"/>
      <c r="C9" s="2"/>
      <c r="D9" s="2"/>
      <c r="E9" s="86">
        <v>4103</v>
      </c>
      <c r="F9" s="87" t="s">
        <v>76</v>
      </c>
      <c r="G9" s="88" t="s">
        <v>9</v>
      </c>
      <c r="H9" s="89">
        <v>100</v>
      </c>
      <c r="I9" s="89">
        <v>100</v>
      </c>
      <c r="J9" s="2"/>
      <c r="K9" s="25"/>
      <c r="L9" s="9"/>
      <c r="M9" s="16"/>
      <c r="R9" s="1">
        <f>IF(vend9[[#This Row],[Nº Venda]]&gt;1,1,0)</f>
        <v>1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1090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484</v>
      </c>
      <c r="D15" s="2"/>
      <c r="E15" s="18"/>
      <c r="F15" s="25"/>
      <c r="G15" s="26"/>
      <c r="H15" s="8"/>
      <c r="I15" s="8"/>
      <c r="J15" s="2"/>
      <c r="K15" s="25">
        <v>4035</v>
      </c>
      <c r="L15" s="9" t="s">
        <v>39</v>
      </c>
      <c r="M15" s="16" t="s">
        <v>40</v>
      </c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1824</v>
      </c>
      <c r="D16" s="2"/>
      <c r="E16" s="18"/>
      <c r="F16" s="25"/>
      <c r="G16" s="26"/>
      <c r="H16" s="8"/>
      <c r="I16" s="8"/>
      <c r="J16" s="2"/>
      <c r="K16" s="25">
        <v>4103</v>
      </c>
      <c r="L16" s="9" t="s">
        <v>39</v>
      </c>
      <c r="M16" s="16" t="s">
        <v>40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2553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2086597</v>
      </c>
      <c r="F35" s="25" t="s">
        <v>77</v>
      </c>
      <c r="G35" s="26" t="s">
        <v>6</v>
      </c>
      <c r="H35" s="8">
        <v>250</v>
      </c>
      <c r="I35" s="8" t="s">
        <v>78</v>
      </c>
      <c r="K35" s="25"/>
      <c r="L35" s="41"/>
      <c r="M35" s="16"/>
    </row>
    <row r="36" spans="2:18" ht="15.75" x14ac:dyDescent="0.25">
      <c r="E36" s="18">
        <v>3999</v>
      </c>
      <c r="F36" s="25" t="s">
        <v>79</v>
      </c>
      <c r="G36" s="26" t="s">
        <v>10</v>
      </c>
      <c r="H36" s="8">
        <v>162</v>
      </c>
      <c r="I36" s="8" t="s">
        <v>47</v>
      </c>
      <c r="K36" s="25"/>
      <c r="L36" s="41"/>
      <c r="M36" s="16"/>
    </row>
    <row r="37" spans="2:18" ht="15.75" x14ac:dyDescent="0.25">
      <c r="E37" s="18">
        <v>3804</v>
      </c>
      <c r="F37" s="25" t="s">
        <v>80</v>
      </c>
      <c r="G37" s="26" t="s">
        <v>10</v>
      </c>
      <c r="H37" s="8">
        <v>78</v>
      </c>
      <c r="I37" s="8" t="s">
        <v>67</v>
      </c>
      <c r="K37" s="25"/>
      <c r="L37" s="41"/>
      <c r="M37" s="16"/>
    </row>
    <row r="38" spans="2:18" ht="15.75" x14ac:dyDescent="0.25">
      <c r="E38" s="18">
        <v>4004</v>
      </c>
      <c r="F38" s="25" t="s">
        <v>81</v>
      </c>
      <c r="G38" s="26" t="s">
        <v>10</v>
      </c>
      <c r="H38" s="8">
        <v>64</v>
      </c>
      <c r="I38" s="8" t="s">
        <v>82</v>
      </c>
      <c r="K38" s="25"/>
      <c r="L38" s="41"/>
      <c r="M38" s="16"/>
    </row>
    <row r="39" spans="2:18" ht="15.75" x14ac:dyDescent="0.25">
      <c r="E39" s="18">
        <v>2103024</v>
      </c>
      <c r="F39" s="39" t="s">
        <v>83</v>
      </c>
      <c r="G39" s="26" t="s">
        <v>10</v>
      </c>
      <c r="H39" s="8">
        <v>80</v>
      </c>
      <c r="I39" s="8" t="s">
        <v>67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G41" sqref="G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'09'!B1+1</f>
        <v>45361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67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2:18" ht="15" x14ac:dyDescent="0.25">
      <c r="B33" s="2"/>
      <c r="C33" s="2"/>
      <c r="E33" s="33"/>
      <c r="K33" s="99" t="s">
        <v>12</v>
      </c>
      <c r="L33" s="100"/>
      <c r="M33" s="101"/>
    </row>
    <row r="34" spans="2:18" ht="15" x14ac:dyDescent="0.25">
      <c r="E34" s="98" t="s">
        <v>31</v>
      </c>
      <c r="F34" s="98"/>
      <c r="G34" s="98"/>
      <c r="H34" s="98"/>
      <c r="I34" s="98"/>
      <c r="K34" s="14" t="s">
        <v>24</v>
      </c>
      <c r="L34" s="6" t="s">
        <v>34</v>
      </c>
      <c r="M34" s="15" t="s">
        <v>35</v>
      </c>
    </row>
    <row r="35" spans="2:18" ht="15" x14ac:dyDescent="0.25">
      <c r="E35" s="10" t="s">
        <v>24</v>
      </c>
      <c r="F35" s="10" t="s">
        <v>15</v>
      </c>
      <c r="G35" s="11" t="s">
        <v>16</v>
      </c>
      <c r="H35" s="12" t="s">
        <v>32</v>
      </c>
      <c r="I35" s="13" t="s">
        <v>33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'10'!B1+1</f>
        <v>45362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1375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1575</v>
      </c>
      <c r="D6" s="2"/>
      <c r="E6" s="18">
        <v>4104</v>
      </c>
      <c r="F6" s="25" t="s">
        <v>84</v>
      </c>
      <c r="G6" s="26" t="s">
        <v>6</v>
      </c>
      <c r="H6" s="8">
        <v>1000</v>
      </c>
      <c r="I6" s="8">
        <v>150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 t="s">
        <v>84</v>
      </c>
      <c r="G7" s="26" t="s">
        <v>7</v>
      </c>
      <c r="H7" s="8">
        <v>0</v>
      </c>
      <c r="I7" s="8">
        <v>150</v>
      </c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22</v>
      </c>
      <c r="C8" s="29">
        <f>SUM(C6:C7)</f>
        <v>1575</v>
      </c>
      <c r="D8" s="2"/>
      <c r="E8" s="18">
        <v>4105</v>
      </c>
      <c r="F8" s="25" t="s">
        <v>85</v>
      </c>
      <c r="G8" s="26" t="s">
        <v>9</v>
      </c>
      <c r="H8" s="8">
        <v>375</v>
      </c>
      <c r="I8" s="8">
        <v>375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536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296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1025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235</v>
      </c>
      <c r="D15" s="2"/>
      <c r="E15" s="18"/>
      <c r="F15" s="25"/>
      <c r="G15" s="26"/>
      <c r="H15" s="8"/>
      <c r="I15" s="8"/>
      <c r="J15" s="2"/>
      <c r="K15" s="25">
        <v>4088</v>
      </c>
      <c r="L15" s="9" t="s">
        <v>39</v>
      </c>
      <c r="M15" s="16" t="s">
        <v>40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2092</v>
      </c>
      <c r="D16" s="2"/>
      <c r="E16" s="18"/>
      <c r="F16" s="25"/>
      <c r="G16" s="26"/>
      <c r="H16" s="8"/>
      <c r="I16" s="8"/>
      <c r="J16" s="2"/>
      <c r="K16" s="25">
        <v>4040</v>
      </c>
      <c r="L16" s="9" t="s">
        <v>39</v>
      </c>
      <c r="M16" s="16" t="s">
        <v>40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1375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4070</v>
      </c>
      <c r="F26" s="25" t="s">
        <v>86</v>
      </c>
      <c r="G26" s="46" t="s">
        <v>6</v>
      </c>
      <c r="H26" s="8">
        <v>0</v>
      </c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4099</v>
      </c>
      <c r="F27" s="25" t="s">
        <v>87</v>
      </c>
      <c r="G27" s="26" t="s">
        <v>9</v>
      </c>
      <c r="H27" s="8">
        <v>0</v>
      </c>
      <c r="I27" s="8">
        <v>650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3922</v>
      </c>
      <c r="F35" s="25" t="s">
        <v>88</v>
      </c>
      <c r="G35" s="26" t="s">
        <v>10</v>
      </c>
      <c r="H35" s="8">
        <v>125</v>
      </c>
      <c r="I35" s="8" t="s">
        <v>89</v>
      </c>
      <c r="K35" s="25"/>
      <c r="L35" s="41"/>
      <c r="M35" s="16"/>
    </row>
    <row r="36" spans="2:18" ht="15.75" x14ac:dyDescent="0.25">
      <c r="E36" s="18">
        <v>3983</v>
      </c>
      <c r="F36" s="25" t="s">
        <v>90</v>
      </c>
      <c r="G36" s="26" t="s">
        <v>10</v>
      </c>
      <c r="H36" s="8">
        <v>110</v>
      </c>
      <c r="I36" s="8" t="s">
        <v>82</v>
      </c>
      <c r="K36" s="25"/>
      <c r="L36" s="41"/>
      <c r="M36" s="16"/>
    </row>
    <row r="37" spans="2:18" ht="15.75" x14ac:dyDescent="0.25">
      <c r="E37" s="18">
        <v>2105210</v>
      </c>
      <c r="F37" s="25" t="s">
        <v>91</v>
      </c>
      <c r="G37" s="26" t="s">
        <v>6</v>
      </c>
      <c r="H37" s="8">
        <v>136</v>
      </c>
      <c r="I37" s="8" t="s">
        <v>49</v>
      </c>
      <c r="K37" s="25"/>
      <c r="L37" s="41"/>
      <c r="M37" s="16"/>
    </row>
    <row r="38" spans="2:18" ht="15.75" x14ac:dyDescent="0.25">
      <c r="E38" s="18">
        <v>2095535</v>
      </c>
      <c r="F38" s="25" t="s">
        <v>92</v>
      </c>
      <c r="G38" s="26" t="s">
        <v>7</v>
      </c>
      <c r="H38" s="8">
        <v>146</v>
      </c>
      <c r="I38" s="8" t="s">
        <v>93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C36" sqref="C36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3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36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'11'!B1+1</f>
        <v>45363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984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884</v>
      </c>
      <c r="D6" s="2"/>
      <c r="E6" s="78">
        <v>4106</v>
      </c>
      <c r="F6" s="64" t="s">
        <v>94</v>
      </c>
      <c r="G6" s="90" t="s">
        <v>9</v>
      </c>
      <c r="H6" s="80">
        <v>860</v>
      </c>
      <c r="I6" s="80">
        <v>860</v>
      </c>
      <c r="J6" s="2"/>
      <c r="K6" s="65" t="s">
        <v>95</v>
      </c>
      <c r="L6" s="73" t="s">
        <v>6</v>
      </c>
      <c r="M6" s="74">
        <v>200</v>
      </c>
      <c r="R6" s="1">
        <f>IF(vend12[[#This Row],[Nº Venda]]&gt;1,1,0)</f>
        <v>1</v>
      </c>
    </row>
    <row r="7" spans="2:18" ht="15.75" x14ac:dyDescent="0.25">
      <c r="B7" s="23" t="s">
        <v>3</v>
      </c>
      <c r="C7" s="24">
        <f>SUM(M6:M11)</f>
        <v>200</v>
      </c>
      <c r="D7" s="2"/>
      <c r="E7" s="95">
        <v>4107</v>
      </c>
      <c r="F7" s="93" t="s">
        <v>94</v>
      </c>
      <c r="G7" s="93" t="s">
        <v>96</v>
      </c>
      <c r="H7" s="94">
        <v>0</v>
      </c>
      <c r="I7" s="94">
        <v>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22</v>
      </c>
      <c r="C8" s="29">
        <f>SUM(C6:C7)</f>
        <v>1084</v>
      </c>
      <c r="D8" s="2"/>
      <c r="E8" s="91">
        <v>4108</v>
      </c>
      <c r="F8" s="55" t="s">
        <v>97</v>
      </c>
      <c r="G8" s="55" t="s">
        <v>43</v>
      </c>
      <c r="H8" s="56">
        <v>0</v>
      </c>
      <c r="I8" s="56">
        <v>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>
        <v>4109</v>
      </c>
      <c r="F9" s="25" t="s">
        <v>98</v>
      </c>
      <c r="G9" s="26" t="s">
        <v>6</v>
      </c>
      <c r="H9" s="8">
        <v>124</v>
      </c>
      <c r="I9" s="8">
        <v>24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97" t="s">
        <v>5</v>
      </c>
      <c r="C10" s="97"/>
      <c r="D10" s="2"/>
      <c r="E10" s="91">
        <v>4110</v>
      </c>
      <c r="F10" s="55" t="s">
        <v>99</v>
      </c>
      <c r="G10" s="55" t="s">
        <v>43</v>
      </c>
      <c r="H10" s="56">
        <v>0</v>
      </c>
      <c r="I10" s="56">
        <v>0</v>
      </c>
      <c r="J10" s="2"/>
      <c r="K10" s="25"/>
      <c r="L10" s="9"/>
      <c r="M10" s="16"/>
      <c r="R10" s="1">
        <f>IF(vend12[[#This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224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>(SUMIF($G$2:$G$31,B13,$I$2:$I$31))+(SUMIF($G$35:$G$41,B13,$H$35:$H$41))</f>
        <v>0</v>
      </c>
      <c r="D13" s="2"/>
      <c r="E13" s="78"/>
      <c r="F13" s="64"/>
      <c r="G13" s="90"/>
      <c r="H13" s="80"/>
      <c r="I13" s="80"/>
      <c r="J13" s="2"/>
      <c r="K13" s="99" t="s">
        <v>23</v>
      </c>
      <c r="L13" s="100"/>
      <c r="M13" s="101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860</v>
      </c>
      <c r="D14" s="2"/>
      <c r="E14" s="91"/>
      <c r="F14" s="55"/>
      <c r="G14" s="55"/>
      <c r="H14" s="56"/>
      <c r="I14" s="56"/>
      <c r="J14" s="2"/>
      <c r="K14" s="14" t="s">
        <v>24</v>
      </c>
      <c r="L14" s="6" t="s">
        <v>25</v>
      </c>
      <c r="M14" s="15" t="s">
        <v>26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>(SUMIF($G$2:$G$31,B15,$I$2:$I$31))+(SUMIF($G$35:$G$41,B15,$H$35:$H$41))</f>
        <v>517.28</v>
      </c>
      <c r="D15" s="2"/>
      <c r="E15" s="18"/>
      <c r="F15" s="25"/>
      <c r="G15" s="26"/>
      <c r="H15" s="8"/>
      <c r="I15" s="8"/>
      <c r="J15" s="2"/>
      <c r="K15" s="25">
        <v>4073</v>
      </c>
      <c r="L15" s="9" t="s">
        <v>39</v>
      </c>
      <c r="M15" s="16" t="s">
        <v>40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1601.28</v>
      </c>
      <c r="D16" s="2"/>
      <c r="E16" s="92"/>
      <c r="F16" s="55"/>
      <c r="G16" s="55"/>
      <c r="H16" s="56"/>
      <c r="I16" s="56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92"/>
      <c r="F17" s="55"/>
      <c r="G17" s="55"/>
      <c r="H17" s="56"/>
      <c r="I17" s="56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984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7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4057</v>
      </c>
      <c r="F35" s="25" t="s">
        <v>100</v>
      </c>
      <c r="G35" s="26" t="s">
        <v>10</v>
      </c>
      <c r="H35" s="8">
        <v>183</v>
      </c>
      <c r="I35" s="8" t="s">
        <v>65</v>
      </c>
      <c r="K35" s="25"/>
      <c r="L35" s="41"/>
      <c r="M35" s="16"/>
    </row>
    <row r="36" spans="2:18" ht="15.75" x14ac:dyDescent="0.25">
      <c r="E36" s="18">
        <v>4013</v>
      </c>
      <c r="F36" s="25" t="s">
        <v>101</v>
      </c>
      <c r="G36" s="26" t="s">
        <v>10</v>
      </c>
      <c r="H36" s="8">
        <v>334.28</v>
      </c>
      <c r="I36" s="8" t="s">
        <v>102</v>
      </c>
      <c r="K36" s="25"/>
      <c r="L36" s="41"/>
      <c r="M36" s="16"/>
    </row>
    <row r="37" spans="2:18" ht="15.75" x14ac:dyDescent="0.25">
      <c r="E37" s="18">
        <v>3937</v>
      </c>
      <c r="F37" s="25" t="s">
        <v>103</v>
      </c>
      <c r="G37" s="26" t="s">
        <v>6</v>
      </c>
      <c r="H37" s="8">
        <v>50</v>
      </c>
      <c r="I37" s="8" t="s">
        <v>104</v>
      </c>
      <c r="K37" s="25"/>
      <c r="L37" s="41"/>
      <c r="M37" s="16"/>
    </row>
    <row r="38" spans="2:18" ht="15.75" x14ac:dyDescent="0.25">
      <c r="E38" s="18">
        <v>3937</v>
      </c>
      <c r="F38" s="25" t="s">
        <v>103</v>
      </c>
      <c r="G38" s="26" t="s">
        <v>6</v>
      </c>
      <c r="H38" s="8">
        <v>50</v>
      </c>
      <c r="I38" s="8" t="s">
        <v>82</v>
      </c>
      <c r="K38" s="25"/>
      <c r="L38" s="41"/>
      <c r="M38" s="16"/>
    </row>
    <row r="39" spans="2:18" ht="15.75" x14ac:dyDescent="0.25">
      <c r="E39" s="18">
        <v>3937</v>
      </c>
      <c r="F39" s="39" t="s">
        <v>103</v>
      </c>
      <c r="G39" s="26" t="s">
        <v>6</v>
      </c>
      <c r="H39" s="8">
        <v>50</v>
      </c>
      <c r="I39" s="8" t="s">
        <v>89</v>
      </c>
      <c r="K39" s="25"/>
      <c r="L39" s="41"/>
      <c r="M39" s="16"/>
    </row>
    <row r="40" spans="2:18" ht="15.75" x14ac:dyDescent="0.25">
      <c r="E40" s="35">
        <v>3937</v>
      </c>
      <c r="F40" s="36" t="s">
        <v>103</v>
      </c>
      <c r="G40" s="37" t="s">
        <v>6</v>
      </c>
      <c r="H40" s="17">
        <v>50</v>
      </c>
      <c r="I40" s="8" t="s">
        <v>105</v>
      </c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I4" zoomScale="80" zoomScaleNormal="80" workbookViewId="0">
      <selection activeCell="X14" sqref="X14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'12'!B1+1</f>
        <v>45364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1200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200</v>
      </c>
      <c r="D6" s="2"/>
      <c r="E6" s="18">
        <v>4111</v>
      </c>
      <c r="F6" s="25" t="s">
        <v>106</v>
      </c>
      <c r="G6" s="26" t="s">
        <v>7</v>
      </c>
      <c r="H6" s="8">
        <v>1050</v>
      </c>
      <c r="I6" s="8">
        <v>50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4112</v>
      </c>
      <c r="F7" s="25" t="s">
        <v>107</v>
      </c>
      <c r="G7" s="26" t="s">
        <v>7</v>
      </c>
      <c r="H7" s="8">
        <v>150</v>
      </c>
      <c r="I7" s="8">
        <v>150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22</v>
      </c>
      <c r="C8" s="29">
        <f>SUM(C6:C7)</f>
        <v>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65">
        <v>4077</v>
      </c>
      <c r="L15" s="73" t="s">
        <v>39</v>
      </c>
      <c r="M15" s="74" t="s">
        <v>40</v>
      </c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>
        <v>4089</v>
      </c>
      <c r="L16" s="9" t="s">
        <v>39</v>
      </c>
      <c r="M16" s="16" t="s">
        <v>40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4112</v>
      </c>
      <c r="L17" s="9" t="s">
        <v>39</v>
      </c>
      <c r="M17" s="16" t="s">
        <v>40</v>
      </c>
      <c r="R17" s="1">
        <f>IF(vend13[[#This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B35" s="1">
        <v>3</v>
      </c>
      <c r="E35" s="18">
        <v>2964</v>
      </c>
      <c r="F35" s="25" t="s">
        <v>108</v>
      </c>
      <c r="G35" s="26" t="s">
        <v>10</v>
      </c>
      <c r="H35" s="8">
        <v>100</v>
      </c>
      <c r="I35" s="8" t="s">
        <v>109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abSelected="1" topLeftCell="A4" zoomScale="80" zoomScaleNormal="8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45365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1950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1750</v>
      </c>
      <c r="D6" s="2"/>
      <c r="E6" s="18">
        <v>4113</v>
      </c>
      <c r="F6" s="25" t="s">
        <v>110</v>
      </c>
      <c r="G6" s="46" t="s">
        <v>7</v>
      </c>
      <c r="H6" s="8">
        <v>750</v>
      </c>
      <c r="I6" s="8">
        <v>100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4114</v>
      </c>
      <c r="F7" s="25" t="s">
        <v>111</v>
      </c>
      <c r="G7" s="46" t="s">
        <v>7</v>
      </c>
      <c r="H7" s="8">
        <v>400</v>
      </c>
      <c r="I7" s="8">
        <v>50</v>
      </c>
      <c r="J7" s="2"/>
      <c r="K7" s="25"/>
      <c r="L7" s="9"/>
      <c r="M7" s="16"/>
      <c r="R7" s="1">
        <f>IF(vend14[[#This Row],[Nº Venda]]&gt;1,1,0)</f>
        <v>1</v>
      </c>
    </row>
    <row r="8" spans="2:18" ht="15.75" x14ac:dyDescent="0.25">
      <c r="B8" s="28" t="s">
        <v>22</v>
      </c>
      <c r="C8" s="29">
        <f>SUM(C6:C7)</f>
        <v>1750</v>
      </c>
      <c r="D8" s="2"/>
      <c r="E8" s="18">
        <v>4115</v>
      </c>
      <c r="F8" s="25" t="s">
        <v>111</v>
      </c>
      <c r="G8" s="26" t="s">
        <v>7</v>
      </c>
      <c r="H8" s="8">
        <v>350</v>
      </c>
      <c r="I8" s="8">
        <v>50</v>
      </c>
      <c r="J8" s="2"/>
      <c r="K8" s="25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18">
        <v>4116</v>
      </c>
      <c r="F9" s="25" t="s">
        <v>112</v>
      </c>
      <c r="G9" s="26" t="s">
        <v>9</v>
      </c>
      <c r="H9" s="8">
        <v>300</v>
      </c>
      <c r="I9" s="8">
        <v>300</v>
      </c>
      <c r="J9" s="2"/>
      <c r="K9" s="25"/>
      <c r="L9" s="9"/>
      <c r="M9" s="16"/>
      <c r="R9" s="1">
        <f>IF(vend14[[#This Row],[Nº Venda]]&gt;1,1,0)</f>
        <v>1</v>
      </c>
    </row>
    <row r="10" spans="2:18" ht="15.75" x14ac:dyDescent="0.25">
      <c r="B10" s="97" t="s">
        <v>5</v>
      </c>
      <c r="C10" s="97"/>
      <c r="D10" s="2"/>
      <c r="E10" s="18">
        <v>4117</v>
      </c>
      <c r="F10" s="25" t="s">
        <v>112</v>
      </c>
      <c r="G10" s="26" t="s">
        <v>9</v>
      </c>
      <c r="H10" s="8">
        <v>150</v>
      </c>
      <c r="I10" s="8">
        <v>150</v>
      </c>
      <c r="J10" s="2"/>
      <c r="K10" s="25"/>
      <c r="L10" s="9"/>
      <c r="M10" s="16"/>
      <c r="R10" s="1">
        <f>IF(vend14[[#This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1450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4082</v>
      </c>
      <c r="L15" s="9" t="s">
        <v>39</v>
      </c>
      <c r="M15" s="16" t="s">
        <v>40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1750</v>
      </c>
      <c r="D16" s="2"/>
      <c r="E16" s="18"/>
      <c r="F16" s="25"/>
      <c r="G16" s="26"/>
      <c r="H16" s="8"/>
      <c r="I16" s="8"/>
      <c r="J16" s="2"/>
      <c r="K16" s="25">
        <v>4079</v>
      </c>
      <c r="L16" s="9" t="s">
        <v>39</v>
      </c>
      <c r="M16" s="16" t="s">
        <v>40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1950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4072</v>
      </c>
      <c r="F26" s="25" t="s">
        <v>113</v>
      </c>
      <c r="G26" s="26" t="s">
        <v>10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4111</v>
      </c>
      <c r="F27" s="25" t="s">
        <v>106</v>
      </c>
      <c r="G27" s="26" t="s">
        <v>9</v>
      </c>
      <c r="H27" s="8">
        <v>0</v>
      </c>
      <c r="I27" s="8">
        <v>1000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V21" sqref="V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'14'!B1+1</f>
        <v>45366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4118</v>
      </c>
      <c r="F6" s="25" t="s">
        <v>114</v>
      </c>
      <c r="G6" s="46" t="s">
        <v>9</v>
      </c>
      <c r="H6" s="8">
        <v>200</v>
      </c>
      <c r="I6" s="8">
        <v>200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22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180</v>
      </c>
      <c r="D15" s="2"/>
      <c r="E15" s="18"/>
      <c r="F15" s="25"/>
      <c r="G15" s="26"/>
      <c r="H15" s="8"/>
      <c r="I15" s="8"/>
      <c r="J15" s="2"/>
      <c r="K15" s="25">
        <v>4022</v>
      </c>
      <c r="L15" s="9" t="s">
        <v>39</v>
      </c>
      <c r="M15" s="16" t="s">
        <v>40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480</v>
      </c>
      <c r="D16" s="2"/>
      <c r="E16" s="18"/>
      <c r="F16" s="25"/>
      <c r="G16" s="26"/>
      <c r="H16" s="8"/>
      <c r="I16" s="8"/>
      <c r="J16" s="2"/>
      <c r="K16" s="25">
        <v>4118</v>
      </c>
      <c r="L16" s="9" t="s">
        <v>39</v>
      </c>
      <c r="M16" s="16" t="s">
        <v>40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4109</v>
      </c>
      <c r="F26" s="25" t="s">
        <v>115</v>
      </c>
      <c r="G26" s="46" t="s">
        <v>8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3771</v>
      </c>
      <c r="F35" s="25" t="s">
        <v>116</v>
      </c>
      <c r="G35" s="26" t="s">
        <v>10</v>
      </c>
      <c r="H35" s="8">
        <v>180</v>
      </c>
      <c r="I35" s="8" t="s">
        <v>82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80" zoomScaleNormal="80" workbookViewId="0">
      <selection activeCell="H30" sqref="H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'15'!B1+1</f>
        <v>45367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949.92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1699.92</v>
      </c>
      <c r="D6" s="2"/>
      <c r="E6" s="18">
        <v>4120</v>
      </c>
      <c r="F6" s="25" t="s">
        <v>117</v>
      </c>
      <c r="G6" s="46" t="s">
        <v>9</v>
      </c>
      <c r="H6" s="8">
        <v>400</v>
      </c>
      <c r="I6" s="8">
        <v>400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4121</v>
      </c>
      <c r="F7" s="25" t="s">
        <v>117</v>
      </c>
      <c r="G7" s="46" t="s">
        <v>9</v>
      </c>
      <c r="H7" s="8">
        <v>549.91999999999996</v>
      </c>
      <c r="I7" s="8">
        <v>549.91999999999996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22</v>
      </c>
      <c r="C8" s="29">
        <f>SUM(C6:C7)</f>
        <v>1699.92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949.92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450</v>
      </c>
      <c r="D15" s="2"/>
      <c r="E15" s="18"/>
      <c r="F15" s="25"/>
      <c r="G15" s="26"/>
      <c r="H15" s="8"/>
      <c r="I15" s="8"/>
      <c r="J15" s="2"/>
      <c r="K15" s="25">
        <v>4095</v>
      </c>
      <c r="L15" s="9" t="s">
        <v>39</v>
      </c>
      <c r="M15" s="16" t="s">
        <v>40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1699.92</v>
      </c>
      <c r="D16" s="2"/>
      <c r="E16" s="18"/>
      <c r="F16" s="25"/>
      <c r="G16" s="26"/>
      <c r="H16" s="8"/>
      <c r="I16" s="8"/>
      <c r="J16" s="2"/>
      <c r="K16" s="25">
        <v>4096</v>
      </c>
      <c r="L16" s="9" t="s">
        <v>39</v>
      </c>
      <c r="M16" s="16" t="s">
        <v>40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949.92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4095</v>
      </c>
      <c r="F26" s="25" t="s">
        <v>60</v>
      </c>
      <c r="G26" s="46" t="s">
        <v>10</v>
      </c>
      <c r="H26" s="8">
        <v>0</v>
      </c>
      <c r="I26" s="8">
        <v>450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4096</v>
      </c>
      <c r="F27" s="25" t="s">
        <v>60</v>
      </c>
      <c r="G27" s="26" t="s">
        <v>6</v>
      </c>
      <c r="H27" s="8">
        <v>0</v>
      </c>
      <c r="I27" s="8">
        <v>300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F37" sqref="F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45368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43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K6" sqref="K6:M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'17'!B1+1</f>
        <v>45369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77"/>
      <c r="I6" s="8"/>
      <c r="J6" s="2"/>
      <c r="K6" s="25"/>
      <c r="L6" s="71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77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9"/>
      <c r="F23" s="69"/>
      <c r="G23" s="69"/>
      <c r="H23" s="70"/>
      <c r="I23" s="70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'18'!B1+1</f>
        <v>45370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2758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1458</v>
      </c>
      <c r="D6" s="2"/>
      <c r="E6" s="18">
        <v>4124</v>
      </c>
      <c r="F6" s="25" t="s">
        <v>118</v>
      </c>
      <c r="G6" s="26" t="s">
        <v>43</v>
      </c>
      <c r="H6" s="8">
        <v>0</v>
      </c>
      <c r="I6" s="8">
        <v>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4125</v>
      </c>
      <c r="F7" s="25" t="s">
        <v>119</v>
      </c>
      <c r="G7" s="26" t="s">
        <v>10</v>
      </c>
      <c r="H7" s="72">
        <v>1550</v>
      </c>
      <c r="I7" s="8">
        <v>100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22</v>
      </c>
      <c r="C8" s="29">
        <f>SUM(C6:C7)</f>
        <v>1458</v>
      </c>
      <c r="D8" s="2"/>
      <c r="E8" s="18">
        <v>4126</v>
      </c>
      <c r="F8" s="25" t="s">
        <v>120</v>
      </c>
      <c r="G8" s="26" t="s">
        <v>9</v>
      </c>
      <c r="H8" s="8">
        <v>879</v>
      </c>
      <c r="I8" s="8">
        <v>879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8">
        <v>4127</v>
      </c>
      <c r="F9" s="25" t="s">
        <v>120</v>
      </c>
      <c r="G9" s="26" t="s">
        <v>9</v>
      </c>
      <c r="H9" s="8">
        <v>329</v>
      </c>
      <c r="I9" s="8">
        <v>329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1208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4087</v>
      </c>
      <c r="L15" s="9" t="s">
        <v>39</v>
      </c>
      <c r="M15" s="16" t="s">
        <v>40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1458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2758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4084</v>
      </c>
      <c r="F26" s="25" t="s">
        <v>121</v>
      </c>
      <c r="G26" s="26" t="s">
        <v>7</v>
      </c>
      <c r="H26" s="8"/>
      <c r="I26" s="8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6">
        <f>'19'!B1+1</f>
        <v>45371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1828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1128</v>
      </c>
      <c r="D6" s="2"/>
      <c r="E6" s="18">
        <v>4128</v>
      </c>
      <c r="F6" s="25" t="s">
        <v>122</v>
      </c>
      <c r="G6" s="26" t="s">
        <v>9</v>
      </c>
      <c r="H6" s="8">
        <v>599</v>
      </c>
      <c r="I6" s="8">
        <v>599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4">
        <v>4129</v>
      </c>
      <c r="F7" s="65" t="s">
        <v>123</v>
      </c>
      <c r="G7" s="85" t="s">
        <v>9</v>
      </c>
      <c r="H7" s="77">
        <v>329</v>
      </c>
      <c r="I7" s="77">
        <v>329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22</v>
      </c>
      <c r="C8" s="29">
        <f>SUM(C6:C7)</f>
        <v>1128</v>
      </c>
      <c r="D8" s="2"/>
      <c r="E8" s="18">
        <v>4130</v>
      </c>
      <c r="F8" s="25" t="s">
        <v>124</v>
      </c>
      <c r="G8" s="26" t="s">
        <v>10</v>
      </c>
      <c r="H8" s="8">
        <v>900</v>
      </c>
      <c r="I8" s="8">
        <v>100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928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460</v>
      </c>
      <c r="D15" s="2"/>
      <c r="E15" s="18"/>
      <c r="F15" s="25"/>
      <c r="G15" s="26"/>
      <c r="H15" s="8"/>
      <c r="I15" s="8"/>
      <c r="J15" s="2"/>
      <c r="K15" s="25">
        <v>4012</v>
      </c>
      <c r="L15" s="9" t="s">
        <v>39</v>
      </c>
      <c r="M15" s="16" t="s">
        <v>40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1488</v>
      </c>
      <c r="D16" s="2"/>
      <c r="E16" s="18"/>
      <c r="F16" s="25"/>
      <c r="G16" s="26"/>
      <c r="H16" s="8"/>
      <c r="I16" s="8"/>
      <c r="J16" s="2"/>
      <c r="K16" s="25">
        <v>4092</v>
      </c>
      <c r="L16" s="9" t="s">
        <v>39</v>
      </c>
      <c r="M16" s="16" t="s">
        <v>125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1</v>
      </c>
      <c r="C19" s="31">
        <f>SUM(entr_carn20[Valor Total])</f>
        <v>1075.76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1075.76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1828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4092</v>
      </c>
      <c r="F26" s="25" t="s">
        <v>54</v>
      </c>
      <c r="G26" s="26" t="s">
        <v>7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2103512</v>
      </c>
      <c r="F35" s="25" t="s">
        <v>126</v>
      </c>
      <c r="G35" s="26" t="s">
        <v>10</v>
      </c>
      <c r="H35" s="8">
        <v>100</v>
      </c>
      <c r="I35" s="8" t="s">
        <v>127</v>
      </c>
      <c r="K35" s="25">
        <v>4092</v>
      </c>
      <c r="L35" s="41">
        <v>6</v>
      </c>
      <c r="M35" s="16">
        <v>1075.76</v>
      </c>
    </row>
    <row r="36" spans="2:18" ht="15.75" x14ac:dyDescent="0.25">
      <c r="E36" s="18">
        <v>3942</v>
      </c>
      <c r="F36" s="25" t="s">
        <v>128</v>
      </c>
      <c r="G36" s="26" t="s">
        <v>10</v>
      </c>
      <c r="H36" s="8">
        <v>100</v>
      </c>
      <c r="I36" s="8" t="s">
        <v>109</v>
      </c>
      <c r="K36" s="65"/>
      <c r="L36" s="75"/>
      <c r="M36" s="74"/>
    </row>
    <row r="37" spans="2:18" ht="15.75" x14ac:dyDescent="0.25">
      <c r="E37" s="18">
        <v>3939</v>
      </c>
      <c r="F37" s="25" t="s">
        <v>129</v>
      </c>
      <c r="G37" s="26" t="s">
        <v>10</v>
      </c>
      <c r="H37" s="8">
        <v>160</v>
      </c>
      <c r="I37" s="8" t="s">
        <v>89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3"/>
  <sheetViews>
    <sheetView showGridLines="0" zoomScale="80" zoomScaleNormal="80" workbookViewId="0">
      <selection activeCell="L46" sqref="L4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45372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SUMIF(I6:I33,"&gt;0",H6:H33)</f>
        <v>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SUM(I6:I43)</f>
        <v>3582</v>
      </c>
      <c r="D6" s="2"/>
      <c r="E6" s="18">
        <v>4131</v>
      </c>
      <c r="F6" s="25" t="s">
        <v>130</v>
      </c>
      <c r="G6" s="26" t="s">
        <v>9</v>
      </c>
      <c r="H6" s="8">
        <v>150</v>
      </c>
      <c r="I6" s="8">
        <v>150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4132</v>
      </c>
      <c r="F7" s="25" t="s">
        <v>131</v>
      </c>
      <c r="G7" s="26" t="s">
        <v>43</v>
      </c>
      <c r="H7" s="8">
        <v>0</v>
      </c>
      <c r="I7" s="8">
        <v>0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22</v>
      </c>
      <c r="C8" s="29">
        <f>SUM(C6:C7)</f>
        <v>3582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(SUMIF($G$2:$G$33,B11,$I$2:$I$33))+(SUMIF($G$37:$G$43,B11,$H$37:$H$43))</f>
        <v>450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>(SUMIF($G$2:$G$33,B12,$I$2:$I$33))+(SUMIF($G$37:$G$43,B12,$H$37:$H$43))</f>
        <v>369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>(SUMIF($G$2:$G$33,B13,$I$2:$I$33))+(SUMIF($G$37:$G$43,B13,$H$37:$H$43))</f>
        <v>1363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>(SUMIF($G$2:$G$33,B14,$I$2:$I$33))+(SUMIF($G$37:$G$43,B14,$H$37:$H$43))</f>
        <v>1450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>(SUMIF($G$2:$G$33,B15,$I$2:$I$33))+(SUMIF($G$37:$G$43,B15,$H$37:$H$43))</f>
        <v>147</v>
      </c>
      <c r="D15" s="2"/>
      <c r="E15" s="18"/>
      <c r="F15" s="25"/>
      <c r="G15" s="26"/>
      <c r="H15" s="8"/>
      <c r="I15" s="8"/>
      <c r="J15" s="2"/>
      <c r="K15" s="25">
        <v>4114</v>
      </c>
      <c r="L15" s="9" t="s">
        <v>39</v>
      </c>
      <c r="M15" s="16" t="s">
        <v>40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3779</v>
      </c>
      <c r="D16" s="2"/>
      <c r="E16" s="18"/>
      <c r="F16" s="25"/>
      <c r="G16" s="26"/>
      <c r="H16" s="8"/>
      <c r="I16" s="8"/>
      <c r="J16" s="2"/>
      <c r="K16" s="25">
        <v>4115</v>
      </c>
      <c r="L16" s="9" t="s">
        <v>39</v>
      </c>
      <c r="M16" s="16" t="s">
        <v>40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4129</v>
      </c>
      <c r="L17" s="9" t="s">
        <v>39</v>
      </c>
      <c r="M17" s="16" t="s">
        <v>40</v>
      </c>
      <c r="R17" s="1">
        <f>IF(vend21[[#This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>
        <v>4105</v>
      </c>
      <c r="L18" s="9" t="s">
        <v>39</v>
      </c>
      <c r="M18" s="16" t="s">
        <v>40</v>
      </c>
      <c r="R18" s="1">
        <f>IF(vend21[[#This Row],[Nº Venda]]&gt;1,1,0)</f>
        <v>0</v>
      </c>
    </row>
    <row r="19" spans="2:18" ht="15.75" x14ac:dyDescent="0.25">
      <c r="B19" s="30">
        <f>COUNT(entr_carn21[OS])</f>
        <v>1</v>
      </c>
      <c r="C19" s="31">
        <f>SUM(entr_carn21[Valor Total])</f>
        <v>1150</v>
      </c>
      <c r="D19" s="2"/>
      <c r="E19" s="18"/>
      <c r="F19" s="25"/>
      <c r="G19" s="26"/>
      <c r="H19" s="8"/>
      <c r="I19" s="8"/>
      <c r="J19" s="2"/>
      <c r="K19" s="25">
        <v>4091</v>
      </c>
      <c r="L19" s="9" t="s">
        <v>132</v>
      </c>
      <c r="M19" s="16" t="s">
        <v>125</v>
      </c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1150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4114</v>
      </c>
      <c r="F26" s="25" t="s">
        <v>111</v>
      </c>
      <c r="G26" s="26" t="s">
        <v>9</v>
      </c>
      <c r="H26" s="8">
        <v>0</v>
      </c>
      <c r="I26" s="8">
        <v>650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4115</v>
      </c>
      <c r="F27" s="25" t="s">
        <v>111</v>
      </c>
      <c r="G27" s="26" t="s">
        <v>9</v>
      </c>
      <c r="H27" s="8">
        <v>0</v>
      </c>
      <c r="I27" s="8">
        <v>650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4094</v>
      </c>
      <c r="F28" s="25" t="s">
        <v>59</v>
      </c>
      <c r="G28" s="26" t="s">
        <v>7</v>
      </c>
      <c r="H28" s="8">
        <v>0</v>
      </c>
      <c r="I28" s="8">
        <v>299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4122</v>
      </c>
      <c r="F29" s="25" t="s">
        <v>133</v>
      </c>
      <c r="G29" s="26" t="s">
        <v>10</v>
      </c>
      <c r="H29" s="8">
        <v>0</v>
      </c>
      <c r="I29" s="8">
        <v>20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4070</v>
      </c>
      <c r="F30" s="39" t="s">
        <v>134</v>
      </c>
      <c r="G30" s="26" t="s">
        <v>6</v>
      </c>
      <c r="H30" s="8">
        <v>0</v>
      </c>
      <c r="I30" s="8">
        <v>225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4071</v>
      </c>
      <c r="F31" s="36" t="s">
        <v>134</v>
      </c>
      <c r="G31" s="37" t="s">
        <v>6</v>
      </c>
      <c r="H31" s="17">
        <v>0</v>
      </c>
      <c r="I31" s="17">
        <v>225</v>
      </c>
      <c r="J31" s="2"/>
      <c r="K31" s="25"/>
      <c r="L31" s="9"/>
      <c r="M31" s="16"/>
    </row>
    <row r="32" spans="2:18" ht="15.75" x14ac:dyDescent="0.25">
      <c r="B32" s="2"/>
      <c r="C32" s="2"/>
      <c r="E32" s="18">
        <v>4102</v>
      </c>
      <c r="F32" s="25" t="s">
        <v>75</v>
      </c>
      <c r="G32" s="26" t="s">
        <v>8</v>
      </c>
      <c r="H32" s="8">
        <v>0</v>
      </c>
      <c r="I32" s="8">
        <v>1363</v>
      </c>
    </row>
    <row r="33" spans="2:18" ht="15.75" x14ac:dyDescent="0.25">
      <c r="B33" s="2"/>
      <c r="C33" s="2"/>
      <c r="E33" s="35"/>
      <c r="F33" s="36"/>
      <c r="G33" s="37"/>
      <c r="H33" s="17"/>
      <c r="I33" s="17"/>
      <c r="K33" s="99" t="s">
        <v>12</v>
      </c>
      <c r="L33" s="100"/>
      <c r="M33" s="101"/>
    </row>
    <row r="34" spans="2:18" ht="15" x14ac:dyDescent="0.25">
      <c r="E34" s="33"/>
      <c r="K34" s="14" t="s">
        <v>24</v>
      </c>
      <c r="L34" s="6" t="s">
        <v>34</v>
      </c>
      <c r="M34" s="15" t="s">
        <v>35</v>
      </c>
    </row>
    <row r="35" spans="2:18" ht="15" x14ac:dyDescent="0.25">
      <c r="E35" s="98" t="s">
        <v>31</v>
      </c>
      <c r="F35" s="98"/>
      <c r="G35" s="98"/>
      <c r="H35" s="98"/>
      <c r="I35" s="98"/>
      <c r="K35" s="25">
        <v>4091</v>
      </c>
      <c r="L35" s="41">
        <v>5</v>
      </c>
      <c r="M35" s="16">
        <v>1150</v>
      </c>
    </row>
    <row r="36" spans="2:18" ht="15" x14ac:dyDescent="0.25">
      <c r="E36" s="10" t="s">
        <v>24</v>
      </c>
      <c r="F36" s="10" t="s">
        <v>15</v>
      </c>
      <c r="G36" s="11" t="s">
        <v>16</v>
      </c>
      <c r="H36" s="12" t="s">
        <v>32</v>
      </c>
      <c r="I36" s="13" t="s">
        <v>33</v>
      </c>
      <c r="K36" s="25"/>
      <c r="L36" s="41"/>
      <c r="M36" s="16"/>
    </row>
    <row r="37" spans="2:18" ht="15.75" x14ac:dyDescent="0.25">
      <c r="E37" s="18">
        <v>3862</v>
      </c>
      <c r="F37" s="25" t="s">
        <v>135</v>
      </c>
      <c r="G37" s="26" t="s">
        <v>10</v>
      </c>
      <c r="H37" s="8">
        <v>127</v>
      </c>
      <c r="I37" s="8" t="s">
        <v>136</v>
      </c>
      <c r="K37" s="25"/>
      <c r="L37" s="41"/>
      <c r="M37" s="16"/>
    </row>
    <row r="38" spans="2:18" ht="15.75" x14ac:dyDescent="0.25">
      <c r="E38" s="18">
        <v>3552</v>
      </c>
      <c r="F38" s="25" t="s">
        <v>137</v>
      </c>
      <c r="G38" s="26" t="s">
        <v>7</v>
      </c>
      <c r="H38" s="8">
        <v>70</v>
      </c>
      <c r="I38" s="8" t="s">
        <v>138</v>
      </c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25"/>
      <c r="G40" s="26"/>
      <c r="H40" s="8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75" x14ac:dyDescent="0.25">
      <c r="E41" s="18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36"/>
      <c r="G42" s="37"/>
      <c r="H42" s="17"/>
      <c r="I42" s="8"/>
    </row>
    <row r="43" spans="2:18" ht="15.75" x14ac:dyDescent="0.25">
      <c r="E43" s="43"/>
      <c r="F43" s="39"/>
      <c r="G43" s="26"/>
      <c r="H43" s="8"/>
      <c r="I43" s="8"/>
    </row>
  </sheetData>
  <mergeCells count="9">
    <mergeCell ref="E24:I24"/>
    <mergeCell ref="E35:I35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G37:G43 G26:G33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I37:I43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45373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882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1647</v>
      </c>
      <c r="D6" s="2"/>
      <c r="E6" s="18">
        <v>4133</v>
      </c>
      <c r="F6" s="25" t="s">
        <v>139</v>
      </c>
      <c r="G6" s="26" t="s">
        <v>9</v>
      </c>
      <c r="H6" s="8">
        <v>882</v>
      </c>
      <c r="I6" s="8">
        <v>882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22</v>
      </c>
      <c r="C8" s="29">
        <f>SUM(C6:C7)</f>
        <v>1647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882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175</v>
      </c>
      <c r="D15" s="2"/>
      <c r="E15" s="18"/>
      <c r="F15" s="25"/>
      <c r="G15" s="26"/>
      <c r="H15" s="8"/>
      <c r="I15" s="8"/>
      <c r="J15" s="2"/>
      <c r="K15" s="25">
        <v>4090</v>
      </c>
      <c r="L15" s="9" t="s">
        <v>39</v>
      </c>
      <c r="M15" s="16" t="s">
        <v>40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1647</v>
      </c>
      <c r="D16" s="2"/>
      <c r="E16" s="18"/>
      <c r="F16" s="25"/>
      <c r="G16" s="26"/>
      <c r="H16" s="8"/>
      <c r="I16" s="8"/>
      <c r="J16" s="2"/>
      <c r="K16" s="25">
        <v>4048</v>
      </c>
      <c r="L16" s="9" t="s">
        <v>39</v>
      </c>
      <c r="M16" s="16" t="s">
        <v>40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4099</v>
      </c>
      <c r="L17" s="9" t="s">
        <v>39</v>
      </c>
      <c r="M17" s="16" t="s">
        <v>40</v>
      </c>
      <c r="R17" s="1">
        <f>IF(vend22[[#This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>
        <v>4100</v>
      </c>
      <c r="L18" s="9" t="s">
        <v>39</v>
      </c>
      <c r="M18" s="16" t="s">
        <v>40</v>
      </c>
      <c r="R18" s="1">
        <f>IF(vend22[[#This Row],[Nº Venda]]&gt;1,1,0)</f>
        <v>0</v>
      </c>
    </row>
    <row r="19" spans="2:18" ht="15.75" x14ac:dyDescent="0.25">
      <c r="B19" s="30">
        <f>COUNT(entr_carn22[OS])</f>
        <v>1</v>
      </c>
      <c r="C19" s="31">
        <f>SUM(entr_carn22[Valor Total])</f>
        <v>1340</v>
      </c>
      <c r="D19" s="2"/>
      <c r="E19" s="18"/>
      <c r="F19" s="25"/>
      <c r="G19" s="26"/>
      <c r="H19" s="8"/>
      <c r="I19" s="8"/>
      <c r="J19" s="2"/>
      <c r="K19" s="25">
        <v>4081</v>
      </c>
      <c r="L19" s="9" t="s">
        <v>39</v>
      </c>
      <c r="M19" s="16" t="s">
        <v>125</v>
      </c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1340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882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4090</v>
      </c>
      <c r="F26" s="25" t="s">
        <v>140</v>
      </c>
      <c r="G26" s="26" t="s">
        <v>6</v>
      </c>
      <c r="H26" s="80">
        <v>0</v>
      </c>
      <c r="I26" s="8">
        <v>590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4080</v>
      </c>
      <c r="F27" s="25" t="s">
        <v>141</v>
      </c>
      <c r="G27" s="26" t="s">
        <v>10</v>
      </c>
      <c r="H27" s="8">
        <v>0</v>
      </c>
      <c r="I27" s="8">
        <v>87.5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4081</v>
      </c>
      <c r="F28" s="25" t="s">
        <v>141</v>
      </c>
      <c r="G28" s="26" t="s">
        <v>10</v>
      </c>
      <c r="H28" s="8">
        <v>0</v>
      </c>
      <c r="I28" s="8">
        <v>87.5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>
        <v>4080</v>
      </c>
      <c r="L35" s="41">
        <v>6</v>
      </c>
      <c r="M35" s="16">
        <v>1340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opLeftCell="A4" zoomScale="80" zoomScaleNormal="80" workbookViewId="0">
      <selection activeCell="V12" sqref="V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45374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1880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4134</v>
      </c>
      <c r="F6" s="25" t="s">
        <v>142</v>
      </c>
      <c r="G6" s="26" t="s">
        <v>6</v>
      </c>
      <c r="H6" s="8">
        <v>880</v>
      </c>
      <c r="I6" s="8">
        <v>100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4135</v>
      </c>
      <c r="F7" s="25" t="s">
        <v>142</v>
      </c>
      <c r="G7" s="26" t="s">
        <v>6</v>
      </c>
      <c r="H7" s="8">
        <v>450</v>
      </c>
      <c r="I7" s="8">
        <v>50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22</v>
      </c>
      <c r="C8" s="29">
        <f>SUM(C6:C7)</f>
        <v>500</v>
      </c>
      <c r="D8" s="2"/>
      <c r="E8" s="18">
        <v>4136</v>
      </c>
      <c r="F8" s="25" t="s">
        <v>142</v>
      </c>
      <c r="G8" s="26" t="s">
        <v>10</v>
      </c>
      <c r="H8" s="8">
        <v>450</v>
      </c>
      <c r="I8" s="8">
        <v>200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>
        <v>4137</v>
      </c>
      <c r="F9" s="25" t="s">
        <v>143</v>
      </c>
      <c r="G9" s="26" t="s">
        <v>6</v>
      </c>
      <c r="H9" s="8">
        <v>100</v>
      </c>
      <c r="I9" s="8">
        <v>50</v>
      </c>
      <c r="J9" s="2"/>
      <c r="K9" s="25"/>
      <c r="L9" s="9"/>
      <c r="M9" s="16"/>
      <c r="R9" s="1">
        <f>IF(vend23[[#This Row],[Nº Venda]]&gt;1,1,0)</f>
        <v>1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4115</v>
      </c>
      <c r="L15" s="9" t="s">
        <v>39</v>
      </c>
      <c r="M15" s="16" t="s">
        <v>40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500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1880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4098</v>
      </c>
      <c r="F26" s="25" t="s">
        <v>144</v>
      </c>
      <c r="G26" s="26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K15" sqref="K15:M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45375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'24'!B1+1</f>
        <v>45376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1390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1390</v>
      </c>
      <c r="D6" s="2"/>
      <c r="E6" s="18">
        <v>4138</v>
      </c>
      <c r="F6" s="25" t="s">
        <v>145</v>
      </c>
      <c r="G6" s="26" t="s">
        <v>6</v>
      </c>
      <c r="H6" s="8">
        <v>90</v>
      </c>
      <c r="I6" s="8">
        <v>90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4139</v>
      </c>
      <c r="F7" s="25" t="s">
        <v>146</v>
      </c>
      <c r="G7" s="26" t="s">
        <v>8</v>
      </c>
      <c r="H7" s="8">
        <v>650</v>
      </c>
      <c r="I7" s="8">
        <v>650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22</v>
      </c>
      <c r="C8" s="29">
        <f>SUM(C6:C7)</f>
        <v>1390</v>
      </c>
      <c r="D8" s="2"/>
      <c r="E8" s="18">
        <v>4140</v>
      </c>
      <c r="F8" s="25" t="s">
        <v>146</v>
      </c>
      <c r="G8" s="26" t="s">
        <v>8</v>
      </c>
      <c r="H8" s="8">
        <v>650</v>
      </c>
      <c r="I8" s="8">
        <v>650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1300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>
        <v>4102</v>
      </c>
      <c r="L15" s="9" t="s">
        <v>39</v>
      </c>
      <c r="M15" s="16" t="s">
        <v>40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1390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1390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3835</v>
      </c>
      <c r="F35" s="25" t="s">
        <v>147</v>
      </c>
      <c r="G35" s="26" t="s">
        <v>10</v>
      </c>
      <c r="H35" s="80">
        <v>126</v>
      </c>
      <c r="I35" s="8" t="s">
        <v>148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3" zoomScale="80" zoomScaleNormal="80" workbookViewId="0">
      <selection activeCell="K15" sqref="K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45377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890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220</v>
      </c>
      <c r="D6" s="2"/>
      <c r="E6" s="18">
        <v>4141</v>
      </c>
      <c r="F6" s="25" t="s">
        <v>149</v>
      </c>
      <c r="G6" s="26" t="s">
        <v>6</v>
      </c>
      <c r="H6" s="8">
        <v>890</v>
      </c>
      <c r="I6" s="8">
        <v>20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22</v>
      </c>
      <c r="C8" s="29">
        <f>SUM(C6:C7)</f>
        <v>220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368</v>
      </c>
      <c r="D15" s="2"/>
      <c r="E15" s="18"/>
      <c r="F15" s="25"/>
      <c r="G15" s="26"/>
      <c r="H15" s="8"/>
      <c r="I15" s="8"/>
      <c r="J15" s="2"/>
      <c r="K15" s="25">
        <v>4104</v>
      </c>
      <c r="L15" s="9" t="s">
        <v>39</v>
      </c>
      <c r="M15" s="16" t="s">
        <v>125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388</v>
      </c>
      <c r="D16" s="2"/>
      <c r="E16" s="18"/>
      <c r="F16" s="25"/>
      <c r="G16" s="26"/>
      <c r="H16" s="8"/>
      <c r="I16" s="8"/>
      <c r="J16" s="2"/>
      <c r="K16" s="25">
        <v>4122</v>
      </c>
      <c r="L16" s="9" t="s">
        <v>39</v>
      </c>
      <c r="M16" s="16" t="s">
        <v>40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4116</v>
      </c>
      <c r="L17" s="9" t="s">
        <v>39</v>
      </c>
      <c r="M17" s="16" t="s">
        <v>40</v>
      </c>
      <c r="R17" s="1">
        <f>IF(vend26[[#This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>
        <v>4113</v>
      </c>
      <c r="L18" s="9" t="s">
        <v>39</v>
      </c>
      <c r="M18" s="16" t="s">
        <v>40</v>
      </c>
      <c r="R18" s="1">
        <f>IF(vend26[[#This Row],[Nº Venda]]&gt;1,1,0)</f>
        <v>0</v>
      </c>
    </row>
    <row r="19" spans="2:18" ht="15.75" x14ac:dyDescent="0.25">
      <c r="B19" s="30">
        <f>COUNT(entr_carn26[OS])</f>
        <v>1</v>
      </c>
      <c r="C19" s="31">
        <f>SUM(entr_carn26[Valor Total])</f>
        <v>500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500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890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4104</v>
      </c>
      <c r="F26" s="25" t="s">
        <v>150</v>
      </c>
      <c r="G26" s="26" t="s">
        <v>10</v>
      </c>
      <c r="H26" s="8">
        <v>0</v>
      </c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204965</v>
      </c>
      <c r="F35" s="25" t="s">
        <v>151</v>
      </c>
      <c r="G35" s="26" t="s">
        <v>10</v>
      </c>
      <c r="H35" s="8">
        <v>168</v>
      </c>
      <c r="I35" s="8" t="s">
        <v>152</v>
      </c>
      <c r="K35" s="25">
        <v>4104</v>
      </c>
      <c r="L35" s="41">
        <v>4</v>
      </c>
      <c r="M35" s="16">
        <v>500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C1" zoomScale="80" zoomScaleNormal="8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8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'26'!B1+1</f>
        <v>45378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4839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2350</v>
      </c>
      <c r="D6" s="2"/>
      <c r="E6" s="18">
        <v>4142</v>
      </c>
      <c r="F6" s="25" t="s">
        <v>153</v>
      </c>
      <c r="G6" s="26" t="s">
        <v>10</v>
      </c>
      <c r="H6" s="8">
        <v>740</v>
      </c>
      <c r="I6" s="8">
        <v>50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4143</v>
      </c>
      <c r="F7" s="25" t="s">
        <v>154</v>
      </c>
      <c r="G7" s="26" t="s">
        <v>10</v>
      </c>
      <c r="H7" s="8">
        <v>999.5</v>
      </c>
      <c r="I7" s="8">
        <v>300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22</v>
      </c>
      <c r="C8" s="29">
        <f>SUM(C6:C7)</f>
        <v>2350</v>
      </c>
      <c r="D8" s="2"/>
      <c r="E8" s="18">
        <v>4144</v>
      </c>
      <c r="F8" s="25" t="s">
        <v>155</v>
      </c>
      <c r="G8" s="26" t="s">
        <v>10</v>
      </c>
      <c r="H8" s="8">
        <v>400</v>
      </c>
      <c r="I8" s="8">
        <v>100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>
        <v>4145</v>
      </c>
      <c r="F9" s="25" t="s">
        <v>156</v>
      </c>
      <c r="G9" s="26" t="s">
        <v>10</v>
      </c>
      <c r="H9" s="8">
        <v>900</v>
      </c>
      <c r="I9" s="8">
        <v>900</v>
      </c>
      <c r="J9" s="2"/>
      <c r="K9" s="25"/>
      <c r="L9" s="9"/>
      <c r="M9" s="16"/>
      <c r="R9" s="1">
        <f>IF(vend27[[#This Row],[Nº Venda]]&gt;1,1,0)</f>
        <v>1</v>
      </c>
    </row>
    <row r="10" spans="2:18" ht="15.75" x14ac:dyDescent="0.25">
      <c r="B10" s="97" t="s">
        <v>5</v>
      </c>
      <c r="C10" s="97"/>
      <c r="D10" s="2"/>
      <c r="E10" s="18">
        <v>4146</v>
      </c>
      <c r="F10" s="25" t="s">
        <v>157</v>
      </c>
      <c r="G10" s="26" t="s">
        <v>10</v>
      </c>
      <c r="H10" s="8">
        <v>650</v>
      </c>
      <c r="I10" s="8">
        <v>650</v>
      </c>
      <c r="J10" s="2"/>
      <c r="K10" s="25"/>
      <c r="L10" s="9"/>
      <c r="M10" s="16"/>
      <c r="R10" s="1">
        <f>IF(vend27[[#This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4147</v>
      </c>
      <c r="F11" s="25" t="s">
        <v>154</v>
      </c>
      <c r="G11" s="26" t="s">
        <v>10</v>
      </c>
      <c r="H11" s="8">
        <v>999.5</v>
      </c>
      <c r="I11" s="8">
        <v>200</v>
      </c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84">
        <v>4148</v>
      </c>
      <c r="F12" s="65" t="s">
        <v>155</v>
      </c>
      <c r="G12" s="85" t="s">
        <v>10</v>
      </c>
      <c r="H12" s="77">
        <v>150</v>
      </c>
      <c r="I12" s="77">
        <v>150</v>
      </c>
      <c r="J12" s="2"/>
      <c r="R12" s="1">
        <f>IF(vend27[[#This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2350</v>
      </c>
      <c r="D15" s="2"/>
      <c r="E15" s="18"/>
      <c r="F15" s="25"/>
      <c r="G15" s="26"/>
      <c r="H15" s="8"/>
      <c r="I15" s="8"/>
      <c r="J15" s="2"/>
      <c r="K15" s="25">
        <v>4101</v>
      </c>
      <c r="L15" s="9" t="s">
        <v>39</v>
      </c>
      <c r="M15" s="16" t="s">
        <v>40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2350</v>
      </c>
      <c r="D16" s="2"/>
      <c r="E16" s="18"/>
      <c r="F16" s="25"/>
      <c r="G16" s="26"/>
      <c r="H16" s="8" t="s">
        <v>232</v>
      </c>
      <c r="I16" s="8"/>
      <c r="J16" s="2"/>
      <c r="K16" s="25">
        <v>4106</v>
      </c>
      <c r="L16" s="9" t="s">
        <v>39</v>
      </c>
      <c r="M16" s="16" t="s">
        <v>40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4107</v>
      </c>
      <c r="L17" s="9" t="s">
        <v>39</v>
      </c>
      <c r="M17" s="16" t="s">
        <v>40</v>
      </c>
      <c r="R17" s="1">
        <f>IF(vend27[[#This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>
        <v>4120</v>
      </c>
      <c r="L18" s="9" t="s">
        <v>39</v>
      </c>
      <c r="M18" s="16" t="s">
        <v>40</v>
      </c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>
        <v>4121</v>
      </c>
      <c r="L19" s="9" t="s">
        <v>39</v>
      </c>
      <c r="M19" s="16" t="s">
        <v>40</v>
      </c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4839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7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2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45379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97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97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3247</v>
      </c>
      <c r="F35" s="25" t="s">
        <v>158</v>
      </c>
      <c r="G35" s="26" t="s">
        <v>10</v>
      </c>
      <c r="H35" s="8">
        <v>97</v>
      </c>
      <c r="I35" s="8" t="s">
        <v>78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9" zoomScale="80" zoomScaleNormal="80" workbookViewId="0">
      <selection activeCell="K15" sqref="K15:M17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66">
        <f>'28'!B1+1</f>
        <v>45380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7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65"/>
      <c r="L17" s="9"/>
      <c r="M17" s="16"/>
      <c r="R17" s="1">
        <f>IF(vend29[[#This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topLeftCell="A12" zoomScale="80" zoomScaleNormal="8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45381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2495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445</v>
      </c>
      <c r="D6" s="2"/>
      <c r="E6" s="18">
        <v>4149</v>
      </c>
      <c r="F6" s="25" t="s">
        <v>159</v>
      </c>
      <c r="G6" s="26" t="s">
        <v>6</v>
      </c>
      <c r="H6" s="8">
        <v>1280</v>
      </c>
      <c r="I6" s="8">
        <v>100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4150</v>
      </c>
      <c r="F7" s="25" t="s">
        <v>160</v>
      </c>
      <c r="G7" s="26" t="s">
        <v>8</v>
      </c>
      <c r="H7" s="8">
        <v>75</v>
      </c>
      <c r="I7" s="8">
        <v>75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22</v>
      </c>
      <c r="C8" s="29">
        <f>SUM(C6:C7)</f>
        <v>445</v>
      </c>
      <c r="D8" s="2"/>
      <c r="E8" s="18">
        <v>4151</v>
      </c>
      <c r="F8" s="25" t="s">
        <v>161</v>
      </c>
      <c r="G8" s="26" t="s">
        <v>6</v>
      </c>
      <c r="H8" s="8">
        <v>740</v>
      </c>
      <c r="I8" s="8">
        <v>100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>
        <v>4152</v>
      </c>
      <c r="F9" s="25" t="s">
        <v>161</v>
      </c>
      <c r="G9" s="26" t="s">
        <v>6</v>
      </c>
      <c r="H9" s="8">
        <v>400</v>
      </c>
      <c r="I9" s="8">
        <v>100</v>
      </c>
      <c r="J9" s="2"/>
      <c r="K9" s="25"/>
      <c r="L9" s="9"/>
      <c r="M9" s="16"/>
      <c r="R9" s="1">
        <f>IF(vend30[[#This Row],[Nº Venda]]&gt;1,1,0)</f>
        <v>1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75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98</v>
      </c>
      <c r="D15" s="2"/>
      <c r="E15" s="18"/>
      <c r="F15" s="25"/>
      <c r="G15" s="26"/>
      <c r="H15" s="8"/>
      <c r="I15" s="8"/>
      <c r="J15" s="2"/>
      <c r="K15" s="25">
        <v>4123</v>
      </c>
      <c r="L15" s="9" t="s">
        <v>39</v>
      </c>
      <c r="M15" s="16" t="s">
        <v>40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543</v>
      </c>
      <c r="D16" s="2"/>
      <c r="E16" s="18"/>
      <c r="F16" s="25"/>
      <c r="G16" s="26"/>
      <c r="H16" s="8"/>
      <c r="I16" s="8"/>
      <c r="J16" s="2"/>
      <c r="K16" s="25">
        <v>4111</v>
      </c>
      <c r="L16" s="9" t="s">
        <v>39</v>
      </c>
      <c r="M16" s="16" t="s">
        <v>40</v>
      </c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2495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4123</v>
      </c>
      <c r="F26" s="25" t="s">
        <v>162</v>
      </c>
      <c r="G26" s="26" t="s">
        <v>6</v>
      </c>
      <c r="H26" s="8">
        <v>0</v>
      </c>
      <c r="I26" s="8">
        <v>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>
        <v>4002</v>
      </c>
      <c r="F35" s="25" t="s">
        <v>163</v>
      </c>
      <c r="G35" s="26" t="s">
        <v>10</v>
      </c>
      <c r="H35" s="8">
        <v>98</v>
      </c>
      <c r="I35" s="8" t="s">
        <v>47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'30'!B1+1</f>
        <v>45382</v>
      </c>
    </row>
    <row r="2" spans="2:18" ht="18.75" x14ac:dyDescent="0.2">
      <c r="B2" s="102" t="s">
        <v>13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5" t="s">
        <v>1</v>
      </c>
      <c r="F4" s="105"/>
      <c r="G4" s="105"/>
      <c r="H4" s="105"/>
      <c r="I4" s="105"/>
      <c r="J4" s="22"/>
      <c r="K4" s="99" t="s">
        <v>3</v>
      </c>
      <c r="L4" s="100"/>
      <c r="M4" s="10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97" t="s">
        <v>5</v>
      </c>
      <c r="C10" s="9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9" t="s">
        <v>23</v>
      </c>
      <c r="L13" s="100"/>
      <c r="M13" s="101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97" t="s">
        <v>12</v>
      </c>
      <c r="C18" s="9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8" t="s">
        <v>28</v>
      </c>
      <c r="F24" s="98"/>
      <c r="G24" s="98"/>
      <c r="H24" s="98"/>
      <c r="I24" s="9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96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8" t="s">
        <v>31</v>
      </c>
      <c r="F33" s="98"/>
      <c r="G33" s="98"/>
      <c r="H33" s="98"/>
      <c r="I33" s="98"/>
      <c r="K33" s="99" t="s">
        <v>12</v>
      </c>
      <c r="L33" s="100"/>
      <c r="M33" s="101"/>
    </row>
    <row r="34" spans="2:18" ht="15" x14ac:dyDescent="0.25">
      <c r="E34" s="10" t="s">
        <v>24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24</v>
      </c>
      <c r="L34" s="6" t="s">
        <v>34</v>
      </c>
      <c r="M34" s="15" t="s">
        <v>35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164</v>
      </c>
      <c r="B1" s="38" t="s">
        <v>165</v>
      </c>
      <c r="E1" s="38" t="s">
        <v>166</v>
      </c>
    </row>
    <row r="2" spans="1:5" x14ac:dyDescent="0.2">
      <c r="A2" s="38" t="s">
        <v>6</v>
      </c>
      <c r="B2" s="38" t="s">
        <v>167</v>
      </c>
      <c r="E2" t="s">
        <v>168</v>
      </c>
    </row>
    <row r="3" spans="1:5" x14ac:dyDescent="0.2">
      <c r="A3" s="38" t="s">
        <v>7</v>
      </c>
      <c r="B3" s="38" t="s">
        <v>169</v>
      </c>
      <c r="E3" t="s">
        <v>170</v>
      </c>
    </row>
    <row r="4" spans="1:5" x14ac:dyDescent="0.2">
      <c r="A4" s="38" t="s">
        <v>8</v>
      </c>
      <c r="B4" s="38" t="s">
        <v>171</v>
      </c>
      <c r="E4" t="s">
        <v>138</v>
      </c>
    </row>
    <row r="5" spans="1:5" x14ac:dyDescent="0.2">
      <c r="A5" s="38" t="s">
        <v>9</v>
      </c>
      <c r="B5" s="38" t="s">
        <v>172</v>
      </c>
      <c r="E5" t="s">
        <v>173</v>
      </c>
    </row>
    <row r="6" spans="1:5" x14ac:dyDescent="0.2">
      <c r="A6" s="38" t="s">
        <v>10</v>
      </c>
      <c r="B6" s="38" t="s">
        <v>10</v>
      </c>
      <c r="E6" t="s">
        <v>53</v>
      </c>
    </row>
    <row r="7" spans="1:5" x14ac:dyDescent="0.2">
      <c r="A7" s="38" t="s">
        <v>96</v>
      </c>
      <c r="B7" s="38" t="s">
        <v>174</v>
      </c>
      <c r="E7" t="s">
        <v>109</v>
      </c>
    </row>
    <row r="8" spans="1:5" x14ac:dyDescent="0.2">
      <c r="A8" t="s">
        <v>26</v>
      </c>
      <c r="B8" t="s">
        <v>175</v>
      </c>
      <c r="E8" t="s">
        <v>104</v>
      </c>
    </row>
    <row r="9" spans="1:5" x14ac:dyDescent="0.2">
      <c r="A9" s="38" t="s">
        <v>43</v>
      </c>
      <c r="B9" s="38" t="s">
        <v>176</v>
      </c>
      <c r="E9" t="s">
        <v>82</v>
      </c>
    </row>
    <row r="10" spans="1:5" x14ac:dyDescent="0.2">
      <c r="E10" t="s">
        <v>89</v>
      </c>
    </row>
    <row r="11" spans="1:5" x14ac:dyDescent="0.2">
      <c r="E11" t="s">
        <v>105</v>
      </c>
    </row>
    <row r="12" spans="1:5" x14ac:dyDescent="0.2">
      <c r="E12" t="s">
        <v>72</v>
      </c>
    </row>
    <row r="13" spans="1:5" x14ac:dyDescent="0.2">
      <c r="E13" t="s">
        <v>47</v>
      </c>
    </row>
    <row r="14" spans="1:5" x14ac:dyDescent="0.2">
      <c r="E14" t="s">
        <v>148</v>
      </c>
    </row>
    <row r="15" spans="1:5" x14ac:dyDescent="0.2">
      <c r="E15" t="s">
        <v>49</v>
      </c>
    </row>
    <row r="16" spans="1:5" x14ac:dyDescent="0.2">
      <c r="E16" t="s">
        <v>67</v>
      </c>
    </row>
    <row r="17" spans="5:5" x14ac:dyDescent="0.2">
      <c r="E17" t="s">
        <v>65</v>
      </c>
    </row>
    <row r="18" spans="5:5" x14ac:dyDescent="0.2">
      <c r="E18" t="s">
        <v>177</v>
      </c>
    </row>
    <row r="19" spans="5:5" x14ac:dyDescent="0.2">
      <c r="E19" t="s">
        <v>178</v>
      </c>
    </row>
    <row r="20" spans="5:5" x14ac:dyDescent="0.2">
      <c r="E20" t="s">
        <v>136</v>
      </c>
    </row>
    <row r="21" spans="5:5" x14ac:dyDescent="0.2">
      <c r="E21" t="s">
        <v>78</v>
      </c>
    </row>
    <row r="22" spans="5:5" x14ac:dyDescent="0.2">
      <c r="E22" t="s">
        <v>127</v>
      </c>
    </row>
    <row r="23" spans="5:5" x14ac:dyDescent="0.2">
      <c r="E23" t="s">
        <v>102</v>
      </c>
    </row>
    <row r="24" spans="5:5" x14ac:dyDescent="0.2">
      <c r="E24" t="s">
        <v>179</v>
      </c>
    </row>
    <row r="25" spans="5:5" x14ac:dyDescent="0.2">
      <c r="E25" t="s">
        <v>180</v>
      </c>
    </row>
    <row r="26" spans="5:5" x14ac:dyDescent="0.2">
      <c r="E26" t="s">
        <v>93</v>
      </c>
    </row>
    <row r="27" spans="5:5" x14ac:dyDescent="0.2">
      <c r="E27" t="s">
        <v>181</v>
      </c>
    </row>
    <row r="28" spans="5:5" x14ac:dyDescent="0.2">
      <c r="E28" t="s">
        <v>182</v>
      </c>
    </row>
    <row r="29" spans="5:5" x14ac:dyDescent="0.2">
      <c r="E29" t="s">
        <v>152</v>
      </c>
    </row>
    <row r="30" spans="5:5" x14ac:dyDescent="0.2">
      <c r="E30" t="s">
        <v>183</v>
      </c>
    </row>
    <row r="31" spans="5:5" x14ac:dyDescent="0.2">
      <c r="E31" t="s">
        <v>184</v>
      </c>
    </row>
    <row r="32" spans="5:5" x14ac:dyDescent="0.2">
      <c r="E32" t="s">
        <v>185</v>
      </c>
    </row>
    <row r="33" spans="5:5" x14ac:dyDescent="0.2">
      <c r="E33" t="s">
        <v>186</v>
      </c>
    </row>
    <row r="34" spans="5:5" x14ac:dyDescent="0.2">
      <c r="E34" t="s">
        <v>187</v>
      </c>
    </row>
    <row r="35" spans="5:5" x14ac:dyDescent="0.2">
      <c r="E35" t="s">
        <v>188</v>
      </c>
    </row>
    <row r="36" spans="5:5" x14ac:dyDescent="0.2">
      <c r="E36" t="s">
        <v>58</v>
      </c>
    </row>
    <row r="37" spans="5:5" x14ac:dyDescent="0.2">
      <c r="E37" t="s">
        <v>189</v>
      </c>
    </row>
    <row r="38" spans="5:5" x14ac:dyDescent="0.2">
      <c r="E38" t="s">
        <v>190</v>
      </c>
    </row>
    <row r="39" spans="5:5" x14ac:dyDescent="0.2">
      <c r="E39" t="s">
        <v>191</v>
      </c>
    </row>
    <row r="40" spans="5:5" x14ac:dyDescent="0.2">
      <c r="E40" t="s">
        <v>192</v>
      </c>
    </row>
    <row r="41" spans="5:5" x14ac:dyDescent="0.2">
      <c r="E41" t="s">
        <v>193</v>
      </c>
    </row>
    <row r="42" spans="5:5" x14ac:dyDescent="0.2">
      <c r="E42" t="s">
        <v>194</v>
      </c>
    </row>
    <row r="43" spans="5:5" x14ac:dyDescent="0.2">
      <c r="E43" t="s">
        <v>195</v>
      </c>
    </row>
    <row r="44" spans="5:5" x14ac:dyDescent="0.2">
      <c r="E44" t="s">
        <v>196</v>
      </c>
    </row>
    <row r="45" spans="5:5" x14ac:dyDescent="0.2">
      <c r="E45" t="s">
        <v>197</v>
      </c>
    </row>
    <row r="46" spans="5:5" x14ac:dyDescent="0.2">
      <c r="E46" t="s">
        <v>198</v>
      </c>
    </row>
    <row r="47" spans="5:5" x14ac:dyDescent="0.2">
      <c r="E47" t="s">
        <v>199</v>
      </c>
    </row>
    <row r="48" spans="5:5" x14ac:dyDescent="0.2">
      <c r="E48" t="s">
        <v>200</v>
      </c>
    </row>
    <row r="49" spans="5:5" x14ac:dyDescent="0.2">
      <c r="E49" t="s">
        <v>201</v>
      </c>
    </row>
    <row r="50" spans="5:5" x14ac:dyDescent="0.2">
      <c r="E50" t="s">
        <v>202</v>
      </c>
    </row>
    <row r="51" spans="5:5" x14ac:dyDescent="0.2">
      <c r="E51" t="s">
        <v>203</v>
      </c>
    </row>
    <row r="52" spans="5:5" x14ac:dyDescent="0.2">
      <c r="E52" t="s">
        <v>204</v>
      </c>
    </row>
    <row r="53" spans="5:5" x14ac:dyDescent="0.2">
      <c r="E53" t="s">
        <v>205</v>
      </c>
    </row>
    <row r="54" spans="5:5" x14ac:dyDescent="0.2">
      <c r="E54" t="s">
        <v>206</v>
      </c>
    </row>
    <row r="55" spans="5:5" x14ac:dyDescent="0.2">
      <c r="E55" t="s">
        <v>207</v>
      </c>
    </row>
    <row r="56" spans="5:5" x14ac:dyDescent="0.2">
      <c r="E56" t="s">
        <v>208</v>
      </c>
    </row>
    <row r="57" spans="5:5" x14ac:dyDescent="0.2">
      <c r="E57" t="s">
        <v>209</v>
      </c>
    </row>
    <row r="58" spans="5:5" x14ac:dyDescent="0.2">
      <c r="E58" t="s">
        <v>210</v>
      </c>
    </row>
    <row r="59" spans="5:5" x14ac:dyDescent="0.2">
      <c r="E59" t="s">
        <v>211</v>
      </c>
    </row>
    <row r="60" spans="5:5" x14ac:dyDescent="0.2">
      <c r="E60" t="s">
        <v>212</v>
      </c>
    </row>
    <row r="61" spans="5:5" x14ac:dyDescent="0.2">
      <c r="E61" t="s">
        <v>213</v>
      </c>
    </row>
    <row r="62" spans="5:5" x14ac:dyDescent="0.2">
      <c r="E62" t="s">
        <v>214</v>
      </c>
    </row>
    <row r="63" spans="5:5" x14ac:dyDescent="0.2">
      <c r="E63" t="s">
        <v>215</v>
      </c>
    </row>
    <row r="64" spans="5:5" x14ac:dyDescent="0.2">
      <c r="E64" t="s">
        <v>216</v>
      </c>
    </row>
    <row r="65" spans="5:5" x14ac:dyDescent="0.2">
      <c r="E65" t="s">
        <v>217</v>
      </c>
    </row>
    <row r="66" spans="5:5" x14ac:dyDescent="0.2">
      <c r="E66" t="s">
        <v>218</v>
      </c>
    </row>
    <row r="67" spans="5:5" x14ac:dyDescent="0.2">
      <c r="E67" t="s">
        <v>219</v>
      </c>
    </row>
    <row r="68" spans="5:5" x14ac:dyDescent="0.2">
      <c r="E68" t="s">
        <v>220</v>
      </c>
    </row>
    <row r="69" spans="5:5" x14ac:dyDescent="0.2">
      <c r="E69" t="s">
        <v>221</v>
      </c>
    </row>
    <row r="70" spans="5:5" x14ac:dyDescent="0.2">
      <c r="E70" t="s">
        <v>222</v>
      </c>
    </row>
    <row r="71" spans="5:5" x14ac:dyDescent="0.2">
      <c r="E71" t="s">
        <v>223</v>
      </c>
    </row>
    <row r="72" spans="5:5" x14ac:dyDescent="0.2">
      <c r="E72" t="s">
        <v>224</v>
      </c>
    </row>
    <row r="73" spans="5:5" x14ac:dyDescent="0.2">
      <c r="E73" t="s">
        <v>225</v>
      </c>
    </row>
    <row r="74" spans="5:5" x14ac:dyDescent="0.2">
      <c r="E74" t="s">
        <v>226</v>
      </c>
    </row>
    <row r="75" spans="5:5" x14ac:dyDescent="0.2">
      <c r="E75" t="s">
        <v>227</v>
      </c>
    </row>
    <row r="76" spans="5:5" x14ac:dyDescent="0.2">
      <c r="E76" t="s">
        <v>228</v>
      </c>
    </row>
    <row r="77" spans="5:5" x14ac:dyDescent="0.2">
      <c r="E77" t="s">
        <v>229</v>
      </c>
    </row>
    <row r="78" spans="5:5" x14ac:dyDescent="0.2">
      <c r="E78" t="s">
        <v>230</v>
      </c>
    </row>
    <row r="79" spans="5:5" x14ac:dyDescent="0.2">
      <c r="E79" t="s">
        <v>231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1</vt:i4>
      </vt:variant>
    </vt:vector>
  </HeadingPairs>
  <TitlesOfParts>
    <vt:vector size="34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'18'!Area_de_impressao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Loja Mauá</cp:lastModifiedBy>
  <cp:revision/>
  <dcterms:created xsi:type="dcterms:W3CDTF">2004-04-07T20:43:43Z</dcterms:created>
  <dcterms:modified xsi:type="dcterms:W3CDTF">2025-01-07T14:15:43Z</dcterms:modified>
  <cp:category/>
  <cp:contentStatus/>
</cp:coreProperties>
</file>