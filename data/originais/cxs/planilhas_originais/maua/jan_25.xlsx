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MAUA/CAIXA/"/>
    </mc:Choice>
  </mc:AlternateContent>
  <xr:revisionPtr revIDLastSave="873" documentId="8_{5503BAFA-4257-476F-95B2-9589EB3FFDD3}" xr6:coauthVersionLast="47" xr6:coauthVersionMax="47" xr10:uidLastSave="{5F9D07E6-A9C0-4599-83EE-D5F8659FCE57}"/>
  <bookViews>
    <workbookView xWindow="-120" yWindow="-120" windowWidth="29040" windowHeight="15840" tabRatio="895" activeTab="28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00" l="1"/>
  <c r="C6" i="171"/>
  <c r="C6" i="170"/>
  <c r="C6" i="182"/>
  <c r="C6" i="187"/>
  <c r="C6" i="194"/>
  <c r="C6" i="175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1"/>
  <c r="C8" i="187"/>
  <c r="C8" i="194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75" l="1"/>
  <c r="R40" i="194"/>
  <c r="R40" i="190"/>
  <c r="R40" i="183"/>
  <c r="R40" i="192"/>
  <c r="R40" i="196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C16" i="189"/>
  <c r="C16" i="188"/>
  <c r="C16" i="185"/>
  <c r="C8" i="170"/>
  <c r="C8" i="182"/>
  <c r="C16" i="198"/>
  <c r="C16" i="199"/>
  <c r="C16" i="192"/>
  <c r="C16" i="197"/>
  <c r="C16" i="194"/>
  <c r="O11" i="194" s="1"/>
  <c r="C16" i="195"/>
  <c r="C6" i="195" s="1"/>
  <c r="C16" i="193"/>
  <c r="C16" i="191"/>
  <c r="C16" i="190"/>
  <c r="C16" i="187"/>
  <c r="O11" i="187" s="1"/>
  <c r="C16" i="186"/>
  <c r="C16" i="184"/>
  <c r="C16" i="179"/>
  <c r="C16" i="181"/>
  <c r="C16" i="183"/>
  <c r="C16" i="182"/>
  <c r="O11" i="182" s="1"/>
  <c r="C16" i="180"/>
  <c r="C16" i="176"/>
  <c r="C16" i="177"/>
  <c r="C16" i="178"/>
  <c r="C16" i="172"/>
  <c r="C16" i="173"/>
  <c r="C16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8" l="1"/>
  <c r="C6" i="198"/>
  <c r="C8" i="198" s="1"/>
  <c r="O11" i="199"/>
  <c r="C6" i="199"/>
  <c r="C8" i="199" s="1"/>
  <c r="O11" i="192"/>
  <c r="C6" i="192"/>
  <c r="C8" i="192" s="1"/>
  <c r="O11" i="196"/>
  <c r="C6" i="196"/>
  <c r="C8" i="196" s="1"/>
  <c r="O11" i="197"/>
  <c r="C6" i="197"/>
  <c r="C8" i="197" s="1"/>
  <c r="O11" i="193"/>
  <c r="C6" i="193"/>
  <c r="C8" i="193" s="1"/>
  <c r="O11" i="188"/>
  <c r="C6" i="188"/>
  <c r="C8" i="188" s="1"/>
  <c r="O11" i="191"/>
  <c r="C6" i="191"/>
  <c r="C8" i="191" s="1"/>
  <c r="O11" i="190"/>
  <c r="C6" i="190"/>
  <c r="C8" i="190" s="1"/>
  <c r="O11" i="189"/>
  <c r="C6" i="189"/>
  <c r="C8" i="189" s="1"/>
  <c r="O11" i="186"/>
  <c r="C6" i="186"/>
  <c r="C8" i="186" s="1"/>
  <c r="O11" i="184"/>
  <c r="C6" i="184"/>
  <c r="C8" i="184" s="1"/>
  <c r="O11" i="185"/>
  <c r="C6" i="185"/>
  <c r="C8" i="185" s="1"/>
  <c r="O11" i="179"/>
  <c r="C6" i="179"/>
  <c r="C8" i="179" s="1"/>
  <c r="O11" i="181"/>
  <c r="C6" i="181"/>
  <c r="C8" i="181" s="1"/>
  <c r="O11" i="183"/>
  <c r="C6" i="183"/>
  <c r="C8" i="183" s="1"/>
  <c r="O11" i="180"/>
  <c r="C6" i="180"/>
  <c r="C8" i="180" s="1"/>
  <c r="O11" i="176"/>
  <c r="C6" i="176"/>
  <c r="C8" i="176" s="1"/>
  <c r="O11" i="177"/>
  <c r="C6" i="177"/>
  <c r="C8" i="177" s="1"/>
  <c r="O11" i="178"/>
  <c r="C6" i="178"/>
  <c r="C8" i="178" s="1"/>
  <c r="O11" i="172"/>
  <c r="C6" i="172"/>
  <c r="C8" i="172" s="1"/>
  <c r="O11" i="173"/>
  <c r="C6" i="173"/>
  <c r="C8" i="173" s="1"/>
  <c r="O11" i="174"/>
  <c r="C6" i="174"/>
  <c r="C8" i="174" s="1"/>
  <c r="O11" i="195"/>
  <c r="B14" i="200"/>
  <c r="C16" i="103"/>
  <c r="R40" i="103"/>
  <c r="O11" i="103" l="1"/>
  <c r="C6" i="103"/>
  <c r="C8" i="103" s="1"/>
  <c r="B4" i="200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<sst xmlns="http://schemas.openxmlformats.org/spreadsheetml/2006/main" count="1941" uniqueCount="233">
  <si>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</si>
  <si>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</si>
  <si>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</si>
  <si>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</si>
  <si>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</si>
  <si>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</si>
  <si>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</si>
  <si>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</si>
  <si>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</si>
  <si>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</si>
  <si>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</si>
  <si>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</si>
  <si>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</si>
  <si>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</si>
  <si>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</si>
  <si>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</si>
  <si>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</si>
  <si>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</si>
  <si>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</si>
  <si>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</si>
  <si>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</si>
  <si>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</si>
  <si>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</si>
  <si>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</si>
  <si>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</si>
  <si>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</si>
  <si>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</si>
  <si>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</si>
  <si>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</si>
  <si>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</si>
  <si>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</si>
  <si>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</si>
  <si>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</si>
  <si>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</si>
  <si>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</si>
  <si>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</si>
  <si>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</si>
  <si>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</si>
  <si>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</si>
  <si>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</si>
  <si>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</si>
  <si>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</si>
  <si>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</si>
  <si>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</si>
  <si>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</si>
  <si>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</si>
  <si>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</si>
  <si>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</si>
  <si>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</si>
  <si>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</si>
  <si>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</si>
  <si>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</si>
  <si>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</si>
  <si>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</si>
  <si>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</si>
  <si>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</si>
  <si>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</si>
  <si>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</si>
  <si>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</si>
  <si>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</si>
  <si>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</si>
  <si>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</si>
  <si>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</si>
  <si>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</si>
  <si>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</si>
  <si>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</si>
  <si>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</si>
  <si>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</si>
  <si>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</si>
  <si>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</si>
  <si>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</si>
  <si>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</si>
  <si>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</si>
  <si>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</si>
  <si>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</si>
  <si>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</si>
  <si>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</si>
  <si>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</si>
  <si>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</si>
  <si>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</si>
  <si>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</si>
  <si>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</si>
  <si>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</si>
  <si>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</si>
  <si>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</si>
  <si>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</si>
  <si>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</si>
  <si>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</si>
  <si>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</si>
  <si>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</si>
  <si>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</si>
  <si>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</si>
  <si>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</si>
  <si>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</si>
  <si>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</si>
  <si>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</si>
  <si>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</si>
  <si>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</si>
  <si>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</si>
  <si>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</si>
  <si>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</si>
  <si>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</si>
  <si>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</si>
  <si>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</si>
  <si>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</si>
  <si>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</si>
  <si>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</si>
  <si>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</si>
  <si>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</si>
  <si>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</si>
  <si>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</si>
  <si>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</si>
  <si>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</si>
  <si>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</si>
  <si>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</si>
  <si>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</si>
  <si>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</si>
  <si>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</si>
  <si>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</si>
  <si>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</si>
  <si>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</si>
  <si>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</si>
  <si>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</si>
  <si>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</si>
  <si>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</si>
  <si>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</si>
  <si>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</si>
  <si>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</si>
  <si>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</si>
  <si>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</si>
  <si>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</si>
  <si>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</si>
  <si>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</si>
  <si>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</si>
  <si>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</si>
  <si>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</si>
  <si>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</si>
  <si>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</si>
  <si>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</si>
  <si>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</si>
  <si>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</si>
  <si>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MAUÁ</t>
  </si>
  <si>
    <t>Nilton Vicente da Silva</t>
  </si>
  <si>
    <t>Não</t>
  </si>
  <si>
    <t>Sim</t>
  </si>
  <si>
    <t>FABIO MARTINS</t>
  </si>
  <si>
    <t xml:space="preserve">JOAO TEIXEIRA </t>
  </si>
  <si>
    <t>PAULO LOPES</t>
  </si>
  <si>
    <t>MARIO MIRANDA</t>
  </si>
  <si>
    <t>MARIA DE JESUS</t>
  </si>
  <si>
    <t>JOSE JOAO DE SOUZA</t>
  </si>
  <si>
    <t>EROTILDE CAPUCHO</t>
  </si>
  <si>
    <t xml:space="preserve">LIDIA VIEIRA </t>
  </si>
  <si>
    <t>NICOLAS FEZ PIX</t>
  </si>
  <si>
    <t>LUIZ CARLOS VIOTO</t>
  </si>
  <si>
    <t>MARCIA MARTINS</t>
  </si>
  <si>
    <t>MARIA NAZARE SILVA</t>
  </si>
  <si>
    <t>EVARISTO DOS SANTOS</t>
  </si>
  <si>
    <t>MARIA DE LOURDES</t>
  </si>
  <si>
    <t>MARIA LUCIA CALADO</t>
  </si>
  <si>
    <t>CLAUDEMIR SILVA</t>
  </si>
  <si>
    <t>NELSON DE SOUZA JARDIM</t>
  </si>
  <si>
    <t>NICOLAS / PIX</t>
  </si>
  <si>
    <t xml:space="preserve">jessica cristina oliveira </t>
  </si>
  <si>
    <t>evandro siqueira</t>
  </si>
  <si>
    <t>aparecida celia silva</t>
  </si>
  <si>
    <t>tatiane gama soares</t>
  </si>
  <si>
    <t xml:space="preserve">thaynara emanuelle </t>
  </si>
  <si>
    <t>nilton vicente da silva</t>
  </si>
  <si>
    <t>aldimeia pereira</t>
  </si>
  <si>
    <t>BRUNA BEATRIZ</t>
  </si>
  <si>
    <t>iracelio alves feitosa</t>
  </si>
  <si>
    <t>juliana barbosa da silva</t>
  </si>
  <si>
    <t>AMANDA ALVES</t>
  </si>
  <si>
    <t>DANIELLE ANDRADE</t>
  </si>
  <si>
    <t>hilda souza</t>
  </si>
  <si>
    <t>jaqueline dos santos</t>
  </si>
  <si>
    <t>moacir pereira basto</t>
  </si>
  <si>
    <t>ERCY APARECIDA MARTINS</t>
  </si>
  <si>
    <t>MARIA DA CONCEIÇAO</t>
  </si>
  <si>
    <t>ANDERSON OLIVEIRA</t>
  </si>
  <si>
    <t>ANGELA OLIVEIRA</t>
  </si>
  <si>
    <t>ALESSANDRO DE SOUZA</t>
  </si>
  <si>
    <t>TATIANE GAMAS SOARES</t>
  </si>
  <si>
    <t>ROBERT LAHUERT</t>
  </si>
  <si>
    <t>maria nazare silva dos stos</t>
  </si>
  <si>
    <t>maria luiza pereira</t>
  </si>
  <si>
    <t>paulo lopes</t>
  </si>
  <si>
    <t>wilfrid flerival</t>
  </si>
  <si>
    <t>neide maria</t>
  </si>
  <si>
    <t>jessica cristina de oliveira</t>
  </si>
  <si>
    <t>hilda souza dos santos</t>
  </si>
  <si>
    <t>angela oliveira martins</t>
  </si>
  <si>
    <t>thais celice</t>
  </si>
  <si>
    <t>valeria olinda</t>
  </si>
  <si>
    <t>ROSANGELA PAIVA</t>
  </si>
  <si>
    <t>ANA ROSA COUREL</t>
  </si>
  <si>
    <t>JOAO VITOR ESPINDOLA</t>
  </si>
  <si>
    <t>LYDIA DOMIGOS DIAS</t>
  </si>
  <si>
    <t>lusyelem gama paixao</t>
  </si>
  <si>
    <t>greice ingrid ramos</t>
  </si>
  <si>
    <t>patricia ometto</t>
  </si>
  <si>
    <t>ana paula quintino</t>
  </si>
  <si>
    <t>fabio gonçalves martins</t>
  </si>
  <si>
    <t>zibia pessoa</t>
  </si>
  <si>
    <t>IRACEMA BRAZ DE ARRUDA</t>
  </si>
  <si>
    <t>LUSYELEM GAMA</t>
  </si>
  <si>
    <t>lindalva cavalcante</t>
  </si>
  <si>
    <t>lauro marques</t>
  </si>
  <si>
    <t xml:space="preserve">valquiria alves </t>
  </si>
  <si>
    <t>MARIA SALETE</t>
  </si>
  <si>
    <t>ZULEIDE GROSSO</t>
  </si>
  <si>
    <t xml:space="preserve">TEREZINHA GOMES </t>
  </si>
  <si>
    <t xml:space="preserve">ELIZABETE  ALVES </t>
  </si>
  <si>
    <t>MARINEUSA DA SILVA ARAUJO</t>
  </si>
  <si>
    <t>CANCELADO</t>
  </si>
  <si>
    <t>Nilma de Araújo Silva</t>
  </si>
  <si>
    <t>ODILIA BRAZ DE ANDRADE</t>
  </si>
  <si>
    <t>VALE TRANSPORTE: Rosana Lucas dos Santos</t>
  </si>
  <si>
    <t>VALE TRANSPORTE: Rosana Lucas dos Santo, ref. 27/12/2024)</t>
  </si>
  <si>
    <t>Israel Vieira Alves</t>
  </si>
  <si>
    <t>Maria Aparecida Francisco</t>
  </si>
  <si>
    <t>Simone Luiza Camargo (acordo)</t>
  </si>
  <si>
    <t>Iurapuan Luiz da Cruz</t>
  </si>
  <si>
    <t>Alessandro de Souza Moura</t>
  </si>
  <si>
    <t>Miguel Jesus Santos</t>
  </si>
  <si>
    <t>Claudomiro Filisberto da Rosa</t>
  </si>
  <si>
    <t>Fátima Augusta da Silva Reis</t>
  </si>
  <si>
    <t>Luisa Batista da Costa</t>
  </si>
  <si>
    <t>Ana Rosa Courel</t>
  </si>
  <si>
    <t>Maria José Mendes de Oliveira Filha</t>
  </si>
  <si>
    <t>Adriana Cristina Santiago</t>
  </si>
  <si>
    <t>Zibia Pessoa Gomes do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</si>
</sst>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1"/>
      <name val="Arial Black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22"/>
      <name val="Arial Black"/>
      <family val="2"/>
    </font>
    <font>
      <b/>
      <u/>
      <sz val="16"/>
      <name val="Century Gothic"/>
      <family val="2"/>
    </font>
    <font>
      <strike/>
      <sz val="12"/>
      <name val="Arial"/>
      <family val="2"/>
    </font>
    <font>
      <strike/>
      <sz val="11"/>
      <name val="Calibri"/>
      <family val="2"/>
    </font>
    <font>
      <strike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65" fontId="33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4" fillId="0" borderId="3" xfId="2" applyFont="1" applyFill="1" applyBorder="1" applyAlignment="1">
      <alignment horizontal="center"/>
    </xf>
    <xf numFmtId="164" fontId="35" fillId="0" borderId="3" xfId="2" applyFont="1" applyFill="1" applyBorder="1" applyAlignment="1">
      <alignment horizontal="center"/>
    </xf>
    <xf numFmtId="165" fontId="35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164" fontId="35" fillId="0" borderId="17" xfId="2" applyFont="1" applyFill="1" applyBorder="1" applyAlignment="1">
      <alignment horizontal="center"/>
    </xf>
    <xf numFmtId="164" fontId="34" fillId="0" borderId="17" xfId="2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0" fontId="36" fillId="0" borderId="3" xfId="0" applyFont="1" applyBorder="1" applyAlignment="1">
      <alignment horizontal="center"/>
    </xf>
    <xf numFmtId="164" fontId="36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0" fontId="37" fillId="0" borderId="0" xfId="0" applyFont="1"/>
    <xf numFmtId="165" fontId="38" fillId="0" borderId="0" xfId="0" applyNumberFormat="1" applyFont="1" applyAlignment="1">
      <alignment horizontal="center"/>
    </xf>
    <xf numFmtId="0" fontId="38" fillId="0" borderId="0" xfId="0" applyFont="1"/>
    <xf numFmtId="44" fontId="5" fillId="0" borderId="17" xfId="39" applyFont="1" applyFill="1" applyBorder="1" applyAlignment="1">
      <alignment horizontal="center"/>
    </xf>
    <xf numFmtId="164" fontId="5" fillId="0" borderId="17" xfId="2" applyFont="1" applyFill="1" applyBorder="1" applyAlignment="1">
      <alignment horizontal="center"/>
    </xf>
    <xf numFmtId="44" fontId="5" fillId="0" borderId="13" xfId="39" applyFont="1" applyFill="1" applyBorder="1" applyAlignment="1">
      <alignment horizontal="center"/>
    </xf>
    <xf numFmtId="165" fontId="5" fillId="0" borderId="13" xfId="4" applyNumberFormat="1" applyFont="1" applyFill="1" applyBorder="1" applyAlignment="1">
      <alignment horizontal="center"/>
    </xf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165" fontId="5" fillId="0" borderId="13" xfId="0" applyNumberFormat="1" applyFont="1" applyBorder="1" applyAlignment="1">
      <alignment horizontal="center"/>
    </xf>
    <xf numFmtId="1" fontId="39" fillId="0" borderId="17" xfId="0" applyNumberFormat="1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44" fontId="41" fillId="0" borderId="17" xfId="39" applyFont="1" applyFill="1" applyBorder="1" applyAlignment="1">
      <alignment horizontal="center"/>
    </xf>
    <xf numFmtId="165" fontId="41" fillId="0" borderId="17" xfId="4" applyNumberFormat="1" applyFont="1" applyFill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44" fontId="13" fillId="0" borderId="17" xfId="39" applyFont="1" applyFill="1" applyBorder="1" applyAlignment="1">
      <alignment horizontal="center" vertical="center"/>
    </xf>
    <xf numFmtId="165" fontId="13" fillId="0" borderId="17" xfId="4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0" borderId="17" xfId="0" applyFont="1" applyBorder="1" applyAlignment="1">
      <alignment horizontal="center" vertical="center" wrapText="1"/>
    </xf>
    <xf numFmtId="165" fontId="13" fillId="0" borderId="17" xfId="0" applyNumberFormat="1" applyFont="1" applyBorder="1" applyAlignment="1">
      <alignment horizontal="center" vertical="center"/>
    </xf>
    <xf numFmtId="165" fontId="13" fillId="0" borderId="6" xfId="0" applyNumberFormat="1" applyFont="1" applyBorder="1" applyAlignment="1">
      <alignment horizontal="center" vertical="center"/>
    </xf>
    <xf numFmtId="164" fontId="13" fillId="0" borderId="17" xfId="2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10" fillId="7" borderId="18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sortState xmlns:xlrd2="http://schemas.microsoft.com/office/spreadsheetml/2017/richdata2" ref="K6:M11">
    <sortCondition ref="K5:K11"/>
  </sortState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61" dataDxfId="1259" headerRowBorderDxfId="1260" tableBorderDxfId="1258" totalsRowBorderDxfId="1257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71" dataDxfId="1169" headerRowBorderDxfId="1170" tableBorderDxfId="1168" totalsRowBorderDxfId="1167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1" totalsRowShown="0" headerRowDxfId="1153" dataDxfId="1151" headerRowBorderDxfId="1152" tableBorderDxfId="1150" totalsRowBorderDxfId="1149">
  <autoFilter ref="E35:I41" xr:uid="{B9E2F984-8588-4F2C-9FB9-680284154679}"/>
  <sortState xmlns:xlrd2="http://schemas.microsoft.com/office/spreadsheetml/2017/richdata2" ref="E36:I41">
    <sortCondition ref="E35:E41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sortState xmlns:xlrd2="http://schemas.microsoft.com/office/spreadsheetml/2017/richdata2" ref="K35:M41">
    <sortCondition ref="K34:K41"/>
  </sortState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51" dataDxfId="449" headerRowBorderDxfId="450" tableBorderDxfId="448" totalsRowBorderDxfId="447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1"/>
  <sheetViews>
    <sheetView workbookViewId="0">
      <selection activeCell="U18" sqref="U18"/>
    </sheetView>
  </sheetViews>
  <sheetFormatPr defaultColWidth="21.28515625" defaultRowHeight="12.75" x14ac:dyDescent="0.2"/>
  <cols>
    <col min="2" max="2" width="22.7109375" customWidth="1"/>
  </cols>
  <sheetData>
    <row r="1" spans="1:16" ht="33.75" x14ac:dyDescent="0.65">
      <c r="B1" s="79"/>
      <c r="L1" s="81" t="s">
        <v>141</v>
      </c>
      <c r="P1" t="s">
        <v>127</v>
      </c>
    </row>
    <row r="2" spans="1:16" ht="15" x14ac:dyDescent="0.2">
      <c r="A2" s="18" t="s">
        <v>0</v>
      </c>
      <c r="B2" s="56" t="s">
        <v>13</v>
      </c>
      <c r="P2" t="s">
        <v>128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20711.490000000002</v>
      </c>
      <c r="P3" t="s">
        <v>129</v>
      </c>
    </row>
    <row r="4" spans="1:16" ht="15" x14ac:dyDescent="0.25">
      <c r="A4" s="22" t="s">
        <v>2</v>
      </c>
      <c r="B4" s="23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22618.730000000003</v>
      </c>
      <c r="P4" t="s">
        <v>130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82</v>
      </c>
      <c r="P5" t="s">
        <v>131</v>
      </c>
    </row>
    <row r="6" spans="1:16" ht="15.75" x14ac:dyDescent="0.25">
      <c r="A6" s="27" t="s">
        <v>4</v>
      </c>
      <c r="B6" s="28">
        <f ca="1">SUM(B4:B5)</f>
        <v>22700.730000000003</v>
      </c>
      <c r="C6">
        <f>C16</f>
        <v>0</v>
      </c>
      <c r="E6" s="37"/>
      <c r="F6" s="37"/>
      <c r="G6" s="37"/>
      <c r="H6" s="37"/>
      <c r="I6" s="37"/>
      <c r="K6" s="37"/>
      <c r="L6" s="37"/>
      <c r="M6" s="37"/>
      <c r="P6" t="s">
        <v>132</v>
      </c>
    </row>
    <row r="7" spans="1:16" ht="15" x14ac:dyDescent="0.25">
      <c r="A7" s="2"/>
      <c r="B7" s="2"/>
      <c r="E7" s="37"/>
      <c r="F7" s="37"/>
      <c r="G7" s="37"/>
      <c r="H7" s="37"/>
      <c r="I7" s="37"/>
      <c r="K7" s="37"/>
      <c r="L7" s="37"/>
      <c r="M7" s="37"/>
      <c r="P7" t="s">
        <v>133</v>
      </c>
    </row>
    <row r="8" spans="1:16" ht="15" x14ac:dyDescent="0.2">
      <c r="A8" s="104" t="s">
        <v>5</v>
      </c>
      <c r="B8" s="104"/>
      <c r="E8" s="37"/>
      <c r="F8" s="37"/>
      <c r="G8" s="37"/>
      <c r="H8" s="37"/>
      <c r="I8" s="37"/>
      <c r="K8" s="37"/>
      <c r="L8" s="37"/>
      <c r="M8" s="37"/>
      <c r="P8" t="s">
        <v>134</v>
      </c>
    </row>
    <row r="9" spans="1:16" ht="15" x14ac:dyDescent="0.25">
      <c r="A9" s="29" t="s">
        <v>6</v>
      </c>
      <c r="B9" s="23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2752.3</v>
      </c>
      <c r="E9" s="37"/>
      <c r="F9" s="37"/>
      <c r="G9" s="37"/>
      <c r="H9" s="37"/>
      <c r="I9" s="37"/>
      <c r="K9" s="37"/>
      <c r="L9" s="37"/>
      <c r="M9" s="37"/>
      <c r="P9" t="s">
        <v>135</v>
      </c>
    </row>
    <row r="10" spans="1:16" ht="15" x14ac:dyDescent="0.25">
      <c r="A10" s="29" t="s">
        <v>7</v>
      </c>
      <c r="B10" s="23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2144.2799999999997</v>
      </c>
      <c r="E10" s="37"/>
      <c r="F10" s="37"/>
      <c r="G10" s="37"/>
      <c r="H10" s="37"/>
      <c r="I10" s="37"/>
      <c r="K10" s="37"/>
      <c r="L10" s="37"/>
      <c r="M10" s="37"/>
      <c r="P10" t="s">
        <v>136</v>
      </c>
    </row>
    <row r="11" spans="1:16" ht="15" x14ac:dyDescent="0.25">
      <c r="A11" s="29" t="s">
        <v>8</v>
      </c>
      <c r="B11" s="23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10198.5</v>
      </c>
      <c r="E11" s="37"/>
      <c r="F11" s="37"/>
      <c r="G11" s="37"/>
      <c r="H11" s="37"/>
      <c r="I11" s="37"/>
      <c r="K11" s="37"/>
      <c r="L11" s="37"/>
      <c r="M11" s="37"/>
      <c r="P11" t="s">
        <v>137</v>
      </c>
    </row>
    <row r="12" spans="1:16" ht="15" x14ac:dyDescent="0.25">
      <c r="A12" s="29" t="s">
        <v>9</v>
      </c>
      <c r="B12" s="23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E12" s="37"/>
      <c r="F12" s="37"/>
      <c r="G12" s="37"/>
      <c r="H12" s="37"/>
      <c r="I12" s="37"/>
      <c r="P12" t="s">
        <v>138</v>
      </c>
    </row>
    <row r="13" spans="1:16" ht="15" x14ac:dyDescent="0.25">
      <c r="A13" s="29" t="s">
        <v>10</v>
      </c>
      <c r="B13" s="23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7523.65</v>
      </c>
      <c r="E13" s="37"/>
      <c r="F13" s="37"/>
      <c r="G13" s="37"/>
      <c r="H13" s="37"/>
      <c r="I13" s="37"/>
      <c r="P13" t="s">
        <v>139</v>
      </c>
    </row>
    <row r="14" spans="1:16" ht="15.75" x14ac:dyDescent="0.25">
      <c r="A14" s="27" t="s">
        <v>11</v>
      </c>
      <c r="B14" s="57">
        <f ca="1">SUM(B9:B13)</f>
        <v>22618.73</v>
      </c>
      <c r="E14" s="37"/>
      <c r="F14" s="37"/>
      <c r="G14" s="37"/>
      <c r="H14" s="37"/>
      <c r="I14" s="37"/>
    </row>
    <row r="15" spans="1:16" ht="15" x14ac:dyDescent="0.25">
      <c r="A15" s="2"/>
      <c r="B15" s="2"/>
      <c r="E15" s="37"/>
      <c r="F15" s="37"/>
      <c r="G15" s="37"/>
      <c r="H15" s="37"/>
      <c r="I15" s="37"/>
      <c r="K15" s="37"/>
      <c r="L15" s="37"/>
      <c r="M15" s="37"/>
    </row>
    <row r="16" spans="1:16" ht="15" x14ac:dyDescent="0.2">
      <c r="A16" s="104" t="s">
        <v>12</v>
      </c>
      <c r="B16" s="104"/>
      <c r="E16" s="37"/>
      <c r="F16" s="37"/>
      <c r="G16" s="37"/>
      <c r="H16" s="37"/>
      <c r="I16" s="37"/>
      <c r="K16" s="37"/>
      <c r="L16" s="37"/>
      <c r="M16" s="37"/>
    </row>
    <row r="17" spans="1:13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3735.69</v>
      </c>
      <c r="E17" s="37"/>
      <c r="F17" s="37"/>
      <c r="G17" s="37"/>
      <c r="H17" s="37"/>
      <c r="I17" s="37"/>
      <c r="K17" s="37"/>
      <c r="L17" s="37"/>
      <c r="M17" s="37"/>
    </row>
    <row r="18" spans="1:13" ht="15.75" x14ac:dyDescent="0.25">
      <c r="A18" s="27" t="s">
        <v>11</v>
      </c>
      <c r="B18" s="57">
        <f>SUM(B17:B17)</f>
        <v>3735.69</v>
      </c>
      <c r="E18" s="37"/>
      <c r="F18" s="37"/>
      <c r="G18" s="37"/>
      <c r="H18" s="37"/>
      <c r="I18" s="37"/>
      <c r="K18" s="37"/>
      <c r="L18" s="37"/>
      <c r="M18" s="37"/>
    </row>
    <row r="19" spans="1:13" x14ac:dyDescent="0.2">
      <c r="E19" s="37"/>
      <c r="F19" s="37"/>
      <c r="G19" s="37"/>
      <c r="H19" s="37"/>
      <c r="I19" s="37"/>
      <c r="K19" s="37"/>
      <c r="L19" s="37"/>
      <c r="M19" s="37"/>
    </row>
    <row r="20" spans="1:13" x14ac:dyDescent="0.2">
      <c r="E20" s="37"/>
      <c r="F20" s="37"/>
      <c r="G20" s="37"/>
      <c r="H20" s="37"/>
      <c r="I20" s="37"/>
      <c r="K20" s="37"/>
      <c r="L20" s="37"/>
      <c r="M20" s="37"/>
    </row>
    <row r="21" spans="1:13" x14ac:dyDescent="0.2">
      <c r="E21" s="37"/>
      <c r="F21" s="37"/>
      <c r="G21" s="37"/>
      <c r="H21" s="37"/>
      <c r="I21" s="37"/>
      <c r="K21" s="37"/>
      <c r="L21" s="37"/>
      <c r="M21" s="37"/>
    </row>
    <row r="22" spans="1:13" x14ac:dyDescent="0.2">
      <c r="E22" s="37"/>
      <c r="F22" s="37"/>
      <c r="G22" s="37"/>
      <c r="H22" s="37"/>
      <c r="I22" s="37"/>
      <c r="K22" s="37"/>
      <c r="L22" s="37"/>
      <c r="M22" s="37"/>
    </row>
    <row r="23" spans="1:13" x14ac:dyDescent="0.2">
      <c r="K23" s="37"/>
      <c r="L23" s="37"/>
      <c r="M23" s="37"/>
    </row>
    <row r="24" spans="1:13" x14ac:dyDescent="0.2">
      <c r="K24" s="37"/>
      <c r="L24" s="37"/>
      <c r="M24" s="37"/>
    </row>
    <row r="25" spans="1:13" x14ac:dyDescent="0.2">
      <c r="K25" s="37"/>
      <c r="L25" s="37"/>
      <c r="M25" s="37"/>
    </row>
    <row r="26" spans="1:13" x14ac:dyDescent="0.2">
      <c r="E26" s="37"/>
      <c r="F26" s="37"/>
      <c r="G26" s="37"/>
      <c r="H26" s="37"/>
      <c r="I26" s="37"/>
      <c r="K26" s="37"/>
      <c r="L26" s="37"/>
      <c r="M26" s="37"/>
    </row>
    <row r="27" spans="1:13" x14ac:dyDescent="0.2">
      <c r="E27" s="37"/>
      <c r="F27" s="37"/>
      <c r="G27" s="37"/>
      <c r="H27" s="37"/>
      <c r="I27" s="37"/>
      <c r="K27" s="37"/>
      <c r="L27" s="37"/>
      <c r="M27" s="37"/>
    </row>
    <row r="28" spans="1:13" x14ac:dyDescent="0.2">
      <c r="E28" s="37"/>
      <c r="F28" s="37"/>
      <c r="G28" s="37"/>
      <c r="H28" s="37"/>
      <c r="I28" s="37"/>
      <c r="K28" s="37"/>
      <c r="L28" s="37"/>
      <c r="M28" s="37"/>
    </row>
    <row r="29" spans="1:13" x14ac:dyDescent="0.2">
      <c r="E29" s="37"/>
      <c r="F29" s="37"/>
      <c r="G29" s="37"/>
      <c r="H29" s="37"/>
      <c r="I29" s="37"/>
      <c r="K29" s="37"/>
      <c r="L29" s="37"/>
      <c r="M29" s="37"/>
    </row>
    <row r="30" spans="1:13" x14ac:dyDescent="0.2">
      <c r="E30" s="37"/>
      <c r="F30" s="37"/>
      <c r="G30" s="37"/>
      <c r="H30" s="37"/>
      <c r="I30" s="37"/>
      <c r="K30" s="37"/>
      <c r="L30" s="37"/>
      <c r="M30" s="37"/>
    </row>
    <row r="31" spans="1:13" x14ac:dyDescent="0.2">
      <c r="E31" s="37"/>
      <c r="F31" s="37"/>
      <c r="G31" s="37"/>
      <c r="H31" s="37"/>
      <c r="I31" s="37"/>
      <c r="K31" s="37"/>
      <c r="L31" s="37"/>
      <c r="M31" s="37"/>
    </row>
    <row r="35" spans="5:13" x14ac:dyDescent="0.2">
      <c r="E35" s="37"/>
      <c r="F35" s="37"/>
      <c r="G35" s="37"/>
      <c r="H35" s="37"/>
      <c r="I35" s="37"/>
      <c r="K35" s="37"/>
      <c r="L35" s="37"/>
      <c r="M35" s="37"/>
    </row>
    <row r="36" spans="5:13" x14ac:dyDescent="0.2">
      <c r="E36" s="37"/>
      <c r="F36" s="37"/>
      <c r="G36" s="37"/>
      <c r="H36" s="37"/>
      <c r="I36" s="37"/>
      <c r="K36" s="37"/>
      <c r="L36" s="37"/>
      <c r="M36" s="37"/>
    </row>
    <row r="37" spans="5:13" x14ac:dyDescent="0.2">
      <c r="E37" s="37"/>
      <c r="F37" s="37"/>
      <c r="G37" s="37"/>
      <c r="H37" s="37"/>
      <c r="I37" s="37"/>
      <c r="K37" s="37"/>
      <c r="L37" s="37"/>
      <c r="M37" s="37"/>
    </row>
    <row r="38" spans="5:13" x14ac:dyDescent="0.2">
      <c r="E38" s="37"/>
      <c r="F38" s="37"/>
      <c r="G38" s="37"/>
      <c r="H38" s="37"/>
      <c r="I38" s="37"/>
      <c r="K38" s="37"/>
      <c r="L38" s="37"/>
      <c r="M38" s="37"/>
    </row>
    <row r="39" spans="5:13" x14ac:dyDescent="0.2">
      <c r="E39" s="37"/>
      <c r="F39" s="37"/>
      <c r="G39" s="37"/>
      <c r="H39" s="37"/>
      <c r="I39" s="37"/>
      <c r="K39" s="37"/>
      <c r="L39" s="37"/>
      <c r="M39" s="37"/>
    </row>
    <row r="40" spans="5:13" x14ac:dyDescent="0.2">
      <c r="E40" s="37"/>
      <c r="F40" s="37"/>
      <c r="G40" s="37"/>
      <c r="H40" s="37"/>
      <c r="I40" s="37"/>
      <c r="K40" s="37"/>
      <c r="L40" s="37"/>
      <c r="M40" s="37"/>
    </row>
    <row r="41" spans="5:13" x14ac:dyDescent="0.2">
      <c r="E41" s="37"/>
      <c r="F41" s="37"/>
      <c r="G41" s="37"/>
      <c r="H41" s="37"/>
      <c r="I41" s="37"/>
      <c r="K41" s="37"/>
      <c r="L41" s="37"/>
      <c r="M41" s="37"/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90" zoomScaleNormal="90" workbookViewId="0">
      <selection activeCell="U18" sqref="U18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v>45658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9"/>
      <c r="F6" s="24"/>
      <c r="G6" s="25"/>
      <c r="H6" s="8"/>
      <c r="I6" s="8"/>
      <c r="J6" s="2"/>
      <c r="K6" s="24"/>
      <c r="L6" s="9"/>
      <c r="M6" s="16"/>
      <c r="R6" s="1">
        <f>IF(vend1[[#This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9"/>
      <c r="F7" s="24"/>
      <c r="G7" s="25"/>
      <c r="H7" s="8"/>
      <c r="I7" s="8"/>
      <c r="J7" s="2"/>
      <c r="K7" s="24"/>
      <c r="L7" s="9"/>
      <c r="M7" s="16"/>
      <c r="R7" s="1">
        <f>IF(vend1[[#This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9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9"/>
      <c r="F15" s="24"/>
      <c r="G15" s="25"/>
      <c r="H15" s="8"/>
      <c r="I15" s="8"/>
      <c r="J15" s="2"/>
      <c r="K15" s="76"/>
      <c r="L15" s="9"/>
      <c r="M15" s="16"/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9"/>
      <c r="F16" s="24"/>
      <c r="G16" s="25"/>
      <c r="H16" s="8"/>
      <c r="I16" s="8"/>
      <c r="J16" s="2"/>
      <c r="K16" s="76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IF(vend1[[#This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24"/>
      <c r="G26" s="25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/>
      <c r="F35" s="24"/>
      <c r="G35" s="25"/>
      <c r="H35" s="8"/>
      <c r="I35" s="8"/>
      <c r="K35" s="76"/>
      <c r="L35" s="40"/>
      <c r="M35" s="16"/>
    </row>
    <row r="36" spans="2:18" ht="15.75" x14ac:dyDescent="0.25">
      <c r="E36" s="69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2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view="pageBreakPreview" zoomScale="60" zoomScaleNormal="90" workbookViewId="0">
      <selection activeCell="W23" sqref="W23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3.710937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4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'01'!B1+1</f>
        <v>45659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30" x14ac:dyDescent="0.25">
      <c r="B6" s="22" t="s">
        <v>2</v>
      </c>
      <c r="C6" s="23">
        <f>C16</f>
        <v>1345</v>
      </c>
      <c r="D6" s="2"/>
      <c r="E6" s="95">
        <v>4700</v>
      </c>
      <c r="F6" s="96" t="s">
        <v>220</v>
      </c>
      <c r="G6" s="97" t="s">
        <v>40</v>
      </c>
      <c r="H6" s="98">
        <v>0</v>
      </c>
      <c r="I6" s="98">
        <v>0</v>
      </c>
      <c r="J6" s="99"/>
      <c r="K6" s="100" t="s">
        <v>219</v>
      </c>
      <c r="L6" s="101" t="s">
        <v>6</v>
      </c>
      <c r="M6" s="102">
        <v>10</v>
      </c>
      <c r="R6" s="1">
        <f>IF(vend2[[#This Row],[Nº Venda]]&gt;1,1,0)</f>
        <v>1</v>
      </c>
    </row>
    <row r="7" spans="2:18" ht="30" x14ac:dyDescent="0.25">
      <c r="B7" s="22" t="s">
        <v>3</v>
      </c>
      <c r="C7" s="23">
        <f>SUM(M6:M11)</f>
        <v>70</v>
      </c>
      <c r="D7" s="2"/>
      <c r="E7" s="95"/>
      <c r="F7" s="96"/>
      <c r="G7" s="97"/>
      <c r="H7" s="98"/>
      <c r="I7" s="98"/>
      <c r="J7" s="99"/>
      <c r="K7" s="100" t="s">
        <v>219</v>
      </c>
      <c r="L7" s="101" t="s">
        <v>10</v>
      </c>
      <c r="M7" s="102">
        <v>30</v>
      </c>
      <c r="R7" s="1">
        <f>IF(vend2[[#This Row],[Nº Venda]]&gt;1,1,0)</f>
        <v>0</v>
      </c>
    </row>
    <row r="8" spans="2:18" ht="15.75" x14ac:dyDescent="0.25">
      <c r="B8" s="27" t="s">
        <v>21</v>
      </c>
      <c r="C8" s="28">
        <f>SUM(C6:C7)</f>
        <v>1415</v>
      </c>
      <c r="D8" s="2"/>
      <c r="E8" s="95"/>
      <c r="F8" s="96"/>
      <c r="G8" s="103"/>
      <c r="H8" s="98"/>
      <c r="I8" s="98"/>
      <c r="J8" s="99"/>
      <c r="K8" s="100" t="s">
        <v>218</v>
      </c>
      <c r="L8" s="101" t="s">
        <v>10</v>
      </c>
      <c r="M8" s="102">
        <v>30</v>
      </c>
      <c r="R8" s="1">
        <f>IF(vend2[[#This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 t="shared" si="0"/>
        <v>1000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345</v>
      </c>
      <c r="D15" s="2"/>
      <c r="E15" s="69"/>
      <c r="F15" s="24"/>
      <c r="G15" s="25"/>
      <c r="H15" s="8"/>
      <c r="I15" s="8"/>
      <c r="J15" s="2"/>
      <c r="K15" s="76">
        <v>4700</v>
      </c>
      <c r="L15" s="9" t="s">
        <v>132</v>
      </c>
      <c r="M15" s="16" t="s">
        <v>143</v>
      </c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1345</v>
      </c>
      <c r="D16" s="2"/>
      <c r="E16" s="69"/>
      <c r="F16" s="24"/>
      <c r="G16" s="25"/>
      <c r="H16" s="8"/>
      <c r="I16" s="8"/>
      <c r="J16" s="2"/>
      <c r="K16" s="76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IF(vend2[[#This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>
        <v>4681</v>
      </c>
      <c r="F26" s="24" t="s">
        <v>142</v>
      </c>
      <c r="G26" s="25" t="s">
        <v>8</v>
      </c>
      <c r="H26" s="8">
        <v>0</v>
      </c>
      <c r="I26" s="8">
        <v>900</v>
      </c>
      <c r="J26" s="2"/>
      <c r="K26" s="76"/>
      <c r="L26" s="9"/>
      <c r="M26" s="16"/>
    </row>
    <row r="27" spans="2:18" ht="15.75" x14ac:dyDescent="0.25">
      <c r="B27" s="2"/>
      <c r="C27" s="2"/>
      <c r="D27" s="2"/>
      <c r="E27" s="69">
        <v>4682</v>
      </c>
      <c r="F27" s="24" t="s">
        <v>142</v>
      </c>
      <c r="G27" s="25" t="s">
        <v>8</v>
      </c>
      <c r="H27" s="8">
        <v>0</v>
      </c>
      <c r="I27" s="8">
        <v>100</v>
      </c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</row>
    <row r="33" spans="2:21" ht="15" x14ac:dyDescent="0.25">
      <c r="B33" s="2"/>
      <c r="C33" s="2"/>
      <c r="E33" s="113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69">
        <v>3991</v>
      </c>
      <c r="F35" s="24" t="s">
        <v>222</v>
      </c>
      <c r="G35" s="25" t="s">
        <v>10</v>
      </c>
      <c r="H35" s="8">
        <v>100</v>
      </c>
      <c r="I35" s="8" t="s">
        <v>33</v>
      </c>
      <c r="K35" s="76"/>
      <c r="L35" s="40"/>
      <c r="M35" s="16"/>
    </row>
    <row r="36" spans="2:21" ht="15.75" x14ac:dyDescent="0.25">
      <c r="E36" s="69">
        <v>4253</v>
      </c>
      <c r="F36" s="24" t="s">
        <v>223</v>
      </c>
      <c r="G36" s="25" t="s">
        <v>10</v>
      </c>
      <c r="H36" s="8">
        <v>160</v>
      </c>
      <c r="I36" s="8" t="s">
        <v>59</v>
      </c>
      <c r="K36" s="76"/>
      <c r="L36" s="40"/>
      <c r="M36" s="16"/>
    </row>
    <row r="37" spans="2:21" ht="15.75" x14ac:dyDescent="0.25">
      <c r="E37" s="69">
        <v>4616</v>
      </c>
      <c r="F37" s="24" t="s">
        <v>221</v>
      </c>
      <c r="G37" s="25" t="s">
        <v>10</v>
      </c>
      <c r="H37" s="8">
        <v>85</v>
      </c>
      <c r="I37" s="8" t="s">
        <v>55</v>
      </c>
      <c r="K37" s="76"/>
      <c r="L37" s="40"/>
      <c r="M37" s="16"/>
    </row>
    <row r="38" spans="2:21" ht="15.75" x14ac:dyDescent="0.25">
      <c r="E38" s="69"/>
      <c r="F38" s="24"/>
      <c r="G38" s="25"/>
      <c r="H38" s="8"/>
      <c r="I38" s="8"/>
      <c r="K38" s="76"/>
      <c r="L38" s="40"/>
      <c r="M38" s="16"/>
    </row>
    <row r="39" spans="2:21" ht="15.75" x14ac:dyDescent="0.25">
      <c r="E39" s="69"/>
      <c r="F39" s="38"/>
      <c r="G39" s="25"/>
      <c r="H39" s="8"/>
      <c r="I39" s="8"/>
      <c r="K39" s="76"/>
      <c r="L39" s="40"/>
      <c r="M39" s="16"/>
    </row>
    <row r="40" spans="2:21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1</v>
      </c>
    </row>
    <row r="41" spans="2:21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view="pageBreakPreview" zoomScale="60" zoomScaleNormal="9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'02'!B1+1</f>
        <v>45660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1100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150</v>
      </c>
      <c r="D6" s="2"/>
      <c r="E6" s="69">
        <v>4701</v>
      </c>
      <c r="F6" s="24" t="s">
        <v>224</v>
      </c>
      <c r="G6" s="42" t="s">
        <v>6</v>
      </c>
      <c r="H6" s="8">
        <v>800</v>
      </c>
      <c r="I6" s="8">
        <v>50</v>
      </c>
      <c r="J6" s="2"/>
      <c r="K6" s="24"/>
      <c r="L6" s="9"/>
      <c r="M6" s="16"/>
      <c r="R6" s="1">
        <f>IF(vend3[[#This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9">
        <v>4702</v>
      </c>
      <c r="F7" s="24" t="s">
        <v>224</v>
      </c>
      <c r="G7" s="25" t="s">
        <v>6</v>
      </c>
      <c r="H7" s="8">
        <v>300</v>
      </c>
      <c r="I7" s="8">
        <v>50</v>
      </c>
      <c r="J7" s="2"/>
      <c r="K7" s="24"/>
      <c r="L7" s="9"/>
      <c r="M7" s="16"/>
      <c r="R7" s="1">
        <f>IF(vend3[[#This Row],[Nº Venda]]&gt;1,1,0)</f>
        <v>1</v>
      </c>
    </row>
    <row r="8" spans="2:18" ht="15.75" x14ac:dyDescent="0.25">
      <c r="B8" s="27" t="s">
        <v>21</v>
      </c>
      <c r="C8" s="28">
        <f>SUM(C6:C7)</f>
        <v>150</v>
      </c>
      <c r="D8" s="2"/>
      <c r="E8" s="69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150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9"/>
      <c r="F15" s="24"/>
      <c r="G15" s="25"/>
      <c r="H15" s="8"/>
      <c r="I15" s="8"/>
      <c r="J15" s="2"/>
      <c r="K15" s="76">
        <v>4685</v>
      </c>
      <c r="L15" s="9" t="s">
        <v>135</v>
      </c>
      <c r="M15" s="16" t="s">
        <v>144</v>
      </c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150</v>
      </c>
      <c r="D16" s="2"/>
      <c r="E16" s="69"/>
      <c r="F16" s="24"/>
      <c r="G16" s="25"/>
      <c r="H16" s="8"/>
      <c r="I16" s="8"/>
      <c r="J16" s="2"/>
      <c r="K16" s="76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IF(vend3[[#This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1</v>
      </c>
      <c r="C19" s="30">
        <f>SUM(entr_carn3[Valor Total])</f>
        <v>249.99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249.99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1100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24"/>
      <c r="G26" s="42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>
        <v>4685</v>
      </c>
      <c r="F35" s="24" t="s">
        <v>216</v>
      </c>
      <c r="G35" s="25" t="s">
        <v>6</v>
      </c>
      <c r="H35" s="8">
        <v>50</v>
      </c>
      <c r="I35" s="8" t="s">
        <v>39</v>
      </c>
      <c r="K35" s="76">
        <v>4685</v>
      </c>
      <c r="L35" s="40">
        <v>5</v>
      </c>
      <c r="M35" s="16">
        <v>249.99</v>
      </c>
    </row>
    <row r="36" spans="2:18" ht="15.75" x14ac:dyDescent="0.25">
      <c r="E36" s="69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2" zoomScale="90" zoomScaleNormal="90" workbookViewId="0">
      <selection activeCell="H35" sqref="H35:H36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'03'!B1+1</f>
        <v>45661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330</v>
      </c>
      <c r="D6" s="2"/>
      <c r="E6" s="69"/>
      <c r="F6" s="24"/>
      <c r="G6" s="42"/>
      <c r="H6" s="8"/>
      <c r="I6" s="8"/>
      <c r="J6" s="2"/>
      <c r="K6" s="24"/>
      <c r="L6" s="9"/>
      <c r="M6" s="16"/>
      <c r="R6" s="1">
        <f>IF(vend4[[#This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9"/>
      <c r="F7" s="24"/>
      <c r="G7" s="42"/>
      <c r="H7" s="8"/>
      <c r="I7" s="8"/>
      <c r="J7" s="2"/>
      <c r="K7" s="24"/>
      <c r="L7" s="9"/>
      <c r="M7" s="16"/>
      <c r="R7" s="1">
        <f>IF(vend4[[#This Row],[Nº Venda]]&gt;1,1,0)</f>
        <v>0</v>
      </c>
    </row>
    <row r="8" spans="2:18" ht="15.75" x14ac:dyDescent="0.25">
      <c r="B8" s="27" t="s">
        <v>21</v>
      </c>
      <c r="C8" s="28">
        <f>SUM(C6:C7)</f>
        <v>330</v>
      </c>
      <c r="D8" s="2"/>
      <c r="E8" s="69"/>
      <c r="F8" s="24"/>
      <c r="G8" s="42"/>
      <c r="H8" s="8"/>
      <c r="I8" s="8"/>
      <c r="J8" s="2"/>
      <c r="K8" s="24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42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29" t="s">
        <v>10</v>
      </c>
      <c r="C15" s="30">
        <f t="shared" si="0"/>
        <v>330</v>
      </c>
      <c r="D15" s="2"/>
      <c r="E15" s="69"/>
      <c r="F15" s="24"/>
      <c r="G15" s="25"/>
      <c r="H15" s="8"/>
      <c r="I15" s="8"/>
      <c r="J15" s="2"/>
      <c r="K15" s="76"/>
      <c r="L15" s="9"/>
      <c r="M15" s="49"/>
      <c r="R15" s="1">
        <f>IF(vend4[[#This Row],[Nº Venda]]&gt;1,1,0)</f>
        <v>0</v>
      </c>
    </row>
    <row r="16" spans="2:18" ht="18.75" x14ac:dyDescent="0.4">
      <c r="B16" s="27" t="s">
        <v>11</v>
      </c>
      <c r="C16" s="31">
        <f>SUM(C11:C15)</f>
        <v>330</v>
      </c>
      <c r="D16" s="2"/>
      <c r="E16" s="69"/>
      <c r="F16" s="24"/>
      <c r="G16" s="25"/>
      <c r="H16" s="8"/>
      <c r="I16" s="8"/>
      <c r="J16" s="2"/>
      <c r="K16" s="76"/>
      <c r="L16" s="9"/>
      <c r="M16" s="49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49"/>
      <c r="R17" s="1">
        <f>IF(vend4[[#This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24"/>
      <c r="G26" s="42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42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42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>
        <v>4357</v>
      </c>
      <c r="F35" s="24" t="s">
        <v>145</v>
      </c>
      <c r="G35" s="25" t="s">
        <v>10</v>
      </c>
      <c r="H35" s="8">
        <v>170</v>
      </c>
      <c r="I35" s="8" t="s">
        <v>48</v>
      </c>
      <c r="K35" s="76"/>
      <c r="L35" s="40"/>
      <c r="M35" s="16"/>
    </row>
    <row r="36" spans="2:18" ht="15.75" x14ac:dyDescent="0.25">
      <c r="E36" s="69">
        <v>4507</v>
      </c>
      <c r="F36" s="24" t="s">
        <v>145</v>
      </c>
      <c r="G36" s="25" t="s">
        <v>10</v>
      </c>
      <c r="H36" s="8">
        <v>160</v>
      </c>
      <c r="I36" s="8" t="s">
        <v>55</v>
      </c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3" zoomScale="90" zoomScaleNormal="90" workbookViewId="0">
      <selection activeCell="U18" sqref="U18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'04'!B1+1</f>
        <v>45662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9"/>
      <c r="F6" s="24"/>
      <c r="G6" s="42"/>
      <c r="H6" s="8"/>
      <c r="I6" s="8"/>
      <c r="J6" s="2"/>
      <c r="K6" s="24"/>
      <c r="L6" s="9"/>
      <c r="M6" s="16"/>
      <c r="R6" s="1">
        <f>IF(vend5[[#This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9"/>
      <c r="F7" s="24"/>
      <c r="G7" s="42"/>
      <c r="H7" s="8"/>
      <c r="I7" s="8"/>
      <c r="J7" s="2"/>
      <c r="K7" s="24"/>
      <c r="L7" s="9"/>
      <c r="M7" s="16"/>
      <c r="R7" s="1">
        <f>IF(vend5[[#This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9"/>
      <c r="F8" s="24"/>
      <c r="G8" s="42"/>
      <c r="H8" s="8"/>
      <c r="I8" s="8"/>
      <c r="J8" s="2"/>
      <c r="K8" s="24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42"/>
      <c r="H9" s="8"/>
      <c r="I9" s="8"/>
      <c r="J9" s="2"/>
      <c r="K9" s="24"/>
      <c r="L9" s="9"/>
      <c r="M9" s="16"/>
      <c r="R9" s="1">
        <f>IF(vend5[[#This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42"/>
      <c r="H10" s="8"/>
      <c r="I10" s="8"/>
      <c r="J10" s="2"/>
      <c r="K10" s="24"/>
      <c r="L10" s="9"/>
      <c r="M10" s="16"/>
      <c r="R10" s="1">
        <f>IF(vend5[[#This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9"/>
      <c r="F11" s="24"/>
      <c r="G11" s="42"/>
      <c r="H11" s="8"/>
      <c r="I11" s="8"/>
      <c r="J11" s="2"/>
      <c r="K11" s="26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9"/>
      <c r="F15" s="24"/>
      <c r="G15" s="25"/>
      <c r="H15" s="8"/>
      <c r="I15" s="8"/>
      <c r="J15" s="2"/>
      <c r="K15" s="76"/>
      <c r="L15" s="9"/>
      <c r="M15" s="89"/>
      <c r="N15" s="16"/>
      <c r="R15" s="1">
        <f>IF(vend5[[#This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9"/>
      <c r="F16" s="24"/>
      <c r="G16" s="25"/>
      <c r="H16" s="8"/>
      <c r="I16" s="8"/>
      <c r="J16" s="2"/>
      <c r="K16" s="76"/>
      <c r="L16" s="9"/>
      <c r="M16" s="88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IF(vend5[[#This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IF(vend5[[#This Row],[Nº Venda]]&gt;1,1,0)</f>
        <v>0</v>
      </c>
    </row>
    <row r="19" spans="2:18" ht="15.75" x14ac:dyDescent="0.25">
      <c r="B19" s="29">
        <f>COUNT(entr_carn5[OS])</f>
        <v>0</v>
      </c>
      <c r="C19" s="30">
        <f>SUM(entr_carn5[Valor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24"/>
      <c r="G26" s="42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42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42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/>
      <c r="F35" s="24"/>
      <c r="G35" s="25"/>
      <c r="H35" s="8"/>
      <c r="I35" s="8"/>
      <c r="K35" s="76"/>
      <c r="L35" s="40"/>
      <c r="M35" s="16"/>
    </row>
    <row r="36" spans="2:18" ht="15.75" x14ac:dyDescent="0.25">
      <c r="E36" s="75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topLeftCell="C1" zoomScale="90" zoomScaleNormal="90" workbookViewId="0">
      <selection activeCell="U18" sqref="U18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'05'!B1+1</f>
        <v>45663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9"/>
      <c r="F6" s="24"/>
      <c r="G6" s="25"/>
      <c r="H6" s="8"/>
      <c r="I6" s="8"/>
      <c r="J6" s="2"/>
      <c r="K6" s="24"/>
      <c r="L6" s="9"/>
      <c r="M6" s="16"/>
      <c r="R6" s="1">
        <f>IF(vend[[#This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9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9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83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61">
        <f>(SUMIF($G$2:$G$31,B11,$I$2:$I$31))+(SUMIF($G$35:$G$41,B11,$H$35:$H$41))</f>
        <v>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61">
        <f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61">
        <f>(SUMIF($G$2:$G$31,B13,$I$2:$I$31))+(SUMIF($G$35:$G$41,B13,$H$35:$H$41))</f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IF(vend[[#This Row],[Nº Venda]]&gt;1,1,0)</f>
        <v>0</v>
      </c>
    </row>
    <row r="14" spans="2:18" ht="15.75" x14ac:dyDescent="0.25">
      <c r="B14" s="29" t="s">
        <v>9</v>
      </c>
      <c r="C14" s="61">
        <f>(SUMIF($G$2:$G$31,B14,$I$2:$I$31))+(SUMIF($G$35:$G$41,B14,$H$35:$H$41))</f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61">
        <f>(SUMIF($G$2:$G$31,B15,$I$2:$I$31))+(SUMIF($G$35:$G$41,B15,$H$35:$H$41))</f>
        <v>0</v>
      </c>
      <c r="D15" s="2"/>
      <c r="E15" s="69"/>
      <c r="F15" s="24"/>
      <c r="G15" s="25"/>
      <c r="H15" s="8"/>
      <c r="I15" s="8"/>
      <c r="J15" s="2"/>
      <c r="K15" s="76">
        <v>4691</v>
      </c>
      <c r="L15" s="9" t="s">
        <v>132</v>
      </c>
      <c r="M15" s="16" t="s">
        <v>143</v>
      </c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9"/>
      <c r="F16" s="24"/>
      <c r="G16" s="25"/>
      <c r="H16" s="8"/>
      <c r="I16" s="8"/>
      <c r="J16" s="2"/>
      <c r="K16" s="76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24"/>
      <c r="G26" s="25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/>
      <c r="F35" s="24"/>
      <c r="G35" s="25"/>
      <c r="H35" s="8"/>
      <c r="I35" s="8"/>
      <c r="K35" s="76"/>
      <c r="L35" s="40"/>
      <c r="M35" s="16"/>
    </row>
    <row r="36" spans="2:18" ht="15.75" x14ac:dyDescent="0.25">
      <c r="E36" s="72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3"/>
      <c r="F41" s="38"/>
      <c r="G41" s="25"/>
      <c r="H41" s="8"/>
      <c r="I41" s="8"/>
      <c r="K41" s="76"/>
      <c r="L41" s="40"/>
      <c r="M41" s="39"/>
    </row>
    <row r="42" spans="2:18" x14ac:dyDescent="0.2">
      <c r="F42" s="68"/>
      <c r="G42" s="68"/>
      <c r="H42" s="67"/>
      <c r="I42" s="6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90" zoomScaleNormal="9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3.75" x14ac:dyDescent="0.65">
      <c r="B1" s="78">
        <f>'06'!B1+1</f>
        <v>45664</v>
      </c>
      <c r="L1" s="80" t="s">
        <v>141</v>
      </c>
    </row>
    <row r="2" spans="2:21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  <c r="U4" s="1">
        <v>0</v>
      </c>
    </row>
    <row r="5" spans="2:21" ht="15" x14ac:dyDescent="0.25">
      <c r="B5" s="22" t="s">
        <v>1</v>
      </c>
      <c r="C5" s="23">
        <f>SUMIF(I6:I31,"&gt;0",H6:H31)</f>
        <v>110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C16</f>
        <v>110</v>
      </c>
      <c r="D6" s="2"/>
      <c r="E6" s="69">
        <v>4703</v>
      </c>
      <c r="F6" s="84" t="s">
        <v>146</v>
      </c>
      <c r="G6" s="84" t="s">
        <v>7</v>
      </c>
      <c r="H6" s="85">
        <v>70</v>
      </c>
      <c r="I6" s="85">
        <v>70</v>
      </c>
      <c r="J6" s="2"/>
      <c r="K6" s="24"/>
      <c r="L6" s="9"/>
      <c r="M6" s="16"/>
      <c r="R6" s="1">
        <f>IF(vend7[[#This Row],[Nº Venda]]&gt;1,1,0)</f>
        <v>1</v>
      </c>
    </row>
    <row r="7" spans="2:21" ht="15.75" x14ac:dyDescent="0.25">
      <c r="B7" s="22" t="s">
        <v>3</v>
      </c>
      <c r="C7" s="23">
        <f>SUM(M6:M11)</f>
        <v>0</v>
      </c>
      <c r="D7" s="2"/>
      <c r="E7" s="69">
        <v>4704</v>
      </c>
      <c r="F7" s="82" t="s">
        <v>146</v>
      </c>
      <c r="G7" s="82" t="s">
        <v>10</v>
      </c>
      <c r="H7" s="53">
        <v>40</v>
      </c>
      <c r="I7" s="53">
        <v>40</v>
      </c>
      <c r="J7" s="2"/>
      <c r="K7" s="24"/>
      <c r="L7" s="9"/>
      <c r="M7" s="16"/>
      <c r="R7" s="1">
        <f>IF(vend7[[#This Row],[Nº Venda]]&gt;1,1,0)</f>
        <v>1</v>
      </c>
    </row>
    <row r="8" spans="2:21" ht="15.75" x14ac:dyDescent="0.25">
      <c r="B8" s="27" t="s">
        <v>21</v>
      </c>
      <c r="C8" s="28">
        <f>SUM(C6:C7)</f>
        <v>110</v>
      </c>
      <c r="D8" s="2"/>
      <c r="E8" s="69"/>
      <c r="F8" s="24"/>
      <c r="G8" s="25"/>
      <c r="H8" s="8"/>
      <c r="I8" s="8"/>
      <c r="J8" s="2"/>
      <c r="K8" s="24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IF(vend7[[#This Row],[Nº Venda]]&gt;1,1,0)</f>
        <v>0</v>
      </c>
    </row>
    <row r="10" spans="2:21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IF(vend7[[#This Row],[Nº Venda]]&gt;1,1,0)</f>
        <v>0</v>
      </c>
    </row>
    <row r="11" spans="2:21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70</v>
      </c>
      <c r="D12" s="2"/>
      <c r="E12" s="69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8</v>
      </c>
      <c r="C13" s="30">
        <f t="shared" si="0"/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 t="shared" si="0"/>
        <v>40</v>
      </c>
      <c r="D15" s="2"/>
      <c r="E15" s="69"/>
      <c r="F15" s="24"/>
      <c r="G15" s="25"/>
      <c r="H15" s="8"/>
      <c r="I15" s="8"/>
      <c r="J15" s="2"/>
      <c r="K15" s="76">
        <v>4650</v>
      </c>
      <c r="L15" s="9" t="s">
        <v>132</v>
      </c>
      <c r="M15" s="43" t="s">
        <v>143</v>
      </c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110</v>
      </c>
      <c r="D16" s="2"/>
      <c r="E16" s="69"/>
      <c r="F16" s="24"/>
      <c r="G16" s="25"/>
      <c r="H16" s="8"/>
      <c r="I16" s="8"/>
      <c r="J16" s="2"/>
      <c r="K16" s="76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IF(vend7[[#This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110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50"/>
      <c r="G26" s="54"/>
      <c r="H26" s="55"/>
      <c r="I26" s="55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/>
      <c r="F35" s="24"/>
      <c r="G35" s="25"/>
      <c r="H35" s="8"/>
      <c r="I35" s="8"/>
      <c r="K35" s="76"/>
      <c r="L35" s="40"/>
      <c r="M35" s="16"/>
    </row>
    <row r="36" spans="2:18" ht="15.75" x14ac:dyDescent="0.25">
      <c r="E36" s="72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1"/>
  <sheetViews>
    <sheetView showGridLines="0" view="pageBreakPreview" zoomScale="60" zoomScaleNormal="67" workbookViewId="0">
      <selection activeCell="L21" sqref="L21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'07'!B1+1</f>
        <v>45665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363.95</v>
      </c>
      <c r="D6" s="2"/>
      <c r="E6" s="69"/>
      <c r="F6" s="8"/>
      <c r="G6" s="8"/>
      <c r="H6" s="8"/>
      <c r="I6" s="8"/>
      <c r="J6" s="2"/>
      <c r="K6" s="24"/>
      <c r="L6" s="9"/>
      <c r="M6" s="16"/>
      <c r="R6" s="1">
        <f>IF(vend8[[#This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9"/>
      <c r="F7" s="8"/>
      <c r="G7" s="8"/>
      <c r="H7" s="8"/>
      <c r="I7" s="8"/>
      <c r="J7" s="2"/>
      <c r="K7" s="24"/>
      <c r="L7" s="9"/>
      <c r="M7" s="16"/>
      <c r="R7" s="1">
        <f>IF(vend8[[#This Row],[Nº Venda]]&gt;1,1,0)</f>
        <v>0</v>
      </c>
    </row>
    <row r="8" spans="2:18" ht="15.75" x14ac:dyDescent="0.25">
      <c r="B8" s="27" t="s">
        <v>21</v>
      </c>
      <c r="C8" s="28">
        <f>SUM(C6:C7)</f>
        <v>363.95</v>
      </c>
      <c r="D8" s="2"/>
      <c r="E8" s="69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69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6</v>
      </c>
      <c r="C11" s="61">
        <f>(SUMIF($G$2:$G$31,B11,$I$2:$I$31))+(SUMIF($G$35:$G$41,B11,$H$35:$H$41))</f>
        <v>84.3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29" t="s">
        <v>7</v>
      </c>
      <c r="C12" s="61">
        <f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8</v>
      </c>
      <c r="C13" s="61">
        <f>(SUMIF($G$2:$G$31,B13,$I$2:$I$31))+(SUMIF($G$35:$G$41,B13,$H$35:$H$41))</f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IF(vend8[[#This Row],[Nº Venda]]&gt;1,1,0)</f>
        <v>0</v>
      </c>
    </row>
    <row r="14" spans="2:18" ht="15.75" x14ac:dyDescent="0.25">
      <c r="B14" s="29" t="s">
        <v>9</v>
      </c>
      <c r="C14" s="61">
        <f>(SUMIF($G$2:$G$31,B14,$I$2:$I$31))+(SUMIF($G$35:$G$41,B14,$H$35:$H$41))</f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61">
        <f>(SUMIF($G$2:$G$31,B15,$I$2:$I$31))+(SUMIF($G$35:$G$41,B15,$H$35:$H$41))</f>
        <v>279.64999999999998</v>
      </c>
      <c r="D15" s="2"/>
      <c r="E15" s="69"/>
      <c r="F15" s="24"/>
      <c r="G15" s="25"/>
      <c r="H15" s="8"/>
      <c r="I15" s="8"/>
      <c r="J15" s="2"/>
      <c r="K15" s="76">
        <v>4628</v>
      </c>
      <c r="L15" s="9" t="s">
        <v>132</v>
      </c>
      <c r="M15" s="16" t="s">
        <v>144</v>
      </c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363.95</v>
      </c>
      <c r="D16" s="2"/>
      <c r="E16" s="69"/>
      <c r="F16" s="24"/>
      <c r="G16" s="25"/>
      <c r="H16" s="8"/>
      <c r="I16" s="8"/>
      <c r="J16" s="2"/>
      <c r="K16" s="76">
        <v>4692</v>
      </c>
      <c r="L16" s="9" t="s">
        <v>132</v>
      </c>
      <c r="M16" s="16" t="s">
        <v>143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IF(vend8[[#This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1</v>
      </c>
      <c r="C19" s="30">
        <f>SUM(entr_carn8[Valor Total])</f>
        <v>1105.7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1105.7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>
        <v>4628</v>
      </c>
      <c r="F26" s="86" t="s">
        <v>147</v>
      </c>
      <c r="G26" s="87" t="s">
        <v>6</v>
      </c>
      <c r="H26" s="55">
        <v>0</v>
      </c>
      <c r="I26" s="55">
        <v>84.3</v>
      </c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42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42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42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24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113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3">
        <v>4385</v>
      </c>
      <c r="F35" s="24" t="s">
        <v>149</v>
      </c>
      <c r="G35" s="25" t="s">
        <v>10</v>
      </c>
      <c r="H35" s="8">
        <v>64.28</v>
      </c>
      <c r="I35" s="8" t="s">
        <v>44</v>
      </c>
      <c r="K35" s="76">
        <v>4628</v>
      </c>
      <c r="L35" s="40">
        <v>6</v>
      </c>
      <c r="M35" s="16">
        <v>1105.7</v>
      </c>
    </row>
    <row r="36" spans="2:18" ht="15.75" x14ac:dyDescent="0.25">
      <c r="E36" s="70">
        <v>4694</v>
      </c>
      <c r="F36" s="24" t="s">
        <v>148</v>
      </c>
      <c r="G36" s="25" t="s">
        <v>10</v>
      </c>
      <c r="H36" s="8">
        <v>168</v>
      </c>
      <c r="I36" s="8" t="s">
        <v>46</v>
      </c>
      <c r="K36" s="76"/>
      <c r="L36" s="40"/>
      <c r="M36" s="16"/>
    </row>
    <row r="37" spans="2:18" ht="15.75" x14ac:dyDescent="0.25">
      <c r="E37" s="69">
        <v>4730</v>
      </c>
      <c r="F37" s="24" t="s">
        <v>150</v>
      </c>
      <c r="G37" s="25" t="s">
        <v>10</v>
      </c>
      <c r="H37" s="8">
        <v>47.37</v>
      </c>
      <c r="I37" s="8" t="s">
        <v>83</v>
      </c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3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view="pageBreakPreview" zoomScale="60" zoomScaleNormal="66" workbookViewId="0">
      <selection activeCell="G15" sqref="G15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33.75" x14ac:dyDescent="0.65">
      <c r="B1" s="78">
        <f>'08'!B1+1</f>
        <v>45666</v>
      </c>
      <c r="L1" s="80" t="s">
        <v>141</v>
      </c>
    </row>
    <row r="2" spans="2:22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22" ht="15" x14ac:dyDescent="0.25">
      <c r="B5" s="22" t="s">
        <v>1</v>
      </c>
      <c r="C5" s="23">
        <f>SUMIF(I6:I31,"&gt;0",H6:H31)</f>
        <v>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C16</f>
        <v>490</v>
      </c>
      <c r="D6" s="2"/>
      <c r="E6" s="69">
        <v>4705</v>
      </c>
      <c r="F6" s="24" t="s">
        <v>154</v>
      </c>
      <c r="G6" s="42" t="s">
        <v>6</v>
      </c>
      <c r="H6" s="8">
        <v>50</v>
      </c>
      <c r="I6" s="8">
        <v>50</v>
      </c>
      <c r="J6" s="2"/>
      <c r="K6" s="24" t="s">
        <v>153</v>
      </c>
      <c r="L6" s="9" t="s">
        <v>6</v>
      </c>
      <c r="M6" s="16">
        <v>10</v>
      </c>
      <c r="R6" s="1">
        <f>IF(vend9[[#This Row],[Nº Venda]]&gt;1,1,0)</f>
        <v>1</v>
      </c>
    </row>
    <row r="7" spans="2:22" ht="15.75" x14ac:dyDescent="0.25">
      <c r="B7" s="22" t="s">
        <v>3</v>
      </c>
      <c r="C7" s="23">
        <f>SUM(M6:M11)</f>
        <v>10</v>
      </c>
      <c r="D7" s="2"/>
      <c r="E7" s="69"/>
      <c r="F7" s="24"/>
      <c r="G7" s="42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22" ht="15.75" x14ac:dyDescent="0.25">
      <c r="B8" s="27" t="s">
        <v>21</v>
      </c>
      <c r="C8" s="28">
        <f>SUM(C6:C7)</f>
        <v>500</v>
      </c>
      <c r="D8" s="2"/>
      <c r="E8" s="69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6</v>
      </c>
      <c r="C11" s="30">
        <f>(SUMIF($G$2:$G$31,B11,$I$2:$I$31))+(SUMIF($G$35:$G$41,B11,$H$35:$H$41))</f>
        <v>490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8</v>
      </c>
      <c r="C13" s="30">
        <f t="shared" si="0"/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 t="shared" si="0"/>
        <v>0</v>
      </c>
      <c r="D15" s="2"/>
      <c r="E15" s="69"/>
      <c r="F15" s="24"/>
      <c r="G15" s="25"/>
      <c r="H15" s="8"/>
      <c r="I15" s="8"/>
      <c r="J15" s="2"/>
      <c r="K15" s="76">
        <v>4705</v>
      </c>
      <c r="L15" s="9" t="s">
        <v>132</v>
      </c>
      <c r="M15" s="16" t="s">
        <v>143</v>
      </c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490</v>
      </c>
      <c r="D16" s="2"/>
      <c r="E16" s="69"/>
      <c r="F16" s="24"/>
      <c r="G16" s="25"/>
      <c r="H16" s="8"/>
      <c r="I16" s="8"/>
      <c r="J16" s="2"/>
      <c r="K16" s="76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IF(vend9[[#This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4"/>
      <c r="G20" s="25"/>
      <c r="H20" s="8"/>
      <c r="I20" s="8"/>
      <c r="J20" s="2"/>
      <c r="K20" s="76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50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>
        <v>4699</v>
      </c>
      <c r="F26" s="24" t="s">
        <v>151</v>
      </c>
      <c r="G26" s="42" t="s">
        <v>6</v>
      </c>
      <c r="H26" s="8"/>
      <c r="I26" s="8">
        <v>320</v>
      </c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>
        <v>4467</v>
      </c>
      <c r="F35" s="24" t="s">
        <v>152</v>
      </c>
      <c r="G35" s="25" t="s">
        <v>6</v>
      </c>
      <c r="H35" s="8">
        <v>120</v>
      </c>
      <c r="I35" s="8" t="s">
        <v>79</v>
      </c>
      <c r="K35" s="76"/>
      <c r="L35" s="40"/>
      <c r="M35" s="16"/>
    </row>
    <row r="36" spans="2:18" ht="15.75" x14ac:dyDescent="0.25">
      <c r="E36" s="72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1"/>
  <sheetViews>
    <sheetView showGridLines="0" view="pageBreakPreview" topLeftCell="C1" zoomScale="60" zoomScaleNormal="90" workbookViewId="0">
      <selection activeCell="E23" sqref="E23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'09'!B1+1</f>
        <v>45667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SUMIF(I6:I32,"&gt;0",H6:H32)</f>
        <v>3808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3771</v>
      </c>
      <c r="D6" s="2"/>
      <c r="E6" s="69">
        <v>4706</v>
      </c>
      <c r="F6" s="24" t="s">
        <v>155</v>
      </c>
      <c r="G6" s="42" t="s">
        <v>10</v>
      </c>
      <c r="H6" s="8">
        <v>1100</v>
      </c>
      <c r="I6" s="8">
        <v>1100</v>
      </c>
      <c r="J6" s="2"/>
      <c r="K6" s="24" t="s">
        <v>162</v>
      </c>
      <c r="L6" s="9" t="s">
        <v>6</v>
      </c>
      <c r="M6" s="16">
        <v>2</v>
      </c>
      <c r="R6" s="1">
        <f>IF(vend10[[#This Row],[Nº Venda]]&gt;1,1,0)</f>
        <v>1</v>
      </c>
    </row>
    <row r="7" spans="2:18" ht="15.75" x14ac:dyDescent="0.25">
      <c r="B7" s="22" t="s">
        <v>3</v>
      </c>
      <c r="C7" s="23">
        <f>SUM(M6:M11)</f>
        <v>2</v>
      </c>
      <c r="D7" s="2"/>
      <c r="E7" s="69">
        <v>4707</v>
      </c>
      <c r="F7" s="24" t="s">
        <v>156</v>
      </c>
      <c r="G7" s="42" t="s">
        <v>8</v>
      </c>
      <c r="H7" s="8">
        <v>590</v>
      </c>
      <c r="I7" s="8">
        <v>282</v>
      </c>
      <c r="J7" s="2"/>
      <c r="K7" s="24"/>
      <c r="L7" s="9"/>
      <c r="M7" s="16"/>
      <c r="R7" s="1">
        <f>IF(vend10[[#This Row],[Nº Venda]]&gt;1,1,0)</f>
        <v>1</v>
      </c>
    </row>
    <row r="8" spans="2:18" ht="15.75" x14ac:dyDescent="0.25">
      <c r="B8" s="27" t="s">
        <v>21</v>
      </c>
      <c r="C8" s="28">
        <f>SUM(C6:C7)</f>
        <v>3773</v>
      </c>
      <c r="D8" s="2"/>
      <c r="E8" s="69">
        <v>4708</v>
      </c>
      <c r="F8" s="24" t="s">
        <v>157</v>
      </c>
      <c r="G8" s="25" t="s">
        <v>8</v>
      </c>
      <c r="H8" s="8">
        <v>1518</v>
      </c>
      <c r="I8" s="8">
        <v>1518</v>
      </c>
      <c r="J8" s="2"/>
      <c r="K8" s="24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69">
        <v>4709</v>
      </c>
      <c r="F9" s="24" t="s">
        <v>161</v>
      </c>
      <c r="G9" s="25" t="s">
        <v>6</v>
      </c>
      <c r="H9" s="8">
        <v>600</v>
      </c>
      <c r="I9" s="8">
        <v>300</v>
      </c>
      <c r="J9" s="2"/>
      <c r="K9" s="24"/>
      <c r="L9" s="9"/>
      <c r="M9" s="16"/>
      <c r="R9" s="1">
        <f>IF(vend10[[#This Row],[Nº Venda]]&gt;1,1,0)</f>
        <v>1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(SUMIF($G$2:$G$32,B11,$I$2:$I$32))+(SUMIF($G$36:$G$41,B11,$H$36:$H$41))</f>
        <v>561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(SUMIF($G$2:$G$32,B12,$I$2:$I$32))+(SUMIF($G$36:$G$41,B12,$H$36:$H$41))</f>
        <v>0</v>
      </c>
      <c r="D12" s="2"/>
      <c r="E12" s="69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(SUMIF($G$2:$G$32,B13,$I$2:$I$32))+(SUMIF($G$36:$G$41,B13,$H$36:$H$41))</f>
        <v>1800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(SUMIF($G$2:$G$32,B14,$I$2:$I$32))+(SUMIF($G$36:$G$41,B14,$H$36:$H$41))</f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(SUMIF($G$2:$G$32,B15,$I$2:$I$32))+(SUMIF($G$36:$G$41,B15,$H$36:$H$41))</f>
        <v>1410</v>
      </c>
      <c r="D15" s="2"/>
      <c r="E15" s="69"/>
      <c r="F15" s="24"/>
      <c r="G15" s="25"/>
      <c r="H15" s="8"/>
      <c r="I15" s="8"/>
      <c r="J15" s="2"/>
      <c r="K15" s="76">
        <v>4695</v>
      </c>
      <c r="L15" s="9" t="s">
        <v>132</v>
      </c>
      <c r="M15" s="16" t="s">
        <v>143</v>
      </c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3771</v>
      </c>
      <c r="D16" s="2"/>
      <c r="E16" s="69"/>
      <c r="F16" s="24"/>
      <c r="G16" s="25"/>
      <c r="H16" s="8"/>
      <c r="I16" s="8"/>
      <c r="J16" s="2"/>
      <c r="K16" s="76"/>
      <c r="L16" s="9"/>
      <c r="M16" s="88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IF(vend10[[#This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3808</v>
      </c>
      <c r="D22" s="2"/>
      <c r="E22" s="70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13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24"/>
      <c r="G26" s="42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42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42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K33" s="106" t="s">
        <v>12</v>
      </c>
      <c r="L33" s="107"/>
      <c r="M33" s="108"/>
    </row>
    <row r="34" spans="2:18" ht="15" x14ac:dyDescent="0.25">
      <c r="E34" s="113" t="s">
        <v>28</v>
      </c>
      <c r="F34" s="105"/>
      <c r="G34" s="105"/>
      <c r="H34" s="105"/>
      <c r="I34" s="105"/>
      <c r="K34" s="14" t="s">
        <v>23</v>
      </c>
      <c r="L34" s="6" t="s">
        <v>31</v>
      </c>
      <c r="M34" s="15" t="s">
        <v>32</v>
      </c>
    </row>
    <row r="35" spans="2:18" ht="15" x14ac:dyDescent="0.25">
      <c r="E35" s="74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76"/>
      <c r="L35" s="40"/>
      <c r="M35" s="16"/>
    </row>
    <row r="36" spans="2:18" ht="15.75" x14ac:dyDescent="0.25">
      <c r="E36" s="69">
        <v>4496</v>
      </c>
      <c r="F36" s="24" t="s">
        <v>158</v>
      </c>
      <c r="G36" s="25" t="s">
        <v>6</v>
      </c>
      <c r="H36" s="8">
        <v>126</v>
      </c>
      <c r="I36" s="8" t="s">
        <v>47</v>
      </c>
      <c r="K36" s="76"/>
      <c r="L36" s="40"/>
      <c r="M36" s="16"/>
    </row>
    <row r="37" spans="2:18" ht="15.75" x14ac:dyDescent="0.25">
      <c r="E37" s="70">
        <v>4629</v>
      </c>
      <c r="F37" s="24" t="s">
        <v>160</v>
      </c>
      <c r="G37" s="25" t="s">
        <v>10</v>
      </c>
      <c r="H37" s="8">
        <v>310</v>
      </c>
      <c r="I37" s="8" t="s">
        <v>42</v>
      </c>
      <c r="K37" s="76"/>
      <c r="L37" s="40"/>
      <c r="M37" s="16"/>
    </row>
    <row r="38" spans="2:18" ht="15.75" x14ac:dyDescent="0.25">
      <c r="E38" s="73">
        <v>4641</v>
      </c>
      <c r="F38" s="24" t="s">
        <v>159</v>
      </c>
      <c r="G38" s="25" t="s">
        <v>6</v>
      </c>
      <c r="H38" s="8">
        <v>135</v>
      </c>
      <c r="I38" s="8" t="s">
        <v>55</v>
      </c>
      <c r="K38" s="76"/>
      <c r="L38" s="40"/>
      <c r="M38" s="16"/>
    </row>
    <row r="39" spans="2:18" ht="15.75" x14ac:dyDescent="0.25">
      <c r="E39" s="69"/>
      <c r="F39" s="24"/>
      <c r="G39" s="25"/>
      <c r="H39" s="8"/>
      <c r="I39" s="8"/>
      <c r="K39" s="76"/>
      <c r="L39" s="40"/>
      <c r="M39" s="16"/>
    </row>
    <row r="40" spans="2:18" ht="15.75" x14ac:dyDescent="0.25">
      <c r="E40" s="69"/>
      <c r="F40" s="38"/>
      <c r="G40" s="25"/>
      <c r="H40" s="8"/>
      <c r="I40" s="8"/>
      <c r="K40" s="77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70"/>
      <c r="F41" s="35"/>
      <c r="G41" s="36"/>
      <c r="H41" s="17"/>
      <c r="I41" s="8"/>
      <c r="K41" s="76"/>
      <c r="L41" s="40"/>
      <c r="M41" s="39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I36:I41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2" zoomScale="90" zoomScaleNormal="90" workbookViewId="0">
      <selection activeCell="H8" sqref="H8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'10'!B1+1</f>
        <v>45668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680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100</v>
      </c>
      <c r="D6" s="2"/>
      <c r="E6" s="69">
        <v>4710</v>
      </c>
      <c r="F6" s="24" t="s">
        <v>163</v>
      </c>
      <c r="G6" s="25" t="s">
        <v>7</v>
      </c>
      <c r="H6" s="8">
        <v>680</v>
      </c>
      <c r="I6" s="8">
        <v>100</v>
      </c>
      <c r="J6" s="2"/>
      <c r="K6" s="24"/>
      <c r="L6" s="9"/>
      <c r="M6" s="16"/>
      <c r="R6" s="1">
        <f>IF(vend11[[#This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9">
        <v>4711</v>
      </c>
      <c r="F7" s="24" t="s">
        <v>164</v>
      </c>
      <c r="G7" s="25" t="s">
        <v>40</v>
      </c>
      <c r="H7" s="8">
        <v>0</v>
      </c>
      <c r="I7" s="8">
        <v>0</v>
      </c>
      <c r="J7" s="2"/>
      <c r="K7" s="24"/>
      <c r="L7" s="9"/>
      <c r="M7" s="16"/>
      <c r="R7" s="1">
        <f>IF(vend11[[#This Row],[Nº Venda]]&gt;1,1,0)</f>
        <v>1</v>
      </c>
    </row>
    <row r="8" spans="2:18" ht="15.75" x14ac:dyDescent="0.25">
      <c r="B8" s="27" t="s">
        <v>21</v>
      </c>
      <c r="C8" s="28">
        <f>SUM(C6:C7)</f>
        <v>100</v>
      </c>
      <c r="D8" s="2"/>
      <c r="E8" s="69"/>
      <c r="F8" s="24"/>
      <c r="G8" s="25"/>
      <c r="H8" s="8"/>
      <c r="I8" s="8"/>
      <c r="J8" s="2"/>
      <c r="K8" s="24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100</v>
      </c>
      <c r="D12" s="2"/>
      <c r="E12" s="69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9"/>
      <c r="F15" s="24"/>
      <c r="G15" s="25"/>
      <c r="H15" s="8"/>
      <c r="I15" s="8"/>
      <c r="J15" s="2"/>
      <c r="K15" s="76">
        <v>4690</v>
      </c>
      <c r="L15" s="9" t="s">
        <v>132</v>
      </c>
      <c r="M15" s="16" t="s">
        <v>143</v>
      </c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100</v>
      </c>
      <c r="D16" s="2"/>
      <c r="E16" s="69"/>
      <c r="F16" s="24"/>
      <c r="G16" s="25"/>
      <c r="H16" s="8"/>
      <c r="I16" s="8"/>
      <c r="J16" s="2"/>
      <c r="K16" s="76">
        <v>4711</v>
      </c>
      <c r="L16" s="9" t="s">
        <v>132</v>
      </c>
      <c r="M16" s="16" t="s">
        <v>143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IF(vend11[[#This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680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24"/>
      <c r="G26" s="42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/>
      <c r="F35" s="24"/>
      <c r="G35" s="25"/>
      <c r="H35" s="8"/>
      <c r="I35" s="8"/>
      <c r="K35" s="76"/>
      <c r="L35" s="40"/>
      <c r="M35" s="16"/>
    </row>
    <row r="36" spans="2:18" ht="15.75" x14ac:dyDescent="0.25">
      <c r="E36" s="72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90" zoomScaleNormal="90" workbookViewId="0">
      <selection activeCell="U18" sqref="U18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'11'!B1+1</f>
        <v>45669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9"/>
      <c r="F6" s="44"/>
      <c r="G6" s="44"/>
      <c r="H6" s="45"/>
      <c r="I6" s="45"/>
      <c r="J6" s="2"/>
      <c r="K6" s="24"/>
      <c r="L6" s="9"/>
      <c r="M6" s="16"/>
      <c r="R6" s="1">
        <f>IF(vend12[[#This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9"/>
      <c r="F7" s="46"/>
      <c r="G7" s="46"/>
      <c r="H7" s="47"/>
      <c r="I7" s="47"/>
      <c r="J7" s="2"/>
      <c r="K7" s="24"/>
      <c r="L7" s="9"/>
      <c r="M7" s="16"/>
      <c r="R7" s="1">
        <f>IF(vend12[[#This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9"/>
      <c r="F8" s="46"/>
      <c r="G8" s="46"/>
      <c r="H8" s="47"/>
      <c r="I8" s="47"/>
      <c r="J8" s="2"/>
      <c r="K8" s="24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9"/>
      <c r="F15" s="24"/>
      <c r="G15" s="25"/>
      <c r="H15" s="8"/>
      <c r="I15" s="8"/>
      <c r="J15" s="2"/>
      <c r="K15" s="76"/>
      <c r="L15" s="9"/>
      <c r="M15" s="16"/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9"/>
      <c r="F16" s="24"/>
      <c r="G16" s="25"/>
      <c r="H16" s="8"/>
      <c r="I16" s="8"/>
      <c r="J16" s="2"/>
      <c r="K16" s="76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IF(vend12[[#This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48"/>
      <c r="G26" s="42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/>
      <c r="F35" s="24"/>
      <c r="G35" s="25"/>
      <c r="H35" s="8"/>
      <c r="I35" s="8"/>
      <c r="K35" s="76"/>
      <c r="L35" s="40"/>
      <c r="M35" s="16"/>
    </row>
    <row r="36" spans="2:18" ht="15.75" x14ac:dyDescent="0.25">
      <c r="E36" s="72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90" zoomScaleNormal="90" workbookViewId="0">
      <selection activeCell="I12" sqref="I12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'12'!B1+1</f>
        <v>45670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520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1920</v>
      </c>
      <c r="D6" s="2"/>
      <c r="E6" s="69">
        <v>4712</v>
      </c>
      <c r="F6" s="24" t="s">
        <v>165</v>
      </c>
      <c r="G6" s="25" t="s">
        <v>6</v>
      </c>
      <c r="H6" s="8">
        <v>20</v>
      </c>
      <c r="I6" s="8">
        <v>20</v>
      </c>
      <c r="J6" s="2"/>
      <c r="K6" s="24"/>
      <c r="L6" s="9"/>
      <c r="M6" s="16"/>
      <c r="R6" s="1">
        <f>IF(vend13[[#This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9">
        <v>4712</v>
      </c>
      <c r="F7" s="24" t="s">
        <v>165</v>
      </c>
      <c r="G7" s="25" t="s">
        <v>7</v>
      </c>
      <c r="H7" s="8">
        <v>100</v>
      </c>
      <c r="I7" s="8">
        <v>100</v>
      </c>
      <c r="J7" s="2"/>
      <c r="K7" s="24"/>
      <c r="L7" s="9"/>
      <c r="M7" s="16"/>
      <c r="R7" s="1">
        <f>IF(vend13[[#This Row],[Nº Venda]]&gt;1,1,0)</f>
        <v>1</v>
      </c>
    </row>
    <row r="8" spans="2:18" ht="15.75" x14ac:dyDescent="0.25">
      <c r="B8" s="27" t="s">
        <v>21</v>
      </c>
      <c r="C8" s="28">
        <f>SUM(C6:C7)</f>
        <v>1920</v>
      </c>
      <c r="D8" s="2"/>
      <c r="E8" s="69">
        <v>4713</v>
      </c>
      <c r="F8" s="24" t="s">
        <v>166</v>
      </c>
      <c r="G8" s="25" t="s">
        <v>8</v>
      </c>
      <c r="H8" s="8">
        <v>400</v>
      </c>
      <c r="I8" s="8">
        <v>400</v>
      </c>
      <c r="J8" s="2"/>
      <c r="K8" s="24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110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100</v>
      </c>
      <c r="D12" s="2"/>
      <c r="E12" s="69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1600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110</v>
      </c>
      <c r="D15" s="2"/>
      <c r="E15" s="69"/>
      <c r="F15" s="24"/>
      <c r="G15" s="25"/>
      <c r="H15" s="8"/>
      <c r="I15" s="8"/>
      <c r="J15" s="2"/>
      <c r="K15" s="76">
        <v>4686</v>
      </c>
      <c r="L15" s="9" t="s">
        <v>132</v>
      </c>
      <c r="M15" s="16" t="s">
        <v>143</v>
      </c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1920</v>
      </c>
      <c r="D16" s="2"/>
      <c r="E16" s="69"/>
      <c r="F16" s="24"/>
      <c r="G16" s="25"/>
      <c r="H16" s="8"/>
      <c r="I16" s="8"/>
      <c r="J16" s="2"/>
      <c r="K16" s="76">
        <v>4682</v>
      </c>
      <c r="L16" s="9" t="s">
        <v>132</v>
      </c>
      <c r="M16" s="16" t="s">
        <v>143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>
        <v>4712</v>
      </c>
      <c r="L17" s="9" t="s">
        <v>132</v>
      </c>
      <c r="M17" s="16" t="s">
        <v>144</v>
      </c>
      <c r="R17" s="1">
        <f>IF(vend13[[#This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1</v>
      </c>
      <c r="C19" s="30">
        <f>SUM(entr_carn13[Valor Total])</f>
        <v>80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80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520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>
        <v>4686</v>
      </c>
      <c r="F26" s="24" t="s">
        <v>167</v>
      </c>
      <c r="G26" s="25" t="s">
        <v>8</v>
      </c>
      <c r="H26" s="8"/>
      <c r="I26" s="8">
        <v>1100</v>
      </c>
      <c r="J26" s="2"/>
      <c r="K26" s="76"/>
      <c r="L26" s="9"/>
      <c r="M26" s="16"/>
    </row>
    <row r="27" spans="2:18" ht="15.75" x14ac:dyDescent="0.25">
      <c r="B27" s="2"/>
      <c r="C27" s="2"/>
      <c r="D27" s="2"/>
      <c r="E27" s="69">
        <v>4687</v>
      </c>
      <c r="F27" s="24" t="s">
        <v>167</v>
      </c>
      <c r="G27" s="25" t="s">
        <v>8</v>
      </c>
      <c r="H27" s="8"/>
      <c r="I27" s="8">
        <v>100</v>
      </c>
      <c r="J27" s="2"/>
      <c r="K27" s="76"/>
      <c r="L27" s="9"/>
      <c r="M27" s="16"/>
    </row>
    <row r="28" spans="2:18" ht="15.75" x14ac:dyDescent="0.25">
      <c r="B28" s="2"/>
      <c r="C28" s="2"/>
      <c r="D28" s="2"/>
      <c r="E28" s="69">
        <v>4682</v>
      </c>
      <c r="F28" s="24" t="s">
        <v>168</v>
      </c>
      <c r="G28" s="25" t="s">
        <v>6</v>
      </c>
      <c r="H28" s="8"/>
      <c r="I28" s="8">
        <v>90</v>
      </c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>
        <v>4347</v>
      </c>
      <c r="F35" s="24" t="s">
        <v>169</v>
      </c>
      <c r="G35" s="25" t="s">
        <v>10</v>
      </c>
      <c r="H35" s="8">
        <v>110</v>
      </c>
      <c r="I35" s="8" t="s">
        <v>48</v>
      </c>
      <c r="K35" s="76">
        <v>4712</v>
      </c>
      <c r="L35" s="40">
        <v>1</v>
      </c>
      <c r="M35" s="16">
        <v>80</v>
      </c>
    </row>
    <row r="36" spans="2:18" ht="15.75" x14ac:dyDescent="0.25">
      <c r="E36" s="72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view="pageBreakPreview" topLeftCell="B1" zoomScale="60" zoomScaleNormal="90" workbookViewId="0">
      <selection activeCell="F8" sqref="F8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'13'!B1+1</f>
        <v>45671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1">
        <v>4714</v>
      </c>
      <c r="F6" s="92" t="s">
        <v>170</v>
      </c>
      <c r="G6" s="93" t="s">
        <v>10</v>
      </c>
      <c r="H6" s="94">
        <v>400</v>
      </c>
      <c r="I6" s="94" t="s">
        <v>215</v>
      </c>
      <c r="J6" s="2"/>
      <c r="K6" s="24"/>
      <c r="L6" s="9"/>
      <c r="M6" s="16"/>
      <c r="R6" s="1">
        <f>IF(vend14[[#This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9"/>
      <c r="F7" s="24"/>
      <c r="G7" s="42"/>
      <c r="H7" s="8"/>
      <c r="I7" s="8"/>
      <c r="J7" s="2"/>
      <c r="K7" s="24"/>
      <c r="L7" s="9"/>
      <c r="M7" s="16"/>
      <c r="R7" s="1">
        <f>IF(vend14[[#This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9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9"/>
      <c r="F15" s="24"/>
      <c r="G15" s="25"/>
      <c r="H15" s="8"/>
      <c r="I15" s="8"/>
      <c r="J15" s="2"/>
      <c r="K15" s="76">
        <v>4680</v>
      </c>
      <c r="L15" s="9" t="s">
        <v>132</v>
      </c>
      <c r="M15" s="16" t="s">
        <v>143</v>
      </c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9"/>
      <c r="F16" s="24"/>
      <c r="G16" s="25"/>
      <c r="H16" s="8"/>
      <c r="I16" s="8"/>
      <c r="J16" s="2"/>
      <c r="K16" s="76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IF(vend14[[#This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24"/>
      <c r="G26" s="25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/>
      <c r="F35" s="24"/>
      <c r="G35" s="25"/>
      <c r="H35" s="8"/>
      <c r="I35" s="8"/>
      <c r="K35" s="76"/>
      <c r="L35" s="40"/>
      <c r="M35" s="16"/>
    </row>
    <row r="36" spans="2:18" ht="15.75" x14ac:dyDescent="0.25">
      <c r="E36" s="72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4" zoomScale="90" zoomScaleNormal="9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'14'!B1+1</f>
        <v>45672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86</v>
      </c>
      <c r="D6" s="2"/>
      <c r="E6" s="69">
        <v>4715</v>
      </c>
      <c r="F6" s="24" t="s">
        <v>172</v>
      </c>
      <c r="G6" s="42" t="s">
        <v>40</v>
      </c>
      <c r="H6" s="8"/>
      <c r="I6" s="8"/>
      <c r="J6" s="2"/>
      <c r="K6" s="24"/>
      <c r="L6" s="9"/>
      <c r="M6" s="16"/>
      <c r="R6" s="1">
        <f>IF(vend15[[#This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9"/>
      <c r="F7" s="24"/>
      <c r="G7" s="42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21</v>
      </c>
      <c r="C8" s="28">
        <f>SUM(C6:C7)</f>
        <v>86</v>
      </c>
      <c r="D8" s="2"/>
      <c r="E8" s="69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86</v>
      </c>
      <c r="D15" s="2"/>
      <c r="E15" s="69"/>
      <c r="F15" s="24"/>
      <c r="G15" s="25"/>
      <c r="H15" s="8"/>
      <c r="I15" s="8"/>
      <c r="J15" s="2"/>
      <c r="K15" s="76"/>
      <c r="L15" s="9"/>
      <c r="M15" s="16"/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86</v>
      </c>
      <c r="D16" s="2"/>
      <c r="E16" s="69"/>
      <c r="F16" s="24"/>
      <c r="G16" s="25"/>
      <c r="H16" s="8"/>
      <c r="I16" s="8"/>
      <c r="J16" s="2"/>
      <c r="K16" s="76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IF(vend15[[#This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24"/>
      <c r="G26" s="42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>
        <v>4515</v>
      </c>
      <c r="F35" s="24" t="s">
        <v>171</v>
      </c>
      <c r="G35" s="25" t="s">
        <v>10</v>
      </c>
      <c r="H35" s="8">
        <v>86</v>
      </c>
      <c r="I35" s="8" t="s">
        <v>47</v>
      </c>
      <c r="K35" s="76"/>
      <c r="L35" s="40"/>
      <c r="M35" s="16"/>
    </row>
    <row r="36" spans="2:18" ht="15.75" x14ac:dyDescent="0.25">
      <c r="E36" s="72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view="pageBreakPreview" zoomScale="60" zoomScaleNormal="90" workbookViewId="0">
      <selection activeCell="F30" sqref="F30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'15'!B1+1</f>
        <v>45673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320</v>
      </c>
      <c r="D6" s="2"/>
      <c r="E6" s="69">
        <v>4716</v>
      </c>
      <c r="F6" s="24" t="s">
        <v>173</v>
      </c>
      <c r="G6" s="25" t="s">
        <v>10</v>
      </c>
      <c r="H6" s="8">
        <v>70</v>
      </c>
      <c r="I6" s="8">
        <v>70</v>
      </c>
      <c r="J6" s="2"/>
      <c r="K6" s="24"/>
      <c r="L6" s="9"/>
      <c r="M6" s="16"/>
      <c r="R6" s="1">
        <f>IF(vend16[[#This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9"/>
      <c r="F7" s="24"/>
      <c r="G7" s="42"/>
      <c r="H7" s="8"/>
      <c r="I7" s="8"/>
      <c r="J7" s="2"/>
      <c r="K7" s="24"/>
      <c r="L7" s="9"/>
      <c r="M7" s="16"/>
      <c r="R7" s="1">
        <f>IF(vend16[[#This Row],[Nº Venda]]&gt;1,1,0)</f>
        <v>0</v>
      </c>
    </row>
    <row r="8" spans="2:18" ht="15.75" x14ac:dyDescent="0.25">
      <c r="B8" s="27" t="s">
        <v>21</v>
      </c>
      <c r="C8" s="28">
        <f>SUM(C6:C7)</f>
        <v>320</v>
      </c>
      <c r="D8" s="2"/>
      <c r="E8" s="69"/>
      <c r="F8" s="24"/>
      <c r="G8" s="25"/>
      <c r="H8" s="8"/>
      <c r="I8" s="8"/>
      <c r="J8" s="2"/>
      <c r="K8" s="24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320</v>
      </c>
      <c r="D15" s="2"/>
      <c r="E15" s="69"/>
      <c r="F15" s="24"/>
      <c r="G15" s="25"/>
      <c r="H15" s="8"/>
      <c r="I15" s="8"/>
      <c r="J15" s="2"/>
      <c r="K15" s="76">
        <v>4637</v>
      </c>
      <c r="L15" s="9" t="s">
        <v>132</v>
      </c>
      <c r="M15" s="16" t="s">
        <v>143</v>
      </c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320</v>
      </c>
      <c r="D16" s="2"/>
      <c r="E16" s="69"/>
      <c r="F16" s="24"/>
      <c r="G16" s="25"/>
      <c r="H16" s="8"/>
      <c r="I16" s="8"/>
      <c r="J16" s="2"/>
      <c r="K16" s="76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IF(vend16[[#This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70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24"/>
      <c r="G26" s="42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>
        <v>4144</v>
      </c>
      <c r="F35" s="24" t="s">
        <v>174</v>
      </c>
      <c r="G35" s="25" t="s">
        <v>10</v>
      </c>
      <c r="H35" s="8">
        <v>62.5</v>
      </c>
      <c r="I35" s="8" t="s">
        <v>83</v>
      </c>
      <c r="K35" s="76"/>
      <c r="L35" s="40"/>
      <c r="M35" s="16"/>
    </row>
    <row r="36" spans="2:18" ht="15.75" x14ac:dyDescent="0.25">
      <c r="E36" s="72">
        <v>4147</v>
      </c>
      <c r="F36" s="24" t="s">
        <v>217</v>
      </c>
      <c r="G36" s="25" t="s">
        <v>10</v>
      </c>
      <c r="H36" s="8">
        <v>187.5</v>
      </c>
      <c r="I36" s="8" t="s">
        <v>83</v>
      </c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4" zoomScale="90" zoomScaleNormal="9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'16'!B1+1</f>
        <v>45674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2040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2252</v>
      </c>
      <c r="D6" s="2"/>
      <c r="E6" s="69">
        <v>4717</v>
      </c>
      <c r="F6" s="24" t="s">
        <v>177</v>
      </c>
      <c r="G6" s="25" t="s">
        <v>7</v>
      </c>
      <c r="H6" s="8">
        <v>1390</v>
      </c>
      <c r="I6" s="8">
        <v>1390</v>
      </c>
      <c r="J6" s="2"/>
      <c r="K6" s="24"/>
      <c r="L6" s="9"/>
      <c r="M6" s="16"/>
      <c r="R6" s="1">
        <f>IF(vend17[[#This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9">
        <v>4718</v>
      </c>
      <c r="F7" s="24" t="s">
        <v>173</v>
      </c>
      <c r="G7" s="25" t="s">
        <v>8</v>
      </c>
      <c r="H7" s="8">
        <v>650</v>
      </c>
      <c r="I7" s="8">
        <v>650</v>
      </c>
      <c r="J7" s="2"/>
      <c r="K7" s="24"/>
      <c r="L7" s="9"/>
      <c r="M7" s="16"/>
      <c r="R7" s="1">
        <f>IF(vend17[[#This Row],[Nº Venda]]&gt;1,1,0)</f>
        <v>1</v>
      </c>
    </row>
    <row r="8" spans="2:18" ht="15.75" x14ac:dyDescent="0.25">
      <c r="B8" s="27" t="s">
        <v>21</v>
      </c>
      <c r="C8" s="28">
        <f>SUM(C6:C7)</f>
        <v>2252</v>
      </c>
      <c r="D8" s="2"/>
      <c r="E8" s="69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1390</v>
      </c>
      <c r="D12" s="2"/>
      <c r="E12" s="69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650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212</v>
      </c>
      <c r="D15" s="2"/>
      <c r="E15" s="69"/>
      <c r="F15" s="24"/>
      <c r="G15" s="25"/>
      <c r="H15" s="8"/>
      <c r="I15" s="8"/>
      <c r="J15" s="2"/>
      <c r="K15" s="76"/>
      <c r="L15" s="9"/>
      <c r="M15" s="16"/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2252</v>
      </c>
      <c r="D16" s="2"/>
      <c r="E16" s="69"/>
      <c r="F16" s="24"/>
      <c r="G16" s="25"/>
      <c r="H16" s="8"/>
      <c r="I16" s="8"/>
      <c r="J16" s="2"/>
      <c r="K16" s="76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IF(vend17[[#This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2040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24"/>
      <c r="G26" s="25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>
        <v>4519</v>
      </c>
      <c r="F35" s="24" t="s">
        <v>175</v>
      </c>
      <c r="G35" s="25" t="s">
        <v>10</v>
      </c>
      <c r="H35" s="8">
        <v>122</v>
      </c>
      <c r="I35" s="8" t="s">
        <v>83</v>
      </c>
      <c r="K35" s="76"/>
      <c r="L35" s="40"/>
      <c r="M35" s="16"/>
    </row>
    <row r="36" spans="2:18" ht="15.75" x14ac:dyDescent="0.25">
      <c r="E36" s="72">
        <v>4502</v>
      </c>
      <c r="F36" s="24" t="s">
        <v>176</v>
      </c>
      <c r="G36" s="25" t="s">
        <v>10</v>
      </c>
      <c r="H36" s="8">
        <v>90</v>
      </c>
      <c r="I36" s="8" t="s">
        <v>47</v>
      </c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90" zoomScaleNormal="90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'17'!B1+1</f>
        <v>45675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2380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1440</v>
      </c>
      <c r="D6" s="2"/>
      <c r="E6" s="69">
        <v>4719</v>
      </c>
      <c r="F6" s="24" t="s">
        <v>178</v>
      </c>
      <c r="G6" s="25" t="s">
        <v>6</v>
      </c>
      <c r="H6" s="8">
        <v>880</v>
      </c>
      <c r="I6" s="8">
        <v>100</v>
      </c>
      <c r="J6" s="2"/>
      <c r="K6" s="24"/>
      <c r="L6" s="90"/>
      <c r="M6" s="16"/>
      <c r="R6" s="1">
        <f>IF(vend18[[#This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9">
        <v>4720</v>
      </c>
      <c r="F7" s="24" t="s">
        <v>179</v>
      </c>
      <c r="G7" s="25" t="s">
        <v>6</v>
      </c>
      <c r="H7" s="8">
        <v>1500</v>
      </c>
      <c r="I7" s="8">
        <v>100</v>
      </c>
      <c r="J7" s="2"/>
      <c r="K7" s="24"/>
      <c r="L7" s="9"/>
      <c r="M7" s="16"/>
      <c r="R7" s="1">
        <f>IF(vend18[[#This Row],[Nº Venda]]&gt;1,1,0)</f>
        <v>1</v>
      </c>
    </row>
    <row r="8" spans="2:18" ht="15.75" x14ac:dyDescent="0.25">
      <c r="B8" s="27" t="s">
        <v>21</v>
      </c>
      <c r="C8" s="28">
        <f>SUM(C6:C7)</f>
        <v>1440</v>
      </c>
      <c r="D8" s="2"/>
      <c r="E8" s="69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200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1000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240</v>
      </c>
      <c r="D15" s="2"/>
      <c r="E15" s="69"/>
      <c r="F15" s="24"/>
      <c r="G15" s="25"/>
      <c r="H15" s="8"/>
      <c r="I15" s="8"/>
      <c r="J15" s="2"/>
      <c r="K15" s="76">
        <v>4701</v>
      </c>
      <c r="L15" s="9" t="s">
        <v>132</v>
      </c>
      <c r="M15" s="16" t="s">
        <v>143</v>
      </c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1440</v>
      </c>
      <c r="D16" s="2"/>
      <c r="E16" s="69"/>
      <c r="F16" s="24"/>
      <c r="G16" s="25"/>
      <c r="H16" s="8"/>
      <c r="I16" s="8"/>
      <c r="J16" s="2"/>
      <c r="K16" s="76">
        <v>4704</v>
      </c>
      <c r="L16" s="9" t="s">
        <v>132</v>
      </c>
      <c r="M16" s="16" t="s">
        <v>143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IF(vend18[[#This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2380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51"/>
      <c r="F23" s="51"/>
      <c r="G23" s="51"/>
      <c r="H23" s="52"/>
      <c r="I23" s="52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>
        <v>4696</v>
      </c>
      <c r="F26" s="24" t="s">
        <v>180</v>
      </c>
      <c r="G26" s="25" t="s">
        <v>10</v>
      </c>
      <c r="H26" s="8"/>
      <c r="I26" s="8">
        <v>150</v>
      </c>
      <c r="J26" s="2"/>
      <c r="K26" s="76"/>
      <c r="L26" s="9"/>
      <c r="M26" s="16"/>
    </row>
    <row r="27" spans="2:18" ht="15.75" x14ac:dyDescent="0.25">
      <c r="B27" s="2"/>
      <c r="C27" s="2"/>
      <c r="D27" s="2"/>
      <c r="E27" s="69">
        <v>4697</v>
      </c>
      <c r="F27" s="24" t="s">
        <v>181</v>
      </c>
      <c r="G27" s="25" t="s">
        <v>10</v>
      </c>
      <c r="H27" s="8"/>
      <c r="I27" s="8">
        <v>90</v>
      </c>
      <c r="J27" s="2"/>
      <c r="K27" s="76"/>
      <c r="L27" s="9"/>
      <c r="M27" s="16"/>
    </row>
    <row r="28" spans="2:18" ht="15.75" x14ac:dyDescent="0.25">
      <c r="B28" s="2"/>
      <c r="C28" s="2"/>
      <c r="D28" s="2"/>
      <c r="E28" s="69">
        <v>4701</v>
      </c>
      <c r="F28" s="24" t="s">
        <v>182</v>
      </c>
      <c r="G28" s="25" t="s">
        <v>8</v>
      </c>
      <c r="H28" s="8"/>
      <c r="I28" s="8">
        <v>250</v>
      </c>
      <c r="J28" s="2"/>
      <c r="K28" s="76"/>
      <c r="L28" s="9"/>
      <c r="M28" s="16"/>
    </row>
    <row r="29" spans="2:18" ht="15.75" x14ac:dyDescent="0.25">
      <c r="B29" s="2"/>
      <c r="C29" s="2"/>
      <c r="D29" s="2"/>
      <c r="E29" s="69">
        <v>4702</v>
      </c>
      <c r="F29" s="24" t="s">
        <v>182</v>
      </c>
      <c r="G29" s="25" t="s">
        <v>8</v>
      </c>
      <c r="H29" s="8"/>
      <c r="I29" s="8">
        <v>750</v>
      </c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/>
      <c r="F35" s="24"/>
      <c r="G35" s="25"/>
      <c r="H35" s="8"/>
      <c r="I35" s="8"/>
      <c r="K35" s="76"/>
      <c r="L35" s="40"/>
      <c r="M35" s="16"/>
    </row>
    <row r="36" spans="2:18" ht="15.75" x14ac:dyDescent="0.25">
      <c r="E36" s="72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90" zoomScaleNormal="90" zoomScaleSheetLayoutView="70" workbookViewId="0">
      <selection activeCell="U18" sqref="U18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'18'!B1+1</f>
        <v>45676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9"/>
      <c r="F6" s="24"/>
      <c r="G6" s="25"/>
      <c r="H6" s="8"/>
      <c r="I6" s="8"/>
      <c r="J6" s="2"/>
      <c r="K6" s="24"/>
      <c r="L6" s="9"/>
      <c r="M6" s="16"/>
      <c r="R6" s="1">
        <f>IF(vend19[[#This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9"/>
      <c r="F7" s="24"/>
      <c r="G7" s="25"/>
      <c r="H7" s="53"/>
      <c r="I7" s="8"/>
      <c r="J7" s="2"/>
      <c r="K7" s="24"/>
      <c r="L7" s="9"/>
      <c r="M7" s="16"/>
      <c r="R7" s="1">
        <f>IF(vend19[[#This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9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9"/>
      <c r="F15" s="24"/>
      <c r="G15" s="25"/>
      <c r="H15" s="8"/>
      <c r="I15" s="8"/>
      <c r="J15" s="2"/>
      <c r="K15" s="76"/>
      <c r="L15" s="9"/>
      <c r="M15" s="16"/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9"/>
      <c r="F16" s="24"/>
      <c r="G16" s="25"/>
      <c r="H16" s="8"/>
      <c r="I16" s="8"/>
      <c r="J16" s="2"/>
      <c r="K16" s="76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IF(vend19[[#This Row],[Nº Venda]]&gt;1,1,0)</f>
        <v>0</v>
      </c>
    </row>
    <row r="18" spans="2:22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22" ht="15.75" x14ac:dyDescent="0.25">
      <c r="B22" s="27" t="s">
        <v>26</v>
      </c>
      <c r="C22" s="31">
        <f>C5</f>
        <v>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22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22" ht="15.75" x14ac:dyDescent="0.25">
      <c r="B26" s="2"/>
      <c r="C26" s="2"/>
      <c r="D26" s="2"/>
      <c r="E26" s="69"/>
      <c r="F26" s="38"/>
      <c r="G26" s="25"/>
      <c r="H26" s="8"/>
      <c r="I26" s="8"/>
      <c r="J26" s="2"/>
      <c r="K26" s="76"/>
      <c r="L26" s="9"/>
      <c r="M26" s="16"/>
    </row>
    <row r="27" spans="2:22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22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22" ht="15.75" x14ac:dyDescent="0.25">
      <c r="B29" s="2"/>
      <c r="C29" s="2"/>
      <c r="D29" s="2"/>
      <c r="E29" s="69"/>
      <c r="F29" s="24"/>
      <c r="G29" s="25"/>
      <c r="H29" s="25"/>
      <c r="I29" s="8"/>
      <c r="J29" s="2"/>
      <c r="K29" s="76"/>
      <c r="L29" s="9"/>
      <c r="M29" s="16"/>
    </row>
    <row r="30" spans="2:22" ht="15.75" x14ac:dyDescent="0.25">
      <c r="B30" s="2"/>
      <c r="C30" s="2"/>
      <c r="D30" s="2"/>
      <c r="E30" s="69"/>
      <c r="F30" s="24"/>
      <c r="G30" s="25"/>
      <c r="H30" s="8"/>
      <c r="I30" s="8"/>
      <c r="J30" s="2"/>
      <c r="K30" s="76"/>
      <c r="L30" s="9"/>
      <c r="M30" s="16"/>
    </row>
    <row r="31" spans="2:22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/>
      <c r="F35" s="24"/>
      <c r="G35" s="25"/>
      <c r="H35" s="8"/>
      <c r="I35" s="8"/>
      <c r="K35" s="76"/>
      <c r="L35" s="40"/>
      <c r="M35" s="16"/>
    </row>
    <row r="36" spans="2:18" ht="15.75" x14ac:dyDescent="0.25">
      <c r="E36" s="72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90" zoomScaleNormal="9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'19'!B1+1</f>
        <v>45677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520</v>
      </c>
      <c r="D6" s="2"/>
      <c r="E6" s="69">
        <v>4721</v>
      </c>
      <c r="F6" s="24" t="s">
        <v>183</v>
      </c>
      <c r="G6" s="25" t="s">
        <v>10</v>
      </c>
      <c r="H6" s="8">
        <v>70</v>
      </c>
      <c r="I6" s="8">
        <v>70</v>
      </c>
      <c r="J6" s="2"/>
      <c r="K6" s="24"/>
      <c r="L6" s="9"/>
      <c r="M6" s="16"/>
      <c r="R6" s="1">
        <f>IF(vend20[[#This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9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21</v>
      </c>
      <c r="C8" s="28">
        <f>SUM(C6:C7)</f>
        <v>520</v>
      </c>
      <c r="D8" s="2"/>
      <c r="E8" s="69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520</v>
      </c>
      <c r="D15" s="2"/>
      <c r="E15" s="69"/>
      <c r="F15" s="24"/>
      <c r="G15" s="25"/>
      <c r="H15" s="8"/>
      <c r="I15" s="8"/>
      <c r="J15" s="2"/>
      <c r="K15" s="76">
        <v>4669</v>
      </c>
      <c r="L15" s="9" t="s">
        <v>132</v>
      </c>
      <c r="M15" s="16" t="s">
        <v>143</v>
      </c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520</v>
      </c>
      <c r="D16" s="2"/>
      <c r="E16" s="69"/>
      <c r="F16" s="24"/>
      <c r="G16" s="25"/>
      <c r="H16" s="8"/>
      <c r="I16" s="8"/>
      <c r="J16" s="2"/>
      <c r="K16" s="76">
        <v>4713</v>
      </c>
      <c r="L16" s="9" t="s">
        <v>132</v>
      </c>
      <c r="M16" s="16" t="s">
        <v>143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IF(vend20[[#This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70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24"/>
      <c r="G26" s="25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>
        <v>4544</v>
      </c>
      <c r="F35" s="24" t="s">
        <v>184</v>
      </c>
      <c r="G35" s="25" t="s">
        <v>10</v>
      </c>
      <c r="H35" s="8">
        <v>155</v>
      </c>
      <c r="I35" s="8" t="s">
        <v>39</v>
      </c>
      <c r="K35" s="76"/>
      <c r="L35" s="40"/>
      <c r="M35" s="16"/>
    </row>
    <row r="36" spans="2:18" ht="15.75" x14ac:dyDescent="0.25">
      <c r="E36" s="72">
        <v>4544</v>
      </c>
      <c r="F36" s="24" t="s">
        <v>184</v>
      </c>
      <c r="G36" s="25" t="s">
        <v>10</v>
      </c>
      <c r="H36" s="8">
        <v>155</v>
      </c>
      <c r="I36" s="8" t="s">
        <v>53</v>
      </c>
      <c r="K36" s="76"/>
      <c r="L36" s="40"/>
      <c r="M36" s="16"/>
    </row>
    <row r="37" spans="2:18" ht="15.75" x14ac:dyDescent="0.25">
      <c r="E37" s="69">
        <v>4544</v>
      </c>
      <c r="F37" s="24" t="s">
        <v>184</v>
      </c>
      <c r="G37" s="25" t="s">
        <v>10</v>
      </c>
      <c r="H37" s="8">
        <v>140</v>
      </c>
      <c r="I37" s="8" t="s">
        <v>47</v>
      </c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90" zoomScaleNormal="90" workbookViewId="0">
      <selection activeCell="I23" sqref="I23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'20'!B1+1</f>
        <v>45678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1320.28</v>
      </c>
      <c r="D6" s="2"/>
      <c r="E6" s="69">
        <v>4722</v>
      </c>
      <c r="F6" s="24" t="s">
        <v>194</v>
      </c>
      <c r="G6" s="25" t="s">
        <v>40</v>
      </c>
      <c r="H6" s="8">
        <v>0</v>
      </c>
      <c r="I6" s="8">
        <v>0</v>
      </c>
      <c r="J6" s="2"/>
      <c r="K6" s="24"/>
      <c r="L6" s="9"/>
      <c r="M6" s="16"/>
      <c r="R6" s="1">
        <f>IF(vend21[[#This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9">
        <v>4723</v>
      </c>
      <c r="F7" s="24" t="s">
        <v>193</v>
      </c>
      <c r="G7" s="25" t="s">
        <v>6</v>
      </c>
      <c r="H7" s="8">
        <v>40</v>
      </c>
      <c r="I7" s="8">
        <v>10</v>
      </c>
      <c r="J7" s="2"/>
      <c r="K7" s="24"/>
      <c r="L7" s="9"/>
      <c r="M7" s="16"/>
      <c r="R7" s="1">
        <f>IF(vend21[[#This Row],[Nº Venda]]&gt;1,1,0)</f>
        <v>1</v>
      </c>
    </row>
    <row r="8" spans="2:18" ht="15.75" x14ac:dyDescent="0.25">
      <c r="B8" s="27" t="s">
        <v>21</v>
      </c>
      <c r="C8" s="28">
        <f>SUM(C6:C7)</f>
        <v>1320.28</v>
      </c>
      <c r="D8" s="2"/>
      <c r="E8" s="69"/>
      <c r="F8" s="24"/>
      <c r="G8" s="25"/>
      <c r="H8" s="8"/>
      <c r="I8" s="8"/>
      <c r="J8" s="2"/>
      <c r="K8" s="24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IF(vend21[[#This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318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184.28</v>
      </c>
      <c r="D12" s="2"/>
      <c r="E12" s="69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 t="shared" si="0"/>
        <v>818</v>
      </c>
      <c r="D15" s="2"/>
      <c r="E15" s="69"/>
      <c r="F15" s="24"/>
      <c r="G15" s="25"/>
      <c r="H15" s="8"/>
      <c r="I15" s="8"/>
      <c r="J15" s="2"/>
      <c r="K15" s="76">
        <v>4697</v>
      </c>
      <c r="L15" s="9" t="s">
        <v>132</v>
      </c>
      <c r="M15" s="16" t="s">
        <v>144</v>
      </c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1320.28</v>
      </c>
      <c r="D16" s="2"/>
      <c r="E16" s="69"/>
      <c r="F16" s="24"/>
      <c r="G16" s="25"/>
      <c r="H16" s="8"/>
      <c r="I16" s="8"/>
      <c r="J16" s="2"/>
      <c r="K16" s="76">
        <v>4698</v>
      </c>
      <c r="L16" s="9" t="s">
        <v>132</v>
      </c>
      <c r="M16" s="16" t="s">
        <v>144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>
        <v>4707</v>
      </c>
      <c r="L17" s="9" t="s">
        <v>132</v>
      </c>
      <c r="M17" s="16" t="s">
        <v>143</v>
      </c>
      <c r="R17" s="1">
        <f>IF(vend21[[#This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>
        <v>4710</v>
      </c>
      <c r="L18" s="9" t="s">
        <v>132</v>
      </c>
      <c r="M18" s="16" t="s">
        <v>144</v>
      </c>
      <c r="R18" s="1">
        <f>IF(vend21[[#This Row],[Nº Venda]]&gt;1,1,0)</f>
        <v>0</v>
      </c>
    </row>
    <row r="19" spans="2:18" ht="15.75" x14ac:dyDescent="0.25">
      <c r="B19" s="29">
        <f>COUNT(entr_carn21[OS])</f>
        <v>3</v>
      </c>
      <c r="C19" s="30">
        <f>SUM(entr_carn21[Valor Total])</f>
        <v>2000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2000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40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>
        <v>4697</v>
      </c>
      <c r="F26" s="24" t="s">
        <v>192</v>
      </c>
      <c r="G26" s="25" t="s">
        <v>10</v>
      </c>
      <c r="H26" s="8">
        <v>0</v>
      </c>
      <c r="I26" s="8">
        <v>60</v>
      </c>
      <c r="J26" s="2"/>
      <c r="K26" s="76"/>
      <c r="L26" s="9"/>
      <c r="M26" s="16"/>
    </row>
    <row r="27" spans="2:18" ht="15.75" x14ac:dyDescent="0.25">
      <c r="B27" s="2"/>
      <c r="C27" s="2"/>
      <c r="D27" s="2"/>
      <c r="E27" s="69">
        <v>4698</v>
      </c>
      <c r="F27" s="24" t="s">
        <v>186</v>
      </c>
      <c r="G27" s="25" t="s">
        <v>10</v>
      </c>
      <c r="H27" s="8">
        <v>0</v>
      </c>
      <c r="I27" s="8">
        <v>150</v>
      </c>
      <c r="J27" s="2"/>
      <c r="K27" s="76"/>
      <c r="L27" s="9"/>
      <c r="M27" s="16"/>
    </row>
    <row r="28" spans="2:18" ht="15.75" x14ac:dyDescent="0.25">
      <c r="B28" s="2"/>
      <c r="C28" s="2"/>
      <c r="D28" s="2"/>
      <c r="E28" s="69">
        <v>4707</v>
      </c>
      <c r="F28" s="24" t="s">
        <v>185</v>
      </c>
      <c r="G28" s="25" t="s">
        <v>6</v>
      </c>
      <c r="H28" s="8">
        <v>0</v>
      </c>
      <c r="I28" s="8">
        <v>308</v>
      </c>
      <c r="J28" s="2"/>
      <c r="K28" s="76"/>
      <c r="L28" s="9"/>
      <c r="M28" s="16"/>
    </row>
    <row r="29" spans="2:18" ht="15.75" x14ac:dyDescent="0.25">
      <c r="B29" s="2"/>
      <c r="C29" s="2"/>
      <c r="D29" s="2"/>
      <c r="E29" s="69">
        <v>4710</v>
      </c>
      <c r="F29" s="24" t="s">
        <v>190</v>
      </c>
      <c r="G29" s="25" t="s">
        <v>10</v>
      </c>
      <c r="H29" s="8">
        <v>0</v>
      </c>
      <c r="I29" s="8">
        <v>240</v>
      </c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>
        <v>4423</v>
      </c>
      <c r="F35" s="24" t="s">
        <v>189</v>
      </c>
      <c r="G35" s="25" t="s">
        <v>10</v>
      </c>
      <c r="H35" s="8">
        <v>110</v>
      </c>
      <c r="I35" s="8" t="s">
        <v>79</v>
      </c>
      <c r="K35" s="76">
        <v>4697</v>
      </c>
      <c r="L35" s="40">
        <v>5</v>
      </c>
      <c r="M35" s="16">
        <v>1210</v>
      </c>
    </row>
    <row r="36" spans="2:18" ht="15.75" x14ac:dyDescent="0.25">
      <c r="E36" s="72">
        <v>4447</v>
      </c>
      <c r="F36" s="24" t="s">
        <v>188</v>
      </c>
      <c r="G36" s="25" t="s">
        <v>10</v>
      </c>
      <c r="H36" s="8">
        <v>138</v>
      </c>
      <c r="I36" s="8" t="s">
        <v>80</v>
      </c>
      <c r="K36" s="76">
        <v>4698</v>
      </c>
      <c r="L36" s="40">
        <v>4</v>
      </c>
      <c r="M36" s="16">
        <v>450</v>
      </c>
    </row>
    <row r="37" spans="2:18" ht="15.75" x14ac:dyDescent="0.25">
      <c r="E37" s="69">
        <v>4600</v>
      </c>
      <c r="F37" s="24" t="s">
        <v>191</v>
      </c>
      <c r="G37" s="25" t="s">
        <v>10</v>
      </c>
      <c r="H37" s="8">
        <v>120</v>
      </c>
      <c r="I37" s="8" t="s">
        <v>39</v>
      </c>
      <c r="K37" s="76">
        <v>4710</v>
      </c>
      <c r="L37" s="40">
        <v>2</v>
      </c>
      <c r="M37" s="16">
        <v>340</v>
      </c>
    </row>
    <row r="38" spans="2:18" ht="15.75" x14ac:dyDescent="0.25">
      <c r="E38" s="69">
        <v>4628</v>
      </c>
      <c r="F38" s="24" t="s">
        <v>187</v>
      </c>
      <c r="G38" s="25" t="s">
        <v>7</v>
      </c>
      <c r="H38" s="8">
        <v>184.28</v>
      </c>
      <c r="I38" s="8" t="s">
        <v>42</v>
      </c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3" zoomScale="90" zoomScaleNormal="9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'21'!B1+1</f>
        <v>45679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675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533</v>
      </c>
      <c r="D6" s="2"/>
      <c r="E6" s="69">
        <v>4724</v>
      </c>
      <c r="F6" s="24" t="s">
        <v>195</v>
      </c>
      <c r="G6" s="25" t="s">
        <v>8</v>
      </c>
      <c r="H6" s="8">
        <v>200</v>
      </c>
      <c r="I6" s="8">
        <v>200</v>
      </c>
      <c r="J6" s="2"/>
      <c r="K6" s="24"/>
      <c r="L6" s="9"/>
      <c r="M6" s="16"/>
      <c r="R6" s="1">
        <f>IF(vend22[[#This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9">
        <v>4725</v>
      </c>
      <c r="F7" s="24" t="s">
        <v>196</v>
      </c>
      <c r="G7" s="25" t="s">
        <v>6</v>
      </c>
      <c r="H7" s="8">
        <v>400</v>
      </c>
      <c r="I7" s="8">
        <v>20</v>
      </c>
      <c r="J7" s="2"/>
      <c r="K7" s="24"/>
      <c r="L7" s="9"/>
      <c r="M7" s="16"/>
      <c r="R7" s="1">
        <f>IF(vend22[[#This Row],[Nº Venda]]&gt;1,1,0)</f>
        <v>1</v>
      </c>
    </row>
    <row r="8" spans="2:18" ht="15.75" x14ac:dyDescent="0.25">
      <c r="B8" s="27" t="s">
        <v>21</v>
      </c>
      <c r="C8" s="28">
        <f>SUM(C6:C7)</f>
        <v>533</v>
      </c>
      <c r="D8" s="2"/>
      <c r="E8" s="69">
        <v>4726</v>
      </c>
      <c r="F8" s="24" t="s">
        <v>198</v>
      </c>
      <c r="G8" s="25" t="s">
        <v>10</v>
      </c>
      <c r="H8" s="8">
        <v>75</v>
      </c>
      <c r="I8" s="8">
        <v>75</v>
      </c>
      <c r="J8" s="2"/>
      <c r="K8" s="24"/>
      <c r="L8" s="9"/>
      <c r="M8" s="16"/>
      <c r="R8" s="1">
        <f>IF(vend22[[#This Row],[Nº Venda]]&gt;1,1,0)</f>
        <v>1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 t="shared" si="0"/>
        <v>200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 t="shared" si="0"/>
        <v>313</v>
      </c>
      <c r="D15" s="2"/>
      <c r="E15" s="69"/>
      <c r="F15" s="24"/>
      <c r="G15" s="25"/>
      <c r="H15" s="8"/>
      <c r="I15" s="8"/>
      <c r="J15" s="2"/>
      <c r="K15" s="76">
        <v>4670</v>
      </c>
      <c r="L15" s="9" t="s">
        <v>132</v>
      </c>
      <c r="M15" s="16" t="s">
        <v>143</v>
      </c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533</v>
      </c>
      <c r="D16" s="2"/>
      <c r="E16" s="69"/>
      <c r="F16" s="24"/>
      <c r="G16" s="25"/>
      <c r="H16" s="8"/>
      <c r="I16" s="8"/>
      <c r="J16" s="2"/>
      <c r="K16" s="76">
        <v>4726</v>
      </c>
      <c r="L16" s="9" t="s">
        <v>132</v>
      </c>
      <c r="M16" s="16" t="s">
        <v>143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IF(vend22[[#This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675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24"/>
      <c r="G26" s="25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>
        <v>4651</v>
      </c>
      <c r="F35" s="24" t="s">
        <v>197</v>
      </c>
      <c r="G35" s="25" t="s">
        <v>10</v>
      </c>
      <c r="H35" s="8">
        <v>238</v>
      </c>
      <c r="I35" s="8" t="s">
        <v>69</v>
      </c>
      <c r="K35" s="76"/>
      <c r="L35" s="40"/>
      <c r="M35" s="16"/>
    </row>
    <row r="36" spans="2:18" ht="15.75" x14ac:dyDescent="0.25">
      <c r="E36" s="72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90" zoomScaleNormal="9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'22'!B1+1</f>
        <v>45680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2040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1000</v>
      </c>
      <c r="D6" s="2"/>
      <c r="E6" s="69">
        <v>4727</v>
      </c>
      <c r="F6" s="24" t="s">
        <v>199</v>
      </c>
      <c r="G6" s="25" t="s">
        <v>10</v>
      </c>
      <c r="H6" s="8">
        <v>210</v>
      </c>
      <c r="I6" s="8">
        <v>210</v>
      </c>
      <c r="J6" s="2"/>
      <c r="K6" s="24"/>
      <c r="L6" s="9"/>
      <c r="M6" s="16"/>
      <c r="R6" s="1">
        <f>IF(vend23[[#This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9">
        <v>4728</v>
      </c>
      <c r="F7" s="24" t="s">
        <v>199</v>
      </c>
      <c r="G7" s="25" t="s">
        <v>10</v>
      </c>
      <c r="H7" s="8">
        <v>40</v>
      </c>
      <c r="I7" s="8">
        <v>40</v>
      </c>
      <c r="J7" s="2"/>
      <c r="K7" s="24"/>
      <c r="L7" s="9"/>
      <c r="M7" s="16"/>
      <c r="R7" s="1">
        <f>IF(vend23[[#This Row],[Nº Venda]]&gt;1,1,0)</f>
        <v>1</v>
      </c>
    </row>
    <row r="8" spans="2:18" ht="15.75" x14ac:dyDescent="0.25">
      <c r="B8" s="27" t="s">
        <v>21</v>
      </c>
      <c r="C8" s="28">
        <f>SUM(C6:C7)</f>
        <v>1000</v>
      </c>
      <c r="D8" s="2"/>
      <c r="E8" s="69">
        <v>4729</v>
      </c>
      <c r="F8" s="24" t="s">
        <v>199</v>
      </c>
      <c r="G8" s="25" t="s">
        <v>10</v>
      </c>
      <c r="H8" s="8">
        <v>1790</v>
      </c>
      <c r="I8" s="8">
        <v>750</v>
      </c>
      <c r="J8" s="2"/>
      <c r="K8" s="24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61">
        <f>(SUMIF($G$2:$G$31,B11,$I$2:$I$31))+(SUMIF($G$35:$G$44,B11,$H$35:$H$44))</f>
        <v>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61">
        <f>(SUMIF($G$2:$G$31,B12,$I$2:$I$31))+(SUMIF($G$35:$G$44,B12,$H$35:$H$44))</f>
        <v>0</v>
      </c>
      <c r="D12" s="2"/>
      <c r="E12" s="69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61">
        <f>(SUMIF($G$2:$G$31,B13,$I$2:$I$31))+(SUMIF($G$35:$G$44,B13,$H$35:$H$44))</f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IF(vend23[[#This Row],[Nº Venda]]&gt;1,1,0)</f>
        <v>0</v>
      </c>
    </row>
    <row r="14" spans="2:18" ht="15.75" x14ac:dyDescent="0.25">
      <c r="B14" s="29" t="s">
        <v>9</v>
      </c>
      <c r="C14" s="61">
        <f>(SUMIF($G$2:$G$31,B14,$I$2:$I$31))+(SUMIF($G$35:$G$44,B14,$H$35:$H$44))</f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61">
        <f>(SUMIF($G$2:$G$31,B15,$I$2:$I$31))+(SUMIF($G$35:$G$44,B15,$H$35:$H$44))</f>
        <v>1000</v>
      </c>
      <c r="D15" s="2"/>
      <c r="E15" s="69"/>
      <c r="F15" s="24"/>
      <c r="G15" s="25"/>
      <c r="H15" s="8"/>
      <c r="I15" s="8"/>
      <c r="J15" s="2"/>
      <c r="K15" s="76">
        <v>4709</v>
      </c>
      <c r="L15" s="9" t="s">
        <v>132</v>
      </c>
      <c r="M15" s="16" t="s">
        <v>144</v>
      </c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1000</v>
      </c>
      <c r="D16" s="2"/>
      <c r="E16" s="69"/>
      <c r="F16" s="24"/>
      <c r="G16" s="25"/>
      <c r="H16" s="8"/>
      <c r="I16" s="8"/>
      <c r="J16" s="2"/>
      <c r="K16" s="76">
        <v>4703</v>
      </c>
      <c r="L16" s="9" t="s">
        <v>132</v>
      </c>
      <c r="M16" s="16" t="s">
        <v>143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IF(vend23[[#This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1</v>
      </c>
      <c r="C19" s="30">
        <f>SUM(entr_carn23[Valor Total])</f>
        <v>300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300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2040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24"/>
      <c r="G26" s="25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/>
      <c r="F35" s="24"/>
      <c r="G35" s="25"/>
      <c r="H35" s="8"/>
      <c r="I35" s="8"/>
      <c r="K35" s="76">
        <v>4709</v>
      </c>
      <c r="L35" s="40">
        <v>3</v>
      </c>
      <c r="M35" s="16">
        <v>300</v>
      </c>
    </row>
    <row r="36" spans="2:18" ht="15.75" x14ac:dyDescent="0.25">
      <c r="E36" s="72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73"/>
      <c r="F41" s="38"/>
      <c r="G41" s="25"/>
      <c r="H41" s="8"/>
      <c r="I41" s="8"/>
      <c r="K41" s="76"/>
      <c r="L41" s="40"/>
      <c r="M41" s="39"/>
    </row>
    <row r="42" spans="2:18" ht="15.75" x14ac:dyDescent="0.25">
      <c r="E42" s="65"/>
      <c r="F42" s="58"/>
      <c r="G42" s="59"/>
      <c r="H42" s="60"/>
      <c r="I42" s="17"/>
    </row>
    <row r="43" spans="2:18" ht="15.75" x14ac:dyDescent="0.25">
      <c r="E43" s="65"/>
      <c r="F43" s="63"/>
      <c r="G43" s="62"/>
      <c r="H43" s="64"/>
      <c r="I43" s="8"/>
    </row>
    <row r="44" spans="2:18" ht="15.75" x14ac:dyDescent="0.25">
      <c r="E44" s="66"/>
      <c r="F44" s="58"/>
      <c r="G44" s="59"/>
      <c r="H44" s="60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view="pageBreakPreview" zoomScale="60" zoomScaleNormal="90" workbookViewId="0">
      <selection activeCell="K20" sqref="K20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'23'!B1+1</f>
        <v>45681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1640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1831</v>
      </c>
      <c r="D6" s="2"/>
      <c r="E6" s="69">
        <v>4730</v>
      </c>
      <c r="F6" s="24" t="s">
        <v>225</v>
      </c>
      <c r="G6" s="25" t="s">
        <v>10</v>
      </c>
      <c r="H6" s="8">
        <v>1390</v>
      </c>
      <c r="I6" s="8">
        <v>290</v>
      </c>
      <c r="J6" s="2"/>
      <c r="K6" s="24"/>
      <c r="L6" s="9"/>
      <c r="M6" s="16"/>
      <c r="R6" s="1">
        <f>IF(vend24[[#This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9">
        <v>4730</v>
      </c>
      <c r="F7" s="24" t="s">
        <v>225</v>
      </c>
      <c r="G7" s="25" t="s">
        <v>8</v>
      </c>
      <c r="H7" s="8">
        <v>0</v>
      </c>
      <c r="I7" s="8">
        <v>1100</v>
      </c>
      <c r="J7" s="2"/>
      <c r="K7" s="24"/>
      <c r="L7" s="9"/>
      <c r="M7" s="16"/>
      <c r="R7" s="1">
        <f>IF(vend24[[#This Row],[Nº Venda]]&gt;1,1,0)</f>
        <v>1</v>
      </c>
    </row>
    <row r="8" spans="2:18" ht="15.75" x14ac:dyDescent="0.25">
      <c r="B8" s="27" t="s">
        <v>21</v>
      </c>
      <c r="C8" s="28">
        <f>SUM(C6:C7)</f>
        <v>1831</v>
      </c>
      <c r="D8" s="2"/>
      <c r="E8" s="69">
        <v>4731</v>
      </c>
      <c r="F8" s="24" t="s">
        <v>226</v>
      </c>
      <c r="G8" s="25" t="s">
        <v>8</v>
      </c>
      <c r="H8" s="8">
        <v>250</v>
      </c>
      <c r="I8" s="8">
        <v>250</v>
      </c>
      <c r="J8" s="2"/>
      <c r="K8" s="24"/>
      <c r="L8" s="9"/>
      <c r="M8" s="1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69">
        <v>4732</v>
      </c>
      <c r="F9" s="24" t="s">
        <v>227</v>
      </c>
      <c r="G9" s="25" t="s">
        <v>40</v>
      </c>
      <c r="H9" s="8">
        <v>0</v>
      </c>
      <c r="I9" s="8">
        <v>0</v>
      </c>
      <c r="J9" s="2"/>
      <c r="K9" s="24"/>
      <c r="L9" s="9"/>
      <c r="M9" s="16"/>
      <c r="R9" s="1">
        <f>IF(vend24[[#This Row],[Nº Venda]]&gt;1,1,0)</f>
        <v>1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 t="shared" si="0"/>
        <v>1350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 t="shared" si="0"/>
        <v>481</v>
      </c>
      <c r="D15" s="2"/>
      <c r="E15" s="69"/>
      <c r="F15" s="24"/>
      <c r="G15" s="25"/>
      <c r="H15" s="8"/>
      <c r="I15" s="8"/>
      <c r="J15" s="2"/>
      <c r="K15" s="76">
        <v>4702</v>
      </c>
      <c r="L15" s="9" t="s">
        <v>132</v>
      </c>
      <c r="M15" s="16" t="s">
        <v>143</v>
      </c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1831</v>
      </c>
      <c r="D16" s="2"/>
      <c r="E16" s="69"/>
      <c r="F16" s="24"/>
      <c r="G16" s="25"/>
      <c r="H16" s="8"/>
      <c r="I16" s="8"/>
      <c r="J16" s="2"/>
      <c r="K16" s="76">
        <v>4724</v>
      </c>
      <c r="L16" s="9" t="s">
        <v>132</v>
      </c>
      <c r="M16" s="16" t="s">
        <v>143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IF(vend24[[#This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1640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24"/>
      <c r="G26" s="25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3">
        <v>3968</v>
      </c>
      <c r="F35" s="24" t="s">
        <v>228</v>
      </c>
      <c r="G35" s="25" t="s">
        <v>10</v>
      </c>
      <c r="H35" s="8">
        <v>91</v>
      </c>
      <c r="I35" s="8" t="s">
        <v>48</v>
      </c>
      <c r="K35" s="76"/>
      <c r="L35" s="40"/>
      <c r="M35" s="16"/>
    </row>
    <row r="36" spans="2:18" ht="15.75" x14ac:dyDescent="0.25">
      <c r="E36" s="70">
        <v>4219</v>
      </c>
      <c r="F36" s="24" t="s">
        <v>228</v>
      </c>
      <c r="G36" s="25" t="s">
        <v>10</v>
      </c>
      <c r="H36" s="8">
        <v>100</v>
      </c>
      <c r="I36" s="8" t="s">
        <v>44</v>
      </c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90" zoomScaleNormal="9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'24'!B1+1</f>
        <v>45682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625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 ca="1">C16</f>
        <v>330</v>
      </c>
      <c r="D6" s="2"/>
      <c r="E6" s="69">
        <v>4733</v>
      </c>
      <c r="F6" s="24" t="s">
        <v>200</v>
      </c>
      <c r="G6" s="25" t="s">
        <v>40</v>
      </c>
      <c r="H6" s="8">
        <v>0</v>
      </c>
      <c r="I6" s="8">
        <v>0</v>
      </c>
      <c r="J6" s="2"/>
      <c r="K6" s="24"/>
      <c r="L6" s="9"/>
      <c r="M6" s="16"/>
      <c r="R6" s="1">
        <f>IF(vend25[[#This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9">
        <v>4734</v>
      </c>
      <c r="F7" s="24" t="s">
        <v>201</v>
      </c>
      <c r="G7" s="25" t="s">
        <v>8</v>
      </c>
      <c r="H7" s="8">
        <v>590</v>
      </c>
      <c r="I7" s="8">
        <v>295</v>
      </c>
      <c r="J7" s="2"/>
      <c r="K7" s="24"/>
      <c r="L7" s="9"/>
      <c r="M7" s="16"/>
      <c r="R7" s="1">
        <f>IF(vend25[[#This Row],[Nº Venda]]&gt;1,1,0)</f>
        <v>1</v>
      </c>
    </row>
    <row r="8" spans="2:18" ht="15.75" x14ac:dyDescent="0.25">
      <c r="B8" s="27" t="s">
        <v>21</v>
      </c>
      <c r="C8" s="28">
        <f ca="1">SUM(C6:C7)</f>
        <v>330</v>
      </c>
      <c r="D8" s="2"/>
      <c r="E8" s="69">
        <v>4735</v>
      </c>
      <c r="F8" s="24" t="s">
        <v>189</v>
      </c>
      <c r="G8" s="25" t="s">
        <v>40</v>
      </c>
      <c r="H8" s="8">
        <v>0</v>
      </c>
      <c r="I8" s="8">
        <v>0</v>
      </c>
      <c r="J8" s="2"/>
      <c r="K8" s="24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69">
        <v>4736</v>
      </c>
      <c r="F9" s="24" t="s">
        <v>202</v>
      </c>
      <c r="G9" s="25" t="s">
        <v>10</v>
      </c>
      <c r="H9" s="8">
        <v>35</v>
      </c>
      <c r="I9" s="8">
        <v>35</v>
      </c>
      <c r="J9" s="2"/>
      <c r="K9" s="24"/>
      <c r="L9" s="9"/>
      <c r="M9" s="16"/>
      <c r="R9" s="1">
        <f>IF(vend25[[#This Row],[Nº Venda]]&gt;1,1,0)</f>
        <v>1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 ca="1">(SUMIF($G$2:$G$31,B11,$I$2:$I$31))+(SUMIF($G$35:$G$41,B11,$H$36:$H$41))</f>
        <v>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 ca="1">(SUMIF($G$2:$G$31,B12,$I$2:$I$31))+(SUMIF($G$35:$G$41,B12,$H$36:$H$41))</f>
        <v>0</v>
      </c>
      <c r="D12" s="2"/>
      <c r="E12" s="69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 ca="1">(SUMIF($G$2:$G$31,B13,$I$2:$I$31))+(SUMIF($G$35:$G$41,B13,$H$36:$H$41))</f>
        <v>295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 ca="1">(SUMIF($G$2:$G$31,B14,$I$2:$I$31))+(SUMIF($G$35:$G$41,B14,$H$36:$H$41))</f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 ca="1">(SUMIF($G$2:$G$31,B15,$I$2:$I$31))+(SUMIF($G$35:$G$41,B15,$H$36:$H$41))</f>
        <v>35</v>
      </c>
      <c r="D15" s="2"/>
      <c r="E15" s="69"/>
      <c r="F15" s="24"/>
      <c r="G15" s="25"/>
      <c r="H15" s="8"/>
      <c r="I15" s="8"/>
      <c r="J15" s="2"/>
      <c r="K15" s="76">
        <v>4733</v>
      </c>
      <c r="L15" s="9" t="s">
        <v>132</v>
      </c>
      <c r="M15" s="16" t="s">
        <v>143</v>
      </c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 ca="1">SUM(C11:C15)</f>
        <v>330</v>
      </c>
      <c r="D16" s="2"/>
      <c r="E16" s="69"/>
      <c r="F16" s="24"/>
      <c r="G16" s="25"/>
      <c r="H16" s="8"/>
      <c r="I16" s="8"/>
      <c r="J16" s="2"/>
      <c r="K16" s="76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IF(vend25[[#This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625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24"/>
      <c r="G26" s="25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>
        <v>4507</v>
      </c>
      <c r="F35" s="24" t="s">
        <v>203</v>
      </c>
      <c r="G35" s="25" t="s">
        <v>10</v>
      </c>
      <c r="H35" s="55">
        <v>165</v>
      </c>
      <c r="I35" s="8" t="s">
        <v>49</v>
      </c>
      <c r="K35" s="76"/>
      <c r="L35" s="40"/>
      <c r="M35" s="16"/>
    </row>
    <row r="36" spans="2:18" ht="15.75" x14ac:dyDescent="0.25">
      <c r="E36" s="72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90" zoomScaleNormal="90" workbookViewId="0">
      <selection activeCell="H10" sqref="H10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'25'!B1+1</f>
        <v>45683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9"/>
      <c r="F6" s="24"/>
      <c r="G6" s="25"/>
      <c r="H6" s="8"/>
      <c r="I6" s="8"/>
      <c r="J6" s="2"/>
      <c r="K6" s="24"/>
      <c r="L6" s="9"/>
      <c r="M6" s="16"/>
      <c r="R6" s="1">
        <f>IF(vend26[[#This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9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9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9"/>
      <c r="F15" s="24"/>
      <c r="G15" s="25"/>
      <c r="H15" s="8"/>
      <c r="I15" s="8"/>
      <c r="J15" s="2"/>
      <c r="K15" s="76"/>
      <c r="L15" s="9"/>
      <c r="M15" s="16"/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9"/>
      <c r="F16" s="24"/>
      <c r="G16" s="25"/>
      <c r="H16" s="8"/>
      <c r="I16" s="8"/>
      <c r="J16" s="2"/>
      <c r="K16" s="76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IF(vend26[[#This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24"/>
      <c r="G26" s="25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/>
      <c r="F35" s="24"/>
      <c r="G35" s="25"/>
      <c r="H35" s="8"/>
      <c r="I35" s="8"/>
      <c r="K35" s="76"/>
      <c r="L35" s="40"/>
      <c r="M35" s="16"/>
    </row>
    <row r="36" spans="2:18" ht="15.75" x14ac:dyDescent="0.25">
      <c r="E36" s="72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view="pageBreakPreview" topLeftCell="A4" zoomScale="60" zoomScaleNormal="90" workbookViewId="0">
      <selection activeCell="H14" sqref="H14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3.710937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'26'!B1+1</f>
        <v>45684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2650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1400</v>
      </c>
      <c r="D6" s="2"/>
      <c r="E6" s="69">
        <v>4737</v>
      </c>
      <c r="F6" s="24" t="s">
        <v>229</v>
      </c>
      <c r="G6" s="25" t="s">
        <v>6</v>
      </c>
      <c r="H6" s="8">
        <v>400</v>
      </c>
      <c r="I6" s="8">
        <v>50</v>
      </c>
      <c r="J6" s="2"/>
      <c r="K6" s="24"/>
      <c r="L6" s="9"/>
      <c r="M6" s="16"/>
      <c r="R6" s="1">
        <f>IF(vend27[[#This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9">
        <v>4738</v>
      </c>
      <c r="F7" s="24" t="s">
        <v>230</v>
      </c>
      <c r="G7" s="25" t="s">
        <v>40</v>
      </c>
      <c r="H7" s="8">
        <v>0</v>
      </c>
      <c r="I7" s="8">
        <v>0</v>
      </c>
      <c r="J7" s="2"/>
      <c r="K7" s="24"/>
      <c r="L7" s="9"/>
      <c r="M7" s="16"/>
      <c r="R7" s="1">
        <f>IF(vend27[[#This Row],[Nº Venda]]&gt;1,1,0)</f>
        <v>1</v>
      </c>
    </row>
    <row r="8" spans="2:18" ht="15.75" x14ac:dyDescent="0.25">
      <c r="B8" s="27" t="s">
        <v>21</v>
      </c>
      <c r="C8" s="28">
        <f>SUM(C6:C7)</f>
        <v>1400</v>
      </c>
      <c r="D8" s="2"/>
      <c r="E8" s="69">
        <v>4739</v>
      </c>
      <c r="F8" s="24" t="s">
        <v>231</v>
      </c>
      <c r="G8" s="25" t="s">
        <v>8</v>
      </c>
      <c r="H8" s="8">
        <v>1100</v>
      </c>
      <c r="I8" s="8">
        <v>1100</v>
      </c>
      <c r="J8" s="2"/>
      <c r="K8" s="24"/>
      <c r="L8" s="9"/>
      <c r="M8" s="16"/>
      <c r="R8" s="1">
        <f>IF(vend27[[#This Row],[Nº Venda]]&gt;1,1,0)</f>
        <v>1</v>
      </c>
    </row>
    <row r="9" spans="2:18" ht="15.75" x14ac:dyDescent="0.25">
      <c r="B9" s="2"/>
      <c r="C9" s="2"/>
      <c r="D9" s="2"/>
      <c r="E9" s="69">
        <v>4740</v>
      </c>
      <c r="F9" s="24" t="s">
        <v>232</v>
      </c>
      <c r="G9" s="25" t="s">
        <v>10</v>
      </c>
      <c r="H9" s="8">
        <v>750</v>
      </c>
      <c r="I9" s="8">
        <v>150</v>
      </c>
      <c r="J9" s="2"/>
      <c r="K9" s="24"/>
      <c r="L9" s="9"/>
      <c r="M9" s="16"/>
      <c r="R9" s="1">
        <f>IF(vend27[[#This Row],[Nº Venda]]&gt;1,1,0)</f>
        <v>1</v>
      </c>
    </row>
    <row r="10" spans="2:18" ht="15.75" x14ac:dyDescent="0.25">
      <c r="B10" s="104" t="s">
        <v>5</v>
      </c>
      <c r="C10" s="104"/>
      <c r="D10" s="2"/>
      <c r="E10" s="69">
        <v>4741</v>
      </c>
      <c r="F10" s="24" t="s">
        <v>232</v>
      </c>
      <c r="G10" s="25" t="s">
        <v>10</v>
      </c>
      <c r="H10" s="8">
        <v>350</v>
      </c>
      <c r="I10" s="8">
        <v>50</v>
      </c>
      <c r="J10" s="2"/>
      <c r="K10" s="24"/>
      <c r="L10" s="9"/>
      <c r="M10" s="16"/>
      <c r="R10" s="1">
        <f>IF(vend27[[#This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50</v>
      </c>
      <c r="D11" s="2"/>
      <c r="E11" s="69">
        <v>4742</v>
      </c>
      <c r="F11" s="24" t="s">
        <v>232</v>
      </c>
      <c r="G11" s="25" t="s">
        <v>10</v>
      </c>
      <c r="H11" s="8">
        <v>50</v>
      </c>
      <c r="I11" s="8">
        <v>50</v>
      </c>
      <c r="J11" s="2"/>
      <c r="K11" s="26"/>
      <c r="L11" s="9"/>
      <c r="M11" s="16"/>
      <c r="O11" s="1">
        <f>IF(C16=0,0,1)</f>
        <v>1</v>
      </c>
      <c r="R11" s="1">
        <f>IF(vend27[[#This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1100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250</v>
      </c>
      <c r="D15" s="2"/>
      <c r="E15" s="69"/>
      <c r="F15" s="24"/>
      <c r="G15" s="25"/>
      <c r="H15" s="8"/>
      <c r="I15" s="8"/>
      <c r="J15" s="2"/>
      <c r="K15" s="76"/>
      <c r="L15" s="9"/>
      <c r="M15" s="16"/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1400</v>
      </c>
      <c r="D16" s="2"/>
      <c r="E16" s="69"/>
      <c r="F16" s="24"/>
      <c r="G16" s="25"/>
      <c r="H16" s="8"/>
      <c r="I16" s="8"/>
      <c r="J16" s="2"/>
      <c r="K16" s="76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IF(vend27[[#This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2650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24"/>
      <c r="G26" s="25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/>
      <c r="F35" s="24"/>
      <c r="G35" s="25"/>
      <c r="H35" s="8"/>
      <c r="I35" s="8"/>
      <c r="K35" s="76"/>
      <c r="L35" s="40"/>
      <c r="M35" s="16"/>
    </row>
    <row r="36" spans="2:18" ht="15.75" x14ac:dyDescent="0.25">
      <c r="E36" s="72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6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abSelected="1" view="pageBreakPreview" zoomScale="60" zoomScaleNormal="90" workbookViewId="0">
      <selection activeCell="H27" sqref="H27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'27'!B1+1</f>
        <v>45685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599.99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1340</v>
      </c>
      <c r="D6" s="2"/>
      <c r="E6" s="69">
        <v>4743</v>
      </c>
      <c r="F6" s="24" t="s">
        <v>205</v>
      </c>
      <c r="G6" s="25" t="s">
        <v>7</v>
      </c>
      <c r="H6" s="8">
        <v>599.99</v>
      </c>
      <c r="I6" s="8">
        <v>300</v>
      </c>
      <c r="J6" s="2"/>
      <c r="K6" s="24"/>
      <c r="L6" s="9"/>
      <c r="M6" s="16"/>
      <c r="R6" s="1">
        <f>IF(vend28[[#This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9"/>
      <c r="F7" s="24"/>
      <c r="G7" s="25"/>
      <c r="H7" s="8"/>
      <c r="I7" s="8"/>
      <c r="J7" s="2"/>
      <c r="K7" s="24"/>
      <c r="L7" s="9"/>
      <c r="M7" s="16"/>
      <c r="R7" s="1">
        <f>IF(vend28[[#This Row],[Nº Venda]]&gt;1,1,0)</f>
        <v>0</v>
      </c>
    </row>
    <row r="8" spans="2:18" ht="15.75" x14ac:dyDescent="0.25">
      <c r="B8" s="27" t="s">
        <v>21</v>
      </c>
      <c r="C8" s="28">
        <f>SUM(C6:C7)</f>
        <v>1340</v>
      </c>
      <c r="D8" s="2"/>
      <c r="E8" s="69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300</v>
      </c>
      <c r="D12" s="2"/>
      <c r="E12" s="69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1040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9"/>
      <c r="F15" s="24"/>
      <c r="G15" s="25"/>
      <c r="H15" s="8"/>
      <c r="I15" s="8"/>
      <c r="J15" s="2"/>
      <c r="K15" s="76">
        <v>4718</v>
      </c>
      <c r="L15" s="9" t="s">
        <v>132</v>
      </c>
      <c r="M15" s="16" t="s">
        <v>143</v>
      </c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1340</v>
      </c>
      <c r="D16" s="2"/>
      <c r="E16" s="69"/>
      <c r="F16" s="24"/>
      <c r="G16" s="25"/>
      <c r="H16" s="8"/>
      <c r="I16" s="8"/>
      <c r="J16" s="2"/>
      <c r="K16" s="76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IF(vend28[[#This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599.99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>
        <v>4729</v>
      </c>
      <c r="F26" s="24" t="s">
        <v>206</v>
      </c>
      <c r="G26" s="25" t="s">
        <v>8</v>
      </c>
      <c r="H26" s="8">
        <v>0</v>
      </c>
      <c r="I26" s="8">
        <v>1040</v>
      </c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 t="s">
        <v>58</v>
      </c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/>
      <c r="F35" s="24"/>
      <c r="G35" s="25"/>
      <c r="H35" s="8"/>
      <c r="I35" s="8"/>
      <c r="K35" s="76"/>
      <c r="L35" s="40"/>
      <c r="M35" s="16"/>
    </row>
    <row r="36" spans="2:18" ht="15.75" x14ac:dyDescent="0.25">
      <c r="E36" s="72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90" zoomScaleNormal="90" workbookViewId="0">
      <selection activeCell="H7" sqref="H7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'28'!B1+1</f>
        <v>45686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429</v>
      </c>
      <c r="D6" s="2"/>
      <c r="E6" s="69">
        <v>4744</v>
      </c>
      <c r="F6" s="24" t="s">
        <v>209</v>
      </c>
      <c r="G6" s="25" t="s">
        <v>40</v>
      </c>
      <c r="H6" s="8"/>
      <c r="I6" s="8"/>
      <c r="J6" s="2"/>
      <c r="K6" s="24"/>
      <c r="L6" s="9"/>
      <c r="M6" s="16"/>
      <c r="R6" s="1">
        <f>IF(vend29[[#This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9">
        <v>4745</v>
      </c>
      <c r="F7" s="24" t="s">
        <v>204</v>
      </c>
      <c r="G7" s="25" t="s">
        <v>50</v>
      </c>
      <c r="H7" s="8">
        <v>100</v>
      </c>
      <c r="I7" s="8"/>
      <c r="J7" s="2"/>
      <c r="K7" s="24"/>
      <c r="L7" s="9"/>
      <c r="M7" s="16"/>
      <c r="R7" s="1">
        <f>IF(vend29[[#This Row],[Nº Venda]]&gt;1,1,0)</f>
        <v>1</v>
      </c>
    </row>
    <row r="8" spans="2:18" ht="15.75" x14ac:dyDescent="0.25">
      <c r="B8" s="27" t="s">
        <v>21</v>
      </c>
      <c r="C8" s="28">
        <f>SUM(C6:C7)</f>
        <v>429</v>
      </c>
      <c r="D8" s="2"/>
      <c r="E8" s="69"/>
      <c r="F8" s="24"/>
      <c r="G8" s="25"/>
      <c r="H8" s="8"/>
      <c r="I8" s="8"/>
      <c r="J8" s="2"/>
      <c r="K8" s="24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25"/>
      <c r="H9" s="53"/>
      <c r="I9" s="8"/>
      <c r="J9" s="2"/>
      <c r="K9" s="24"/>
      <c r="L9" s="9"/>
      <c r="M9" s="16"/>
      <c r="R9" s="1">
        <f>IF(vend29[[#This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9" t="s">
        <v>10</v>
      </c>
      <c r="C15" s="30">
        <f t="shared" si="0"/>
        <v>429</v>
      </c>
      <c r="D15" s="2"/>
      <c r="E15" s="69"/>
      <c r="F15" s="24"/>
      <c r="G15" s="25"/>
      <c r="H15" s="8"/>
      <c r="I15" s="8"/>
      <c r="J15" s="2"/>
      <c r="K15" s="76">
        <v>4735</v>
      </c>
      <c r="L15" s="9" t="s">
        <v>132</v>
      </c>
      <c r="M15" s="16" t="s">
        <v>143</v>
      </c>
      <c r="R15" s="1">
        <f>IF(vend29[[#This Row],[Nº Venda]]&gt;1,1,0)</f>
        <v>0</v>
      </c>
    </row>
    <row r="16" spans="2:18" ht="15.75" x14ac:dyDescent="0.25">
      <c r="B16" s="27" t="s">
        <v>11</v>
      </c>
      <c r="C16" s="31">
        <f>SUM(C11:C15)</f>
        <v>429</v>
      </c>
      <c r="D16" s="2"/>
      <c r="E16" s="69"/>
      <c r="F16" s="24"/>
      <c r="G16" s="25"/>
      <c r="H16" s="8"/>
      <c r="I16" s="8"/>
      <c r="J16" s="2"/>
      <c r="K16" s="76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IF(vend29[[#This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IF(vend29[[#This Row],[Nº Venda]]&gt;1,1,0)</f>
        <v>0</v>
      </c>
    </row>
    <row r="19" spans="2:18" ht="15.75" x14ac:dyDescent="0.25">
      <c r="B19" s="29">
        <f>COUNT(entr_carn29[OS])</f>
        <v>0</v>
      </c>
      <c r="C19" s="30">
        <f>SUM(entr_carn29[Valor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/>
      <c r="F26" s="24"/>
      <c r="G26" s="25"/>
      <c r="H26" s="8"/>
      <c r="I26" s="8"/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>
        <v>4512</v>
      </c>
      <c r="F35" s="24" t="s">
        <v>207</v>
      </c>
      <c r="G35" s="25" t="s">
        <v>10</v>
      </c>
      <c r="H35" s="8">
        <v>163</v>
      </c>
      <c r="I35" s="8" t="s">
        <v>77</v>
      </c>
      <c r="K35" s="76"/>
      <c r="L35" s="40"/>
      <c r="M35" s="16"/>
    </row>
    <row r="36" spans="2:18" ht="15.75" x14ac:dyDescent="0.25">
      <c r="E36" s="72">
        <v>4630</v>
      </c>
      <c r="F36" s="24" t="s">
        <v>208</v>
      </c>
      <c r="G36" s="25" t="s">
        <v>10</v>
      </c>
      <c r="H36" s="8">
        <v>266</v>
      </c>
      <c r="I36" s="8" t="s">
        <v>33</v>
      </c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6" zoomScale="90" zoomScaleNormal="90" workbookViewId="0">
      <selection activeCell="K17" sqref="K17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'29'!B1+1</f>
        <v>45687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333.5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283.5</v>
      </c>
      <c r="D6" s="2"/>
      <c r="E6" s="69">
        <v>4746</v>
      </c>
      <c r="F6" s="24" t="s">
        <v>151</v>
      </c>
      <c r="G6" s="25" t="s">
        <v>6</v>
      </c>
      <c r="H6" s="8">
        <v>20</v>
      </c>
      <c r="I6" s="8">
        <v>20</v>
      </c>
      <c r="J6" s="2"/>
      <c r="K6" s="24"/>
      <c r="L6" s="9"/>
      <c r="M6" s="16"/>
      <c r="R6" s="1">
        <f>IF(vend30[[#This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9">
        <v>4747</v>
      </c>
      <c r="F7" s="24" t="s">
        <v>210</v>
      </c>
      <c r="G7" s="25" t="s">
        <v>6</v>
      </c>
      <c r="H7" s="8">
        <v>150</v>
      </c>
      <c r="I7" s="8">
        <v>100</v>
      </c>
      <c r="J7" s="2"/>
      <c r="K7" s="24"/>
      <c r="L7" s="9"/>
      <c r="M7" s="16"/>
      <c r="R7" s="1">
        <f>IF(vend30[[#This Row],[Nº Venda]]&gt;1,1,0)</f>
        <v>1</v>
      </c>
    </row>
    <row r="8" spans="2:18" ht="15.75" x14ac:dyDescent="0.25">
      <c r="B8" s="27" t="s">
        <v>21</v>
      </c>
      <c r="C8" s="28">
        <f>SUM(C6:C7)</f>
        <v>283.5</v>
      </c>
      <c r="D8" s="2"/>
      <c r="E8" s="69">
        <v>4748</v>
      </c>
      <c r="F8" s="24" t="s">
        <v>211</v>
      </c>
      <c r="G8" s="25" t="s">
        <v>8</v>
      </c>
      <c r="H8" s="8">
        <v>163.5</v>
      </c>
      <c r="I8" s="8">
        <v>163.5</v>
      </c>
      <c r="J8" s="2"/>
      <c r="K8" s="24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IF(vend30[[#This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IF(vend30[[#This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120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29" t="s">
        <v>8</v>
      </c>
      <c r="C13" s="30">
        <f t="shared" si="0"/>
        <v>163.5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IF(vend30[[#This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9"/>
      <c r="F15" s="24"/>
      <c r="G15" s="25"/>
      <c r="H15" s="8"/>
      <c r="I15" s="8"/>
      <c r="J15" s="2"/>
      <c r="K15" s="76">
        <v>4717</v>
      </c>
      <c r="L15" s="9" t="s">
        <v>132</v>
      </c>
      <c r="M15" s="16" t="s">
        <v>143</v>
      </c>
      <c r="R15" s="1">
        <f>IF(vend30[[#This Row],[Nº Venda]]&gt;1,1,0)</f>
        <v>0</v>
      </c>
    </row>
    <row r="16" spans="2:18" ht="15.75" x14ac:dyDescent="0.25">
      <c r="B16" s="27" t="s">
        <v>11</v>
      </c>
      <c r="C16" s="31">
        <f>SUM(C11:C15)</f>
        <v>283.5</v>
      </c>
      <c r="D16" s="2"/>
      <c r="E16" s="69"/>
      <c r="F16" s="24"/>
      <c r="G16" s="25"/>
      <c r="H16" s="8"/>
      <c r="I16" s="8"/>
      <c r="J16" s="2"/>
      <c r="K16" s="76">
        <v>4746</v>
      </c>
      <c r="L16" s="9" t="s">
        <v>132</v>
      </c>
      <c r="M16" s="16" t="s">
        <v>143</v>
      </c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>
        <v>4699</v>
      </c>
      <c r="L17" s="9" t="s">
        <v>132</v>
      </c>
      <c r="M17" s="16" t="s">
        <v>143</v>
      </c>
      <c r="R17" s="1">
        <f>IF(vend30[[#This Row],[Nº Venda]]&gt;1,1,0)</f>
        <v>0</v>
      </c>
    </row>
    <row r="18" spans="2:22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>
        <v>4748</v>
      </c>
      <c r="L18" s="9" t="s">
        <v>132</v>
      </c>
      <c r="M18" s="16" t="s">
        <v>143</v>
      </c>
      <c r="R18" s="1">
        <f>IF(vend30[[#This Row],[Nº Venda]]&gt;1,1,0)</f>
        <v>0</v>
      </c>
    </row>
    <row r="19" spans="2:22" ht="15.75" x14ac:dyDescent="0.25">
      <c r="B19" s="29">
        <f>COUNT(entr_carn30[OS])</f>
        <v>0</v>
      </c>
      <c r="C19" s="30">
        <f>SUM(entr_carn30[Valor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  <c r="V21" s="1" t="s">
        <v>126</v>
      </c>
    </row>
    <row r="22" spans="2:22" ht="15.75" x14ac:dyDescent="0.25">
      <c r="B22" s="27" t="s">
        <v>26</v>
      </c>
      <c r="C22" s="31">
        <f>C5</f>
        <v>333.5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22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22" ht="15.75" x14ac:dyDescent="0.25">
      <c r="B26" s="2"/>
      <c r="C26" s="2"/>
      <c r="D26" s="2"/>
      <c r="E26" s="69"/>
      <c r="F26" s="24"/>
      <c r="G26" s="25"/>
      <c r="H26" s="8"/>
      <c r="I26" s="8"/>
      <c r="J26" s="2"/>
      <c r="K26" s="76"/>
      <c r="L26" s="9"/>
      <c r="M26" s="16"/>
    </row>
    <row r="27" spans="2:22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22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22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22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22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/>
      <c r="F35" s="24"/>
      <c r="G35" s="25"/>
      <c r="H35" s="8"/>
      <c r="I35" s="8"/>
      <c r="K35" s="76"/>
      <c r="L35" s="40"/>
      <c r="M35" s="16"/>
    </row>
    <row r="36" spans="2:18" ht="15.75" x14ac:dyDescent="0.25">
      <c r="E36" s="72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11" zoomScale="90" zoomScaleNormal="90" workbookViewId="0">
      <selection activeCell="E23" sqref="E23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8">
        <f>'30'!B1+1</f>
        <v>45688</v>
      </c>
      <c r="L1" s="80" t="s">
        <v>141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1280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954</v>
      </c>
      <c r="D6" s="2"/>
      <c r="E6" s="69">
        <v>4749</v>
      </c>
      <c r="F6" s="24" t="s">
        <v>212</v>
      </c>
      <c r="G6" s="25" t="s">
        <v>10</v>
      </c>
      <c r="H6" s="8">
        <v>430</v>
      </c>
      <c r="I6" s="8">
        <v>115</v>
      </c>
      <c r="J6" s="2"/>
      <c r="K6" s="24"/>
      <c r="L6" s="9"/>
      <c r="M6" s="16"/>
      <c r="R6" s="1">
        <f>IF(vend31[[#This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9">
        <v>4750</v>
      </c>
      <c r="F7" s="24" t="s">
        <v>212</v>
      </c>
      <c r="G7" s="25" t="s">
        <v>10</v>
      </c>
      <c r="H7" s="8">
        <v>850</v>
      </c>
      <c r="I7" s="8">
        <v>100</v>
      </c>
      <c r="J7" s="2"/>
      <c r="K7" s="24"/>
      <c r="L7" s="9"/>
      <c r="M7" s="16"/>
      <c r="R7" s="1">
        <f>IF(vend31[[#This Row],[Nº Venda]]&gt;1,1,0)</f>
        <v>1</v>
      </c>
    </row>
    <row r="8" spans="2:18" ht="15.75" x14ac:dyDescent="0.25">
      <c r="B8" s="27" t="s">
        <v>21</v>
      </c>
      <c r="C8" s="28">
        <f>SUM(C6:C7)</f>
        <v>954</v>
      </c>
      <c r="D8" s="2"/>
      <c r="E8" s="69"/>
      <c r="F8" s="24"/>
      <c r="G8" s="25"/>
      <c r="H8" s="8"/>
      <c r="I8" s="8"/>
      <c r="J8" s="2"/>
      <c r="K8" s="24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69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104" t="s">
        <v>5</v>
      </c>
      <c r="C10" s="104"/>
      <c r="D10" s="2"/>
      <c r="E10" s="69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649</v>
      </c>
      <c r="D11" s="2"/>
      <c r="E11" s="6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9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9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IF(vend31[[#This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29" t="s">
        <v>10</v>
      </c>
      <c r="C15" s="30">
        <f t="shared" si="0"/>
        <v>305</v>
      </c>
      <c r="D15" s="2"/>
      <c r="E15" s="69"/>
      <c r="F15" s="24"/>
      <c r="G15" s="25"/>
      <c r="H15" s="8"/>
      <c r="I15" s="8"/>
      <c r="J15" s="2"/>
      <c r="K15" s="76"/>
      <c r="L15" s="9"/>
      <c r="M15" s="16"/>
      <c r="R15" s="1">
        <f>IF(vend31[[#This Row],[Nº Venda]]&gt;1,1,0)</f>
        <v>0</v>
      </c>
    </row>
    <row r="16" spans="2:18" ht="15.75" x14ac:dyDescent="0.25">
      <c r="B16" s="27" t="s">
        <v>11</v>
      </c>
      <c r="C16" s="31">
        <f>SUM(C11:C15)</f>
        <v>954</v>
      </c>
      <c r="D16" s="2"/>
      <c r="E16" s="69"/>
      <c r="F16" s="24"/>
      <c r="G16" s="25"/>
      <c r="H16" s="8"/>
      <c r="I16" s="8"/>
      <c r="J16" s="2"/>
      <c r="K16" s="76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69"/>
      <c r="F17" s="24"/>
      <c r="G17" s="25"/>
      <c r="H17" s="8"/>
      <c r="I17" s="8"/>
      <c r="J17" s="2"/>
      <c r="K17" s="76"/>
      <c r="L17" s="9"/>
      <c r="M17" s="16"/>
      <c r="R17" s="1">
        <f>IF(vend31[[#This Row],[Nº Venda]]&gt;1,1,0)</f>
        <v>0</v>
      </c>
    </row>
    <row r="18" spans="2:18" ht="15.75" x14ac:dyDescent="0.25">
      <c r="B18" s="104" t="s">
        <v>12</v>
      </c>
      <c r="C18" s="104"/>
      <c r="D18" s="2"/>
      <c r="E18" s="69"/>
      <c r="F18" s="24"/>
      <c r="G18" s="25"/>
      <c r="H18" s="8"/>
      <c r="I18" s="8"/>
      <c r="J18" s="2"/>
      <c r="K18" s="76"/>
      <c r="L18" s="9"/>
      <c r="M18" s="16"/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69"/>
      <c r="F19" s="24"/>
      <c r="G19" s="25"/>
      <c r="H19" s="8"/>
      <c r="I19" s="8"/>
      <c r="J19" s="2"/>
      <c r="K19" s="76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9"/>
      <c r="F20" s="25"/>
      <c r="G20" s="25"/>
      <c r="H20" s="8"/>
      <c r="I20" s="8"/>
      <c r="J20" s="2"/>
      <c r="K20" s="76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69"/>
      <c r="F21" s="24"/>
      <c r="G21" s="25"/>
      <c r="H21" s="8"/>
      <c r="I21" s="8"/>
      <c r="J21" s="2"/>
      <c r="K21" s="76"/>
      <c r="L21" s="9"/>
      <c r="M21" s="16"/>
    </row>
    <row r="22" spans="2:18" ht="15.75" x14ac:dyDescent="0.25">
      <c r="B22" s="27" t="s">
        <v>26</v>
      </c>
      <c r="C22" s="31">
        <f>C5</f>
        <v>1280</v>
      </c>
      <c r="D22" s="2"/>
      <c r="E22" s="69"/>
      <c r="F22" s="24"/>
      <c r="G22" s="25"/>
      <c r="H22" s="8"/>
      <c r="I22" s="8"/>
      <c r="J22" s="2"/>
      <c r="K22" s="76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6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76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6"/>
      <c r="L25" s="9"/>
      <c r="M25" s="16"/>
    </row>
    <row r="26" spans="2:18" ht="15.75" x14ac:dyDescent="0.25">
      <c r="B26" s="2"/>
      <c r="C26" s="2"/>
      <c r="D26" s="2"/>
      <c r="E26" s="69">
        <v>4688</v>
      </c>
      <c r="F26" s="24" t="s">
        <v>214</v>
      </c>
      <c r="G26" s="25" t="s">
        <v>6</v>
      </c>
      <c r="H26" s="8"/>
      <c r="I26" s="8">
        <v>649</v>
      </c>
      <c r="J26" s="2"/>
      <c r="K26" s="76"/>
      <c r="L26" s="9"/>
      <c r="M26" s="16"/>
    </row>
    <row r="27" spans="2:18" ht="15.75" x14ac:dyDescent="0.25">
      <c r="B27" s="2"/>
      <c r="C27" s="2"/>
      <c r="D27" s="2"/>
      <c r="E27" s="69"/>
      <c r="F27" s="24"/>
      <c r="G27" s="25"/>
      <c r="H27" s="8"/>
      <c r="I27" s="8"/>
      <c r="J27" s="2"/>
      <c r="K27" s="76"/>
      <c r="L27" s="9"/>
      <c r="M27" s="16"/>
    </row>
    <row r="28" spans="2:18" ht="15.75" x14ac:dyDescent="0.25">
      <c r="B28" s="2"/>
      <c r="C28" s="2"/>
      <c r="D28" s="2"/>
      <c r="E28" s="69"/>
      <c r="F28" s="24"/>
      <c r="G28" s="25"/>
      <c r="H28" s="8"/>
      <c r="I28" s="8"/>
      <c r="J28" s="2"/>
      <c r="K28" s="76"/>
      <c r="L28" s="9"/>
      <c r="M28" s="16"/>
    </row>
    <row r="29" spans="2:18" ht="15.75" x14ac:dyDescent="0.25">
      <c r="B29" s="2"/>
      <c r="C29" s="2"/>
      <c r="D29" s="2"/>
      <c r="E29" s="69"/>
      <c r="F29" s="24"/>
      <c r="G29" s="25"/>
      <c r="H29" s="8"/>
      <c r="I29" s="8"/>
      <c r="J29" s="2"/>
      <c r="K29" s="76"/>
      <c r="L29" s="9"/>
      <c r="M29" s="16"/>
    </row>
    <row r="30" spans="2:18" ht="15.75" x14ac:dyDescent="0.25">
      <c r="B30" s="2"/>
      <c r="C30" s="2"/>
      <c r="D30" s="2"/>
      <c r="E30" s="69"/>
      <c r="F30" s="38"/>
      <c r="G30" s="25"/>
      <c r="H30" s="8"/>
      <c r="I30" s="8"/>
      <c r="J30" s="2"/>
      <c r="K30" s="76"/>
      <c r="L30" s="9"/>
      <c r="M30" s="16"/>
    </row>
    <row r="31" spans="2:18" ht="15.75" x14ac:dyDescent="0.25">
      <c r="B31" s="2"/>
      <c r="C31" s="2"/>
      <c r="D31" s="2"/>
      <c r="E31" s="70"/>
      <c r="F31" s="35"/>
      <c r="G31" s="36"/>
      <c r="H31" s="17"/>
      <c r="I31" s="17"/>
      <c r="J31" s="2"/>
      <c r="K31" s="76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9">
        <v>4619</v>
      </c>
      <c r="F35" s="24" t="s">
        <v>213</v>
      </c>
      <c r="G35" s="25" t="s">
        <v>10</v>
      </c>
      <c r="H35" s="8">
        <v>90</v>
      </c>
      <c r="I35" s="8" t="s">
        <v>77</v>
      </c>
      <c r="K35" s="76"/>
      <c r="L35" s="40"/>
      <c r="M35" s="16"/>
    </row>
    <row r="36" spans="2:18" ht="15.75" x14ac:dyDescent="0.25">
      <c r="E36" s="72"/>
      <c r="F36" s="24"/>
      <c r="G36" s="25"/>
      <c r="H36" s="8"/>
      <c r="I36" s="8"/>
      <c r="K36" s="76"/>
      <c r="L36" s="40"/>
      <c r="M36" s="16"/>
    </row>
    <row r="37" spans="2:18" ht="15.75" x14ac:dyDescent="0.25">
      <c r="E37" s="69"/>
      <c r="F37" s="24"/>
      <c r="G37" s="25"/>
      <c r="H37" s="8"/>
      <c r="I37" s="8"/>
      <c r="K37" s="76"/>
      <c r="L37" s="40"/>
      <c r="M37" s="16"/>
    </row>
    <row r="38" spans="2:18" ht="15.75" x14ac:dyDescent="0.25">
      <c r="E38" s="69"/>
      <c r="F38" s="24"/>
      <c r="G38" s="25"/>
      <c r="H38" s="8"/>
      <c r="I38" s="8"/>
      <c r="K38" s="76"/>
      <c r="L38" s="40"/>
      <c r="M38" s="16"/>
    </row>
    <row r="39" spans="2:18" ht="15.75" x14ac:dyDescent="0.25">
      <c r="E39" s="69"/>
      <c r="F39" s="38"/>
      <c r="G39" s="25"/>
      <c r="H39" s="8"/>
      <c r="I39" s="8"/>
      <c r="K39" s="76"/>
      <c r="L39" s="40"/>
      <c r="M39" s="16"/>
    </row>
    <row r="40" spans="2:18" ht="15.75" x14ac:dyDescent="0.25">
      <c r="E40" s="70"/>
      <c r="F40" s="35"/>
      <c r="G40" s="36"/>
      <c r="H40" s="17"/>
      <c r="I40" s="8"/>
      <c r="K40" s="77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71"/>
      <c r="F41" s="38"/>
      <c r="G41" s="25"/>
      <c r="H41" s="8"/>
      <c r="I41" s="8"/>
      <c r="K41" s="76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140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6</vt:i4>
      </vt:variant>
    </vt:vector>
  </HeadingPairs>
  <TitlesOfParts>
    <vt:vector size="40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2025-10-17T19:54:46Z</cp:lastPrinted>
  <dcterms:created xsi:type="dcterms:W3CDTF">2004-04-07T20:43:43Z</dcterms:created>
  <dcterms:modified xsi:type="dcterms:W3CDTF">2025-10-17T19:58:21Z</dcterms:modified>
  <cp:category/>
  <cp:contentStatus/>
</cp:coreProperties>
</file>