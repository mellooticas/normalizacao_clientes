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comments1.xml" ContentType="application/vnd.openxmlformats-officedocument.spreadsheetml.comments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56" documentId="13_ncr:1_{620B91A3-3C2D-4B3A-9BEE-F1B28CBEA33F}" xr6:coauthVersionLast="47" xr6:coauthVersionMax="47" xr10:uidLastSave="{657EA663-D7A0-4B41-A88F-39DF5809FAB7}"/>
  <bookViews>
    <workbookView xWindow="-120" yWindow="-120" windowWidth="29040" windowHeight="15840" tabRatio="895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2" l="1"/>
  <c r="C6" i="177"/>
  <c r="C6" i="184"/>
  <c r="C6" i="186"/>
  <c r="C6" i="188"/>
  <c r="C6" i="199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2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C16" i="188"/>
  <c r="O11" i="188" s="1"/>
  <c r="C16" i="185"/>
  <c r="C8" i="177"/>
  <c r="C16" i="198"/>
  <c r="C16" i="199"/>
  <c r="O11" i="199" s="1"/>
  <c r="C16" i="192"/>
  <c r="C16" i="197"/>
  <c r="C16" i="194"/>
  <c r="C16" i="195"/>
  <c r="C16" i="193"/>
  <c r="C16" i="191"/>
  <c r="C16" i="190"/>
  <c r="C16" i="187"/>
  <c r="C16" i="186"/>
  <c r="O11" i="186" s="1"/>
  <c r="C16" i="184"/>
  <c r="O11" i="184" s="1"/>
  <c r="C8" i="184"/>
  <c r="C16" i="179"/>
  <c r="C16" i="181"/>
  <c r="C16" i="183"/>
  <c r="C16" i="182"/>
  <c r="C16" i="180"/>
  <c r="C16" i="176"/>
  <c r="C16" i="177"/>
  <c r="O11" i="177" s="1"/>
  <c r="C16" i="178"/>
  <c r="C16" i="172"/>
  <c r="O11" i="172" s="1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96"/>
  <c r="C6" i="196"/>
  <c r="C8" i="196" s="1"/>
  <c r="O11" i="192"/>
  <c r="C6" i="192"/>
  <c r="C8" i="192" s="1"/>
  <c r="O11" i="197"/>
  <c r="C6" i="197"/>
  <c r="C8" i="197" s="1"/>
  <c r="O11" i="194"/>
  <c r="C6" i="194"/>
  <c r="C8" i="194" s="1"/>
  <c r="O11" i="193"/>
  <c r="C6" i="193"/>
  <c r="C8" i="193" s="1"/>
  <c r="O11" i="191"/>
  <c r="C6" i="191"/>
  <c r="C8" i="191" s="1"/>
  <c r="O11" i="190"/>
  <c r="C6" i="190"/>
  <c r="C8" i="190" s="1"/>
  <c r="O11" i="189"/>
  <c r="C6" i="189"/>
  <c r="C8" i="189" s="1"/>
  <c r="O11" i="187"/>
  <c r="C6" i="187"/>
  <c r="C8" i="187" s="1"/>
  <c r="O11" i="185"/>
  <c r="C6" i="185"/>
  <c r="C8" i="185" s="1"/>
  <c r="O11" i="179"/>
  <c r="C6" i="179"/>
  <c r="C8" i="179" s="1"/>
  <c r="O11" i="181"/>
  <c r="C6" i="181"/>
  <c r="C8" i="181" s="1"/>
  <c r="O11" i="183"/>
  <c r="C6" i="183"/>
  <c r="C8" i="183" s="1"/>
  <c r="O11" i="182"/>
  <c r="C6" i="182"/>
  <c r="C8" i="182" s="1"/>
  <c r="O11" i="180"/>
  <c r="C6" i="180"/>
  <c r="C8" i="180" s="1"/>
  <c r="O11" i="176"/>
  <c r="C6" i="176"/>
  <c r="C8" i="176" s="1"/>
  <c r="O11" i="178"/>
  <c r="C6" i="178"/>
  <c r="C8" i="178" s="1"/>
  <c r="O11" i="170"/>
  <c r="C6" i="170"/>
  <c r="C8" i="170" s="1"/>
  <c r="O11" i="171"/>
  <c r="C6" i="171"/>
  <c r="C8" i="171" s="1"/>
  <c r="O11" i="173"/>
  <c r="C6" i="173"/>
  <c r="C8" i="173" s="1"/>
  <c r="O11" i="174"/>
  <c r="C6" i="174"/>
  <c r="C8" i="174" s="1"/>
  <c r="O11" i="175"/>
  <c r="C6" i="175"/>
  <c r="C8" i="175" s="1"/>
  <c r="O11" i="195"/>
  <c r="C6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Aline Cristina</author>
  </authors>
  <commentList>
    <comment ref="H8" authorId="0" shapeId="0" xr:uid="{F04A6BD7-4729-4B68-9971-39C9EDEC316C}">
      <text>
        <r>
          <rPr>
            <b/>
            <sz val="9"/>
            <color indexed="81"/>
            <rFont val="Segoe UI"/>
            <charset val="1"/>
          </rPr>
          <t>Aline Cristina:</t>
        </r>
        <r>
          <rPr>
            <sz val="9"/>
            <color indexed="81"/>
            <rFont val="Segoe UI"/>
            <charset val="1"/>
          </rPr>
          <t xml:space="preserve">
Valor da venda: R$ 150,00
Entrada: R$ 150,00</t>
        </r>
      </text>
    </comment>
  </commentList>
</comments>
</file>

<file path=xl/sharedStrings.xml><?xml version="1.0" encoding="utf-8"?>
<sst xmlns="http://schemas.openxmlformats.org/spreadsheetml/2006/main" count="1936" uniqueCount="236">
  <si>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</si>
  <si>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</si>
  <si>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</si>
  <si>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</si>
  <si>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</si>
  <si>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</si>
  <si>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</si>
  <si>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</si>
  <si>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</si>
  <si>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</si>
  <si>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</si>
  <si>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</si>
  <si>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</si>
  <si>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</si>
  <si>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</si>
  <si>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</si>
  <si>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</si>
  <si>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</si>
  <si>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</si>
  <si>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</si>
  <si>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</si>
  <si>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</si>
  <si>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</si>
  <si>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</si>
  <si>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</si>
  <si>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</si>
  <si>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</si>
  <si>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</si>
  <si>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</si>
  <si>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</si>
  <si>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</si>
  <si>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</si>
  <si>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</si>
  <si>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</si>
  <si>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</si>
  <si>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</si>
  <si>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</si>
  <si>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</si>
  <si>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</si>
  <si>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</si>
  <si>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</si>
  <si>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</si>
  <si>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</si>
  <si>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</si>
  <si>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</si>
  <si>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</si>
  <si>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</si>
  <si>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</si>
  <si>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</si>
  <si>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</si>
  <si>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</si>
  <si>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</si>
  <si>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</si>
  <si>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</si>
  <si>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</si>
  <si>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</si>
  <si>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</si>
  <si>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</si>
  <si>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</si>
  <si>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</si>
  <si>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</si>
  <si>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</si>
  <si>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</si>
  <si>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</si>
  <si>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</si>
  <si>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</si>
  <si>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</si>
  <si>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</si>
  <si>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</si>
  <si>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</si>
  <si>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</si>
  <si>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</si>
  <si>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</si>
  <si>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</si>
  <si>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</si>
  <si>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</si>
  <si>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</si>
  <si>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</si>
  <si>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</si>
  <si>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</si>
  <si>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</si>
  <si>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</si>
  <si>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</si>
  <si>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</si>
  <si>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</si>
  <si>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</si>
  <si>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</si>
  <si>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</si>
  <si>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</si>
  <si>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</si>
  <si>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</si>
  <si>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</si>
  <si>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</si>
  <si>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</si>
  <si>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</si>
  <si>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</si>
  <si>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</si>
  <si>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</si>
  <si>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</si>
  <si>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</si>
  <si>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</si>
  <si>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</si>
  <si>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</si>
  <si>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</si>
  <si>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</si>
  <si>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</si>
  <si>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</si>
  <si>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</si>
  <si>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</si>
  <si>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</si>
  <si>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</si>
  <si>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</si>
  <si>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</si>
  <si>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</si>
  <si>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</si>
  <si>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</si>
  <si>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</si>
  <si>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</si>
  <si>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</si>
  <si>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</si>
  <si>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</si>
  <si>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</si>
  <si>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</si>
  <si>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</si>
  <si>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</si>
  <si>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</si>
  <si>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</si>
  <si>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</si>
  <si>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</si>
  <si>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</si>
  <si>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</si>
  <si>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</si>
  <si>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</si>
  <si>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</si>
  <si>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</si>
  <si>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</si>
  <si>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</si>
  <si>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</si>
  <si>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</si>
  <si>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</si>
  <si>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</si>
  <si>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</si>
  <si>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lucimar maria de souza</t>
  </si>
  <si>
    <t>abraao jose da silva</t>
  </si>
  <si>
    <t>ERIKA ALMEIDA SALES</t>
  </si>
  <si>
    <t>Não</t>
  </si>
  <si>
    <t>ANTONIO JOSE DESIDERIO</t>
  </si>
  <si>
    <t>MARIA APARECIDA FRANCISCO</t>
  </si>
  <si>
    <t>VANI REGINA TALARICO</t>
  </si>
  <si>
    <t>neuly de almeida</t>
  </si>
  <si>
    <t>juberleide alves almeida</t>
  </si>
  <si>
    <t xml:space="preserve">nair aparecida </t>
  </si>
  <si>
    <t>juberneide alves de almeida</t>
  </si>
  <si>
    <t>gilson pereira</t>
  </si>
  <si>
    <t>ivonete souza soares</t>
  </si>
  <si>
    <t xml:space="preserve">angela </t>
  </si>
  <si>
    <t>GABRIELLE ADAO</t>
  </si>
  <si>
    <t>ISABELLA OMETTO</t>
  </si>
  <si>
    <t>JULIA FRANZE</t>
  </si>
  <si>
    <t>SILVANIA PEREIRA</t>
  </si>
  <si>
    <t>DANIELLE ANDRADE GUERRINO</t>
  </si>
  <si>
    <t>ELIAS DIAS</t>
  </si>
  <si>
    <t>LEONARDO DE LIMA</t>
  </si>
  <si>
    <t>GLICERIA CORDEIRO</t>
  </si>
  <si>
    <t>MARIA AUXILIADORA</t>
  </si>
  <si>
    <t>ELIANE ALVES</t>
  </si>
  <si>
    <t>CLAUDEMIR SILVA</t>
  </si>
  <si>
    <t>JOSE JOAO SOUZA</t>
  </si>
  <si>
    <t>MOACIR LUIZ</t>
  </si>
  <si>
    <t>NILTON VICENTE</t>
  </si>
  <si>
    <t>maria de lourdes</t>
  </si>
  <si>
    <t>IRACELIO ALVES</t>
  </si>
  <si>
    <t>gabriel cardoso de oliveira</t>
  </si>
  <si>
    <t>gilberto brandao</t>
  </si>
  <si>
    <t>silvania pereira</t>
  </si>
  <si>
    <t>jaqueline dos santos</t>
  </si>
  <si>
    <t>maria de jesus</t>
  </si>
  <si>
    <t>hilda de jesus</t>
  </si>
  <si>
    <t>maria lucia calado</t>
  </si>
  <si>
    <t>MARIA AUZENI</t>
  </si>
  <si>
    <t>RAQUEL RIBEIRO</t>
  </si>
  <si>
    <t>jose osmar</t>
  </si>
  <si>
    <t>Sim</t>
  </si>
  <si>
    <t>maria da conceiçao</t>
  </si>
  <si>
    <t>nilma de araujo</t>
  </si>
  <si>
    <t>paulo lopes dos santos</t>
  </si>
  <si>
    <t>ercy aparecida</t>
  </si>
  <si>
    <t xml:space="preserve">AVANILDO SILVA </t>
  </si>
  <si>
    <t>GISLENE ALVES</t>
  </si>
  <si>
    <t>NAIR APARECIDA</t>
  </si>
  <si>
    <t>EDINETE DOS SANTOS</t>
  </si>
  <si>
    <t>FABIO MARTINS</t>
  </si>
  <si>
    <t>ZIBIA PESSOA</t>
  </si>
  <si>
    <t>maria nazare</t>
  </si>
  <si>
    <t>messias jacob</t>
  </si>
  <si>
    <t>eliane alves de lima</t>
  </si>
  <si>
    <t>celma luiza</t>
  </si>
  <si>
    <t>jhonatha custodio</t>
  </si>
  <si>
    <t>tatiane custodio</t>
  </si>
  <si>
    <t>jose leoncio</t>
  </si>
  <si>
    <t>rosa maria</t>
  </si>
  <si>
    <t>Tatiane Custódio</t>
  </si>
  <si>
    <t xml:space="preserve">jose osmar </t>
  </si>
  <si>
    <t>fabiana chaves</t>
  </si>
  <si>
    <t>bernardete santos</t>
  </si>
  <si>
    <t>lucimar maria</t>
  </si>
  <si>
    <t>francisca de carvalho</t>
  </si>
  <si>
    <t xml:space="preserve">ivone siqueira </t>
  </si>
  <si>
    <t>avanildo silva</t>
  </si>
  <si>
    <t>BERNARDETE SANTOS</t>
  </si>
  <si>
    <t xml:space="preserve">ALDIMEIA PEREIRA </t>
  </si>
  <si>
    <t xml:space="preserve">MARILDA GUERREIRO </t>
  </si>
  <si>
    <t>robert lahuerta</t>
  </si>
  <si>
    <t>vanessa da silva ribeiro</t>
  </si>
  <si>
    <t>Coluna1</t>
  </si>
  <si>
    <t>MARIA NAZARE SANTOS</t>
  </si>
  <si>
    <t>MARIA ELIZABETH</t>
  </si>
  <si>
    <t>Anésio do Nascimento</t>
  </si>
  <si>
    <t>adoaldo ferreira bispo</t>
  </si>
  <si>
    <t>antonio mauricio</t>
  </si>
  <si>
    <t>elenice gonçalves se souza</t>
  </si>
  <si>
    <t>gabriel joaquim</t>
  </si>
  <si>
    <t>wilfrid flerival</t>
  </si>
  <si>
    <t>geovana almeida</t>
  </si>
  <si>
    <t xml:space="preserve">DARLI FERDAN DA CUNHA </t>
  </si>
  <si>
    <t>NEUSA BERNARDI</t>
  </si>
  <si>
    <t xml:space="preserve">GILBERTO APARECIDO </t>
  </si>
  <si>
    <t>TAYNARA CRISTINA</t>
  </si>
  <si>
    <t>ODILIA BRAZ DE ANDRADE</t>
  </si>
  <si>
    <t>CANCELADO</t>
  </si>
  <si>
    <t>Diogo Fabiano</t>
  </si>
  <si>
    <t>EGNALDO MARCIAL DE BARROS</t>
  </si>
  <si>
    <t>Maria Luzinete Lopes Gonçalves Sena</t>
  </si>
  <si>
    <t>Neusa Bernardi da Cunha</t>
  </si>
  <si>
    <t>Darli Ferdan da Cunha</t>
  </si>
  <si>
    <t>Milton Carlos Lopes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</si>
</sst>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u/>
      <sz val="11"/>
      <name val="Calibri"/>
      <family val="2"/>
    </font>
    <font>
      <u/>
      <sz val="1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trike/>
      <sz val="12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1" fontId="45" fillId="0" borderId="17" xfId="0" applyNumberFormat="1" applyFont="1" applyBorder="1" applyAlignment="1">
      <alignment horizontal="center"/>
    </xf>
    <xf numFmtId="165" fontId="46" fillId="0" borderId="17" xfId="0" applyNumberFormat="1" applyFont="1" applyBorder="1" applyAlignment="1">
      <alignment horizontal="center"/>
    </xf>
    <xf numFmtId="165" fontId="46" fillId="0" borderId="6" xfId="0" applyNumberFormat="1" applyFont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" fontId="49" fillId="0" borderId="17" xfId="0" applyNumberFormat="1" applyFont="1" applyBorder="1" applyAlignment="1">
      <alignment horizontal="center"/>
    </xf>
    <xf numFmtId="0" fontId="50" fillId="0" borderId="17" xfId="0" applyFont="1" applyBorder="1" applyAlignment="1">
      <alignment horizontal="center"/>
    </xf>
    <xf numFmtId="164" fontId="51" fillId="0" borderId="17" xfId="2" applyFont="1" applyFill="1" applyBorder="1" applyAlignment="1">
      <alignment horizontal="center"/>
    </xf>
    <xf numFmtId="165" fontId="51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Coluna1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3.xml"/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Relationship Id="rId9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69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28154.989999999998</v>
      </c>
      <c r="P3" t="s">
        <v>130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29184.44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7" t="s">
        <v>4</v>
      </c>
      <c r="B6" s="28">
        <f ca="1">SUM(B4:B5)</f>
        <v>29184.44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9" t="s">
        <v>5</v>
      </c>
      <c r="B8" s="109"/>
      <c r="P8" t="s">
        <v>135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2171</v>
      </c>
      <c r="P9" t="s">
        <v>136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2211.08</v>
      </c>
      <c r="P10" t="s">
        <v>137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16932</v>
      </c>
      <c r="P11" t="s">
        <v>138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7870.36</v>
      </c>
      <c r="P13" t="s">
        <v>140</v>
      </c>
    </row>
    <row r="14" spans="1:16" ht="15.75" x14ac:dyDescent="0.25">
      <c r="A14" s="27" t="s">
        <v>11</v>
      </c>
      <c r="B14" s="70">
        <f ca="1">SUM(B9:B13)</f>
        <v>29184.440000000002</v>
      </c>
    </row>
    <row r="15" spans="1:16" ht="15" x14ac:dyDescent="0.25">
      <c r="A15" s="2"/>
      <c r="B15" s="2"/>
    </row>
    <row r="16" spans="1:16" ht="15" x14ac:dyDescent="0.2">
      <c r="A16" s="109" t="s">
        <v>12</v>
      </c>
      <c r="B16" s="109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3699</v>
      </c>
    </row>
    <row r="18" spans="1:2" ht="15.75" x14ac:dyDescent="0.25">
      <c r="A18" s="27" t="s">
        <v>11</v>
      </c>
      <c r="B18" s="70">
        <f>SUM(B17:B17)</f>
        <v>3699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B4" zoomScale="90" zoomScaleNormal="90" workbookViewId="0">
      <selection activeCell="F38" sqref="F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45717</v>
      </c>
    </row>
    <row r="2" spans="2:18" ht="18.75" x14ac:dyDescent="0.2">
      <c r="B2" s="114" t="s">
        <v>127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3229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2726.5</v>
      </c>
      <c r="D6" s="2"/>
      <c r="E6" s="87">
        <v>4801</v>
      </c>
      <c r="F6" s="24" t="s">
        <v>142</v>
      </c>
      <c r="G6" s="25" t="s">
        <v>7</v>
      </c>
      <c r="H6" s="8">
        <v>950</v>
      </c>
      <c r="I6" s="8">
        <v>50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4802</v>
      </c>
      <c r="F7" s="24" t="s">
        <v>143</v>
      </c>
      <c r="G7" s="25" t="s">
        <v>8</v>
      </c>
      <c r="H7" s="8">
        <v>200</v>
      </c>
      <c r="I7" s="8">
        <v>200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2726.5</v>
      </c>
      <c r="D8" s="2"/>
      <c r="E8" s="87">
        <v>4803</v>
      </c>
      <c r="F8" s="24" t="s">
        <v>143</v>
      </c>
      <c r="G8" s="25" t="s">
        <v>8</v>
      </c>
      <c r="H8" s="8">
        <v>1799</v>
      </c>
      <c r="I8" s="8">
        <v>1799</v>
      </c>
      <c r="J8" s="2"/>
      <c r="K8" s="24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87">
        <v>4804</v>
      </c>
      <c r="F9" s="24" t="s">
        <v>143</v>
      </c>
      <c r="G9" s="25" t="s">
        <v>8</v>
      </c>
      <c r="H9" s="8">
        <v>200</v>
      </c>
      <c r="I9" s="8">
        <v>200</v>
      </c>
      <c r="J9" s="2"/>
      <c r="K9" s="24"/>
      <c r="L9" s="9"/>
      <c r="M9" s="16"/>
      <c r="R9" s="1">
        <f>IF(vend1[[#This Row],[Nº Venda]]&gt;1,1,0)</f>
        <v>1</v>
      </c>
    </row>
    <row r="10" spans="2:18" ht="15.75" x14ac:dyDescent="0.25">
      <c r="B10" s="109" t="s">
        <v>5</v>
      </c>
      <c r="C10" s="109"/>
      <c r="D10" s="2"/>
      <c r="E10" s="87">
        <v>4805</v>
      </c>
      <c r="F10" s="24" t="s">
        <v>144</v>
      </c>
      <c r="G10" s="25" t="s">
        <v>7</v>
      </c>
      <c r="H10" s="8">
        <v>40</v>
      </c>
      <c r="I10" s="8">
        <v>40</v>
      </c>
      <c r="J10" s="2"/>
      <c r="K10" s="24"/>
      <c r="L10" s="9"/>
      <c r="M10" s="16"/>
      <c r="R10" s="1">
        <f>IF(vend1[[#This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50</v>
      </c>
      <c r="D11" s="2"/>
      <c r="E11" s="87">
        <v>4806</v>
      </c>
      <c r="F11" s="24" t="s">
        <v>144</v>
      </c>
      <c r="G11" s="25" t="s">
        <v>7</v>
      </c>
      <c r="H11" s="8">
        <v>40</v>
      </c>
      <c r="I11" s="8">
        <v>40</v>
      </c>
      <c r="J11" s="2"/>
      <c r="K11" s="26"/>
      <c r="L11" s="9"/>
      <c r="M11" s="16"/>
      <c r="O11" s="1">
        <f>IF(C16=0,0,1)</f>
        <v>1</v>
      </c>
      <c r="R11" s="1">
        <f>IF(vend1[[#This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280</v>
      </c>
      <c r="D12" s="2"/>
      <c r="E12" s="87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2199</v>
      </c>
      <c r="D13" s="2"/>
      <c r="E13" s="87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7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197.5</v>
      </c>
      <c r="D15" s="2"/>
      <c r="E15" s="87"/>
      <c r="F15" s="24"/>
      <c r="G15" s="25"/>
      <c r="H15" s="8"/>
      <c r="I15" s="8"/>
      <c r="J15" s="2"/>
      <c r="K15" s="94">
        <v>4805</v>
      </c>
      <c r="L15" s="9" t="s">
        <v>133</v>
      </c>
      <c r="M15" s="16" t="s">
        <v>145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2726.5</v>
      </c>
      <c r="D16" s="2"/>
      <c r="E16" s="87"/>
      <c r="F16" s="24"/>
      <c r="G16" s="25"/>
      <c r="H16" s="8"/>
      <c r="I16" s="8"/>
      <c r="J16" s="2"/>
      <c r="K16" s="94">
        <v>4806</v>
      </c>
      <c r="L16" s="9" t="s">
        <v>133</v>
      </c>
      <c r="M16" s="16" t="s">
        <v>145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3229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4698</v>
      </c>
      <c r="F35" s="24" t="s">
        <v>146</v>
      </c>
      <c r="G35" s="25" t="s">
        <v>10</v>
      </c>
      <c r="H35" s="8">
        <v>112.5</v>
      </c>
      <c r="I35" s="8" t="s">
        <v>76</v>
      </c>
      <c r="K35" s="94"/>
      <c r="L35" s="40"/>
      <c r="M35" s="16"/>
    </row>
    <row r="36" spans="2:18" ht="15.75" x14ac:dyDescent="0.25">
      <c r="E36" s="87">
        <v>4619</v>
      </c>
      <c r="F36" s="24" t="s">
        <v>147</v>
      </c>
      <c r="G36" s="25" t="s">
        <v>10</v>
      </c>
      <c r="H36" s="8">
        <v>85</v>
      </c>
      <c r="I36" s="8" t="s">
        <v>41</v>
      </c>
      <c r="K36" s="94"/>
      <c r="L36" s="40"/>
      <c r="M36" s="16"/>
    </row>
    <row r="37" spans="2:18" ht="15.75" x14ac:dyDescent="0.25">
      <c r="E37" s="87">
        <v>4518</v>
      </c>
      <c r="F37" s="24" t="s">
        <v>148</v>
      </c>
      <c r="G37" s="25" t="s">
        <v>7</v>
      </c>
      <c r="H37" s="8">
        <v>150</v>
      </c>
      <c r="I37" s="8" t="s">
        <v>79</v>
      </c>
      <c r="K37" s="94"/>
      <c r="L37" s="40"/>
      <c r="M37" s="16"/>
    </row>
    <row r="38" spans="2:18" ht="15.75" x14ac:dyDescent="0.25">
      <c r="E38" s="87">
        <v>4518</v>
      </c>
      <c r="F38" s="24" t="s">
        <v>148</v>
      </c>
      <c r="G38" s="25" t="s">
        <v>6</v>
      </c>
      <c r="H38" s="8">
        <v>50</v>
      </c>
      <c r="I38" s="8" t="s">
        <v>79</v>
      </c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4" zoomScale="90" zoomScaleNormal="90" workbookViewId="0">
      <selection activeCell="K15" sqref="K15:M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'01'!B1+1</f>
        <v>45718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56"/>
      <c r="G13" s="79"/>
      <c r="H13" s="66"/>
      <c r="I13" s="66"/>
      <c r="J13" s="2"/>
      <c r="K13" s="111" t="s">
        <v>22</v>
      </c>
      <c r="L13" s="112"/>
      <c r="M13" s="113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56"/>
      <c r="G14" s="79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7"/>
      <c r="F35" s="24"/>
      <c r="G35" s="25"/>
      <c r="H35" s="8"/>
      <c r="I35" s="8"/>
      <c r="K35" s="94"/>
      <c r="L35" s="40"/>
      <c r="M35" s="16"/>
    </row>
    <row r="36" spans="2:21" ht="15.75" x14ac:dyDescent="0.25">
      <c r="E36" s="87"/>
      <c r="F36" s="24"/>
      <c r="G36" s="25"/>
      <c r="H36" s="8"/>
      <c r="I36" s="8"/>
      <c r="K36" s="94"/>
      <c r="L36" s="40"/>
      <c r="M36" s="16"/>
    </row>
    <row r="37" spans="2:21" ht="15.75" x14ac:dyDescent="0.25">
      <c r="E37" s="87"/>
      <c r="F37" s="24"/>
      <c r="G37" s="25"/>
      <c r="H37" s="8"/>
      <c r="I37" s="8"/>
      <c r="K37" s="94"/>
      <c r="L37" s="40"/>
      <c r="M37" s="16"/>
    </row>
    <row r="38" spans="2:21" ht="15.75" x14ac:dyDescent="0.25">
      <c r="E38" s="87"/>
      <c r="F38" s="24"/>
      <c r="G38" s="25"/>
      <c r="H38" s="8"/>
      <c r="I38" s="8"/>
      <c r="K38" s="94"/>
      <c r="L38" s="40"/>
      <c r="M38" s="16"/>
    </row>
    <row r="39" spans="2:21" ht="15.75" x14ac:dyDescent="0.25">
      <c r="E39" s="87"/>
      <c r="F39" s="38"/>
      <c r="G39" s="25"/>
      <c r="H39" s="8"/>
      <c r="I39" s="8"/>
      <c r="K39" s="94"/>
      <c r="L39" s="40"/>
      <c r="M39" s="16"/>
    </row>
    <row r="40" spans="2:21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7" zoomScale="90" zoomScaleNormal="90" workbookViewId="0">
      <selection activeCell="E21" sqref="E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45719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1639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1775</v>
      </c>
      <c r="D6" s="2"/>
      <c r="E6" s="87">
        <v>4807</v>
      </c>
      <c r="F6" s="24" t="s">
        <v>150</v>
      </c>
      <c r="G6" s="43" t="s">
        <v>8</v>
      </c>
      <c r="H6" s="8">
        <v>1000</v>
      </c>
      <c r="I6" s="8">
        <v>1000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4808</v>
      </c>
      <c r="F7" s="24" t="s">
        <v>150</v>
      </c>
      <c r="G7" s="43" t="s">
        <v>8</v>
      </c>
      <c r="H7" s="8">
        <v>579</v>
      </c>
      <c r="I7" s="8">
        <v>579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1775</v>
      </c>
      <c r="D8" s="2"/>
      <c r="E8" s="87">
        <v>4809</v>
      </c>
      <c r="F8" s="24" t="s">
        <v>150</v>
      </c>
      <c r="G8" s="25" t="s">
        <v>8</v>
      </c>
      <c r="H8" s="8">
        <v>20</v>
      </c>
      <c r="I8" s="8">
        <v>20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87">
        <v>4810</v>
      </c>
      <c r="F9" s="24" t="s">
        <v>149</v>
      </c>
      <c r="G9" s="25" t="s">
        <v>7</v>
      </c>
      <c r="H9" s="8">
        <v>40</v>
      </c>
      <c r="I9" s="8">
        <v>40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136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</v>
      </c>
      <c r="D12" s="2"/>
      <c r="E12" s="87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1599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8">
        <v>4810</v>
      </c>
      <c r="L15" s="99" t="s">
        <v>133</v>
      </c>
      <c r="M15" s="100" t="s">
        <v>145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1775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IF(vend3[[#This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1639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43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4764</v>
      </c>
      <c r="F35" s="24" t="s">
        <v>151</v>
      </c>
      <c r="G35" s="25" t="s">
        <v>6</v>
      </c>
      <c r="H35" s="8">
        <v>136</v>
      </c>
      <c r="I35" s="8" t="s">
        <v>39</v>
      </c>
      <c r="K35" s="94"/>
      <c r="L35" s="40"/>
      <c r="M35" s="16"/>
    </row>
    <row r="36" spans="2:18" ht="15.75" x14ac:dyDescent="0.25">
      <c r="E36" s="87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E35:E41 E26:E31 E6:E22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" zoomScale="90" zoomScaleNormal="9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45720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/>
      <c r="L15" s="9"/>
      <c r="M15" s="54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4"/>
      <c r="L16" s="9"/>
      <c r="M16" s="54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54"/>
      <c r="R17" s="1">
        <f>IF(vend4[[#This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43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43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43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87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C1" zoomScale="90" zoomScaleNormal="9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'04'!B1+1</f>
        <v>45721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1839.99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2081.9899999999998</v>
      </c>
      <c r="D6" s="2"/>
      <c r="E6" s="87">
        <v>4811</v>
      </c>
      <c r="F6" s="24" t="s">
        <v>152</v>
      </c>
      <c r="G6" s="8" t="s">
        <v>7</v>
      </c>
      <c r="H6" s="96">
        <v>199.99</v>
      </c>
      <c r="I6" s="8">
        <v>199.99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4812</v>
      </c>
      <c r="F7" s="24" t="s">
        <v>153</v>
      </c>
      <c r="G7" s="25" t="s">
        <v>8</v>
      </c>
      <c r="H7" s="8">
        <v>150</v>
      </c>
      <c r="I7" s="8">
        <v>150</v>
      </c>
      <c r="J7" s="2"/>
      <c r="K7" s="24"/>
      <c r="L7" s="9"/>
      <c r="M7" s="16"/>
      <c r="R7" s="1">
        <f>IF(vend5[[#This Row],[Nº Venda]]&gt;1,1,0)</f>
        <v>1</v>
      </c>
    </row>
    <row r="8" spans="2:18" ht="15.75" x14ac:dyDescent="0.25">
      <c r="B8" s="27" t="s">
        <v>21</v>
      </c>
      <c r="C8" s="28">
        <f>SUM(C6:C7)</f>
        <v>2081.9899999999998</v>
      </c>
      <c r="D8" s="2"/>
      <c r="E8" s="87">
        <v>4813</v>
      </c>
      <c r="F8" s="24" t="s">
        <v>154</v>
      </c>
      <c r="G8" s="25" t="s">
        <v>8</v>
      </c>
      <c r="H8" s="8">
        <v>1490</v>
      </c>
      <c r="I8" s="8">
        <v>1490</v>
      </c>
      <c r="J8" s="2"/>
      <c r="K8" s="24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97"/>
      <c r="G10" s="25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199.99</v>
      </c>
      <c r="D12" s="2"/>
      <c r="E12" s="87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1640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242</v>
      </c>
      <c r="D15" s="2"/>
      <c r="E15" s="87"/>
      <c r="F15" s="24"/>
      <c r="G15" s="25"/>
      <c r="H15" s="8"/>
      <c r="I15" s="8"/>
      <c r="J15" s="2"/>
      <c r="K15" s="94">
        <v>4812</v>
      </c>
      <c r="L15" s="9" t="s">
        <v>133</v>
      </c>
      <c r="M15" s="16" t="s">
        <v>145</v>
      </c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2081.9899999999998</v>
      </c>
      <c r="D16" s="2"/>
      <c r="E16" s="87"/>
      <c r="F16" s="24"/>
      <c r="G16" s="25"/>
      <c r="H16" s="8"/>
      <c r="I16" s="8"/>
      <c r="J16" s="2"/>
      <c r="K16" s="94"/>
      <c r="L16" s="9"/>
      <c r="M16" s="58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IF(vend5[[#This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1839.99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43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43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43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4696</v>
      </c>
      <c r="F35" s="24" t="s">
        <v>155</v>
      </c>
      <c r="G35" s="25" t="s">
        <v>10</v>
      </c>
      <c r="H35" s="8">
        <v>242</v>
      </c>
      <c r="I35" s="8" t="s">
        <v>53</v>
      </c>
      <c r="K35" s="94"/>
      <c r="L35" s="40"/>
      <c r="M35" s="16"/>
    </row>
    <row r="36" spans="2:18" ht="15.75" x14ac:dyDescent="0.25">
      <c r="E36" s="87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76"/>
      <c r="G37" s="77"/>
      <c r="H37" s="78"/>
      <c r="I37" s="7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 M15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E35:E41 E26:E31 E6:E22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C4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45722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549.87</v>
      </c>
      <c r="D6" s="2"/>
      <c r="E6" s="87">
        <v>4814</v>
      </c>
      <c r="F6" s="24" t="s">
        <v>156</v>
      </c>
      <c r="G6" s="25" t="s">
        <v>6</v>
      </c>
      <c r="H6" s="8">
        <v>500</v>
      </c>
      <c r="I6" s="8">
        <v>100</v>
      </c>
      <c r="J6" s="2"/>
      <c r="K6" s="24"/>
      <c r="L6" s="9"/>
      <c r="M6" s="16"/>
      <c r="R6" s="1">
        <f>IF(vend[[#This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4815</v>
      </c>
      <c r="F7" s="24" t="s">
        <v>157</v>
      </c>
      <c r="G7" s="25" t="s">
        <v>40</v>
      </c>
      <c r="H7" s="8">
        <v>0</v>
      </c>
      <c r="I7" s="8">
        <v>0</v>
      </c>
      <c r="J7" s="2"/>
      <c r="K7" s="24"/>
      <c r="L7" s="9"/>
      <c r="M7" s="16"/>
      <c r="R7" s="1">
        <f>IF(vend[[#This Row],[Nº Venda]]&gt;1,1,0)</f>
        <v>1</v>
      </c>
    </row>
    <row r="8" spans="2:18" ht="15.75" x14ac:dyDescent="0.25">
      <c r="B8" s="27" t="s">
        <v>21</v>
      </c>
      <c r="C8" s="28">
        <f>SUM(C6:C7)</f>
        <v>549.87</v>
      </c>
      <c r="D8" s="2"/>
      <c r="E8" s="87">
        <v>4816</v>
      </c>
      <c r="F8" s="24" t="s">
        <v>158</v>
      </c>
      <c r="G8" s="25" t="s">
        <v>10</v>
      </c>
      <c r="H8" s="8">
        <v>150</v>
      </c>
      <c r="I8" s="8">
        <v>150</v>
      </c>
      <c r="J8" s="2"/>
      <c r="K8" s="24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87">
        <v>4817</v>
      </c>
      <c r="F9" s="24" t="s">
        <v>159</v>
      </c>
      <c r="G9" s="25" t="s">
        <v>10</v>
      </c>
      <c r="H9" s="8">
        <v>1000</v>
      </c>
      <c r="I9" s="8">
        <v>50</v>
      </c>
      <c r="J9" s="2"/>
      <c r="K9" s="24"/>
      <c r="L9" s="9"/>
      <c r="M9" s="16"/>
      <c r="R9" s="1">
        <f>IF(vend[[#This Row],[Nº Venda]]&gt;1,1,0)</f>
        <v>1</v>
      </c>
    </row>
    <row r="10" spans="2:18" ht="15.75" x14ac:dyDescent="0.25">
      <c r="B10" s="109" t="s">
        <v>5</v>
      </c>
      <c r="C10" s="109"/>
      <c r="D10" s="2"/>
      <c r="E10" s="87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(SUMIF($G$2:$G$31,B11,$I$2:$I$31))+(SUMIF($G$35:$G$41,B11,$H$35:$H$41))</f>
        <v>100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(SUMIF($G$2:$G$31,B13,$I$2:$I$31))+(SUMIF($G$35:$G$41,B13,$H$35:$H$41))</f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(SUMIF($G$2:$G$31,B14,$I$2:$I$31))+(SUMIF($G$35:$G$41,B14,$H$35:$H$41))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(SUMIF($G$2:$G$31,B15,$I$2:$I$31))+(SUMIF($G$35:$G$41,B15,$H$35:$H$41))</f>
        <v>449.87</v>
      </c>
      <c r="D15" s="2"/>
      <c r="E15" s="87"/>
      <c r="F15" s="24"/>
      <c r="G15" s="25"/>
      <c r="H15" s="8"/>
      <c r="I15" s="8"/>
      <c r="J15" s="2"/>
      <c r="K15" s="94">
        <v>4789</v>
      </c>
      <c r="L15" s="9" t="s">
        <v>133</v>
      </c>
      <c r="M15" s="16" t="s">
        <v>145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549.87</v>
      </c>
      <c r="D16" s="2"/>
      <c r="E16" s="87"/>
      <c r="F16" s="24"/>
      <c r="G16" s="25"/>
      <c r="H16" s="8"/>
      <c r="I16" s="8"/>
      <c r="J16" s="2"/>
      <c r="K16" s="94">
        <v>4684</v>
      </c>
      <c r="L16" s="9" t="s">
        <v>133</v>
      </c>
      <c r="M16" s="16" t="s">
        <v>145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>
        <v>4788</v>
      </c>
      <c r="L17" s="9" t="s">
        <v>133</v>
      </c>
      <c r="M17" s="16" t="s">
        <v>145</v>
      </c>
      <c r="R17" s="1">
        <f>IF(vend[[#This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>
        <v>4767</v>
      </c>
      <c r="L18" s="9" t="s">
        <v>133</v>
      </c>
      <c r="M18" s="16" t="s">
        <v>145</v>
      </c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1650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4147</v>
      </c>
      <c r="F35" s="24" t="s">
        <v>228</v>
      </c>
      <c r="G35" s="25" t="s">
        <v>10</v>
      </c>
      <c r="H35" s="8">
        <v>187.37</v>
      </c>
      <c r="I35" s="8" t="s">
        <v>38</v>
      </c>
      <c r="K35" s="94"/>
      <c r="L35" s="40"/>
      <c r="M35" s="16"/>
    </row>
    <row r="36" spans="2:18" ht="15.75" x14ac:dyDescent="0.25">
      <c r="E36" s="91">
        <v>4144</v>
      </c>
      <c r="F36" s="24" t="s">
        <v>160</v>
      </c>
      <c r="G36" s="25" t="s">
        <v>10</v>
      </c>
      <c r="H36" s="8">
        <v>62.5</v>
      </c>
      <c r="I36" s="8" t="s">
        <v>38</v>
      </c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2"/>
      <c r="F41" s="38"/>
      <c r="G41" s="25"/>
      <c r="H41" s="8"/>
      <c r="I41" s="8"/>
      <c r="K41" s="94"/>
      <c r="L41" s="40"/>
      <c r="M41" s="39"/>
    </row>
    <row r="42" spans="2:18" x14ac:dyDescent="0.2">
      <c r="F42" s="86"/>
      <c r="G42" s="86"/>
      <c r="H42" s="85"/>
      <c r="I42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B2" zoomScale="90" zoomScaleNormal="90" workbookViewId="0">
      <selection activeCell="K10" sqref="K10:M10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5">
        <f>'06'!B1+1</f>
        <v>45723</v>
      </c>
    </row>
    <row r="2" spans="2:21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  <c r="U4" s="1">
        <v>0</v>
      </c>
    </row>
    <row r="5" spans="2:21" ht="15" x14ac:dyDescent="0.25">
      <c r="B5" s="22" t="s">
        <v>1</v>
      </c>
      <c r="C5" s="23">
        <f>SUMIF(I6:I31,"&gt;0",H6:H31)</f>
        <v>2170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2445.71</v>
      </c>
      <c r="D6" s="2"/>
      <c r="E6" s="87">
        <v>4818</v>
      </c>
      <c r="F6" s="101" t="s">
        <v>164</v>
      </c>
      <c r="G6" s="101" t="s">
        <v>8</v>
      </c>
      <c r="H6" s="102">
        <v>800</v>
      </c>
      <c r="I6" s="102">
        <v>800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87">
        <v>4819</v>
      </c>
      <c r="F7" s="45" t="s">
        <v>162</v>
      </c>
      <c r="G7" s="45" t="s">
        <v>10</v>
      </c>
      <c r="H7" s="44">
        <v>840</v>
      </c>
      <c r="I7" s="44">
        <v>840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2445.71</v>
      </c>
      <c r="D8" s="2"/>
      <c r="E8" s="105">
        <v>4820</v>
      </c>
      <c r="F8" s="106" t="s">
        <v>162</v>
      </c>
      <c r="G8" s="107" t="s">
        <v>10</v>
      </c>
      <c r="H8" s="108" t="s">
        <v>229</v>
      </c>
      <c r="I8" s="108" t="s">
        <v>229</v>
      </c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87">
        <v>4821</v>
      </c>
      <c r="F9" s="24" t="s">
        <v>165</v>
      </c>
      <c r="G9" s="25" t="s">
        <v>8</v>
      </c>
      <c r="H9" s="8">
        <v>350</v>
      </c>
      <c r="I9" s="8">
        <v>150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109" t="s">
        <v>5</v>
      </c>
      <c r="C10" s="109"/>
      <c r="D10" s="2"/>
      <c r="E10" s="87">
        <v>4822</v>
      </c>
      <c r="F10" s="24" t="s">
        <v>161</v>
      </c>
      <c r="G10" s="25" t="s">
        <v>7</v>
      </c>
      <c r="H10" s="8">
        <v>180</v>
      </c>
      <c r="I10" s="8">
        <v>100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300</v>
      </c>
      <c r="D12" s="2"/>
      <c r="E12" s="87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950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1195.71</v>
      </c>
      <c r="D15" s="2"/>
      <c r="E15" s="87"/>
      <c r="F15" s="24"/>
      <c r="G15" s="25"/>
      <c r="H15" s="8"/>
      <c r="I15" s="8"/>
      <c r="J15" s="2"/>
      <c r="K15" s="94">
        <v>4769</v>
      </c>
      <c r="L15" s="9" t="s">
        <v>133</v>
      </c>
      <c r="M15" s="46" t="s">
        <v>145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2445.71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IF(vend7[[#This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2170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4769</v>
      </c>
      <c r="F26" s="55" t="s">
        <v>163</v>
      </c>
      <c r="G26" s="67" t="s">
        <v>7</v>
      </c>
      <c r="H26" s="68"/>
      <c r="I26" s="68">
        <v>200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4629</v>
      </c>
      <c r="F35" s="24" t="s">
        <v>166</v>
      </c>
      <c r="G35" s="25" t="s">
        <v>10</v>
      </c>
      <c r="H35" s="8">
        <v>308.33999999999997</v>
      </c>
      <c r="I35" s="8" t="s">
        <v>45</v>
      </c>
      <c r="K35" s="94"/>
      <c r="L35" s="40"/>
      <c r="M35" s="16"/>
    </row>
    <row r="36" spans="2:18" ht="15.75" x14ac:dyDescent="0.25">
      <c r="E36" s="91">
        <v>4730</v>
      </c>
      <c r="F36" s="24" t="s">
        <v>167</v>
      </c>
      <c r="G36" s="25" t="s">
        <v>10</v>
      </c>
      <c r="H36" s="8">
        <v>47.37</v>
      </c>
      <c r="I36" s="8" t="s">
        <v>38</v>
      </c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B1" zoomScale="60" zoomScaleNormal="90" workbookViewId="0">
      <selection activeCell="B35" sqref="B3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'07'!B1+1</f>
        <v>45724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1125.8</v>
      </c>
      <c r="D6" s="2"/>
      <c r="E6" s="87">
        <v>4823</v>
      </c>
      <c r="F6" s="8" t="s">
        <v>168</v>
      </c>
      <c r="G6" s="8" t="s">
        <v>8</v>
      </c>
      <c r="H6" s="8">
        <v>750</v>
      </c>
      <c r="I6" s="8">
        <v>750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4824</v>
      </c>
      <c r="F7" s="8" t="s">
        <v>169</v>
      </c>
      <c r="G7" s="8" t="s">
        <v>7</v>
      </c>
      <c r="H7" s="8">
        <v>40</v>
      </c>
      <c r="I7" s="8">
        <v>40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1125.8</v>
      </c>
      <c r="D8" s="2"/>
      <c r="E8" s="87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7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(SUMIF($G$2:$G$31,B11,$I$2:$I$31))+(SUMIF($G$35:$G$42,B11,$H$35:$H$42))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(SUMIF($G$2:$G$31,B12,$I$2:$I$31))+(SUMIF($G$35:$G$42,B12,$H$35:$H$42))</f>
        <v>255.8</v>
      </c>
      <c r="D12" s="2"/>
      <c r="E12" s="87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(SUMIF($G$2:$G$31,B13,$I$2:$I$31))+(SUMIF($G$35:$G$42,B13,$H$35:$H$42))</f>
        <v>870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IF(vend8[[#This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(SUMIF($G$2:$G$31,B14,$I$2:$I$31))+(SUMIF($G$35:$G$42,B14,$H$35:$H$42))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(SUMIF($G$2:$G$31,B15,$I$2:$I$31))+(SUMIF($G$35:$G$42,B15,$H$35:$H$42))</f>
        <v>0</v>
      </c>
      <c r="D15" s="2"/>
      <c r="E15" s="87"/>
      <c r="F15" s="24"/>
      <c r="G15" s="25"/>
      <c r="H15" s="8"/>
      <c r="I15" s="8"/>
      <c r="J15" s="2"/>
      <c r="K15" s="94">
        <v>4815</v>
      </c>
      <c r="L15" s="9" t="s">
        <v>133</v>
      </c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1125.8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IF(vend8[[#This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790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4756</v>
      </c>
      <c r="F26" s="103" t="s">
        <v>217</v>
      </c>
      <c r="G26" s="104" t="s">
        <v>8</v>
      </c>
      <c r="H26" s="68">
        <v>0</v>
      </c>
      <c r="I26" s="68">
        <v>120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43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43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43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24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4496</v>
      </c>
      <c r="F35" s="24" t="s">
        <v>170</v>
      </c>
      <c r="G35" s="25" t="s">
        <v>7</v>
      </c>
      <c r="H35" s="8">
        <v>125.8</v>
      </c>
      <c r="I35" s="8" t="s">
        <v>59</v>
      </c>
      <c r="K35" s="94"/>
      <c r="L35" s="40"/>
      <c r="M35" s="16"/>
    </row>
    <row r="36" spans="2:18" ht="15.75" x14ac:dyDescent="0.25">
      <c r="E36" s="91">
        <v>4515</v>
      </c>
      <c r="F36" s="24" t="s">
        <v>171</v>
      </c>
      <c r="G36" s="25" t="s">
        <v>7</v>
      </c>
      <c r="H36" s="8">
        <v>90</v>
      </c>
      <c r="I36" s="8" t="s">
        <v>79</v>
      </c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2"/>
      <c r="F41" s="38"/>
      <c r="G41" s="25"/>
      <c r="H41" s="8"/>
      <c r="I41" s="8"/>
      <c r="K41" s="94"/>
      <c r="L41" s="40"/>
      <c r="M41" s="39"/>
    </row>
    <row r="42" spans="2:18" ht="15.75" x14ac:dyDescent="0.25">
      <c r="E42" s="34"/>
      <c r="F42" s="71"/>
      <c r="G42" s="72"/>
      <c r="H42" s="73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45725</v>
      </c>
    </row>
    <row r="2" spans="2:22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87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7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IF(vend9[[#This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4"/>
      <c r="G20" s="25"/>
      <c r="H20" s="8"/>
      <c r="I20" s="8"/>
      <c r="J20" s="2"/>
      <c r="K20" s="94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43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7" zoomScale="90" zoomScaleNormal="90" workbookViewId="0">
      <selection activeCell="E39" sqref="E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45726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SUMIF(I6:I32,"&gt;0",H6:H32)</f>
        <v>1150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1986.28</v>
      </c>
      <c r="D6" s="2"/>
      <c r="E6" s="87">
        <v>4825</v>
      </c>
      <c r="F6" s="24" t="s">
        <v>172</v>
      </c>
      <c r="G6" s="43" t="s">
        <v>10</v>
      </c>
      <c r="H6" s="8">
        <v>800</v>
      </c>
      <c r="I6" s="8">
        <v>340</v>
      </c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4826</v>
      </c>
      <c r="F7" s="24" t="s">
        <v>173</v>
      </c>
      <c r="G7" s="43" t="s">
        <v>6</v>
      </c>
      <c r="H7" s="8">
        <v>350</v>
      </c>
      <c r="I7" s="8">
        <v>50</v>
      </c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1986.28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185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87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950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851.28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1986.28</v>
      </c>
      <c r="D16" s="2"/>
      <c r="E16" s="87"/>
      <c r="F16" s="24"/>
      <c r="G16" s="25"/>
      <c r="H16" s="8"/>
      <c r="I16" s="8"/>
      <c r="J16" s="2"/>
      <c r="K16" s="94"/>
      <c r="L16" s="9"/>
      <c r="M16" s="5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IF(vend10[[#This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1150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4817</v>
      </c>
      <c r="F26" s="24" t="s">
        <v>174</v>
      </c>
      <c r="G26" s="43" t="s">
        <v>8</v>
      </c>
      <c r="H26" s="8"/>
      <c r="I26" s="8">
        <v>950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43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43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11" t="s">
        <v>12</v>
      </c>
      <c r="L33" s="112"/>
      <c r="M33" s="113"/>
    </row>
    <row r="34" spans="2:18" ht="15" x14ac:dyDescent="0.25">
      <c r="E34" s="110" t="s">
        <v>28</v>
      </c>
      <c r="F34" s="110"/>
      <c r="G34" s="110"/>
      <c r="H34" s="110"/>
      <c r="I34" s="110"/>
      <c r="K34" s="14" t="s">
        <v>23</v>
      </c>
      <c r="L34" s="6" t="s">
        <v>31</v>
      </c>
      <c r="M34" s="15" t="s">
        <v>32</v>
      </c>
    </row>
    <row r="35" spans="2:18" ht="15" x14ac:dyDescent="0.25">
      <c r="E35" s="93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4"/>
      <c r="L35" s="40"/>
      <c r="M35" s="16"/>
    </row>
    <row r="36" spans="2:18" ht="15.75" x14ac:dyDescent="0.25">
      <c r="E36" s="87">
        <v>4502</v>
      </c>
      <c r="F36" s="24" t="s">
        <v>175</v>
      </c>
      <c r="G36" s="25" t="s">
        <v>10</v>
      </c>
      <c r="H36" s="8">
        <v>90</v>
      </c>
      <c r="I36" s="8" t="s">
        <v>48</v>
      </c>
      <c r="K36" s="94"/>
      <c r="L36" s="40"/>
      <c r="M36" s="16"/>
    </row>
    <row r="37" spans="2:18" ht="15.75" x14ac:dyDescent="0.25">
      <c r="E37" s="91">
        <v>4385</v>
      </c>
      <c r="F37" s="24" t="s">
        <v>176</v>
      </c>
      <c r="G37" s="25" t="s">
        <v>10</v>
      </c>
      <c r="H37" s="8">
        <v>64.28</v>
      </c>
      <c r="I37" s="8" t="s">
        <v>61</v>
      </c>
      <c r="K37" s="94"/>
      <c r="L37" s="40"/>
      <c r="M37" s="16"/>
    </row>
    <row r="38" spans="2:18" ht="15.75" x14ac:dyDescent="0.25">
      <c r="E38" s="87">
        <v>4600</v>
      </c>
      <c r="F38" s="24" t="s">
        <v>177</v>
      </c>
      <c r="G38" s="25" t="s">
        <v>10</v>
      </c>
      <c r="H38" s="8">
        <v>120</v>
      </c>
      <c r="I38" s="8" t="s">
        <v>47</v>
      </c>
      <c r="K38" s="94"/>
      <c r="L38" s="40"/>
      <c r="M38" s="16"/>
    </row>
    <row r="39" spans="2:18" ht="15.75" x14ac:dyDescent="0.25">
      <c r="E39" s="87">
        <v>4519</v>
      </c>
      <c r="F39" s="24" t="s">
        <v>177</v>
      </c>
      <c r="G39" s="25" t="s">
        <v>10</v>
      </c>
      <c r="H39" s="8">
        <v>137</v>
      </c>
      <c r="I39" s="8" t="s">
        <v>38</v>
      </c>
      <c r="K39" s="94"/>
      <c r="L39" s="40"/>
      <c r="M39" s="16"/>
    </row>
    <row r="40" spans="2:18" ht="15.75" x14ac:dyDescent="0.25">
      <c r="E40" s="87">
        <v>4641</v>
      </c>
      <c r="F40" s="38" t="s">
        <v>178</v>
      </c>
      <c r="G40" s="25" t="s">
        <v>6</v>
      </c>
      <c r="H40" s="8">
        <v>135</v>
      </c>
      <c r="I40" s="8" t="s">
        <v>41</v>
      </c>
      <c r="K40" s="95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89">
        <v>4709</v>
      </c>
      <c r="F41" s="35" t="s">
        <v>179</v>
      </c>
      <c r="G41" s="36" t="s">
        <v>10</v>
      </c>
      <c r="H41" s="17">
        <v>100</v>
      </c>
      <c r="I41" s="8" t="s">
        <v>33</v>
      </c>
      <c r="K41" s="94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'10'!B1+1</f>
        <v>45727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1178.29</v>
      </c>
      <c r="D6" s="2"/>
      <c r="E6" s="87">
        <v>4827</v>
      </c>
      <c r="F6" s="24" t="s">
        <v>180</v>
      </c>
      <c r="G6" s="25" t="s">
        <v>40</v>
      </c>
      <c r="H6" s="8"/>
      <c r="I6" s="8"/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1178.29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184.29</v>
      </c>
      <c r="D12" s="2"/>
      <c r="E12" s="87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794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200</v>
      </c>
      <c r="D15" s="2"/>
      <c r="E15" s="87"/>
      <c r="F15" s="24"/>
      <c r="G15" s="25"/>
      <c r="H15" s="8"/>
      <c r="I15" s="8"/>
      <c r="J15" s="2"/>
      <c r="K15" s="94">
        <v>4787</v>
      </c>
      <c r="L15" s="9" t="s">
        <v>133</v>
      </c>
      <c r="M15" s="16" t="s">
        <v>145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1178.29</v>
      </c>
      <c r="D16" s="2"/>
      <c r="E16" s="87"/>
      <c r="F16" s="24"/>
      <c r="G16" s="25"/>
      <c r="H16" s="8"/>
      <c r="I16" s="8"/>
      <c r="J16" s="2"/>
      <c r="K16" s="94">
        <v>4771</v>
      </c>
      <c r="L16" s="9" t="s">
        <v>133</v>
      </c>
      <c r="M16" s="16" t="s">
        <v>182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IF(vend11[[#This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1</v>
      </c>
      <c r="C19" s="30">
        <f>SUM(entr_carn11[Valor Total])</f>
        <v>750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750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4771</v>
      </c>
      <c r="F26" s="24" t="s">
        <v>181</v>
      </c>
      <c r="G26" s="43" t="s">
        <v>8</v>
      </c>
      <c r="H26" s="8"/>
      <c r="I26" s="8">
        <v>250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4720</v>
      </c>
      <c r="F35" s="24" t="s">
        <v>183</v>
      </c>
      <c r="G35" s="25" t="s">
        <v>10</v>
      </c>
      <c r="H35" s="8">
        <v>150</v>
      </c>
      <c r="I35" s="8" t="s">
        <v>34</v>
      </c>
      <c r="K35" s="94">
        <v>4771</v>
      </c>
      <c r="L35" s="40">
        <v>5</v>
      </c>
      <c r="M35" s="16">
        <v>750</v>
      </c>
    </row>
    <row r="36" spans="2:18" ht="15.75" x14ac:dyDescent="0.25">
      <c r="E36" s="91">
        <v>4685</v>
      </c>
      <c r="F36" s="24" t="s">
        <v>184</v>
      </c>
      <c r="G36" s="25" t="s">
        <v>10</v>
      </c>
      <c r="H36" s="8">
        <v>50</v>
      </c>
      <c r="I36" s="8" t="s">
        <v>45</v>
      </c>
      <c r="K36" s="94"/>
      <c r="L36" s="40"/>
      <c r="M36" s="16"/>
    </row>
    <row r="37" spans="2:18" ht="15.75" x14ac:dyDescent="0.25">
      <c r="E37" s="87">
        <v>4628</v>
      </c>
      <c r="F37" s="24" t="s">
        <v>185</v>
      </c>
      <c r="G37" s="25" t="s">
        <v>7</v>
      </c>
      <c r="H37" s="8">
        <v>184.29</v>
      </c>
      <c r="I37" s="8" t="s">
        <v>54</v>
      </c>
      <c r="K37" s="94"/>
      <c r="L37" s="40"/>
      <c r="M37" s="16"/>
    </row>
    <row r="38" spans="2:18" ht="15.75" x14ac:dyDescent="0.25">
      <c r="E38" s="87">
        <v>4719</v>
      </c>
      <c r="F38" s="24" t="s">
        <v>186</v>
      </c>
      <c r="G38" s="25" t="s">
        <v>8</v>
      </c>
      <c r="H38" s="8">
        <v>136</v>
      </c>
      <c r="I38" s="8" t="s">
        <v>53</v>
      </c>
      <c r="K38" s="94"/>
      <c r="L38" s="40"/>
      <c r="M38" s="16"/>
    </row>
    <row r="39" spans="2:18" ht="15.75" x14ac:dyDescent="0.25">
      <c r="E39" s="87">
        <v>4719</v>
      </c>
      <c r="F39" s="38" t="s">
        <v>186</v>
      </c>
      <c r="G39" s="25" t="s">
        <v>8</v>
      </c>
      <c r="H39" s="8">
        <v>136</v>
      </c>
      <c r="I39" s="8" t="s">
        <v>47</v>
      </c>
      <c r="K39" s="94"/>
      <c r="L39" s="40"/>
      <c r="M39" s="16"/>
    </row>
    <row r="40" spans="2:18" ht="15.75" x14ac:dyDescent="0.25">
      <c r="E40" s="89">
        <v>4719</v>
      </c>
      <c r="F40" s="35" t="s">
        <v>186</v>
      </c>
      <c r="G40" s="36" t="s">
        <v>8</v>
      </c>
      <c r="H40" s="17">
        <v>136</v>
      </c>
      <c r="I40" s="8" t="s">
        <v>79</v>
      </c>
      <c r="K40" s="95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0">
        <v>4719</v>
      </c>
      <c r="F41" s="38" t="s">
        <v>186</v>
      </c>
      <c r="G41" s="25" t="s">
        <v>8</v>
      </c>
      <c r="H41" s="8">
        <v>136</v>
      </c>
      <c r="I41" s="8" t="s">
        <v>48</v>
      </c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I26" sqref="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45728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840</v>
      </c>
      <c r="D6" s="2"/>
      <c r="E6" s="87">
        <v>4828</v>
      </c>
      <c r="F6" s="47" t="s">
        <v>187</v>
      </c>
      <c r="G6" s="47" t="s">
        <v>6</v>
      </c>
      <c r="H6" s="48">
        <v>250</v>
      </c>
      <c r="I6" s="48">
        <v>50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4829</v>
      </c>
      <c r="F7" s="49" t="s">
        <v>188</v>
      </c>
      <c r="G7" s="49" t="s">
        <v>8</v>
      </c>
      <c r="H7" s="50">
        <v>100</v>
      </c>
      <c r="I7" s="50">
        <v>100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840</v>
      </c>
      <c r="D8" s="2"/>
      <c r="E8" s="87">
        <v>4830</v>
      </c>
      <c r="F8" s="49" t="s">
        <v>189</v>
      </c>
      <c r="G8" s="49" t="s">
        <v>7</v>
      </c>
      <c r="H8" s="50">
        <v>40</v>
      </c>
      <c r="I8" s="50">
        <v>40</v>
      </c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700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</v>
      </c>
      <c r="D12" s="2"/>
      <c r="E12" s="87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100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>
        <v>4829</v>
      </c>
      <c r="L15" s="9" t="s">
        <v>133</v>
      </c>
      <c r="M15" s="16" t="s">
        <v>145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840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IF(vend12[[#This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390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4791</v>
      </c>
      <c r="F26" s="51" t="s">
        <v>190</v>
      </c>
      <c r="G26" s="43" t="s">
        <v>6</v>
      </c>
      <c r="H26" s="8"/>
      <c r="I26" s="8">
        <v>650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4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45729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327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327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327</v>
      </c>
      <c r="D12" s="2"/>
      <c r="E12" s="87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>
        <v>4816</v>
      </c>
      <c r="L15" s="9" t="s">
        <v>133</v>
      </c>
      <c r="M15" s="16" t="s">
        <v>145</v>
      </c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327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IF(vend13[[#This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4507</v>
      </c>
      <c r="F35" s="24" t="s">
        <v>191</v>
      </c>
      <c r="G35" s="25" t="s">
        <v>7</v>
      </c>
      <c r="H35" s="8">
        <v>177</v>
      </c>
      <c r="I35" s="8" t="s">
        <v>41</v>
      </c>
      <c r="K35" s="94"/>
      <c r="L35" s="40"/>
      <c r="M35" s="16"/>
    </row>
    <row r="36" spans="2:18" ht="15.75" x14ac:dyDescent="0.25">
      <c r="E36" s="91">
        <v>4741</v>
      </c>
      <c r="F36" s="24" t="s">
        <v>192</v>
      </c>
      <c r="G36" s="25" t="s">
        <v>7</v>
      </c>
      <c r="H36" s="8">
        <v>150</v>
      </c>
      <c r="I36" s="8" t="s">
        <v>39</v>
      </c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C2" zoomScaleNormal="10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45730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350</v>
      </c>
      <c r="D6" s="2"/>
      <c r="E6" s="87">
        <v>4831</v>
      </c>
      <c r="F6" s="24" t="s">
        <v>193</v>
      </c>
      <c r="G6" s="43" t="s">
        <v>50</v>
      </c>
      <c r="H6" s="8">
        <v>30</v>
      </c>
      <c r="I6" s="8">
        <v>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4832</v>
      </c>
      <c r="F7" s="24" t="s">
        <v>194</v>
      </c>
      <c r="G7" s="43" t="s">
        <v>10</v>
      </c>
      <c r="H7" s="8">
        <v>150</v>
      </c>
      <c r="I7" s="8">
        <v>150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350</v>
      </c>
      <c r="D8" s="2"/>
      <c r="E8" s="87">
        <v>4833</v>
      </c>
      <c r="F8" s="24" t="s">
        <v>194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350</v>
      </c>
      <c r="D15" s="2"/>
      <c r="E15" s="87"/>
      <c r="F15" s="24"/>
      <c r="G15" s="25"/>
      <c r="H15" s="8"/>
      <c r="I15" s="8"/>
      <c r="J15" s="2"/>
      <c r="K15" s="94">
        <v>4821</v>
      </c>
      <c r="L15" s="9" t="s">
        <v>133</v>
      </c>
      <c r="M15" s="16" t="s">
        <v>145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350</v>
      </c>
      <c r="D16" s="2"/>
      <c r="E16" s="87"/>
      <c r="F16" s="24"/>
      <c r="G16" s="25"/>
      <c r="H16" s="8"/>
      <c r="I16" s="8"/>
      <c r="J16" s="2"/>
      <c r="K16" s="94">
        <v>4802</v>
      </c>
      <c r="L16" s="9" t="s">
        <v>133</v>
      </c>
      <c r="M16" s="16" t="s">
        <v>145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>
        <v>4814</v>
      </c>
      <c r="L17" s="9" t="s">
        <v>133</v>
      </c>
      <c r="M17" s="16" t="s">
        <v>182</v>
      </c>
      <c r="R17" s="1">
        <f>IF(vend14[[#This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1</v>
      </c>
      <c r="C19" s="30">
        <f>SUM(entr_carn14[Valor Total])</f>
        <v>400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400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150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4821</v>
      </c>
      <c r="F26" s="24" t="s">
        <v>195</v>
      </c>
      <c r="G26" s="25" t="s">
        <v>10</v>
      </c>
      <c r="H26" s="8"/>
      <c r="I26" s="8">
        <v>200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>
        <v>4814</v>
      </c>
      <c r="L35" s="40">
        <v>4</v>
      </c>
      <c r="M35" s="16">
        <v>400</v>
      </c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view="pageBreakPreview" topLeftCell="A3" zoomScale="60" zoomScaleNormal="9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'14'!B1+1</f>
        <v>45731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2840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2470</v>
      </c>
      <c r="D6" s="2"/>
      <c r="E6" s="87">
        <v>4834</v>
      </c>
      <c r="F6" s="24" t="s">
        <v>196</v>
      </c>
      <c r="G6" s="43" t="s">
        <v>8</v>
      </c>
      <c r="H6" s="8">
        <v>890</v>
      </c>
      <c r="I6" s="8">
        <v>640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4834</v>
      </c>
      <c r="F7" s="24" t="s">
        <v>196</v>
      </c>
      <c r="G7" s="43" t="s">
        <v>10</v>
      </c>
      <c r="H7" s="8"/>
      <c r="I7" s="8">
        <v>250</v>
      </c>
      <c r="J7" s="2"/>
      <c r="K7" s="24"/>
      <c r="L7" s="9"/>
      <c r="M7" s="16"/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2470</v>
      </c>
      <c r="D8" s="2"/>
      <c r="E8" s="87">
        <v>4835</v>
      </c>
      <c r="F8" s="24" t="s">
        <v>196</v>
      </c>
      <c r="G8" s="25" t="s">
        <v>8</v>
      </c>
      <c r="H8" s="8">
        <v>890</v>
      </c>
      <c r="I8" s="8">
        <v>640</v>
      </c>
      <c r="J8" s="2"/>
      <c r="K8" s="24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87">
        <v>4835</v>
      </c>
      <c r="F9" s="24" t="s">
        <v>196</v>
      </c>
      <c r="G9" s="25" t="s">
        <v>10</v>
      </c>
      <c r="H9" s="8"/>
      <c r="I9" s="8">
        <v>250</v>
      </c>
      <c r="J9" s="2"/>
      <c r="K9" s="24"/>
      <c r="L9" s="9"/>
      <c r="M9" s="16"/>
      <c r="R9" s="1">
        <f>IF(vend15[[#This Row],[Nº Venda]]&gt;1,1,0)</f>
        <v>1</v>
      </c>
    </row>
    <row r="10" spans="2:18" ht="15.75" x14ac:dyDescent="0.25">
      <c r="B10" s="109" t="s">
        <v>5</v>
      </c>
      <c r="C10" s="109"/>
      <c r="D10" s="2"/>
      <c r="E10" s="87">
        <v>4836</v>
      </c>
      <c r="F10" s="24" t="s">
        <v>196</v>
      </c>
      <c r="G10" s="25" t="s">
        <v>8</v>
      </c>
      <c r="H10" s="8">
        <v>170</v>
      </c>
      <c r="I10" s="8">
        <v>170</v>
      </c>
      <c r="J10" s="2"/>
      <c r="K10" s="24"/>
      <c r="L10" s="9"/>
      <c r="M10" s="16"/>
      <c r="R10" s="1">
        <f>IF(vend15[[#This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170</v>
      </c>
      <c r="D11" s="2"/>
      <c r="E11" s="87">
        <v>4837</v>
      </c>
      <c r="F11" s="24" t="s">
        <v>197</v>
      </c>
      <c r="G11" s="25" t="s">
        <v>8</v>
      </c>
      <c r="H11" s="8">
        <v>300</v>
      </c>
      <c r="I11" s="8">
        <v>300</v>
      </c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>
        <v>4838</v>
      </c>
      <c r="F12" s="24" t="s">
        <v>198</v>
      </c>
      <c r="G12" s="25" t="s">
        <v>8</v>
      </c>
      <c r="H12" s="8">
        <v>420</v>
      </c>
      <c r="I12" s="8">
        <v>50</v>
      </c>
      <c r="J12" s="2"/>
      <c r="R12" s="1">
        <f>IF(vend15[[#This Row],[Nº Venda]]&gt;1,1,0)</f>
        <v>1</v>
      </c>
    </row>
    <row r="13" spans="2:18" ht="15.75" x14ac:dyDescent="0.25">
      <c r="B13" s="29" t="s">
        <v>8</v>
      </c>
      <c r="C13" s="30">
        <f t="shared" si="0"/>
        <v>1800</v>
      </c>
      <c r="D13" s="2"/>
      <c r="E13" s="87">
        <v>4839</v>
      </c>
      <c r="F13" s="24" t="s">
        <v>199</v>
      </c>
      <c r="G13" s="25" t="s">
        <v>6</v>
      </c>
      <c r="H13" s="8">
        <v>70</v>
      </c>
      <c r="I13" s="8">
        <v>70</v>
      </c>
      <c r="J13" s="2"/>
      <c r="K13" s="111" t="s">
        <v>22</v>
      </c>
      <c r="L13" s="112"/>
      <c r="M13" s="113"/>
      <c r="R13" s="1">
        <f>IF(vend15[[#This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7">
        <v>4840</v>
      </c>
      <c r="F14" s="24" t="s">
        <v>200</v>
      </c>
      <c r="G14" s="25" t="s">
        <v>6</v>
      </c>
      <c r="H14" s="8">
        <v>100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1</v>
      </c>
    </row>
    <row r="15" spans="2:18" ht="15.75" x14ac:dyDescent="0.25">
      <c r="B15" s="29" t="s">
        <v>10</v>
      </c>
      <c r="C15" s="30">
        <f t="shared" si="0"/>
        <v>500</v>
      </c>
      <c r="D15" s="2"/>
      <c r="E15" s="87"/>
      <c r="F15" s="24"/>
      <c r="G15" s="25"/>
      <c r="H15" s="8"/>
      <c r="I15" s="8"/>
      <c r="J15" s="2"/>
      <c r="K15" s="94">
        <v>4813</v>
      </c>
      <c r="L15" s="9" t="s">
        <v>133</v>
      </c>
      <c r="M15" s="16" t="s">
        <v>145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2470</v>
      </c>
      <c r="D16" s="2"/>
      <c r="E16" s="87"/>
      <c r="F16" s="24"/>
      <c r="G16" s="25"/>
      <c r="H16" s="8"/>
      <c r="I16" s="8"/>
      <c r="J16" s="2"/>
      <c r="K16" s="94">
        <v>4756</v>
      </c>
      <c r="L16" s="9" t="s">
        <v>133</v>
      </c>
      <c r="M16" s="16" t="s">
        <v>145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IF(vend15[[#This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63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2840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43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'15'!B1+1</f>
        <v>45732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63"/>
      <c r="R17" s="1">
        <f>IF(vend16[[#This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43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6" zoomScale="90" zoomScaleNormal="9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45733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370</v>
      </c>
      <c r="D6" s="2"/>
      <c r="E6" s="87">
        <v>4841</v>
      </c>
      <c r="F6" s="24" t="s">
        <v>202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370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370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>
        <v>4820</v>
      </c>
      <c r="L15" s="9" t="s">
        <v>133</v>
      </c>
      <c r="M15" s="16" t="s">
        <v>145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370</v>
      </c>
      <c r="D16" s="2"/>
      <c r="E16" s="87"/>
      <c r="F16" s="24"/>
      <c r="G16" s="25"/>
      <c r="H16" s="8"/>
      <c r="I16" s="8"/>
      <c r="J16" s="2"/>
      <c r="K16" s="94">
        <v>4793</v>
      </c>
      <c r="L16" s="9" t="s">
        <v>133</v>
      </c>
      <c r="M16" s="16" t="s">
        <v>182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>
        <v>4839</v>
      </c>
      <c r="L17" s="9" t="s">
        <v>133</v>
      </c>
      <c r="M17" s="16" t="s">
        <v>145</v>
      </c>
      <c r="R17" s="1">
        <f>IF(vend17[[#This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>
        <v>4840</v>
      </c>
      <c r="L18" s="9" t="s">
        <v>133</v>
      </c>
      <c r="M18" s="16" t="s">
        <v>145</v>
      </c>
      <c r="R18" s="1">
        <f>IF(vend17[[#This Row],[Nº Venda]]&gt;1,1,0)</f>
        <v>0</v>
      </c>
    </row>
    <row r="19" spans="2:18" ht="15.75" x14ac:dyDescent="0.25">
      <c r="B19" s="29">
        <f>COUNT(entr_carn17[OS])</f>
        <v>1</v>
      </c>
      <c r="C19" s="30">
        <f>SUM(entr_carn17[Valor Total])</f>
        <v>850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850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4838</v>
      </c>
      <c r="F26" s="24" t="s">
        <v>201</v>
      </c>
      <c r="G26" s="25" t="s">
        <v>8</v>
      </c>
      <c r="H26" s="8"/>
      <c r="I26" s="8">
        <v>370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>
        <v>4793</v>
      </c>
      <c r="L35" s="40">
        <v>5</v>
      </c>
      <c r="M35" s="16">
        <v>850</v>
      </c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D9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'17'!B1+1</f>
        <v>45734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56"/>
      <c r="G6" s="79"/>
      <c r="H6" s="66"/>
      <c r="I6" s="66"/>
      <c r="J6" s="2"/>
      <c r="K6" s="24"/>
      <c r="L6" s="61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>
        <v>4825</v>
      </c>
      <c r="L15" s="9" t="s">
        <v>133</v>
      </c>
      <c r="M15" s="16" t="s">
        <v>182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4">
        <v>4780</v>
      </c>
      <c r="L16" s="9" t="s">
        <v>136</v>
      </c>
      <c r="M16" s="16" t="s">
        <v>145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IF(vend18[[#This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1</v>
      </c>
      <c r="C19" s="30">
        <f>SUM(entr_carn18[Valor Total])</f>
        <v>460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460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59"/>
      <c r="F23" s="59"/>
      <c r="G23" s="59"/>
      <c r="H23" s="60"/>
      <c r="I23" s="60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>
        <v>4825</v>
      </c>
      <c r="L35" s="40">
        <v>4</v>
      </c>
      <c r="M35" s="16">
        <v>460</v>
      </c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'18'!B1+1</f>
        <v>45735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899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1000</v>
      </c>
      <c r="D6" s="2"/>
      <c r="E6" s="87">
        <v>4842</v>
      </c>
      <c r="F6" s="24" t="s">
        <v>203</v>
      </c>
      <c r="G6" s="25" t="s">
        <v>40</v>
      </c>
      <c r="H6" s="8"/>
      <c r="I6" s="8"/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4843</v>
      </c>
      <c r="F7" s="24" t="s">
        <v>204</v>
      </c>
      <c r="G7" s="25" t="s">
        <v>6</v>
      </c>
      <c r="H7" s="62">
        <v>899</v>
      </c>
      <c r="I7" s="8">
        <v>100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21</v>
      </c>
      <c r="C8" s="28">
        <f>SUM(C6:C7)</f>
        <v>1000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7"/>
      <c r="F9" s="56"/>
      <c r="G9" s="79"/>
      <c r="H9" s="66"/>
      <c r="I9" s="66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900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>
        <v>4801</v>
      </c>
      <c r="L15" s="9" t="s">
        <v>133</v>
      </c>
      <c r="M15" s="16" t="s">
        <v>145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1000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IF(vend19[[#This Row],[Nº Venda]]&gt;1,1,0)</f>
        <v>0</v>
      </c>
    </row>
    <row r="18" spans="2:22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22" ht="15.75" x14ac:dyDescent="0.25">
      <c r="B22" s="27" t="s">
        <v>26</v>
      </c>
      <c r="C22" s="31">
        <f>C5</f>
        <v>899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22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22" ht="15.75" x14ac:dyDescent="0.25">
      <c r="B26" s="2"/>
      <c r="C26" s="2"/>
      <c r="D26" s="2"/>
      <c r="E26" s="87">
        <v>4801</v>
      </c>
      <c r="F26" s="38" t="s">
        <v>205</v>
      </c>
      <c r="G26" s="25" t="s">
        <v>8</v>
      </c>
      <c r="H26" s="8"/>
      <c r="I26" s="8">
        <v>900</v>
      </c>
      <c r="J26" s="2"/>
      <c r="K26" s="94"/>
      <c r="L26" s="9"/>
      <c r="M26" s="16"/>
    </row>
    <row r="27" spans="2:22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22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22" ht="15.75" x14ac:dyDescent="0.25">
      <c r="B29" s="2"/>
      <c r="C29" s="2"/>
      <c r="D29" s="2"/>
      <c r="E29" s="87"/>
      <c r="F29" s="24"/>
      <c r="G29" s="80"/>
      <c r="H29" s="25"/>
      <c r="I29" s="8"/>
      <c r="J29" s="2"/>
      <c r="K29" s="94"/>
      <c r="L29" s="9"/>
      <c r="M29" s="16"/>
    </row>
    <row r="30" spans="2:22" ht="15.75" x14ac:dyDescent="0.25">
      <c r="B30" s="2"/>
      <c r="C30" s="2"/>
      <c r="D30" s="2"/>
      <c r="E30" s="87"/>
      <c r="F30" s="24"/>
      <c r="G30" s="25"/>
      <c r="H30" s="8"/>
      <c r="I30" s="8"/>
      <c r="J30" s="2"/>
      <c r="K30" s="94"/>
      <c r="L30" s="9"/>
      <c r="M30" s="16"/>
    </row>
    <row r="31" spans="2:22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B32" sqref="B32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'19'!B1+1</f>
        <v>45736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240</v>
      </c>
      <c r="D6" s="2"/>
      <c r="E6" s="87">
        <v>4844</v>
      </c>
      <c r="F6" s="24" t="s">
        <v>206</v>
      </c>
      <c r="G6" s="25" t="s">
        <v>6</v>
      </c>
      <c r="H6" s="8">
        <v>20</v>
      </c>
      <c r="I6" s="8">
        <v>20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4845</v>
      </c>
      <c r="F7" s="24" t="s">
        <v>207</v>
      </c>
      <c r="G7" s="25" t="s">
        <v>6</v>
      </c>
      <c r="H7" s="8">
        <v>20</v>
      </c>
      <c r="I7" s="8">
        <v>20</v>
      </c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240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200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240</v>
      </c>
      <c r="D16" s="2"/>
      <c r="E16" s="87"/>
      <c r="F16" s="24"/>
      <c r="G16" s="25"/>
      <c r="H16" s="8"/>
      <c r="I16" s="8"/>
      <c r="J16" s="2"/>
      <c r="K16" s="94"/>
      <c r="L16" s="9"/>
      <c r="M16" s="63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IF(vend20[[#This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40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4828</v>
      </c>
      <c r="F26" s="24" t="s">
        <v>208</v>
      </c>
      <c r="G26" s="25" t="s">
        <v>10</v>
      </c>
      <c r="H26" s="8"/>
      <c r="I26" s="8">
        <v>200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63"/>
    </row>
    <row r="36" spans="2:18" ht="15.75" x14ac:dyDescent="0.25">
      <c r="E36" s="91"/>
      <c r="F36" s="24"/>
      <c r="G36" s="25"/>
      <c r="H36" s="8"/>
      <c r="I36" s="8"/>
      <c r="K36" s="94"/>
      <c r="L36" s="64"/>
      <c r="M36" s="63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45737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2548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1410</v>
      </c>
      <c r="D6" s="2"/>
      <c r="E6" s="87">
        <v>4846</v>
      </c>
      <c r="F6" s="24" t="s">
        <v>210</v>
      </c>
      <c r="G6" s="25" t="s">
        <v>7</v>
      </c>
      <c r="H6" s="8">
        <v>799</v>
      </c>
      <c r="I6" s="8">
        <v>100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4847</v>
      </c>
      <c r="F7" s="24" t="s">
        <v>210</v>
      </c>
      <c r="G7" s="25" t="s">
        <v>7</v>
      </c>
      <c r="H7" s="8">
        <v>799</v>
      </c>
      <c r="I7" s="8">
        <v>100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1410</v>
      </c>
      <c r="D8" s="2"/>
      <c r="E8" s="87">
        <v>4848</v>
      </c>
      <c r="F8" s="24" t="s">
        <v>211</v>
      </c>
      <c r="G8" s="25" t="s">
        <v>10</v>
      </c>
      <c r="H8" s="8">
        <v>950</v>
      </c>
      <c r="I8" s="8">
        <v>950</v>
      </c>
      <c r="J8" s="2"/>
      <c r="K8" s="24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260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200</v>
      </c>
      <c r="D12" s="2"/>
      <c r="E12" s="87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950</v>
      </c>
      <c r="D15" s="2"/>
      <c r="E15" s="87"/>
      <c r="F15" s="24"/>
      <c r="G15" s="25"/>
      <c r="H15" s="8"/>
      <c r="I15" s="8"/>
      <c r="J15" s="2"/>
      <c r="K15" s="94">
        <v>4790</v>
      </c>
      <c r="L15" s="9" t="s">
        <v>133</v>
      </c>
      <c r="M15" s="16" t="s">
        <v>145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1410</v>
      </c>
      <c r="D16" s="2"/>
      <c r="E16" s="87"/>
      <c r="F16" s="24"/>
      <c r="G16" s="25"/>
      <c r="H16" s="8"/>
      <c r="I16" s="8"/>
      <c r="J16" s="2"/>
      <c r="K16" s="94">
        <v>4817</v>
      </c>
      <c r="L16" s="9" t="s">
        <v>133</v>
      </c>
      <c r="M16" s="16" t="s">
        <v>145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IF(vend21[[#This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2548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4843</v>
      </c>
      <c r="F26" s="24" t="s">
        <v>209</v>
      </c>
      <c r="G26" s="25" t="s">
        <v>6</v>
      </c>
      <c r="H26" s="8"/>
      <c r="I26" s="8">
        <v>260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45738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214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370</v>
      </c>
      <c r="D6" s="2"/>
      <c r="E6" s="87">
        <v>4849</v>
      </c>
      <c r="F6" s="24" t="s">
        <v>213</v>
      </c>
      <c r="G6" s="25" t="s">
        <v>8</v>
      </c>
      <c r="H6" s="8">
        <v>695</v>
      </c>
      <c r="I6" s="8">
        <v>50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4850</v>
      </c>
      <c r="F7" s="24" t="s">
        <v>213</v>
      </c>
      <c r="G7" s="25" t="s">
        <v>8</v>
      </c>
      <c r="H7" s="8">
        <v>695</v>
      </c>
      <c r="I7" s="8">
        <v>50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370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100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270</v>
      </c>
      <c r="D15" s="2"/>
      <c r="E15" s="87"/>
      <c r="F15" s="24"/>
      <c r="G15" s="25"/>
      <c r="H15" s="8"/>
      <c r="I15" s="8"/>
      <c r="J15" s="2"/>
      <c r="K15" s="94">
        <v>4830</v>
      </c>
      <c r="L15" s="9" t="s">
        <v>133</v>
      </c>
      <c r="M15" s="16" t="s">
        <v>145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370</v>
      </c>
      <c r="D16" s="2"/>
      <c r="E16" s="87"/>
      <c r="F16" s="24"/>
      <c r="G16" s="25"/>
      <c r="H16" s="8"/>
      <c r="I16" s="8"/>
      <c r="J16" s="2"/>
      <c r="K16" s="94">
        <v>4841</v>
      </c>
      <c r="L16" s="9" t="s">
        <v>133</v>
      </c>
      <c r="M16" s="16" t="s">
        <v>145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IF(vend22[[#This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1390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4544</v>
      </c>
      <c r="F35" s="24" t="s">
        <v>212</v>
      </c>
      <c r="G35" s="25" t="s">
        <v>10</v>
      </c>
      <c r="H35" s="8">
        <v>130</v>
      </c>
      <c r="I35" s="8" t="s">
        <v>79</v>
      </c>
      <c r="K35" s="94"/>
      <c r="L35" s="40"/>
      <c r="M35" s="16"/>
    </row>
    <row r="36" spans="2:18" ht="15.75" x14ac:dyDescent="0.25">
      <c r="E36" s="91">
        <v>4544</v>
      </c>
      <c r="F36" s="24" t="s">
        <v>212</v>
      </c>
      <c r="G36" s="25" t="s">
        <v>10</v>
      </c>
      <c r="H36" s="8">
        <v>140</v>
      </c>
      <c r="I36" s="8" t="s">
        <v>48</v>
      </c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45739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(SUMIF($G$2:$G$31,B11,$I$2:$I$31))+(SUMIF($G$35:$G$44,B11,$H$35:$H$44))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(SUMIF($G$2:$G$31,B12,$I$2:$I$31))+(SUMIF($G$35:$G$44,B12,$H$35:$H$44))</f>
        <v>0</v>
      </c>
      <c r="D12" s="2"/>
      <c r="E12" s="87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(SUMIF($G$2:$G$31,B13,$I$2:$I$31))+(SUMIF($G$35:$G$44,B13,$H$35:$H$44))</f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IF(vend23[[#This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(SUMIF($G$2:$G$31,B14,$I$2:$I$31))+(SUMIF($G$35:$G$44,B14,$H$35:$H$44))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(SUMIF($G$2:$G$31,B15,$I$2:$I$31))+(SUMIF($G$35:$G$44,B15,$H$35:$H$44))</f>
        <v>0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IF(vend23[[#This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4"/>
      <c r="L41" s="40"/>
      <c r="M41" s="39"/>
    </row>
    <row r="42" spans="2:18" ht="15.75" x14ac:dyDescent="0.25">
      <c r="E42" s="83"/>
      <c r="F42" s="71"/>
      <c r="G42" s="72"/>
      <c r="H42" s="73"/>
      <c r="I42" s="17"/>
    </row>
    <row r="43" spans="2:18" ht="15.75" x14ac:dyDescent="0.25">
      <c r="E43" s="83"/>
      <c r="F43" s="81"/>
      <c r="G43" s="80"/>
      <c r="H43" s="82"/>
      <c r="I43" s="8"/>
    </row>
    <row r="44" spans="2:18" ht="15.75" x14ac:dyDescent="0.25">
      <c r="E44" s="84"/>
      <c r="F44" s="71"/>
      <c r="G44" s="72"/>
      <c r="H44" s="73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zoomScale="60" zoomScaleNormal="9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8.425781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45740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1780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1914</v>
      </c>
      <c r="D6" s="2"/>
      <c r="E6" s="87">
        <v>4851</v>
      </c>
      <c r="F6" s="24" t="s">
        <v>231</v>
      </c>
      <c r="G6" s="25" t="s">
        <v>10</v>
      </c>
      <c r="H6" s="8">
        <v>1750</v>
      </c>
      <c r="I6" s="8">
        <v>1750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1914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134</v>
      </c>
      <c r="D12" s="2"/>
      <c r="E12" s="87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1750</v>
      </c>
      <c r="D15" s="2"/>
      <c r="E15" s="87"/>
      <c r="F15" s="24"/>
      <c r="G15" s="25"/>
      <c r="H15" s="8"/>
      <c r="I15" s="8"/>
      <c r="J15" s="2"/>
      <c r="K15" s="94">
        <v>4807</v>
      </c>
      <c r="L15" s="9" t="s">
        <v>133</v>
      </c>
      <c r="M15" s="16" t="s">
        <v>145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1914</v>
      </c>
      <c r="D16" s="2"/>
      <c r="E16" s="87"/>
      <c r="F16" s="24"/>
      <c r="G16" s="25"/>
      <c r="H16" s="8"/>
      <c r="I16" s="8"/>
      <c r="J16" s="2"/>
      <c r="K16" s="94">
        <v>4808</v>
      </c>
      <c r="L16" s="9" t="s">
        <v>133</v>
      </c>
      <c r="M16" s="16" t="s">
        <v>145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>
        <v>4811</v>
      </c>
      <c r="L17" s="9" t="s">
        <v>133</v>
      </c>
      <c r="M17" s="16" t="s">
        <v>145</v>
      </c>
      <c r="R17" s="1">
        <f>IF(vend24[[#This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>
        <v>4831</v>
      </c>
      <c r="L18" s="9" t="s">
        <v>133</v>
      </c>
      <c r="M18" s="16" t="s">
        <v>145</v>
      </c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1780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4831</v>
      </c>
      <c r="F26" s="24" t="s">
        <v>215</v>
      </c>
      <c r="G26" s="25" t="s">
        <v>6</v>
      </c>
      <c r="H26" s="8">
        <v>30</v>
      </c>
      <c r="I26" s="8">
        <v>30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4158</v>
      </c>
      <c r="F35" s="24" t="s">
        <v>216</v>
      </c>
      <c r="G35" s="25" t="s">
        <v>7</v>
      </c>
      <c r="H35" s="8">
        <v>134</v>
      </c>
      <c r="I35" s="8" t="s">
        <v>39</v>
      </c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45741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87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IF(vend25[[#This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6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45742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560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560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87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460</v>
      </c>
      <c r="D15" s="2"/>
      <c r="E15" s="87"/>
      <c r="F15" s="24"/>
      <c r="G15" s="25"/>
      <c r="H15" s="8"/>
      <c r="I15" s="8"/>
      <c r="J15" s="2"/>
      <c r="K15" s="94">
        <v>4785</v>
      </c>
      <c r="L15" s="9" t="s">
        <v>136</v>
      </c>
      <c r="M15" s="16" t="s">
        <v>145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560</v>
      </c>
      <c r="D16" s="2"/>
      <c r="E16" s="87"/>
      <c r="F16" s="24"/>
      <c r="G16" s="25"/>
      <c r="H16" s="8"/>
      <c r="I16" s="8"/>
      <c r="J16" s="2"/>
      <c r="K16" s="94">
        <v>4837</v>
      </c>
      <c r="L16" s="9" t="s">
        <v>133</v>
      </c>
      <c r="M16" s="16" t="s">
        <v>145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>
        <v>4838</v>
      </c>
      <c r="L17" s="9" t="s">
        <v>133</v>
      </c>
      <c r="M17" s="16" t="s">
        <v>145</v>
      </c>
      <c r="R17" s="1">
        <f>IF(vend26[[#This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>
        <v>4823</v>
      </c>
      <c r="L18" s="9" t="s">
        <v>133</v>
      </c>
      <c r="M18" s="16" t="s">
        <v>145</v>
      </c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4785</v>
      </c>
      <c r="F26" s="24" t="s">
        <v>218</v>
      </c>
      <c r="G26" s="25" t="s">
        <v>10</v>
      </c>
      <c r="H26" s="8"/>
      <c r="I26" s="8">
        <v>460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4030</v>
      </c>
      <c r="F35" s="24" t="s">
        <v>219</v>
      </c>
      <c r="G35" s="25" t="s">
        <v>7</v>
      </c>
      <c r="H35" s="8">
        <v>100</v>
      </c>
      <c r="I35" s="8" t="s">
        <v>39</v>
      </c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45743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1050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1288</v>
      </c>
      <c r="D6" s="2"/>
      <c r="E6" s="87">
        <v>4852</v>
      </c>
      <c r="F6" s="24" t="s">
        <v>220</v>
      </c>
      <c r="G6" s="25" t="s">
        <v>8</v>
      </c>
      <c r="H6" s="8">
        <v>1050</v>
      </c>
      <c r="I6" s="8">
        <v>1050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1288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50</v>
      </c>
      <c r="D12" s="2"/>
      <c r="E12" s="87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1050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188</v>
      </c>
      <c r="D15" s="2"/>
      <c r="E15" s="87"/>
      <c r="F15" s="24"/>
      <c r="G15" s="25"/>
      <c r="H15" s="8"/>
      <c r="I15" s="8"/>
      <c r="J15" s="2"/>
      <c r="K15" s="94">
        <v>4792</v>
      </c>
      <c r="L15" s="9" t="s">
        <v>133</v>
      </c>
      <c r="M15" s="16" t="s">
        <v>182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1288</v>
      </c>
      <c r="D16" s="2"/>
      <c r="E16" s="87"/>
      <c r="F16" s="24"/>
      <c r="G16" s="25"/>
      <c r="H16" s="8"/>
      <c r="I16" s="8"/>
      <c r="J16" s="2"/>
      <c r="K16" s="94">
        <v>4803</v>
      </c>
      <c r="L16" s="9" t="s">
        <v>133</v>
      </c>
      <c r="M16" s="16" t="s">
        <v>145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IF(vend27[[#This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1</v>
      </c>
      <c r="C19" s="30">
        <f>SUM(entr_carn27[Valor Total])</f>
        <v>700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700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1050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4792</v>
      </c>
      <c r="F26" s="24" t="s">
        <v>221</v>
      </c>
      <c r="G26" s="25" t="s">
        <v>7</v>
      </c>
      <c r="H26" s="8"/>
      <c r="I26" s="8">
        <v>50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4447</v>
      </c>
      <c r="F35" s="24" t="s">
        <v>222</v>
      </c>
      <c r="G35" s="25" t="s">
        <v>10</v>
      </c>
      <c r="H35" s="8">
        <v>138</v>
      </c>
      <c r="I35" s="8" t="s">
        <v>59</v>
      </c>
      <c r="K35" s="94">
        <v>4792</v>
      </c>
      <c r="L35" s="40">
        <v>8</v>
      </c>
      <c r="M35" s="16">
        <v>700</v>
      </c>
    </row>
    <row r="36" spans="2:18" ht="15.75" x14ac:dyDescent="0.25">
      <c r="E36" s="91">
        <v>4203</v>
      </c>
      <c r="F36" s="24" t="s">
        <v>223</v>
      </c>
      <c r="G36" s="25" t="s">
        <v>10</v>
      </c>
      <c r="H36" s="8">
        <v>50</v>
      </c>
      <c r="I36" s="8" t="s">
        <v>82</v>
      </c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view="pageBreakPreview" zoomScale="60" zoomScaleNormal="90" workbookViewId="0">
      <selection activeCell="D32" sqref="D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45744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940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466</v>
      </c>
      <c r="D6" s="2"/>
      <c r="E6" s="87">
        <v>4853</v>
      </c>
      <c r="F6" s="24" t="s">
        <v>224</v>
      </c>
      <c r="G6" s="25" t="s">
        <v>7</v>
      </c>
      <c r="H6" s="8">
        <v>470</v>
      </c>
      <c r="I6" s="8">
        <v>50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4854</v>
      </c>
      <c r="F7" s="24" t="s">
        <v>225</v>
      </c>
      <c r="G7" s="25" t="s">
        <v>7</v>
      </c>
      <c r="H7" s="8">
        <v>470</v>
      </c>
      <c r="I7" s="8">
        <v>50</v>
      </c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466</v>
      </c>
      <c r="D8" s="2"/>
      <c r="E8" s="87">
        <v>4855</v>
      </c>
      <c r="F8" s="24" t="s">
        <v>169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300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87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66</v>
      </c>
      <c r="D15" s="2"/>
      <c r="E15" s="87"/>
      <c r="F15" s="24"/>
      <c r="G15" s="25"/>
      <c r="H15" s="8"/>
      <c r="I15" s="8"/>
      <c r="J15" s="2"/>
      <c r="K15" s="94">
        <v>4826</v>
      </c>
      <c r="L15" s="9" t="s">
        <v>133</v>
      </c>
      <c r="M15" s="16" t="s">
        <v>145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466</v>
      </c>
      <c r="D16" s="2"/>
      <c r="E16" s="87"/>
      <c r="F16" s="24"/>
      <c r="G16" s="25"/>
      <c r="H16" s="8"/>
      <c r="I16" s="8"/>
      <c r="J16" s="2"/>
      <c r="K16" s="94">
        <v>4855</v>
      </c>
      <c r="L16" s="9" t="s">
        <v>133</v>
      </c>
      <c r="M16" s="16" t="s">
        <v>145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IF(vend28[[#This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940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4826</v>
      </c>
      <c r="F26" s="24" t="s">
        <v>226</v>
      </c>
      <c r="G26" s="25" t="s">
        <v>6</v>
      </c>
      <c r="H26" s="8">
        <v>0</v>
      </c>
      <c r="I26" s="8">
        <v>300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>
        <v>4612</v>
      </c>
      <c r="F35" s="24" t="s">
        <v>227</v>
      </c>
      <c r="G35" s="25" t="s">
        <v>10</v>
      </c>
      <c r="H35" s="8">
        <v>66</v>
      </c>
      <c r="I35" s="8" t="s">
        <v>71</v>
      </c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view="pageBreakPreview" zoomScale="60" zoomScaleNormal="90" workbookViewId="0">
      <selection activeCell="G27" sqref="G2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6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45745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1520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2360</v>
      </c>
      <c r="D6" s="2"/>
      <c r="E6" s="87">
        <v>4856</v>
      </c>
      <c r="F6" s="24" t="s">
        <v>232</v>
      </c>
      <c r="G6" s="25" t="s">
        <v>8</v>
      </c>
      <c r="H6" s="8">
        <v>1050</v>
      </c>
      <c r="I6" s="8">
        <v>1050</v>
      </c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4857</v>
      </c>
      <c r="F7" s="24" t="s">
        <v>232</v>
      </c>
      <c r="G7" s="25" t="s">
        <v>8</v>
      </c>
      <c r="H7" s="8">
        <v>430</v>
      </c>
      <c r="I7" s="8">
        <v>430</v>
      </c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21</v>
      </c>
      <c r="C8" s="28">
        <f>SUM(C6:C7)</f>
        <v>2360</v>
      </c>
      <c r="D8" s="2"/>
      <c r="E8" s="87">
        <v>4858</v>
      </c>
      <c r="F8" s="24" t="s">
        <v>232</v>
      </c>
      <c r="G8" s="25" t="s">
        <v>8</v>
      </c>
      <c r="H8" s="8">
        <v>40</v>
      </c>
      <c r="I8" s="8">
        <v>40</v>
      </c>
      <c r="J8" s="2"/>
      <c r="K8" s="24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87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2360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>
        <v>4828</v>
      </c>
      <c r="L15" s="9" t="s">
        <v>133</v>
      </c>
      <c r="M15" s="16" t="s">
        <v>145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2360</v>
      </c>
      <c r="D16" s="2"/>
      <c r="E16" s="87"/>
      <c r="F16" s="24"/>
      <c r="G16" s="25"/>
      <c r="H16" s="8"/>
      <c r="I16" s="8"/>
      <c r="J16" s="2"/>
      <c r="K16" s="94">
        <v>4843</v>
      </c>
      <c r="L16" s="9" t="s">
        <v>133</v>
      </c>
      <c r="M16" s="16" t="s">
        <v>182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>
        <v>4858</v>
      </c>
      <c r="L17" s="9" t="s">
        <v>133</v>
      </c>
      <c r="M17" s="16" t="s">
        <v>145</v>
      </c>
      <c r="R17" s="1">
        <f>IF(vend29[[#This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1</v>
      </c>
      <c r="C19" s="30">
        <f>SUM(entr_carn29[Valor Total])</f>
        <v>539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539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1520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>
        <v>4853</v>
      </c>
      <c r="F26" s="24" t="s">
        <v>233</v>
      </c>
      <c r="G26" s="25" t="s">
        <v>8</v>
      </c>
      <c r="H26" s="8">
        <v>0</v>
      </c>
      <c r="I26" s="8">
        <v>420</v>
      </c>
      <c r="J26" s="2"/>
      <c r="K26" s="94"/>
      <c r="L26" s="9"/>
      <c r="M26" s="16"/>
    </row>
    <row r="27" spans="2:18" ht="15.75" x14ac:dyDescent="0.25">
      <c r="B27" s="2"/>
      <c r="C27" s="2"/>
      <c r="D27" s="2"/>
      <c r="E27" s="87">
        <v>4854</v>
      </c>
      <c r="F27" s="24" t="s">
        <v>234</v>
      </c>
      <c r="G27" s="25" t="s">
        <v>8</v>
      </c>
      <c r="H27" s="8">
        <v>0</v>
      </c>
      <c r="I27" s="8">
        <v>420</v>
      </c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>
        <v>4843</v>
      </c>
      <c r="L35" s="40">
        <v>4</v>
      </c>
      <c r="M35" s="16">
        <v>539</v>
      </c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2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45746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7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7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8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8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IF(vend30[[#This Row],[Nº Venda]]&gt;1,1,0)</f>
        <v>0</v>
      </c>
    </row>
    <row r="18" spans="2:22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22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22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22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22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22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22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22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view="pageBreakPreview" zoomScale="60" zoomScaleNormal="90" workbookViewId="0">
      <selection activeCell="L24" sqref="L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5703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45747</v>
      </c>
    </row>
    <row r="2" spans="2:18" ht="18.75" x14ac:dyDescent="0.2">
      <c r="B2" s="114" t="s">
        <v>13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7" t="s">
        <v>1</v>
      </c>
      <c r="F4" s="117"/>
      <c r="G4" s="117"/>
      <c r="H4" s="117"/>
      <c r="I4" s="117"/>
      <c r="J4" s="21"/>
      <c r="K4" s="111" t="s">
        <v>3</v>
      </c>
      <c r="L4" s="112"/>
      <c r="M4" s="113"/>
    </row>
    <row r="5" spans="2:18" ht="15" x14ac:dyDescent="0.25">
      <c r="B5" s="22" t="s">
        <v>1</v>
      </c>
      <c r="C5" s="23">
        <f>SUMIF(I6:I31,"&gt;0",H6:H31)</f>
        <v>2140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1350</v>
      </c>
      <c r="D6" s="2"/>
      <c r="E6" s="87">
        <v>4859</v>
      </c>
      <c r="F6" s="24" t="s">
        <v>235</v>
      </c>
      <c r="G6" s="25" t="s">
        <v>8</v>
      </c>
      <c r="H6" s="8">
        <v>1250</v>
      </c>
      <c r="I6" s="8">
        <v>1250</v>
      </c>
      <c r="J6" s="2"/>
      <c r="K6" s="24"/>
      <c r="L6" s="9"/>
      <c r="M6" s="16"/>
      <c r="R6" s="1">
        <f>IF(vend31[[#This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7">
        <v>4860</v>
      </c>
      <c r="F7" s="24" t="s">
        <v>230</v>
      </c>
      <c r="G7" s="25" t="s">
        <v>6</v>
      </c>
      <c r="H7" s="8">
        <v>890</v>
      </c>
      <c r="I7" s="8">
        <v>100</v>
      </c>
      <c r="J7" s="2"/>
      <c r="K7" s="24"/>
      <c r="L7" s="9"/>
      <c r="M7" s="16"/>
      <c r="R7" s="1">
        <f>IF(vend31[[#This Row],[Nº Venda]]&gt;1,1,0)</f>
        <v>1</v>
      </c>
    </row>
    <row r="8" spans="2:18" ht="15.75" x14ac:dyDescent="0.25">
      <c r="B8" s="27" t="s">
        <v>21</v>
      </c>
      <c r="C8" s="28">
        <f>SUM(C6:C7)</f>
        <v>1350</v>
      </c>
      <c r="D8" s="2"/>
      <c r="E8" s="87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87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9" t="s">
        <v>5</v>
      </c>
      <c r="C10" s="109"/>
      <c r="D10" s="2"/>
      <c r="E10" s="87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87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7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1250</v>
      </c>
      <c r="D13" s="2"/>
      <c r="E13" s="87"/>
      <c r="F13" s="24"/>
      <c r="G13" s="25"/>
      <c r="H13" s="8"/>
      <c r="I13" s="8"/>
      <c r="J13" s="2"/>
      <c r="K13" s="111" t="s">
        <v>22</v>
      </c>
      <c r="L13" s="112"/>
      <c r="M13" s="113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7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7"/>
      <c r="F15" s="24"/>
      <c r="G15" s="25"/>
      <c r="H15" s="8"/>
      <c r="I15" s="8"/>
      <c r="J15" s="2"/>
      <c r="K15" s="94">
        <v>4827</v>
      </c>
      <c r="L15" s="9" t="s">
        <v>133</v>
      </c>
      <c r="M15" s="16" t="s">
        <v>145</v>
      </c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1350</v>
      </c>
      <c r="D16" s="2"/>
      <c r="E16" s="87"/>
      <c r="F16" s="24"/>
      <c r="G16" s="25"/>
      <c r="H16" s="8"/>
      <c r="I16" s="8"/>
      <c r="J16" s="2"/>
      <c r="K16" s="94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87"/>
      <c r="F17" s="24"/>
      <c r="G17" s="25"/>
      <c r="H17" s="8"/>
      <c r="I17" s="8"/>
      <c r="J17" s="2"/>
      <c r="K17" s="94"/>
      <c r="L17" s="9"/>
      <c r="M17" s="16"/>
      <c r="R17" s="1">
        <f>IF(vend31[[#This Row],[Nº Venda]]&gt;1,1,0)</f>
        <v>0</v>
      </c>
    </row>
    <row r="18" spans="2:18" ht="15.75" x14ac:dyDescent="0.25">
      <c r="B18" s="109" t="s">
        <v>12</v>
      </c>
      <c r="C18" s="109"/>
      <c r="D18" s="2"/>
      <c r="E18" s="87"/>
      <c r="F18" s="24"/>
      <c r="G18" s="25"/>
      <c r="H18" s="8"/>
      <c r="I18" s="8"/>
      <c r="J18" s="2"/>
      <c r="K18" s="94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87"/>
      <c r="F19" s="24"/>
      <c r="G19" s="25"/>
      <c r="H19" s="8"/>
      <c r="I19" s="8"/>
      <c r="J19" s="2"/>
      <c r="K19" s="94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7"/>
      <c r="F20" s="25"/>
      <c r="G20" s="25"/>
      <c r="H20" s="8"/>
      <c r="I20" s="8"/>
      <c r="J20" s="2"/>
      <c r="K20" s="94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87"/>
      <c r="F21" s="24"/>
      <c r="G21" s="25"/>
      <c r="H21" s="8"/>
      <c r="I21" s="8"/>
      <c r="J21" s="2"/>
      <c r="K21" s="94"/>
      <c r="L21" s="9"/>
      <c r="M21" s="16"/>
    </row>
    <row r="22" spans="2:18" ht="15.75" x14ac:dyDescent="0.25">
      <c r="B22" s="27" t="s">
        <v>26</v>
      </c>
      <c r="C22" s="31">
        <f>C5</f>
        <v>2140</v>
      </c>
      <c r="D22" s="2"/>
      <c r="E22" s="87"/>
      <c r="F22" s="24"/>
      <c r="G22" s="25"/>
      <c r="H22" s="8"/>
      <c r="I22" s="8"/>
      <c r="J22" s="2"/>
      <c r="K22" s="94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4"/>
      <c r="L23" s="9"/>
      <c r="M23" s="16"/>
    </row>
    <row r="24" spans="2:18" ht="15" x14ac:dyDescent="0.25">
      <c r="B24" s="2"/>
      <c r="C24" s="2"/>
      <c r="D24" s="2"/>
      <c r="E24" s="110" t="s">
        <v>27</v>
      </c>
      <c r="F24" s="110"/>
      <c r="G24" s="110"/>
      <c r="H24" s="110"/>
      <c r="I24" s="110"/>
      <c r="J24" s="2"/>
      <c r="K24" s="94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4"/>
      <c r="L25" s="9"/>
      <c r="M25" s="16"/>
    </row>
    <row r="26" spans="2:18" ht="15.75" x14ac:dyDescent="0.25">
      <c r="B26" s="2"/>
      <c r="C26" s="2"/>
      <c r="D26" s="2"/>
      <c r="E26" s="87"/>
      <c r="F26" s="24"/>
      <c r="G26" s="25"/>
      <c r="H26" s="8"/>
      <c r="I26" s="8"/>
      <c r="J26" s="2"/>
      <c r="K26" s="94"/>
      <c r="L26" s="9"/>
      <c r="M26" s="16"/>
    </row>
    <row r="27" spans="2:18" ht="15.75" x14ac:dyDescent="0.25">
      <c r="B27" s="2"/>
      <c r="C27" s="2"/>
      <c r="D27" s="2"/>
      <c r="E27" s="87"/>
      <c r="F27" s="24"/>
      <c r="G27" s="25"/>
      <c r="H27" s="8"/>
      <c r="I27" s="8"/>
      <c r="J27" s="2"/>
      <c r="K27" s="94"/>
      <c r="L27" s="9"/>
      <c r="M27" s="16"/>
    </row>
    <row r="28" spans="2:18" ht="15.75" x14ac:dyDescent="0.25">
      <c r="B28" s="2"/>
      <c r="C28" s="2"/>
      <c r="D28" s="2"/>
      <c r="E28" s="87"/>
      <c r="F28" s="24"/>
      <c r="G28" s="25"/>
      <c r="H28" s="8"/>
      <c r="I28" s="8"/>
      <c r="J28" s="2"/>
      <c r="K28" s="94"/>
      <c r="L28" s="9"/>
      <c r="M28" s="16"/>
    </row>
    <row r="29" spans="2:18" ht="15.75" x14ac:dyDescent="0.25">
      <c r="B29" s="2"/>
      <c r="C29" s="2"/>
      <c r="D29" s="2"/>
      <c r="E29" s="87"/>
      <c r="F29" s="24"/>
      <c r="G29" s="25"/>
      <c r="H29" s="8"/>
      <c r="I29" s="8"/>
      <c r="J29" s="2"/>
      <c r="K29" s="94"/>
      <c r="L29" s="9"/>
      <c r="M29" s="16"/>
    </row>
    <row r="30" spans="2:18" ht="15.75" x14ac:dyDescent="0.25">
      <c r="B30" s="2"/>
      <c r="C30" s="2"/>
      <c r="D30" s="2"/>
      <c r="E30" s="87"/>
      <c r="F30" s="38"/>
      <c r="G30" s="25"/>
      <c r="H30" s="8"/>
      <c r="I30" s="8"/>
      <c r="J30" s="2"/>
      <c r="K30" s="94"/>
      <c r="L30" s="9"/>
      <c r="M30" s="16"/>
    </row>
    <row r="31" spans="2:18" ht="15.75" x14ac:dyDescent="0.25">
      <c r="B31" s="2"/>
      <c r="C31" s="2"/>
      <c r="D31" s="2"/>
      <c r="E31" s="89"/>
      <c r="F31" s="35"/>
      <c r="G31" s="36"/>
      <c r="H31" s="17"/>
      <c r="I31" s="17"/>
      <c r="J31" s="2"/>
      <c r="K31" s="94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10" t="s">
        <v>28</v>
      </c>
      <c r="F33" s="110"/>
      <c r="G33" s="110"/>
      <c r="H33" s="110"/>
      <c r="I33" s="110"/>
      <c r="K33" s="111" t="s">
        <v>12</v>
      </c>
      <c r="L33" s="112"/>
      <c r="M33" s="11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7"/>
      <c r="F35" s="24"/>
      <c r="G35" s="25"/>
      <c r="H35" s="8"/>
      <c r="I35" s="8"/>
      <c r="K35" s="94"/>
      <c r="L35" s="40"/>
      <c r="M35" s="16"/>
    </row>
    <row r="36" spans="2:18" ht="15.75" x14ac:dyDescent="0.25">
      <c r="E36" s="91"/>
      <c r="F36" s="24"/>
      <c r="G36" s="25"/>
      <c r="H36" s="8"/>
      <c r="I36" s="8"/>
      <c r="K36" s="94"/>
      <c r="L36" s="40"/>
      <c r="M36" s="16"/>
    </row>
    <row r="37" spans="2:18" ht="15.75" x14ac:dyDescent="0.25">
      <c r="E37" s="87"/>
      <c r="F37" s="24"/>
      <c r="G37" s="25"/>
      <c r="H37" s="8"/>
      <c r="I37" s="8"/>
      <c r="K37" s="94"/>
      <c r="L37" s="40"/>
      <c r="M37" s="16"/>
    </row>
    <row r="38" spans="2:18" ht="15.75" x14ac:dyDescent="0.25">
      <c r="E38" s="87"/>
      <c r="F38" s="24"/>
      <c r="G38" s="25"/>
      <c r="H38" s="8"/>
      <c r="I38" s="8"/>
      <c r="K38" s="94"/>
      <c r="L38" s="40"/>
      <c r="M38" s="16"/>
    </row>
    <row r="39" spans="2:18" ht="15.75" x14ac:dyDescent="0.25">
      <c r="E39" s="87"/>
      <c r="F39" s="38"/>
      <c r="G39" s="25"/>
      <c r="H39" s="8"/>
      <c r="I39" s="8"/>
      <c r="K39" s="94"/>
      <c r="L39" s="40"/>
      <c r="M39" s="16"/>
    </row>
    <row r="40" spans="2:18" ht="15.75" x14ac:dyDescent="0.25">
      <c r="E40" s="89"/>
      <c r="F40" s="35"/>
      <c r="G40" s="36"/>
      <c r="H40" s="17"/>
      <c r="I40" s="8"/>
      <c r="K40" s="95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0"/>
      <c r="F41" s="38"/>
      <c r="G41" s="25"/>
      <c r="H41" s="8"/>
      <c r="I41" s="8"/>
      <c r="K41" s="94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2025-10-11T13:36:19Z</cp:lastPrinted>
  <dcterms:created xsi:type="dcterms:W3CDTF">2004-04-07T20:43:43Z</dcterms:created>
  <dcterms:modified xsi:type="dcterms:W3CDTF">2025-10-11T13:36:24Z</dcterms:modified>
  <cp:category/>
  <cp:contentStatus/>
</cp:coreProperties>
</file>