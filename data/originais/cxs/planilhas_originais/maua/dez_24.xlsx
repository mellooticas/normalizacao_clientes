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omments1.xml" ContentType="application/vnd.openxmlformats-officedocument.spreadsheetml.comments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comments2.xml" ContentType="application/vnd.openxmlformats-officedocument.spreadsheetml.comments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4/"/>
    </mc:Choice>
  </mc:AlternateContent>
  <xr:revisionPtr revIDLastSave="739" documentId="8_{20048746-4408-4412-9F4D-B1900827C9FD}" xr6:coauthVersionLast="47" xr6:coauthVersionMax="47" xr10:uidLastSave="{B5ED9CA5-38DB-4671-9F34-2009191A3BEF}"/>
  <bookViews>
    <workbookView xWindow="-120" yWindow="-120" windowWidth="29040" windowHeight="15840" tabRatio="895" activeTab="27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85" l="1"/>
  <c r="C6" i="200" l="1"/>
  <c r="C6" i="173"/>
  <c r="C6" i="178"/>
  <c r="C6" i="179"/>
  <c r="C6" i="191"/>
  <c r="C6" i="192"/>
  <c r="C6" i="198"/>
  <c r="C6" i="172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2"/>
  <c r="C8" i="17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3" l="1"/>
  <c r="C8" i="192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Q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78"/>
  <c r="C8" i="198"/>
  <c r="C16" i="198"/>
  <c r="O11" i="198" s="1"/>
  <c r="C16" i="199"/>
  <c r="C16" i="192"/>
  <c r="O11" i="192" s="1"/>
  <c r="C16" i="197"/>
  <c r="C16" i="194"/>
  <c r="C16" i="195"/>
  <c r="C16" i="193"/>
  <c r="C16" i="191"/>
  <c r="O11" i="191" s="1"/>
  <c r="C16" i="190"/>
  <c r="C16" i="187"/>
  <c r="C16" i="186"/>
  <c r="C16" i="184"/>
  <c r="C16" i="179"/>
  <c r="O11" i="179" s="1"/>
  <c r="C16" i="181"/>
  <c r="C16" i="183"/>
  <c r="C16" i="182"/>
  <c r="C16" i="180"/>
  <c r="C16" i="176"/>
  <c r="C16" i="177"/>
  <c r="C16" i="178"/>
  <c r="O11" i="178" s="1"/>
  <c r="C16" i="172"/>
  <c r="O11" i="172" s="1"/>
  <c r="C16" i="173"/>
  <c r="O11" i="173" s="1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6"/>
  <c r="C6" i="196"/>
  <c r="C8" i="196" s="1"/>
  <c r="O11" i="197"/>
  <c r="C6" i="197"/>
  <c r="C8" i="197" s="1"/>
  <c r="O11" i="194"/>
  <c r="C6" i="194"/>
  <c r="C8" i="194" s="1"/>
  <c r="O11" i="193"/>
  <c r="C6" i="193"/>
  <c r="C8" i="193" s="1"/>
  <c r="O11" i="188"/>
  <c r="C6" i="188"/>
  <c r="C8" i="188" s="1"/>
  <c r="O11" i="190"/>
  <c r="C6" i="190"/>
  <c r="C8" i="190" s="1"/>
  <c r="O11" i="189"/>
  <c r="C6" i="189"/>
  <c r="C8" i="189" s="1"/>
  <c r="O11" i="187"/>
  <c r="C6" i="187"/>
  <c r="C8" i="187" s="1"/>
  <c r="O11" i="186"/>
  <c r="C6" i="186"/>
  <c r="C8" i="186" s="1"/>
  <c r="O11" i="185"/>
  <c r="C6" i="185"/>
  <c r="C8" i="185" s="1"/>
  <c r="O11" i="184"/>
  <c r="C6" i="184"/>
  <c r="C8" i="184" s="1"/>
  <c r="O11" i="181"/>
  <c r="C6" i="181"/>
  <c r="C8" i="181" s="1"/>
  <c r="O11" i="183"/>
  <c r="C6" i="183"/>
  <c r="C8" i="183" s="1"/>
  <c r="O11" i="182"/>
  <c r="C6" i="182"/>
  <c r="C8" i="182" s="1"/>
  <c r="O11" i="175"/>
  <c r="C6" i="175"/>
  <c r="C8" i="175" s="1"/>
  <c r="O11" i="174"/>
  <c r="C6" i="174"/>
  <c r="C8" i="174" s="1"/>
  <c r="O11" i="180"/>
  <c r="C6" i="180"/>
  <c r="C8" i="180" s="1"/>
  <c r="O11" i="176"/>
  <c r="C6" i="176"/>
  <c r="C8" i="176" s="1"/>
  <c r="O11" i="177"/>
  <c r="C6" i="177"/>
  <c r="C8" i="177" s="1"/>
  <c r="N11" i="171"/>
  <c r="C6" i="171"/>
  <c r="C8" i="171" s="1"/>
  <c r="O11" i="170"/>
  <c r="C6" i="170"/>
  <c r="C8" i="170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H6" authorId="0" shapeId="0" xr:uid="{0A3263DF-7629-4D65-A3CC-0FB5C911E6C8}">
      <text>
        <r>
          <rPr>
            <b/>
            <sz val="9"/>
            <color indexed="81"/>
            <rFont val="Segoe UI"/>
            <family val="2"/>
          </rPr>
          <t>Aline Cristina:</t>
        </r>
        <r>
          <rPr>
            <sz val="9"/>
            <color indexed="81"/>
            <rFont val="Segoe UI"/>
            <family val="2"/>
          </rPr>
          <t xml:space="preserve">
Valor da venda: 
R$ 1.190,00
Sinal: R$ 10,00 - dinheiro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H8" authorId="0" shapeId="0" xr:uid="{56F7F273-A4F2-4851-9FDC-3ABB279E8A1F}">
      <text>
        <r>
          <rPr>
            <b/>
            <sz val="9"/>
            <color indexed="81"/>
            <rFont val="Segoe UI"/>
            <family val="2"/>
          </rPr>
          <t>Aline Cristina:</t>
        </r>
        <r>
          <rPr>
            <sz val="9"/>
            <color indexed="81"/>
            <rFont val="Segoe UI"/>
            <family val="2"/>
          </rPr>
          <t xml:space="preserve">
Valor da venda: 
R$ 1.100,00
Valor do sinal: R$ 25,00 no débito</t>
        </r>
      </text>
    </comment>
  </commentList>
</comments>
</file>

<file path=xl/sharedStrings.xml><?xml version="1.0" encoding="utf-8"?>
<sst xmlns="http://schemas.openxmlformats.org/spreadsheetml/2006/main" count="1911" uniqueCount="226">
  <si>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</si>
  <si>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</si>
  <si>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</si>
  <si>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</si>
  <si>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</si>
  <si>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</si>
  <si>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</si>
  <si>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</si>
  <si>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</si>
  <si>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</si>
  <si>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</si>
  <si>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</si>
  <si>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</si>
  <si>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</si>
  <si>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</si>
  <si>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</si>
  <si>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</si>
  <si>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</si>
  <si>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</si>
  <si>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</si>
  <si>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</si>
  <si>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</si>
  <si>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</si>
  <si>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</si>
  <si>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</si>
  <si>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</si>
  <si>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</si>
  <si>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</si>
  <si>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</si>
  <si>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</si>
  <si>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</si>
  <si>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</si>
  <si>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</si>
  <si>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</si>
  <si>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</si>
  <si>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</si>
  <si>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</si>
  <si>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</si>
  <si>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</si>
  <si>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</si>
  <si>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</si>
  <si>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</si>
  <si>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</si>
  <si>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</si>
  <si>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</si>
  <si>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</si>
  <si>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</si>
  <si>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</si>
  <si>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</si>
  <si>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</si>
  <si>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</si>
  <si>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</si>
  <si>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</si>
  <si>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</si>
  <si>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</si>
  <si>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</si>
  <si>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</si>
  <si>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</si>
  <si>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</si>
  <si>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</si>
  <si>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</si>
  <si>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</si>
  <si>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</si>
  <si>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</si>
  <si>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</si>
  <si>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</si>
  <si>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</si>
  <si>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</si>
  <si>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</si>
  <si>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</si>
  <si>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</si>
  <si>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</si>
  <si>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</si>
  <si>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</si>
  <si>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</si>
  <si>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</si>
  <si>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</si>
  <si>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</si>
  <si>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</si>
  <si>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</si>
  <si>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</si>
  <si>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</si>
  <si>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</si>
  <si>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</si>
  <si>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</si>
  <si>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</si>
  <si>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</si>
  <si>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</si>
  <si>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</si>
  <si>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</si>
  <si>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</si>
  <si>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</si>
  <si>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</si>
  <si>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</si>
  <si>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</si>
  <si>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</si>
  <si>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</si>
  <si>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</si>
  <si>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</si>
  <si>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</si>
  <si>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</si>
  <si>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</si>
  <si>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</si>
  <si>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</si>
  <si>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</si>
  <si>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</si>
  <si>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</si>
  <si>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</si>
  <si>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</si>
  <si>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</si>
  <si>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</si>
  <si>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</si>
  <si>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</si>
  <si>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</si>
  <si>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</si>
  <si>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</si>
  <si>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</si>
  <si>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</si>
  <si>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</si>
  <si>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</si>
  <si>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</si>
  <si>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</si>
  <si>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</si>
  <si>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</si>
  <si>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</si>
  <si>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</si>
  <si>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</si>
  <si>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</si>
  <si>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</si>
  <si>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</si>
  <si>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</si>
  <si>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</si>
  <si>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</si>
  <si>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</si>
  <si>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</si>
  <si>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</si>
  <si>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</si>
  <si>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</si>
  <si>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</si>
  <si>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</si>
  <si>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</si>
  <si>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ILSA PAZ</t>
  </si>
  <si>
    <t>Não</t>
  </si>
  <si>
    <t>MARIA JOSE</t>
  </si>
  <si>
    <t xml:space="preserve">LUIZ BATISTA </t>
  </si>
  <si>
    <t>maria aparecida</t>
  </si>
  <si>
    <t>osias gomes</t>
  </si>
  <si>
    <t>maria edjane</t>
  </si>
  <si>
    <t>ROSALINA GON</t>
  </si>
  <si>
    <t>ROSENTE CORREA</t>
  </si>
  <si>
    <t>isaltina barbosa</t>
  </si>
  <si>
    <t>claudemir silva</t>
  </si>
  <si>
    <t>caetano inacio</t>
  </si>
  <si>
    <t>Sim</t>
  </si>
  <si>
    <t>VANI REGINA TALARICO</t>
  </si>
  <si>
    <t>RETIROU DN PAG.PIX</t>
  </si>
  <si>
    <t>NICOLAS</t>
  </si>
  <si>
    <t>PAGOU DN / FEZ PIX</t>
  </si>
  <si>
    <t>marli aparecida</t>
  </si>
  <si>
    <t>cristiano couvo</t>
  </si>
  <si>
    <t>jaqueline dos santos</t>
  </si>
  <si>
    <t>maria jesus s.stos</t>
  </si>
  <si>
    <t>lidia vieira de lima</t>
  </si>
  <si>
    <t>maria lucia calado</t>
  </si>
  <si>
    <t>mario donizete</t>
  </si>
  <si>
    <t>hilda souza</t>
  </si>
  <si>
    <t>gisleine nascimento</t>
  </si>
  <si>
    <t>jose joao</t>
  </si>
  <si>
    <t>gilda marques</t>
  </si>
  <si>
    <t>eudes conceicao</t>
  </si>
  <si>
    <t>cledison da silva</t>
  </si>
  <si>
    <t>lydia domingos</t>
  </si>
  <si>
    <t>gisleine rodrigues do nascto</t>
  </si>
  <si>
    <t>MARCIA GONÇALVES</t>
  </si>
  <si>
    <t>EVANILDA DE MOURA</t>
  </si>
  <si>
    <t>MARIA DE LOURDES</t>
  </si>
  <si>
    <t>RAQUEL BATISTA RIBEIRO</t>
  </si>
  <si>
    <t>denise braga</t>
  </si>
  <si>
    <t xml:space="preserve">fatima augusta </t>
  </si>
  <si>
    <t>fatima augusta</t>
  </si>
  <si>
    <t>maria natividade</t>
  </si>
  <si>
    <t>ABRAAO JOSE</t>
  </si>
  <si>
    <t>FRANCISCO DE ASSIS</t>
  </si>
  <si>
    <t>DANIELLE ANDRADE</t>
  </si>
  <si>
    <t>SUNAMITA RENATA</t>
  </si>
  <si>
    <t>NEIDE MARIA MENDES</t>
  </si>
  <si>
    <t>ISRAEL VIEIRA</t>
  </si>
  <si>
    <t>aldimeia pereira mendes</t>
  </si>
  <si>
    <t>nilton vicente</t>
  </si>
  <si>
    <t>danillo marques</t>
  </si>
  <si>
    <t>raquel ribeiro</t>
  </si>
  <si>
    <t>nilma de araujo</t>
  </si>
  <si>
    <t>Juliana Barbosa da Silva</t>
  </si>
  <si>
    <t xml:space="preserve">thaynara emanuelle </t>
  </si>
  <si>
    <t>marineusa da silva</t>
  </si>
  <si>
    <t>wilfrid flerival</t>
  </si>
  <si>
    <t>taynara cristina</t>
  </si>
  <si>
    <t>reinaldo romanholo</t>
  </si>
  <si>
    <t>izaias jose da silva</t>
  </si>
  <si>
    <t>MAUÁ</t>
  </si>
  <si>
    <t>rosalina gon</t>
  </si>
  <si>
    <t>marlene mamelle</t>
  </si>
  <si>
    <t>iracelio</t>
  </si>
  <si>
    <t>vitoria gonçalves</t>
  </si>
  <si>
    <t>cosme rodrigues de macedo</t>
  </si>
  <si>
    <t>mario miranda reis</t>
  </si>
  <si>
    <t>hilda souza dos santos</t>
  </si>
  <si>
    <t xml:space="preserve">luiza batista </t>
  </si>
  <si>
    <t>greice ingrid</t>
  </si>
  <si>
    <t>TRANSPTE. ROSANA</t>
  </si>
  <si>
    <t>VANESSA DAS NEVES</t>
  </si>
  <si>
    <t>LAURO MARQUES</t>
  </si>
  <si>
    <t>anderson oliveira martins</t>
  </si>
  <si>
    <t>angela oliveira martins</t>
  </si>
  <si>
    <t>maria luiza</t>
  </si>
  <si>
    <t>vani regina talarico</t>
  </si>
  <si>
    <t>EEROTILDES CAPUCHO</t>
  </si>
  <si>
    <t>ELIZABETH ALVES</t>
  </si>
  <si>
    <t xml:space="preserve">JOAO VITOR </t>
  </si>
  <si>
    <t>CANCELADO</t>
  </si>
  <si>
    <t>ODILIA BRAZ DE ANDRADE</t>
  </si>
  <si>
    <t>Creusa Moreira</t>
  </si>
  <si>
    <t>Benedito Araujo de Souza</t>
  </si>
  <si>
    <t>Marineusa da Silva Araujo</t>
  </si>
  <si>
    <t>Lindalva Cavalcante Alvarez</t>
  </si>
  <si>
    <t>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</si>
</sst>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22"/>
      <name val="Arial Black"/>
      <family val="2"/>
    </font>
    <font>
      <b/>
      <sz val="22"/>
      <name val="Century Gothic"/>
      <family val="2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0" fontId="36" fillId="0" borderId="0" xfId="0" applyFont="1"/>
    <xf numFmtId="165" fontId="17" fillId="6" borderId="12" xfId="2" applyNumberFormat="1" applyFont="1" applyFill="1" applyBorder="1" applyAlignment="1" applyProtection="1">
      <alignment horizontal="center" vertical="center"/>
    </xf>
    <xf numFmtId="164" fontId="5" fillId="0" borderId="17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164" fontId="37" fillId="0" borderId="18" xfId="2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19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5.xml"/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Relationship Id="rId9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9.xml"/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Relationship Id="rId9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H15" sqref="H15"/>
    </sheetView>
  </sheetViews>
  <sheetFormatPr defaultColWidth="21.28515625" defaultRowHeight="12.75" x14ac:dyDescent="0.2"/>
  <cols>
    <col min="2" max="2" width="22.7109375" customWidth="1"/>
  </cols>
  <sheetData>
    <row r="1" spans="1:16" ht="33.75" x14ac:dyDescent="0.65">
      <c r="B1" s="78"/>
      <c r="G1" s="94" t="s">
        <v>199</v>
      </c>
      <c r="H1" s="94"/>
      <c r="P1" t="s">
        <v>127</v>
      </c>
    </row>
    <row r="2" spans="1:16" ht="18.75" x14ac:dyDescent="0.2">
      <c r="A2" s="18" t="s">
        <v>0</v>
      </c>
      <c r="B2" s="79" t="s">
        <v>13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17730.29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17839.12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40</v>
      </c>
      <c r="P5" t="s">
        <v>131</v>
      </c>
    </row>
    <row r="6" spans="1:16" ht="15.75" x14ac:dyDescent="0.25">
      <c r="A6" s="27" t="s">
        <v>4</v>
      </c>
      <c r="B6" s="28">
        <f ca="1">SUM(B4:B5)</f>
        <v>17879.12</v>
      </c>
      <c r="C6">
        <f>C16</f>
        <v>0</v>
      </c>
      <c r="E6" s="37"/>
      <c r="F6" s="37"/>
      <c r="G6" s="37"/>
      <c r="H6" s="37"/>
      <c r="I6" s="37"/>
      <c r="K6" s="37"/>
      <c r="L6" s="37"/>
      <c r="M6" s="37"/>
      <c r="P6" t="s">
        <v>132</v>
      </c>
    </row>
    <row r="7" spans="1:16" ht="15" x14ac:dyDescent="0.25">
      <c r="A7" s="2"/>
      <c r="B7" s="2"/>
      <c r="E7" s="37"/>
      <c r="F7" s="37"/>
      <c r="G7" s="37"/>
      <c r="H7" s="37"/>
      <c r="I7" s="37"/>
      <c r="K7" s="37"/>
      <c r="L7" s="37"/>
      <c r="M7" s="37"/>
      <c r="P7" t="s">
        <v>133</v>
      </c>
    </row>
    <row r="8" spans="1:16" ht="15" x14ac:dyDescent="0.2">
      <c r="A8" s="93" t="s">
        <v>5</v>
      </c>
      <c r="B8" s="93"/>
      <c r="E8" s="37"/>
      <c r="F8" s="37"/>
      <c r="G8" s="37"/>
      <c r="H8" s="37"/>
      <c r="I8" s="37"/>
      <c r="K8" s="37"/>
      <c r="L8" s="37"/>
      <c r="M8" s="37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2746.3</v>
      </c>
      <c r="E9" s="37"/>
      <c r="F9" s="37"/>
      <c r="G9" s="37"/>
      <c r="H9" s="37"/>
      <c r="I9" s="37"/>
      <c r="K9" s="37"/>
      <c r="L9" s="37"/>
      <c r="M9" s="37"/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4705</v>
      </c>
      <c r="E10" s="37"/>
      <c r="F10" s="37"/>
      <c r="G10" s="37"/>
      <c r="H10" s="37"/>
      <c r="I10" s="37"/>
      <c r="K10" s="37"/>
      <c r="L10" s="37"/>
      <c r="M10" s="37"/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5144.3</v>
      </c>
      <c r="E11" s="37"/>
      <c r="F11" s="37"/>
      <c r="G11" s="37"/>
      <c r="H11" s="37"/>
      <c r="I11" s="37"/>
      <c r="K11" s="37"/>
      <c r="L11" s="37"/>
      <c r="M11" s="37"/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37"/>
      <c r="F12" s="37"/>
      <c r="G12" s="37"/>
      <c r="H12" s="37"/>
      <c r="I12" s="37"/>
      <c r="P12" t="s">
        <v>138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5243.52</v>
      </c>
      <c r="E13" s="37"/>
      <c r="F13" s="37"/>
      <c r="G13" s="37"/>
      <c r="H13" s="37"/>
      <c r="I13" s="37"/>
      <c r="P13" t="s">
        <v>139</v>
      </c>
    </row>
    <row r="14" spans="1:16" ht="15.75" x14ac:dyDescent="0.25">
      <c r="A14" s="27" t="s">
        <v>11</v>
      </c>
      <c r="B14" s="57">
        <f ca="1">SUM(B9:B13)</f>
        <v>17839.120000000003</v>
      </c>
      <c r="E14" s="37"/>
      <c r="F14" s="37"/>
      <c r="G14" s="37"/>
      <c r="H14" s="37"/>
      <c r="I14" s="37"/>
    </row>
    <row r="15" spans="1:16" ht="15" x14ac:dyDescent="0.25">
      <c r="A15" s="2"/>
      <c r="B15" s="2"/>
      <c r="E15" s="37"/>
      <c r="F15" s="37"/>
      <c r="G15" s="37"/>
      <c r="H15" s="37"/>
      <c r="I15" s="37"/>
      <c r="K15" s="37"/>
      <c r="L15" s="37"/>
      <c r="M15" s="37"/>
    </row>
    <row r="16" spans="1:16" ht="15" x14ac:dyDescent="0.2">
      <c r="A16" s="93" t="s">
        <v>12</v>
      </c>
      <c r="B16" s="93"/>
      <c r="E16" s="37"/>
      <c r="F16" s="37"/>
      <c r="G16" s="37"/>
      <c r="H16" s="37"/>
      <c r="I16" s="37"/>
      <c r="K16" s="37"/>
      <c r="L16" s="37"/>
      <c r="M16" s="37"/>
    </row>
    <row r="17" spans="1:13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4639</v>
      </c>
      <c r="E17" s="37"/>
      <c r="F17" s="37"/>
      <c r="G17" s="37"/>
      <c r="H17" s="37"/>
      <c r="I17" s="37"/>
      <c r="K17" s="37"/>
      <c r="L17" s="37"/>
      <c r="M17" s="37"/>
    </row>
    <row r="18" spans="1:13" ht="15.75" x14ac:dyDescent="0.25">
      <c r="A18" s="27" t="s">
        <v>11</v>
      </c>
      <c r="B18" s="57">
        <f>SUM(B17:B17)</f>
        <v>4639</v>
      </c>
      <c r="E18" s="37"/>
      <c r="F18" s="37"/>
      <c r="G18" s="37"/>
      <c r="H18" s="37"/>
      <c r="I18" s="37"/>
      <c r="K18" s="37"/>
      <c r="L18" s="37"/>
      <c r="M18" s="37"/>
    </row>
    <row r="19" spans="1:13" x14ac:dyDescent="0.2">
      <c r="E19" s="37"/>
      <c r="F19" s="37"/>
      <c r="G19" s="37"/>
      <c r="H19" s="37"/>
      <c r="I19" s="37"/>
      <c r="K19" s="37"/>
      <c r="L19" s="37"/>
      <c r="M19" s="37"/>
    </row>
    <row r="20" spans="1:13" x14ac:dyDescent="0.2">
      <c r="E20" s="37"/>
      <c r="F20" s="37"/>
      <c r="G20" s="37"/>
      <c r="H20" s="37"/>
      <c r="I20" s="37"/>
      <c r="K20" s="37"/>
      <c r="L20" s="37"/>
      <c r="M20" s="37"/>
    </row>
    <row r="21" spans="1:13" x14ac:dyDescent="0.2">
      <c r="E21" s="37"/>
      <c r="F21" s="37"/>
      <c r="G21" s="37"/>
      <c r="H21" s="37"/>
      <c r="I21" s="37"/>
      <c r="K21" s="37"/>
      <c r="L21" s="37"/>
      <c r="M21" s="37"/>
    </row>
    <row r="22" spans="1:13" x14ac:dyDescent="0.2">
      <c r="E22" s="37"/>
      <c r="F22" s="37"/>
      <c r="G22" s="37"/>
      <c r="H22" s="37"/>
      <c r="I22" s="37"/>
      <c r="K22" s="37"/>
      <c r="L22" s="37"/>
      <c r="M22" s="37"/>
    </row>
    <row r="23" spans="1:13" x14ac:dyDescent="0.2">
      <c r="K23" s="37"/>
      <c r="L23" s="37"/>
      <c r="M23" s="37"/>
    </row>
    <row r="24" spans="1:13" x14ac:dyDescent="0.2">
      <c r="K24" s="37"/>
      <c r="L24" s="37"/>
      <c r="M24" s="37"/>
    </row>
    <row r="25" spans="1:13" x14ac:dyDescent="0.2">
      <c r="K25" s="37"/>
      <c r="L25" s="37"/>
      <c r="M25" s="37"/>
    </row>
    <row r="26" spans="1:13" x14ac:dyDescent="0.2">
      <c r="E26" s="37"/>
      <c r="F26" s="37"/>
      <c r="G26" s="37"/>
      <c r="H26" s="37"/>
      <c r="I26" s="37"/>
      <c r="K26" s="37"/>
      <c r="L26" s="37"/>
      <c r="M26" s="37"/>
    </row>
    <row r="27" spans="1:13" x14ac:dyDescent="0.2">
      <c r="E27" s="37"/>
      <c r="F27" s="37"/>
      <c r="G27" s="37"/>
      <c r="H27" s="37"/>
      <c r="I27" s="37"/>
      <c r="K27" s="37"/>
      <c r="L27" s="37"/>
      <c r="M27" s="37"/>
    </row>
    <row r="28" spans="1:13" x14ac:dyDescent="0.2">
      <c r="E28" s="37"/>
      <c r="F28" s="37"/>
      <c r="G28" s="37"/>
      <c r="H28" s="37"/>
      <c r="I28" s="37"/>
      <c r="K28" s="37"/>
      <c r="L28" s="37"/>
      <c r="M28" s="37"/>
    </row>
    <row r="29" spans="1:13" x14ac:dyDescent="0.2">
      <c r="E29" s="37"/>
      <c r="F29" s="37"/>
      <c r="G29" s="37"/>
      <c r="H29" s="37"/>
      <c r="I29" s="37"/>
      <c r="K29" s="37"/>
      <c r="L29" s="37"/>
      <c r="M29" s="37"/>
    </row>
    <row r="30" spans="1:13" x14ac:dyDescent="0.2">
      <c r="E30" s="37"/>
      <c r="F30" s="37"/>
      <c r="G30" s="37"/>
      <c r="H30" s="37"/>
      <c r="I30" s="37"/>
      <c r="K30" s="37"/>
      <c r="L30" s="37"/>
      <c r="M30" s="37"/>
    </row>
    <row r="31" spans="1:13" x14ac:dyDescent="0.2">
      <c r="E31" s="37"/>
      <c r="F31" s="37"/>
      <c r="G31" s="37"/>
      <c r="H31" s="37"/>
      <c r="I31" s="37"/>
      <c r="K31" s="37"/>
      <c r="L31" s="37"/>
      <c r="M31" s="37"/>
    </row>
    <row r="35" spans="5:13" x14ac:dyDescent="0.2">
      <c r="E35" s="37"/>
      <c r="F35" s="37"/>
      <c r="G35" s="37"/>
      <c r="H35" s="37"/>
      <c r="I35" s="37"/>
      <c r="K35" s="37"/>
      <c r="L35" s="37"/>
      <c r="M35" s="37"/>
    </row>
    <row r="36" spans="5:13" x14ac:dyDescent="0.2">
      <c r="E36" s="37"/>
      <c r="F36" s="37"/>
      <c r="G36" s="37"/>
      <c r="H36" s="37"/>
      <c r="I36" s="37"/>
      <c r="K36" s="37"/>
      <c r="L36" s="37"/>
      <c r="M36" s="37"/>
    </row>
    <row r="37" spans="5:13" x14ac:dyDescent="0.2">
      <c r="E37" s="37"/>
      <c r="F37" s="37"/>
      <c r="G37" s="37"/>
      <c r="H37" s="37"/>
      <c r="I37" s="37"/>
      <c r="K37" s="37"/>
      <c r="L37" s="37"/>
      <c r="M37" s="37"/>
    </row>
    <row r="38" spans="5:13" x14ac:dyDescent="0.2">
      <c r="E38" s="37"/>
      <c r="F38" s="37"/>
      <c r="G38" s="37"/>
      <c r="H38" s="37"/>
      <c r="I38" s="37"/>
      <c r="K38" s="37"/>
      <c r="L38" s="37"/>
      <c r="M38" s="37"/>
    </row>
    <row r="39" spans="5:13" x14ac:dyDescent="0.2">
      <c r="E39" s="37"/>
      <c r="F39" s="37"/>
      <c r="G39" s="37"/>
      <c r="H39" s="37"/>
      <c r="I39" s="37"/>
      <c r="K39" s="37"/>
      <c r="L39" s="37"/>
      <c r="M39" s="37"/>
    </row>
    <row r="40" spans="5:13" x14ac:dyDescent="0.2">
      <c r="E40" s="37"/>
      <c r="F40" s="37"/>
      <c r="G40" s="37"/>
      <c r="H40" s="37"/>
      <c r="I40" s="37"/>
      <c r="K40" s="37"/>
      <c r="L40" s="37"/>
      <c r="M40" s="37"/>
    </row>
    <row r="41" spans="5:13" x14ac:dyDescent="0.2">
      <c r="E41" s="37"/>
      <c r="F41" s="37"/>
      <c r="G41" s="37"/>
      <c r="H41" s="37"/>
      <c r="I41" s="37"/>
      <c r="K41" s="37"/>
      <c r="L41" s="37"/>
      <c r="M41" s="37"/>
    </row>
  </sheetData>
  <dataConsolidate/>
  <mergeCells count="3">
    <mergeCell ref="A8:B8"/>
    <mergeCell ref="A16:B16"/>
    <mergeCell ref="G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C1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v>45627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4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'01'!B1+1</f>
        <v>45628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320</v>
      </c>
      <c r="D6" s="2"/>
      <c r="E6" s="64">
        <v>4658</v>
      </c>
      <c r="F6" s="24" t="s">
        <v>141</v>
      </c>
      <c r="G6" s="43" t="s">
        <v>8</v>
      </c>
      <c r="H6" s="8">
        <v>90</v>
      </c>
      <c r="I6" s="8">
        <v>90</v>
      </c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320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230</v>
      </c>
      <c r="D12" s="2"/>
      <c r="E12" s="64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90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>
        <v>4636</v>
      </c>
      <c r="L15" s="9" t="s">
        <v>136</v>
      </c>
      <c r="M15" s="16" t="s">
        <v>142</v>
      </c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320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90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4640</v>
      </c>
      <c r="F26" s="24" t="s">
        <v>176</v>
      </c>
      <c r="G26" s="25" t="s">
        <v>7</v>
      </c>
      <c r="H26" s="8"/>
      <c r="I26" s="8">
        <v>230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64"/>
      <c r="F35" s="24"/>
      <c r="G35" s="25"/>
      <c r="H35" s="8"/>
      <c r="I35" s="8"/>
      <c r="K35" s="71"/>
      <c r="L35" s="40"/>
      <c r="M35" s="16"/>
    </row>
    <row r="36" spans="2:21" ht="15.75" x14ac:dyDescent="0.25">
      <c r="E36" s="64"/>
      <c r="F36" s="24"/>
      <c r="G36" s="25"/>
      <c r="H36" s="8"/>
      <c r="I36" s="8"/>
      <c r="K36" s="71"/>
      <c r="L36" s="40"/>
      <c r="M36" s="16"/>
    </row>
    <row r="37" spans="2:21" ht="15.75" x14ac:dyDescent="0.25">
      <c r="E37" s="64"/>
      <c r="F37" s="24"/>
      <c r="G37" s="25"/>
      <c r="H37" s="8"/>
      <c r="I37" s="8"/>
      <c r="K37" s="71"/>
      <c r="L37" s="40"/>
      <c r="M37" s="16"/>
    </row>
    <row r="38" spans="2:21" ht="15.75" x14ac:dyDescent="0.25">
      <c r="E38" s="64"/>
      <c r="F38" s="24"/>
      <c r="G38" s="25"/>
      <c r="H38" s="8"/>
      <c r="I38" s="8"/>
      <c r="K38" s="71"/>
      <c r="L38" s="40"/>
      <c r="M38" s="16"/>
    </row>
    <row r="39" spans="2:21" ht="15.75" x14ac:dyDescent="0.25">
      <c r="E39" s="64"/>
      <c r="F39" s="38"/>
      <c r="G39" s="25"/>
      <c r="H39" s="8"/>
      <c r="I39" s="8"/>
      <c r="K39" s="71"/>
      <c r="L39" s="40"/>
      <c r="M39" s="16"/>
    </row>
    <row r="40" spans="2:21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21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G35:G41 G26:G31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K15:K31 E35:E41 K35:K41 E26:E31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'02'!B1+1</f>
        <v>45629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</v>
      </c>
      <c r="D6" s="2"/>
      <c r="E6" s="64">
        <v>4659</v>
      </c>
      <c r="F6" s="24" t="s">
        <v>143</v>
      </c>
      <c r="G6" s="43" t="s">
        <v>40</v>
      </c>
      <c r="H6" s="8">
        <v>0</v>
      </c>
      <c r="I6" s="8">
        <v>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10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10</v>
      </c>
      <c r="D15" s="2"/>
      <c r="E15" s="64"/>
      <c r="F15" s="24"/>
      <c r="G15" s="25"/>
      <c r="H15" s="8"/>
      <c r="I15" s="8"/>
      <c r="J15" s="2"/>
      <c r="K15" s="71">
        <v>4623</v>
      </c>
      <c r="L15" s="9" t="s">
        <v>136</v>
      </c>
      <c r="M15" s="16" t="s">
        <v>142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10</v>
      </c>
      <c r="D16" s="2"/>
      <c r="E16" s="64"/>
      <c r="F16" s="24"/>
      <c r="G16" s="25"/>
      <c r="H16" s="8"/>
      <c r="I16" s="8"/>
      <c r="J16" s="2"/>
      <c r="K16" s="71">
        <v>4638</v>
      </c>
      <c r="L16" s="9" t="s">
        <v>132</v>
      </c>
      <c r="M16" s="16" t="s">
        <v>142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4639</v>
      </c>
      <c r="L17" s="9" t="s">
        <v>132</v>
      </c>
      <c r="M17" s="16" t="s">
        <v>142</v>
      </c>
      <c r="R17" s="1">
        <f>IF(vend3[[#This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4623</v>
      </c>
      <c r="F26" s="24" t="s">
        <v>144</v>
      </c>
      <c r="G26" s="43" t="s">
        <v>10</v>
      </c>
      <c r="H26" s="8"/>
      <c r="I26" s="8">
        <v>10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4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'03'!B1+1</f>
        <v>45630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185.3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450.3</v>
      </c>
      <c r="D6" s="2"/>
      <c r="E6" s="64">
        <v>4660</v>
      </c>
      <c r="F6" s="24" t="s">
        <v>147</v>
      </c>
      <c r="G6" s="43" t="s">
        <v>8</v>
      </c>
      <c r="H6" s="8">
        <v>185.3</v>
      </c>
      <c r="I6" s="8">
        <v>185.3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450.3</v>
      </c>
      <c r="D8" s="2"/>
      <c r="E8" s="64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185.3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265</v>
      </c>
      <c r="D15" s="2"/>
      <c r="E15" s="64"/>
      <c r="F15" s="24"/>
      <c r="G15" s="25"/>
      <c r="H15" s="8"/>
      <c r="I15" s="8"/>
      <c r="J15" s="2"/>
      <c r="K15" s="71"/>
      <c r="L15" s="9"/>
      <c r="M15" s="50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450.3</v>
      </c>
      <c r="D16" s="2"/>
      <c r="E16" s="64"/>
      <c r="F16" s="24"/>
      <c r="G16" s="25"/>
      <c r="H16" s="8"/>
      <c r="I16" s="8"/>
      <c r="J16" s="2"/>
      <c r="K16" s="71"/>
      <c r="L16" s="9"/>
      <c r="M16" s="5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50"/>
      <c r="R17" s="1">
        <f>IF(vend4[[#This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185.3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43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43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4612</v>
      </c>
      <c r="F35" s="24" t="s">
        <v>145</v>
      </c>
      <c r="G35" s="25" t="s">
        <v>10</v>
      </c>
      <c r="H35" s="8">
        <v>85</v>
      </c>
      <c r="I35" s="8" t="s">
        <v>35</v>
      </c>
      <c r="K35" s="71"/>
      <c r="L35" s="40"/>
      <c r="M35" s="16"/>
    </row>
    <row r="36" spans="2:18" ht="15.75" x14ac:dyDescent="0.25">
      <c r="E36" s="64">
        <v>4031</v>
      </c>
      <c r="F36" s="24" t="s">
        <v>146</v>
      </c>
      <c r="G36" s="25" t="s">
        <v>10</v>
      </c>
      <c r="H36" s="8">
        <v>180</v>
      </c>
      <c r="I36" s="8" t="s">
        <v>81</v>
      </c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Q41"/>
  <sheetViews>
    <sheetView showGridLines="0" view="pageBreakPreview" zoomScale="60" zoomScaleNormal="9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7" width="2.42578125" style="1" hidden="1" customWidth="1"/>
    <col min="18" max="19" width="0" style="1" hidden="1" customWidth="1"/>
    <col min="20" max="16384" width="9.140625" style="1"/>
  </cols>
  <sheetData>
    <row r="1" spans="2:17" ht="33.75" x14ac:dyDescent="0.65">
      <c r="B1" s="77">
        <f>'04'!B1+1</f>
        <v>45631</v>
      </c>
      <c r="G1" s="95" t="s">
        <v>199</v>
      </c>
      <c r="H1" s="95"/>
    </row>
    <row r="2" spans="2:17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7" ht="15" x14ac:dyDescent="0.25">
      <c r="B5" s="22" t="s">
        <v>1</v>
      </c>
      <c r="C5" s="23">
        <f>SUMIF(I6:I31,"&gt;0",H6:H31)</f>
        <v>849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7" ht="15.75" x14ac:dyDescent="0.25">
      <c r="B6" s="22" t="s">
        <v>2</v>
      </c>
      <c r="C6" s="23">
        <f>C16</f>
        <v>989</v>
      </c>
      <c r="D6" s="2"/>
      <c r="E6" s="64">
        <v>4661</v>
      </c>
      <c r="F6" s="24" t="s">
        <v>149</v>
      </c>
      <c r="G6" s="43" t="s">
        <v>8</v>
      </c>
      <c r="H6" s="8">
        <v>550</v>
      </c>
      <c r="I6" s="8">
        <v>550</v>
      </c>
      <c r="J6" s="2"/>
      <c r="K6" s="24" t="s">
        <v>156</v>
      </c>
      <c r="L6" s="9" t="s">
        <v>157</v>
      </c>
      <c r="M6" s="16">
        <v>10</v>
      </c>
      <c r="Q6" s="1">
        <f>IF(vend5[[#This Row],[Nº Venda]]&gt;1,1,0)</f>
        <v>1</v>
      </c>
    </row>
    <row r="7" spans="2:17" ht="15.75" x14ac:dyDescent="0.25">
      <c r="B7" s="22" t="s">
        <v>3</v>
      </c>
      <c r="C7" s="23">
        <f>SUM(M6:M11)</f>
        <v>10</v>
      </c>
      <c r="D7" s="2"/>
      <c r="E7" s="64">
        <v>4662</v>
      </c>
      <c r="F7" s="24" t="s">
        <v>149</v>
      </c>
      <c r="G7" s="43" t="s">
        <v>8</v>
      </c>
      <c r="H7" s="8">
        <v>299</v>
      </c>
      <c r="I7" s="8">
        <v>299</v>
      </c>
      <c r="J7" s="2"/>
      <c r="K7" s="24"/>
      <c r="L7" s="9"/>
      <c r="M7" s="16"/>
      <c r="Q7" s="1">
        <f>IF(vend5[[#This Row],[Nº Venda]]&gt;1,1,0)</f>
        <v>1</v>
      </c>
    </row>
    <row r="8" spans="2:17" ht="15.75" x14ac:dyDescent="0.25">
      <c r="B8" s="27" t="s">
        <v>21</v>
      </c>
      <c r="C8" s="28">
        <f>SUM(C6:C7)</f>
        <v>999</v>
      </c>
      <c r="D8" s="2"/>
      <c r="E8" s="64">
        <v>4663</v>
      </c>
      <c r="F8" s="24" t="s">
        <v>148</v>
      </c>
      <c r="G8" s="43" t="s">
        <v>6</v>
      </c>
      <c r="H8" s="87"/>
      <c r="I8" s="8">
        <v>30</v>
      </c>
      <c r="J8" s="2"/>
      <c r="K8" s="24"/>
      <c r="L8" s="9"/>
      <c r="M8" s="16"/>
      <c r="Q8" s="1">
        <f>IF(vend5[[#This Row],[Nº Venda]]&gt;1,1,0)</f>
        <v>1</v>
      </c>
    </row>
    <row r="9" spans="2:17" ht="15.75" x14ac:dyDescent="0.25">
      <c r="B9" s="2"/>
      <c r="C9" s="2"/>
      <c r="D9" s="2"/>
      <c r="E9" s="64"/>
      <c r="F9" s="24"/>
      <c r="G9" s="43"/>
      <c r="H9" s="8"/>
      <c r="I9" s="8"/>
      <c r="J9" s="2"/>
      <c r="K9" s="24"/>
      <c r="L9" s="9"/>
      <c r="M9" s="16"/>
      <c r="Q9" s="1">
        <f>IF(vend5[[#This Row],[Nº Venda]]&gt;1,1,0)</f>
        <v>0</v>
      </c>
    </row>
    <row r="10" spans="2:17" ht="15.75" x14ac:dyDescent="0.25">
      <c r="B10" s="93" t="s">
        <v>5</v>
      </c>
      <c r="C10" s="93"/>
      <c r="D10" s="2"/>
      <c r="E10" s="64"/>
      <c r="F10" s="24"/>
      <c r="G10" s="43"/>
      <c r="H10" s="8"/>
      <c r="I10" s="8"/>
      <c r="J10" s="2"/>
      <c r="K10" s="24"/>
      <c r="L10" s="9"/>
      <c r="M10" s="16"/>
      <c r="Q10" s="1">
        <f>IF(vend5[[#This Row],[Nº Venda]]&gt;1,1,0)</f>
        <v>0</v>
      </c>
    </row>
    <row r="11" spans="2:17" ht="15.75" x14ac:dyDescent="0.25">
      <c r="B11" s="29" t="s">
        <v>6</v>
      </c>
      <c r="C11" s="30">
        <f>(SUMIF($G$2:$G$31,B11,$I$2:$I$31))+(SUMIF($G$35:$G$41,B11,$H$35:$H$41))</f>
        <v>140</v>
      </c>
      <c r="D11" s="2"/>
      <c r="E11" s="64"/>
      <c r="F11" s="24"/>
      <c r="G11" s="43"/>
      <c r="H11" s="8"/>
      <c r="I11" s="8"/>
      <c r="J11" s="2"/>
      <c r="K11" s="26"/>
      <c r="L11" s="9"/>
      <c r="M11" s="16"/>
      <c r="N11" s="1">
        <f>IF(C16=0,0,1)</f>
        <v>1</v>
      </c>
      <c r="Q11" s="1">
        <f>IF(vend5[[#This Row],[Nº Venda]]&gt;1,1,0)</f>
        <v>0</v>
      </c>
    </row>
    <row r="12" spans="2:17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Q12" s="1">
        <f>IF(vend5[[#This Row],[Nº Venda]]&gt;1,1,0)</f>
        <v>0</v>
      </c>
    </row>
    <row r="13" spans="2:17" ht="15.75" x14ac:dyDescent="0.25">
      <c r="B13" s="29" t="s">
        <v>8</v>
      </c>
      <c r="C13" s="30">
        <f t="shared" si="0"/>
        <v>849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Q13" s="1">
        <f>IF(vend5[[#This Row],[Nº Venda]]&gt;1,1,0)</f>
        <v>0</v>
      </c>
    </row>
    <row r="14" spans="2:17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>
        <v>60</v>
      </c>
      <c r="J14" s="2"/>
      <c r="K14" s="14" t="s">
        <v>23</v>
      </c>
      <c r="L14" s="6" t="s">
        <v>24</v>
      </c>
      <c r="M14" s="15" t="s">
        <v>25</v>
      </c>
      <c r="Q14" s="1">
        <f>IF(vend5[[#This Row],[Nº Venda]]&gt;1,1,0)</f>
        <v>0</v>
      </c>
    </row>
    <row r="15" spans="2:17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>
        <v>4622</v>
      </c>
      <c r="L15" s="9" t="s">
        <v>136</v>
      </c>
      <c r="M15" s="85" t="s">
        <v>142</v>
      </c>
      <c r="Q15" s="1">
        <f>IF(vend5[[#This Row],[Nº Venda]]&gt;1,1,0)</f>
        <v>0</v>
      </c>
    </row>
    <row r="16" spans="2:17" ht="15.75" x14ac:dyDescent="0.25">
      <c r="B16" s="27" t="s">
        <v>11</v>
      </c>
      <c r="C16" s="31">
        <f>SUM(C11:C15)</f>
        <v>989</v>
      </c>
      <c r="D16" s="2"/>
      <c r="E16" s="64"/>
      <c r="F16" s="24"/>
      <c r="G16" s="25"/>
      <c r="H16" s="8"/>
      <c r="I16" s="8"/>
      <c r="J16" s="2"/>
      <c r="K16" s="71">
        <v>4644</v>
      </c>
      <c r="L16" s="9" t="s">
        <v>136</v>
      </c>
      <c r="M16" s="83" t="s">
        <v>142</v>
      </c>
      <c r="Q16" s="1">
        <f>IF(vend5[[#This Row],[Nº Venda]]&gt;1,1,0)</f>
        <v>0</v>
      </c>
    </row>
    <row r="17" spans="2:17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4645</v>
      </c>
      <c r="L17" s="9" t="s">
        <v>136</v>
      </c>
      <c r="M17" s="16" t="s">
        <v>142</v>
      </c>
      <c r="Q17" s="1">
        <f>IF(vend5[[#This Row],[Nº Venda]]&gt;1,1,0)</f>
        <v>0</v>
      </c>
    </row>
    <row r="18" spans="2:17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Q18" s="1">
        <f>IF(vend5[[#This Row],[Nº Venda]]&gt;1,1,0)</f>
        <v>0</v>
      </c>
    </row>
    <row r="19" spans="2:17" ht="15.75" x14ac:dyDescent="0.25">
      <c r="B19" s="29">
        <f>COUNT(entr_carn5[OS])</f>
        <v>0</v>
      </c>
      <c r="C19" s="30">
        <f>SUM(entr_carn5[Valor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Q19" s="1">
        <f>IF(vend5[[#This Row],[Nº Venda]]&gt;1,1,0)</f>
        <v>0</v>
      </c>
    </row>
    <row r="20" spans="2:17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Q20" s="1">
        <f>IF(vend5[[#This Row],[Nº Venda]]&gt;1,1,0)</f>
        <v>0</v>
      </c>
    </row>
    <row r="21" spans="2:17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7" ht="15.75" x14ac:dyDescent="0.25">
      <c r="B22" s="27" t="s">
        <v>26</v>
      </c>
      <c r="C22" s="31">
        <f>C5</f>
        <v>849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7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7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7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7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7" ht="15.75" x14ac:dyDescent="0.25">
      <c r="B27" s="2"/>
      <c r="C27" s="2"/>
      <c r="D27" s="2"/>
      <c r="E27" s="64"/>
      <c r="F27" s="24"/>
      <c r="G27" s="43"/>
      <c r="H27" s="8"/>
      <c r="I27" s="8"/>
      <c r="J27" s="2"/>
      <c r="K27" s="71"/>
      <c r="L27" s="9"/>
      <c r="M27" s="16"/>
    </row>
    <row r="28" spans="2:17" ht="15.75" x14ac:dyDescent="0.25">
      <c r="B28" s="2"/>
      <c r="C28" s="2"/>
      <c r="D28" s="2"/>
      <c r="E28" s="64"/>
      <c r="F28" s="24"/>
      <c r="G28" s="43"/>
      <c r="H28" s="8"/>
      <c r="I28" s="8"/>
      <c r="J28" s="2"/>
      <c r="K28" s="71"/>
      <c r="L28" s="9"/>
      <c r="M28" s="16"/>
    </row>
    <row r="29" spans="2:17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7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7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7" ht="15" x14ac:dyDescent="0.25">
      <c r="B32" s="2"/>
      <c r="C32" s="2"/>
      <c r="E32" s="32"/>
    </row>
    <row r="33" spans="2:17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7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7" ht="15.75" x14ac:dyDescent="0.25">
      <c r="E35" s="64">
        <v>4527</v>
      </c>
      <c r="F35" s="24" t="s">
        <v>158</v>
      </c>
      <c r="G35" s="25" t="s">
        <v>6</v>
      </c>
      <c r="H35" s="8">
        <v>110</v>
      </c>
      <c r="I35" s="8" t="s">
        <v>69</v>
      </c>
      <c r="K35" s="71"/>
      <c r="L35" s="40"/>
      <c r="M35" s="16"/>
    </row>
    <row r="36" spans="2:17" ht="15.75" x14ac:dyDescent="0.25">
      <c r="E36" s="70"/>
      <c r="F36" s="24"/>
      <c r="G36" s="25"/>
      <c r="H36" s="8"/>
      <c r="I36" s="8"/>
      <c r="K36" s="71"/>
      <c r="L36" s="40"/>
      <c r="M36" s="16"/>
    </row>
    <row r="37" spans="2:17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7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7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7" ht="15.75" x14ac:dyDescent="0.25">
      <c r="E40" s="65"/>
      <c r="F40" s="35"/>
      <c r="G40" s="36"/>
      <c r="H40" s="17"/>
      <c r="I40" s="8"/>
      <c r="K40" s="72"/>
      <c r="L40" s="41"/>
      <c r="M40" s="39"/>
      <c r="P40" s="1" t="s">
        <v>36</v>
      </c>
      <c r="Q40" s="1">
        <f>SUM(Q6:Q21)</f>
        <v>3</v>
      </c>
    </row>
    <row r="41" spans="2:17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C1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'05'!B1+1</f>
        <v>45632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749</v>
      </c>
      <c r="D6" s="2"/>
      <c r="E6" s="64">
        <v>4664</v>
      </c>
      <c r="F6" s="24" t="s">
        <v>150</v>
      </c>
      <c r="G6" s="25" t="s">
        <v>8</v>
      </c>
      <c r="H6" s="8">
        <v>70</v>
      </c>
      <c r="I6" s="8">
        <v>70</v>
      </c>
      <c r="J6" s="2"/>
      <c r="K6" s="24" t="s">
        <v>156</v>
      </c>
      <c r="L6" s="9" t="s">
        <v>155</v>
      </c>
      <c r="M6" s="16">
        <v>10</v>
      </c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10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759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80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61">
        <f>(SUMIF($G$2:$G$31,B11,$I$2:$I$31))+(SUMIF($G$35:$G$41,B11,$H$35:$H$41))</f>
        <v>379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61">
        <f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61">
        <f>(SUMIF($G$2:$G$31,B13,$I$2:$I$31))+(SUMIF($G$35:$G$41,B13,$H$35:$H$41))</f>
        <v>70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IF(vend[[#This Row],[Nº Venda]]&gt;1,1,0)</f>
        <v>0</v>
      </c>
    </row>
    <row r="14" spans="2:18" ht="15.75" x14ac:dyDescent="0.25">
      <c r="B14" s="29" t="s">
        <v>9</v>
      </c>
      <c r="C14" s="61">
        <f>(SUMIF($G$2:$G$31,B14,$I$2:$I$31))+(SUMIF($G$35:$G$41,B14,$H$35:$H$41))</f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61">
        <f>(SUMIF($G$2:$G$31,B15,$I$2:$I$31))+(SUMIF($G$35:$G$41,B15,$H$35:$H$41))</f>
        <v>300</v>
      </c>
      <c r="D15" s="2"/>
      <c r="E15" s="64"/>
      <c r="F15" s="24"/>
      <c r="G15" s="25"/>
      <c r="H15" s="8"/>
      <c r="I15" s="8"/>
      <c r="J15" s="2"/>
      <c r="K15" s="71">
        <v>4629</v>
      </c>
      <c r="L15" s="73" t="s">
        <v>132</v>
      </c>
      <c r="M15" s="73" t="s">
        <v>153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749</v>
      </c>
      <c r="D16" s="2"/>
      <c r="E16" s="64"/>
      <c r="F16" s="24"/>
      <c r="G16" s="25"/>
      <c r="H16" s="8"/>
      <c r="I16" s="8"/>
      <c r="J16" s="2"/>
      <c r="K16" s="71">
        <v>4634</v>
      </c>
      <c r="L16" s="9" t="s">
        <v>136</v>
      </c>
      <c r="M16" s="9" t="s">
        <v>142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4635</v>
      </c>
      <c r="L17" s="9" t="s">
        <v>132</v>
      </c>
      <c r="M17" s="84" t="s">
        <v>142</v>
      </c>
      <c r="R17" s="1">
        <f>IF(vend[[#This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1</v>
      </c>
      <c r="C19" s="30">
        <f>SUM(entr_carn6[Valor Total])</f>
        <v>1850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1850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70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4629</v>
      </c>
      <c r="F26" s="24" t="s">
        <v>151</v>
      </c>
      <c r="G26" s="25" t="s">
        <v>10</v>
      </c>
      <c r="H26" s="8"/>
      <c r="I26" s="8">
        <v>300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>
        <v>4634</v>
      </c>
      <c r="F27" s="24" t="s">
        <v>152</v>
      </c>
      <c r="G27" s="25" t="s">
        <v>6</v>
      </c>
      <c r="H27" s="8"/>
      <c r="I27" s="8">
        <v>179</v>
      </c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4518</v>
      </c>
      <c r="F35" s="24" t="s">
        <v>154</v>
      </c>
      <c r="G35" s="25" t="s">
        <v>6</v>
      </c>
      <c r="H35" s="8">
        <v>200</v>
      </c>
      <c r="I35" s="8" t="s">
        <v>39</v>
      </c>
      <c r="K35" s="71">
        <v>4629</v>
      </c>
      <c r="L35" s="40">
        <v>6</v>
      </c>
      <c r="M35" s="16">
        <v>1850</v>
      </c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8"/>
      <c r="F41" s="38"/>
      <c r="G41" s="25"/>
      <c r="H41" s="8"/>
      <c r="I41" s="8"/>
      <c r="K41" s="71"/>
      <c r="L41" s="40"/>
      <c r="M41" s="39"/>
    </row>
    <row r="42" spans="2:18" x14ac:dyDescent="0.2">
      <c r="F42" s="63"/>
      <c r="G42" s="63"/>
      <c r="H42" s="62"/>
      <c r="I42" s="62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L17:L31 M15:M16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77">
        <f>'06'!B1+1</f>
        <v>45633</v>
      </c>
      <c r="G1" s="95" t="s">
        <v>199</v>
      </c>
      <c r="H1" s="95"/>
    </row>
    <row r="2" spans="2:21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  <c r="U4" s="1">
        <v>0</v>
      </c>
    </row>
    <row r="5" spans="2:21" ht="15" x14ac:dyDescent="0.25">
      <c r="B5" s="22" t="s">
        <v>1</v>
      </c>
      <c r="C5" s="23">
        <f>SUMIF(I6:I31,"&gt;0",H6:H31)</f>
        <v>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802.28</v>
      </c>
      <c r="D6" s="2"/>
      <c r="E6" s="64">
        <v>4665</v>
      </c>
      <c r="F6" s="74" t="s">
        <v>159</v>
      </c>
      <c r="G6" s="74" t="s">
        <v>7</v>
      </c>
      <c r="H6" s="75">
        <v>690</v>
      </c>
      <c r="I6" s="75">
        <v>390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64"/>
      <c r="F7" s="76"/>
      <c r="G7" s="76"/>
      <c r="H7" s="54"/>
      <c r="I7" s="5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802.28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258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390</v>
      </c>
      <c r="D12" s="2"/>
      <c r="E12" s="64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154.28</v>
      </c>
      <c r="D15" s="2"/>
      <c r="E15" s="64"/>
      <c r="F15" s="24"/>
      <c r="G15" s="25"/>
      <c r="H15" s="8"/>
      <c r="I15" s="8"/>
      <c r="J15" s="2"/>
      <c r="K15" s="71">
        <v>4641</v>
      </c>
      <c r="L15" s="9" t="s">
        <v>135</v>
      </c>
      <c r="M15" s="44" t="s">
        <v>153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802.28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IF(vend7[[#This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1</v>
      </c>
      <c r="C19" s="30">
        <f>SUM(entr_carn7[Valor Total])</f>
        <v>950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950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690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51"/>
      <c r="G26" s="55"/>
      <c r="H26" s="56"/>
      <c r="I26" s="56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4502</v>
      </c>
      <c r="F35" s="24" t="s">
        <v>160</v>
      </c>
      <c r="G35" s="25" t="s">
        <v>10</v>
      </c>
      <c r="H35" s="8">
        <v>90</v>
      </c>
      <c r="I35" s="8" t="s">
        <v>53</v>
      </c>
      <c r="K35" s="71">
        <v>4641</v>
      </c>
      <c r="L35" s="40">
        <v>7</v>
      </c>
      <c r="M35" s="16">
        <v>950</v>
      </c>
    </row>
    <row r="36" spans="2:18" ht="15.75" x14ac:dyDescent="0.25">
      <c r="E36" s="67">
        <v>4385</v>
      </c>
      <c r="F36" s="24" t="s">
        <v>161</v>
      </c>
      <c r="G36" s="25" t="s">
        <v>10</v>
      </c>
      <c r="H36" s="8">
        <v>64.28</v>
      </c>
      <c r="I36" s="8" t="s">
        <v>41</v>
      </c>
      <c r="K36" s="71"/>
      <c r="L36" s="40"/>
      <c r="M36" s="16"/>
    </row>
    <row r="37" spans="2:18" ht="15.75" x14ac:dyDescent="0.25">
      <c r="E37" s="64">
        <v>4467</v>
      </c>
      <c r="F37" s="24" t="s">
        <v>162</v>
      </c>
      <c r="G37" s="25" t="s">
        <v>6</v>
      </c>
      <c r="H37" s="8">
        <v>118</v>
      </c>
      <c r="I37" s="8" t="s">
        <v>47</v>
      </c>
      <c r="K37" s="71"/>
      <c r="L37" s="40"/>
      <c r="M37" s="16"/>
    </row>
    <row r="38" spans="2:18" ht="15.75" x14ac:dyDescent="0.25">
      <c r="E38" s="64">
        <v>4641</v>
      </c>
      <c r="F38" s="24" t="s">
        <v>163</v>
      </c>
      <c r="G38" s="25" t="s">
        <v>6</v>
      </c>
      <c r="H38" s="8">
        <v>140</v>
      </c>
      <c r="I38" s="8" t="s">
        <v>35</v>
      </c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'07'!B1+1</f>
        <v>45634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64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61">
        <f>(SUMIF($G$2:$G$31,B11,$I$2:$I$31))+(SUMIF($G$35:$G$42,B11,$H$35:$H$42))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61">
        <f>(SUMIF($G$2:$G$31,B12,$I$2:$I$31))+(SUMIF($G$35:$G$42,B12,$H$35:$H$42))</f>
        <v>0</v>
      </c>
      <c r="D12" s="2"/>
      <c r="E12" s="64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61">
        <f>(SUMIF($G$2:$G$31,B13,$I$2:$I$31))+(SUMIF($G$35:$G$42,B13,$H$35:$H$42))</f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IF(vend8[[#This Row],[Nº Venda]]&gt;1,1,0)</f>
        <v>0</v>
      </c>
    </row>
    <row r="14" spans="2:18" ht="15.75" x14ac:dyDescent="0.25">
      <c r="B14" s="29" t="s">
        <v>9</v>
      </c>
      <c r="C14" s="61">
        <f>(SUMIF($G$2:$G$31,B14,$I$2:$I$31))+(SUMIF($G$35:$G$42,B14,$H$35:$H$42))</f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61">
        <f>(SUMIF($G$2:$G$31,B15,$I$2:$I$31))+(SUMIF($G$35:$G$42,B15,$H$35:$H$42))</f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IF(vend8[[#This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81"/>
      <c r="G26" s="82"/>
      <c r="H26" s="56"/>
      <c r="I26" s="56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43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43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43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24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8"/>
      <c r="F41" s="38"/>
      <c r="G41" s="25"/>
      <c r="H41" s="8"/>
      <c r="I41" s="8"/>
      <c r="K41" s="71"/>
      <c r="L41" s="40"/>
      <c r="M41" s="39"/>
    </row>
    <row r="42" spans="2:18" ht="15.75" x14ac:dyDescent="0.25">
      <c r="E42" s="34"/>
      <c r="F42" s="58"/>
      <c r="G42" s="59"/>
      <c r="H42" s="60"/>
      <c r="I42" s="17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70" zoomScaleNormal="90" zoomScaleSheetLayoutView="7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8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77">
        <f>'08'!B1+1</f>
        <v>45635</v>
      </c>
      <c r="G1" s="95" t="s">
        <v>199</v>
      </c>
      <c r="H1" s="95"/>
    </row>
    <row r="2" spans="2:22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327.37</v>
      </c>
      <c r="D6" s="2"/>
      <c r="E6" s="88">
        <v>4666</v>
      </c>
      <c r="F6" s="89" t="s">
        <v>164</v>
      </c>
      <c r="G6" s="92" t="s">
        <v>6</v>
      </c>
      <c r="H6" s="91" t="s">
        <v>219</v>
      </c>
      <c r="I6" s="91" t="s">
        <v>219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64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327.37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327.37</v>
      </c>
      <c r="D15" s="2"/>
      <c r="E15" s="64"/>
      <c r="F15" s="24"/>
      <c r="G15" s="25"/>
      <c r="H15" s="8"/>
      <c r="I15" s="8"/>
      <c r="J15" s="2"/>
      <c r="K15" s="71">
        <v>4490</v>
      </c>
      <c r="L15" s="9" t="s">
        <v>132</v>
      </c>
      <c r="M15" s="16" t="s">
        <v>142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327.37</v>
      </c>
      <c r="D16" s="2"/>
      <c r="E16" s="64"/>
      <c r="F16" s="24"/>
      <c r="G16" s="25"/>
      <c r="H16" s="8"/>
      <c r="I16" s="8"/>
      <c r="J16" s="2"/>
      <c r="K16" s="71">
        <v>4632</v>
      </c>
      <c r="L16" s="9" t="s">
        <v>132</v>
      </c>
      <c r="M16" s="16" t="s">
        <v>142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4640</v>
      </c>
      <c r="L17" s="9" t="s">
        <v>136</v>
      </c>
      <c r="M17" s="16" t="s">
        <v>153</v>
      </c>
      <c r="R17" s="1">
        <f>IF(vend9[[#This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1</v>
      </c>
      <c r="C19" s="30">
        <f>SUM(entr_carn9[Valor Total])</f>
        <v>600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600</v>
      </c>
      <c r="D20" s="2"/>
      <c r="E20" s="64"/>
      <c r="F20" s="24"/>
      <c r="G20" s="25"/>
      <c r="H20" s="8"/>
      <c r="I20" s="8"/>
      <c r="J20" s="2"/>
      <c r="K20" s="7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4519</v>
      </c>
      <c r="F35" s="24" t="s">
        <v>165</v>
      </c>
      <c r="G35" s="25" t="s">
        <v>10</v>
      </c>
      <c r="H35" s="8">
        <v>150</v>
      </c>
      <c r="I35" s="8" t="s">
        <v>34</v>
      </c>
      <c r="K35" s="71">
        <v>4640</v>
      </c>
      <c r="L35" s="40">
        <v>6</v>
      </c>
      <c r="M35" s="16">
        <v>600</v>
      </c>
    </row>
    <row r="36" spans="2:18" ht="15.75" x14ac:dyDescent="0.25">
      <c r="E36" s="67">
        <v>4363</v>
      </c>
      <c r="F36" s="24" t="s">
        <v>166</v>
      </c>
      <c r="G36" s="25" t="s">
        <v>10</v>
      </c>
      <c r="H36" s="8">
        <v>130</v>
      </c>
      <c r="I36" s="8" t="s">
        <v>48</v>
      </c>
      <c r="K36" s="71"/>
      <c r="L36" s="40"/>
      <c r="M36" s="16"/>
    </row>
    <row r="37" spans="2:18" ht="15.75" x14ac:dyDescent="0.25">
      <c r="E37" s="64">
        <v>4730</v>
      </c>
      <c r="F37" s="24" t="s">
        <v>167</v>
      </c>
      <c r="G37" s="25" t="s">
        <v>10</v>
      </c>
      <c r="H37" s="8">
        <v>47.37</v>
      </c>
      <c r="I37" s="8" t="s">
        <v>34</v>
      </c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'09'!B1+1</f>
        <v>45636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SUMIF(I6:I32,"&gt;0",H6:H32)</f>
        <v>460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610</v>
      </c>
      <c r="D6" s="2"/>
      <c r="E6" s="64">
        <v>4667</v>
      </c>
      <c r="F6" s="24" t="s">
        <v>168</v>
      </c>
      <c r="G6" s="43" t="s">
        <v>8</v>
      </c>
      <c r="H6" s="8">
        <v>170</v>
      </c>
      <c r="I6" s="8">
        <v>170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4668</v>
      </c>
      <c r="F7" s="24" t="s">
        <v>169</v>
      </c>
      <c r="G7" s="43" t="s">
        <v>40</v>
      </c>
      <c r="H7" s="8">
        <v>0</v>
      </c>
      <c r="I7" s="8">
        <v>0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610</v>
      </c>
      <c r="D8" s="2"/>
      <c r="E8" s="64">
        <v>4669</v>
      </c>
      <c r="F8" s="24" t="s">
        <v>170</v>
      </c>
      <c r="G8" s="25" t="s">
        <v>10</v>
      </c>
      <c r="H8" s="8">
        <v>290</v>
      </c>
      <c r="I8" s="8">
        <v>290</v>
      </c>
      <c r="J8" s="2"/>
      <c r="K8" s="24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64">
        <v>4670</v>
      </c>
      <c r="F9" s="24" t="s">
        <v>171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IF(vend10[[#This Row],[Nº Venda]]&gt;1,1,0)</f>
        <v>1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64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170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440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610</v>
      </c>
      <c r="D16" s="2"/>
      <c r="E16" s="64"/>
      <c r="F16" s="24"/>
      <c r="G16" s="25"/>
      <c r="H16" s="8"/>
      <c r="I16" s="8"/>
      <c r="J16" s="2"/>
      <c r="K16" s="71"/>
      <c r="L16" s="9"/>
      <c r="M16" s="83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IF(vend10[[#This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460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43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43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97" t="s">
        <v>12</v>
      </c>
      <c r="L33" s="98"/>
      <c r="M33" s="99"/>
    </row>
    <row r="34" spans="2:18" ht="15" x14ac:dyDescent="0.25">
      <c r="E34" s="96" t="s">
        <v>28</v>
      </c>
      <c r="F34" s="96"/>
      <c r="G34" s="96"/>
      <c r="H34" s="96"/>
      <c r="I34" s="96"/>
      <c r="K34" s="14" t="s">
        <v>23</v>
      </c>
      <c r="L34" s="6" t="s">
        <v>31</v>
      </c>
      <c r="M34" s="15" t="s">
        <v>32</v>
      </c>
    </row>
    <row r="35" spans="2:18" ht="15" x14ac:dyDescent="0.25">
      <c r="E35" s="69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71"/>
      <c r="L35" s="40"/>
      <c r="M35" s="16"/>
    </row>
    <row r="36" spans="2:18" ht="15.75" x14ac:dyDescent="0.25">
      <c r="E36" s="64">
        <v>4303</v>
      </c>
      <c r="F36" s="24" t="s">
        <v>172</v>
      </c>
      <c r="G36" s="25" t="s">
        <v>10</v>
      </c>
      <c r="H36" s="8">
        <v>150</v>
      </c>
      <c r="I36" s="8" t="s">
        <v>48</v>
      </c>
      <c r="K36" s="71"/>
      <c r="L36" s="40"/>
      <c r="M36" s="16"/>
    </row>
    <row r="37" spans="2:18" ht="15.75" x14ac:dyDescent="0.25">
      <c r="E37" s="67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24"/>
      <c r="G39" s="25"/>
      <c r="H39" s="8"/>
      <c r="I39" s="8"/>
      <c r="K39" s="71"/>
      <c r="L39" s="40"/>
      <c r="M39" s="16"/>
    </row>
    <row r="40" spans="2:18" ht="15.75" x14ac:dyDescent="0.25">
      <c r="E40" s="64"/>
      <c r="F40" s="38"/>
      <c r="G40" s="25"/>
      <c r="H40" s="8"/>
      <c r="I40" s="8"/>
      <c r="K40" s="7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65"/>
      <c r="F41" s="35"/>
      <c r="G41" s="36"/>
      <c r="H41" s="17"/>
      <c r="I41" s="8"/>
      <c r="K41" s="7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10">
    <mergeCell ref="G1:H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'10'!B1+1</f>
        <v>45637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2140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2255.8000000000002</v>
      </c>
      <c r="D6" s="2"/>
      <c r="E6" s="64">
        <v>4771</v>
      </c>
      <c r="F6" s="24" t="s">
        <v>173</v>
      </c>
      <c r="G6" s="25" t="s">
        <v>8</v>
      </c>
      <c r="H6" s="8">
        <v>250</v>
      </c>
      <c r="I6" s="8">
        <v>250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4772</v>
      </c>
      <c r="F7" s="24" t="s">
        <v>174</v>
      </c>
      <c r="G7" s="25" t="s">
        <v>7</v>
      </c>
      <c r="H7" s="8">
        <v>1800</v>
      </c>
      <c r="I7" s="8">
        <v>1600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2255.8000000000002</v>
      </c>
      <c r="D8" s="2"/>
      <c r="E8" s="64"/>
      <c r="F8" s="24"/>
      <c r="G8" s="25" t="s">
        <v>7</v>
      </c>
      <c r="H8" s="8"/>
      <c r="I8" s="8">
        <v>200</v>
      </c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64">
        <v>4773</v>
      </c>
      <c r="F9" s="24" t="s">
        <v>174</v>
      </c>
      <c r="G9" s="25" t="s">
        <v>6</v>
      </c>
      <c r="H9" s="8">
        <v>90</v>
      </c>
      <c r="I9" s="8">
        <v>80</v>
      </c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205.8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1800</v>
      </c>
      <c r="D12" s="2"/>
      <c r="E12" s="64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250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>
        <v>4651</v>
      </c>
      <c r="L15" s="9" t="s">
        <v>135</v>
      </c>
      <c r="M15" s="16" t="s">
        <v>153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2255.8000000000002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IF(vend11[[#This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1</v>
      </c>
      <c r="C19" s="30">
        <f>SUM(entr_carn11[Valor Total])</f>
        <v>472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472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2140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4496</v>
      </c>
      <c r="F35" s="24" t="s">
        <v>175</v>
      </c>
      <c r="G35" s="25" t="s">
        <v>6</v>
      </c>
      <c r="H35" s="8">
        <v>125.8</v>
      </c>
      <c r="I35" s="8" t="s">
        <v>53</v>
      </c>
      <c r="K35" s="71">
        <v>4651</v>
      </c>
      <c r="L35" s="40">
        <v>2</v>
      </c>
      <c r="M35" s="16">
        <v>472</v>
      </c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'11'!B1+1</f>
        <v>45638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1649</v>
      </c>
      <c r="D6" s="2"/>
      <c r="E6" s="64">
        <v>4674</v>
      </c>
      <c r="F6" s="45" t="s">
        <v>177</v>
      </c>
      <c r="G6" s="45" t="s">
        <v>8</v>
      </c>
      <c r="H6" s="46">
        <v>750</v>
      </c>
      <c r="I6" s="46">
        <v>750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4675</v>
      </c>
      <c r="F7" s="47" t="s">
        <v>177</v>
      </c>
      <c r="G7" s="47"/>
      <c r="H7" s="48"/>
      <c r="I7" s="48"/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1649</v>
      </c>
      <c r="D8" s="2"/>
      <c r="E8" s="64">
        <v>4676</v>
      </c>
      <c r="F8" s="47" t="s">
        <v>178</v>
      </c>
      <c r="G8" s="47" t="s">
        <v>40</v>
      </c>
      <c r="H8" s="48"/>
      <c r="I8" s="48"/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750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899</v>
      </c>
      <c r="D15" s="2"/>
      <c r="E15" s="64"/>
      <c r="F15" s="24"/>
      <c r="G15" s="25"/>
      <c r="H15" s="8"/>
      <c r="I15" s="8"/>
      <c r="J15" s="2"/>
      <c r="K15" s="71">
        <v>4633</v>
      </c>
      <c r="L15" s="9" t="s">
        <v>136</v>
      </c>
      <c r="M15" s="16" t="s">
        <v>142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1649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IF(vend12[[#This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750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4633</v>
      </c>
      <c r="F26" s="49" t="s">
        <v>179</v>
      </c>
      <c r="G26" s="43" t="s">
        <v>10</v>
      </c>
      <c r="H26" s="8"/>
      <c r="I26" s="8">
        <v>899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4" zoomScale="90" zoomScaleNormal="9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'12'!B1+1</f>
        <v>45639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2649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1224.8699999999999</v>
      </c>
      <c r="D6" s="2"/>
      <c r="E6" s="64">
        <v>4677</v>
      </c>
      <c r="F6" s="24" t="s">
        <v>180</v>
      </c>
      <c r="G6" s="25" t="s">
        <v>7</v>
      </c>
      <c r="H6" s="8">
        <v>699</v>
      </c>
      <c r="I6" s="8">
        <v>100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4678</v>
      </c>
      <c r="F7" s="24" t="s">
        <v>181</v>
      </c>
      <c r="G7" s="25" t="s">
        <v>7</v>
      </c>
      <c r="H7" s="8">
        <v>1100</v>
      </c>
      <c r="I7" s="8">
        <v>25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1224.8699999999999</v>
      </c>
      <c r="D8" s="2"/>
      <c r="E8" s="88">
        <v>4679</v>
      </c>
      <c r="F8" s="89" t="s">
        <v>181</v>
      </c>
      <c r="G8" s="90" t="s">
        <v>7</v>
      </c>
      <c r="H8" s="91" t="s">
        <v>219</v>
      </c>
      <c r="I8" s="91" t="s">
        <v>219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64">
        <v>4680</v>
      </c>
      <c r="F9" s="24" t="s">
        <v>182</v>
      </c>
      <c r="G9" s="25" t="s">
        <v>7</v>
      </c>
      <c r="H9" s="8">
        <v>850</v>
      </c>
      <c r="I9" s="8">
        <v>850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975</v>
      </c>
      <c r="D12" s="2"/>
      <c r="E12" s="64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249.87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1224.8699999999999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IF(vend13[[#This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2649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4144</v>
      </c>
      <c r="F35" s="24" t="s">
        <v>183</v>
      </c>
      <c r="G35" s="25" t="s">
        <v>10</v>
      </c>
      <c r="H35" s="8">
        <v>62.5</v>
      </c>
      <c r="I35" s="8" t="s">
        <v>34</v>
      </c>
      <c r="K35" s="71"/>
      <c r="L35" s="40"/>
      <c r="M35" s="16"/>
    </row>
    <row r="36" spans="2:18" ht="15.75" x14ac:dyDescent="0.25">
      <c r="E36" s="67">
        <v>4147</v>
      </c>
      <c r="F36" s="24" t="s">
        <v>220</v>
      </c>
      <c r="G36" s="25" t="s">
        <v>10</v>
      </c>
      <c r="H36" s="8">
        <v>187.37</v>
      </c>
      <c r="I36" s="8" t="s">
        <v>34</v>
      </c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'13'!B1+1</f>
        <v>45640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240</v>
      </c>
      <c r="D6" s="2"/>
      <c r="E6" s="64">
        <v>4680</v>
      </c>
      <c r="F6" s="24" t="s">
        <v>186</v>
      </c>
      <c r="G6" s="43" t="s">
        <v>40</v>
      </c>
      <c r="H6" s="8">
        <v>0</v>
      </c>
      <c r="I6" s="8">
        <v>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240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110</v>
      </c>
      <c r="D12" s="2"/>
      <c r="E12" s="64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130</v>
      </c>
      <c r="D15" s="2"/>
      <c r="E15" s="64"/>
      <c r="F15" s="24"/>
      <c r="G15" s="25"/>
      <c r="H15" s="8"/>
      <c r="I15" s="8"/>
      <c r="J15" s="2"/>
      <c r="K15" s="71">
        <v>4653</v>
      </c>
      <c r="L15" s="9" t="s">
        <v>132</v>
      </c>
      <c r="M15" s="16" t="s">
        <v>142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240</v>
      </c>
      <c r="D16" s="2"/>
      <c r="E16" s="64"/>
      <c r="F16" s="24"/>
      <c r="G16" s="25"/>
      <c r="H16" s="8"/>
      <c r="I16" s="8"/>
      <c r="J16" s="2"/>
      <c r="K16" s="71">
        <v>4659</v>
      </c>
      <c r="L16" s="9" t="s">
        <v>132</v>
      </c>
      <c r="M16" s="16" t="s">
        <v>142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IF(vend14[[#This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4468</v>
      </c>
      <c r="F35" s="24" t="s">
        <v>184</v>
      </c>
      <c r="G35" s="25" t="s">
        <v>10</v>
      </c>
      <c r="H35" s="8">
        <v>130</v>
      </c>
      <c r="I35" s="8" t="s">
        <v>73</v>
      </c>
      <c r="K35" s="71"/>
      <c r="L35" s="40"/>
      <c r="M35" s="16"/>
    </row>
    <row r="36" spans="2:18" ht="15.75" x14ac:dyDescent="0.25">
      <c r="E36" s="67">
        <v>4423</v>
      </c>
      <c r="F36" s="24" t="s">
        <v>185</v>
      </c>
      <c r="G36" s="25" t="s">
        <v>7</v>
      </c>
      <c r="H36" s="8">
        <v>110</v>
      </c>
      <c r="I36" s="8" t="s">
        <v>47</v>
      </c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'14'!B1+1</f>
        <v>45641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IF(vend15[[#This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G6" sqref="G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'15'!B1+1</f>
        <v>45642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2060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1060</v>
      </c>
      <c r="D6" s="2"/>
      <c r="E6" s="64">
        <v>4681</v>
      </c>
      <c r="F6" s="24" t="s">
        <v>188</v>
      </c>
      <c r="G6" s="43" t="s">
        <v>7</v>
      </c>
      <c r="H6" s="8">
        <v>1190</v>
      </c>
      <c r="I6" s="8">
        <v>200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4682</v>
      </c>
      <c r="F7" s="24" t="s">
        <v>188</v>
      </c>
      <c r="G7" s="43" t="s">
        <v>7</v>
      </c>
      <c r="H7" s="8">
        <v>300</v>
      </c>
      <c r="I7" s="8">
        <v>200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1060</v>
      </c>
      <c r="D8" s="2"/>
      <c r="E8" s="64">
        <v>4683</v>
      </c>
      <c r="F8" s="24" t="s">
        <v>189</v>
      </c>
      <c r="G8" s="25" t="s">
        <v>10</v>
      </c>
      <c r="H8" s="8">
        <v>570</v>
      </c>
      <c r="I8" s="8">
        <v>570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64">
        <v>4684</v>
      </c>
      <c r="F9" s="24" t="s">
        <v>190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400</v>
      </c>
      <c r="D12" s="2"/>
      <c r="E12" s="64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660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1060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IF(vend16[[#This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2060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43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4347</v>
      </c>
      <c r="F35" s="24" t="s">
        <v>187</v>
      </c>
      <c r="G35" s="25" t="s">
        <v>10</v>
      </c>
      <c r="H35" s="8">
        <v>90</v>
      </c>
      <c r="I35" s="8" t="s">
        <v>79</v>
      </c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'16'!B1+1</f>
        <v>45643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599.99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790</v>
      </c>
      <c r="D6" s="2"/>
      <c r="E6" s="64">
        <v>4685</v>
      </c>
      <c r="F6" s="24" t="s">
        <v>191</v>
      </c>
      <c r="G6" s="25" t="s">
        <v>6</v>
      </c>
      <c r="H6" s="8">
        <v>599.99</v>
      </c>
      <c r="I6" s="8">
        <v>300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790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370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420</v>
      </c>
      <c r="D15" s="2"/>
      <c r="E15" s="64"/>
      <c r="F15" s="24"/>
      <c r="G15" s="25"/>
      <c r="H15" s="8"/>
      <c r="I15" s="8"/>
      <c r="J15" s="2"/>
      <c r="K15" s="71">
        <v>4643</v>
      </c>
      <c r="L15" s="9" t="s">
        <v>136</v>
      </c>
      <c r="M15" s="16" t="s">
        <v>142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790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IF(vend17[[#This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599.99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4643</v>
      </c>
      <c r="F26" s="24" t="s">
        <v>192</v>
      </c>
      <c r="G26" s="25" t="s">
        <v>6</v>
      </c>
      <c r="H26" s="8">
        <v>0</v>
      </c>
      <c r="I26" s="8">
        <v>70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>
        <v>4643</v>
      </c>
      <c r="F27" s="24" t="str">
        <f>F26</f>
        <v>Juliana Barbosa da Silva</v>
      </c>
      <c r="G27" s="25" t="s">
        <v>10</v>
      </c>
      <c r="H27" s="8">
        <v>0</v>
      </c>
      <c r="I27" s="8">
        <v>420</v>
      </c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'17'!B1+1</f>
        <v>45644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2099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443</v>
      </c>
      <c r="D6" s="2"/>
      <c r="E6" s="64">
        <v>4686</v>
      </c>
      <c r="F6" s="24" t="s">
        <v>193</v>
      </c>
      <c r="G6" s="25" t="s">
        <v>8</v>
      </c>
      <c r="H6" s="8">
        <v>1200</v>
      </c>
      <c r="I6" s="8">
        <v>100</v>
      </c>
      <c r="J6" s="2"/>
      <c r="K6" s="24"/>
      <c r="L6" s="86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4687</v>
      </c>
      <c r="F7" s="24" t="s">
        <v>193</v>
      </c>
      <c r="G7" s="25" t="s">
        <v>8</v>
      </c>
      <c r="H7" s="8">
        <v>200</v>
      </c>
      <c r="I7" s="8">
        <v>100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443</v>
      </c>
      <c r="D8" s="2"/>
      <c r="E8" s="64">
        <v>4688</v>
      </c>
      <c r="F8" s="24" t="s">
        <v>194</v>
      </c>
      <c r="G8" s="25" t="s">
        <v>6</v>
      </c>
      <c r="H8" s="8">
        <v>699</v>
      </c>
      <c r="I8" s="8">
        <v>5</v>
      </c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5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200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238</v>
      </c>
      <c r="D15" s="2"/>
      <c r="E15" s="64"/>
      <c r="F15" s="24"/>
      <c r="G15" s="25"/>
      <c r="H15" s="8"/>
      <c r="I15" s="8"/>
      <c r="J15" s="2"/>
      <c r="K15" s="71">
        <v>4668</v>
      </c>
      <c r="L15" s="9" t="s">
        <v>132</v>
      </c>
      <c r="M15" s="16" t="s">
        <v>142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443</v>
      </c>
      <c r="D16" s="2"/>
      <c r="E16" s="64"/>
      <c r="F16" s="24"/>
      <c r="G16" s="25"/>
      <c r="H16" s="8"/>
      <c r="I16" s="8"/>
      <c r="J16" s="2"/>
      <c r="K16" s="71">
        <v>4437</v>
      </c>
      <c r="L16" s="9" t="s">
        <v>132</v>
      </c>
      <c r="M16" s="16" t="s">
        <v>142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4664</v>
      </c>
      <c r="L17" s="9" t="s">
        <v>132</v>
      </c>
      <c r="M17" s="16" t="s">
        <v>142</v>
      </c>
      <c r="R17" s="1">
        <f>IF(vend18[[#This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2099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52"/>
      <c r="F23" s="52"/>
      <c r="G23" s="52"/>
      <c r="H23" s="53"/>
      <c r="I23" s="53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4447</v>
      </c>
      <c r="F35" s="24" t="s">
        <v>195</v>
      </c>
      <c r="G35" s="25" t="s">
        <v>10</v>
      </c>
      <c r="H35" s="8">
        <v>138</v>
      </c>
      <c r="I35" s="8" t="s">
        <v>45</v>
      </c>
      <c r="K35" s="71"/>
      <c r="L35" s="40"/>
      <c r="M35" s="16"/>
    </row>
    <row r="36" spans="2:18" ht="15.75" x14ac:dyDescent="0.25">
      <c r="E36" s="67">
        <v>4612</v>
      </c>
      <c r="F36" s="24" t="s">
        <v>196</v>
      </c>
      <c r="G36" s="25" t="s">
        <v>10</v>
      </c>
      <c r="H36" s="8">
        <v>100</v>
      </c>
      <c r="I36" s="8" t="s">
        <v>76</v>
      </c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'18'!B1+1</f>
        <v>45645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</v>
      </c>
      <c r="D6" s="2"/>
      <c r="E6" s="64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54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15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15</v>
      </c>
      <c r="D15" s="2"/>
      <c r="E15" s="64"/>
      <c r="F15" s="24"/>
      <c r="G15" s="25"/>
      <c r="H15" s="8"/>
      <c r="I15" s="8"/>
      <c r="J15" s="2"/>
      <c r="K15" s="71">
        <v>4661</v>
      </c>
      <c r="L15" s="9" t="s">
        <v>132</v>
      </c>
      <c r="M15" s="16" t="s">
        <v>142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15</v>
      </c>
      <c r="D16" s="2"/>
      <c r="E16" s="64"/>
      <c r="F16" s="24"/>
      <c r="G16" s="25"/>
      <c r="H16" s="8"/>
      <c r="I16" s="8"/>
      <c r="J16" s="2"/>
      <c r="K16" s="71">
        <v>4662</v>
      </c>
      <c r="L16" s="9" t="s">
        <v>132</v>
      </c>
      <c r="M16" s="16" t="s">
        <v>142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4671</v>
      </c>
      <c r="L17" s="9" t="s">
        <v>132</v>
      </c>
      <c r="M17" s="16" t="s">
        <v>142</v>
      </c>
      <c r="R17" s="1">
        <f>IF(vend19[[#This Row],[Nº Venda]]&gt;1,1,0)</f>
        <v>0</v>
      </c>
    </row>
    <row r="18" spans="2:22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22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22" ht="15.75" x14ac:dyDescent="0.25">
      <c r="B26" s="2"/>
      <c r="C26" s="2"/>
      <c r="D26" s="2"/>
      <c r="E26" s="64"/>
      <c r="F26" s="38"/>
      <c r="G26" s="25"/>
      <c r="H26" s="8"/>
      <c r="I26" s="8"/>
      <c r="J26" s="2"/>
      <c r="K26" s="71"/>
      <c r="L26" s="9"/>
      <c r="M26" s="16"/>
    </row>
    <row r="27" spans="2:22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22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22" ht="15.75" x14ac:dyDescent="0.25">
      <c r="B29" s="2"/>
      <c r="C29" s="2"/>
      <c r="D29" s="2"/>
      <c r="E29" s="64"/>
      <c r="F29" s="24"/>
      <c r="G29" s="25"/>
      <c r="H29" s="25"/>
      <c r="I29" s="8"/>
      <c r="J29" s="2"/>
      <c r="K29" s="71"/>
      <c r="L29" s="9"/>
      <c r="M29" s="16"/>
    </row>
    <row r="30" spans="2:22" ht="15.75" x14ac:dyDescent="0.25">
      <c r="B30" s="2"/>
      <c r="C30" s="2"/>
      <c r="D30" s="2"/>
      <c r="E30" s="64"/>
      <c r="F30" s="24"/>
      <c r="G30" s="25"/>
      <c r="H30" s="8"/>
      <c r="I30" s="8"/>
      <c r="J30" s="2"/>
      <c r="K30" s="71"/>
      <c r="L30" s="9"/>
      <c r="M30" s="16"/>
    </row>
    <row r="31" spans="2:22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4305</v>
      </c>
      <c r="F35" s="24" t="s">
        <v>197</v>
      </c>
      <c r="G35" s="25" t="s">
        <v>10</v>
      </c>
      <c r="H35" s="8">
        <v>15</v>
      </c>
      <c r="I35" s="8" t="s">
        <v>78</v>
      </c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Layout" topLeftCell="C1" zoomScaleNormal="172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'19'!B1+1</f>
        <v>45646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1466</v>
      </c>
      <c r="D6" s="2"/>
      <c r="E6" s="64">
        <v>4689</v>
      </c>
      <c r="F6" s="24" t="s">
        <v>198</v>
      </c>
      <c r="G6" s="25" t="s">
        <v>8</v>
      </c>
      <c r="H6" s="8">
        <v>600</v>
      </c>
      <c r="I6" s="8">
        <v>600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4690</v>
      </c>
      <c r="F7" s="24" t="s">
        <v>201</v>
      </c>
      <c r="G7" s="25" t="s">
        <v>8</v>
      </c>
      <c r="H7" s="8">
        <v>150</v>
      </c>
      <c r="I7" s="8">
        <v>150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1466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116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1150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200</v>
      </c>
      <c r="D15" s="2"/>
      <c r="E15" s="64"/>
      <c r="F15" s="24"/>
      <c r="G15" s="25"/>
      <c r="H15" s="8"/>
      <c r="I15" s="8"/>
      <c r="J15" s="2"/>
      <c r="K15" s="71">
        <v>4683</v>
      </c>
      <c r="L15" s="9" t="s">
        <v>132</v>
      </c>
      <c r="M15" s="16" t="s">
        <v>142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1466</v>
      </c>
      <c r="D16" s="2"/>
      <c r="E16" s="64"/>
      <c r="F16" s="24"/>
      <c r="G16" s="25"/>
      <c r="H16" s="8"/>
      <c r="I16" s="8"/>
      <c r="J16" s="2"/>
      <c r="K16" s="71">
        <v>4663</v>
      </c>
      <c r="L16" s="9" t="s">
        <v>132</v>
      </c>
      <c r="M16" s="16" t="s">
        <v>142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4674</v>
      </c>
      <c r="L17" s="9" t="s">
        <v>132</v>
      </c>
      <c r="M17" s="16" t="s">
        <v>142</v>
      </c>
      <c r="R17" s="1">
        <f>IF(vend20[[#This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>
        <v>4675</v>
      </c>
      <c r="L18" s="9" t="s">
        <v>132</v>
      </c>
      <c r="M18" s="16" t="s">
        <v>142</v>
      </c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750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4677</v>
      </c>
      <c r="F26" s="24" t="s">
        <v>180</v>
      </c>
      <c r="G26" s="25" t="s">
        <v>10</v>
      </c>
      <c r="H26" s="8"/>
      <c r="I26" s="8">
        <v>200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>
        <v>4677</v>
      </c>
      <c r="F27" s="24" t="s">
        <v>180</v>
      </c>
      <c r="G27" s="25" t="s">
        <v>8</v>
      </c>
      <c r="H27" s="8"/>
      <c r="I27" s="8">
        <v>400</v>
      </c>
      <c r="J27" s="2"/>
      <c r="K27" s="71"/>
      <c r="L27" s="9"/>
      <c r="M27" s="16"/>
    </row>
    <row r="28" spans="2:18" ht="15.75" x14ac:dyDescent="0.25">
      <c r="B28" s="2"/>
      <c r="C28" s="2"/>
      <c r="D28" s="2"/>
      <c r="E28" s="64">
        <v>4663</v>
      </c>
      <c r="F28" s="24" t="s">
        <v>200</v>
      </c>
      <c r="G28" s="25" t="s">
        <v>6</v>
      </c>
      <c r="H28" s="8"/>
      <c r="I28" s="8">
        <v>30</v>
      </c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4515</v>
      </c>
      <c r="F35" s="24" t="s">
        <v>202</v>
      </c>
      <c r="G35" s="25" t="s">
        <v>6</v>
      </c>
      <c r="H35" s="8">
        <v>86</v>
      </c>
      <c r="I35" s="8" t="s">
        <v>53</v>
      </c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'20'!B1+1</f>
        <v>45647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1130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1430</v>
      </c>
      <c r="D6" s="2"/>
      <c r="E6" s="64">
        <v>4691</v>
      </c>
      <c r="F6" s="24" t="s">
        <v>204</v>
      </c>
      <c r="G6" s="25" t="s">
        <v>6</v>
      </c>
      <c r="H6" s="8">
        <v>630</v>
      </c>
      <c r="I6" s="8">
        <v>630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4692</v>
      </c>
      <c r="F7" s="24" t="s">
        <v>203</v>
      </c>
      <c r="G7" s="25" t="s">
        <v>8</v>
      </c>
      <c r="H7" s="8">
        <v>500</v>
      </c>
      <c r="I7" s="8">
        <v>500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1430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630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300</v>
      </c>
      <c r="D12" s="2"/>
      <c r="E12" s="64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500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>
        <v>4665</v>
      </c>
      <c r="L15" s="9" t="s">
        <v>132</v>
      </c>
      <c r="M15" s="16" t="s">
        <v>142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1430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IF(vend21[[#This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1130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4665</v>
      </c>
      <c r="F26" s="24" t="s">
        <v>159</v>
      </c>
      <c r="G26" s="25" t="s">
        <v>7</v>
      </c>
      <c r="H26" s="8"/>
      <c r="I26" s="8">
        <v>300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'21'!B1+1</f>
        <v>45648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IF(vend22[[#This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view="pageBreakPreview" topLeftCell="C1" zoomScale="60" zoomScaleNormal="90" workbookViewId="0">
      <selection activeCell="L7" sqref="L7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'22'!B1+1</f>
        <v>45649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1312.5</v>
      </c>
      <c r="D6" s="2"/>
      <c r="E6" s="64">
        <v>4693</v>
      </c>
      <c r="F6" s="24" t="s">
        <v>221</v>
      </c>
      <c r="G6" s="25" t="s">
        <v>7</v>
      </c>
      <c r="H6" s="8">
        <v>150</v>
      </c>
      <c r="I6" s="8">
        <v>150</v>
      </c>
      <c r="J6" s="2"/>
      <c r="K6" s="24" t="s">
        <v>225</v>
      </c>
      <c r="L6" s="9" t="s">
        <v>6</v>
      </c>
      <c r="M6" s="16">
        <v>10</v>
      </c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10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1322.5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61">
        <f>(SUMIF($G$2:$G$31,B11,$I$2:$I$31))+(SUMIF($G$35:$G$41,B11,$H$35:$H$41))</f>
        <v>312.5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61">
        <f>(SUMIF($G$2:$G$31,B12,$I$2:$I$31))+(SUMIF($G$35:$G$41,B12,$H$35:$H$41))</f>
        <v>150</v>
      </c>
      <c r="D12" s="2"/>
      <c r="E12" s="64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61">
        <f>(SUMIF($G$2:$G$31,B13,$I$2:$I$31))+(SUMIF($G$35:$G$41,B13,$H$35:$H$41))</f>
        <v>850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IF(vend23[[#This Row],[Nº Venda]]&gt;1,1,0)</f>
        <v>0</v>
      </c>
    </row>
    <row r="14" spans="2:18" ht="15.75" x14ac:dyDescent="0.25">
      <c r="B14" s="29" t="s">
        <v>9</v>
      </c>
      <c r="C14" s="61">
        <f>(SUMIF($G$2:$G$31,B14,$I$2:$I$31))+(SUMIF($G$35:$G$41,B14,$H$35:$H$41))</f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1">
        <f>(SUMIF($G$2:$G$31,B15,$I$2:$I$31))+(SUMIF($G$35:$G$41,B15,$H$35:$H$41))</f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1312.5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IF(vend23[[#This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150</v>
      </c>
      <c r="D22" s="2"/>
      <c r="E22" s="65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4650</v>
      </c>
      <c r="F26" s="24" t="s">
        <v>222</v>
      </c>
      <c r="G26" s="25" t="s">
        <v>8</v>
      </c>
      <c r="H26" s="8">
        <v>0</v>
      </c>
      <c r="I26" s="8">
        <v>850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>
        <v>4688</v>
      </c>
      <c r="F27" s="24" t="s">
        <v>223</v>
      </c>
      <c r="G27" s="25" t="s">
        <v>6</v>
      </c>
      <c r="H27" s="8">
        <v>0</v>
      </c>
      <c r="I27" s="8">
        <v>150</v>
      </c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04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4512</v>
      </c>
      <c r="F35" s="24" t="s">
        <v>224</v>
      </c>
      <c r="G35" s="25" t="s">
        <v>6</v>
      </c>
      <c r="H35" s="8">
        <v>162.5</v>
      </c>
      <c r="I35" s="8" t="s">
        <v>76</v>
      </c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8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'23'!B1+1</f>
        <v>45650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218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390</v>
      </c>
      <c r="D6" s="2"/>
      <c r="E6" s="64">
        <v>4694</v>
      </c>
      <c r="F6" s="24" t="s">
        <v>205</v>
      </c>
      <c r="G6" s="25" t="s">
        <v>10</v>
      </c>
      <c r="H6" s="8">
        <v>218</v>
      </c>
      <c r="I6" s="8">
        <v>50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390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150</v>
      </c>
      <c r="D12" s="2"/>
      <c r="E12" s="64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240</v>
      </c>
      <c r="D15" s="2"/>
      <c r="E15" s="64"/>
      <c r="F15" s="24"/>
      <c r="G15" s="25"/>
      <c r="H15" s="8"/>
      <c r="I15" s="8"/>
      <c r="J15" s="2"/>
      <c r="K15" s="71">
        <v>4600</v>
      </c>
      <c r="L15" s="9" t="s">
        <v>132</v>
      </c>
      <c r="M15" s="16" t="s">
        <v>153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390</v>
      </c>
      <c r="D16" s="2"/>
      <c r="E16" s="64"/>
      <c r="F16" s="24"/>
      <c r="G16" s="25"/>
      <c r="H16" s="8"/>
      <c r="I16" s="8"/>
      <c r="J16" s="2"/>
      <c r="K16" s="71">
        <v>4654</v>
      </c>
      <c r="L16" s="9" t="s">
        <v>132</v>
      </c>
      <c r="M16" s="16" t="s">
        <v>142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4694</v>
      </c>
      <c r="L17" s="9" t="s">
        <v>132</v>
      </c>
      <c r="M17" s="16" t="s">
        <v>153</v>
      </c>
      <c r="R17" s="1">
        <f>IF(vend24[[#This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2</v>
      </c>
      <c r="C19" s="30">
        <f>SUM(entr_carn24[Valor Total])</f>
        <v>767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767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218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4600</v>
      </c>
      <c r="F26" s="24" t="s">
        <v>206</v>
      </c>
      <c r="G26" s="25" t="s">
        <v>7</v>
      </c>
      <c r="H26" s="8"/>
      <c r="I26" s="8">
        <v>150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3968</v>
      </c>
      <c r="F35" s="24" t="s">
        <v>207</v>
      </c>
      <c r="G35" s="25" t="s">
        <v>10</v>
      </c>
      <c r="H35" s="8">
        <v>90</v>
      </c>
      <c r="I35" s="8" t="s">
        <v>79</v>
      </c>
      <c r="K35" s="71">
        <v>4600</v>
      </c>
      <c r="L35" s="40">
        <v>5</v>
      </c>
      <c r="M35" s="16">
        <v>599</v>
      </c>
    </row>
    <row r="36" spans="2:18" ht="15.75" x14ac:dyDescent="0.25">
      <c r="E36" s="67">
        <v>4219</v>
      </c>
      <c r="F36" s="24" t="s">
        <v>207</v>
      </c>
      <c r="G36" s="25" t="s">
        <v>10</v>
      </c>
      <c r="H36" s="8">
        <v>100</v>
      </c>
      <c r="I36" s="8" t="s">
        <v>41</v>
      </c>
      <c r="K36" s="71">
        <v>4694</v>
      </c>
      <c r="L36" s="40">
        <v>1</v>
      </c>
      <c r="M36" s="16">
        <v>168</v>
      </c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'24'!B1+1</f>
        <v>45651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64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64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IF(vend25[[#This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56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'25'!B1+1</f>
        <v>45652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>
        <v>4695</v>
      </c>
      <c r="F6" s="24" t="s">
        <v>208</v>
      </c>
      <c r="G6" s="25" t="s">
        <v>40</v>
      </c>
      <c r="H6" s="8"/>
      <c r="I6" s="8"/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IF(vend26[[#This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abSelected="1" view="pageBreakPreview" zoomScale="60" zoomScaleNormal="90" workbookViewId="0">
      <selection activeCell="H26" sqref="H2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'26'!B1+1</f>
        <v>45653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377</v>
      </c>
      <c r="D6" s="2"/>
      <c r="E6" s="64"/>
      <c r="F6" s="24"/>
      <c r="G6" s="25"/>
      <c r="H6" s="8"/>
      <c r="I6" s="8"/>
      <c r="J6" s="2"/>
      <c r="K6" s="24" t="s">
        <v>209</v>
      </c>
      <c r="L6" s="9" t="s">
        <v>6</v>
      </c>
      <c r="M6" s="16">
        <v>10</v>
      </c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10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387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367</v>
      </c>
      <c r="D15" s="2"/>
      <c r="E15" s="64"/>
      <c r="F15" s="24"/>
      <c r="G15" s="25"/>
      <c r="H15" s="8"/>
      <c r="I15" s="8"/>
      <c r="J15" s="2"/>
      <c r="K15" s="71">
        <v>4672</v>
      </c>
      <c r="L15" s="9" t="s">
        <v>135</v>
      </c>
      <c r="M15" s="16" t="s">
        <v>142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377</v>
      </c>
      <c r="D16" s="2"/>
      <c r="E16" s="64"/>
      <c r="F16" s="24"/>
      <c r="G16" s="25"/>
      <c r="H16" s="8"/>
      <c r="I16" s="8"/>
      <c r="J16" s="2"/>
      <c r="K16" s="71">
        <v>4673</v>
      </c>
      <c r="L16" s="9" t="s">
        <v>135</v>
      </c>
      <c r="M16" s="16" t="s">
        <v>142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IF(vend27[[#This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>
        <v>4673</v>
      </c>
      <c r="F26" s="24" t="s">
        <v>174</v>
      </c>
      <c r="G26" s="25" t="s">
        <v>6</v>
      </c>
      <c r="H26" s="8">
        <v>0</v>
      </c>
      <c r="I26" s="8">
        <v>10</v>
      </c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4617</v>
      </c>
      <c r="F35" s="24" t="s">
        <v>210</v>
      </c>
      <c r="G35" s="25" t="s">
        <v>10</v>
      </c>
      <c r="H35" s="8">
        <v>100</v>
      </c>
      <c r="I35" s="8" t="s">
        <v>52</v>
      </c>
      <c r="K35" s="71"/>
      <c r="L35" s="40"/>
      <c r="M35" s="16"/>
    </row>
    <row r="36" spans="2:18" ht="15.75" x14ac:dyDescent="0.25">
      <c r="E36" s="67">
        <v>4630</v>
      </c>
      <c r="F36" s="24" t="s">
        <v>211</v>
      </c>
      <c r="G36" s="25" t="s">
        <v>10</v>
      </c>
      <c r="H36" s="8">
        <v>267</v>
      </c>
      <c r="I36" s="8" t="s">
        <v>71</v>
      </c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" zoomScale="90" zoomScaleNormal="9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'27'!B1+1</f>
        <v>45654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2490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580</v>
      </c>
      <c r="D6" s="2"/>
      <c r="E6" s="64">
        <v>4696</v>
      </c>
      <c r="F6" s="24" t="s">
        <v>212</v>
      </c>
      <c r="G6" s="25" t="s">
        <v>6</v>
      </c>
      <c r="H6" s="8">
        <v>890</v>
      </c>
      <c r="I6" s="8">
        <v>150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>
        <v>4697</v>
      </c>
      <c r="F7" s="24" t="s">
        <v>213</v>
      </c>
      <c r="G7" s="25" t="s">
        <v>6</v>
      </c>
      <c r="H7" s="8">
        <v>920</v>
      </c>
      <c r="I7" s="8">
        <v>150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580</v>
      </c>
      <c r="D8" s="2"/>
      <c r="E8" s="64">
        <v>4698</v>
      </c>
      <c r="F8" s="24" t="s">
        <v>214</v>
      </c>
      <c r="G8" s="25" t="s">
        <v>8</v>
      </c>
      <c r="H8" s="8">
        <v>680</v>
      </c>
      <c r="I8" s="8">
        <v>80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300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64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80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580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IF(vend28[[#This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2490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4518</v>
      </c>
      <c r="F35" s="24" t="s">
        <v>215</v>
      </c>
      <c r="G35" s="25" t="s">
        <v>7</v>
      </c>
      <c r="H35" s="8">
        <v>200</v>
      </c>
      <c r="I35" s="8" t="s">
        <v>53</v>
      </c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'28'!B1+1</f>
        <v>45655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5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IF(vend29[[#This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1" zoomScale="90" zoomScaleNormal="9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'29'!B1+1</f>
        <v>45656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348</v>
      </c>
      <c r="D6" s="2"/>
      <c r="E6" s="64">
        <v>4699</v>
      </c>
      <c r="F6" s="24" t="s">
        <v>216</v>
      </c>
      <c r="G6" s="25" t="s">
        <v>6</v>
      </c>
      <c r="H6" s="8">
        <v>350</v>
      </c>
      <c r="I6" s="8">
        <v>20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348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328</v>
      </c>
      <c r="D15" s="2"/>
      <c r="E15" s="64"/>
      <c r="F15" s="24"/>
      <c r="G15" s="25"/>
      <c r="H15" s="8"/>
      <c r="I15" s="8"/>
      <c r="J15" s="2"/>
      <c r="K15" s="71">
        <v>4656</v>
      </c>
      <c r="L15" s="9" t="s">
        <v>132</v>
      </c>
      <c r="M15" s="16" t="s">
        <v>142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348</v>
      </c>
      <c r="D16" s="2"/>
      <c r="E16" s="64"/>
      <c r="F16" s="24"/>
      <c r="G16" s="25"/>
      <c r="H16" s="8"/>
      <c r="I16" s="8"/>
      <c r="J16" s="2"/>
      <c r="K16" s="71">
        <v>4689</v>
      </c>
      <c r="L16" s="9" t="s">
        <v>132</v>
      </c>
      <c r="M16" s="16" t="s">
        <v>142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>
        <v>4652</v>
      </c>
      <c r="L17" s="9" t="s">
        <v>132</v>
      </c>
      <c r="M17" s="16" t="s">
        <v>142</v>
      </c>
      <c r="R17" s="1">
        <f>IF(vend30[[#This Row],[Nº Venda]]&gt;1,1,0)</f>
        <v>0</v>
      </c>
    </row>
    <row r="18" spans="2:22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350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22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22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22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22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22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22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22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4619</v>
      </c>
      <c r="F35" s="24" t="s">
        <v>217</v>
      </c>
      <c r="G35" s="25" t="s">
        <v>10</v>
      </c>
      <c r="H35" s="8">
        <v>90</v>
      </c>
      <c r="I35" s="8" t="s">
        <v>76</v>
      </c>
      <c r="K35" s="71"/>
      <c r="L35" s="40"/>
      <c r="M35" s="16"/>
    </row>
    <row r="36" spans="2:18" ht="15.75" x14ac:dyDescent="0.25">
      <c r="E36" s="67">
        <v>4651</v>
      </c>
      <c r="F36" s="24" t="s">
        <v>218</v>
      </c>
      <c r="G36" s="25" t="s">
        <v>10</v>
      </c>
      <c r="H36" s="8">
        <v>238</v>
      </c>
      <c r="I36" s="8" t="s">
        <v>67</v>
      </c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7">
        <f>'30'!B1+1</f>
        <v>45657</v>
      </c>
      <c r="G1" s="95" t="s">
        <v>199</v>
      </c>
      <c r="H1" s="95"/>
    </row>
    <row r="2" spans="2:18" ht="18.75" x14ac:dyDescent="0.2">
      <c r="B2" s="100" t="s">
        <v>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3" t="s">
        <v>1</v>
      </c>
      <c r="F4" s="103"/>
      <c r="G4" s="103"/>
      <c r="H4" s="103"/>
      <c r="I4" s="103"/>
      <c r="J4" s="21"/>
      <c r="K4" s="97" t="s">
        <v>3</v>
      </c>
      <c r="L4" s="98"/>
      <c r="M4" s="99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4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4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4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64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93" t="s">
        <v>5</v>
      </c>
      <c r="C10" s="93"/>
      <c r="D10" s="2"/>
      <c r="E10" s="64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4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4"/>
      <c r="F13" s="24"/>
      <c r="G13" s="25"/>
      <c r="H13" s="8"/>
      <c r="I13" s="8"/>
      <c r="J13" s="2"/>
      <c r="K13" s="97" t="s">
        <v>22</v>
      </c>
      <c r="L13" s="98"/>
      <c r="M13" s="99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4"/>
      <c r="F15" s="24"/>
      <c r="G15" s="25"/>
      <c r="H15" s="8"/>
      <c r="I15" s="8"/>
      <c r="J15" s="2"/>
      <c r="K15" s="71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4"/>
      <c r="F16" s="24"/>
      <c r="G16" s="25"/>
      <c r="H16" s="8"/>
      <c r="I16" s="8"/>
      <c r="J16" s="2"/>
      <c r="K16" s="71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64"/>
      <c r="F17" s="24"/>
      <c r="G17" s="25"/>
      <c r="H17" s="8"/>
      <c r="I17" s="8"/>
      <c r="J17" s="2"/>
      <c r="K17" s="71"/>
      <c r="L17" s="9"/>
      <c r="M17" s="16"/>
      <c r="R17" s="1">
        <f>IF(vend31[[#This Row],[Nº Venda]]&gt;1,1,0)</f>
        <v>0</v>
      </c>
    </row>
    <row r="18" spans="2:18" ht="15.75" x14ac:dyDescent="0.25">
      <c r="B18" s="93" t="s">
        <v>12</v>
      </c>
      <c r="C18" s="93"/>
      <c r="D18" s="2"/>
      <c r="E18" s="64"/>
      <c r="F18" s="24"/>
      <c r="G18" s="25"/>
      <c r="H18" s="8"/>
      <c r="I18" s="8"/>
      <c r="J18" s="2"/>
      <c r="K18" s="71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64"/>
      <c r="F19" s="24"/>
      <c r="G19" s="25"/>
      <c r="H19" s="8"/>
      <c r="I19" s="8"/>
      <c r="J19" s="2"/>
      <c r="K19" s="7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4"/>
      <c r="F20" s="25"/>
      <c r="G20" s="25"/>
      <c r="H20" s="8"/>
      <c r="I20" s="8"/>
      <c r="J20" s="2"/>
      <c r="K20" s="7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64"/>
      <c r="F21" s="24"/>
      <c r="G21" s="25"/>
      <c r="H21" s="8"/>
      <c r="I21" s="8"/>
      <c r="J21" s="2"/>
      <c r="K21" s="7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4"/>
      <c r="F22" s="24"/>
      <c r="G22" s="25"/>
      <c r="H22" s="8"/>
      <c r="I22" s="8"/>
      <c r="J22" s="2"/>
      <c r="K22" s="7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1"/>
      <c r="L23" s="9"/>
      <c r="M23" s="16"/>
    </row>
    <row r="24" spans="2:18" ht="15" x14ac:dyDescent="0.25">
      <c r="B24" s="2"/>
      <c r="C24" s="2"/>
      <c r="D24" s="2"/>
      <c r="E24" s="96" t="s">
        <v>27</v>
      </c>
      <c r="F24" s="96"/>
      <c r="G24" s="96"/>
      <c r="H24" s="96"/>
      <c r="I24" s="96"/>
      <c r="J24" s="2"/>
      <c r="K24" s="7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1"/>
      <c r="L25" s="9"/>
      <c r="M25" s="16"/>
    </row>
    <row r="26" spans="2:18" ht="15.75" x14ac:dyDescent="0.25">
      <c r="B26" s="2"/>
      <c r="C26" s="2"/>
      <c r="D26" s="2"/>
      <c r="E26" s="64"/>
      <c r="F26" s="24"/>
      <c r="G26" s="25"/>
      <c r="H26" s="8"/>
      <c r="I26" s="8"/>
      <c r="J26" s="2"/>
      <c r="K26" s="71"/>
      <c r="L26" s="9"/>
      <c r="M26" s="16"/>
    </row>
    <row r="27" spans="2:18" ht="15.75" x14ac:dyDescent="0.25">
      <c r="B27" s="2"/>
      <c r="C27" s="2"/>
      <c r="D27" s="2"/>
      <c r="E27" s="64"/>
      <c r="F27" s="24"/>
      <c r="G27" s="25"/>
      <c r="H27" s="8"/>
      <c r="I27" s="8"/>
      <c r="J27" s="2"/>
      <c r="K27" s="71"/>
      <c r="L27" s="9"/>
      <c r="M27" s="16"/>
    </row>
    <row r="28" spans="2:18" ht="15.75" x14ac:dyDescent="0.25">
      <c r="B28" s="2"/>
      <c r="C28" s="2"/>
      <c r="D28" s="2"/>
      <c r="E28" s="64"/>
      <c r="F28" s="24"/>
      <c r="G28" s="25"/>
      <c r="H28" s="8"/>
      <c r="I28" s="8"/>
      <c r="J28" s="2"/>
      <c r="K28" s="71"/>
      <c r="L28" s="9"/>
      <c r="M28" s="16"/>
    </row>
    <row r="29" spans="2:18" ht="15.75" x14ac:dyDescent="0.25">
      <c r="B29" s="2"/>
      <c r="C29" s="2"/>
      <c r="D29" s="2"/>
      <c r="E29" s="64"/>
      <c r="F29" s="24"/>
      <c r="G29" s="25"/>
      <c r="H29" s="8"/>
      <c r="I29" s="8"/>
      <c r="J29" s="2"/>
      <c r="K29" s="71"/>
      <c r="L29" s="9"/>
      <c r="M29" s="16"/>
    </row>
    <row r="30" spans="2:18" ht="15.75" x14ac:dyDescent="0.25">
      <c r="B30" s="2"/>
      <c r="C30" s="2"/>
      <c r="D30" s="2"/>
      <c r="E30" s="64"/>
      <c r="F30" s="38"/>
      <c r="G30" s="25"/>
      <c r="H30" s="8"/>
      <c r="I30" s="8"/>
      <c r="J30" s="2"/>
      <c r="K30" s="71"/>
      <c r="L30" s="9"/>
      <c r="M30" s="16"/>
    </row>
    <row r="31" spans="2:18" ht="15.75" x14ac:dyDescent="0.25">
      <c r="B31" s="2"/>
      <c r="C31" s="2"/>
      <c r="D31" s="2"/>
      <c r="E31" s="65"/>
      <c r="F31" s="35"/>
      <c r="G31" s="36"/>
      <c r="H31" s="17"/>
      <c r="I31" s="17"/>
      <c r="J31" s="2"/>
      <c r="K31" s="7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6" t="s">
        <v>28</v>
      </c>
      <c r="F33" s="96"/>
      <c r="G33" s="96"/>
      <c r="H33" s="96"/>
      <c r="I33" s="96"/>
      <c r="K33" s="97" t="s">
        <v>12</v>
      </c>
      <c r="L33" s="98"/>
      <c r="M33" s="99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/>
      <c r="F35" s="24"/>
      <c r="G35" s="25"/>
      <c r="H35" s="8"/>
      <c r="I35" s="8"/>
      <c r="K35" s="71"/>
      <c r="L35" s="40"/>
      <c r="M35" s="16"/>
    </row>
    <row r="36" spans="2:18" ht="15.75" x14ac:dyDescent="0.25">
      <c r="E36" s="67"/>
      <c r="F36" s="24"/>
      <c r="G36" s="25"/>
      <c r="H36" s="8"/>
      <c r="I36" s="8"/>
      <c r="K36" s="71"/>
      <c r="L36" s="40"/>
      <c r="M36" s="16"/>
    </row>
    <row r="37" spans="2:18" ht="15.75" x14ac:dyDescent="0.25">
      <c r="E37" s="64"/>
      <c r="F37" s="24"/>
      <c r="G37" s="25"/>
      <c r="H37" s="8"/>
      <c r="I37" s="8"/>
      <c r="K37" s="71"/>
      <c r="L37" s="40"/>
      <c r="M37" s="16"/>
    </row>
    <row r="38" spans="2:18" ht="15.75" x14ac:dyDescent="0.25">
      <c r="E38" s="64"/>
      <c r="F38" s="24"/>
      <c r="G38" s="25"/>
      <c r="H38" s="8"/>
      <c r="I38" s="8"/>
      <c r="K38" s="71"/>
      <c r="L38" s="40"/>
      <c r="M38" s="16"/>
    </row>
    <row r="39" spans="2:18" ht="15.75" x14ac:dyDescent="0.25">
      <c r="E39" s="64"/>
      <c r="F39" s="38"/>
      <c r="G39" s="25"/>
      <c r="H39" s="8"/>
      <c r="I39" s="8"/>
      <c r="K39" s="71"/>
      <c r="L39" s="40"/>
      <c r="M39" s="16"/>
    </row>
    <row r="40" spans="2:18" ht="15.75" x14ac:dyDescent="0.25">
      <c r="E40" s="65"/>
      <c r="F40" s="35"/>
      <c r="G40" s="36"/>
      <c r="H40" s="17"/>
      <c r="I40" s="8"/>
      <c r="K40" s="7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8"/>
      <c r="G41" s="25"/>
      <c r="H41" s="8"/>
      <c r="I41" s="8"/>
      <c r="K41" s="71"/>
      <c r="L41" s="40"/>
      <c r="M41" s="39"/>
    </row>
  </sheetData>
  <mergeCells count="10">
    <mergeCell ref="G1:H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2025-10-23T15:57:03Z</cp:lastPrinted>
  <dcterms:created xsi:type="dcterms:W3CDTF">2004-04-07T20:43:43Z</dcterms:created>
  <dcterms:modified xsi:type="dcterms:W3CDTF">2025-10-23T15:58:55Z</dcterms:modified>
  <cp:category/>
  <cp:contentStatus/>
</cp:coreProperties>
</file>