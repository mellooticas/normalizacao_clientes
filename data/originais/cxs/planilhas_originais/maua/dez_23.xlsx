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3/"/>
    </mc:Choice>
  </mc:AlternateContent>
  <xr:revisionPtr revIDLastSave="4" documentId="13_ncr:1_{725E9E64-2245-4893-88B4-8CD864E56458}" xr6:coauthVersionLast="47" xr6:coauthVersionMax="47" xr10:uidLastSave="{C92221EA-55B0-4010-AB2C-279E7BFD9C37}"/>
  <bookViews>
    <workbookView xWindow="-120" yWindow="-120" windowWidth="20730" windowHeight="11310" tabRatio="895" firstSheet="28" activeTab="2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externalReferences>
    <externalReference r:id="rId3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8" i="174" s="1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8" i="186" s="1"/>
  <c r="C7" i="187"/>
  <c r="C7" i="189"/>
  <c r="C7" i="190"/>
  <c r="C7" i="191"/>
  <c r="C7" i="188"/>
  <c r="C7" i="193"/>
  <c r="C7" i="195"/>
  <c r="C7" i="194"/>
  <c r="C8" i="194" s="1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5" i="195"/>
  <c r="C22" i="195" s="1"/>
  <c r="C5" i="194"/>
  <c r="C5" i="197"/>
  <c r="C22" i="197" s="1"/>
  <c r="C5" i="196"/>
  <c r="C22" i="196" s="1"/>
  <c r="C5" i="192"/>
  <c r="C22" i="192" s="1"/>
  <c r="C5" i="199"/>
  <c r="C22" i="199" s="1"/>
  <c r="C5" i="198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6" i="180"/>
  <c r="C8" i="180" s="1"/>
  <c r="C6" i="182"/>
  <c r="C6" i="183"/>
  <c r="C8" i="183" s="1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40" i="199" s="1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C22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C8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40" i="188" s="1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C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1" l="1"/>
  <c r="R40" i="197"/>
  <c r="C8" i="175"/>
  <c r="R40" i="180"/>
  <c r="R40" i="192"/>
  <c r="R40" i="196"/>
  <c r="R40" i="190"/>
  <c r="R40" i="194"/>
  <c r="R40" i="198"/>
  <c r="C8" i="176"/>
  <c r="B17" i="200"/>
  <c r="B18" i="200" s="1"/>
  <c r="R40" i="185"/>
  <c r="R40" i="183"/>
  <c r="R40" i="187"/>
  <c r="R40" i="189"/>
  <c r="R40" i="191"/>
  <c r="R40" i="193"/>
  <c r="R40" i="195"/>
  <c r="C8" i="188"/>
  <c r="R40" i="186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5" l="1"/>
  <c r="B1" i="174" s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<sst xmlns="http://schemas.openxmlformats.org/spreadsheetml/2006/main" count="1946" uniqueCount="246">
  <si>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</si>
  <si>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</si>
  <si>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</si>
  <si>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</si>
  <si>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</si>
  <si>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</si>
  <si>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</si>
  <si>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</si>
  <si>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</si>
  <si>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</si>
  <si>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</si>
  <si>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</si>
  <si>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</si>
  <si>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</si>
  <si>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</si>
  <si>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</si>
  <si>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</si>
  <si>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</si>
  <si>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</si>
  <si>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</si>
  <si>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</si>
  <si>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Cristina Severino Proença</t>
  </si>
  <si>
    <t>Mirian Aparecida do Reis</t>
  </si>
  <si>
    <t>Total  entrada</t>
  </si>
  <si>
    <t>Adriana Feitosa Isidoro Santiago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</si>
  <si>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</si>
  <si>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</si>
  <si>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</si>
  <si>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</si>
  <si>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</si>
  <si>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</si>
  <si>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</si>
  <si>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</si>
  <si>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</si>
  <si>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</si>
  <si>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</si>
  <si>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Mario Miranda dos Reis</t>
  </si>
  <si>
    <t>PARC. 1/6</t>
  </si>
  <si>
    <t>Lucelia Aparecida Albano</t>
  </si>
  <si>
    <t>PARC. 3/5</t>
  </si>
  <si>
    <t>Total de OS</t>
  </si>
  <si>
    <t>Aline Clemente Sebastião</t>
  </si>
  <si>
    <t>pegar comprovante</t>
  </si>
  <si>
    <t>Laura Chagas Pereira</t>
  </si>
  <si>
    <t>Renilda Silva</t>
  </si>
  <si>
    <t xml:space="preserve">José Jackson Barbosa </t>
  </si>
  <si>
    <t>José Moreira de Souza</t>
  </si>
  <si>
    <t>Maria Elizabeth</t>
  </si>
  <si>
    <t>Sim</t>
  </si>
  <si>
    <t>Dulcinéia Silvino</t>
  </si>
  <si>
    <t xml:space="preserve">Josinalda Barbosa do Nascimento </t>
  </si>
  <si>
    <t>Maria do Carmo Lopes da Silva</t>
  </si>
  <si>
    <t>JuLmar Silva Teles</t>
  </si>
  <si>
    <t>Não</t>
  </si>
  <si>
    <t>Maria da Silva Ozorio</t>
  </si>
  <si>
    <t xml:space="preserve">Mariane Freitas </t>
  </si>
  <si>
    <t>André Alexandre Freitas</t>
  </si>
  <si>
    <t>Audimeia Ferreira Mendes</t>
  </si>
  <si>
    <t>pix</t>
  </si>
  <si>
    <t>PARC. 3/3</t>
  </si>
  <si>
    <t>Elaine Maxiana da Silva Senna</t>
  </si>
  <si>
    <t>PARC. 6/7</t>
  </si>
  <si>
    <t>Maria da Conceição Martins</t>
  </si>
  <si>
    <t>PARC. 3/4</t>
  </si>
  <si>
    <t xml:space="preserve">Fabioa Gonçalves Martins </t>
  </si>
  <si>
    <t>PARC. 4/4</t>
  </si>
  <si>
    <t>Claudemir Silva</t>
  </si>
  <si>
    <t>PARC. 2/6</t>
  </si>
  <si>
    <t>Nataly Martins Barbosa</t>
  </si>
  <si>
    <t>Patrícia Medeiros do Nascimento</t>
  </si>
  <si>
    <t>Valmir Pacola</t>
  </si>
  <si>
    <t>SS</t>
  </si>
  <si>
    <t>Erica de Cassia Jesus Silva</t>
  </si>
  <si>
    <t>Maria Elizebeth</t>
  </si>
  <si>
    <t>3905</t>
  </si>
  <si>
    <t>paulo fortunato neto</t>
  </si>
  <si>
    <t>3867</t>
  </si>
  <si>
    <t>francisco  ronaldo ferreira  l</t>
  </si>
  <si>
    <t>ivaldo inacio da silva</t>
  </si>
  <si>
    <t>PARC. 2/2</t>
  </si>
  <si>
    <t>taynara cristina dos santos</t>
  </si>
  <si>
    <t>maria auxiliadora dias santos</t>
  </si>
  <si>
    <t>PARC. 6/6</t>
  </si>
  <si>
    <t>antonio carlos da santos</t>
  </si>
  <si>
    <t>PARC. 2/3</t>
  </si>
  <si>
    <t xml:space="preserve">ALDIMEIA PEREIRA </t>
  </si>
  <si>
    <t xml:space="preserve">SANDRA REGINA </t>
  </si>
  <si>
    <t xml:space="preserve">LUANA CRITINA </t>
  </si>
  <si>
    <t>katia aparecida chasci</t>
  </si>
  <si>
    <t xml:space="preserve">QUITERIA FLORINDO </t>
  </si>
  <si>
    <t xml:space="preserve">GRACIANO JOSE </t>
  </si>
  <si>
    <t>MARIA APARECIDA</t>
  </si>
  <si>
    <t>NADIR SILVA</t>
  </si>
  <si>
    <t>EVA APARECIDA</t>
  </si>
  <si>
    <t>SEVERINO PINTO RAMALHO</t>
  </si>
  <si>
    <t>ELIANE DE SALES</t>
  </si>
  <si>
    <t xml:space="preserve">EDMAR  COQUEIRO </t>
  </si>
  <si>
    <t>PARC. 1/5</t>
  </si>
  <si>
    <t xml:space="preserve">ANDREIA MARIA </t>
  </si>
  <si>
    <t>PARC. 4/5</t>
  </si>
  <si>
    <t xml:space="preserve">GABRIEL HENRRIQUE </t>
  </si>
  <si>
    <t>PARC. 4/8</t>
  </si>
  <si>
    <t>BETH</t>
  </si>
  <si>
    <t>PAULO LOPES</t>
  </si>
  <si>
    <t>PARC. 5/6</t>
  </si>
  <si>
    <t>VANDA MARIA DA SILVA</t>
  </si>
  <si>
    <t>PARC. 1/4</t>
  </si>
  <si>
    <t>3942</t>
  </si>
  <si>
    <t>Rosangela Silva</t>
  </si>
  <si>
    <t>3943</t>
  </si>
  <si>
    <t>Dalva AP. Souza</t>
  </si>
  <si>
    <t xml:space="preserve">Jaqueline Maria </t>
  </si>
  <si>
    <t xml:space="preserve">ANTONIO FELIPE </t>
  </si>
  <si>
    <t xml:space="preserve">MARIA DO CARMO </t>
  </si>
  <si>
    <t>PARC. 1/2</t>
  </si>
  <si>
    <t>MARIA ELIZABETH</t>
  </si>
  <si>
    <t xml:space="preserve">MARIA HELENA </t>
  </si>
  <si>
    <t xml:space="preserve">EDNEIA FERREIRA </t>
  </si>
  <si>
    <t>MARIE GERMAINE</t>
  </si>
  <si>
    <t>PARC. 2/5</t>
  </si>
  <si>
    <t>LUIZA AP,DA SILVA</t>
  </si>
  <si>
    <t>MARINEUZA DA SILVA</t>
  </si>
  <si>
    <t xml:space="preserve">OSVALDO </t>
  </si>
  <si>
    <t xml:space="preserve">RENILDA </t>
  </si>
  <si>
    <t xml:space="preserve">MANOEL DILMAR </t>
  </si>
  <si>
    <t xml:space="preserve">JOSE LUIZ </t>
  </si>
  <si>
    <t>VALERIA  LUCIA</t>
  </si>
  <si>
    <t>SUELI FALTISNO</t>
  </si>
  <si>
    <t>ANTONIO FELIPE</t>
  </si>
  <si>
    <t>IRACELIO A.FEITOSA</t>
  </si>
  <si>
    <t>PARC. 5/5</t>
  </si>
  <si>
    <t xml:space="preserve">SILVANI PEREIRA </t>
  </si>
  <si>
    <t>NATALICE DE S.LIMA</t>
  </si>
  <si>
    <t>VALTER DE ARAUJO</t>
  </si>
  <si>
    <t>NEIDE DE S.PERES</t>
  </si>
  <si>
    <t>JOANA PEIXINHO DE SOUZA</t>
  </si>
  <si>
    <t xml:space="preserve">MARIA ALVES  RODRIGUES </t>
  </si>
  <si>
    <t>MARIA GORETE</t>
  </si>
  <si>
    <t>YASMIM</t>
  </si>
  <si>
    <t xml:space="preserve">FRANCIELE </t>
  </si>
  <si>
    <t>MARIA DO CARMO</t>
  </si>
  <si>
    <t>MARIA DE LURDES LOPES</t>
  </si>
  <si>
    <t>PARC. 4/7</t>
  </si>
  <si>
    <t>ANTONIO JOSE CARLOS</t>
  </si>
  <si>
    <t>LUCELIA APARECIDA</t>
  </si>
  <si>
    <t>DOMENICA LETICIA</t>
  </si>
  <si>
    <t>Verificaçao para garantia</t>
  </si>
  <si>
    <t>GARANTIA</t>
  </si>
  <si>
    <t>ALISSON DOS S.MAIA</t>
  </si>
  <si>
    <t>VALMIR PARCOLA</t>
  </si>
  <si>
    <t>AUDREI ALONSO FIRMINO</t>
  </si>
  <si>
    <t>PARC. 4/6</t>
  </si>
  <si>
    <t>CRISTIANE R.CADENASSE</t>
  </si>
  <si>
    <t>ELANE M. DA SILVA</t>
  </si>
  <si>
    <t>PARC. 7/7</t>
  </si>
  <si>
    <t xml:space="preserve">NATALY MARTINS </t>
  </si>
  <si>
    <t>MIRIAN APARECIDA</t>
  </si>
  <si>
    <t>JOAO VICTOR O.DOS SANTOS</t>
  </si>
  <si>
    <t>PARC. 3/6</t>
  </si>
  <si>
    <t>HILDA SOUZA DOS SANTOS</t>
  </si>
  <si>
    <t>PARC. 1/7</t>
  </si>
  <si>
    <t>LUIZA BATISTA DA COSTA</t>
  </si>
  <si>
    <t xml:space="preserve">LENIRA FERREIRA </t>
  </si>
  <si>
    <t>ERICA CASSIA</t>
  </si>
  <si>
    <t>JULMAR SILVA TELES</t>
  </si>
  <si>
    <t xml:space="preserve">VALDINEI V. DOS SANTOS </t>
  </si>
  <si>
    <t>LEUDINEIA OLIVERA</t>
  </si>
  <si>
    <t>PARC. 2/4</t>
  </si>
  <si>
    <t>RARIANE FEREIRA TELES</t>
  </si>
  <si>
    <t>PARC. 5/7</t>
  </si>
  <si>
    <t xml:space="preserve">MARIA DE F. SILVA </t>
  </si>
  <si>
    <t xml:space="preserve">katia aparecida </t>
  </si>
  <si>
    <t xml:space="preserve">JANET DIAS SANTOS </t>
  </si>
  <si>
    <t>RAFAELLA KUKI</t>
  </si>
  <si>
    <t xml:space="preserve">MARIA A. DA SILVA </t>
  </si>
  <si>
    <t xml:space="preserve">JOAO BOSCO MOREIRA </t>
  </si>
  <si>
    <t>NERIVALDO  DA SILVA SANTOS</t>
  </si>
  <si>
    <t>CLAUDINEI LESSA</t>
  </si>
  <si>
    <t xml:space="preserve">JULIA M. DE OLIVEIRA </t>
  </si>
  <si>
    <t xml:space="preserve">MARCIA N.DE OLIVEIRA </t>
  </si>
  <si>
    <t>ELIANA SIQUEIRA</t>
  </si>
  <si>
    <t>SONIA TARTARINI</t>
  </si>
  <si>
    <t>JULMAR SILVA TALES</t>
  </si>
  <si>
    <t>Tipo Pagto</t>
  </si>
  <si>
    <t>descricao</t>
  </si>
  <si>
    <t xml:space="preserve">Parcelas </t>
  </si>
  <si>
    <t>Dinheiro</t>
  </si>
  <si>
    <t>PARC. 1/1</t>
  </si>
  <si>
    <t>Cartão Débito</t>
  </si>
  <si>
    <t>Cartão Crédito</t>
  </si>
  <si>
    <t>Parcelado Cartão Crédito</t>
  </si>
  <si>
    <t>PARC. 1/3</t>
  </si>
  <si>
    <t>Sem Sinal</t>
  </si>
  <si>
    <t xml:space="preserve">Carne </t>
  </si>
  <si>
    <t>Todas as Garantias</t>
  </si>
  <si>
    <t>PARC. 2/7</t>
  </si>
  <si>
    <t>PARC. 3/7</t>
  </si>
  <si>
    <t>PARC. 1/8</t>
  </si>
  <si>
    <t>PARC. 2/8</t>
  </si>
  <si>
    <t>PARC. 3/8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</si>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</sst>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2" fillId="0" borderId="13" xfId="39" applyNumberFormat="1" applyFont="1" applyFill="1" applyBorder="1" applyAlignment="1">
      <alignment horizontal="center"/>
    </xf>
    <xf numFmtId="44" fontId="32" fillId="0" borderId="13" xfId="39" applyFont="1" applyFill="1" applyBorder="1" applyAlignment="1">
      <alignment horizontal="center"/>
    </xf>
    <xf numFmtId="165" fontId="32" fillId="0" borderId="13" xfId="4" applyNumberFormat="1" applyFont="1" applyFill="1" applyBorder="1" applyAlignment="1">
      <alignment horizontal="center"/>
    </xf>
    <xf numFmtId="49" fontId="32" fillId="0" borderId="17" xfId="39" applyNumberFormat="1" applyFont="1" applyFill="1" applyBorder="1" applyAlignment="1">
      <alignment horizontal="center"/>
    </xf>
    <xf numFmtId="44" fontId="32" fillId="0" borderId="17" xfId="39" applyFont="1" applyFill="1" applyBorder="1" applyAlignment="1">
      <alignment horizontal="center"/>
    </xf>
    <xf numFmtId="165" fontId="32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2" fillId="0" borderId="17" xfId="39" applyNumberFormat="1" applyFont="1" applyFill="1" applyBorder="1" applyAlignment="1">
      <alignment horizontal="center"/>
    </xf>
    <xf numFmtId="14" fontId="33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ticastatymellocombr-my.sharepoint.com/personal/junior_oticastatymello_com_br/Documents/LOJAS/MAUA/CAIXA/2023/nov_23.xlsx" TargetMode="External"/><Relationship Id="rId1" Type="http://schemas.openxmlformats.org/officeDocument/2006/relationships/externalLinkPath" Target="nov_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O9-ai5bekesx2gE2hg_734-Z3VC6IBMh_GFbjibA5Vklraji6U6Ra7ny8Yw3lb8" itemId="01Q2JOO5NWPERYW2WAKJA37STGNXSBWEAX">
      <xxl21:absoluteUrl r:id="rId2"/>
    </xxl21:alternateUrls>
    <sheetNames>
      <sheetName val="resumo_cx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5"/>
      <sheetName val="22"/>
      <sheetName val="23"/>
      <sheetName val="24"/>
      <sheetName val="26"/>
      <sheetName val="27"/>
      <sheetName val="28"/>
      <sheetName val="29"/>
      <sheetName val="30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B1">
            <v>45260</v>
          </cell>
        </row>
      </sheetData>
      <sheetData sheetId="3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3" headerRowBorderDxfId="1641" tableBorderDxfId="1642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3" headerRowBorderDxfId="1631" tableBorderDxfId="1632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6" dataDxfId="1625" headerRowBorderDxfId="1623" tableBorderDxfId="1624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5" headerRowBorderDxfId="1613" tableBorderDxfId="1614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7" headerRowBorderDxfId="1605" tableBorderDxfId="1606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6" tableBorderDxfId="1597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90" headerRowBorderDxfId="1588" tableBorderDxfId="1589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80" headerRowBorderDxfId="1578" tableBorderDxfId="1579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2" headerRowBorderDxfId="1570" tableBorderDxfId="1571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2" headerRowBorderDxfId="1560" tableBorderDxfId="1561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4" headerRowBorderDxfId="1552" tableBorderDxfId="1553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3" tableBorderDxfId="1544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7" headerRowBorderDxfId="1535" tableBorderDxfId="1536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7" headerRowBorderDxfId="1525" tableBorderDxfId="1526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9" headerRowBorderDxfId="1517" tableBorderDxfId="1518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9" headerRowBorderDxfId="1507" tableBorderDxfId="1508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1" headerRowBorderDxfId="1499" tableBorderDxfId="1500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0" tableBorderDxfId="1491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4" headerRowBorderDxfId="1482" tableBorderDxfId="1483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4" headerRowBorderDxfId="1472" tableBorderDxfId="1473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6" headerRowBorderDxfId="1464" tableBorderDxfId="1465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6" headerRowBorderDxfId="1454" tableBorderDxfId="1455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8" headerRowBorderDxfId="1446" tableBorderDxfId="1447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7" tableBorderDxfId="1438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1" headerRowBorderDxfId="1429" tableBorderDxfId="1430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1" headerRowBorderDxfId="1419" tableBorderDxfId="1420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3" headerRowBorderDxfId="1411" tableBorderDxfId="1412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3" headerRowBorderDxfId="1401" tableBorderDxfId="1402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5" headerRowBorderDxfId="1393" tableBorderDxfId="1394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4" tableBorderDxfId="1385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8" headerRowBorderDxfId="1376" tableBorderDxfId="1377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8" headerRowBorderDxfId="1366" tableBorderDxfId="1367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60" headerRowBorderDxfId="1358" tableBorderDxfId="1359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50" headerRowBorderDxfId="1348" tableBorderDxfId="1349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2" headerRowBorderDxfId="1340" tableBorderDxfId="1341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1" tableBorderDxfId="1332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5" headerRowBorderDxfId="1323" tableBorderDxfId="1324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5" headerRowBorderDxfId="1313" tableBorderDxfId="1314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7" headerRowBorderDxfId="1305" tableBorderDxfId="1306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7" headerRowBorderDxfId="1295" tableBorderDxfId="1296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9" headerRowBorderDxfId="1287" tableBorderDxfId="1288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8" tableBorderDxfId="1279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2" headerRowBorderDxfId="1270" tableBorderDxfId="1271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2" headerRowBorderDxfId="1260" tableBorderDxfId="1261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4" headerRowBorderDxfId="1252" tableBorderDxfId="1253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4" headerRowBorderDxfId="1242" tableBorderDxfId="1243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6" headerRowBorderDxfId="1234" tableBorderDxfId="1235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5" tableBorderDxfId="1226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9" headerRowBorderDxfId="1217" tableBorderDxfId="1218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9" headerRowBorderDxfId="1207" tableBorderDxfId="1208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1" headerRowBorderDxfId="1199" tableBorderDxfId="1200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1" headerRowBorderDxfId="1189" tableBorderDxfId="1190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3" headerRowBorderDxfId="1181" tableBorderDxfId="1182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2" tableBorderDxfId="1173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6" headerRowBorderDxfId="1164" tableBorderDxfId="1165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6" headerRowBorderDxfId="1154" tableBorderDxfId="1155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8" headerRowBorderDxfId="1146" tableBorderDxfId="1147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8" headerRowBorderDxfId="1136" tableBorderDxfId="1137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30" headerRowBorderDxfId="1128" tableBorderDxfId="1129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19" tableBorderDxfId="1120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3" headerRowBorderDxfId="1111" tableBorderDxfId="1112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3" headerRowBorderDxfId="1101" tableBorderDxfId="1102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5" headerRowBorderDxfId="1093" tableBorderDxfId="1094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5" headerRowBorderDxfId="1083" tableBorderDxfId="1084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7" headerRowBorderDxfId="1075" tableBorderDxfId="1076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6" tableBorderDxfId="1067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60" headerRowBorderDxfId="1058" tableBorderDxfId="1059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50" headerRowBorderDxfId="1048" tableBorderDxfId="1049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2" headerRowBorderDxfId="1040" tableBorderDxfId="1041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2" headerRowBorderDxfId="1030" tableBorderDxfId="1031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4" headerRowBorderDxfId="1022" tableBorderDxfId="1023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3" tableBorderDxfId="1014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7" headerRowBorderDxfId="1005" tableBorderDxfId="1006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7" headerRowBorderDxfId="995" tableBorderDxfId="996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9" headerRowBorderDxfId="987" tableBorderDxfId="988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9" headerRowBorderDxfId="977" tableBorderDxfId="978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1" headerRowBorderDxfId="969" tableBorderDxfId="970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0" tableBorderDxfId="961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4" headerRowBorderDxfId="952" tableBorderDxfId="953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4" headerRowBorderDxfId="942" tableBorderDxfId="943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6" headerRowBorderDxfId="934" tableBorderDxfId="935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6" headerRowBorderDxfId="924" tableBorderDxfId="925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8" headerRowBorderDxfId="916" tableBorderDxfId="917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7" tableBorderDxfId="908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1" headerRowBorderDxfId="899" tableBorderDxfId="900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1" headerRowBorderDxfId="889" tableBorderDxfId="890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3" headerRowBorderDxfId="881" tableBorderDxfId="882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3" headerRowBorderDxfId="871" tableBorderDxfId="872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5" headerRowBorderDxfId="863" tableBorderDxfId="864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4" tableBorderDxfId="855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8" headerRowBorderDxfId="846" tableBorderDxfId="847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8" headerRowBorderDxfId="836" tableBorderDxfId="837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30" headerRowBorderDxfId="828" tableBorderDxfId="829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20" headerRowBorderDxfId="818" tableBorderDxfId="819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2" headerRowBorderDxfId="810" tableBorderDxfId="811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1" tableBorderDxfId="802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5" headerRowBorderDxfId="793" tableBorderDxfId="794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5" headerRowBorderDxfId="783" tableBorderDxfId="784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7" headerRowBorderDxfId="775" tableBorderDxfId="776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7" headerRowBorderDxfId="765" tableBorderDxfId="766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9" headerRowBorderDxfId="757" tableBorderDxfId="758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8" tableBorderDxfId="749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2" headerRowBorderDxfId="740" tableBorderDxfId="741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2" headerRowBorderDxfId="730" tableBorderDxfId="731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4" headerRowBorderDxfId="722" tableBorderDxfId="723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4" headerRowBorderDxfId="712" tableBorderDxfId="713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6" headerRowBorderDxfId="704" tableBorderDxfId="705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5" tableBorderDxfId="696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9" headerRowBorderDxfId="687" tableBorderDxfId="688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9" headerRowBorderDxfId="677" tableBorderDxfId="678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1" headerRowBorderDxfId="669" tableBorderDxfId="670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1" headerRowBorderDxfId="659" tableBorderDxfId="660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3" headerRowBorderDxfId="651" tableBorderDxfId="652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2" tableBorderDxfId="643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6" headerRowBorderDxfId="634" tableBorderDxfId="635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6" headerRowBorderDxfId="624" tableBorderDxfId="625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8" headerRowBorderDxfId="616" tableBorderDxfId="617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8" headerRowBorderDxfId="606" tableBorderDxfId="607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600" headerRowBorderDxfId="598" tableBorderDxfId="599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89" tableBorderDxfId="590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3" headerRowBorderDxfId="581" tableBorderDxfId="582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3" headerRowBorderDxfId="571" tableBorderDxfId="572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5" headerRowBorderDxfId="563" tableBorderDxfId="564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5" headerRowBorderDxfId="553" tableBorderDxfId="554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7" headerRowBorderDxfId="545" tableBorderDxfId="546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6" tableBorderDxfId="537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30" headerRowBorderDxfId="528" tableBorderDxfId="529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20" headerRowBorderDxfId="518" tableBorderDxfId="519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2" headerRowBorderDxfId="510" tableBorderDxfId="511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2" headerRowBorderDxfId="500" tableBorderDxfId="501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4" headerRowBorderDxfId="492" tableBorderDxfId="493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3" tableBorderDxfId="484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7" headerRowBorderDxfId="475" tableBorderDxfId="476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7" headerRowBorderDxfId="465" tableBorderDxfId="466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9" headerRowBorderDxfId="457" tableBorderDxfId="458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9" headerRowBorderDxfId="447" tableBorderDxfId="448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1" headerRowBorderDxfId="439" tableBorderDxfId="440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0" tableBorderDxfId="431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4" headerRowBorderDxfId="422" tableBorderDxfId="423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4" headerRowBorderDxfId="412" tableBorderDxfId="413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6" headerRowBorderDxfId="404" tableBorderDxfId="405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6" headerRowBorderDxfId="394" tableBorderDxfId="395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8" headerRowBorderDxfId="386" tableBorderDxfId="387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7" tableBorderDxfId="378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1" headerRowBorderDxfId="369" tableBorderDxfId="370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1" headerRowBorderDxfId="359" tableBorderDxfId="360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3" headerRowBorderDxfId="351" tableBorderDxfId="352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3" headerRowBorderDxfId="341" tableBorderDxfId="342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5" headerRowBorderDxfId="333" tableBorderDxfId="334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4" tableBorderDxfId="325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8" headerRowBorderDxfId="316" tableBorderDxfId="317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8" headerRowBorderDxfId="306" tableBorderDxfId="307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300" headerRowBorderDxfId="298" tableBorderDxfId="299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90" headerRowBorderDxfId="288" tableBorderDxfId="289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2" headerRowBorderDxfId="280" tableBorderDxfId="281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1" tableBorderDxfId="272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5" headerRowBorderDxfId="263" tableBorderDxfId="264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5" headerRowBorderDxfId="253" tableBorderDxfId="254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7" headerRowBorderDxfId="245" tableBorderDxfId="246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7" headerRowBorderDxfId="235" tableBorderDxfId="236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9" headerRowBorderDxfId="227" tableBorderDxfId="228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8" tableBorderDxfId="219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2" headerRowBorderDxfId="210" tableBorderDxfId="211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2" headerRowBorderDxfId="200" tableBorderDxfId="201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4" headerRowBorderDxfId="192" tableBorderDxfId="193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4" headerRowBorderDxfId="182" tableBorderDxfId="183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6" headerRowBorderDxfId="174" tableBorderDxfId="175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5" tableBorderDxfId="166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9" headerRowBorderDxfId="157" tableBorderDxfId="158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9" headerRowBorderDxfId="147" tableBorderDxfId="148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1" headerRowBorderDxfId="139" tableBorderDxfId="140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1" headerRowBorderDxfId="129" tableBorderDxfId="130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3" headerRowBorderDxfId="121" tableBorderDxfId="122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2" tableBorderDxfId="113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6" headerRowBorderDxfId="104" tableBorderDxfId="105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6" headerRowBorderDxfId="94" tableBorderDxfId="95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8" headerRowBorderDxfId="86" tableBorderDxfId="87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8" headerRowBorderDxfId="76" tableBorderDxfId="77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70" headerRowBorderDxfId="68" tableBorderDxfId="69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59" tableBorderDxfId="60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3" headerRowBorderDxfId="51" tableBorderDxfId="52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3" headerRowBorderDxfId="41" tableBorderDxfId="42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5" headerRowBorderDxfId="33" tableBorderDxfId="34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5" headerRowBorderDxfId="23" tableBorderDxfId="24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7" headerRowBorderDxfId="15" tableBorderDxfId="16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6" tableBorderDxfId="7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D27" sqref="D27"/>
    </sheetView>
  </sheetViews>
  <sheetFormatPr defaultColWidth="21.28515625" defaultRowHeight="12.75"/>
  <cols>
    <col min="2" max="2" width="22.7109375" customWidth="1"/>
  </cols>
  <sheetData>
    <row r="2" spans="1:2" ht="15">
      <c r="A2" s="19" t="s">
        <v>0</v>
      </c>
      <c r="B2" s="20">
        <v>0</v>
      </c>
    </row>
    <row r="3" spans="1:2" ht="1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39258.99</v>
      </c>
    </row>
    <row r="4" spans="1:2" ht="1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25889.989999999998</v>
      </c>
    </row>
    <row r="5" spans="1:2" ht="1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>
      <c r="A6" s="28" t="s">
        <v>4</v>
      </c>
      <c r="B6" s="29">
        <f>SUM(B4:B5)</f>
        <v>25889.989999999998</v>
      </c>
    </row>
    <row r="7" spans="1:2" ht="15">
      <c r="A7" s="2"/>
      <c r="B7" s="2"/>
    </row>
    <row r="8" spans="1:2" ht="15">
      <c r="A8" s="69" t="s">
        <v>5</v>
      </c>
      <c r="B8" s="69"/>
    </row>
    <row r="9" spans="1:2" ht="1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2745</v>
      </c>
    </row>
    <row r="10" spans="1:2" ht="1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4909</v>
      </c>
    </row>
    <row r="11" spans="1:2" ht="1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1739.99</v>
      </c>
    </row>
    <row r="12" spans="1:2" ht="1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12477</v>
      </c>
    </row>
    <row r="13" spans="1:2" ht="1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9354.99</v>
      </c>
    </row>
    <row r="14" spans="1:2" ht="15.75">
      <c r="A14" s="28" t="s">
        <v>11</v>
      </c>
      <c r="B14" s="32">
        <f>SUM(B9:B13)</f>
        <v>31225.979999999996</v>
      </c>
    </row>
    <row r="15" spans="1:2" ht="15">
      <c r="A15" s="2"/>
      <c r="B15" s="2"/>
    </row>
    <row r="16" spans="1:2" ht="15">
      <c r="A16" s="69" t="s">
        <v>12</v>
      </c>
      <c r="B16" s="69"/>
    </row>
    <row r="17" spans="1:2" ht="1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1625</v>
      </c>
    </row>
    <row r="18" spans="1:2" ht="15.75">
      <c r="A18" s="28" t="s">
        <v>11</v>
      </c>
      <c r="B18" s="32">
        <f>SUM(B17:B17)</f>
        <v>1625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topLeftCell="A7" zoomScale="80" zoomScaleNormal="80" workbookViewId="0">
      <selection activeCell="F8" sqref="F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>
      <c r="B1" s="66">
        <f>'[1]30'!B1+1</f>
        <v>45261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1792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550</v>
      </c>
      <c r="D6" s="2"/>
      <c r="E6" s="18">
        <v>3917</v>
      </c>
      <c r="F6" s="25" t="s">
        <v>21</v>
      </c>
      <c r="G6" s="26" t="s">
        <v>6</v>
      </c>
      <c r="H6" s="8">
        <v>650</v>
      </c>
      <c r="I6" s="8">
        <v>300</v>
      </c>
      <c r="J6" s="2"/>
      <c r="K6" s="25"/>
      <c r="L6" s="9"/>
      <c r="M6" s="16"/>
      <c r="R6" s="1">
        <f>IF(vend31190[[#This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3918</v>
      </c>
      <c r="F7" s="25" t="s">
        <v>22</v>
      </c>
      <c r="G7" s="26" t="s">
        <v>10</v>
      </c>
      <c r="H7" s="8">
        <v>350</v>
      </c>
      <c r="I7" s="8">
        <v>150</v>
      </c>
      <c r="J7" s="2"/>
      <c r="K7" s="25"/>
      <c r="L7" s="9"/>
      <c r="M7" s="16"/>
      <c r="R7" s="1">
        <f>IF(vend31190[[#This Row],[Nº Venda]]&gt;1,1,0)</f>
        <v>1</v>
      </c>
    </row>
    <row r="8" spans="2:18" ht="15.75">
      <c r="B8" s="28" t="s">
        <v>23</v>
      </c>
      <c r="C8" s="29">
        <f>SUM(C6:C7)</f>
        <v>550</v>
      </c>
      <c r="D8" s="2"/>
      <c r="E8" s="18">
        <v>3919</v>
      </c>
      <c r="F8" s="25" t="s">
        <v>24</v>
      </c>
      <c r="G8" s="26" t="s">
        <v>10</v>
      </c>
      <c r="H8" s="8">
        <v>792</v>
      </c>
      <c r="I8" s="8">
        <v>100</v>
      </c>
      <c r="J8" s="2"/>
      <c r="K8" s="25"/>
      <c r="L8" s="9"/>
      <c r="M8" s="16"/>
      <c r="R8" s="1">
        <f>IF(vend31190[[#This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IF(vend31190[[#This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IF(vend31190[[#This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IF(vend31190[[#This Row],[Nº Venda]]&gt;1,1,0)</f>
        <v>0</v>
      </c>
    </row>
    <row r="15" spans="2:18" ht="15.75">
      <c r="B15" s="30" t="s">
        <v>10</v>
      </c>
      <c r="C15" s="31">
        <f t="shared" si="0"/>
        <v>347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>
      <c r="B16" s="28" t="s">
        <v>11</v>
      </c>
      <c r="C16" s="32">
        <f>SUM(C11:C15)</f>
        <v>747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1792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2045319</v>
      </c>
      <c r="F35" s="25" t="s">
        <v>36</v>
      </c>
      <c r="G35" s="26" t="s">
        <v>10</v>
      </c>
      <c r="H35" s="8">
        <v>97</v>
      </c>
      <c r="I35" s="8" t="s">
        <v>37</v>
      </c>
      <c r="K35" s="25"/>
      <c r="L35" s="42"/>
      <c r="M35" s="16"/>
    </row>
    <row r="36" spans="2:18" ht="15.75">
      <c r="E36" s="18">
        <v>2079279</v>
      </c>
      <c r="F36" s="25" t="s">
        <v>38</v>
      </c>
      <c r="G36" s="26" t="s">
        <v>6</v>
      </c>
      <c r="H36" s="8">
        <v>100</v>
      </c>
      <c r="I36" s="8" t="s">
        <v>39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26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4" type="noConversion"/>
  <dataValidations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topLeftCell="A10" zoomScale="80" zoomScaleNormal="80" workbookViewId="0">
      <selection activeCell="F11" sqref="F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'01'!B1+1</f>
        <v>45262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2795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2545</v>
      </c>
      <c r="D6" s="2"/>
      <c r="E6" s="18">
        <v>3920</v>
      </c>
      <c r="F6" s="25" t="s">
        <v>41</v>
      </c>
      <c r="G6" s="47" t="s">
        <v>10</v>
      </c>
      <c r="H6" s="8">
        <v>400</v>
      </c>
      <c r="I6" s="8">
        <v>200</v>
      </c>
      <c r="J6" s="2"/>
      <c r="K6" s="25"/>
      <c r="L6" s="9"/>
      <c r="M6" s="16"/>
      <c r="R6" s="1">
        <f>IF(vend2[[#This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 t="s">
        <v>42</v>
      </c>
      <c r="G7" s="47" t="s">
        <v>8</v>
      </c>
      <c r="H7" s="8">
        <v>0</v>
      </c>
      <c r="I7" s="8">
        <v>200</v>
      </c>
      <c r="J7" s="2"/>
      <c r="K7" s="25"/>
      <c r="L7" s="9"/>
      <c r="M7" s="16"/>
      <c r="R7" s="1">
        <f>IF(vend2[[#This Row],[Nº Venda]]&gt;1,1,0)</f>
        <v>0</v>
      </c>
    </row>
    <row r="8" spans="2:18" ht="15.75">
      <c r="B8" s="28" t="s">
        <v>23</v>
      </c>
      <c r="C8" s="29">
        <f>SUM(C6:C7)</f>
        <v>2545</v>
      </c>
      <c r="D8" s="2"/>
      <c r="E8" s="18">
        <v>3921</v>
      </c>
      <c r="F8" s="25" t="s">
        <v>43</v>
      </c>
      <c r="G8" s="26" t="s">
        <v>9</v>
      </c>
      <c r="H8" s="8">
        <v>500</v>
      </c>
      <c r="I8" s="8">
        <v>500</v>
      </c>
      <c r="J8" s="2"/>
      <c r="K8" s="25"/>
      <c r="L8" s="9"/>
      <c r="M8" s="16"/>
      <c r="R8" s="1">
        <f>IF(vend2[[#This Row],[Nº Venda]]&gt;1,1,0)</f>
        <v>1</v>
      </c>
    </row>
    <row r="9" spans="2:18" ht="15.75">
      <c r="B9" s="2"/>
      <c r="C9" s="2"/>
      <c r="D9" s="2"/>
      <c r="E9" s="18">
        <v>3922</v>
      </c>
      <c r="F9" s="25" t="s">
        <v>44</v>
      </c>
      <c r="G9" s="26" t="s">
        <v>6</v>
      </c>
      <c r="H9" s="8">
        <v>600</v>
      </c>
      <c r="I9" s="8">
        <v>50</v>
      </c>
      <c r="J9" s="2"/>
      <c r="K9" s="25"/>
      <c r="L9" s="9"/>
      <c r="M9" s="16"/>
      <c r="R9" s="1">
        <f>IF(vend2[[#This Row],[Nº Venda]]&gt;1,1,0)</f>
        <v>1</v>
      </c>
    </row>
    <row r="10" spans="2:18" ht="15.75">
      <c r="B10" s="69" t="s">
        <v>5</v>
      </c>
      <c r="C10" s="69"/>
      <c r="D10" s="2"/>
      <c r="E10" s="18">
        <v>3923</v>
      </c>
      <c r="F10" s="25" t="s">
        <v>45</v>
      </c>
      <c r="G10" s="26" t="s">
        <v>10</v>
      </c>
      <c r="H10" s="8">
        <v>715</v>
      </c>
      <c r="I10" s="8">
        <v>715</v>
      </c>
      <c r="J10" s="2"/>
      <c r="K10" s="25"/>
      <c r="L10" s="9"/>
      <c r="M10" s="16"/>
      <c r="R10" s="1">
        <f>IF(vend2[[#This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>
        <v>3924</v>
      </c>
      <c r="F11" s="25" t="s">
        <v>46</v>
      </c>
      <c r="G11" s="26" t="s">
        <v>10</v>
      </c>
      <c r="H11" s="8">
        <v>580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 t="s">
        <v>9</v>
      </c>
      <c r="H12" s="8">
        <v>0</v>
      </c>
      <c r="I12" s="8">
        <v>280</v>
      </c>
      <c r="J12" s="2"/>
      <c r="R12" s="1">
        <f>IF(vend2[[#This Row],[Nº Venda]]&gt;1,1,0)</f>
        <v>0</v>
      </c>
    </row>
    <row r="13" spans="2:18" ht="15.75">
      <c r="B13" s="30" t="s">
        <v>8</v>
      </c>
      <c r="C13" s="31">
        <f t="shared" si="0"/>
        <v>200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IF(vend2[[#This Row],[Nº Venda]]&gt;1,1,0)</f>
        <v>0</v>
      </c>
    </row>
    <row r="14" spans="2:18" ht="15.75">
      <c r="B14" s="30" t="s">
        <v>9</v>
      </c>
      <c r="C14" s="31">
        <f t="shared" si="0"/>
        <v>1080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IF(vend2[[#This Row],[Nº Venda]]&gt;1,1,0)</f>
        <v>0</v>
      </c>
    </row>
    <row r="15" spans="2:18" ht="15.75">
      <c r="B15" s="30" t="s">
        <v>10</v>
      </c>
      <c r="C15" s="31">
        <f t="shared" si="0"/>
        <v>1215</v>
      </c>
      <c r="D15" s="2"/>
      <c r="E15" s="18"/>
      <c r="F15" s="25"/>
      <c r="G15" s="26"/>
      <c r="H15" s="8"/>
      <c r="I15" s="8"/>
      <c r="J15" s="2"/>
      <c r="K15" s="25">
        <v>3811</v>
      </c>
      <c r="L15" s="9" t="s">
        <v>47</v>
      </c>
      <c r="M15" s="16" t="s">
        <v>48</v>
      </c>
      <c r="R15" s="1">
        <f>IF(vend2[[#This Row],[Nº Venda]]&gt;1,1,0)</f>
        <v>0</v>
      </c>
    </row>
    <row r="16" spans="2:18" ht="15.75">
      <c r="B16" s="28" t="s">
        <v>11</v>
      </c>
      <c r="C16" s="32">
        <f>SUM(C11:C15)</f>
        <v>2545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>
      <c r="B19" s="30">
        <f>COUNT(entr_carn2[OS])</f>
        <v>1</v>
      </c>
      <c r="C19" s="31">
        <f>SUM(entr_carn2[Valor Total])</f>
        <v>700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>
      <c r="B20" s="28" t="s">
        <v>11</v>
      </c>
      <c r="C20" s="32">
        <f>SUM(C19:C19)</f>
        <v>700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2795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3811</v>
      </c>
      <c r="F26" s="25" t="s">
        <v>49</v>
      </c>
      <c r="G26" s="26" t="s">
        <v>9</v>
      </c>
      <c r="H26" s="8">
        <v>0</v>
      </c>
      <c r="I26" s="8">
        <v>300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>
        <v>3811</v>
      </c>
      <c r="L35" s="42">
        <v>4</v>
      </c>
      <c r="M35" s="16">
        <v>700</v>
      </c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5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2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'02'!B1+1</f>
        <v>45263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7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topLeftCell="A10" zoomScale="80" zoomScaleNormal="80" workbookViewId="0">
      <selection activeCell="F9" sqref="F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'03'!B1+1</f>
        <v>45264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1100</v>
      </c>
      <c r="D6" s="2"/>
      <c r="E6" s="18">
        <v>3925</v>
      </c>
      <c r="F6" s="25" t="s">
        <v>50</v>
      </c>
      <c r="G6" s="47" t="s">
        <v>7</v>
      </c>
      <c r="H6" s="8">
        <v>800</v>
      </c>
      <c r="I6" s="8">
        <v>200</v>
      </c>
      <c r="J6" s="2"/>
      <c r="K6" s="25"/>
      <c r="L6" s="9"/>
      <c r="M6" s="16"/>
      <c r="R6" s="1">
        <f>IF(vend4[[#This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7" t="s">
        <v>9</v>
      </c>
      <c r="H7" s="8">
        <v>0</v>
      </c>
      <c r="I7" s="8">
        <v>600</v>
      </c>
      <c r="J7" s="2"/>
      <c r="K7" s="25"/>
      <c r="L7" s="9"/>
      <c r="M7" s="16"/>
      <c r="R7" s="1">
        <f>IF(vend4[[#This Row],[Nº Venda]]&gt;1,1,0)</f>
        <v>0</v>
      </c>
    </row>
    <row r="8" spans="2:18" ht="15.75">
      <c r="B8" s="28" t="s">
        <v>23</v>
      </c>
      <c r="C8" s="29">
        <f>SUM(C6:C7)</f>
        <v>1100</v>
      </c>
      <c r="D8" s="2"/>
      <c r="E8" s="18">
        <v>3926</v>
      </c>
      <c r="F8" s="25" t="s">
        <v>51</v>
      </c>
      <c r="G8" s="47" t="s">
        <v>9</v>
      </c>
      <c r="H8" s="8">
        <v>400</v>
      </c>
      <c r="I8" s="8">
        <v>50</v>
      </c>
      <c r="J8" s="2"/>
      <c r="K8" s="25"/>
      <c r="L8" s="9"/>
      <c r="M8" s="16"/>
      <c r="R8" s="1">
        <f>IF(vend4[[#This Row],[Nº Venda]]&gt;1,1,0)</f>
        <v>1</v>
      </c>
    </row>
    <row r="9" spans="2:18" ht="15.75">
      <c r="B9" s="2"/>
      <c r="C9" s="2"/>
      <c r="D9" s="2"/>
      <c r="E9" s="18">
        <v>3927</v>
      </c>
      <c r="F9" s="25" t="s">
        <v>52</v>
      </c>
      <c r="G9" s="47" t="s">
        <v>7</v>
      </c>
      <c r="H9" s="8">
        <v>500</v>
      </c>
      <c r="I9" s="8">
        <v>125</v>
      </c>
      <c r="J9" s="2"/>
      <c r="K9" s="25"/>
      <c r="L9" s="9"/>
      <c r="M9" s="16"/>
      <c r="R9" s="1">
        <f>IF(vend4[[#This Row],[Nº Venda]]&gt;1,1,0)</f>
        <v>1</v>
      </c>
    </row>
    <row r="10" spans="2:18" ht="15.75">
      <c r="B10" s="69" t="s">
        <v>5</v>
      </c>
      <c r="C10" s="69"/>
      <c r="D10" s="2"/>
      <c r="E10" s="18">
        <v>3928</v>
      </c>
      <c r="F10" s="25" t="s">
        <v>52</v>
      </c>
      <c r="G10" s="26" t="s">
        <v>7</v>
      </c>
      <c r="H10" s="8">
        <v>500</v>
      </c>
      <c r="I10" s="8">
        <v>125</v>
      </c>
      <c r="J10" s="2"/>
      <c r="K10" s="25"/>
      <c r="L10" s="9"/>
      <c r="M10" s="16"/>
      <c r="R10" s="1">
        <f>IF(vend4[[#This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450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IF(vend4[[#This Row],[Nº Venda]]&gt;1,1,0)</f>
        <v>0</v>
      </c>
    </row>
    <row r="14" spans="2:18" ht="15.75">
      <c r="B14" s="30" t="s">
        <v>9</v>
      </c>
      <c r="C14" s="31">
        <f t="shared" si="0"/>
        <v>650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3908</v>
      </c>
      <c r="L15" s="9" t="s">
        <v>47</v>
      </c>
      <c r="M15" s="16" t="s">
        <v>53</v>
      </c>
      <c r="R15" s="1">
        <f>IF(vend4[[#This Row],[Nº Venda]]&gt;1,1,0)</f>
        <v>0</v>
      </c>
    </row>
    <row r="16" spans="2:18" ht="15.75">
      <c r="B16" s="28" t="s">
        <v>11</v>
      </c>
      <c r="C16" s="32">
        <f>SUM(C11:C15)</f>
        <v>1100</v>
      </c>
      <c r="D16" s="2"/>
      <c r="E16" s="18"/>
      <c r="F16" s="25"/>
      <c r="G16" s="26"/>
      <c r="H16" s="8"/>
      <c r="I16" s="8"/>
      <c r="J16" s="2"/>
      <c r="K16" s="18">
        <v>3903</v>
      </c>
      <c r="L16" s="25" t="s">
        <v>54</v>
      </c>
      <c r="M16" s="16" t="s">
        <v>53</v>
      </c>
      <c r="R16" s="1">
        <f>IF(vend4[[#This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7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7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topLeftCell="A10" zoomScale="80" zoomScaleNormal="80" workbookViewId="0">
      <selection activeCell="F11" sqref="F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'04'!B1+1</f>
        <v>45265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730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730</v>
      </c>
      <c r="D6" s="2"/>
      <c r="E6" s="18">
        <v>3929</v>
      </c>
      <c r="F6" s="25" t="s">
        <v>55</v>
      </c>
      <c r="G6" s="47" t="s">
        <v>9</v>
      </c>
      <c r="H6" s="8">
        <v>390</v>
      </c>
      <c r="I6" s="8">
        <v>390</v>
      </c>
      <c r="J6" s="2"/>
      <c r="K6" s="25"/>
      <c r="L6" s="9"/>
      <c r="M6" s="16"/>
      <c r="R6" s="1">
        <f>IF(vend5[[#This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3930</v>
      </c>
      <c r="F7" s="25" t="s">
        <v>56</v>
      </c>
      <c r="G7" s="47" t="s">
        <v>9</v>
      </c>
      <c r="H7" s="8">
        <v>340</v>
      </c>
      <c r="I7" s="8">
        <v>340</v>
      </c>
      <c r="J7" s="2"/>
      <c r="K7" s="25"/>
      <c r="L7" s="9"/>
      <c r="M7" s="16"/>
      <c r="R7" s="1">
        <f>IF(vend5[[#This Row],[Nº Venda]]&gt;1,1,0)</f>
        <v>1</v>
      </c>
    </row>
    <row r="8" spans="2:18" ht="15.75">
      <c r="B8" s="28" t="s">
        <v>23</v>
      </c>
      <c r="C8" s="29">
        <f>SUM(C6:C7)</f>
        <v>730</v>
      </c>
      <c r="D8" s="2"/>
      <c r="E8" s="18"/>
      <c r="F8" s="25"/>
      <c r="G8" s="47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>
      <c r="B9" s="2"/>
      <c r="C9" s="2"/>
      <c r="D9" s="2"/>
      <c r="E9" s="18"/>
      <c r="F9" s="25"/>
      <c r="G9" s="47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47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47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IF(vend5[[#This Row],[Nº Venda]]&gt;1,1,0)</f>
        <v>0</v>
      </c>
    </row>
    <row r="14" spans="2:18" ht="15.75">
      <c r="B14" s="30" t="s">
        <v>9</v>
      </c>
      <c r="C14" s="31">
        <f t="shared" si="0"/>
        <v>730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IF(vend5[[#This Row],[Nº Venda]]&gt;1,1,0)</f>
        <v>0</v>
      </c>
    </row>
    <row r="15" spans="2:18" ht="15.75">
      <c r="B15" s="30" t="s">
        <v>10</v>
      </c>
      <c r="C15" s="31">
        <f t="shared" si="0"/>
        <v>548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>
      <c r="B16" s="28" t="s">
        <v>11</v>
      </c>
      <c r="C16" s="32">
        <f>SUM(C11:C15)</f>
        <v>1528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730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7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7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2098278</v>
      </c>
      <c r="F35" s="25" t="s">
        <v>57</v>
      </c>
      <c r="G35" s="26" t="s">
        <v>58</v>
      </c>
      <c r="H35" s="8">
        <v>105</v>
      </c>
      <c r="I35" s="8" t="s">
        <v>59</v>
      </c>
      <c r="K35" s="25"/>
      <c r="L35" s="42"/>
      <c r="M35" s="16"/>
    </row>
    <row r="36" spans="2:18" ht="15.75">
      <c r="E36" s="18">
        <v>2094575</v>
      </c>
      <c r="F36" s="25" t="s">
        <v>60</v>
      </c>
      <c r="G36" s="26" t="s">
        <v>58</v>
      </c>
      <c r="H36" s="8">
        <v>168</v>
      </c>
      <c r="I36" s="8" t="s">
        <v>61</v>
      </c>
      <c r="K36" s="25"/>
      <c r="L36" s="42"/>
      <c r="M36" s="16"/>
    </row>
    <row r="37" spans="2:18" ht="15.75">
      <c r="E37" s="18">
        <v>2100343</v>
      </c>
      <c r="F37" s="25" t="s">
        <v>62</v>
      </c>
      <c r="G37" s="26" t="s">
        <v>58</v>
      </c>
      <c r="H37" s="8">
        <v>95</v>
      </c>
      <c r="I37" s="8" t="s">
        <v>63</v>
      </c>
      <c r="K37" s="25"/>
      <c r="L37" s="42"/>
      <c r="M37" s="16"/>
    </row>
    <row r="38" spans="2:18" ht="15.75">
      <c r="E38" s="18">
        <v>2070888</v>
      </c>
      <c r="F38" s="25" t="s">
        <v>64</v>
      </c>
      <c r="G38" s="26" t="s">
        <v>58</v>
      </c>
      <c r="H38" s="8">
        <v>180</v>
      </c>
      <c r="I38" s="8" t="s">
        <v>65</v>
      </c>
      <c r="K38" s="25"/>
      <c r="L38" s="42"/>
      <c r="M38" s="16"/>
    </row>
    <row r="39" spans="2:18" ht="15.75">
      <c r="E39" s="18">
        <v>2086597</v>
      </c>
      <c r="F39" s="39" t="s">
        <v>66</v>
      </c>
      <c r="G39" s="26" t="s">
        <v>6</v>
      </c>
      <c r="H39" s="8">
        <v>250</v>
      </c>
      <c r="I39" s="8" t="s">
        <v>67</v>
      </c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12" zoomScale="80" zoomScaleNormal="80" workbookViewId="0">
      <selection activeCell="F8" sqref="F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'05'!B1+1</f>
        <v>45266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1010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400</v>
      </c>
      <c r="D6" s="2"/>
      <c r="E6" s="18">
        <v>3931</v>
      </c>
      <c r="F6" s="25" t="s">
        <v>68</v>
      </c>
      <c r="G6" s="26" t="s">
        <v>10</v>
      </c>
      <c r="H6" s="8">
        <v>760</v>
      </c>
      <c r="I6" s="8">
        <v>100</v>
      </c>
      <c r="J6" s="2"/>
      <c r="K6" s="25"/>
      <c r="L6" s="9"/>
      <c r="M6" s="16"/>
      <c r="R6" s="1">
        <f>IF(vend[[#This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3932</v>
      </c>
      <c r="F7" s="25" t="s">
        <v>69</v>
      </c>
      <c r="G7" s="26" t="s">
        <v>7</v>
      </c>
      <c r="H7" s="8">
        <v>250</v>
      </c>
      <c r="I7" s="8">
        <v>250</v>
      </c>
      <c r="J7" s="2"/>
      <c r="K7" s="25"/>
      <c r="L7" s="9"/>
      <c r="M7" s="16"/>
      <c r="R7" s="1">
        <f>IF(vend[[#This Row],[Nº Venda]]&gt;1,1,0)</f>
        <v>1</v>
      </c>
    </row>
    <row r="8" spans="2:18" ht="15.75">
      <c r="B8" s="28" t="s">
        <v>23</v>
      </c>
      <c r="C8" s="29">
        <f>SUM(C6:C7)</f>
        <v>400</v>
      </c>
      <c r="D8" s="2"/>
      <c r="E8" s="18">
        <v>3933</v>
      </c>
      <c r="F8" s="25" t="s">
        <v>70</v>
      </c>
      <c r="G8" s="26" t="s">
        <v>71</v>
      </c>
      <c r="H8" s="8">
        <v>40</v>
      </c>
      <c r="I8" s="8">
        <v>0</v>
      </c>
      <c r="J8" s="2"/>
      <c r="K8" s="25"/>
      <c r="L8" s="9"/>
      <c r="M8" s="16"/>
      <c r="R8" s="1">
        <f>IF(vend[[#This Row],[Nº Venda]]&gt;1,1,0)</f>
        <v>1</v>
      </c>
    </row>
    <row r="9" spans="2:18" ht="15.75">
      <c r="B9" s="2"/>
      <c r="C9" s="2"/>
      <c r="D9" s="2"/>
      <c r="E9" s="18">
        <v>3934</v>
      </c>
      <c r="F9" s="25" t="s">
        <v>70</v>
      </c>
      <c r="G9" s="26" t="s">
        <v>71</v>
      </c>
      <c r="H9" s="8">
        <v>40</v>
      </c>
      <c r="I9" s="8">
        <v>0</v>
      </c>
      <c r="J9" s="2"/>
      <c r="K9" s="25"/>
      <c r="L9" s="9"/>
      <c r="M9" s="16"/>
      <c r="R9" s="1">
        <f>IF(vend[[#This Row],[Nº Venda]]&gt;1,1,0)</f>
        <v>1</v>
      </c>
    </row>
    <row r="10" spans="2:18" ht="15">
      <c r="B10" s="69" t="s">
        <v>5</v>
      </c>
      <c r="C10" s="69"/>
      <c r="D10" s="2"/>
      <c r="E10" s="67"/>
      <c r="F10" s="67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IF(vend[[#This Row],[Nº Venda]]&gt;1,1,0)</f>
        <v>0</v>
      </c>
    </row>
    <row r="15" spans="2:18" ht="15.7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18">
        <v>3897</v>
      </c>
      <c r="L15" s="25" t="s">
        <v>72</v>
      </c>
      <c r="M15" s="16" t="s">
        <v>53</v>
      </c>
      <c r="R15" s="1">
        <f>IF(vend[[#This Row],[Nº Venda]]&gt;1,1,0)</f>
        <v>0</v>
      </c>
    </row>
    <row r="16" spans="2:18" ht="15.75">
      <c r="B16" s="28" t="s">
        <v>11</v>
      </c>
      <c r="C16" s="32">
        <f>SUM(C11:C15)</f>
        <v>400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1010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3919</v>
      </c>
      <c r="F26" s="25" t="s">
        <v>24</v>
      </c>
      <c r="G26" s="26" t="s">
        <v>58</v>
      </c>
      <c r="H26" s="8">
        <v>0</v>
      </c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topLeftCell="A20" zoomScale="80" zoomScaleNormal="80" workbookViewId="0">
      <selection activeCell="G35" sqref="G3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1.42578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'06'!B1+1</f>
        <v>45267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578</v>
      </c>
      <c r="D6" s="2"/>
      <c r="E6" s="52"/>
      <c r="F6" s="50"/>
      <c r="G6" s="50"/>
      <c r="H6" s="51"/>
      <c r="I6" s="51"/>
      <c r="J6" s="2"/>
      <c r="K6" s="25"/>
      <c r="L6" s="9"/>
      <c r="M6" s="16"/>
      <c r="R6" s="1">
        <f>IF(vend7[[#This Row],[Nº Venda]]&gt;1,1,0)</f>
        <v>0</v>
      </c>
    </row>
    <row r="7" spans="2:18" ht="15">
      <c r="B7" s="23" t="s">
        <v>3</v>
      </c>
      <c r="C7" s="24">
        <f>SUM(M6:M11)</f>
        <v>0</v>
      </c>
      <c r="D7" s="2"/>
      <c r="E7" s="53"/>
      <c r="F7" s="49"/>
      <c r="G7" s="49"/>
      <c r="H7" s="48"/>
      <c r="I7" s="48"/>
      <c r="J7" s="2"/>
      <c r="K7" s="25"/>
      <c r="L7" s="9"/>
      <c r="M7" s="16"/>
      <c r="R7" s="1">
        <f>IF(vend7[[#This Row],[Nº Venda]]&gt;1,1,0)</f>
        <v>0</v>
      </c>
    </row>
    <row r="8" spans="2:18" ht="15.75">
      <c r="B8" s="28" t="s">
        <v>23</v>
      </c>
      <c r="C8" s="29">
        <f>SUM(C6:C7)</f>
        <v>578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112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691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IF(vend7[[#This Row],[Nº Venda]]&gt;1,1,0)</f>
        <v>0</v>
      </c>
    </row>
    <row r="15" spans="2:18" ht="15.75">
      <c r="B15" s="30" t="s">
        <v>10</v>
      </c>
      <c r="C15" s="31">
        <f t="shared" si="0"/>
        <v>191</v>
      </c>
      <c r="D15" s="2"/>
      <c r="E15" s="18"/>
      <c r="F15" s="25"/>
      <c r="G15" s="26"/>
      <c r="H15" s="8"/>
      <c r="I15" s="8"/>
      <c r="J15" s="2"/>
      <c r="K15" s="54">
        <v>3905</v>
      </c>
      <c r="L15" s="55" t="s">
        <v>73</v>
      </c>
      <c r="M15" s="56" t="s">
        <v>53</v>
      </c>
      <c r="R15" s="1">
        <f>IF(vend7[[#This Row],[Nº Venda]]&gt;1,1,0)</f>
        <v>0</v>
      </c>
    </row>
    <row r="16" spans="2:18" ht="15.75">
      <c r="B16" s="28" t="s">
        <v>11</v>
      </c>
      <c r="C16" s="32">
        <f>SUM(C11:C15)</f>
        <v>994</v>
      </c>
      <c r="D16" s="2"/>
      <c r="E16" s="18"/>
      <c r="F16" s="25"/>
      <c r="G16" s="26"/>
      <c r="H16" s="8"/>
      <c r="I16" s="8"/>
      <c r="J16" s="2"/>
      <c r="K16" s="46">
        <v>3867</v>
      </c>
      <c r="L16" s="9" t="s">
        <v>73</v>
      </c>
      <c r="M16" s="16" t="s">
        <v>48</v>
      </c>
      <c r="R16" s="1">
        <f>IF(vend7[[#This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46"/>
      <c r="L17" s="9"/>
      <c r="M17" s="16"/>
      <c r="R17" s="1">
        <f>IF(vend7[[#This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46"/>
      <c r="L18" s="9"/>
      <c r="M18" s="16"/>
      <c r="R18" s="1">
        <f>IF(vend7[[#This Row],[Nº Venda]]&gt;1,1,0)</f>
        <v>0</v>
      </c>
    </row>
    <row r="19" spans="2:18" ht="15.75">
      <c r="B19" s="30">
        <f>COUNT(entr_carn7[OS])</f>
        <v>1</v>
      </c>
      <c r="C19" s="31">
        <f>SUM(entr_carn7[Valor Total])</f>
        <v>100</v>
      </c>
      <c r="D19" s="2"/>
      <c r="E19" s="18"/>
      <c r="F19" s="25"/>
      <c r="G19" s="26"/>
      <c r="H19" s="8"/>
      <c r="I19" s="8"/>
      <c r="J19" s="2"/>
      <c r="K19" s="46"/>
      <c r="L19" s="9"/>
      <c r="M19" s="16"/>
      <c r="R19" s="1">
        <f>IF(vend7[[#This Row],[Nº Venda]]&gt;1,1,0)</f>
        <v>0</v>
      </c>
    </row>
    <row r="20" spans="2:18" ht="15.75">
      <c r="B20" s="28" t="s">
        <v>11</v>
      </c>
      <c r="C20" s="32">
        <f>SUM(C19:C19)</f>
        <v>100</v>
      </c>
      <c r="D20" s="2"/>
      <c r="E20" s="18"/>
      <c r="F20" s="26"/>
      <c r="G20" s="26"/>
      <c r="H20" s="8"/>
      <c r="I20" s="8"/>
      <c r="J20" s="2"/>
      <c r="K20" s="46"/>
      <c r="L20" s="9"/>
      <c r="M20" s="16"/>
      <c r="R20" s="1">
        <f>IF(vend7[[#This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46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6"/>
      <c r="L22" s="9"/>
      <c r="M22" s="16"/>
    </row>
    <row r="23" spans="2:18" ht="15">
      <c r="B23" s="2"/>
      <c r="C23" s="2"/>
      <c r="D23" s="2"/>
      <c r="E23" s="33"/>
      <c r="H23" s="7"/>
      <c r="J23" s="2"/>
      <c r="K23" s="46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46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6"/>
      <c r="L25" s="9"/>
      <c r="M25" s="16"/>
    </row>
    <row r="26" spans="2:18" ht="15">
      <c r="B26" s="2"/>
      <c r="C26" s="2"/>
      <c r="D26" s="2"/>
      <c r="E26" s="52" t="s">
        <v>74</v>
      </c>
      <c r="F26" s="50" t="s">
        <v>75</v>
      </c>
      <c r="G26" s="50" t="s">
        <v>7</v>
      </c>
      <c r="H26" s="78">
        <v>0</v>
      </c>
      <c r="I26" s="51">
        <v>478</v>
      </c>
      <c r="J26" s="2"/>
      <c r="K26" s="46"/>
      <c r="L26" s="9"/>
      <c r="M26" s="16"/>
    </row>
    <row r="27" spans="2:18" ht="15">
      <c r="B27" s="2"/>
      <c r="C27" s="2"/>
      <c r="D27" s="2"/>
      <c r="E27" s="53" t="s">
        <v>76</v>
      </c>
      <c r="F27" s="49" t="s">
        <v>77</v>
      </c>
      <c r="G27" s="49" t="s">
        <v>7</v>
      </c>
      <c r="H27" s="8">
        <v>0</v>
      </c>
      <c r="I27" s="48">
        <v>100</v>
      </c>
      <c r="J27" s="2"/>
      <c r="K27" s="46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46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46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46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46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2072678</v>
      </c>
      <c r="F35" s="25" t="s">
        <v>78</v>
      </c>
      <c r="G35" s="26" t="s">
        <v>6</v>
      </c>
      <c r="H35" s="8">
        <v>112</v>
      </c>
      <c r="I35" s="8" t="s">
        <v>79</v>
      </c>
      <c r="K35" s="25">
        <v>3867</v>
      </c>
      <c r="L35" s="42">
        <v>1</v>
      </c>
      <c r="M35" s="16">
        <v>100</v>
      </c>
    </row>
    <row r="36" spans="2:18" ht="15.75">
      <c r="E36" s="18">
        <v>2072678</v>
      </c>
      <c r="F36" s="25" t="s">
        <v>80</v>
      </c>
      <c r="G36" s="26" t="s">
        <v>10</v>
      </c>
      <c r="H36" s="8">
        <v>126</v>
      </c>
      <c r="I36" s="8" t="s">
        <v>67</v>
      </c>
      <c r="K36" s="25"/>
      <c r="L36" s="42"/>
      <c r="M36" s="16"/>
    </row>
    <row r="37" spans="2:18" ht="15.75">
      <c r="E37" s="18">
        <v>2096593</v>
      </c>
      <c r="F37" s="25" t="s">
        <v>81</v>
      </c>
      <c r="G37" s="26" t="s">
        <v>10</v>
      </c>
      <c r="H37" s="8">
        <v>65</v>
      </c>
      <c r="I37" s="8" t="s">
        <v>82</v>
      </c>
      <c r="K37" s="25"/>
      <c r="L37" s="42"/>
      <c r="M37" s="16"/>
    </row>
    <row r="38" spans="2:18" ht="15.75">
      <c r="E38" s="18">
        <v>2103553</v>
      </c>
      <c r="F38" s="25" t="s">
        <v>83</v>
      </c>
      <c r="G38" s="26" t="s">
        <v>7</v>
      </c>
      <c r="H38" s="8">
        <v>113</v>
      </c>
      <c r="I38" s="8" t="s">
        <v>84</v>
      </c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 G26:G27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G35:G41 G28:G31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I8" sqref="I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'07'!B1+1</f>
        <v>45268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695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545</v>
      </c>
      <c r="D6" s="2"/>
      <c r="E6" s="57">
        <v>3935</v>
      </c>
      <c r="F6" s="8" t="s">
        <v>85</v>
      </c>
      <c r="G6" s="8" t="s">
        <v>10</v>
      </c>
      <c r="H6" s="8">
        <v>400</v>
      </c>
      <c r="I6" s="8">
        <v>150</v>
      </c>
      <c r="J6" s="2"/>
      <c r="K6" s="25"/>
      <c r="L6" s="9"/>
      <c r="M6" s="16"/>
      <c r="R6" s="1">
        <f>IF(vend8[[#This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57">
        <v>3936</v>
      </c>
      <c r="F7" s="8" t="s">
        <v>86</v>
      </c>
      <c r="G7" s="8" t="s">
        <v>7</v>
      </c>
      <c r="H7" s="8">
        <v>45</v>
      </c>
      <c r="I7" s="8">
        <v>45</v>
      </c>
      <c r="J7" s="2"/>
      <c r="K7" s="25"/>
      <c r="L7" s="9"/>
      <c r="M7" s="16"/>
      <c r="R7" s="1">
        <f>IF(vend8[[#This Row],[Nº Venda]]&gt;1,1,0)</f>
        <v>1</v>
      </c>
    </row>
    <row r="8" spans="2:18" ht="15.75">
      <c r="B8" s="28" t="s">
        <v>23</v>
      </c>
      <c r="C8" s="29">
        <f>SUM(C6:C7)</f>
        <v>545</v>
      </c>
      <c r="D8" s="2"/>
      <c r="E8" s="57">
        <v>3937</v>
      </c>
      <c r="F8" s="8" t="s">
        <v>87</v>
      </c>
      <c r="G8" s="8" t="s">
        <v>10</v>
      </c>
      <c r="H8" s="8">
        <v>250</v>
      </c>
      <c r="I8" s="8">
        <v>50</v>
      </c>
      <c r="J8" s="2"/>
      <c r="K8" s="25"/>
      <c r="L8" s="9"/>
      <c r="M8" s="16"/>
      <c r="R8" s="1">
        <f>IF(vend8[[#This Row],[Nº Venda]]&gt;1,1,0)</f>
        <v>1</v>
      </c>
    </row>
    <row r="9" spans="2:18" ht="15">
      <c r="B9" s="2"/>
      <c r="C9" s="2"/>
      <c r="D9" s="2"/>
      <c r="E9" s="57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45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IF(vend8[[#This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IF(vend8[[#This Row],[Nº Venda]]&gt;1,1,0)</f>
        <v>0</v>
      </c>
    </row>
    <row r="15" spans="2:18" ht="15.75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>
      <c r="B16" s="28" t="s">
        <v>11</v>
      </c>
      <c r="C16" s="32">
        <f>SUM(C11:C15)</f>
        <v>545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695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79">
        <v>3849</v>
      </c>
      <c r="F26" s="68" t="s">
        <v>88</v>
      </c>
      <c r="G26" s="80" t="s">
        <v>6</v>
      </c>
      <c r="H26" s="78">
        <v>0</v>
      </c>
      <c r="I26" s="78">
        <v>300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7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7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zoomScale="80" zoomScaleNormal="80" workbookViewId="0">
      <selection activeCell="E7" sqref="E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'08'!B1+1</f>
        <v>45269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2080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2105</v>
      </c>
      <c r="D6" s="2"/>
      <c r="E6" s="18">
        <v>3938</v>
      </c>
      <c r="F6" s="25" t="s">
        <v>89</v>
      </c>
      <c r="G6" s="47" t="s">
        <v>7</v>
      </c>
      <c r="H6" s="8">
        <v>45</v>
      </c>
      <c r="I6" s="8">
        <v>45</v>
      </c>
      <c r="J6" s="2"/>
      <c r="K6" s="25"/>
      <c r="L6" s="9"/>
      <c r="M6" s="16"/>
      <c r="R6" s="1">
        <f>IF(vend9[[#This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3939</v>
      </c>
      <c r="F7" s="25" t="s">
        <v>90</v>
      </c>
      <c r="G7" s="26" t="s">
        <v>10</v>
      </c>
      <c r="H7" s="8">
        <v>1190</v>
      </c>
      <c r="I7" s="8">
        <v>200</v>
      </c>
      <c r="J7" s="2"/>
      <c r="K7" s="25"/>
      <c r="L7" s="9"/>
      <c r="M7" s="16"/>
      <c r="R7" s="1">
        <f>IF(vend9[[#This Row],[Nº Venda]]&gt;1,1,0)</f>
        <v>1</v>
      </c>
    </row>
    <row r="8" spans="2:18" ht="15.75">
      <c r="B8" s="28" t="s">
        <v>23</v>
      </c>
      <c r="C8" s="29">
        <f>SUM(C6:C7)</f>
        <v>2105</v>
      </c>
      <c r="D8" s="2"/>
      <c r="E8" s="18">
        <v>3940</v>
      </c>
      <c r="F8" s="25" t="s">
        <v>91</v>
      </c>
      <c r="G8" s="26" t="s">
        <v>8</v>
      </c>
      <c r="H8" s="8">
        <v>800</v>
      </c>
      <c r="I8" s="8">
        <v>800</v>
      </c>
      <c r="J8" s="2"/>
      <c r="K8" s="25"/>
      <c r="L8" s="9"/>
      <c r="M8" s="16"/>
      <c r="R8" s="1">
        <f>IF(vend9[[#This Row],[Nº Venda]]&gt;1,1,0)</f>
        <v>1</v>
      </c>
    </row>
    <row r="9" spans="2:18" ht="15.75">
      <c r="B9" s="2"/>
      <c r="C9" s="2"/>
      <c r="D9" s="2"/>
      <c r="E9" s="18">
        <v>3941</v>
      </c>
      <c r="F9" s="25" t="s">
        <v>92</v>
      </c>
      <c r="G9" s="26" t="s">
        <v>7</v>
      </c>
      <c r="H9" s="8">
        <v>45</v>
      </c>
      <c r="I9" s="8">
        <v>45</v>
      </c>
      <c r="J9" s="2"/>
      <c r="K9" s="25"/>
      <c r="L9" s="9"/>
      <c r="M9" s="16"/>
      <c r="R9" s="1">
        <f>IF(vend9[[#This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136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233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>
      <c r="B13" s="30" t="s">
        <v>8</v>
      </c>
      <c r="C13" s="31">
        <f t="shared" si="0"/>
        <v>920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IF(vend9[[#This Row],[Nº Venda]]&gt;1,1,0)</f>
        <v>0</v>
      </c>
    </row>
    <row r="15" spans="2:18" ht="15.75">
      <c r="B15" s="30" t="s">
        <v>10</v>
      </c>
      <c r="C15" s="31">
        <f t="shared" si="0"/>
        <v>1609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>
      <c r="B16" s="28" t="s">
        <v>11</v>
      </c>
      <c r="C16" s="32">
        <f>SUM(C11:C15)</f>
        <v>2898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2080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3881</v>
      </c>
      <c r="F26" s="25" t="s">
        <v>93</v>
      </c>
      <c r="G26" s="47" t="s">
        <v>10</v>
      </c>
      <c r="H26" s="8">
        <v>0</v>
      </c>
      <c r="I26" s="8">
        <v>1015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2056693</v>
      </c>
      <c r="F35" s="25" t="s">
        <v>94</v>
      </c>
      <c r="G35" s="26" t="s">
        <v>7</v>
      </c>
      <c r="H35" s="8">
        <v>143</v>
      </c>
      <c r="I35" s="8" t="s">
        <v>39</v>
      </c>
      <c r="K35" s="25"/>
      <c r="L35" s="42"/>
      <c r="M35" s="16"/>
    </row>
    <row r="36" spans="2:18" ht="15.75">
      <c r="E36" s="18">
        <v>2082823</v>
      </c>
      <c r="F36" s="25" t="s">
        <v>95</v>
      </c>
      <c r="G36" s="26" t="s">
        <v>8</v>
      </c>
      <c r="H36" s="8">
        <v>120</v>
      </c>
      <c r="I36" s="8" t="s">
        <v>82</v>
      </c>
      <c r="K36" s="25"/>
      <c r="L36" s="42"/>
      <c r="M36" s="16"/>
    </row>
    <row r="37" spans="2:18" ht="15.75">
      <c r="E37" s="18">
        <v>2105210</v>
      </c>
      <c r="F37" s="25" t="s">
        <v>96</v>
      </c>
      <c r="G37" s="26" t="s">
        <v>6</v>
      </c>
      <c r="H37" s="8">
        <v>136</v>
      </c>
      <c r="I37" s="8" t="s">
        <v>97</v>
      </c>
      <c r="K37" s="25"/>
      <c r="L37" s="42"/>
      <c r="M37" s="16"/>
    </row>
    <row r="38" spans="2:18" ht="15.75">
      <c r="E38" s="18">
        <v>2100594</v>
      </c>
      <c r="F38" s="25" t="s">
        <v>98</v>
      </c>
      <c r="G38" s="26" t="s">
        <v>10</v>
      </c>
      <c r="H38" s="8">
        <v>230</v>
      </c>
      <c r="I38" s="8" t="s">
        <v>99</v>
      </c>
      <c r="K38" s="25"/>
      <c r="L38" s="42"/>
      <c r="M38" s="16"/>
    </row>
    <row r="39" spans="2:18" ht="15.75">
      <c r="E39" s="18">
        <v>2092158</v>
      </c>
      <c r="F39" s="39" t="s">
        <v>100</v>
      </c>
      <c r="G39" s="26" t="s">
        <v>10</v>
      </c>
      <c r="H39" s="8">
        <v>164</v>
      </c>
      <c r="I39" s="8" t="s">
        <v>101</v>
      </c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'09'!B1+1</f>
        <v>45270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47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7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IF(vend10[[#This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47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47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I36" sqref="I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'10'!B1+1</f>
        <v>45271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133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IF(vend11[[#This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3907</v>
      </c>
      <c r="L15" s="9" t="s">
        <v>102</v>
      </c>
      <c r="M15" s="16" t="s">
        <v>53</v>
      </c>
      <c r="R15" s="1">
        <f>IF(vend11[[#This Row],[Nº Venda]]&gt;1,1,0)</f>
        <v>0</v>
      </c>
    </row>
    <row r="16" spans="2:18" ht="15.75">
      <c r="B16" s="28" t="s">
        <v>11</v>
      </c>
      <c r="C16" s="32">
        <f>SUM(C11:C15)</f>
        <v>233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2093825</v>
      </c>
      <c r="F35" s="25" t="s">
        <v>103</v>
      </c>
      <c r="G35" s="26" t="s">
        <v>6</v>
      </c>
      <c r="H35" s="8">
        <v>133</v>
      </c>
      <c r="I35" s="8" t="s">
        <v>104</v>
      </c>
      <c r="K35" s="25"/>
      <c r="L35" s="42"/>
      <c r="M35" s="16"/>
    </row>
    <row r="36" spans="2:18" ht="15.75">
      <c r="E36" s="18">
        <v>2089888</v>
      </c>
      <c r="F36" s="25" t="s">
        <v>105</v>
      </c>
      <c r="G36" s="26" t="s">
        <v>10</v>
      </c>
      <c r="H36" s="8">
        <v>100</v>
      </c>
      <c r="I36" s="8" t="s">
        <v>106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E11" sqref="E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'11'!B1+1</f>
        <v>45272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949.99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>
      <c r="B6" s="23" t="s">
        <v>2</v>
      </c>
      <c r="C6" s="24">
        <f>SUM(I6:I41)</f>
        <v>549.99</v>
      </c>
      <c r="D6" s="2"/>
      <c r="E6" s="58" t="s">
        <v>107</v>
      </c>
      <c r="F6" s="59" t="s">
        <v>108</v>
      </c>
      <c r="G6" s="59" t="s">
        <v>6</v>
      </c>
      <c r="H6" s="60">
        <v>500</v>
      </c>
      <c r="I6" s="60">
        <v>100</v>
      </c>
      <c r="J6" s="2"/>
      <c r="K6" s="25"/>
      <c r="L6" s="9"/>
      <c r="M6" s="16"/>
      <c r="R6" s="1">
        <f>IF(vend12[[#This Row],[Nº Venda]]&gt;1,1,0)</f>
        <v>1</v>
      </c>
    </row>
    <row r="7" spans="2:18" ht="15">
      <c r="B7" s="23" t="s">
        <v>3</v>
      </c>
      <c r="C7" s="24">
        <f>SUM(M6:M11)</f>
        <v>0</v>
      </c>
      <c r="D7" s="2"/>
      <c r="E7" s="61" t="s">
        <v>109</v>
      </c>
      <c r="F7" s="62" t="s">
        <v>110</v>
      </c>
      <c r="G7" s="62" t="s">
        <v>7</v>
      </c>
      <c r="H7" s="63">
        <v>150</v>
      </c>
      <c r="I7" s="63">
        <v>150</v>
      </c>
      <c r="J7" s="2"/>
      <c r="K7" s="25"/>
      <c r="L7" s="9"/>
      <c r="M7" s="16"/>
      <c r="R7" s="1">
        <f>IF(vend12[[#This Row],[Nº Venda]]&gt;1,1,0)</f>
        <v>1</v>
      </c>
    </row>
    <row r="8" spans="2:18" ht="15.75">
      <c r="B8" s="28" t="s">
        <v>23</v>
      </c>
      <c r="C8" s="29">
        <f>SUM(C6:C7)</f>
        <v>549.99</v>
      </c>
      <c r="D8" s="2"/>
      <c r="E8" s="65">
        <v>3944</v>
      </c>
      <c r="F8" s="62" t="s">
        <v>111</v>
      </c>
      <c r="G8" s="62" t="s">
        <v>8</v>
      </c>
      <c r="H8" s="63">
        <v>299.99</v>
      </c>
      <c r="I8" s="63">
        <v>299.99</v>
      </c>
      <c r="J8" s="2"/>
      <c r="K8" s="25"/>
      <c r="L8" s="9"/>
      <c r="M8" s="16"/>
      <c r="R8" s="1">
        <f>IF(vend12[[#This Row],[Nº Venda]]&gt;1,1,0)</f>
        <v>1</v>
      </c>
    </row>
    <row r="9" spans="2:18" ht="15.75">
      <c r="B9" s="2"/>
      <c r="C9" s="2"/>
      <c r="D9" s="2"/>
      <c r="E9" s="18">
        <v>3945</v>
      </c>
      <c r="F9" s="25" t="s">
        <v>112</v>
      </c>
      <c r="G9" s="26" t="s">
        <v>71</v>
      </c>
      <c r="H9" s="8">
        <v>700</v>
      </c>
      <c r="I9" s="8"/>
      <c r="J9" s="2"/>
      <c r="K9" s="25"/>
      <c r="L9" s="9"/>
      <c r="M9" s="16"/>
      <c r="R9" s="1">
        <f>IF(vend12[[#This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>
      <c r="B13" s="30" t="s">
        <v>8</v>
      </c>
      <c r="C13" s="31">
        <f t="shared" si="0"/>
        <v>299.99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IF(vend12[[#This Row],[Nº Venda]]&gt;1,1,0)</f>
        <v>0</v>
      </c>
    </row>
    <row r="15" spans="2:18" ht="15.75">
      <c r="B15" s="30" t="s">
        <v>10</v>
      </c>
      <c r="C15" s="31">
        <f t="shared" si="0"/>
        <v>150</v>
      </c>
      <c r="D15" s="2"/>
      <c r="E15" s="18"/>
      <c r="F15" s="25"/>
      <c r="G15" s="26"/>
      <c r="H15" s="8"/>
      <c r="I15" s="8"/>
      <c r="J15" s="2"/>
      <c r="K15" s="25">
        <v>3898</v>
      </c>
      <c r="L15" s="9" t="s">
        <v>102</v>
      </c>
      <c r="M15" s="16" t="s">
        <v>53</v>
      </c>
      <c r="R15" s="1">
        <f>IF(vend12[[#This Row],[Nº Venda]]&gt;1,1,0)</f>
        <v>0</v>
      </c>
    </row>
    <row r="16" spans="2:18" ht="15.75">
      <c r="B16" s="28" t="s">
        <v>11</v>
      </c>
      <c r="C16" s="32">
        <f>SUM(C11:C15)</f>
        <v>699.99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949.99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64"/>
      <c r="G26" s="47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2081861</v>
      </c>
      <c r="F35" s="25" t="s">
        <v>113</v>
      </c>
      <c r="G35" s="26" t="s">
        <v>10</v>
      </c>
      <c r="H35" s="8">
        <v>75</v>
      </c>
      <c r="I35" s="8" t="s">
        <v>114</v>
      </c>
      <c r="K35" s="25"/>
      <c r="L35" s="42"/>
      <c r="M35" s="16"/>
    </row>
    <row r="36" spans="2:18" ht="15.75">
      <c r="E36" s="18">
        <v>2081861</v>
      </c>
      <c r="F36" s="25" t="s">
        <v>113</v>
      </c>
      <c r="G36" s="26" t="s">
        <v>10</v>
      </c>
      <c r="H36" s="8">
        <v>75</v>
      </c>
      <c r="I36" s="8" t="s">
        <v>79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4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topLeftCell="A9" zoomScale="80" zoomScaleNormal="80" workbookViewId="0">
      <selection activeCell="M16" sqref="M1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'12'!B1+1</f>
        <v>45273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2715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1735</v>
      </c>
      <c r="D6" s="2"/>
      <c r="E6" s="18">
        <v>3946</v>
      </c>
      <c r="F6" s="25" t="s">
        <v>115</v>
      </c>
      <c r="G6" s="26" t="s">
        <v>10</v>
      </c>
      <c r="H6" s="8">
        <v>1080</v>
      </c>
      <c r="I6" s="8">
        <v>100</v>
      </c>
      <c r="J6" s="2"/>
      <c r="K6" s="25"/>
      <c r="L6" s="9"/>
      <c r="M6" s="16"/>
      <c r="R6" s="1">
        <f>IF(vend13[[#This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3947</v>
      </c>
      <c r="F7" s="25" t="s">
        <v>116</v>
      </c>
      <c r="G7" s="26" t="s">
        <v>9</v>
      </c>
      <c r="H7" s="8">
        <v>1590</v>
      </c>
      <c r="I7" s="8">
        <v>1590</v>
      </c>
      <c r="J7" s="2"/>
      <c r="K7" s="25"/>
      <c r="L7" s="9"/>
      <c r="M7" s="16"/>
      <c r="R7" s="1">
        <f>IF(vend13[[#This Row],[Nº Venda]]&gt;1,1,0)</f>
        <v>1</v>
      </c>
    </row>
    <row r="8" spans="2:18" ht="15.75">
      <c r="B8" s="28" t="s">
        <v>23</v>
      </c>
      <c r="C8" s="29">
        <f>SUM(C6:C7)</f>
        <v>1735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>
      <c r="B13" s="30" t="s">
        <v>8</v>
      </c>
      <c r="C13" s="31">
        <f t="shared" si="0"/>
        <v>45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IF(vend13[[#This Row],[Nº Venda]]&gt;1,1,0)</f>
        <v>0</v>
      </c>
    </row>
    <row r="14" spans="2:18" ht="15.75">
      <c r="B14" s="30" t="s">
        <v>9</v>
      </c>
      <c r="C14" s="31">
        <f t="shared" si="0"/>
        <v>1590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IF(vend13[[#This Row],[Nº Venda]]&gt;1,1,0)</f>
        <v>0</v>
      </c>
    </row>
    <row r="15" spans="2:18" ht="15.75">
      <c r="B15" s="30" t="s">
        <v>10</v>
      </c>
      <c r="C15" s="31">
        <f t="shared" si="0"/>
        <v>178</v>
      </c>
      <c r="D15" s="2"/>
      <c r="E15" s="18"/>
      <c r="F15" s="25"/>
      <c r="G15" s="26"/>
      <c r="H15" s="8"/>
      <c r="I15" s="8"/>
      <c r="J15" s="2"/>
      <c r="K15" s="25">
        <v>3909</v>
      </c>
      <c r="L15" s="9" t="s">
        <v>102</v>
      </c>
      <c r="M15" s="16" t="s">
        <v>53</v>
      </c>
      <c r="R15" s="1">
        <f>IF(vend13[[#This Row],[Nº Venda]]&gt;1,1,0)</f>
        <v>0</v>
      </c>
    </row>
    <row r="16" spans="2:18" ht="15.75">
      <c r="B16" s="28" t="s">
        <v>11</v>
      </c>
      <c r="C16" s="32">
        <f>SUM(C11:C15)</f>
        <v>1893</v>
      </c>
      <c r="D16" s="2"/>
      <c r="E16" s="18"/>
      <c r="F16" s="25"/>
      <c r="G16" s="26"/>
      <c r="H16" s="8"/>
      <c r="I16" s="8"/>
      <c r="J16" s="2"/>
      <c r="K16" s="25">
        <v>3910</v>
      </c>
      <c r="L16" s="9" t="s">
        <v>102</v>
      </c>
      <c r="M16" s="16" t="s">
        <v>53</v>
      </c>
      <c r="R16" s="1">
        <f>IF(vend13[[#This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2715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3910</v>
      </c>
      <c r="F26" s="25" t="s">
        <v>117</v>
      </c>
      <c r="G26" s="26" t="s">
        <v>8</v>
      </c>
      <c r="H26" s="8">
        <v>45</v>
      </c>
      <c r="I26" s="8">
        <v>45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B35" s="1">
        <v>3</v>
      </c>
      <c r="E35" s="18">
        <v>2022486</v>
      </c>
      <c r="F35" s="25" t="s">
        <v>118</v>
      </c>
      <c r="G35" s="26" t="s">
        <v>10</v>
      </c>
      <c r="H35" s="8">
        <v>78</v>
      </c>
      <c r="I35" s="8" t="s">
        <v>119</v>
      </c>
      <c r="K35" s="25"/>
      <c r="L35" s="42"/>
      <c r="M35" s="16"/>
    </row>
    <row r="36" spans="2:18" ht="15.75">
      <c r="E36" s="18">
        <v>2103024</v>
      </c>
      <c r="F36" s="25" t="s">
        <v>120</v>
      </c>
      <c r="G36" s="26" t="s">
        <v>6</v>
      </c>
      <c r="H36" s="8">
        <v>80</v>
      </c>
      <c r="I36" s="8" t="s">
        <v>97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2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7" zoomScale="80" zoomScaleNormal="80" workbookViewId="0">
      <selection activeCell="V9" sqref="V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'13'!B1+1</f>
        <v>45274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1399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350</v>
      </c>
      <c r="D6" s="2"/>
      <c r="E6" s="18">
        <v>3948</v>
      </c>
      <c r="F6" s="25" t="s">
        <v>121</v>
      </c>
      <c r="G6" s="47" t="s">
        <v>7</v>
      </c>
      <c r="H6" s="8">
        <v>399</v>
      </c>
      <c r="I6" s="8">
        <v>100</v>
      </c>
      <c r="J6" s="2"/>
      <c r="K6" s="25"/>
      <c r="L6" s="9"/>
      <c r="M6" s="16"/>
      <c r="R6" s="1">
        <f>IF(vend14[[#This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47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>
      <c r="B8" s="28" t="s">
        <v>23</v>
      </c>
      <c r="C8" s="29">
        <f>SUM(C6:C7)</f>
        <v>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3920</v>
      </c>
      <c r="L15" s="9" t="s">
        <v>102</v>
      </c>
      <c r="M15" s="16" t="s">
        <v>53</v>
      </c>
      <c r="R15" s="1">
        <f>IF(vend14[[#This Row],[Nº Venda]]&gt;1,1,0)</f>
        <v>0</v>
      </c>
    </row>
    <row r="16" spans="2:18" ht="15.75">
      <c r="B16" s="28" t="s">
        <v>11</v>
      </c>
      <c r="C16" s="32">
        <f>SUM(C11:C15)</f>
        <v>350</v>
      </c>
      <c r="D16" s="2"/>
      <c r="E16" s="18"/>
      <c r="F16" s="25"/>
      <c r="G16" s="26"/>
      <c r="H16" s="8"/>
      <c r="I16" s="8"/>
      <c r="J16" s="2"/>
      <c r="K16" s="25">
        <v>3912</v>
      </c>
      <c r="L16" s="9" t="s">
        <v>102</v>
      </c>
      <c r="M16" s="16" t="s">
        <v>53</v>
      </c>
      <c r="R16" s="1">
        <f>IF(vend14[[#This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3922</v>
      </c>
      <c r="L17" s="9" t="s">
        <v>102</v>
      </c>
      <c r="M17" s="16" t="s">
        <v>53</v>
      </c>
      <c r="R17" s="1">
        <f>IF(vend14[[#This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1399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3912</v>
      </c>
      <c r="F26" s="25" t="s">
        <v>122</v>
      </c>
      <c r="G26" s="26" t="s">
        <v>7</v>
      </c>
      <c r="H26" s="8">
        <v>400</v>
      </c>
      <c r="I26" s="8">
        <v>200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3922</v>
      </c>
      <c r="F27" s="25" t="s">
        <v>123</v>
      </c>
      <c r="G27" s="26" t="s">
        <v>6</v>
      </c>
      <c r="H27" s="8">
        <v>600</v>
      </c>
      <c r="I27" s="8">
        <v>50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topLeftCell="A13" zoomScale="80" zoomScaleNormal="80" workbookViewId="0">
      <selection activeCell="F11" sqref="F11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'14'!B1+1</f>
        <v>45275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4630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4080</v>
      </c>
      <c r="D6" s="2"/>
      <c r="E6" s="18">
        <v>3949</v>
      </c>
      <c r="F6" s="25" t="s">
        <v>124</v>
      </c>
      <c r="G6" s="47" t="s">
        <v>9</v>
      </c>
      <c r="H6" s="8">
        <v>850</v>
      </c>
      <c r="I6" s="8">
        <v>850</v>
      </c>
      <c r="J6" s="2"/>
      <c r="K6" s="25"/>
      <c r="L6" s="9"/>
      <c r="M6" s="16"/>
      <c r="R6" s="1">
        <f>IF(vend15[[#This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3950</v>
      </c>
      <c r="F7" s="25" t="s">
        <v>125</v>
      </c>
      <c r="G7" s="47" t="s">
        <v>9</v>
      </c>
      <c r="H7" s="8">
        <v>400</v>
      </c>
      <c r="I7" s="8">
        <v>400</v>
      </c>
      <c r="J7" s="2"/>
      <c r="K7" s="25"/>
      <c r="L7" s="9"/>
      <c r="M7" s="16"/>
      <c r="R7" s="1">
        <f>IF(vend15[[#This Row],[Nº Venda]]&gt;1,1,0)</f>
        <v>1</v>
      </c>
    </row>
    <row r="8" spans="2:18" ht="15.75">
      <c r="B8" s="28" t="s">
        <v>23</v>
      </c>
      <c r="C8" s="29">
        <f>SUM(C6:C7)</f>
        <v>4080</v>
      </c>
      <c r="D8" s="2"/>
      <c r="E8" s="18">
        <v>3951</v>
      </c>
      <c r="F8" s="25" t="s">
        <v>125</v>
      </c>
      <c r="G8" s="26" t="s">
        <v>9</v>
      </c>
      <c r="H8" s="8">
        <v>400</v>
      </c>
      <c r="I8" s="8">
        <v>400</v>
      </c>
      <c r="J8" s="2"/>
      <c r="K8" s="25"/>
      <c r="L8" s="9"/>
      <c r="M8" s="16"/>
      <c r="R8" s="1">
        <f>IF(vend15[[#This Row],[Nº Venda]]&gt;1,1,0)</f>
        <v>1</v>
      </c>
    </row>
    <row r="9" spans="2:18" ht="15.75">
      <c r="B9" s="2"/>
      <c r="C9" s="2"/>
      <c r="D9" s="2"/>
      <c r="E9" s="18">
        <v>3952</v>
      </c>
      <c r="F9" s="25" t="s">
        <v>126</v>
      </c>
      <c r="G9" s="26" t="s">
        <v>10</v>
      </c>
      <c r="H9" s="8">
        <v>400</v>
      </c>
      <c r="I9" s="8">
        <v>400</v>
      </c>
      <c r="J9" s="2"/>
      <c r="K9" s="25"/>
      <c r="L9" s="9"/>
      <c r="M9" s="16"/>
      <c r="R9" s="1">
        <f>IF(vend15[[#This Row],[Nº Venda]]&gt;1,1,0)</f>
        <v>1</v>
      </c>
    </row>
    <row r="10" spans="2:18" ht="15.75">
      <c r="B10" s="69" t="s">
        <v>5</v>
      </c>
      <c r="C10" s="69"/>
      <c r="D10" s="2"/>
      <c r="E10" s="18">
        <v>3953</v>
      </c>
      <c r="F10" s="25" t="s">
        <v>126</v>
      </c>
      <c r="G10" s="26" t="s">
        <v>9</v>
      </c>
      <c r="H10" s="8">
        <v>1080</v>
      </c>
      <c r="I10" s="8">
        <v>1080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>
        <v>3954</v>
      </c>
      <c r="F11" s="25" t="s">
        <v>127</v>
      </c>
      <c r="G11" s="26" t="s">
        <v>10</v>
      </c>
      <c r="H11" s="8">
        <v>800</v>
      </c>
      <c r="I11" s="8">
        <v>800</v>
      </c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IF(vend15[[#This Row],[Nº Venda]]&gt;1,1,0)</f>
        <v>0</v>
      </c>
    </row>
    <row r="14" spans="2:18" ht="15.75">
      <c r="B14" s="30" t="s">
        <v>9</v>
      </c>
      <c r="C14" s="31">
        <f t="shared" si="0"/>
        <v>2730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IF(vend15[[#This Row],[Nº Venda]]&gt;1,1,0)</f>
        <v>0</v>
      </c>
    </row>
    <row r="15" spans="2:18" ht="15.75">
      <c r="B15" s="30" t="s">
        <v>10</v>
      </c>
      <c r="C15" s="31">
        <f t="shared" si="0"/>
        <v>1450</v>
      </c>
      <c r="D15" s="2"/>
      <c r="E15" s="18"/>
      <c r="F15" s="25"/>
      <c r="G15" s="26"/>
      <c r="H15" s="8"/>
      <c r="I15" s="8"/>
      <c r="J15" s="2"/>
      <c r="K15" s="25">
        <v>3941</v>
      </c>
      <c r="L15" s="9" t="s">
        <v>102</v>
      </c>
      <c r="M15" s="16" t="s">
        <v>53</v>
      </c>
      <c r="R15" s="1">
        <f>IF(vend15[[#This Row],[Nº Venda]]&gt;1,1,0)</f>
        <v>0</v>
      </c>
    </row>
    <row r="16" spans="2:18" ht="15.75">
      <c r="B16" s="28" t="s">
        <v>11</v>
      </c>
      <c r="C16" s="32">
        <f>SUM(C11:C15)</f>
        <v>4180</v>
      </c>
      <c r="D16" s="2"/>
      <c r="E16" s="18"/>
      <c r="F16" s="25"/>
      <c r="G16" s="26"/>
      <c r="H16" s="8"/>
      <c r="I16" s="8"/>
      <c r="J16" s="2"/>
      <c r="K16" s="25">
        <v>3915</v>
      </c>
      <c r="L16" s="9" t="s">
        <v>102</v>
      </c>
      <c r="M16" s="16" t="s">
        <v>53</v>
      </c>
      <c r="R16" s="1">
        <f>IF(vend15[[#This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4630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3945</v>
      </c>
      <c r="F26" s="25" t="s">
        <v>128</v>
      </c>
      <c r="G26" s="47" t="s">
        <v>10</v>
      </c>
      <c r="H26" s="8">
        <v>700</v>
      </c>
      <c r="I26" s="8">
        <v>150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2100360</v>
      </c>
      <c r="F35" s="25" t="s">
        <v>129</v>
      </c>
      <c r="G35" s="26" t="s">
        <v>10</v>
      </c>
      <c r="H35" s="8">
        <v>100</v>
      </c>
      <c r="I35" s="8" t="s">
        <v>130</v>
      </c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6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topLeftCell="A25" zoomScale="80" zoomScaleNormal="80" workbookViewId="0">
      <selection activeCell="F9" sqref="F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'15'!B1+1</f>
        <v>45276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4059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1130</v>
      </c>
      <c r="D6" s="2"/>
      <c r="E6" s="18">
        <v>3955</v>
      </c>
      <c r="F6" s="25" t="s">
        <v>131</v>
      </c>
      <c r="G6" s="47" t="s">
        <v>9</v>
      </c>
      <c r="H6" s="8">
        <v>550</v>
      </c>
      <c r="I6" s="8">
        <v>50</v>
      </c>
      <c r="J6" s="2"/>
      <c r="K6" s="25"/>
      <c r="L6" s="9"/>
      <c r="M6" s="16"/>
      <c r="R6" s="1">
        <f>IF(vend16[[#This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3956</v>
      </c>
      <c r="F7" s="25" t="s">
        <v>131</v>
      </c>
      <c r="G7" s="47" t="s">
        <v>9</v>
      </c>
      <c r="H7" s="8">
        <v>550</v>
      </c>
      <c r="I7" s="8">
        <v>50</v>
      </c>
      <c r="J7" s="2"/>
      <c r="K7" s="25"/>
      <c r="L7" s="9"/>
      <c r="M7" s="16"/>
      <c r="R7" s="1">
        <f>IF(vend16[[#This Row],[Nº Venda]]&gt;1,1,0)</f>
        <v>1</v>
      </c>
    </row>
    <row r="8" spans="2:18" ht="15.75">
      <c r="B8" s="28" t="s">
        <v>23</v>
      </c>
      <c r="C8" s="29">
        <f>SUM(C6:C7)</f>
        <v>1130</v>
      </c>
      <c r="D8" s="2"/>
      <c r="E8" s="18">
        <v>3957</v>
      </c>
      <c r="F8" s="25" t="s">
        <v>132</v>
      </c>
      <c r="G8" s="26" t="s">
        <v>10</v>
      </c>
      <c r="H8" s="8">
        <v>950</v>
      </c>
      <c r="I8" s="8">
        <v>150</v>
      </c>
      <c r="J8" s="2"/>
      <c r="K8" s="25"/>
      <c r="L8" s="9"/>
      <c r="M8" s="16"/>
      <c r="R8" s="1">
        <f>IF(vend16[[#This Row],[Nº Venda]]&gt;1,1,0)</f>
        <v>1</v>
      </c>
    </row>
    <row r="9" spans="2:18" ht="15.75">
      <c r="B9" s="2"/>
      <c r="C9" s="2"/>
      <c r="D9" s="2"/>
      <c r="E9" s="18">
        <v>3958</v>
      </c>
      <c r="F9" s="25" t="s">
        <v>133</v>
      </c>
      <c r="G9" s="26" t="s">
        <v>7</v>
      </c>
      <c r="H9" s="8">
        <v>830</v>
      </c>
      <c r="I9" s="8">
        <v>50</v>
      </c>
      <c r="J9" s="2"/>
      <c r="K9" s="25"/>
      <c r="L9" s="9"/>
      <c r="M9" s="16"/>
      <c r="R9" s="1">
        <f>IF(vend16[[#This Row],[Nº Venda]]&gt;1,1,0)</f>
        <v>1</v>
      </c>
    </row>
    <row r="10" spans="2:18" ht="15.75">
      <c r="B10" s="69" t="s">
        <v>5</v>
      </c>
      <c r="C10" s="69"/>
      <c r="D10" s="2"/>
      <c r="E10" s="18">
        <v>3959</v>
      </c>
      <c r="F10" s="25" t="s">
        <v>134</v>
      </c>
      <c r="G10" s="26" t="s">
        <v>7</v>
      </c>
      <c r="H10" s="8">
        <v>500</v>
      </c>
      <c r="I10" s="8">
        <v>500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>
        <v>3960</v>
      </c>
      <c r="F11" s="25" t="s">
        <v>135</v>
      </c>
      <c r="G11" s="26" t="s">
        <v>10</v>
      </c>
      <c r="H11" s="8">
        <v>280</v>
      </c>
      <c r="I11" s="8">
        <v>280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600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IF(vend16[[#This Row],[Nº Venda]]&gt;1,1,0)</f>
        <v>0</v>
      </c>
    </row>
    <row r="14" spans="2:18" ht="15.75">
      <c r="B14" s="30" t="s">
        <v>9</v>
      </c>
      <c r="C14" s="31">
        <f t="shared" si="0"/>
        <v>100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IF(vend16[[#This Row],[Nº Venda]]&gt;1,1,0)</f>
        <v>0</v>
      </c>
    </row>
    <row r="15" spans="2:18" ht="15.75">
      <c r="B15" s="30" t="s">
        <v>10</v>
      </c>
      <c r="C15" s="31">
        <f t="shared" si="0"/>
        <v>430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>
      <c r="B16" s="28" t="s">
        <v>11</v>
      </c>
      <c r="C16" s="32">
        <f>SUM(C11:C15)</f>
        <v>1130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4059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3948</v>
      </c>
      <c r="F26" s="25" t="s">
        <v>121</v>
      </c>
      <c r="G26" s="47" t="s">
        <v>7</v>
      </c>
      <c r="H26" s="8">
        <v>399</v>
      </c>
      <c r="I26" s="8">
        <v>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6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'16'!B1+1</f>
        <v>45277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IF(vend17[[#This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I13" sqref="I1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'17'!B1+1</f>
        <v>45278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1640</v>
      </c>
      <c r="D6" s="2"/>
      <c r="E6" s="18">
        <v>3961</v>
      </c>
      <c r="F6" s="25" t="s">
        <v>136</v>
      </c>
      <c r="G6" s="26" t="s">
        <v>9</v>
      </c>
      <c r="H6" s="8">
        <v>200</v>
      </c>
      <c r="I6" s="8">
        <v>200</v>
      </c>
      <c r="J6" s="2"/>
      <c r="K6" s="25"/>
      <c r="L6" s="9"/>
      <c r="M6" s="16"/>
      <c r="R6" s="1">
        <f>IF(vend18[[#This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3962</v>
      </c>
      <c r="F7" s="25" t="s">
        <v>137</v>
      </c>
      <c r="G7" s="26" t="s">
        <v>9</v>
      </c>
      <c r="H7" s="8">
        <v>490</v>
      </c>
      <c r="I7" s="8">
        <v>490</v>
      </c>
      <c r="J7" s="2"/>
      <c r="K7" s="25"/>
      <c r="L7" s="9"/>
      <c r="M7" s="16"/>
      <c r="R7" s="1">
        <f>IF(vend18[[#This Row],[Nº Venda]]&gt;1,1,0)</f>
        <v>1</v>
      </c>
    </row>
    <row r="8" spans="2:18" ht="15.75">
      <c r="B8" s="28" t="s">
        <v>23</v>
      </c>
      <c r="C8" s="29">
        <f>SUM(C6:C7)</f>
        <v>1640</v>
      </c>
      <c r="D8" s="2"/>
      <c r="E8" s="18"/>
      <c r="F8" s="25"/>
      <c r="G8" s="26" t="s">
        <v>6</v>
      </c>
      <c r="H8" s="8">
        <v>500</v>
      </c>
      <c r="I8" s="8">
        <v>500</v>
      </c>
      <c r="J8" s="2"/>
      <c r="K8" s="25"/>
      <c r="L8" s="9"/>
      <c r="M8" s="16"/>
      <c r="R8" s="1">
        <f>IF(vend18[[#This Row],[Nº Venda]]&gt;1,1,0)</f>
        <v>0</v>
      </c>
    </row>
    <row r="9" spans="2:18" ht="15.75">
      <c r="B9" s="2"/>
      <c r="C9" s="2"/>
      <c r="D9" s="2"/>
      <c r="E9" s="18">
        <v>3963</v>
      </c>
      <c r="F9" s="25" t="s">
        <v>138</v>
      </c>
      <c r="G9" s="26" t="s">
        <v>10</v>
      </c>
      <c r="H9" s="8">
        <v>600</v>
      </c>
      <c r="I9" s="8">
        <v>100</v>
      </c>
      <c r="J9" s="2"/>
      <c r="K9" s="25"/>
      <c r="L9" s="9"/>
      <c r="M9" s="16"/>
      <c r="R9" s="1">
        <f>IF(vend18[[#This Row],[Nº Venda]]&gt;1,1,0)</f>
        <v>1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500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IF(vend18[[#This Row],[Nº Venda]]&gt;1,1,0)</f>
        <v>0</v>
      </c>
    </row>
    <row r="14" spans="2:18" ht="15.75">
      <c r="B14" s="30" t="s">
        <v>9</v>
      </c>
      <c r="C14" s="31">
        <f t="shared" si="0"/>
        <v>690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IF(vend18[[#This Row],[Nº Venda]]&gt;1,1,0)</f>
        <v>0</v>
      </c>
    </row>
    <row r="15" spans="2:18" ht="15.75">
      <c r="B15" s="30" t="s">
        <v>10</v>
      </c>
      <c r="C15" s="31">
        <f t="shared" si="0"/>
        <v>450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>
      <c r="B16" s="28" t="s">
        <v>11</v>
      </c>
      <c r="C16" s="32">
        <f>SUM(C11:C15)</f>
        <v>1640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2980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3939</v>
      </c>
      <c r="F26" s="25" t="s">
        <v>90</v>
      </c>
      <c r="G26" s="26" t="s">
        <v>10</v>
      </c>
      <c r="H26" s="8">
        <v>1190</v>
      </c>
      <c r="I26" s="8">
        <v>350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L23" sqref="L23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'18'!B1+1</f>
        <v>45279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479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280</v>
      </c>
      <c r="D6" s="2"/>
      <c r="E6" s="18">
        <v>3964</v>
      </c>
      <c r="F6" s="25" t="s">
        <v>139</v>
      </c>
      <c r="G6" s="26" t="s">
        <v>8</v>
      </c>
      <c r="H6" s="8">
        <v>80</v>
      </c>
      <c r="I6" s="8">
        <v>80</v>
      </c>
      <c r="J6" s="2"/>
      <c r="K6" s="25"/>
      <c r="L6" s="9"/>
      <c r="M6" s="16"/>
      <c r="R6" s="1">
        <f>IF(vend19[[#This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>
      <c r="B8" s="28" t="s">
        <v>23</v>
      </c>
      <c r="C8" s="29">
        <f>SUM(C6:C7)</f>
        <v>280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>
      <c r="B13" s="30" t="s">
        <v>8</v>
      </c>
      <c r="C13" s="31">
        <f t="shared" si="0"/>
        <v>80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IF(vend19[[#This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IF(vend19[[#This Row],[Nº Venda]]&gt;1,1,0)</f>
        <v>0</v>
      </c>
    </row>
    <row r="15" spans="2:18" ht="15.75">
      <c r="B15" s="30" t="s">
        <v>10</v>
      </c>
      <c r="C15" s="31">
        <f t="shared" si="0"/>
        <v>296</v>
      </c>
      <c r="D15" s="2"/>
      <c r="E15" s="18"/>
      <c r="F15" s="25"/>
      <c r="G15" s="26"/>
      <c r="H15" s="8"/>
      <c r="I15" s="8"/>
      <c r="J15" s="2"/>
      <c r="K15" s="25">
        <v>3921</v>
      </c>
      <c r="L15" s="9" t="s">
        <v>102</v>
      </c>
      <c r="M15" s="16" t="s">
        <v>53</v>
      </c>
      <c r="R15" s="1">
        <f>IF(vend19[[#This Row],[Nº Venda]]&gt;1,1,0)</f>
        <v>0</v>
      </c>
    </row>
    <row r="16" spans="2:18" ht="15.75">
      <c r="B16" s="28" t="s">
        <v>11</v>
      </c>
      <c r="C16" s="32">
        <f>SUM(C11:C15)</f>
        <v>776</v>
      </c>
      <c r="D16" s="2"/>
      <c r="E16" s="18"/>
      <c r="F16" s="25"/>
      <c r="G16" s="26"/>
      <c r="H16" s="8"/>
      <c r="I16" s="8"/>
      <c r="J16" s="2"/>
      <c r="K16" s="25">
        <v>3903</v>
      </c>
      <c r="L16" s="9" t="s">
        <v>102</v>
      </c>
      <c r="M16" s="16" t="s">
        <v>53</v>
      </c>
      <c r="R16" s="1">
        <f>IF(vend19[[#This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3919</v>
      </c>
      <c r="L17" s="9" t="s">
        <v>102</v>
      </c>
      <c r="M17" s="16" t="s">
        <v>48</v>
      </c>
      <c r="R17" s="1">
        <f>IF(vend19[[#This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>
      <c r="B19" s="30">
        <f>COUNT(entr_carn19[OS])</f>
        <v>1</v>
      </c>
      <c r="C19" s="31">
        <f>SUM(entr_carn19[Valor Total])</f>
        <v>75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>
      <c r="B20" s="28" t="s">
        <v>11</v>
      </c>
      <c r="C20" s="32">
        <f>SUM(C19:C19)</f>
        <v>75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479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3926</v>
      </c>
      <c r="F26" s="25" t="s">
        <v>140</v>
      </c>
      <c r="G26" s="26" t="s">
        <v>6</v>
      </c>
      <c r="H26" s="8">
        <v>399</v>
      </c>
      <c r="I26" s="8">
        <v>200</v>
      </c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2049565</v>
      </c>
      <c r="F35" s="25" t="s">
        <v>141</v>
      </c>
      <c r="G35" s="26" t="s">
        <v>10</v>
      </c>
      <c r="H35" s="8">
        <v>162</v>
      </c>
      <c r="I35" s="8" t="s">
        <v>142</v>
      </c>
      <c r="K35" s="25">
        <v>3926</v>
      </c>
      <c r="L35" s="42">
        <v>2</v>
      </c>
      <c r="M35" s="16">
        <v>75</v>
      </c>
    </row>
    <row r="36" spans="2:18" ht="15.75">
      <c r="E36" s="18">
        <v>2102016</v>
      </c>
      <c r="F36" s="25" t="s">
        <v>143</v>
      </c>
      <c r="G36" s="26" t="s">
        <v>10</v>
      </c>
      <c r="H36" s="8">
        <v>134</v>
      </c>
      <c r="I36" s="8" t="s">
        <v>59</v>
      </c>
      <c r="K36" s="25"/>
      <c r="L36" s="42"/>
      <c r="M36" s="16"/>
    </row>
    <row r="37" spans="2:18" ht="15.75">
      <c r="E37" s="18">
        <v>2079259</v>
      </c>
      <c r="F37" s="25" t="s">
        <v>144</v>
      </c>
      <c r="G37" s="26" t="s">
        <v>7</v>
      </c>
      <c r="H37" s="8">
        <v>100</v>
      </c>
      <c r="I37" s="8" t="s">
        <v>99</v>
      </c>
      <c r="K37" s="25"/>
      <c r="L37" s="42"/>
      <c r="M37" s="16"/>
    </row>
    <row r="38" spans="2:18" ht="15.75">
      <c r="E38" s="18">
        <v>2079259</v>
      </c>
      <c r="F38" s="25" t="s">
        <v>144</v>
      </c>
      <c r="G38" s="26" t="s">
        <v>7</v>
      </c>
      <c r="H38" s="8">
        <v>100</v>
      </c>
      <c r="I38" s="8" t="s">
        <v>130</v>
      </c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tabSelected="1" zoomScale="80" zoomScaleNormal="80" workbookViewId="0">
      <selection activeCell="G9" sqref="G9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'19'!B1+1</f>
        <v>45280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1020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1020</v>
      </c>
      <c r="D6" s="2"/>
      <c r="E6" s="18">
        <v>3965</v>
      </c>
      <c r="F6" s="25" t="s">
        <v>145</v>
      </c>
      <c r="G6" s="26" t="s">
        <v>8</v>
      </c>
      <c r="H6" s="8">
        <v>150</v>
      </c>
      <c r="I6" s="8">
        <v>150</v>
      </c>
      <c r="J6" s="2"/>
      <c r="K6" s="25"/>
      <c r="L6" s="9"/>
      <c r="M6" s="16"/>
      <c r="R6" s="1">
        <f>IF(vend20[[#This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3966</v>
      </c>
      <c r="F7" s="25" t="s">
        <v>146</v>
      </c>
      <c r="G7" s="26" t="s">
        <v>147</v>
      </c>
      <c r="H7" s="8">
        <v>0</v>
      </c>
      <c r="I7" s="8">
        <v>0</v>
      </c>
      <c r="J7" s="2"/>
      <c r="K7" s="25"/>
      <c r="L7" s="9"/>
      <c r="M7" s="16"/>
      <c r="R7" s="1">
        <f>IF(vend20[[#This Row],[Nº Venda]]&gt;1,1,0)</f>
        <v>1</v>
      </c>
    </row>
    <row r="8" spans="2:18" ht="15.75">
      <c r="B8" s="28" t="s">
        <v>23</v>
      </c>
      <c r="C8" s="29">
        <f>SUM(C6:C7)</f>
        <v>1020</v>
      </c>
      <c r="D8" s="2"/>
      <c r="E8" s="18">
        <v>3967</v>
      </c>
      <c r="F8" s="25" t="s">
        <v>148</v>
      </c>
      <c r="G8" s="26" t="s">
        <v>9</v>
      </c>
      <c r="H8" s="8">
        <v>790</v>
      </c>
      <c r="I8" s="8">
        <v>790</v>
      </c>
      <c r="J8" s="2"/>
      <c r="K8" s="25"/>
      <c r="L8" s="9"/>
      <c r="M8" s="16"/>
      <c r="R8" s="1">
        <f>IF(vend20[[#This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80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>
      <c r="B13" s="30" t="s">
        <v>8</v>
      </c>
      <c r="C13" s="31">
        <f t="shared" si="0"/>
        <v>150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IF(vend20[[#This Row],[Nº Venda]]&gt;1,1,0)</f>
        <v>0</v>
      </c>
    </row>
    <row r="14" spans="2:18" ht="15.75">
      <c r="B14" s="30" t="s">
        <v>9</v>
      </c>
      <c r="C14" s="31">
        <f t="shared" si="0"/>
        <v>790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IF(vend20[[#This Row],[Nº Venda]]&gt;1,1,0)</f>
        <v>0</v>
      </c>
    </row>
    <row r="15" spans="2:18" ht="15.75">
      <c r="B15" s="30" t="s">
        <v>10</v>
      </c>
      <c r="C15" s="31">
        <f t="shared" si="0"/>
        <v>363.99</v>
      </c>
      <c r="D15" s="2"/>
      <c r="E15" s="18"/>
      <c r="F15" s="25"/>
      <c r="G15" s="26"/>
      <c r="H15" s="8"/>
      <c r="I15" s="8"/>
      <c r="J15" s="2"/>
      <c r="K15" s="25">
        <v>3937</v>
      </c>
      <c r="L15" s="9" t="s">
        <v>102</v>
      </c>
      <c r="M15" s="16" t="s">
        <v>53</v>
      </c>
      <c r="R15" s="1">
        <f>IF(vend20[[#This Row],[Nº Venda]]&gt;1,1,0)</f>
        <v>0</v>
      </c>
    </row>
    <row r="16" spans="2:18" ht="15.75">
      <c r="B16" s="28" t="s">
        <v>11</v>
      </c>
      <c r="C16" s="32">
        <f>SUM(C11:C15)</f>
        <v>1383.99</v>
      </c>
      <c r="D16" s="2"/>
      <c r="E16" s="18"/>
      <c r="F16" s="25"/>
      <c r="G16" s="26"/>
      <c r="H16" s="8"/>
      <c r="I16" s="8"/>
      <c r="J16" s="2"/>
      <c r="K16" s="25">
        <v>3929</v>
      </c>
      <c r="L16" s="9" t="s">
        <v>102</v>
      </c>
      <c r="M16" s="16" t="s">
        <v>53</v>
      </c>
      <c r="R16" s="1">
        <f>IF(vend20[[#This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3930</v>
      </c>
      <c r="L17" s="9" t="s">
        <v>102</v>
      </c>
      <c r="M17" s="16" t="s">
        <v>53</v>
      </c>
      <c r="R17" s="1">
        <f>IF(vend20[[#This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1020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3933</v>
      </c>
      <c r="F26" s="25" t="s">
        <v>149</v>
      </c>
      <c r="G26" s="26" t="s">
        <v>6</v>
      </c>
      <c r="H26" s="8">
        <v>40</v>
      </c>
      <c r="I26" s="8">
        <v>40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3934</v>
      </c>
      <c r="F27" s="25" t="s">
        <v>149</v>
      </c>
      <c r="G27" s="26" t="s">
        <v>6</v>
      </c>
      <c r="H27" s="8">
        <v>40</v>
      </c>
      <c r="I27" s="8">
        <v>40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2030575</v>
      </c>
      <c r="F35" s="25" t="s">
        <v>150</v>
      </c>
      <c r="G35" s="26" t="s">
        <v>10</v>
      </c>
      <c r="H35" s="8">
        <v>86.66</v>
      </c>
      <c r="I35" s="8" t="s">
        <v>151</v>
      </c>
      <c r="K35" s="25"/>
      <c r="L35" s="42"/>
      <c r="M35" s="16"/>
    </row>
    <row r="36" spans="2:18" ht="15.75">
      <c r="E36" s="18">
        <v>2030575</v>
      </c>
      <c r="F36" s="25" t="s">
        <v>150</v>
      </c>
      <c r="G36" s="26" t="s">
        <v>10</v>
      </c>
      <c r="H36" s="8">
        <v>33.33</v>
      </c>
      <c r="I36" s="8" t="s">
        <v>151</v>
      </c>
      <c r="K36" s="25"/>
      <c r="L36" s="42"/>
      <c r="M36" s="16"/>
    </row>
    <row r="37" spans="2:18" ht="15.75">
      <c r="E37" s="18">
        <v>2102775</v>
      </c>
      <c r="F37" s="25" t="s">
        <v>152</v>
      </c>
      <c r="G37" s="26" t="s">
        <v>10</v>
      </c>
      <c r="H37" s="8">
        <v>76</v>
      </c>
      <c r="I37" s="8" t="s">
        <v>84</v>
      </c>
      <c r="K37" s="25"/>
      <c r="L37" s="42"/>
      <c r="M37" s="16"/>
    </row>
    <row r="38" spans="2:18" ht="15.75">
      <c r="E38" s="18">
        <v>2094575</v>
      </c>
      <c r="F38" s="25" t="s">
        <v>153</v>
      </c>
      <c r="G38" s="26" t="s">
        <v>10</v>
      </c>
      <c r="H38" s="8">
        <v>168</v>
      </c>
      <c r="I38" s="8" t="s">
        <v>154</v>
      </c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topLeftCell="A2" zoomScale="80" zoomScaleNormal="80" workbookViewId="0">
      <selection activeCell="I36" sqref="I3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'20'!B1+1</f>
        <v>45281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1110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860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>
      <c r="B8" s="28" t="s">
        <v>23</v>
      </c>
      <c r="C8" s="29">
        <f>SUM(C6:C7)</f>
        <v>860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148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IF(vend21[[#This Row],[Nº Venda]]&gt;1,1,0)</f>
        <v>0</v>
      </c>
    </row>
    <row r="14" spans="2:18" ht="15.75">
      <c r="B14" s="30" t="s">
        <v>9</v>
      </c>
      <c r="C14" s="31">
        <f t="shared" si="0"/>
        <v>660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IF(vend21[[#This Row],[Nº Venda]]&gt;1,1,0)</f>
        <v>0</v>
      </c>
    </row>
    <row r="15" spans="2:18" ht="15.7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3931</v>
      </c>
      <c r="L15" s="9" t="s">
        <v>102</v>
      </c>
      <c r="M15" s="16" t="s">
        <v>53</v>
      </c>
      <c r="R15" s="1">
        <f>IF(vend21[[#This Row],[Nº Venda]]&gt;1,1,0)</f>
        <v>0</v>
      </c>
    </row>
    <row r="16" spans="2:18" ht="15.75">
      <c r="B16" s="28" t="s">
        <v>11</v>
      </c>
      <c r="C16" s="32">
        <f>SUM(C11:C15)</f>
        <v>1108</v>
      </c>
      <c r="D16" s="2"/>
      <c r="E16" s="18"/>
      <c r="F16" s="25"/>
      <c r="G16" s="26"/>
      <c r="H16" s="8"/>
      <c r="I16" s="8"/>
      <c r="J16" s="2"/>
      <c r="K16" s="25">
        <v>3925</v>
      </c>
      <c r="L16" s="9" t="s">
        <v>102</v>
      </c>
      <c r="M16" s="16" t="s">
        <v>53</v>
      </c>
      <c r="R16" s="1">
        <f>IF(vend21[[#This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3950</v>
      </c>
      <c r="L17" s="9" t="s">
        <v>102</v>
      </c>
      <c r="M17" s="16" t="s">
        <v>53</v>
      </c>
      <c r="R17" s="1">
        <f>IF(vend21[[#This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3951</v>
      </c>
      <c r="L18" s="9" t="s">
        <v>102</v>
      </c>
      <c r="M18" s="16" t="s">
        <v>53</v>
      </c>
      <c r="R18" s="1">
        <f>IF(vend21[[#This Row],[Nº Venda]]&gt;1,1,0)</f>
        <v>0</v>
      </c>
    </row>
    <row r="19" spans="2:18" ht="15.7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1110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3931</v>
      </c>
      <c r="F26" s="25" t="s">
        <v>155</v>
      </c>
      <c r="G26" s="26" t="s">
        <v>9</v>
      </c>
      <c r="H26" s="8">
        <v>760</v>
      </c>
      <c r="I26" s="8">
        <v>660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3918</v>
      </c>
      <c r="F27" s="25" t="s">
        <v>156</v>
      </c>
      <c r="G27" s="26" t="s">
        <v>7</v>
      </c>
      <c r="H27" s="8">
        <v>350</v>
      </c>
      <c r="I27" s="8">
        <v>200</v>
      </c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2103512</v>
      </c>
      <c r="F35" s="25" t="s">
        <v>157</v>
      </c>
      <c r="G35" s="26" t="s">
        <v>10</v>
      </c>
      <c r="H35" s="8">
        <v>100</v>
      </c>
      <c r="I35" s="8" t="s">
        <v>158</v>
      </c>
      <c r="K35" s="25"/>
      <c r="L35" s="42"/>
      <c r="M35" s="16"/>
    </row>
    <row r="36" spans="2:18" ht="15.75">
      <c r="E36" s="18">
        <v>2095535</v>
      </c>
      <c r="F36" s="25" t="s">
        <v>159</v>
      </c>
      <c r="G36" s="26" t="s">
        <v>6</v>
      </c>
      <c r="H36" s="8">
        <v>148</v>
      </c>
      <c r="I36" s="8" t="s">
        <v>160</v>
      </c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M17" sqref="M17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'21'!B1+1</f>
        <v>45282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2625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1295</v>
      </c>
      <c r="D6" s="2"/>
      <c r="E6" s="18">
        <v>3968</v>
      </c>
      <c r="F6" s="25" t="s">
        <v>161</v>
      </c>
      <c r="G6" s="26" t="s">
        <v>10</v>
      </c>
      <c r="H6" s="8">
        <v>830</v>
      </c>
      <c r="I6" s="8">
        <v>250</v>
      </c>
      <c r="J6" s="2"/>
      <c r="K6" s="25"/>
      <c r="L6" s="9"/>
      <c r="M6" s="16"/>
      <c r="R6" s="1">
        <f>IF(vend22[[#This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>
      <c r="B8" s="28" t="s">
        <v>23</v>
      </c>
      <c r="C8" s="29">
        <f>SUM(C6:C7)</f>
        <v>1295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1000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>
      <c r="B13" s="30" t="s">
        <v>8</v>
      </c>
      <c r="C13" s="31">
        <f t="shared" si="0"/>
        <v>45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IF(vend22[[#This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IF(vend22[[#This Row],[Nº Venda]]&gt;1,1,0)</f>
        <v>0</v>
      </c>
    </row>
    <row r="15" spans="2:18" ht="15.75">
      <c r="B15" s="30" t="s">
        <v>10</v>
      </c>
      <c r="C15" s="31">
        <f t="shared" si="0"/>
        <v>785</v>
      </c>
      <c r="D15" s="2"/>
      <c r="E15" s="18"/>
      <c r="F15" s="25"/>
      <c r="G15" s="26"/>
      <c r="H15" s="8"/>
      <c r="I15" s="8"/>
      <c r="J15" s="2"/>
      <c r="K15" s="25">
        <v>3897</v>
      </c>
      <c r="L15" s="9" t="s">
        <v>102</v>
      </c>
      <c r="M15" s="16" t="s">
        <v>53</v>
      </c>
      <c r="R15" s="1">
        <f>IF(vend22[[#This Row],[Nº Venda]]&gt;1,1,0)</f>
        <v>0</v>
      </c>
    </row>
    <row r="16" spans="2:18" ht="15.75">
      <c r="B16" s="28" t="s">
        <v>11</v>
      </c>
      <c r="C16" s="32">
        <f>SUM(C11:C15)</f>
        <v>1830</v>
      </c>
      <c r="D16" s="2"/>
      <c r="E16" s="18"/>
      <c r="F16" s="25"/>
      <c r="G16" s="26"/>
      <c r="H16" s="8"/>
      <c r="I16" s="8"/>
      <c r="J16" s="2"/>
      <c r="K16" s="25">
        <v>3913</v>
      </c>
      <c r="L16" s="9" t="s">
        <v>102</v>
      </c>
      <c r="M16" s="16" t="s">
        <v>53</v>
      </c>
      <c r="R16" s="1">
        <f>IF(vend22[[#This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3897</v>
      </c>
      <c r="L17" s="9" t="s">
        <v>102</v>
      </c>
      <c r="M17" s="16" t="s">
        <v>53</v>
      </c>
      <c r="R17" s="1">
        <f>IF(vend22[[#This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2625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3913</v>
      </c>
      <c r="F26" s="25" t="s">
        <v>162</v>
      </c>
      <c r="G26" s="26" t="s">
        <v>7</v>
      </c>
      <c r="H26" s="8">
        <v>750</v>
      </c>
      <c r="I26" s="8">
        <v>700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3897</v>
      </c>
      <c r="F27" s="25" t="s">
        <v>163</v>
      </c>
      <c r="G27" s="26" t="s">
        <v>8</v>
      </c>
      <c r="H27" s="8">
        <v>45</v>
      </c>
      <c r="I27" s="8">
        <v>45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3927</v>
      </c>
      <c r="F28" s="25" t="s">
        <v>164</v>
      </c>
      <c r="G28" s="26" t="s">
        <v>7</v>
      </c>
      <c r="H28" s="8">
        <v>500</v>
      </c>
      <c r="I28" s="8">
        <v>150</v>
      </c>
      <c r="J28" s="2"/>
      <c r="K28" s="25"/>
      <c r="L28" s="9"/>
      <c r="M28" s="16"/>
    </row>
    <row r="29" spans="2:18" ht="15.75">
      <c r="B29" s="2"/>
      <c r="C29" s="2"/>
      <c r="D29" s="2"/>
      <c r="E29" s="18">
        <v>3928</v>
      </c>
      <c r="F29" s="25" t="s">
        <v>164</v>
      </c>
      <c r="G29" s="26" t="s">
        <v>7</v>
      </c>
      <c r="H29" s="8">
        <v>500</v>
      </c>
      <c r="I29" s="8">
        <v>150</v>
      </c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2105036</v>
      </c>
      <c r="F35" s="25" t="s">
        <v>165</v>
      </c>
      <c r="G35" s="26" t="s">
        <v>10</v>
      </c>
      <c r="H35" s="8">
        <v>127</v>
      </c>
      <c r="I35" s="8" t="s">
        <v>37</v>
      </c>
      <c r="K35" s="25"/>
      <c r="L35" s="42"/>
      <c r="M35" s="16"/>
    </row>
    <row r="36" spans="2:18" ht="15.75">
      <c r="E36" s="18">
        <v>2103372</v>
      </c>
      <c r="F36" s="25" t="s">
        <v>166</v>
      </c>
      <c r="G36" s="26" t="s">
        <v>10</v>
      </c>
      <c r="H36" s="8">
        <v>85</v>
      </c>
      <c r="I36" s="8" t="s">
        <v>167</v>
      </c>
      <c r="K36" s="25"/>
      <c r="L36" s="42"/>
      <c r="M36" s="16"/>
    </row>
    <row r="37" spans="2:18" ht="15.75">
      <c r="E37" s="18">
        <v>2066064</v>
      </c>
      <c r="F37" s="25" t="s">
        <v>168</v>
      </c>
      <c r="G37" s="26" t="s">
        <v>10</v>
      </c>
      <c r="H37" s="8">
        <v>185</v>
      </c>
      <c r="I37" s="8" t="s">
        <v>169</v>
      </c>
      <c r="K37" s="25"/>
      <c r="L37" s="42"/>
      <c r="M37" s="16"/>
    </row>
    <row r="38" spans="2:18" ht="15.75">
      <c r="E38" s="18">
        <v>2092011</v>
      </c>
      <c r="F38" s="25" t="s">
        <v>170</v>
      </c>
      <c r="G38" s="26" t="s">
        <v>10</v>
      </c>
      <c r="H38" s="8">
        <v>138</v>
      </c>
      <c r="I38" s="8" t="s">
        <v>79</v>
      </c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topLeftCell="A19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'22'!B1+1</f>
        <v>45283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IF(vend23[[#This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IF(vend23[[#This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A19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'23'!B1+1</f>
        <v>45284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IF(vend24[[#This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IF(vend24[[#This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topLeftCell="A16" zoomScale="80" zoomScaleNormal="80" workbookViewId="0">
      <selection activeCell="G6" sqref="G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'24'!B1+1</f>
        <v>45285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IF(vend25[[#This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IF(vend25[[#This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2" zoomScale="80" zoomScaleNormal="80" workbookViewId="0">
      <selection activeCell="G6" sqref="G6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'25'!B1+1</f>
        <v>45286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>
        <v>3973</v>
      </c>
      <c r="F6" s="25" t="s">
        <v>171</v>
      </c>
      <c r="G6" s="26" t="s">
        <v>147</v>
      </c>
      <c r="H6" s="8"/>
      <c r="I6" s="8"/>
      <c r="J6" s="2"/>
      <c r="K6" s="25"/>
      <c r="L6" s="9"/>
      <c r="M6" s="16"/>
      <c r="R6" s="1">
        <f>IF(vend26[[#This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IF(vend26[[#This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IF(vend26[[#This Row],[Nº Venda]]&gt;1,1,0)</f>
        <v>0</v>
      </c>
    </row>
    <row r="15" spans="2:18" ht="15.75">
      <c r="B15" s="30" t="s">
        <v>10</v>
      </c>
      <c r="C15" s="31">
        <f t="shared" si="0"/>
        <v>392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>
      <c r="B16" s="28" t="s">
        <v>11</v>
      </c>
      <c r="C16" s="32">
        <f>SUM(C11:C15)</f>
        <v>392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2098621</v>
      </c>
      <c r="F35" s="25" t="s">
        <v>172</v>
      </c>
      <c r="G35" s="26" t="s">
        <v>10</v>
      </c>
      <c r="H35" s="8">
        <v>141</v>
      </c>
      <c r="I35" s="8" t="s">
        <v>82</v>
      </c>
      <c r="K35" s="25"/>
      <c r="L35" s="42"/>
      <c r="M35" s="16"/>
    </row>
    <row r="36" spans="2:18" ht="15.75">
      <c r="E36" s="18">
        <v>2102462</v>
      </c>
      <c r="F36" s="25" t="s">
        <v>173</v>
      </c>
      <c r="G36" s="26" t="s">
        <v>10</v>
      </c>
      <c r="H36" s="8">
        <v>133</v>
      </c>
      <c r="I36" s="8" t="s">
        <v>158</v>
      </c>
      <c r="K36" s="25"/>
      <c r="L36" s="42"/>
      <c r="M36" s="16"/>
    </row>
    <row r="37" spans="2:18" ht="15.75">
      <c r="E37" s="18">
        <v>2100269</v>
      </c>
      <c r="F37" s="25" t="s">
        <v>174</v>
      </c>
      <c r="G37" s="26" t="s">
        <v>10</v>
      </c>
      <c r="H37" s="8">
        <v>118</v>
      </c>
      <c r="I37" s="8" t="s">
        <v>39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1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opLeftCell="A25" zoomScale="80" zoomScaleNormal="80" workbookViewId="0">
      <selection activeCell="I8" sqref="I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'26'!B1+1</f>
        <v>45287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1117</v>
      </c>
      <c r="D6" s="2"/>
      <c r="E6" s="18">
        <v>3974</v>
      </c>
      <c r="F6" s="25" t="s">
        <v>175</v>
      </c>
      <c r="G6" s="26" t="s">
        <v>9</v>
      </c>
      <c r="H6" s="8">
        <v>750</v>
      </c>
      <c r="I6" s="8">
        <v>558.5</v>
      </c>
      <c r="J6" s="2"/>
      <c r="K6" s="25"/>
      <c r="L6" s="9"/>
      <c r="M6" s="16"/>
      <c r="R6" s="1">
        <f>IF(vend27[[#This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3975</v>
      </c>
      <c r="F7" s="25" t="s">
        <v>175</v>
      </c>
      <c r="G7" s="26" t="s">
        <v>9</v>
      </c>
      <c r="H7" s="8">
        <v>750</v>
      </c>
      <c r="I7" s="8">
        <v>558.5</v>
      </c>
      <c r="J7" s="2"/>
      <c r="K7" s="25"/>
      <c r="L7" s="9"/>
      <c r="M7" s="16"/>
      <c r="R7" s="1">
        <f>IF(vend27[[#This Row],[Nº Venda]]&gt;1,1,0)</f>
        <v>1</v>
      </c>
    </row>
    <row r="8" spans="2:18" ht="15.75">
      <c r="B8" s="28" t="s">
        <v>23</v>
      </c>
      <c r="C8" s="29">
        <f>SUM(C6:C7)</f>
        <v>1117</v>
      </c>
      <c r="D8" s="2"/>
      <c r="E8" s="18">
        <v>3976</v>
      </c>
      <c r="F8" s="25" t="s">
        <v>176</v>
      </c>
      <c r="G8" s="26" t="s">
        <v>71</v>
      </c>
      <c r="H8" s="8">
        <v>300</v>
      </c>
      <c r="I8" s="8"/>
      <c r="J8" s="2"/>
      <c r="K8" s="25"/>
      <c r="L8" s="9"/>
      <c r="M8" s="16"/>
      <c r="R8" s="1">
        <f>IF(vend27[[#This Row],[Nº Venda]]&gt;1,1,0)</f>
        <v>1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IF(vend27[[#This Row],[Nº Venda]]&gt;1,1,0)</f>
        <v>0</v>
      </c>
    </row>
    <row r="14" spans="2:18" ht="15.75">
      <c r="B14" s="30" t="s">
        <v>9</v>
      </c>
      <c r="C14" s="31">
        <f t="shared" si="0"/>
        <v>1117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IF(vend27[[#This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3947</v>
      </c>
      <c r="L15" s="9" t="s">
        <v>102</v>
      </c>
      <c r="M15" s="16" t="s">
        <v>53</v>
      </c>
      <c r="R15" s="1">
        <f>IF(vend27[[#This Row],[Nº Venda]]&gt;1,1,0)</f>
        <v>0</v>
      </c>
    </row>
    <row r="16" spans="2:18" ht="15.75">
      <c r="B16" s="28" t="s">
        <v>11</v>
      </c>
      <c r="C16" s="32">
        <f>SUM(C11:C15)</f>
        <v>1117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zoomScale="80" zoomScaleNormal="80" workbookViewId="0">
      <selection activeCell="C38" sqref="C3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'27'!B1+1</f>
        <v>45288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2790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2480</v>
      </c>
      <c r="D6" s="2"/>
      <c r="E6" s="18">
        <v>3977</v>
      </c>
      <c r="F6" s="25" t="s">
        <v>177</v>
      </c>
      <c r="G6" s="26" t="s">
        <v>7</v>
      </c>
      <c r="H6" s="8">
        <v>600</v>
      </c>
      <c r="I6" s="8">
        <v>250</v>
      </c>
      <c r="J6" s="2"/>
      <c r="K6" s="25"/>
      <c r="L6" s="9"/>
      <c r="M6" s="16"/>
      <c r="R6" s="1">
        <f>IF(vend28[[#This Row],[Nº Venda]]&gt;1,1,0)</f>
        <v>1</v>
      </c>
    </row>
    <row r="7" spans="2:18" ht="15.75">
      <c r="B7" s="23" t="s">
        <v>3</v>
      </c>
      <c r="C7" s="24">
        <f>SUM(M6:M11)</f>
        <v>0</v>
      </c>
      <c r="D7" s="2"/>
      <c r="E7" s="18">
        <v>3978</v>
      </c>
      <c r="F7" s="25" t="s">
        <v>178</v>
      </c>
      <c r="G7" s="26" t="s">
        <v>9</v>
      </c>
      <c r="H7" s="8">
        <v>1095</v>
      </c>
      <c r="I7" s="8">
        <v>895</v>
      </c>
      <c r="J7" s="2"/>
      <c r="K7" s="25"/>
      <c r="L7" s="9"/>
      <c r="M7" s="16"/>
      <c r="R7" s="1">
        <f>IF(vend28[[#This Row],[Nº Venda]]&gt;1,1,0)</f>
        <v>1</v>
      </c>
    </row>
    <row r="8" spans="2:18" ht="15.75">
      <c r="B8" s="28" t="s">
        <v>23</v>
      </c>
      <c r="C8" s="29">
        <f>SUM(C6:C7)</f>
        <v>2480</v>
      </c>
      <c r="D8" s="2"/>
      <c r="E8" s="18"/>
      <c r="F8" s="25"/>
      <c r="G8" s="26" t="s">
        <v>10</v>
      </c>
      <c r="H8" s="8">
        <v>0</v>
      </c>
      <c r="I8" s="8">
        <v>200</v>
      </c>
      <c r="J8" s="2"/>
      <c r="K8" s="25"/>
      <c r="L8" s="9"/>
      <c r="M8" s="16"/>
      <c r="R8" s="1">
        <f>IF(vend28[[#This Row],[Nº Venda]]&gt;1,1,0)</f>
        <v>0</v>
      </c>
    </row>
    <row r="9" spans="2:18" ht="15.75">
      <c r="B9" s="2"/>
      <c r="C9" s="2"/>
      <c r="D9" s="2"/>
      <c r="E9" s="18"/>
      <c r="F9" s="25"/>
      <c r="G9" s="26" t="s">
        <v>7</v>
      </c>
      <c r="H9" s="8">
        <v>0</v>
      </c>
      <c r="I9" s="8">
        <v>20</v>
      </c>
      <c r="J9" s="2"/>
      <c r="K9" s="25"/>
      <c r="L9" s="9"/>
      <c r="M9" s="16"/>
      <c r="R9" s="1">
        <f>IF(vend28[[#This Row],[Nº Venda]]&gt;1,1,0)</f>
        <v>0</v>
      </c>
    </row>
    <row r="10" spans="2:18" ht="15.75">
      <c r="B10" s="69" t="s">
        <v>5</v>
      </c>
      <c r="C10" s="69"/>
      <c r="D10" s="2"/>
      <c r="E10" s="18">
        <v>3979</v>
      </c>
      <c r="F10" s="25" t="s">
        <v>179</v>
      </c>
      <c r="G10" s="26" t="s">
        <v>9</v>
      </c>
      <c r="H10" s="8">
        <v>1095</v>
      </c>
      <c r="I10" s="8">
        <v>895</v>
      </c>
      <c r="J10" s="2"/>
      <c r="K10" s="25"/>
      <c r="L10" s="9"/>
      <c r="M10" s="16"/>
      <c r="R10" s="1">
        <f>IF(vend28[[#This Row],[Nº Venda]]&gt;1,1,0)</f>
        <v>1</v>
      </c>
    </row>
    <row r="11" spans="2:18" ht="15.75">
      <c r="B11" s="30" t="s">
        <v>6</v>
      </c>
      <c r="C11" s="31">
        <f>(SUMIF($G$2:$G$31,B11,$I$2:$I$31))+(SUMIF($G$35:$G$41,B11,$H$35:$H$41))</f>
        <v>206</v>
      </c>
      <c r="D11" s="2"/>
      <c r="E11" s="18"/>
      <c r="F11" s="25"/>
      <c r="G11" s="26" t="s">
        <v>10</v>
      </c>
      <c r="H11" s="8">
        <v>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540</v>
      </c>
      <c r="D12" s="2"/>
      <c r="E12" s="18"/>
      <c r="F12" s="25"/>
      <c r="G12" s="26" t="s">
        <v>7</v>
      </c>
      <c r="H12" s="8">
        <v>0</v>
      </c>
      <c r="I12" s="8">
        <v>20</v>
      </c>
      <c r="J12" s="2"/>
      <c r="R12" s="1">
        <f>IF(vend28[[#This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IF(vend28[[#This Row],[Nº Venda]]&gt;1,1,0)</f>
        <v>0</v>
      </c>
    </row>
    <row r="14" spans="2:18" ht="15.75">
      <c r="B14" s="30" t="s">
        <v>9</v>
      </c>
      <c r="C14" s="31">
        <f t="shared" si="0"/>
        <v>1790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IF(vend28[[#This Row],[Nº Venda]]&gt;1,1,0)</f>
        <v>0</v>
      </c>
    </row>
    <row r="15" spans="2:18" ht="15.75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>
        <v>3946</v>
      </c>
      <c r="L15" s="9" t="s">
        <v>102</v>
      </c>
      <c r="M15" s="16" t="s">
        <v>53</v>
      </c>
      <c r="R15" s="1">
        <f>IF(vend28[[#This Row],[Nº Venda]]&gt;1,1,0)</f>
        <v>0</v>
      </c>
    </row>
    <row r="16" spans="2:18" ht="15.75">
      <c r="B16" s="28" t="s">
        <v>11</v>
      </c>
      <c r="C16" s="32">
        <f>SUM(C11:C15)</f>
        <v>2936</v>
      </c>
      <c r="D16" s="2"/>
      <c r="E16" s="67"/>
      <c r="F16" s="67"/>
      <c r="G16" s="67"/>
      <c r="H16" s="48"/>
      <c r="I16" s="48"/>
      <c r="J16" s="2"/>
      <c r="K16" s="25">
        <v>3962</v>
      </c>
      <c r="L16" s="9" t="s">
        <v>102</v>
      </c>
      <c r="M16" s="16" t="s">
        <v>53</v>
      </c>
      <c r="R16" s="1">
        <f>IF(vend28[[#This Row],[Nº Venda]]&gt;1,1,0)</f>
        <v>0</v>
      </c>
    </row>
    <row r="17" spans="2:18" ht="15">
      <c r="B17" s="2"/>
      <c r="C17" s="2"/>
      <c r="D17" s="2"/>
      <c r="E17" s="67"/>
      <c r="F17" s="67"/>
      <c r="G17" s="67"/>
      <c r="H17" s="48"/>
      <c r="I17" s="48"/>
      <c r="J17" s="2"/>
      <c r="K17" s="25"/>
      <c r="L17" s="9"/>
      <c r="M17" s="16"/>
      <c r="R17" s="1">
        <f>IF(vend28[[#This Row],[Nº Venda]]&gt;1,1,0)</f>
        <v>0</v>
      </c>
    </row>
    <row r="18" spans="2:18" ht="15">
      <c r="B18" s="69" t="s">
        <v>12</v>
      </c>
      <c r="C18" s="69"/>
      <c r="D18" s="2"/>
      <c r="E18" s="67"/>
      <c r="F18" s="67"/>
      <c r="G18" s="67"/>
      <c r="H18" s="48"/>
      <c r="I18" s="48"/>
      <c r="J18" s="2"/>
      <c r="K18" s="25"/>
      <c r="L18" s="9"/>
      <c r="M18" s="16"/>
      <c r="R18" s="1">
        <f>IF(vend28[[#This Row],[Nº Venda]]&gt;1,1,0)</f>
        <v>0</v>
      </c>
    </row>
    <row r="19" spans="2:18" ht="15.7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2790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>
        <v>2105285</v>
      </c>
      <c r="F35" s="25" t="s">
        <v>180</v>
      </c>
      <c r="G35" s="26" t="s">
        <v>7</v>
      </c>
      <c r="H35" s="8">
        <v>250</v>
      </c>
      <c r="I35" s="8" t="s">
        <v>79</v>
      </c>
      <c r="K35" s="25"/>
      <c r="L35" s="42"/>
      <c r="M35" s="16"/>
    </row>
    <row r="36" spans="2:18" ht="15.75">
      <c r="E36" s="18">
        <v>2101934</v>
      </c>
      <c r="F36" s="25" t="s">
        <v>181</v>
      </c>
      <c r="G36" s="26" t="s">
        <v>6</v>
      </c>
      <c r="H36" s="8">
        <v>103</v>
      </c>
      <c r="I36" s="8" t="s">
        <v>99</v>
      </c>
      <c r="K36" s="25"/>
      <c r="L36" s="42"/>
      <c r="M36" s="16"/>
    </row>
    <row r="37" spans="2:18" ht="15.75">
      <c r="E37" s="18">
        <v>2101934</v>
      </c>
      <c r="F37" s="25" t="s">
        <v>181</v>
      </c>
      <c r="G37" s="26" t="s">
        <v>6</v>
      </c>
      <c r="H37" s="8">
        <v>103</v>
      </c>
      <c r="I37" s="8" t="s">
        <v>130</v>
      </c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3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base!$A$2:$A$9</xm:f>
          </x14:formula1>
          <xm:sqref>G19:G22 G6:G15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A17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'28'!B1+1</f>
        <v>45289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IF(vend29[[#This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IF(vend29[[#This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M18" sqref="M18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'29'!B1+1</f>
        <v>45290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1700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800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>
      <c r="B8" s="28" t="s">
        <v>23</v>
      </c>
      <c r="C8" s="29">
        <f>SUM(C6:C7)</f>
        <v>800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IF(vend30[[#This Row],[Nº Venda]]&gt;1,1,0)</f>
        <v>0</v>
      </c>
    </row>
    <row r="14" spans="2:18" ht="15.75">
      <c r="B14" s="30" t="s">
        <v>9</v>
      </c>
      <c r="C14" s="31">
        <f t="shared" si="0"/>
        <v>550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IF(vend30[[#This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3963</v>
      </c>
      <c r="L15" s="9" t="s">
        <v>102</v>
      </c>
      <c r="M15" s="16" t="s">
        <v>48</v>
      </c>
      <c r="R15" s="1">
        <f>IF(vend30[[#This Row],[Nº Venda]]&gt;1,1,0)</f>
        <v>0</v>
      </c>
    </row>
    <row r="16" spans="2:18" ht="15.75">
      <c r="B16" s="28" t="s">
        <v>11</v>
      </c>
      <c r="C16" s="32">
        <f>SUM(C11:C15)</f>
        <v>800</v>
      </c>
      <c r="D16" s="2"/>
      <c r="E16" s="18"/>
      <c r="F16" s="25"/>
      <c r="G16" s="26"/>
      <c r="H16" s="8"/>
      <c r="I16" s="8"/>
      <c r="J16" s="2"/>
      <c r="K16" s="25">
        <v>3928</v>
      </c>
      <c r="L16" s="9" t="s">
        <v>102</v>
      </c>
      <c r="M16" s="16" t="s">
        <v>53</v>
      </c>
      <c r="R16" s="1">
        <f>IF(vend30[[#This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>
        <v>3972</v>
      </c>
      <c r="L17" s="9" t="s">
        <v>102</v>
      </c>
      <c r="M17" s="16" t="s">
        <v>48</v>
      </c>
      <c r="R17" s="1">
        <f>IF(vend30[[#This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>
        <v>3945</v>
      </c>
      <c r="L18" s="9" t="s">
        <v>102</v>
      </c>
      <c r="M18" s="16" t="s">
        <v>53</v>
      </c>
      <c r="R18" s="1">
        <f>IF(vend30[[#This Row],[Nº Venda]]&gt;1,1,0)</f>
        <v>0</v>
      </c>
    </row>
    <row r="19" spans="2:18" ht="15.75">
      <c r="B19" s="30">
        <f>COUNT(entr_carn30[OS])</f>
        <v>2</v>
      </c>
      <c r="C19" s="31">
        <f>SUM(entr_carn30[Valor Total])</f>
        <v>750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>
      <c r="B20" s="28" t="s">
        <v>11</v>
      </c>
      <c r="C20" s="32">
        <f>SUM(C19:C19)</f>
        <v>750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1700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>
        <v>3927</v>
      </c>
      <c r="F26" s="25" t="s">
        <v>182</v>
      </c>
      <c r="G26" s="26" t="s">
        <v>7</v>
      </c>
      <c r="H26" s="8">
        <v>500</v>
      </c>
      <c r="I26" s="8">
        <v>125</v>
      </c>
      <c r="J26" s="2"/>
      <c r="K26" s="25"/>
      <c r="L26" s="9"/>
      <c r="M26" s="16"/>
    </row>
    <row r="27" spans="2:18" ht="15.75">
      <c r="B27" s="2"/>
      <c r="C27" s="2"/>
      <c r="D27" s="2"/>
      <c r="E27" s="18">
        <v>3928</v>
      </c>
      <c r="F27" s="25" t="s">
        <v>182</v>
      </c>
      <c r="G27" s="26" t="s">
        <v>7</v>
      </c>
      <c r="H27" s="8">
        <v>500</v>
      </c>
      <c r="I27" s="8">
        <v>125</v>
      </c>
      <c r="J27" s="2"/>
      <c r="K27" s="25"/>
      <c r="L27" s="9"/>
      <c r="M27" s="16"/>
    </row>
    <row r="28" spans="2:18" ht="15.75">
      <c r="B28" s="2"/>
      <c r="C28" s="2"/>
      <c r="D28" s="2"/>
      <c r="E28" s="18">
        <v>3945</v>
      </c>
      <c r="F28" s="25" t="s">
        <v>112</v>
      </c>
      <c r="G28" s="26" t="s">
        <v>9</v>
      </c>
      <c r="H28" s="8">
        <v>700</v>
      </c>
      <c r="I28" s="8">
        <v>550</v>
      </c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>
        <v>3963</v>
      </c>
      <c r="L35" s="42">
        <v>1</v>
      </c>
      <c r="M35" s="16">
        <v>500</v>
      </c>
    </row>
    <row r="36" spans="2:18" ht="15.75">
      <c r="E36" s="18"/>
      <c r="F36" s="25"/>
      <c r="G36" s="26"/>
      <c r="H36" s="8"/>
      <c r="I36" s="8"/>
      <c r="K36" s="25">
        <v>3972</v>
      </c>
      <c r="L36" s="42">
        <v>2</v>
      </c>
      <c r="M36" s="16">
        <v>250</v>
      </c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zoomScale="80" zoomScaleNormal="80" workbookViewId="0">
      <selection activeCell="C11" sqref="C11:C15"/>
    </sheetView>
  </sheetViews>
  <sheetFormatPr defaultColWidth="9.140625" defaultRowHeight="12.75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>
      <c r="B1" s="41">
        <f>'30'!B1+1</f>
        <v>45291</v>
      </c>
    </row>
    <row r="2" spans="2:18" ht="18.75">
      <c r="B2" s="74" t="s">
        <v>13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6"/>
    </row>
    <row r="3" spans="2:18" ht="18.7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>
      <c r="B4" s="19" t="s">
        <v>0</v>
      </c>
      <c r="C4" s="20">
        <v>0</v>
      </c>
      <c r="D4" s="21"/>
      <c r="E4" s="77" t="s">
        <v>1</v>
      </c>
      <c r="F4" s="77"/>
      <c r="G4" s="77"/>
      <c r="H4" s="77"/>
      <c r="I4" s="77"/>
      <c r="J4" s="22"/>
      <c r="K4" s="71" t="s">
        <v>3</v>
      </c>
      <c r="L4" s="72"/>
      <c r="M4" s="73"/>
    </row>
    <row r="5" spans="2:18" ht="1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>
      <c r="B8" s="28" t="s">
        <v>23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>
      <c r="B10" s="69" t="s">
        <v>5</v>
      </c>
      <c r="C10" s="6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71" t="s">
        <v>25</v>
      </c>
      <c r="L13" s="72"/>
      <c r="M13" s="73"/>
      <c r="R13" s="1">
        <f>IF(vend31[[#This Row],[Nº Venda]]&gt;1,1,0)</f>
        <v>0</v>
      </c>
    </row>
    <row r="14" spans="2:18" ht="15.7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26</v>
      </c>
      <c r="L14" s="6" t="s">
        <v>27</v>
      </c>
      <c r="M14" s="15" t="s">
        <v>28</v>
      </c>
      <c r="R14" s="1">
        <f>IF(vend31[[#This Row],[Nº Venda]]&gt;1,1,0)</f>
        <v>0</v>
      </c>
    </row>
    <row r="15" spans="2:18" ht="15.7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>
      <c r="B18" s="69" t="s">
        <v>12</v>
      </c>
      <c r="C18" s="69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>
      <c r="B22" s="28" t="s">
        <v>29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>
      <c r="B23" s="2"/>
      <c r="C23" s="2"/>
      <c r="D23" s="2"/>
      <c r="E23" s="33"/>
      <c r="H23" s="7"/>
      <c r="J23" s="2"/>
      <c r="K23" s="25"/>
      <c r="L23" s="9"/>
      <c r="M23" s="16"/>
    </row>
    <row r="24" spans="2:18" ht="15">
      <c r="B24" s="2"/>
      <c r="C24" s="2"/>
      <c r="D24" s="2"/>
      <c r="E24" s="70" t="s">
        <v>30</v>
      </c>
      <c r="F24" s="70"/>
      <c r="G24" s="70"/>
      <c r="H24" s="70"/>
      <c r="I24" s="70"/>
      <c r="J24" s="2"/>
      <c r="K24" s="25"/>
      <c r="L24" s="9"/>
      <c r="M24" s="16"/>
    </row>
    <row r="25" spans="2:18" ht="1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>
      <c r="B32" s="2"/>
      <c r="C32" s="2"/>
      <c r="E32" s="33"/>
    </row>
    <row r="33" spans="2:18" ht="15">
      <c r="B33" s="2"/>
      <c r="C33" s="2"/>
      <c r="E33" s="70" t="s">
        <v>31</v>
      </c>
      <c r="F33" s="70"/>
      <c r="G33" s="70"/>
      <c r="H33" s="70"/>
      <c r="I33" s="70"/>
      <c r="K33" s="71" t="s">
        <v>12</v>
      </c>
      <c r="L33" s="72"/>
      <c r="M33" s="73"/>
    </row>
    <row r="34" spans="2:18" ht="15">
      <c r="E34" s="10" t="s">
        <v>26</v>
      </c>
      <c r="F34" s="10" t="s">
        <v>15</v>
      </c>
      <c r="G34" s="11" t="s">
        <v>16</v>
      </c>
      <c r="H34" s="12" t="s">
        <v>32</v>
      </c>
      <c r="I34" s="13" t="s">
        <v>33</v>
      </c>
      <c r="K34" s="14" t="s">
        <v>26</v>
      </c>
      <c r="L34" s="6" t="s">
        <v>34</v>
      </c>
      <c r="M34" s="15" t="s">
        <v>35</v>
      </c>
    </row>
    <row r="35" spans="2:18" ht="15.75">
      <c r="E35" s="18"/>
      <c r="F35" s="25"/>
      <c r="G35" s="26"/>
      <c r="H35" s="8"/>
      <c r="I35" s="8"/>
      <c r="K35" s="25"/>
      <c r="L35" s="42"/>
      <c r="M35" s="16"/>
    </row>
    <row r="36" spans="2:18" ht="15.75">
      <c r="E36" s="18"/>
      <c r="F36" s="25"/>
      <c r="G36" s="26"/>
      <c r="H36" s="8"/>
      <c r="I36" s="8"/>
      <c r="K36" s="25"/>
      <c r="L36" s="42"/>
      <c r="M36" s="16"/>
    </row>
    <row r="37" spans="2:18" ht="15.75">
      <c r="E37" s="18"/>
      <c r="F37" s="25"/>
      <c r="G37" s="26"/>
      <c r="H37" s="8"/>
      <c r="I37" s="8"/>
      <c r="K37" s="25"/>
      <c r="L37" s="42"/>
      <c r="M37" s="16"/>
    </row>
    <row r="38" spans="2:18" ht="15.75">
      <c r="E38" s="18"/>
      <c r="F38" s="25"/>
      <c r="G38" s="26"/>
      <c r="H38" s="8"/>
      <c r="I38" s="8"/>
      <c r="K38" s="25"/>
      <c r="L38" s="42"/>
      <c r="M38" s="16"/>
    </row>
    <row r="39" spans="2:18" ht="15.75">
      <c r="E39" s="18"/>
      <c r="F39" s="39"/>
      <c r="G39" s="26"/>
      <c r="H39" s="8"/>
      <c r="I39" s="8"/>
      <c r="K39" s="25"/>
      <c r="L39" s="42"/>
      <c r="M39" s="16"/>
    </row>
    <row r="40" spans="2:18" ht="15.75">
      <c r="E40" s="35"/>
      <c r="F40" s="36"/>
      <c r="G40" s="37"/>
      <c r="H40" s="17"/>
      <c r="I40" s="8"/>
      <c r="K40" s="36"/>
      <c r="L40" s="43"/>
      <c r="M40" s="40"/>
      <c r="Q40" s="1" t="s">
        <v>40</v>
      </c>
      <c r="R40" s="1">
        <f>SUM(R6:R21)</f>
        <v>0</v>
      </c>
    </row>
    <row r="41" spans="2:18" ht="15.7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/>
  <cols>
    <col min="1" max="1" width="13.140625" bestFit="1" customWidth="1"/>
    <col min="2" max="2" width="22.140625" bestFit="1" customWidth="1"/>
    <col min="5" max="5" width="11.5703125" customWidth="1"/>
  </cols>
  <sheetData>
    <row r="1" spans="1:5">
      <c r="A1" s="38" t="s">
        <v>183</v>
      </c>
      <c r="B1" s="38" t="s">
        <v>184</v>
      </c>
      <c r="E1" s="38" t="s">
        <v>185</v>
      </c>
    </row>
    <row r="2" spans="1:5">
      <c r="A2" s="38" t="s">
        <v>6</v>
      </c>
      <c r="B2" s="38" t="s">
        <v>186</v>
      </c>
      <c r="E2" t="s">
        <v>187</v>
      </c>
    </row>
    <row r="3" spans="1:5">
      <c r="A3" s="38" t="s">
        <v>7</v>
      </c>
      <c r="B3" s="38" t="s">
        <v>188</v>
      </c>
      <c r="E3" t="s">
        <v>114</v>
      </c>
    </row>
    <row r="4" spans="1:5">
      <c r="A4" s="38" t="s">
        <v>8</v>
      </c>
      <c r="B4" s="38" t="s">
        <v>189</v>
      </c>
      <c r="E4" t="s">
        <v>79</v>
      </c>
    </row>
    <row r="5" spans="1:5">
      <c r="A5" s="38" t="s">
        <v>9</v>
      </c>
      <c r="B5" s="38" t="s">
        <v>190</v>
      </c>
      <c r="E5" t="s">
        <v>191</v>
      </c>
    </row>
    <row r="6" spans="1:5">
      <c r="A6" s="38" t="s">
        <v>10</v>
      </c>
      <c r="B6" s="38" t="s">
        <v>10</v>
      </c>
      <c r="E6" t="s">
        <v>84</v>
      </c>
    </row>
    <row r="7" spans="1:5">
      <c r="A7" s="38" t="s">
        <v>71</v>
      </c>
      <c r="B7" s="38" t="s">
        <v>192</v>
      </c>
      <c r="E7" t="s">
        <v>59</v>
      </c>
    </row>
    <row r="8" spans="1:5">
      <c r="A8" t="s">
        <v>28</v>
      </c>
      <c r="B8" t="s">
        <v>193</v>
      </c>
      <c r="E8" t="s">
        <v>106</v>
      </c>
    </row>
    <row r="9" spans="1:5">
      <c r="A9" s="38" t="s">
        <v>147</v>
      </c>
      <c r="B9" s="38" t="s">
        <v>194</v>
      </c>
      <c r="E9" t="s">
        <v>167</v>
      </c>
    </row>
    <row r="10" spans="1:5">
      <c r="E10" t="s">
        <v>63</v>
      </c>
    </row>
    <row r="11" spans="1:5">
      <c r="E11" t="s">
        <v>65</v>
      </c>
    </row>
    <row r="12" spans="1:5">
      <c r="E12" t="s">
        <v>97</v>
      </c>
    </row>
    <row r="13" spans="1:5">
      <c r="E13" t="s">
        <v>119</v>
      </c>
    </row>
    <row r="14" spans="1:5">
      <c r="E14" t="s">
        <v>39</v>
      </c>
    </row>
    <row r="15" spans="1:5">
      <c r="E15" t="s">
        <v>99</v>
      </c>
    </row>
    <row r="16" spans="1:5">
      <c r="E16" t="s">
        <v>130</v>
      </c>
    </row>
    <row r="17" spans="5:5">
      <c r="E17" t="s">
        <v>37</v>
      </c>
    </row>
    <row r="18" spans="5:5">
      <c r="E18" t="s">
        <v>67</v>
      </c>
    </row>
    <row r="19" spans="5:5">
      <c r="E19" t="s">
        <v>158</v>
      </c>
    </row>
    <row r="20" spans="5:5">
      <c r="E20" t="s">
        <v>151</v>
      </c>
    </row>
    <row r="21" spans="5:5">
      <c r="E21" t="s">
        <v>104</v>
      </c>
    </row>
    <row r="22" spans="5:5">
      <c r="E22" t="s">
        <v>82</v>
      </c>
    </row>
    <row r="23" spans="5:5">
      <c r="E23" t="s">
        <v>160</v>
      </c>
    </row>
    <row r="24" spans="5:5">
      <c r="E24" t="s">
        <v>195</v>
      </c>
    </row>
    <row r="25" spans="5:5">
      <c r="E25" t="s">
        <v>196</v>
      </c>
    </row>
    <row r="26" spans="5:5">
      <c r="E26" t="s">
        <v>142</v>
      </c>
    </row>
    <row r="27" spans="5:5">
      <c r="E27" t="s">
        <v>169</v>
      </c>
    </row>
    <row r="28" spans="5:5">
      <c r="E28" t="s">
        <v>61</v>
      </c>
    </row>
    <row r="29" spans="5:5">
      <c r="E29" t="s">
        <v>154</v>
      </c>
    </row>
    <row r="30" spans="5:5">
      <c r="E30" t="s">
        <v>197</v>
      </c>
    </row>
    <row r="31" spans="5:5">
      <c r="E31" t="s">
        <v>198</v>
      </c>
    </row>
    <row r="32" spans="5:5">
      <c r="E32" t="s">
        <v>199</v>
      </c>
    </row>
    <row r="33" spans="5:5">
      <c r="E33" t="s">
        <v>101</v>
      </c>
    </row>
    <row r="34" spans="5:5">
      <c r="E34" t="s">
        <v>200</v>
      </c>
    </row>
    <row r="35" spans="5:5">
      <c r="E35" t="s">
        <v>201</v>
      </c>
    </row>
    <row r="36" spans="5:5">
      <c r="E36" t="s">
        <v>202</v>
      </c>
    </row>
    <row r="37" spans="5:5">
      <c r="E37" t="s">
        <v>203</v>
      </c>
    </row>
    <row r="38" spans="5:5">
      <c r="E38" t="s">
        <v>204</v>
      </c>
    </row>
    <row r="39" spans="5:5">
      <c r="E39" t="s">
        <v>205</v>
      </c>
    </row>
    <row r="40" spans="5:5">
      <c r="E40" t="s">
        <v>206</v>
      </c>
    </row>
    <row r="41" spans="5:5">
      <c r="E41" t="s">
        <v>207</v>
      </c>
    </row>
    <row r="42" spans="5:5">
      <c r="E42" t="s">
        <v>208</v>
      </c>
    </row>
    <row r="43" spans="5:5">
      <c r="E43" t="s">
        <v>209</v>
      </c>
    </row>
    <row r="44" spans="5:5">
      <c r="E44" t="s">
        <v>210</v>
      </c>
    </row>
    <row r="45" spans="5:5">
      <c r="E45" t="s">
        <v>211</v>
      </c>
    </row>
    <row r="46" spans="5:5">
      <c r="E46" t="s">
        <v>212</v>
      </c>
    </row>
    <row r="47" spans="5:5">
      <c r="E47" t="s">
        <v>213</v>
      </c>
    </row>
    <row r="48" spans="5:5">
      <c r="E48" t="s">
        <v>214</v>
      </c>
    </row>
    <row r="49" spans="5:5">
      <c r="E49" t="s">
        <v>215</v>
      </c>
    </row>
    <row r="50" spans="5:5">
      <c r="E50" t="s">
        <v>216</v>
      </c>
    </row>
    <row r="51" spans="5:5">
      <c r="E51" t="s">
        <v>217</v>
      </c>
    </row>
    <row r="52" spans="5:5">
      <c r="E52" t="s">
        <v>218</v>
      </c>
    </row>
    <row r="53" spans="5:5">
      <c r="E53" t="s">
        <v>219</v>
      </c>
    </row>
    <row r="54" spans="5:5">
      <c r="E54" t="s">
        <v>220</v>
      </c>
    </row>
    <row r="55" spans="5:5">
      <c r="E55" t="s">
        <v>221</v>
      </c>
    </row>
    <row r="56" spans="5:5">
      <c r="E56" t="s">
        <v>222</v>
      </c>
    </row>
    <row r="57" spans="5:5">
      <c r="E57" t="s">
        <v>223</v>
      </c>
    </row>
    <row r="58" spans="5:5">
      <c r="E58" t="s">
        <v>224</v>
      </c>
    </row>
    <row r="59" spans="5:5">
      <c r="E59" t="s">
        <v>225</v>
      </c>
    </row>
    <row r="60" spans="5:5">
      <c r="E60" t="s">
        <v>226</v>
      </c>
    </row>
    <row r="61" spans="5:5">
      <c r="E61" t="s">
        <v>227</v>
      </c>
    </row>
    <row r="62" spans="5:5">
      <c r="E62" t="s">
        <v>228</v>
      </c>
    </row>
    <row r="63" spans="5:5">
      <c r="E63" t="s">
        <v>229</v>
      </c>
    </row>
    <row r="64" spans="5:5">
      <c r="E64" t="s">
        <v>230</v>
      </c>
    </row>
    <row r="65" spans="5:5">
      <c r="E65" t="s">
        <v>231</v>
      </c>
    </row>
    <row r="66" spans="5:5">
      <c r="E66" t="s">
        <v>232</v>
      </c>
    </row>
    <row r="67" spans="5:5">
      <c r="E67" t="s">
        <v>233</v>
      </c>
    </row>
    <row r="68" spans="5:5">
      <c r="E68" t="s">
        <v>234</v>
      </c>
    </row>
    <row r="69" spans="5:5">
      <c r="E69" t="s">
        <v>235</v>
      </c>
    </row>
    <row r="70" spans="5:5">
      <c r="E70" t="s">
        <v>236</v>
      </c>
    </row>
    <row r="71" spans="5:5">
      <c r="E71" t="s">
        <v>237</v>
      </c>
    </row>
    <row r="72" spans="5:5">
      <c r="E72" t="s">
        <v>238</v>
      </c>
    </row>
    <row r="73" spans="5:5">
      <c r="E73" t="s">
        <v>239</v>
      </c>
    </row>
    <row r="74" spans="5:5">
      <c r="E74" t="s">
        <v>240</v>
      </c>
    </row>
    <row r="75" spans="5:5">
      <c r="E75" t="s">
        <v>241</v>
      </c>
    </row>
    <row r="76" spans="5:5">
      <c r="E76" t="s">
        <v>242</v>
      </c>
    </row>
    <row r="77" spans="5:5">
      <c r="E77" t="s">
        <v>243</v>
      </c>
    </row>
    <row r="78" spans="5:5">
      <c r="E78" t="s">
        <v>244</v>
      </c>
    </row>
    <row r="79" spans="5:5">
      <c r="E79" t="s">
        <v>245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gilberto Junior</cp:lastModifiedBy>
  <cp:revision/>
  <dcterms:created xsi:type="dcterms:W3CDTF">2004-04-07T20:43:43Z</dcterms:created>
  <dcterms:modified xsi:type="dcterms:W3CDTF">2024-03-07T01:02:52Z</dcterms:modified>
  <cp:category/>
  <cp:contentStatus/>
</cp:coreProperties>
</file>