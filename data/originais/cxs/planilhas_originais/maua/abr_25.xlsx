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omments2.xml" ContentType="application/vnd.openxmlformats-officedocument.spreadsheetml.comments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omments3.xml" ContentType="application/vnd.openxmlformats-officedocument.spreadsheetml.comments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comments4.xml" ContentType="application/vnd.openxmlformats-officedocument.spreadsheetml.comments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comments5.xml" ContentType="application/vnd.openxmlformats-officedocument.spreadsheetml.comments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comments6.xml" ContentType="application/vnd.openxmlformats-officedocument.spreadsheetml.comments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357" documentId="8_{F2978760-27D4-4E8F-88F2-0C67A8BEC1E7}" xr6:coauthVersionLast="47" xr6:coauthVersionMax="47" xr10:uidLastSave="{B835FC48-C0F1-4F29-BD04-E714ABF54C80}"/>
  <bookViews>
    <workbookView xWindow="-120" yWindow="-120" windowWidth="29040" windowHeight="15840" tabRatio="928" firstSheet="1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base_OS" sheetId="201" state="hidden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0"/>
  <c r="C6" i="180"/>
  <c r="C6" i="183"/>
  <c r="C6" i="179"/>
  <c r="C6" i="185"/>
  <c r="C6" i="186"/>
  <c r="C6" i="187"/>
  <c r="C6" i="189"/>
  <c r="C6" i="190"/>
  <c r="C6" i="188"/>
  <c r="C6" i="193"/>
  <c r="C6" i="194"/>
  <c r="C6" i="197"/>
  <c r="C6" i="192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8" i="174"/>
  <c r="C8" i="179"/>
  <c r="C8" i="187"/>
  <c r="C8" i="189"/>
  <c r="C8" i="190"/>
  <c r="C8" i="194"/>
  <c r="C8" i="197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92"/>
  <c r="C8" i="183"/>
  <c r="R40" i="194"/>
  <c r="R40" i="190"/>
  <c r="R40" i="183"/>
  <c r="R40" i="192"/>
  <c r="R40" i="196"/>
  <c r="B17" i="200"/>
  <c r="B18" i="200" s="1"/>
  <c r="R40" i="187"/>
  <c r="R40" i="189"/>
  <c r="R40" i="191"/>
  <c r="R40" i="193"/>
  <c r="R39" i="195"/>
  <c r="R40" i="180"/>
  <c r="R40" i="185"/>
  <c r="R40" i="186"/>
  <c r="R40" i="188"/>
  <c r="R40" i="197"/>
  <c r="R40" i="199"/>
  <c r="C8" i="188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O11" i="188" s="1"/>
  <c r="C16" i="185"/>
  <c r="O11" i="185" s="1"/>
  <c r="C8" i="193"/>
  <c r="C8" i="185"/>
  <c r="C8" i="170"/>
  <c r="C16" i="199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C16" i="190"/>
  <c r="O11" i="190" s="1"/>
  <c r="C16" i="187"/>
  <c r="O11" i="187" s="1"/>
  <c r="C16" i="186"/>
  <c r="O11" i="186" s="1"/>
  <c r="C16" i="184"/>
  <c r="C16" i="179"/>
  <c r="O11" i="179" s="1"/>
  <c r="C16" i="181"/>
  <c r="C16" i="183"/>
  <c r="O11" i="183" s="1"/>
  <c r="C16" i="182"/>
  <c r="C16" i="180"/>
  <c r="O11" i="180" s="1"/>
  <c r="C16" i="176"/>
  <c r="C16" i="177"/>
  <c r="C16" i="178"/>
  <c r="C16" i="172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5" l="1"/>
  <c r="C6" i="175"/>
  <c r="C8" i="175" s="1"/>
  <c r="O11" i="196"/>
  <c r="C6" i="196"/>
  <c r="C8" i="196" s="1"/>
  <c r="O11" i="173"/>
  <c r="C6" i="173"/>
  <c r="C8" i="173" s="1"/>
  <c r="O11" i="191"/>
  <c r="C6" i="191"/>
  <c r="C8" i="191" s="1"/>
  <c r="O11" i="199"/>
  <c r="C6" i="199"/>
  <c r="C8" i="199" s="1"/>
  <c r="O11" i="184"/>
  <c r="C6" i="184"/>
  <c r="C8" i="184" s="1"/>
  <c r="O11" i="181"/>
  <c r="C6" i="181"/>
  <c r="C8" i="181" s="1"/>
  <c r="O11" i="177"/>
  <c r="C6" i="177"/>
  <c r="C8" i="177" s="1"/>
  <c r="O11" i="178"/>
  <c r="C6" i="178"/>
  <c r="C8" i="178" s="1"/>
  <c r="O11" i="171"/>
  <c r="C6" i="171"/>
  <c r="C8" i="171" s="1"/>
  <c r="O11" i="172"/>
  <c r="C6" i="172"/>
  <c r="C8" i="172" s="1"/>
  <c r="O11" i="176"/>
  <c r="C6" i="176"/>
  <c r="C8" i="176" s="1"/>
  <c r="O11" i="182"/>
  <c r="C6" i="182"/>
  <c r="C8" i="182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35" authorId="0" shapeId="0" xr:uid="{72839FBE-1931-4540-9068-836EDE633689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Débito - maquininha da nova franqueada.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35" authorId="0" shapeId="0" xr:uid="{FA3FC4F1-B673-4CD6-8772-CA9A5F9C414F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Débito - maquininha da nova franqueada.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38" authorId="0" shapeId="0" xr:uid="{D7EC1C92-66D1-4658-A372-38BD620A8A93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  <comment ref="G40" authorId="0" shapeId="0" xr:uid="{EF63297E-B506-44AD-8D7E-395FBFE2303E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26" authorId="0" shapeId="0" xr:uid="{301C33E0-40DA-4210-877E-ABBEE4DBFCD9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  <comment ref="G27" authorId="0" shapeId="0" xr:uid="{F5934B0D-CA6F-4B7A-935E-73252E91DA90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35" authorId="0" shapeId="0" xr:uid="{AFE147A4-7D80-4F91-B7ED-1EFD1A57589B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  <comment ref="G36" authorId="0" shapeId="0" xr:uid="{2D89736A-9EF8-48F4-9682-BA2B794AAD15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  <comment ref="G37" authorId="0" shapeId="0" xr:uid="{0F3145FD-0554-48A0-8643-C520AC4D87AA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G35" authorId="0" shapeId="0" xr:uid="{F3E24296-987E-411A-9650-51783DB09901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  <comment ref="G36" authorId="0" shapeId="0" xr:uid="{CDE4FA8B-FCA2-4396-8D68-50947D6CD9FA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PIX - conta da franquia - AUSTRIA</t>
        </r>
      </text>
    </comment>
  </commentList>
</comments>
</file>

<file path=xl/sharedStrings.xml><?xml version="1.0" encoding="utf-8"?>
<sst xmlns="http://schemas.openxmlformats.org/spreadsheetml/2006/main" count="1694" uniqueCount="171">
  <si>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</si>
  <si>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</si>
  <si>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</si>
  <si>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</si>
  <si>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</si>
  <si>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</si>
  <si>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</si>
  <si>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</si>
  <si>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</si>
  <si>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</si>
  <si>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</si>
  <si>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</si>
  <si>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</si>
  <si>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</si>
  <si>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</si>
  <si>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</si>
  <si>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</si>
  <si>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</si>
  <si>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</si>
  <si>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</si>
  <si>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</si>
  <si>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</si>
  <si>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</si>
  <si>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</si>
  <si>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</si>
  <si>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</si>
  <si>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</si>
  <si>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</si>
  <si>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</si>
  <si>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</si>
  <si>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</si>
  <si>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</si>
  <si>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</si>
  <si>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</si>
  <si>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</si>
  <si>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</si>
  <si>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</si>
  <si>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</si>
  <si>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</si>
  <si>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</si>
  <si>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</si>
  <si>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</si>
  <si>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</si>
  <si>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</si>
  <si>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</si>
  <si>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</si>
  <si>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</si>
  <si>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</si>
  <si>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</si>
  <si>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</si>
  <si>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</si>
  <si>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</si>
  <si>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</si>
  <si>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</si>
  <si>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</si>
  <si>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</si>
  <si>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</si>
  <si>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</si>
  <si>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</si>
  <si>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</si>
  <si>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</si>
  <si>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</si>
  <si>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</si>
  <si>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</si>
  <si>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</si>
  <si>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</si>
  <si>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</si>
  <si>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</si>
  <si>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</si>
  <si>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</si>
  <si>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</si>
  <si>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</si>
  <si>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</si>
  <si>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</si>
  <si>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</si>
  <si>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</si>
  <si>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</si>
  <si>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</si>
  <si>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</si>
  <si>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</si>
  <si>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</si>
  <si>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</si>
  <si>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</si>
  <si>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</si>
  <si>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</si>
  <si>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</si>
  <si>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</si>
  <si>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</si>
  <si>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</si>
  <si>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</si>
  <si>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</si>
  <si>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</si>
  <si>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</si>
  <si>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</si>
  <si>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</si>
  <si>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</si>
  <si>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</si>
  <si>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</si>
  <si>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</si>
  <si>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</si>
  <si>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</si>
  <si>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</si>
  <si>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</si>
  <si>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</si>
  <si>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</si>
  <si>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</si>
  <si>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</si>
  <si>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</si>
  <si>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</si>
  <si>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</si>
  <si>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</si>
  <si>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</si>
  <si>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</si>
  <si>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</si>
  <si>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</si>
  <si>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</si>
  <si>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</si>
  <si>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</si>
  <si>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</si>
  <si>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</si>
  <si>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</si>
  <si>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</si>
  <si>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</si>
  <si>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</si>
  <si>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</si>
  <si>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</si>
  <si>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</si>
  <si>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</si>
  <si>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</si>
  <si>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</si>
  <si>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</si>
  <si>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</si>
  <si>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</si>
  <si>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</si>
  <si>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</si>
  <si>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</si>
  <si>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</si>
  <si>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</si>
  <si>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</si>
  <si>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</si>
  <si>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</si>
  <si>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</si>
  <si>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MAUÁ</t>
  </si>
  <si>
    <t>Nilma de Araújo Silva Mendes</t>
  </si>
  <si>
    <t xml:space="preserve"> Maria da Conceição Floriano</t>
  </si>
  <si>
    <t>Marli Aparecida Adão</t>
  </si>
  <si>
    <t>Zibia Pessoa Gomes do Nascimento</t>
  </si>
  <si>
    <t>Não</t>
  </si>
  <si>
    <t>Nair Aparecida de Souza Ramos</t>
  </si>
  <si>
    <t>Paulo Lopes dos Santos</t>
  </si>
  <si>
    <t>Camila Naja de Almeida Ricarte Costa</t>
  </si>
  <si>
    <t>José João de Sousa</t>
  </si>
  <si>
    <t>Maria Calado da Silva</t>
  </si>
  <si>
    <t>Idamar Franklin dos Santos</t>
  </si>
  <si>
    <t>Maria Auzeni Dias</t>
  </si>
  <si>
    <t>Ângela Oliveira Martins</t>
  </si>
  <si>
    <t>Vani Regina Talarico</t>
  </si>
  <si>
    <t>Odilia Braz de Andrade</t>
  </si>
  <si>
    <t>Danielle Andrade Guerino</t>
  </si>
  <si>
    <t>Hilda Souza dos Santos Pereira</t>
  </si>
  <si>
    <t>Aldimeia Pereira Mendes</t>
  </si>
  <si>
    <t>Claudemir Silva</t>
  </si>
  <si>
    <t>Sim</t>
  </si>
  <si>
    <t>Fábio Gonçalves Martins</t>
  </si>
  <si>
    <t>MANOEL BEZERRA DOS PASSOS</t>
  </si>
  <si>
    <t>Bernadete Santos Amaro</t>
  </si>
  <si>
    <t>Antônio Maurício da Fonseca</t>
  </si>
  <si>
    <t>Maria Aparecida Francisca</t>
  </si>
  <si>
    <t>Vanessa da Silva Ribeiro</t>
  </si>
  <si>
    <t>Antonio José Desiderio</t>
  </si>
  <si>
    <t>Antôni José Desiderio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</si>
</sst>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z val="22"/>
      <name val="Castellar"/>
      <family val="1"/>
    </font>
    <font>
      <b/>
      <sz val="20"/>
      <name val="Century Gothic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6" fillId="0" borderId="3" xfId="2" applyFont="1" applyFill="1" applyBorder="1" applyAlignment="1">
      <alignment horizontal="center"/>
    </xf>
    <xf numFmtId="164" fontId="37" fillId="0" borderId="3" xfId="2" applyFont="1" applyFill="1" applyBorder="1" applyAlignment="1">
      <alignment horizontal="center"/>
    </xf>
    <xf numFmtId="165" fontId="37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2" fillId="0" borderId="0" xfId="0" applyFont="1"/>
    <xf numFmtId="165" fontId="43" fillId="0" borderId="0" xfId="0" applyNumberFormat="1" applyFont="1" applyAlignment="1">
      <alignment horizontal="center"/>
    </xf>
    <xf numFmtId="0" fontId="43" fillId="0" borderId="0" xfId="0" applyFont="1"/>
    <xf numFmtId="165" fontId="24" fillId="0" borderId="6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587" headerRowBorderDxfId="1586" tableBorderDxfId="1585" totalsRowBorderDxfId="158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583" dataCellStyle="Moeda"/>
    <tableColumn id="5" xr3:uid="{45BECD08-8ABE-4A34-BD78-E2D3AFB8C62A}" name="Cliente" dataDxfId="1582" dataCellStyle="Moeda"/>
    <tableColumn id="2" xr3:uid="{A0D6666C-9CF7-4343-AF6B-BDFE62F94469}" name="Forma de Pgto" dataDxfId="1581" dataCellStyle="Moeda"/>
    <tableColumn id="3" xr3:uid="{988F127F-9D83-4428-BB94-C16FBBB1BD89}" name="Valor Venda" dataDxfId="1580" dataCellStyle="Porcentagem"/>
    <tableColumn id="4" xr3:uid="{6A2928C3-17B0-4FA3-B60C-9E1A2C0324E1}" name="Entrada" dataDxfId="1579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578" dataDxfId="1576" headerRowBorderDxfId="1577" tableBorderDxfId="1575" totalsRowBorderDxfId="1574">
  <autoFilter ref="K5:M11" xr:uid="{DD403130-B35C-452C-92F9-290622D77A3D}"/>
  <tableColumns count="3">
    <tableColumn id="1" xr3:uid="{FAD87634-3375-4B41-BEC0-5B072F6B52CE}" name="Descrição" dataDxfId="1573"/>
    <tableColumn id="2" xr3:uid="{7688071E-9548-4552-8BB1-3BA5128DF645}" name="Tipo de Pagto" dataDxfId="1572"/>
    <tableColumn id="3" xr3:uid="{2B260C33-79A5-4C5D-9195-15780C53A861}" name="Valor" dataDxfId="15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570" headerRowBorderDxfId="1569" tableBorderDxfId="1568" totalsRowBorderDxfId="1567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566"/>
    <tableColumn id="2" xr3:uid="{606BE417-6802-4580-90D2-86F95EFAAEB7}" name="Cliente" dataDxfId="1565"/>
    <tableColumn id="3" xr3:uid="{2F522A54-F708-4DA3-97E3-CE7C29912E04}" name="Forma de Pgto" dataDxfId="1564" dataCellStyle="Moeda"/>
    <tableColumn id="4" xr3:uid="{7B46EE64-F7F1-4449-A783-67286A94A7C4}" name="Valor Venda" dataDxfId="1563" dataCellStyle="Porcentagem"/>
    <tableColumn id="5" xr3:uid="{389A7D1A-3C35-485E-9958-8A78EF77BE9B}" name="Entrada" dataDxfId="1562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561" headerRowBorderDxfId="1560" tableBorderDxfId="1559" totalsRowBorderDxfId="1558">
  <autoFilter ref="K14:M31" xr:uid="{F07D43AD-1A4D-4B31-96B8-824F8623E518}"/>
  <tableColumns count="3">
    <tableColumn id="1" xr3:uid="{3AF01421-A7B6-4D23-9DA8-C20FAFAFDD9C}" name="OS" dataDxfId="1557"/>
    <tableColumn id="2" xr3:uid="{55DCC30E-EB52-427E-A16A-B2C93A41F1CE}" name="Vendedor" dataDxfId="1556"/>
    <tableColumn id="3" xr3:uid="{23EDA46C-42B4-4F6C-97D9-7040D6B9797C}" name="CARNE" dataDxfId="15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554" headerRowBorderDxfId="1553" tableBorderDxfId="1552" totalsRowBorderDxfId="155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50"/>
    <tableColumn id="2" xr3:uid="{FBA6EA78-F44B-4D22-A27A-92A91C10551F}" name="Cliente" dataDxfId="1549"/>
    <tableColumn id="3" xr3:uid="{749B4D89-29B3-4987-91D3-6BA3C44D9B96}" name="Forma de Pgto" dataDxfId="1548" dataCellStyle="Moeda"/>
    <tableColumn id="4" xr3:uid="{A84A6598-B291-4809-A78D-AB810461733D}" name="Valor Parcela" dataDxfId="1547" dataCellStyle="Porcentagem"/>
    <tableColumn id="5" xr3:uid="{3C45FEEC-5E06-4ED7-87CD-0097DB6BC817}" name="Nº Parcela" dataDxfId="1546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45" headerRowBorderDxfId="1544" tableBorderDxfId="1543" totalsRowBorderDxfId="1542">
  <autoFilter ref="K34:M41" xr:uid="{42BA126A-AECD-4CD6-8583-BD2352D82FB9}"/>
  <tableColumns count="3">
    <tableColumn id="1" xr3:uid="{0989D88A-7CB7-4008-94FC-B7FFB3CAE582}" name="OS" dataDxfId="1541"/>
    <tableColumn id="2" xr3:uid="{AC9D76CC-A537-4210-9893-E8C57DA30B4D}" name="Parcelas" dataDxfId="1540"/>
    <tableColumn id="3" xr3:uid="{D4D72E6E-DAE0-4860-8606-BFD8E469AE3D}" name="Valor Total" dataDxfId="15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33" dataCellStyle="Moeda"/>
    <tableColumn id="5" xr3:uid="{62DCD49D-7CD9-4268-A2D5-B3A594E461BB}" name="Cliente" dataDxfId="1532" dataCellStyle="Moeda"/>
    <tableColumn id="2" xr3:uid="{50D45495-B1A2-4885-996A-3E6DD92E280E}" name="Forma de Pgto" dataDxfId="1531" dataCellStyle="Moeda"/>
    <tableColumn id="3" xr3:uid="{DE57E226-692B-42B0-911E-ACCF59BC6D86}" name="Valor Venda" dataDxfId="1530" dataCellStyle="Porcentagem"/>
    <tableColumn id="4" xr3:uid="{CE230B3B-D2C9-4A92-A5F3-A5EE4A74409A}" name="Entrada" dataDxfId="1529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58E2E66D-9AC0-4A69-BF19-1AB9AD59BA2F}" name="Descrição" dataDxfId="1523"/>
    <tableColumn id="2" xr3:uid="{FE1E3124-46C3-49A6-AE83-7C14B341DF59}" name="Tipo de Pagto" dataDxfId="1522"/>
    <tableColumn id="3" xr3:uid="{D8FBF474-04EE-46ED-9B9E-791D937CF715}" name="Valor" dataDxfId="15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15"/>
    <tableColumn id="2" xr3:uid="{595EF087-A3B2-4C2B-AEEA-F930A6C2F5F4}" name="Cliente" dataDxfId="1514"/>
    <tableColumn id="3" xr3:uid="{C5C2BC75-6E8D-4808-A5EE-A5F9251ECE6C}" name="Forma de Pgto" dataDxfId="1513" dataCellStyle="Moeda"/>
    <tableColumn id="4" xr3:uid="{20CF776B-B9F4-48DD-9379-961689B40B71}" name="Valor Venda" dataDxfId="1512" dataCellStyle="Porcentagem"/>
    <tableColumn id="5" xr3:uid="{65177CB6-6D07-42E6-8EFE-435282A2F5BA}" name="Entrada" dataDxfId="1511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10" dataDxfId="1508" headerRowBorderDxfId="1509" tableBorderDxfId="1507" totalsRowBorderDxfId="15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05"/>
    <tableColumn id="2" xr3:uid="{D1AEFC99-FF9D-4A0D-BE93-D866BDC7A817}" name="Vendedor" dataDxfId="1504"/>
    <tableColumn id="3" xr3:uid="{CA30546E-8A3F-45D5-BE2B-24DCF738F1F2}" name="CARNE" dataDxfId="150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97"/>
    <tableColumn id="2" xr3:uid="{7D38F106-0145-4B73-951B-86BF22EC7FAB}" name="Cliente" dataDxfId="1496"/>
    <tableColumn id="3" xr3:uid="{11A4EEBE-D35C-4719-B2B9-16486260EF79}" name="Forma de Pgto" dataDxfId="1495" dataCellStyle="Moeda"/>
    <tableColumn id="4" xr3:uid="{1BAB2FC5-9F2C-41DD-994A-6BA83A984883}" name="Valor Parcela" dataDxfId="1494" dataCellStyle="Porcentagem"/>
    <tableColumn id="5" xr3:uid="{8C539F89-5F96-4DB9-B7A4-784EA1B5350C}" name="Nº Parcela" dataDxfId="1493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92" headerRowBorderDxfId="1491" tableBorderDxfId="1490" totalsRowBorderDxfId="1489">
  <autoFilter ref="K34:M41" xr:uid="{1B8643D4-6AC3-4029-882A-C62E9D7CB225}"/>
  <tableColumns count="3">
    <tableColumn id="1" xr3:uid="{0B93901B-D681-410F-8B28-E186D9A3CAC3}" name="OS" dataDxfId="1488"/>
    <tableColumn id="2" xr3:uid="{A57C0E02-6258-48F0-9407-2095CD96B2D4}" name="Parcelas" dataDxfId="1487"/>
    <tableColumn id="3" xr3:uid="{1EA087CF-658D-4951-89BB-508667E3BBBE}" name="Valor Total" dataDxfId="148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80" dataCellStyle="Moeda"/>
    <tableColumn id="5" xr3:uid="{98DC42E5-632F-4288-9CC5-1F032859A7E7}" name="Cliente" dataDxfId="1479" dataCellStyle="Moeda"/>
    <tableColumn id="2" xr3:uid="{4AE32B81-9EBD-470B-9ABE-A82D6658F3FE}" name="Forma de Pgto" dataDxfId="1478" dataCellStyle="Moeda"/>
    <tableColumn id="3" xr3:uid="{6E5BAEC1-2689-4ABB-93EC-298595B5C82E}" name="Valor Venda" dataDxfId="1477" dataCellStyle="Porcentagem"/>
    <tableColumn id="4" xr3:uid="{24493E7B-FE77-4A85-8810-0F0A4A84D997}" name="Entrada" dataDxfId="1476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DA50BBFB-ECA9-45DE-9949-F3F90EEC3BA7}" name="Descrição" dataDxfId="1470"/>
    <tableColumn id="2" xr3:uid="{A64D4F88-B62D-440B-BA71-6D7BB28D542E}" name="Tipo de Pagto" dataDxfId="1469"/>
    <tableColumn id="3" xr3:uid="{0406A209-0652-47F9-9AB4-3256B26876D2}" name="Valor" dataDxfId="146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62"/>
    <tableColumn id="2" xr3:uid="{8B8D24E4-1123-478B-838C-FCF56EABBDFD}" name="Cliente" dataDxfId="1461"/>
    <tableColumn id="3" xr3:uid="{8B7DE8DF-8D5D-4245-A63D-EF550AE347E3}" name="Forma de Pgto" dataDxfId="1460" dataCellStyle="Moeda"/>
    <tableColumn id="4" xr3:uid="{95A77C0C-49D0-45A2-8B99-A765C4741CE7}" name="Valor Venda" dataDxfId="1459" dataCellStyle="Porcentagem"/>
    <tableColumn id="5" xr3:uid="{FF4FDD32-DA70-4723-A8FB-07B3FB04B5CD}" name="Entrada" dataDxfId="1458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A31E67F7-E266-4220-8D3F-09556FCE20B1}" name="OS" dataDxfId="1452"/>
    <tableColumn id="2" xr3:uid="{2ED39269-8DA5-4157-9E82-8C8ED0C828A3}" name="Vendedor" dataDxfId="1451"/>
    <tableColumn id="3" xr3:uid="{F550B35D-6F70-4E2E-9037-3A7DF5BB4D86}" name="CARNE" dataDxfId="145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44"/>
    <tableColumn id="2" xr3:uid="{58D563AD-1DCA-4768-9170-A0079A20A1DF}" name="Cliente" dataDxfId="1443"/>
    <tableColumn id="3" xr3:uid="{FE883FCE-942C-4DE5-904D-B12FE6C4992D}" name="Forma de Pgto" dataDxfId="1442" dataCellStyle="Moeda"/>
    <tableColumn id="4" xr3:uid="{21451B08-4DF0-4C35-AC45-94C183AA6A59}" name="Valor Parcela" dataDxfId="1441" dataCellStyle="Porcentagem"/>
    <tableColumn id="5" xr3:uid="{8F93C3AE-47D0-4E55-A038-445341804CE9}" name="Nº Parcela" dataDxfId="1440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39" headerRowBorderDxfId="1438" tableBorderDxfId="1437" totalsRowBorderDxfId="1436">
  <autoFilter ref="K34:M41" xr:uid="{1B8643D4-6AC3-4029-882A-C62E9D7CB225}"/>
  <tableColumns count="3">
    <tableColumn id="1" xr3:uid="{2687574F-C0F9-4AD1-A54B-286C1AE50D97}" name="OS" dataDxfId="1435"/>
    <tableColumn id="2" xr3:uid="{AE623FF4-38C1-45D9-B220-1CD4A553B7C1}" name="Parcelas" dataDxfId="1434"/>
    <tableColumn id="3" xr3:uid="{EEBFC521-3084-43FF-A36B-C25CE198B817}" name="Valor Total" dataDxfId="143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74" dataCellStyle="Moeda"/>
    <tableColumn id="5" xr3:uid="{4F9ED826-A0E1-4FB0-83C6-A561EA7B6750}" name="Cliente" dataDxfId="1373" dataCellStyle="Moeda"/>
    <tableColumn id="2" xr3:uid="{C2B928FE-CB2E-4271-AE3D-2FE26117248E}" name="Forma de Pgto" dataDxfId="1372" dataCellStyle="Moeda"/>
    <tableColumn id="3" xr3:uid="{CE23E3D0-4056-4DCB-83C4-5B94BD49CAAC}" name="Valor Venda" dataDxfId="1371" dataCellStyle="Porcentagem"/>
    <tableColumn id="4" xr3:uid="{1F426340-BFB9-4B9E-B988-7A195156D2F2}" name="Entrada" dataDxfId="137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4C840DC-E06E-4A51-B1BF-E769E4EC9ACB}" name="Descrição" dataDxfId="1364"/>
    <tableColumn id="2" xr3:uid="{E6DE1F07-CE97-421A-A22A-4B4270DDF46D}" name="Tipo de Pagto" dataDxfId="1363"/>
    <tableColumn id="3" xr3:uid="{D84FBA92-07C5-41FD-BBA2-2AADF245D1D6}" name="Valor" dataDxfId="136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56"/>
    <tableColumn id="2" xr3:uid="{CD77FB12-1DAA-4DAF-B42A-0357959803DD}" name="Cliente" dataDxfId="1355"/>
    <tableColumn id="3" xr3:uid="{5F4C4F5C-C920-452A-B2BA-592AD2C18723}" name="Forma de Pgto" dataDxfId="1354" dataCellStyle="Moeda"/>
    <tableColumn id="4" xr3:uid="{3930B2F0-6049-4E02-92B1-EC55A5330B2C}" name="Valor Venda" dataDxfId="1353" dataCellStyle="Porcentagem"/>
    <tableColumn id="5" xr3:uid="{82EBAE08-64CA-459E-9015-FA8F61210D87}" name="Entrada" dataDxfId="135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0565617-EB8C-486F-838C-B370E84BC8A2}" name="OS" dataDxfId="1346"/>
    <tableColumn id="2" xr3:uid="{EA20833B-67D8-48B8-B6E4-54A10D0969E8}" name="Vendedor" dataDxfId="1345"/>
    <tableColumn id="3" xr3:uid="{8B1F8993-74A4-499F-AD5E-91A6051BA219}" name="CARNE" dataDxfId="134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38"/>
    <tableColumn id="2" xr3:uid="{FB461660-91D6-4E31-81FF-113A17320EED}" name="Cliente" dataDxfId="1337"/>
    <tableColumn id="3" xr3:uid="{0A47D0C3-375B-4E2D-B5E9-2048252BC0D3}" name="Forma de Pgto" dataDxfId="1336" dataCellStyle="Moeda"/>
    <tableColumn id="4" xr3:uid="{F9C62ED5-C18D-465D-B7E4-0729BD7B3A10}" name="Valor Parcela" dataDxfId="1335" dataCellStyle="Porcentagem"/>
    <tableColumn id="5" xr3:uid="{DD9D513B-1645-445F-83E9-DC54C163BD4E}" name="Nº Parcela" dataDxfId="133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33" headerRowBorderDxfId="1332" tableBorderDxfId="1331" totalsRowBorderDxfId="1330">
  <autoFilter ref="K34:M41" xr:uid="{1B8643D4-6AC3-4029-882A-C62E9D7CB225}"/>
  <tableColumns count="3">
    <tableColumn id="1" xr3:uid="{D65B195F-C059-40E5-A4CA-FE91C5DB43DB}" name="OS" dataDxfId="1329"/>
    <tableColumn id="2" xr3:uid="{A2A023CF-C61D-419E-ABB0-2F9CEE35150B}" name="Parcelas" dataDxfId="1328"/>
    <tableColumn id="3" xr3:uid="{F7D650A1-7C3D-42D0-B133-EB49D396C64F}" name="Valor Total" dataDxfId="132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68" dataCellStyle="Moeda"/>
    <tableColumn id="5" xr3:uid="{00000000-0010-0000-0900-000005000000}" name="Cliente" dataDxfId="1267" dataCellStyle="Moeda"/>
    <tableColumn id="2" xr3:uid="{00000000-0010-0000-0900-000002000000}" name="Forma de Pgto" dataDxfId="1266" dataCellStyle="Moeda"/>
    <tableColumn id="3" xr3:uid="{00000000-0010-0000-0900-000003000000}" name="Valor Venda" dataDxfId="1265" dataCellStyle="Porcentagem"/>
    <tableColumn id="4" xr3:uid="{00000000-0010-0000-0900-000004000000}" name="Entrada" dataDxfId="1264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00000000-0010-0000-0A00-000001000000}" name="Descrição" dataDxfId="1258"/>
    <tableColumn id="2" xr3:uid="{00000000-0010-0000-0A00-000002000000}" name="Tipo de Pagto" dataDxfId="1257"/>
    <tableColumn id="3" xr3:uid="{00000000-0010-0000-0A00-000003000000}" name="Valor" dataDxfId="125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50"/>
    <tableColumn id="2" xr3:uid="{00000000-0010-0000-0B00-000002000000}" name="Cliente" dataDxfId="1249"/>
    <tableColumn id="3" xr3:uid="{00000000-0010-0000-0B00-000003000000}" name="Forma de Pgto" dataDxfId="1248" dataCellStyle="Moeda"/>
    <tableColumn id="4" xr3:uid="{00000000-0010-0000-0B00-000004000000}" name="Valor Venda" dataDxfId="1247" dataCellStyle="Porcentagem"/>
    <tableColumn id="5" xr3:uid="{00000000-0010-0000-0B00-000005000000}" name="Entrada" dataDxfId="1246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5EB8AC8-7F8E-49D1-A903-14124A5BA1B1}" name="OS" dataDxfId="1240"/>
    <tableColumn id="2" xr3:uid="{E1794679-294A-42ED-9D8F-4C0874170BFA}" name="Vendedor" dataDxfId="1239"/>
    <tableColumn id="3" xr3:uid="{CB411C23-941D-4548-984D-68460932D683}" name="CARNE" dataDxfId="123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32"/>
    <tableColumn id="2" xr3:uid="{430FE27E-32BC-43B0-BB6E-CCBAB36B2A5A}" name="Cliente" dataDxfId="1231"/>
    <tableColumn id="3" xr3:uid="{568CECCF-BE0A-4266-A7C7-9359F722EA0F}" name="Forma de Pgto" dataDxfId="1230" dataCellStyle="Moeda"/>
    <tableColumn id="4" xr3:uid="{9CF4291A-8808-43DB-9F83-A7EB463C5F4A}" name="Valor Parcela" dataDxfId="1229" dataCellStyle="Porcentagem"/>
    <tableColumn id="5" xr3:uid="{736EA743-97FA-4800-BEDD-5C07EEB144A8}" name="Nº Parcela" dataDxfId="1228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27" headerRowBorderDxfId="1226" tableBorderDxfId="1225" totalsRowBorderDxfId="1224">
  <autoFilter ref="K34:M41" xr:uid="{1B8643D4-6AC3-4029-882A-C62E9D7CB225}"/>
  <tableColumns count="3">
    <tableColumn id="1" xr3:uid="{132FEC50-51B3-4AAA-BF48-63FA39ED861C}" name="OS" dataDxfId="1223"/>
    <tableColumn id="2" xr3:uid="{11276640-1C63-48D7-BE0B-1FE7C736A1A8}" name="Parcelas" dataDxfId="1222"/>
    <tableColumn id="3" xr3:uid="{96591591-9F74-40A6-B0B9-BA6D2106107F}" name="Valor Total" dataDxfId="1221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15" dataCellStyle="Moeda"/>
    <tableColumn id="5" xr3:uid="{795F9F6D-AAE5-4C61-A646-82BF506C503E}" name="Cliente" dataDxfId="1214" dataCellStyle="Moeda"/>
    <tableColumn id="2" xr3:uid="{DD13626B-6361-410E-BFB7-9E75436163A4}" name="Forma de Pgto" dataDxfId="1213" dataCellStyle="Moeda"/>
    <tableColumn id="3" xr3:uid="{8939280F-F6DC-4F66-ADDF-59F6A387460C}" name="Valor Venda" dataDxfId="1212" dataCellStyle="Porcentagem"/>
    <tableColumn id="4" xr3:uid="{FFC83B9E-825A-4058-BFEA-DA64D7159065}" name="Entrada" dataDxfId="1211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9309A091-2326-4B68-B8C9-B31CF2D72EAF}" name="Descrição" dataDxfId="1205"/>
    <tableColumn id="2" xr3:uid="{910D89CE-506B-440F-8EB2-31633D7CAD51}" name="Tipo de Pagto" dataDxfId="1204"/>
    <tableColumn id="3" xr3:uid="{7155C391-52F1-4F4A-84B1-7BBC44A35A99}" name="Valor" dataDxfId="1203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97"/>
    <tableColumn id="2" xr3:uid="{75B601B3-9668-4B1A-ADF2-17DA487A3413}" name="Cliente" dataDxfId="1196"/>
    <tableColumn id="3" xr3:uid="{64F47935-52AF-4AE3-9262-06D7472567D7}" name="Forma de Pgto" dataDxfId="1195" dataCellStyle="Moeda"/>
    <tableColumn id="4" xr3:uid="{9257AA0D-34DE-4B38-8406-BC1F561A53B3}" name="Valor Venda" dataDxfId="1194" dataCellStyle="Porcentagem"/>
    <tableColumn id="5" xr3:uid="{4C98958F-FB27-4968-81B6-D7CC6BBD2DAE}" name="Entrada" dataDxfId="1193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92" dataDxfId="1190" headerRowBorderDxfId="1191" tableBorderDxfId="1189" totalsRowBorderDxfId="118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187"/>
    <tableColumn id="2" xr3:uid="{AEB024E2-EB15-40A6-B65B-468339937BD0}" name="Vendedor" dataDxfId="1186"/>
    <tableColumn id="3" xr3:uid="{ACDDDA2A-4116-4E25-B799-0071372A8FAA}" name="CARNE" dataDxfId="118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184" dataDxfId="1182" headerRowBorderDxfId="1183" tableBorderDxfId="1181" totalsRowBorderDxfId="1180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79"/>
    <tableColumn id="2" xr3:uid="{A06C5B3A-A28C-4563-87C4-B63635D6E7B9}" name="Cliente" dataDxfId="1178"/>
    <tableColumn id="3" xr3:uid="{4AC120F2-6F4A-41F2-87D2-680E8D6F8D96}" name="Forma de Pgto" dataDxfId="1177" dataCellStyle="Moeda"/>
    <tableColumn id="4" xr3:uid="{17DB2EA9-C13D-4AEB-AB97-B4C907D16420}" name="Valor Parcela" dataDxfId="1176" dataCellStyle="Porcentagem"/>
    <tableColumn id="5" xr3:uid="{F6E09F06-2F23-4822-A9B4-D8898604A1E0}" name="Nº Parcela" dataDxfId="1175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74" headerRowBorderDxfId="1173" tableBorderDxfId="1172" totalsRowBorderDxfId="1171">
  <autoFilter ref="K34:M41" xr:uid="{1B8643D4-6AC3-4029-882A-C62E9D7CB225}"/>
  <tableColumns count="3">
    <tableColumn id="1" xr3:uid="{D0DE8F47-9BDA-4E4F-92E6-E2404F920F1B}" name="OS" dataDxfId="1170"/>
    <tableColumn id="2" xr3:uid="{43AD47D8-F738-4D39-8B0B-E0AC217D9D32}" name="Parcelas" dataDxfId="1169"/>
    <tableColumn id="3" xr3:uid="{024ED2FF-C4EC-44DC-9129-9BE8032DC4A5}" name="Valor Total" dataDxfId="1168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62" dataCellStyle="Moeda"/>
    <tableColumn id="5" xr3:uid="{C13AA79A-76C7-4954-B055-3EC7A6A9008A}" name="Cliente" dataDxfId="1161" dataCellStyle="Moeda"/>
    <tableColumn id="2" xr3:uid="{56D92948-0431-4E11-AC7A-A6D6B6D3D15E}" name="Forma de Pgto" dataDxfId="1160" dataCellStyle="Moeda"/>
    <tableColumn id="3" xr3:uid="{3348DA9C-6AA9-49E4-8450-E8BC22BC5F6C}" name="Valor Venda" dataDxfId="1159" dataCellStyle="Porcentagem"/>
    <tableColumn id="4" xr3:uid="{A03B4BE2-2B4F-4512-98ED-45C3754F4D2A}" name="Entrada" dataDxfId="1158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2700D0CD-8906-41BB-B51F-AAECD67A05FE}" name="Descrição" dataDxfId="1152"/>
    <tableColumn id="2" xr3:uid="{00E5FAC2-C7E2-44A6-AA64-460782F41E47}" name="Tipo de Pagto" dataDxfId="1151"/>
    <tableColumn id="3" xr3:uid="{70D30678-03EC-4DC1-BB28-EBD756D1976D}" name="Valor" dataDxfId="115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44"/>
    <tableColumn id="2" xr3:uid="{59310BF7-C6CA-49AF-8D7C-32023868A553}" name="Cliente" dataDxfId="1143"/>
    <tableColumn id="3" xr3:uid="{C13BE163-BA03-41E0-A121-27164C58ABA3}" name="Forma de Pgto" dataDxfId="1142" dataCellStyle="Moeda"/>
    <tableColumn id="4" xr3:uid="{E9797482-8A01-4C8B-8B66-47DE3D38D78F}" name="Valor Venda" dataDxfId="1141" dataCellStyle="Porcentagem"/>
    <tableColumn id="5" xr3:uid="{864D3F67-D199-48BA-8E16-3EFBAC4AF8A2}" name="Entrada" dataDxfId="1140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92200504-6651-4517-B155-4C75687BBC1E}" name="OS" dataDxfId="1134"/>
    <tableColumn id="2" xr3:uid="{BE1934F5-5D06-41D6-9394-C4D383C8CD33}" name="Vendedor" dataDxfId="1133"/>
    <tableColumn id="3" xr3:uid="{F504E9B2-856C-4C10-AA72-D7A7B035B330}" name="CARNE" dataDxfId="1132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26"/>
    <tableColumn id="2" xr3:uid="{95B09C40-3752-47D7-9085-F5B42BC487DA}" name="Cliente" dataDxfId="1125"/>
    <tableColumn id="3" xr3:uid="{1A0B311C-327A-4C44-9D04-81730B41B9A2}" name="Forma de Pgto" dataDxfId="1124" dataCellStyle="Moeda"/>
    <tableColumn id="4" xr3:uid="{9A802666-F9A1-4EB6-824C-ECF60066044F}" name="Valor Parcela" dataDxfId="1123" dataCellStyle="Porcentagem"/>
    <tableColumn id="5" xr3:uid="{1CC0AF26-B599-4D4F-8BD5-BBE76DBCE085}" name="Nº Parcela" dataDxfId="1122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21" headerRowBorderDxfId="1120" tableBorderDxfId="1119" totalsRowBorderDxfId="1118">
  <autoFilter ref="K34:M41" xr:uid="{1B8643D4-6AC3-4029-882A-C62E9D7CB225}"/>
  <tableColumns count="3">
    <tableColumn id="1" xr3:uid="{D712257D-E310-4A34-972E-E8E3502C0E07}" name="OS" dataDxfId="1117"/>
    <tableColumn id="2" xr3:uid="{DE78D123-6817-4646-8C08-920B2F11524F}" name="Parcelas" dataDxfId="1116"/>
    <tableColumn id="3" xr3:uid="{5BFF5A3E-02FE-410E-B1DB-45BB5A31FC42}" name="Valor Total" dataDxfId="1115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09" dataCellStyle="Moeda"/>
    <tableColumn id="5" xr3:uid="{A57F8BDB-02F9-493C-AD6D-F47611C369D5}" name="Cliente" dataDxfId="1108" dataCellStyle="Moeda"/>
    <tableColumn id="2" xr3:uid="{3BF4EA26-026F-42E1-9B28-3FCC68B54E9F}" name="Forma de Pgto" dataDxfId="1107" dataCellStyle="Moeda"/>
    <tableColumn id="3" xr3:uid="{FD063076-8462-4774-B716-34AAD1738449}" name="Valor Venda" dataDxfId="1106" dataCellStyle="Porcentagem"/>
    <tableColumn id="4" xr3:uid="{690445E0-65B1-450A-A6D3-179070107086}" name="Entrada" dataDxfId="1105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5D510C76-887A-4F0A-A2F3-BD55732E9E85}" name="Descrição" dataDxfId="1099"/>
    <tableColumn id="2" xr3:uid="{F6C1F4A7-28F4-48F8-905E-708FA62EB574}" name="Tipo de Pagto" dataDxfId="1098"/>
    <tableColumn id="3" xr3:uid="{E62B0002-F6CD-4351-A9EA-673FC7C97B03}" name="Valor" dataDxfId="1097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096" dataDxfId="1094" headerRowBorderDxfId="1095" tableBorderDxfId="1093" totalsRowBorderDxfId="1092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091"/>
    <tableColumn id="2" xr3:uid="{822B50C3-46B7-46F0-8829-5293CCAFB21E}" name="Cliente" dataDxfId="1090"/>
    <tableColumn id="3" xr3:uid="{F2A36AB3-30D6-4C43-A466-18FF147EE075}" name="Forma de Pgto" dataDxfId="1089" dataCellStyle="Moeda"/>
    <tableColumn id="4" xr3:uid="{AD829CF8-2271-44F1-A1F1-4928D83ED658}" name="Valor Venda" dataDxfId="1088" dataCellStyle="Porcentagem"/>
    <tableColumn id="5" xr3:uid="{7973C843-3740-4AE2-931D-89DE845BA145}" name="Entrada" dataDxfId="1087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404BEA27-9F48-40AC-AF84-177E7CA2ADEC}" name="OS" dataDxfId="1081"/>
    <tableColumn id="2" xr3:uid="{BC07784A-25E9-4C57-B0FF-1E3D183BCD37}" name="Vendedor" dataDxfId="1080"/>
    <tableColumn id="3" xr3:uid="{EFFF7860-5B35-466B-BA53-4485DC02FB15}" name="CARNE" dataDxfId="1079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1" totalsRowShown="0" headerRowDxfId="1078" dataDxfId="1076" headerRowBorderDxfId="1077" tableBorderDxfId="1075" totalsRowBorderDxfId="1074">
  <autoFilter ref="E35:I41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073"/>
    <tableColumn id="2" xr3:uid="{A8D4686B-F05E-4D96-BDB9-FD354C9E28B8}" name="Cliente" dataDxfId="1072"/>
    <tableColumn id="3" xr3:uid="{0FB871EC-4505-4E7C-A162-0EFDB16AB8E5}" name="Forma de Pgto" dataDxfId="1071" dataCellStyle="Moeda"/>
    <tableColumn id="4" xr3:uid="{41436228-3E61-4F7F-80EF-627B1794150B}" name="Valor Parcela" dataDxfId="1070" dataCellStyle="Porcentagem"/>
    <tableColumn id="5" xr3:uid="{9C580DC7-08E3-4AD7-B73C-C1AA4298633B}" name="Nº Parcela" dataDxfId="1069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68" headerRowBorderDxfId="1067" tableBorderDxfId="1066" totalsRowBorderDxfId="1065">
  <autoFilter ref="K34:M41" xr:uid="{1B8643D4-6AC3-4029-882A-C62E9D7CB225}"/>
  <tableColumns count="3">
    <tableColumn id="1" xr3:uid="{6E774D52-7DFE-4ED1-9F2F-47B5899CBAC1}" name="OS" dataDxfId="1064"/>
    <tableColumn id="2" xr3:uid="{39CE62CA-537C-4DF4-B8D5-281ED0EE57C3}" name="Parcelas" dataDxfId="1063"/>
    <tableColumn id="3" xr3:uid="{830AFF05-9BCF-488F-97F3-8D4378DE4DCB}" name="Valor Total" dataDxfId="1062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56" dataCellStyle="Moeda"/>
    <tableColumn id="5" xr3:uid="{CE0B3E90-9420-4A96-9195-72088311874E}" name="Cliente" dataDxfId="1055" dataCellStyle="Moeda"/>
    <tableColumn id="2" xr3:uid="{3EF1B45D-588D-4066-8ACF-697863B5F984}" name="Forma de Pgto" dataDxfId="1054" dataCellStyle="Moeda"/>
    <tableColumn id="3" xr3:uid="{9ADBAC7B-B04C-4E2B-9C83-E18200698CCE}" name="Valor Venda" dataDxfId="1053" dataCellStyle="Porcentagem"/>
    <tableColumn id="4" xr3:uid="{16823673-1F5B-4F46-A676-8665CF4D02BA}" name="Entrada" dataDxfId="1052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A02811B4-F6FA-4EDA-94FE-5EDFE6293B48}" name="Descrição" dataDxfId="1046"/>
    <tableColumn id="2" xr3:uid="{39EAD4CE-DDFA-4948-8B1E-10589BABDD84}" name="Tipo de Pagto" dataDxfId="1045"/>
    <tableColumn id="3" xr3:uid="{30C3BD81-38C9-4C67-BF45-044DFDDD7A0B}" name="Valor" dataDxfId="1044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38"/>
    <tableColumn id="2" xr3:uid="{BE6E3444-490A-4F75-BE63-234EB84D04F7}" name="Cliente" dataDxfId="1037"/>
    <tableColumn id="3" xr3:uid="{868472E6-6C45-4AEC-9672-E559CFA15EA7}" name="Forma de Pgto" dataDxfId="1036" dataCellStyle="Moeda"/>
    <tableColumn id="4" xr3:uid="{DB2D0AA9-9B1E-4A35-B9B2-8B1052EAD782}" name="Valor Venda" dataDxfId="1035" dataCellStyle="Porcentagem"/>
    <tableColumn id="5" xr3:uid="{C23CEEDF-415E-4EFC-ACF7-2661157A84C3}" name="Entrada" dataDxfId="1034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33" dataDxfId="1031" headerRowBorderDxfId="1032" tableBorderDxfId="1030" totalsRowBorderDxfId="10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28"/>
    <tableColumn id="2" xr3:uid="{13D709D4-8F81-4D58-95F2-22F1C686CB18}" name="Vendedor" dataDxfId="1027"/>
    <tableColumn id="3" xr3:uid="{92130A71-CEC8-4371-B6C9-DA29C0189A09}" name="CARNE" dataDxfId="102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20"/>
    <tableColumn id="2" xr3:uid="{7652DD36-D535-400C-856B-02CB62C18176}" name="Cliente" dataDxfId="1019"/>
    <tableColumn id="3" xr3:uid="{129618E1-FDB4-497A-9DB0-29AC7143AF10}" name="Forma de Pgto" dataDxfId="1018" dataCellStyle="Moeda"/>
    <tableColumn id="4" xr3:uid="{EC69F906-8001-4D12-8ED6-D597AE23E936}" name="Valor Parcela" dataDxfId="1017" dataCellStyle="Porcentagem"/>
    <tableColumn id="5" xr3:uid="{65040BF1-55E0-4DD6-926F-3F0324D47077}" name="Nº Parcela" dataDxfId="1016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15" headerRowBorderDxfId="1014" tableBorderDxfId="1013" totalsRowBorderDxfId="1012">
  <autoFilter ref="K34:M41" xr:uid="{1B8643D4-6AC3-4029-882A-C62E9D7CB225}"/>
  <tableColumns count="3">
    <tableColumn id="1" xr3:uid="{710179D9-1888-45A0-96B5-C6E1151FFFF0}" name="OS" dataDxfId="1011"/>
    <tableColumn id="2" xr3:uid="{D9D130F4-6D87-4655-90D8-AF3976107C2A}" name="Parcelas" dataDxfId="1010"/>
    <tableColumn id="3" xr3:uid="{07DCBA20-7E86-4F99-AED4-2BDCD854B71C}" name="Valor Total" dataDxfId="100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03" dataCellStyle="Moeda"/>
    <tableColumn id="5" xr3:uid="{C388448A-992D-4C2D-8BB2-14D587C7E260}" name="Cliente" dataDxfId="1002" dataCellStyle="Moeda"/>
    <tableColumn id="2" xr3:uid="{C66BE185-63F5-4991-91CC-2661F40F891F}" name="Forma de Pgto" dataDxfId="1001" dataCellStyle="Moeda"/>
    <tableColumn id="3" xr3:uid="{C86C165C-F04B-4F8A-9769-AE38C03F025E}" name="Valor Venda" dataDxfId="1000" dataCellStyle="Porcentagem"/>
    <tableColumn id="4" xr3:uid="{C11C99C9-E646-4417-8698-61AFF55AB567}" name="Entrada" dataDxfId="999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696BC9EF-69BB-4D0D-96DF-B836B5771C08}" name="Descrição" dataDxfId="993"/>
    <tableColumn id="2" xr3:uid="{4F12E940-09E4-4E51-A2A0-CEF5523233E2}" name="Tipo de Pagto" dataDxfId="992"/>
    <tableColumn id="3" xr3:uid="{329E2ABB-99D4-47D1-8CEB-C3F4DE69A1C8}" name="Valor" dataDxfId="991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85"/>
    <tableColumn id="2" xr3:uid="{4745164B-5E29-4C65-87CA-C8C1B31B8272}" name="Cliente" dataDxfId="984"/>
    <tableColumn id="3" xr3:uid="{69D7D490-36CA-4F69-BF76-2ADB810B4F37}" name="Forma de Pgto" dataDxfId="983" dataCellStyle="Moeda"/>
    <tableColumn id="4" xr3:uid="{9B6B365B-42F7-499F-B705-B8F5196F8192}" name="Valor Venda" dataDxfId="982" dataCellStyle="Porcentagem"/>
    <tableColumn id="5" xr3:uid="{7C88B9A2-2920-4AD8-AC1F-7417F3FA8282}" name="Entrada" dataDxfId="981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5740FA63-223C-47B7-8842-178B003DB4BC}" name="OS" dataDxfId="975"/>
    <tableColumn id="2" xr3:uid="{5CCC3C75-C80E-44BB-BC37-80F487481DDA}" name="Vendedor" dataDxfId="974"/>
    <tableColumn id="3" xr3:uid="{585175B8-B982-429E-9344-163CE2687302}" name="CARNE" dataDxfId="973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67"/>
    <tableColumn id="2" xr3:uid="{2540FF22-68AB-4A04-B72D-DDBC8B064A8D}" name="Cliente" dataDxfId="966"/>
    <tableColumn id="3" xr3:uid="{A7CB1680-9636-42C6-8AD9-F68C54BBCE0A}" name="Forma de Pgto" dataDxfId="965" dataCellStyle="Moeda"/>
    <tableColumn id="4" xr3:uid="{727C37A8-450C-4D57-A2C9-396F29733C0A}" name="Valor Parcela" dataDxfId="964" dataCellStyle="Porcentagem"/>
    <tableColumn id="5" xr3:uid="{4B27DCBF-BD8C-46A2-BC12-DE369C458E8A}" name="Nº Parcela" dataDxfId="963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62" headerRowBorderDxfId="961" tableBorderDxfId="960" totalsRowBorderDxfId="959">
  <autoFilter ref="K34:M41" xr:uid="{1B8643D4-6AC3-4029-882A-C62E9D7CB225}"/>
  <tableColumns count="3">
    <tableColumn id="1" xr3:uid="{60FAE849-4EC1-49E6-990F-8A43377EE6C3}" name="OS" dataDxfId="958"/>
    <tableColumn id="2" xr3:uid="{B3127003-34D7-49FE-AFFC-7FA256F8BC3F}" name="Parcelas" dataDxfId="957"/>
    <tableColumn id="3" xr3:uid="{412AC98E-5FB9-4C3C-9FBF-2EBE1631A397}" name="Valor Total" dataDxfId="956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50" dataCellStyle="Moeda"/>
    <tableColumn id="5" xr3:uid="{A1AF61B3-EFAB-450A-92B2-38E357233CD5}" name="Cliente" dataDxfId="949" dataCellStyle="Moeda"/>
    <tableColumn id="2" xr3:uid="{DF277353-579D-439F-85C3-76DEACDE7A39}" name="Forma de Pgto" dataDxfId="948" dataCellStyle="Moeda"/>
    <tableColumn id="3" xr3:uid="{7164D8F5-C0CB-47F7-BD16-B590E7D85EDB}" name="Valor Venda" dataDxfId="947" dataCellStyle="Porcentagem"/>
    <tableColumn id="4" xr3:uid="{065B051D-7958-4E7D-972D-DDB0E8E7D052}" name="Entrada" dataDxfId="946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865498B1-F05E-46C9-B6C1-CCD85D9306C6}" name="Descrição" dataDxfId="940"/>
    <tableColumn id="2" xr3:uid="{37F7AC6A-A7CD-43FB-89B1-5E904BAC1EBD}" name="Tipo de Pagto" dataDxfId="939"/>
    <tableColumn id="3" xr3:uid="{A014E45A-B38A-47C2-A582-411CA2B495EE}" name="Valor" dataDxfId="938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32"/>
    <tableColumn id="2" xr3:uid="{BC7B7FC1-CF4C-42C2-ABD3-DFEEA234B02B}" name="Cliente" dataDxfId="931"/>
    <tableColumn id="3" xr3:uid="{67F17557-E38E-4865-93F5-DCEF4A7ED2C6}" name="Forma de Pgto" dataDxfId="930" dataCellStyle="Moeda"/>
    <tableColumn id="4" xr3:uid="{D2C10329-9C1A-4D0D-BC74-3A320E9B6593}" name="Valor Venda" dataDxfId="929" dataCellStyle="Porcentagem"/>
    <tableColumn id="5" xr3:uid="{82810E21-D152-4A22-94D5-0A28C60F4849}" name="Entrada" dataDxfId="928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7A4CC637-3546-4D1B-9D86-75C6034079BF}" name="OS" dataDxfId="922"/>
    <tableColumn id="2" xr3:uid="{CEB52B1C-2642-45A1-A1EB-26029A9B5402}" name="Vendedor" dataDxfId="921"/>
    <tableColumn id="3" xr3:uid="{8C88CFEB-7155-49BD-9D63-1FCC9096735E}" name="CARNE" dataDxfId="920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14"/>
    <tableColumn id="2" xr3:uid="{7C3577CA-FC44-4DC9-9002-D4EA74DFF73F}" name="Cliente" dataDxfId="913"/>
    <tableColumn id="3" xr3:uid="{77D25058-5D06-4E37-8746-BF184DDEEA81}" name="Forma de Pgto" dataDxfId="912" dataCellStyle="Moeda"/>
    <tableColumn id="4" xr3:uid="{5EDAFC3F-F478-449C-990C-45300A2C66DF}" name="Valor Parcela" dataDxfId="911" dataCellStyle="Porcentagem"/>
    <tableColumn id="5" xr3:uid="{5DBCC805-C046-4526-8886-13334D431CB2}" name="Nº Parcela" dataDxfId="910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09" headerRowBorderDxfId="908" tableBorderDxfId="907" totalsRowBorderDxfId="906">
  <autoFilter ref="K34:M41" xr:uid="{1B8643D4-6AC3-4029-882A-C62E9D7CB225}"/>
  <tableColumns count="3">
    <tableColumn id="1" xr3:uid="{FDFEB034-D746-488E-9611-5C5421DF9812}" name="OS" dataDxfId="905"/>
    <tableColumn id="2" xr3:uid="{AD1C8A9C-91DA-4D2C-A438-9B8648A5521B}" name="Parcelas" dataDxfId="904"/>
    <tableColumn id="3" xr3:uid="{577D3B3F-3A18-4FE3-8E0F-E82C9012821F}" name="Valor Total" dataDxfId="903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97" dataCellStyle="Moeda"/>
    <tableColumn id="5" xr3:uid="{53B9FE46-E769-466F-9757-A5C752203582}" name="Cliente" dataDxfId="896" dataCellStyle="Moeda"/>
    <tableColumn id="2" xr3:uid="{9AFD5C78-132A-4E21-96EC-75882307A334}" name="Forma de Pgto" dataDxfId="895" dataCellStyle="Moeda"/>
    <tableColumn id="3" xr3:uid="{0B7791DE-BC7F-4EA7-87CC-E8588E2F6D00}" name="Valor Venda" dataDxfId="894" dataCellStyle="Porcentagem"/>
    <tableColumn id="4" xr3:uid="{EDACC2B7-28DE-40D1-BC9D-356B5D64934D}" name="Entrada" dataDxfId="893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F638F61A-E4B9-4300-BD8D-C0A6A3D7A8E2}" name="Descrição" dataDxfId="887"/>
    <tableColumn id="2" xr3:uid="{9DC04330-37E5-4813-8F2D-4BAA554527A5}" name="Tipo de Pagto" dataDxfId="886"/>
    <tableColumn id="3" xr3:uid="{799A991A-3D2C-4EC1-A2D8-A1F3023DD9AF}" name="Valor" dataDxfId="885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79"/>
    <tableColumn id="2" xr3:uid="{2FD43CA2-90CA-449B-821F-205F1748177C}" name="Cliente" dataDxfId="878"/>
    <tableColumn id="3" xr3:uid="{A5640B64-FD50-49A5-B305-E61D9280F57A}" name="Forma de Pgto" dataDxfId="877" dataCellStyle="Moeda"/>
    <tableColumn id="4" xr3:uid="{26AD2EE8-2400-4B07-A340-99B1BA546B01}" name="Valor Venda" dataDxfId="876" dataCellStyle="Porcentagem"/>
    <tableColumn id="5" xr3:uid="{DF786930-B464-48C0-92C5-A18D129572D3}" name="Entrada" dataDxfId="875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686E8A3B-2CC1-443E-B3F0-07F1D6AF8C19}" name="OS" dataDxfId="869"/>
    <tableColumn id="2" xr3:uid="{1250D1EA-82EB-4EB4-AEDB-99799165C996}" name="Vendedor" dataDxfId="868"/>
    <tableColumn id="3" xr3:uid="{F6A6C0FE-3106-4929-AC63-C2A418BAD9A1}" name="CARNE" dataDxfId="867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61"/>
    <tableColumn id="2" xr3:uid="{6946C657-632E-4A47-A04C-EBD987018798}" name="Cliente" dataDxfId="860"/>
    <tableColumn id="3" xr3:uid="{11747110-E63B-4D92-AE0D-F744DD494204}" name="Forma de Pgto" dataDxfId="859" dataCellStyle="Moeda"/>
    <tableColumn id="4" xr3:uid="{7637A14A-3C11-482C-A77B-09489718F039}" name="Valor Parcela" dataDxfId="858" dataCellStyle="Porcentagem"/>
    <tableColumn id="5" xr3:uid="{E03E863B-EAD4-4137-9B26-2CA0EAC2F09E}" name="Nº Parcela" dataDxfId="857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56" headerRowBorderDxfId="855" tableBorderDxfId="854" totalsRowBorderDxfId="853">
  <autoFilter ref="K34:M41" xr:uid="{1B8643D4-6AC3-4029-882A-C62E9D7CB225}"/>
  <tableColumns count="3">
    <tableColumn id="1" xr3:uid="{6F6F5FBA-037D-4F8B-8355-AC821A55F803}" name="OS" dataDxfId="852"/>
    <tableColumn id="2" xr3:uid="{BEED8472-6636-42D9-A60A-E43C842B7D8F}" name="Parcelas" dataDxfId="851"/>
    <tableColumn id="3" xr3:uid="{0CE64280-F6A9-46AC-8696-F227912F6552}" name="Valor Total" dataDxfId="85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44" dataCellStyle="Moeda"/>
    <tableColumn id="5" xr3:uid="{864A4F89-382F-4099-9D59-467A7AB12940}" name="Cliente" dataDxfId="843" dataCellStyle="Moeda"/>
    <tableColumn id="2" xr3:uid="{529253EE-0917-4E7A-AA5F-14D2DCAD4080}" name="Forma de Pgto" dataDxfId="842" dataCellStyle="Moeda"/>
    <tableColumn id="3" xr3:uid="{7A07E6EC-5721-4AB5-B7BB-F8D16153B615}" name="Valor Venda" dataDxfId="841" dataCellStyle="Porcentagem"/>
    <tableColumn id="4" xr3:uid="{E3569DCA-7BA5-47A8-9C20-6FB2B553052E}" name="Entrada" dataDxfId="84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95CF041F-F7B4-4974-9B76-66A5C7C3CF1E}" name="Descrição" dataDxfId="834"/>
    <tableColumn id="2" xr3:uid="{010F2147-2B02-4E80-9D4E-E9E6110BD535}" name="Tipo de Pagto" dataDxfId="833"/>
    <tableColumn id="3" xr3:uid="{667C80AD-481C-4689-8F6A-2426991759A7}" name="Valor" dataDxfId="83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26"/>
    <tableColumn id="2" xr3:uid="{A401C727-3942-4BDF-BC32-5D789E1F6979}" name="Cliente" dataDxfId="825"/>
    <tableColumn id="3" xr3:uid="{29237CE2-AC3D-477F-ABA7-60B5DA6F8120}" name="Forma de Pgto" dataDxfId="824" dataCellStyle="Moeda"/>
    <tableColumn id="4" xr3:uid="{A39B1F5A-49E3-45B8-BCA8-E3252A43E2CC}" name="Valor Venda" dataDxfId="823" dataCellStyle="Porcentagem"/>
    <tableColumn id="5" xr3:uid="{A1809E96-D43C-48CA-B4B0-F8952BB21709}" name="Entrada" dataDxfId="82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16"/>
    <tableColumn id="2" xr3:uid="{61C3945B-58EB-4D02-A420-14D13F69B1FD}" name="Vendedor" dataDxfId="815"/>
    <tableColumn id="3" xr3:uid="{310A696D-E474-4609-8CAC-92E3BC19A517}" name="CARNE" dataDxfId="81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08"/>
    <tableColumn id="2" xr3:uid="{A7114117-5F41-4611-B14C-A3B2F7C35961}" name="Cliente" dataDxfId="807"/>
    <tableColumn id="3" xr3:uid="{3B2F2924-60FC-459E-BAAE-2D26D316360F}" name="Forma de Pgto" dataDxfId="806" dataCellStyle="Moeda"/>
    <tableColumn id="4" xr3:uid="{8C86BF8B-36B7-46FA-B050-2F1437A14710}" name="Valor Parcela" dataDxfId="805" dataCellStyle="Porcentagem"/>
    <tableColumn id="5" xr3:uid="{C429DF1A-E6B0-43DD-A949-A1EBA6DBEC04}" name="Nº Parcela" dataDxfId="80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03" headerRowBorderDxfId="802" tableBorderDxfId="801" totalsRowBorderDxfId="800">
  <autoFilter ref="K34:M41" xr:uid="{1B8643D4-6AC3-4029-882A-C62E9D7CB225}"/>
  <tableColumns count="3">
    <tableColumn id="1" xr3:uid="{182484ED-66B8-43D1-B168-BDEB5996673F}" name="OS" dataDxfId="799"/>
    <tableColumn id="2" xr3:uid="{FC47BB11-B6D3-4928-BFCD-BDAC4B2BDD2F}" name="Parcelas" dataDxfId="798"/>
    <tableColumn id="3" xr3:uid="{F7E0E4E8-A2A1-4513-B1F5-B98008299FD0}" name="Valor Total" dataDxfId="797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38" dataCellStyle="Moeda"/>
    <tableColumn id="5" xr3:uid="{08C272CC-0220-47BB-9263-1AA910D9829C}" name="Cliente" dataDxfId="737" dataCellStyle="Moeda"/>
    <tableColumn id="2" xr3:uid="{DF276F1F-7FCA-4CE9-AD90-5340B6E688D4}" name="Forma de Pgto" dataDxfId="736" dataCellStyle="Moeda"/>
    <tableColumn id="3" xr3:uid="{CF6FE509-8C51-4621-87DF-AAD8645E20D4}" name="Valor Venda" dataDxfId="735" dataCellStyle="Porcentagem"/>
    <tableColumn id="4" xr3:uid="{5AB6BADB-DBB7-45C0-89E8-2C836C831FCF}" name="Entrada" dataDxfId="734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8CE76670-7409-454F-9B3A-4BD739F5C5E3}" name="Descrição" dataDxfId="728"/>
    <tableColumn id="2" xr3:uid="{B2BAF2DB-A6EF-41C6-8A5D-66027E15C8F8}" name="Tipo de Pagto" dataDxfId="727"/>
    <tableColumn id="3" xr3:uid="{99CFD3BD-FC58-49DA-AC21-ACD3EE40336E}" name="Valor" dataDxfId="726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20"/>
    <tableColumn id="2" xr3:uid="{B886F79B-BD9C-476A-88F8-CB3F80E42FD0}" name="Cliente" dataDxfId="719"/>
    <tableColumn id="3" xr3:uid="{78D9CA4E-E9E8-4359-8144-996DE0EE7A64}" name="Forma de Pgto" dataDxfId="718" dataCellStyle="Moeda"/>
    <tableColumn id="4" xr3:uid="{F327BA72-0013-44A1-B3CE-07FACF46CAC8}" name="Valor Venda" dataDxfId="717" dataCellStyle="Porcentagem"/>
    <tableColumn id="5" xr3:uid="{20494810-9085-4087-A73E-D3FE8DC5C40D}" name="Entrada" dataDxfId="716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40D1E49B-6CB3-409E-AFC1-7315BAF42BBF}" name="OS" dataDxfId="710"/>
    <tableColumn id="2" xr3:uid="{4C8709E7-DDF3-475B-9A19-42E8B9FC587D}" name="Vendedor" dataDxfId="709"/>
    <tableColumn id="3" xr3:uid="{185D4DF1-07D8-4494-B6E4-5B4CFC4E2B4E}" name="CARNE" dataDxfId="708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02"/>
    <tableColumn id="2" xr3:uid="{CA06119C-2085-4F7F-B293-65E2AF15EEE5}" name="Cliente" dataDxfId="701"/>
    <tableColumn id="3" xr3:uid="{BF529E56-33D1-40B5-8E7B-EFBAB59D2A71}" name="Forma de Pgto" dataDxfId="700" dataCellStyle="Moeda"/>
    <tableColumn id="4" xr3:uid="{66CAC967-C216-41AB-BBFE-D7EC8E60B5DB}" name="Valor Parcela" dataDxfId="699" dataCellStyle="Porcentagem"/>
    <tableColumn id="5" xr3:uid="{684E478E-5460-400B-8F1B-2956E3BF42E8}" name="Nº Parcela" dataDxfId="698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97" headerRowBorderDxfId="696" tableBorderDxfId="695" totalsRowBorderDxfId="694">
  <autoFilter ref="K34:M41" xr:uid="{1B8643D4-6AC3-4029-882A-C62E9D7CB225}"/>
  <tableColumns count="3">
    <tableColumn id="1" xr3:uid="{3DD44433-DB26-4FDD-8D11-D1C35C6FECEB}" name="OS" dataDxfId="693"/>
    <tableColumn id="2" xr3:uid="{A9DC5AE8-407E-40E2-8AD6-B02FE1A5CF20}" name="Parcelas" dataDxfId="692"/>
    <tableColumn id="3" xr3:uid="{6A850C65-FE9A-4796-B920-651ED5594439}" name="Valor Total" dataDxfId="691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690" dataDxfId="688" headerRowBorderDxfId="689" tableBorderDxfId="687" totalsRowBorderDxfId="686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85" dataCellStyle="Moeda"/>
    <tableColumn id="5" xr3:uid="{60E6A65C-186D-4764-A3E8-74F5C0B0AFC1}" name="Cliente" dataDxfId="684" dataCellStyle="Moeda"/>
    <tableColumn id="2" xr3:uid="{22FA520F-5DA7-46FD-9861-DF942B6D91AB}" name="Forma de Pgto" dataDxfId="683" dataCellStyle="Moeda"/>
    <tableColumn id="3" xr3:uid="{7DEE868C-EA7D-401A-A3DF-4CC64A44467F}" name="Valor Venda" dataDxfId="682" dataCellStyle="Porcentagem"/>
    <tableColumn id="4" xr3:uid="{720D25ED-5FF4-421F-94C6-24275CF94733}" name="Entrada" dataDxfId="681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2FBA0522-04E5-4ED5-94F6-52B232AF2373}" name="Descrição" dataDxfId="675"/>
    <tableColumn id="2" xr3:uid="{DB3FC5DE-C5F6-4B07-A662-D19BD76E91F6}" name="Tipo de Pagto" dataDxfId="674"/>
    <tableColumn id="3" xr3:uid="{A2799F30-0033-4E72-9108-ABF645A8DCD3}" name="Valor" dataDxfId="673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67"/>
    <tableColumn id="2" xr3:uid="{6DECDDC0-CF3A-4677-94C4-62618488FE89}" name="Cliente" dataDxfId="666"/>
    <tableColumn id="3" xr3:uid="{D40EA3F2-0782-4C3D-A060-4DCC1DCF2881}" name="Forma de Pgto" dataDxfId="665" dataCellStyle="Moeda"/>
    <tableColumn id="4" xr3:uid="{A527DD67-780C-4EE1-A7AE-0831114EA80A}" name="Valor Venda" dataDxfId="664" dataCellStyle="Porcentagem"/>
    <tableColumn id="5" xr3:uid="{4082F19A-5570-4E9D-B250-BCD24B16165E}" name="Entrada" dataDxfId="663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CF4CC083-8415-4A42-9102-69414AAB96C8}" name="OS" dataDxfId="657"/>
    <tableColumn id="2" xr3:uid="{AFF5A585-6EEA-427D-B49B-A553763AA94C}" name="Vendedor" dataDxfId="656"/>
    <tableColumn id="3" xr3:uid="{2D8D088A-4AB0-487F-929A-89D197884938}" name="CARNE" dataDxfId="655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649"/>
    <tableColumn id="2" xr3:uid="{71667114-B8E0-4FEE-B3C4-B23C231E71C9}" name="Cliente" dataDxfId="648"/>
    <tableColumn id="3" xr3:uid="{413E4F46-D41F-4D0A-8403-3244651C22ED}" name="Forma de Pgto" dataDxfId="647" dataCellStyle="Moeda"/>
    <tableColumn id="4" xr3:uid="{695A7396-BEC7-498E-8F8D-5C11C17422D0}" name="Valor Parcela" dataDxfId="646" dataCellStyle="Porcentagem"/>
    <tableColumn id="5" xr3:uid="{7D0562F5-5DF1-49C0-BE96-CBD4632BD577}" name="Nº Parcela" dataDxfId="645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44" headerRowBorderDxfId="643" tableBorderDxfId="642" totalsRowBorderDxfId="641">
  <autoFilter ref="K34:M41" xr:uid="{1B8643D4-6AC3-4029-882A-C62E9D7CB225}"/>
  <tableColumns count="3">
    <tableColumn id="1" xr3:uid="{468A4151-2B13-428F-B7B3-DD7850FB056D}" name="OS" dataDxfId="640"/>
    <tableColumn id="2" xr3:uid="{0E5A1628-3806-4E80-9B5C-6CCB43ED7A95}" name="Parcelas" dataDxfId="639"/>
    <tableColumn id="3" xr3:uid="{94527026-C4E7-48B1-ADEC-FAE98EDE2DF7}" name="Valor Total" dataDxfId="638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32" dataCellStyle="Moeda"/>
    <tableColumn id="5" xr3:uid="{B476382F-8FC0-4C4B-904B-9CEC2FD1737F}" name="Cliente" dataDxfId="631" dataCellStyle="Moeda"/>
    <tableColumn id="2" xr3:uid="{9347CB1E-8ECB-4789-B3B3-F0676BCEF308}" name="Forma de Pgto" dataDxfId="630" dataCellStyle="Moeda"/>
    <tableColumn id="3" xr3:uid="{95E7B651-F8E7-4260-A9CD-31524C1AF920}" name="Valor Venda" dataDxfId="629" dataCellStyle="Porcentagem"/>
    <tableColumn id="4" xr3:uid="{E1F36979-874B-46CF-A70F-6769CE2B4972}" name="Entrada" dataDxfId="628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DAF9728-D097-46AC-AFA1-2A7D5A636197}" name="Descrição" dataDxfId="622"/>
    <tableColumn id="2" xr3:uid="{7E14BBAB-F602-43F7-BA75-66182DDDFB5A}" name="Tipo de Pagto" dataDxfId="621"/>
    <tableColumn id="3" xr3:uid="{807C6654-E3F5-4B45-B712-93A22255EE13}" name="Valor" dataDxfId="620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14"/>
    <tableColumn id="2" xr3:uid="{DA2D4CE2-3235-4592-824A-D21C9FEE1324}" name="Cliente" dataDxfId="613"/>
    <tableColumn id="3" xr3:uid="{78436E8E-423C-4634-A0AC-78283D9649B2}" name="Forma de Pgto" dataDxfId="612" dataCellStyle="Moeda"/>
    <tableColumn id="4" xr3:uid="{9B5C140A-AEF6-451D-B599-1B3C00239BF3}" name="Valor Venda" dataDxfId="611" dataCellStyle="Porcentagem"/>
    <tableColumn id="5" xr3:uid="{91C4587E-3C3A-4A8E-B0CF-84D9FBCB29D6}" name="Entrada" dataDxfId="610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09" dataDxfId="607" headerRowBorderDxfId="608" tableBorderDxfId="606" totalsRowBorderDxfId="60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04"/>
    <tableColumn id="2" xr3:uid="{8A5D657B-8F60-4746-999B-0FA3393A39E9}" name="Vendedor" dataDxfId="603"/>
    <tableColumn id="3" xr3:uid="{496CB9CC-67BF-4541-A109-5F5FF565C716}" name="CARNE" dataDxfId="602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96"/>
    <tableColumn id="2" xr3:uid="{B3362A08-206B-41A8-970B-34C6B8B4C7AA}" name="Cliente" dataDxfId="595"/>
    <tableColumn id="3" xr3:uid="{718A6844-98C1-4F96-8966-19162734BEB9}" name="Forma de Pgto" dataDxfId="594" dataCellStyle="Moeda"/>
    <tableColumn id="4" xr3:uid="{DC15894A-49A7-435B-A661-5666005BEEC8}" name="Valor Parcela" dataDxfId="593" dataCellStyle="Porcentagem"/>
    <tableColumn id="5" xr3:uid="{DE080DD1-0F6B-485E-8515-CE624433C220}" name="Nº Parcela" dataDxfId="592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91" headerRowBorderDxfId="590" tableBorderDxfId="589" totalsRowBorderDxfId="588">
  <autoFilter ref="K34:M41" xr:uid="{1B8643D4-6AC3-4029-882A-C62E9D7CB225}"/>
  <tableColumns count="3">
    <tableColumn id="1" xr3:uid="{DF952D1A-166D-4762-BD7E-3B8C91304310}" name="OS" dataDxfId="587"/>
    <tableColumn id="2" xr3:uid="{4F0F7384-D5B8-477E-9EC7-B82060EBBD78}" name="Parcelas" dataDxfId="586"/>
    <tableColumn id="3" xr3:uid="{8DD00EBF-D0FE-4903-8F44-7064A873609A}" name="Valor Total" dataDxfId="585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79" dataCellStyle="Moeda"/>
    <tableColumn id="5" xr3:uid="{F65697F3-20D0-4B41-BE55-C2885202D924}" name="Cliente" dataDxfId="578" dataCellStyle="Moeda"/>
    <tableColumn id="2" xr3:uid="{11E8E848-C035-46A3-B1AB-9BBD863CA30A}" name="Forma de Pgto" dataDxfId="577" dataCellStyle="Moeda"/>
    <tableColumn id="3" xr3:uid="{CE50BBF0-66D9-4ABB-AD66-D300C740ED4C}" name="Valor Venda" dataDxfId="576" dataCellStyle="Porcentagem"/>
    <tableColumn id="4" xr3:uid="{A6700982-093E-4E60-A8B4-C0EB11A78A03}" name="Entrada" dataDxfId="575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3B1873C-545D-4906-B601-0C81EDA7CFE1}" name="Descrição" dataDxfId="569"/>
    <tableColumn id="2" xr3:uid="{76E6DB40-F96B-4A9C-8632-7103030C72DC}" name="Tipo de Pagto" dataDxfId="568"/>
    <tableColumn id="3" xr3:uid="{C62F93B6-2A0A-47C6-8FF1-E604490619BC}" name="Valor" dataDxfId="567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61"/>
    <tableColumn id="2" xr3:uid="{B806E92F-CE0E-4D07-A956-20D8F2029057}" name="Cliente" dataDxfId="560"/>
    <tableColumn id="3" xr3:uid="{36BDBAFD-E01B-4EEA-BEB0-2FB5914B315B}" name="Forma de Pgto" dataDxfId="559" dataCellStyle="Moeda"/>
    <tableColumn id="4" xr3:uid="{56605023-01AD-4E35-8794-2FCCF14CCA1F}" name="Valor Venda" dataDxfId="558" dataCellStyle="Porcentagem"/>
    <tableColumn id="5" xr3:uid="{C1960D0E-D625-415E-9C4E-608948FC535D}" name="Entrada" dataDxfId="557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6A036C59-7D03-43F7-84CF-EE3CB14BE67B}" name="OS" dataDxfId="551"/>
    <tableColumn id="2" xr3:uid="{C5A126A9-9B7F-4F06-ADC7-ACCED0396BF3}" name="Vendedor" dataDxfId="550"/>
    <tableColumn id="3" xr3:uid="{BA1C7B45-A00B-472E-A02F-25A3DC58D90D}" name="CARNE" dataDxfId="549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43"/>
    <tableColumn id="2" xr3:uid="{2C145274-4831-4FAC-9C72-4EE6C56B54AE}" name="Cliente" dataDxfId="542"/>
    <tableColumn id="3" xr3:uid="{DE981E69-6CF2-49CA-A2F4-E16E28E648B8}" name="Forma de Pgto" dataDxfId="541" dataCellStyle="Moeda"/>
    <tableColumn id="4" xr3:uid="{6444B2E2-EBBD-4AD1-8C9A-93047C0686E8}" name="Valor Parcela" dataDxfId="540" dataCellStyle="Porcentagem"/>
    <tableColumn id="5" xr3:uid="{04528C7F-DC52-411C-A2BF-BF90292C4224}" name="Nº Parcela" dataDxfId="539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38" headerRowBorderDxfId="537" tableBorderDxfId="536" totalsRowBorderDxfId="535">
  <autoFilter ref="K34:M41" xr:uid="{1B8643D4-6AC3-4029-882A-C62E9D7CB225}"/>
  <tableColumns count="3">
    <tableColumn id="1" xr3:uid="{B8F19651-A782-44BC-8BA0-FFD090973F4B}" name="OS" dataDxfId="534"/>
    <tableColumn id="2" xr3:uid="{47E2F01C-C7E6-4997-80A0-4C35FA7B082A}" name="Parcelas" dataDxfId="533"/>
    <tableColumn id="3" xr3:uid="{BBBC80DF-0D25-47A9-9C8A-B68DAC85549A}" name="Valor Total" dataDxfId="532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26" dataCellStyle="Moeda"/>
    <tableColumn id="5" xr3:uid="{63E5AEF6-80DE-4801-B1C2-914D1F185217}" name="Cliente" dataDxfId="525" dataCellStyle="Moeda"/>
    <tableColumn id="2" xr3:uid="{1109E74A-578C-491B-B35C-C22544718F14}" name="Forma de Pgto" dataDxfId="524" dataCellStyle="Moeda"/>
    <tableColumn id="3" xr3:uid="{5C59392A-0568-4E84-9867-F9DCD09B25B6}" name="Valor Venda" dataDxfId="523" dataCellStyle="Porcentagem"/>
    <tableColumn id="4" xr3:uid="{D2C3A378-8143-432B-A8C6-A6193ABD7662}" name="Entrada" dataDxfId="522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E6962685-66B9-4B52-AFC6-82E1DC5ABF13}" name="Descrição" dataDxfId="516"/>
    <tableColumn id="2" xr3:uid="{632111FE-E109-4AB8-89E6-0435B85BD131}" name="Tipo de Pagto" dataDxfId="515"/>
    <tableColumn id="3" xr3:uid="{E8C5B365-8D2D-4605-8A16-1AB9150BCC44}" name="Valor" dataDxfId="514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08"/>
    <tableColumn id="2" xr3:uid="{C0E81097-83C4-4524-8E34-CEF9787F8A7E}" name="Cliente" dataDxfId="507"/>
    <tableColumn id="3" xr3:uid="{8D59E67E-B452-4F9A-AAE0-36EA95BB6E19}" name="Forma de Pgto" dataDxfId="506" dataCellStyle="Moeda"/>
    <tableColumn id="4" xr3:uid="{F7466880-2D96-46D0-97F5-A0F3057F4B83}" name="Valor Venda" dataDxfId="505" dataCellStyle="Porcentagem"/>
    <tableColumn id="5" xr3:uid="{1C9ACBF3-A8FA-4869-9459-B9FD6EE7CC98}" name="Entrada" dataDxfId="504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B00D0221-B7E2-4319-872F-39A5F278179B}" name="OS" dataDxfId="498"/>
    <tableColumn id="2" xr3:uid="{EB50C8BC-2DB9-4F7B-B612-681BB547926A}" name="Vendedor" dataDxfId="497"/>
    <tableColumn id="3" xr3:uid="{35270191-CAC7-406B-B916-370E9194FBD0}" name="CARNE" dataDxfId="496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90"/>
    <tableColumn id="2" xr3:uid="{D650DC73-190F-4D20-A432-5DFA05B32EBB}" name="Cliente" dataDxfId="489"/>
    <tableColumn id="3" xr3:uid="{B232D3BA-4291-4772-8FA1-966DFC2F6BAD}" name="Forma de Pgto" dataDxfId="488" dataCellStyle="Moeda"/>
    <tableColumn id="4" xr3:uid="{27933DC4-0B14-4F8A-9424-CDECA8B0BE13}" name="Valor Parcela" dataDxfId="487" dataCellStyle="Porcentagem"/>
    <tableColumn id="5" xr3:uid="{812A2DA5-D78D-454A-BF37-5BC7C8B486FB}" name="Nº Parcela" dataDxfId="486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85" headerRowBorderDxfId="484" tableBorderDxfId="483" totalsRowBorderDxfId="482">
  <autoFilter ref="K34:M41" xr:uid="{1B8643D4-6AC3-4029-882A-C62E9D7CB225}"/>
  <tableColumns count="3">
    <tableColumn id="1" xr3:uid="{F3E7E89B-8196-4CDC-A23E-947DB3CEA07C}" name="OS" dataDxfId="481"/>
    <tableColumn id="2" xr3:uid="{D705822D-AFE1-401D-A8C8-7D7BB7A4C86C}" name="Parcelas" dataDxfId="480"/>
    <tableColumn id="3" xr3:uid="{C528E7A1-6466-4E27-8A7C-A46F4678792C}" name="Valor Total" dataDxfId="479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73" dataCellStyle="Moeda"/>
    <tableColumn id="5" xr3:uid="{935EFB73-C7DF-4DB2-A9CA-2CCBA3650F22}" name="Cliente" dataDxfId="472" dataCellStyle="Moeda"/>
    <tableColumn id="2" xr3:uid="{869122A0-3CC2-4E92-8EFB-746E8E8CB311}" name="Forma de Pgto" dataDxfId="471" dataCellStyle="Moeda"/>
    <tableColumn id="3" xr3:uid="{6DA3B9FE-BCC2-4503-9E60-EA0ED444B7A6}" name="Valor Venda" dataDxfId="470" dataCellStyle="Porcentagem"/>
    <tableColumn id="4" xr3:uid="{A8A1A79C-5DE2-48A0-9D24-1DA382BBF42E}" name="Entrada" dataDxfId="469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3E8535D4-7B2A-41EF-B25F-D96FCA746C77}" name="Descrição" dataDxfId="463"/>
    <tableColumn id="2" xr3:uid="{29FD7EBB-FAB4-46A7-8D0C-8DEF811BE03C}" name="Tipo de Pagto" dataDxfId="462"/>
    <tableColumn id="3" xr3:uid="{42A84199-904C-48CF-9EA1-668D5693A5E1}" name="Valor" dataDxfId="461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55"/>
    <tableColumn id="2" xr3:uid="{06FD4E8A-ECFC-46A5-9546-F18D5C7CCF46}" name="Cliente" dataDxfId="454"/>
    <tableColumn id="3" xr3:uid="{393434A3-085F-407B-B651-4C537A1C4DCA}" name="Forma de Pgto" dataDxfId="453" dataCellStyle="Moeda"/>
    <tableColumn id="4" xr3:uid="{D08FA6C2-56D1-4A76-94C1-132618C070F2}" name="Valor Venda" dataDxfId="452" dataCellStyle="Porcentagem"/>
    <tableColumn id="5" xr3:uid="{A94780A1-5426-454F-8950-AFE4D356071F}" name="Entrada" dataDxfId="451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5F81F202-5A63-416E-B66A-BC7A70C51944}" name="OS" dataDxfId="445"/>
    <tableColumn id="2" xr3:uid="{74527326-0E45-44AC-976A-01AD354EEF97}" name="Vendedor" dataDxfId="444"/>
    <tableColumn id="3" xr3:uid="{7E368C39-6290-45A4-8C60-3E0B6BEC860E}" name="CARNE" dataDxfId="443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37"/>
    <tableColumn id="2" xr3:uid="{5FB18F19-64B5-46AA-955B-A301C651C0F2}" name="Cliente" dataDxfId="436"/>
    <tableColumn id="3" xr3:uid="{51F731CD-986B-4FF6-A861-83997E66998E}" name="Forma de Pgto" dataDxfId="435" dataCellStyle="Moeda"/>
    <tableColumn id="4" xr3:uid="{BD861052-26CD-48E9-91C6-0A6DF7C6A099}" name="Valor Parcela" dataDxfId="434" dataCellStyle="Porcentagem"/>
    <tableColumn id="5" xr3:uid="{8A5D6765-7637-45A4-9660-09EDBB031EC1}" name="Nº Parcela" dataDxfId="433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32" headerRowBorderDxfId="431" tableBorderDxfId="430" totalsRowBorderDxfId="429">
  <autoFilter ref="K34:M41" xr:uid="{1B8643D4-6AC3-4029-882A-C62E9D7CB225}"/>
  <tableColumns count="3">
    <tableColumn id="1" xr3:uid="{96F2F5A7-6005-4604-8B24-0E2838B4DD29}" name="OS" dataDxfId="428"/>
    <tableColumn id="2" xr3:uid="{ED904B68-5D9C-4B50-96BA-96CAD5E34CF1}" name="Parcelas" dataDxfId="427"/>
    <tableColumn id="3" xr3:uid="{317680F4-80F7-44BC-B3EF-4EFC6A803CAC}" name="Valor Total" dataDxfId="426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20" dataCellStyle="Moeda"/>
    <tableColumn id="5" xr3:uid="{8C950723-3D74-47BB-96EF-8D7D6A2189F6}" name="Cliente" dataDxfId="419" dataCellStyle="Moeda"/>
    <tableColumn id="2" xr3:uid="{891A7678-229E-4FF4-AD78-C00F149C7AB3}" name="Forma de Pgto" dataDxfId="418" dataCellStyle="Moeda"/>
    <tableColumn id="3" xr3:uid="{C1AD64CF-D636-4D0B-90AF-998E65C41E3B}" name="Valor Venda" dataDxfId="417" dataCellStyle="Porcentagem"/>
    <tableColumn id="4" xr3:uid="{4674130B-789D-479A-9F01-407FB3322D27}" name="Entrada" dataDxfId="416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558DC85F-C627-4F48-82AA-C24727E75A42}" name="Descrição" dataDxfId="410"/>
    <tableColumn id="2" xr3:uid="{8346B0E0-FB0D-4ED3-ABBC-3816B7CB40C9}" name="Tipo de Pagto" dataDxfId="409"/>
    <tableColumn id="3" xr3:uid="{362F9934-CC54-4E70-A26F-6CDF66DEB838}" name="Valor" dataDxfId="40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02"/>
    <tableColumn id="2" xr3:uid="{B711E4E6-0AE5-42C8-8015-A72C2855CDFB}" name="Cliente" dataDxfId="401"/>
    <tableColumn id="3" xr3:uid="{016D3713-BA29-48F8-8683-6E42C1C8BDFE}" name="Forma de Pgto" dataDxfId="400" dataCellStyle="Moeda"/>
    <tableColumn id="4" xr3:uid="{66F30211-F047-40DA-B134-05B87A798574}" name="Valor Venda" dataDxfId="399" dataCellStyle="Porcentagem"/>
    <tableColumn id="5" xr3:uid="{2FB6AB3C-AA9E-4034-AF4B-12D9A3ECBBCA}" name="Entrada" dataDxfId="398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D6DF1477-46D1-47E2-A070-9A33886E6137}" name="OS" dataDxfId="392"/>
    <tableColumn id="2" xr3:uid="{C4215FA6-4F2C-444A-8E0B-4F99AEEE9430}" name="Vendedor" dataDxfId="391"/>
    <tableColumn id="3" xr3:uid="{7B8AD675-F389-4803-BFFB-8166F703E829}" name="CARNE" dataDxfId="390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389" dataDxfId="387" headerRowBorderDxfId="388" tableBorderDxfId="386" totalsRowBorderDxfId="38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84"/>
    <tableColumn id="2" xr3:uid="{45674E96-72EC-433B-9141-E40A07A72A19}" name="Cliente" dataDxfId="383"/>
    <tableColumn id="3" xr3:uid="{22102B96-8607-4584-B5A3-C1EE639E0F4C}" name="Forma de Pgto" dataDxfId="382" dataCellStyle="Moeda"/>
    <tableColumn id="4" xr3:uid="{DC2E9D15-91B3-4478-AA38-B98773D1B0DA}" name="Valor Parcela" dataDxfId="381" dataCellStyle="Porcentagem"/>
    <tableColumn id="5" xr3:uid="{ABCCDEDB-69A0-4492-A24A-12A60E76A2F8}" name="Nº Parcela" dataDxfId="380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79" headerRowBorderDxfId="378" tableBorderDxfId="377" totalsRowBorderDxfId="376">
  <autoFilter ref="K34:M41" xr:uid="{1B8643D4-6AC3-4029-882A-C62E9D7CB225}"/>
  <tableColumns count="3">
    <tableColumn id="1" xr3:uid="{96E4A694-A16C-4FAB-8484-5D1DCD513FF1}" name="OS" dataDxfId="375"/>
    <tableColumn id="2" xr3:uid="{CEC7F98C-5986-47BB-824E-5616D5A150E4}" name="Parcelas" dataDxfId="374"/>
    <tableColumn id="3" xr3:uid="{A82CBD0B-203D-4ED5-BDE4-3B77ECED5860}" name="Valor Total" dataDxfId="373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67" dataCellStyle="Moeda"/>
    <tableColumn id="5" xr3:uid="{28960474-C27A-4147-BD99-7BB60462B8B0}" name="Cliente" dataDxfId="366" dataCellStyle="Moeda"/>
    <tableColumn id="2" xr3:uid="{67D37C1F-FE45-48AD-BED8-2CFECE89FEA0}" name="Forma de Pgto" dataDxfId="365" dataCellStyle="Moeda"/>
    <tableColumn id="3" xr3:uid="{9D53CA59-8DC0-45C1-B948-0BC9CE105A46}" name="Valor Venda" dataDxfId="364" dataCellStyle="Porcentagem"/>
    <tableColumn id="4" xr3:uid="{63C5EED9-C4FA-4177-B2B7-18053322A958}" name="Entrada" dataDxfId="363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EA5469B7-1D8E-40E9-95A2-35DAC9D5EC13}" name="Descrição" dataDxfId="357"/>
    <tableColumn id="2" xr3:uid="{6149AE8A-4EBC-4D73-8258-5E25710E3A30}" name="Tipo de Pagto" dataDxfId="356"/>
    <tableColumn id="3" xr3:uid="{6872D867-5B80-4E69-B012-87CC7B75B649}" name="Valor" dataDxfId="355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349"/>
    <tableColumn id="2" xr3:uid="{83BEE3E3-D5E6-4B4E-B0F3-B7D166EBC951}" name="Cliente" dataDxfId="348"/>
    <tableColumn id="3" xr3:uid="{D56D36FF-3364-4C9B-95E8-FF48852EB70B}" name="Forma de Pgto" dataDxfId="347" dataCellStyle="Moeda"/>
    <tableColumn id="4" xr3:uid="{E2E76570-BF3A-47F8-A702-0FE2FE405B33}" name="Valor Venda" dataDxfId="346" dataCellStyle="Porcentagem"/>
    <tableColumn id="5" xr3:uid="{19FD5054-F0CE-4B30-BF14-7D86B666A44E}" name="Entrada" dataDxfId="345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A900AC2-CDD6-4655-B7AF-13F9A8DDD9FF}" name="OS" dataDxfId="339"/>
    <tableColumn id="2" xr3:uid="{D566D654-CC7D-40A6-874D-6CD6342DEC3B}" name="Vendedor" dataDxfId="338"/>
    <tableColumn id="3" xr3:uid="{E8D97BA9-0913-40AD-B2A5-0F60E6A0BE95}" name="CARNE" dataDxfId="337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31"/>
    <tableColumn id="2" xr3:uid="{CDAD5229-EE1B-4727-8C27-8A17FEDA1C5C}" name="Cliente" dataDxfId="330"/>
    <tableColumn id="3" xr3:uid="{93224419-805E-4D8C-A296-80DA02CCC413}" name="Forma de Pgto" dataDxfId="329" dataCellStyle="Moeda"/>
    <tableColumn id="4" xr3:uid="{40C77CE6-762C-49C9-94EB-7D5AFC9A73A4}" name="Valor Parcela" dataDxfId="328" dataCellStyle="Porcentagem"/>
    <tableColumn id="5" xr3:uid="{8A7914AB-189B-4928-860C-9AB79BAA232D}" name="Nº Parcela" dataDxfId="327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26" headerRowBorderDxfId="325" tableBorderDxfId="324" totalsRowBorderDxfId="323">
  <autoFilter ref="K34:M41" xr:uid="{1B8643D4-6AC3-4029-882A-C62E9D7CB225}"/>
  <tableColumns count="3">
    <tableColumn id="1" xr3:uid="{C92D7BD7-E114-41CE-802D-B41EFFA721F2}" name="OS" dataDxfId="322"/>
    <tableColumn id="2" xr3:uid="{C67ABBBE-4637-4653-928F-36D0678D64F6}" name="Parcelas" dataDxfId="321"/>
    <tableColumn id="3" xr3:uid="{2217F874-8724-4CC1-9542-1585CC1817E3}" name="Valor Total" dataDxfId="32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14" dataCellStyle="Moeda"/>
    <tableColumn id="5" xr3:uid="{EA7582FE-FEFF-4011-BD42-218C3664E6AB}" name="Cliente" dataDxfId="313" dataCellStyle="Moeda"/>
    <tableColumn id="2" xr3:uid="{F90F407A-44F2-4B25-95B2-7FFF747C7AA1}" name="Forma de Pgto" dataDxfId="312" dataCellStyle="Moeda"/>
    <tableColumn id="3" xr3:uid="{3ED51D07-27C8-4437-A49E-867C7274BC65}" name="Valor Venda" dataDxfId="311" dataCellStyle="Porcentagem"/>
    <tableColumn id="4" xr3:uid="{42C92817-5DF0-4DE7-B430-03840EF6E852}" name="Entrada" dataDxfId="31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BCDA9109-FE1B-43D0-A775-F187BA433103}" name="Descrição" dataDxfId="304"/>
    <tableColumn id="2" xr3:uid="{6200DB38-1340-49E2-8DB4-68F203C169F1}" name="Tipo de Pagto" dataDxfId="303"/>
    <tableColumn id="3" xr3:uid="{27595B27-AB97-40C9-BECE-DEB4EF2576B7}" name="Valor" dataDxfId="30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96"/>
    <tableColumn id="2" xr3:uid="{2547CEAB-188F-4407-8B89-F3536432D0FA}" name="Cliente" dataDxfId="295"/>
    <tableColumn id="3" xr3:uid="{54CBD340-AB1A-4F98-A129-037389C3E236}" name="Forma de Pgto" dataDxfId="294" dataCellStyle="Moeda"/>
    <tableColumn id="4" xr3:uid="{CB0BC571-5837-4C35-AFDD-D5873CE23AE9}" name="Valor Venda" dataDxfId="293" dataCellStyle="Porcentagem"/>
    <tableColumn id="5" xr3:uid="{517A77AC-A76A-4CE7-B5D1-3FEFDF7B8722}" name="Entrada" dataDxfId="29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71C4392B-8887-40B1-9A7B-C600C91C0A9F}" name="OS" dataDxfId="286"/>
    <tableColumn id="2" xr3:uid="{EAC02F14-380C-4B61-8944-E4F1EC6C2572}" name="Vendedor" dataDxfId="285"/>
    <tableColumn id="3" xr3:uid="{04750BAB-2533-45E4-AD1A-4273DBA80CF4}" name="CARNE" dataDxfId="28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78"/>
    <tableColumn id="2" xr3:uid="{C78ED1A0-4ABC-4C46-9011-9E7D40E53828}" name="Cliente" dataDxfId="277"/>
    <tableColumn id="3" xr3:uid="{5CDE3049-7EDA-4337-9E8E-58F0DB4CFDD5}" name="Forma de Pgto" dataDxfId="276" dataCellStyle="Moeda"/>
    <tableColumn id="4" xr3:uid="{7ACCAB16-AFFF-4B9D-A25F-B45F3BBA93B9}" name="Valor Parcela" dataDxfId="275" dataCellStyle="Porcentagem"/>
    <tableColumn id="5" xr3:uid="{15EC4276-5957-4146-877A-2D9AF52832DE}" name="Nº Parcela" dataDxfId="27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73" headerRowBorderDxfId="272" tableBorderDxfId="271" totalsRowBorderDxfId="270">
  <autoFilter ref="K34:M41" xr:uid="{1B8643D4-6AC3-4029-882A-C62E9D7CB225}"/>
  <tableColumns count="3">
    <tableColumn id="1" xr3:uid="{509FE920-B0D4-48CC-8AFC-C231084014ED}" name="OS" dataDxfId="269"/>
    <tableColumn id="2" xr3:uid="{648797DA-323D-4F7C-95F3-3223D3A08821}" name="Parcelas" dataDxfId="268"/>
    <tableColumn id="3" xr3:uid="{0684A7C0-4163-4297-B332-DFFBB65E266D}" name="Valor Total" dataDxfId="267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55" dataCellStyle="Moeda"/>
    <tableColumn id="5" xr3:uid="{57575EBC-6B68-41EF-9676-918A4ABDCB4D}" name="Cliente" dataDxfId="154" dataCellStyle="Moeda"/>
    <tableColumn id="2" xr3:uid="{85714B76-869D-4DF7-8709-20EB0FE90848}" name="Forma de Pgto" dataDxfId="153" dataCellStyle="Moeda"/>
    <tableColumn id="3" xr3:uid="{A556487C-0FB8-4138-908B-0692480ED40F}" name="Valor Venda" dataDxfId="152" dataCellStyle="Porcentagem"/>
    <tableColumn id="4" xr3:uid="{2437A1CF-1861-42F2-9B6F-020480542B91}" name="Entrada" dataDxfId="151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EA498FD3-4549-4930-A7C5-2A6A697F86CC}" name="Descrição" dataDxfId="145"/>
    <tableColumn id="2" xr3:uid="{8748D917-3F00-4700-B7E5-7700540A331D}" name="Tipo de Pagto" dataDxfId="144"/>
    <tableColumn id="3" xr3:uid="{42A9985B-0743-4482-AA4C-D8FD0E0F72A5}" name="Valor" dataDxfId="143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37"/>
    <tableColumn id="2" xr3:uid="{FE587643-BC52-4E6E-AF00-724AEF5CF68E}" name="Cliente" dataDxfId="136"/>
    <tableColumn id="3" xr3:uid="{7FE7D67C-9631-4982-8037-006DC6383D49}" name="Forma de Pgto" dataDxfId="135" dataCellStyle="Moeda"/>
    <tableColumn id="4" xr3:uid="{F211FF52-FD8A-4441-B1F6-EDB12BA108C0}" name="Valor Venda" dataDxfId="134" dataCellStyle="Porcentagem"/>
    <tableColumn id="5" xr3:uid="{16E4261B-0737-47FE-A7D3-731BFAF25FF7}" name="Entrada" dataDxfId="133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32" dataDxfId="130" headerRowBorderDxfId="131" tableBorderDxfId="129" totalsRowBorderDxfId="12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27"/>
    <tableColumn id="2" xr3:uid="{6868B7F3-9EF7-46C7-BEF9-654E8E36ED1C}" name="Vendedor" dataDxfId="126"/>
    <tableColumn id="3" xr3:uid="{1350521A-D743-40D9-A465-2D8D4BFE6A10}" name="CARNE" dataDxfId="125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19"/>
    <tableColumn id="2" xr3:uid="{85BDCF85-AA6C-42E1-B1B7-C516556DBDB9}" name="Cliente" dataDxfId="118"/>
    <tableColumn id="3" xr3:uid="{9F8DE4E4-D5E2-48B5-8EAA-40EB197D32AC}" name="Forma de Pgto" dataDxfId="117" dataCellStyle="Moeda"/>
    <tableColumn id="4" xr3:uid="{C6290D95-7284-445D-8939-C5FD7951996B}" name="Valor Parcela" dataDxfId="116" dataCellStyle="Porcentagem"/>
    <tableColumn id="5" xr3:uid="{52285BEC-0F7D-418F-A98F-3BC424F4B159}" name="Nº Parcela" dataDxfId="115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14" headerRowBorderDxfId="113" tableBorderDxfId="112" totalsRowBorderDxfId="111">
  <autoFilter ref="K34:M41" xr:uid="{1B8643D4-6AC3-4029-882A-C62E9D7CB225}"/>
  <tableColumns count="3">
    <tableColumn id="1" xr3:uid="{2CBB75AA-30A1-4E7B-931E-A32395F87AA4}" name="OS" dataDxfId="110"/>
    <tableColumn id="2" xr3:uid="{9C8D7AA6-CFE0-4494-82DC-042A052CAAA0}" name="Parcelas" dataDxfId="109"/>
    <tableColumn id="3" xr3:uid="{57D19216-198A-4E06-835D-91E30A9FE599}" name="Valor Total" dataDxfId="108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2" dataCellStyle="Moeda"/>
    <tableColumn id="5" xr3:uid="{B57FE100-D980-4793-9BEF-6EB81A189BDF}" name="Cliente" dataDxfId="101" dataCellStyle="Moeda"/>
    <tableColumn id="2" xr3:uid="{E3E7153F-994D-48FC-90C4-2CBF846DD020}" name="Forma de Pgto" dataDxfId="100" dataCellStyle="Moeda"/>
    <tableColumn id="3" xr3:uid="{665F1580-FA55-4C7F-BD41-C142CAFE3223}" name="Valor Venda" dataDxfId="99" dataCellStyle="Porcentagem"/>
    <tableColumn id="4" xr3:uid="{6F1E523A-10ED-4EDD-B2CA-D0C7AD019914}" name="Entrada" dataDxfId="98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8A51E802-CECA-43FB-B82C-E6736A43EA3D}" name="Descrição" dataDxfId="92"/>
    <tableColumn id="2" xr3:uid="{5BCD8607-AADC-48F8-8E37-0466420D4FCD}" name="Tipo de Pagto" dataDxfId="91"/>
    <tableColumn id="3" xr3:uid="{4723FDE3-A519-42AE-9778-8C9E4D87D4F8}" name="Valor" dataDxfId="90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4"/>
    <tableColumn id="2" xr3:uid="{DD36027F-0205-4159-9C6C-7703DD9F61D1}" name="Cliente" dataDxfId="83"/>
    <tableColumn id="3" xr3:uid="{C8916D40-C533-47FF-A39E-183396744611}" name="Forma de Pgto" dataDxfId="82" dataCellStyle="Moeda"/>
    <tableColumn id="4" xr3:uid="{80EB5638-1F44-4817-8C1B-9EB07004D4CA}" name="Valor Venda" dataDxfId="81" dataCellStyle="Porcentagem"/>
    <tableColumn id="5" xr3:uid="{B4816614-99C6-4C2F-BA88-5290B6B734E3}" name="Entrada" dataDxfId="80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DCFC0FAB-C428-42CC-A79B-6BBC4C4E77BA}" name="OS" dataDxfId="74"/>
    <tableColumn id="2" xr3:uid="{55C72FAB-171A-4E5F-A55F-BBFBE0F4AF66}" name="Vendedor" dataDxfId="73"/>
    <tableColumn id="3" xr3:uid="{DCD6A944-16B4-44C6-9625-37A26D7A1151}" name="CARNE" dataDxfId="72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6"/>
    <tableColumn id="2" xr3:uid="{D2E85D99-F671-4642-9D56-7BBD7EADC926}" name="Cliente" dataDxfId="65"/>
    <tableColumn id="3" xr3:uid="{B8D270E5-112A-4D49-B21F-9055AF1F02FC}" name="Forma de Pgto" dataDxfId="64" dataCellStyle="Moeda"/>
    <tableColumn id="4" xr3:uid="{BA14CF36-FD33-4C35-B77D-D8C5207F906C}" name="Valor Parcela" dataDxfId="63" dataCellStyle="Porcentagem"/>
    <tableColumn id="5" xr3:uid="{2E862B2B-4705-4EDB-B528-4C423CDCC317}" name="Nº Parcela" dataDxfId="62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1" headerRowBorderDxfId="60" tableBorderDxfId="59" totalsRowBorderDxfId="58">
  <autoFilter ref="K34:M41" xr:uid="{1B8643D4-6AC3-4029-882A-C62E9D7CB225}"/>
  <tableColumns count="3">
    <tableColumn id="1" xr3:uid="{2092375F-825B-4295-AC07-BBBA3650EB3F}" name="OS" dataDxfId="57"/>
    <tableColumn id="2" xr3:uid="{8614B6AF-F25C-401B-AE51-F9959608EB4A}" name="Parcelas" dataDxfId="56"/>
    <tableColumn id="3" xr3:uid="{9702475E-64D8-4282-B5F4-F45E7E7B1891}" name="Valor Total" dataDxfId="55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Relationship Id="rId9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1.xml"/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Relationship Id="rId9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3.xml"/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Relationship Id="rId9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5.xml"/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Relationship Id="rId9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7.xml"/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Relationship Id="rId9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4.xml"/><Relationship Id="rId1" Type="http://schemas.openxmlformats.org/officeDocument/2006/relationships/table" Target="../tables/table18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view="pageBreakPreview" zoomScale="60" zoomScaleNormal="100" workbookViewId="0">
      <selection activeCell="L36" sqref="L36"/>
    </sheetView>
  </sheetViews>
  <sheetFormatPr defaultColWidth="21.28515625" defaultRowHeight="12.75" x14ac:dyDescent="0.2"/>
  <cols>
    <col min="2" max="2" width="22.7109375" customWidth="1"/>
  </cols>
  <sheetData>
    <row r="1" spans="1:16" ht="28.5" x14ac:dyDescent="0.45">
      <c r="B1" s="98"/>
      <c r="L1" s="100" t="s">
        <v>142</v>
      </c>
      <c r="P1" t="s">
        <v>128</v>
      </c>
    </row>
    <row r="2" spans="1:16" ht="15" x14ac:dyDescent="0.2">
      <c r="A2" s="18" t="s">
        <v>0</v>
      </c>
      <c r="B2" s="65">
        <v>0</v>
      </c>
      <c r="P2" t="s">
        <v>129</v>
      </c>
    </row>
    <row r="3" spans="1:16" ht="15" x14ac:dyDescent="0.25">
      <c r="A3" s="22" t="s">
        <v>1</v>
      </c>
      <c r="B3" s="23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  <c r="P3" t="s">
        <v>130</v>
      </c>
    </row>
    <row r="4" spans="1:16" ht="15" x14ac:dyDescent="0.25">
      <c r="A4" s="22" t="s">
        <v>2</v>
      </c>
      <c r="B4" s="23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  <c r="P4" t="s">
        <v>131</v>
      </c>
    </row>
    <row r="5" spans="1:16" ht="15" x14ac:dyDescent="0.25">
      <c r="A5" s="22" t="s">
        <v>3</v>
      </c>
      <c r="B5" s="23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  <c r="P5" t="s">
        <v>132</v>
      </c>
    </row>
    <row r="6" spans="1:16" ht="15.75" x14ac:dyDescent="0.25">
      <c r="A6" s="27" t="s">
        <v>4</v>
      </c>
      <c r="B6" s="28" t="e">
        <f>SUM(B4:B5)</f>
        <v>#REF!</v>
      </c>
      <c r="C6">
        <f>C16</f>
        <v>0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2" t="s">
        <v>5</v>
      </c>
      <c r="B8" s="102"/>
      <c r="P8" t="s">
        <v>135</v>
      </c>
    </row>
    <row r="9" spans="1:16" ht="15" x14ac:dyDescent="0.25">
      <c r="A9" s="29" t="s">
        <v>6</v>
      </c>
      <c r="B9" s="23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  <c r="P9" t="s">
        <v>136</v>
      </c>
    </row>
    <row r="10" spans="1:16" ht="15" x14ac:dyDescent="0.25">
      <c r="A10" s="29" t="s">
        <v>7</v>
      </c>
      <c r="B10" s="23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  <c r="P10" t="s">
        <v>137</v>
      </c>
    </row>
    <row r="11" spans="1:16" ht="15" x14ac:dyDescent="0.25">
      <c r="A11" s="29" t="s">
        <v>8</v>
      </c>
      <c r="B11" s="23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  <c r="P11" t="s">
        <v>138</v>
      </c>
    </row>
    <row r="12" spans="1:16" ht="15" x14ac:dyDescent="0.25">
      <c r="A12" s="29" t="s">
        <v>9</v>
      </c>
      <c r="B12" s="23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  <c r="P12" t="s">
        <v>139</v>
      </c>
    </row>
    <row r="13" spans="1:16" ht="15" x14ac:dyDescent="0.25">
      <c r="A13" s="29" t="s">
        <v>10</v>
      </c>
      <c r="B13" s="23" t="e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#REF!)</f>
        <v>#REF!</v>
      </c>
      <c r="P13" t="s">
        <v>140</v>
      </c>
    </row>
    <row r="14" spans="1:16" ht="15.75" x14ac:dyDescent="0.25">
      <c r="A14" s="27" t="s">
        <v>11</v>
      </c>
      <c r="B14" s="66" t="e">
        <f>SUM(B9:B13)</f>
        <v>#REF!</v>
      </c>
    </row>
    <row r="15" spans="1:16" ht="15" x14ac:dyDescent="0.25">
      <c r="A15" s="2"/>
      <c r="B15" s="2"/>
    </row>
    <row r="16" spans="1:16" ht="15" x14ac:dyDescent="0.2">
      <c r="A16" s="102" t="s">
        <v>12</v>
      </c>
      <c r="B16" s="102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#REF!)</f>
        <v>#REF!</v>
      </c>
    </row>
    <row r="18" spans="1:2" ht="15.75" x14ac:dyDescent="0.25">
      <c r="A18" s="27" t="s">
        <v>11</v>
      </c>
      <c r="B18" s="6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view="pageBreakPreview" zoomScale="6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30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v>45748</v>
      </c>
      <c r="L1" s="99" t="s">
        <v>142</v>
      </c>
    </row>
    <row r="2" spans="2:18" ht="18.75" x14ac:dyDescent="0.2">
      <c r="B2" s="107" t="s">
        <v>127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112.5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112.5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7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7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112.5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112.5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4698</v>
      </c>
      <c r="F35" s="24" t="s">
        <v>170</v>
      </c>
      <c r="G35" s="25" t="s">
        <v>10</v>
      </c>
      <c r="H35" s="8">
        <v>112.5</v>
      </c>
      <c r="I35" s="8" t="s">
        <v>77</v>
      </c>
      <c r="K35" s="95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view="pageBreakPreview" topLeftCell="A14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'01'!B1+1</f>
        <v>45749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54"/>
      <c r="G13" s="79"/>
      <c r="H13" s="62"/>
      <c r="I13" s="62"/>
      <c r="J13" s="2"/>
      <c r="K13" s="104" t="s">
        <v>22</v>
      </c>
      <c r="L13" s="105"/>
      <c r="M13" s="106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54"/>
      <c r="G14" s="79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7"/>
      <c r="F35" s="24"/>
      <c r="G35" s="25"/>
      <c r="H35" s="8"/>
      <c r="I35" s="8"/>
      <c r="K35" s="95"/>
      <c r="L35" s="40"/>
      <c r="M35" s="16"/>
    </row>
    <row r="36" spans="2:21" ht="15.75" x14ac:dyDescent="0.25">
      <c r="E36" s="87"/>
      <c r="F36" s="24"/>
      <c r="G36" s="25"/>
      <c r="H36" s="8"/>
      <c r="I36" s="8"/>
      <c r="K36" s="95"/>
      <c r="L36" s="40"/>
      <c r="M36" s="16"/>
    </row>
    <row r="37" spans="2:21" ht="15.75" x14ac:dyDescent="0.25">
      <c r="E37" s="87"/>
      <c r="F37" s="24"/>
      <c r="G37" s="25"/>
      <c r="H37" s="8"/>
      <c r="I37" s="8"/>
      <c r="K37" s="95"/>
      <c r="L37" s="40"/>
      <c r="M37" s="16"/>
    </row>
    <row r="38" spans="2:21" ht="15.75" x14ac:dyDescent="0.25">
      <c r="E38" s="87"/>
      <c r="F38" s="24"/>
      <c r="G38" s="25"/>
      <c r="H38" s="8"/>
      <c r="I38" s="8"/>
      <c r="K38" s="95"/>
      <c r="L38" s="40"/>
      <c r="M38" s="16"/>
    </row>
    <row r="39" spans="2:21" ht="15.75" x14ac:dyDescent="0.25">
      <c r="E39" s="87"/>
      <c r="F39" s="38"/>
      <c r="G39" s="25"/>
      <c r="H39" s="8"/>
      <c r="I39" s="8"/>
      <c r="K39" s="95"/>
      <c r="L39" s="40"/>
      <c r="M39" s="16"/>
    </row>
    <row r="40" spans="2:21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1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'02'!B1+1</f>
        <v>45750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85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85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85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85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IF(vend3[[#This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4616</v>
      </c>
      <c r="F35" s="24" t="s">
        <v>167</v>
      </c>
      <c r="G35" s="25" t="s">
        <v>10</v>
      </c>
      <c r="H35" s="8">
        <v>85</v>
      </c>
      <c r="I35" s="8" t="s">
        <v>44</v>
      </c>
      <c r="K35" s="95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7" zoomScale="90" zoomScaleNormal="9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31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'03'!B1+1</f>
        <v>45751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87"/>
      <c r="F8" s="24"/>
      <c r="G8" s="42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42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4835</v>
      </c>
      <c r="L15" s="9" t="s">
        <v>133</v>
      </c>
      <c r="M15" s="101" t="s">
        <v>147</v>
      </c>
      <c r="R15" s="1">
        <f>IF(vend4[[#This Row],[Nº Venda]]&gt;1,1,0)</f>
        <v>0</v>
      </c>
    </row>
    <row r="16" spans="2:18" ht="15.75" x14ac:dyDescent="0.25">
      <c r="B16" s="27" t="s">
        <v>11</v>
      </c>
      <c r="C16" s="31">
        <f>SUM(C11:C15)</f>
        <v>100</v>
      </c>
      <c r="D16" s="2"/>
      <c r="E16" s="87"/>
      <c r="F16" s="24"/>
      <c r="G16" s="25"/>
      <c r="H16" s="8"/>
      <c r="I16" s="8"/>
      <c r="J16" s="2"/>
      <c r="K16" s="95">
        <v>4836</v>
      </c>
      <c r="L16" s="9" t="s">
        <v>133</v>
      </c>
      <c r="M16" s="101" t="s">
        <v>147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52"/>
      <c r="R17" s="1">
        <f>IF(vend4[[#This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42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42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4814</v>
      </c>
      <c r="F35" s="24" t="s">
        <v>145</v>
      </c>
      <c r="G35" s="25" t="s">
        <v>6</v>
      </c>
      <c r="H35" s="8">
        <v>100</v>
      </c>
      <c r="I35" s="8" t="s">
        <v>52</v>
      </c>
      <c r="K35" s="95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9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'04'!B1+1</f>
        <v>45752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150</v>
      </c>
      <c r="D8" s="2"/>
      <c r="E8" s="87"/>
      <c r="F8" s="24"/>
      <c r="G8" s="42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42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42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42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150</v>
      </c>
      <c r="D12" s="2"/>
      <c r="E12" s="87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4759</v>
      </c>
      <c r="L15" s="9" t="s">
        <v>133</v>
      </c>
      <c r="M15" s="16" t="s">
        <v>147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87"/>
      <c r="F16" s="24"/>
      <c r="G16" s="25"/>
      <c r="H16" s="8"/>
      <c r="I16" s="8"/>
      <c r="J16" s="2"/>
      <c r="K16" s="95"/>
      <c r="L16" s="9"/>
      <c r="M16" s="55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IF(vend5[[#This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42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42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4741</v>
      </c>
      <c r="F35" s="24" t="s">
        <v>146</v>
      </c>
      <c r="G35" s="25" t="s">
        <v>7</v>
      </c>
      <c r="H35" s="8">
        <v>150</v>
      </c>
      <c r="I35" s="8" t="s">
        <v>53</v>
      </c>
      <c r="K35" s="95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76"/>
      <c r="G37" s="77"/>
      <c r="H37" s="78"/>
      <c r="I37" s="7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 M15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1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'05'!B1+1</f>
        <v>45753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51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0">
        <f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0">
        <f>(SUMIF($G$2:$G$31,B13,$I$2:$I$31))+(SUMIF($G$35:$G$41,B13,$H$35:$H$41))</f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IF(vend[[#This Row],[Nº Venda]]&gt;1,1,0)</f>
        <v>0</v>
      </c>
    </row>
    <row r="14" spans="2:18" ht="15.75" x14ac:dyDescent="0.25">
      <c r="B14" s="29" t="s">
        <v>9</v>
      </c>
      <c r="C14" s="70">
        <f>(SUMIF($G$2:$G$31,B14,$I$2:$I$31))+(SUMIF($G$35:$G$41,B14,$H$35:$H$41))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0">
        <f>(SUMIF($G$2:$G$31,B15,$I$2:$I$31))+(SUMIF($G$35:$G$41,B15,$H$35:$H$41))</f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5"/>
      <c r="L41" s="40"/>
      <c r="M41" s="39"/>
    </row>
    <row r="42" spans="2:18" x14ac:dyDescent="0.2">
      <c r="F42" s="86"/>
      <c r="G42" s="86"/>
      <c r="H42" s="85"/>
      <c r="I42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0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7">
        <f>'06'!B1+1</f>
        <v>45754</v>
      </c>
      <c r="L1" s="99" t="s">
        <v>142</v>
      </c>
    </row>
    <row r="2" spans="2:21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805.87</v>
      </c>
      <c r="D6" s="2"/>
      <c r="E6" s="87"/>
      <c r="F6" s="71"/>
      <c r="G6" s="71"/>
      <c r="H6" s="72"/>
      <c r="I6" s="72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87"/>
      <c r="F7" s="44"/>
      <c r="G7" s="44"/>
      <c r="H7" s="43"/>
      <c r="I7" s="43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805.87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385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420.87</v>
      </c>
      <c r="D15" s="2"/>
      <c r="E15" s="87"/>
      <c r="F15" s="24"/>
      <c r="G15" s="25"/>
      <c r="H15" s="8"/>
      <c r="I15" s="8"/>
      <c r="J15" s="2"/>
      <c r="K15" s="95"/>
      <c r="L15" s="9"/>
      <c r="M15" s="45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805.87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IF(vend7[[#This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53"/>
      <c r="G26" s="63"/>
      <c r="H26" s="64"/>
      <c r="I26" s="64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4764</v>
      </c>
      <c r="F35" s="24" t="s">
        <v>148</v>
      </c>
      <c r="G35" s="25" t="s">
        <v>10</v>
      </c>
      <c r="H35" s="8">
        <v>136</v>
      </c>
      <c r="I35" s="8" t="s">
        <v>53</v>
      </c>
      <c r="K35" s="95"/>
      <c r="L35" s="40"/>
      <c r="M35" s="16"/>
    </row>
    <row r="36" spans="2:18" ht="15.75" x14ac:dyDescent="0.25">
      <c r="E36" s="91">
        <v>4628</v>
      </c>
      <c r="F36" s="24" t="s">
        <v>149</v>
      </c>
      <c r="G36" s="25" t="s">
        <v>6</v>
      </c>
      <c r="H36" s="8">
        <v>185</v>
      </c>
      <c r="I36" s="8" t="s">
        <v>45</v>
      </c>
      <c r="K36" s="95"/>
      <c r="L36" s="40"/>
      <c r="M36" s="16"/>
    </row>
    <row r="37" spans="2:18" ht="15.75" x14ac:dyDescent="0.25">
      <c r="E37" s="87">
        <v>4771</v>
      </c>
      <c r="F37" s="24" t="s">
        <v>150</v>
      </c>
      <c r="G37" s="25" t="s">
        <v>10</v>
      </c>
      <c r="H37" s="8">
        <v>150</v>
      </c>
      <c r="I37" s="8" t="s">
        <v>39</v>
      </c>
      <c r="K37" s="95"/>
      <c r="L37" s="40"/>
      <c r="M37" s="16"/>
    </row>
    <row r="38" spans="2:18" ht="15.75" x14ac:dyDescent="0.25">
      <c r="E38" s="87">
        <v>4730</v>
      </c>
      <c r="F38" s="24" t="s">
        <v>151</v>
      </c>
      <c r="G38" s="25" t="s">
        <v>10</v>
      </c>
      <c r="H38" s="8">
        <v>47.37</v>
      </c>
      <c r="I38" s="8" t="s">
        <v>56</v>
      </c>
      <c r="K38" s="95"/>
      <c r="L38" s="40"/>
      <c r="M38" s="16"/>
    </row>
    <row r="39" spans="2:18" ht="15.75" x14ac:dyDescent="0.25">
      <c r="E39" s="87">
        <v>4792</v>
      </c>
      <c r="F39" s="38" t="s">
        <v>151</v>
      </c>
      <c r="G39" s="25" t="s">
        <v>10</v>
      </c>
      <c r="H39" s="8">
        <v>87.5</v>
      </c>
      <c r="I39" s="8" t="s">
        <v>82</v>
      </c>
      <c r="K39" s="95"/>
      <c r="L39" s="40"/>
      <c r="M39" s="16"/>
    </row>
    <row r="40" spans="2:18" ht="15.75" x14ac:dyDescent="0.25">
      <c r="E40" s="89">
        <v>4518</v>
      </c>
      <c r="F40" s="35" t="s">
        <v>156</v>
      </c>
      <c r="G40" s="36" t="s">
        <v>6</v>
      </c>
      <c r="H40" s="17">
        <v>200</v>
      </c>
      <c r="I40" s="8" t="s">
        <v>48</v>
      </c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zoomScale="6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31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'07'!B1+1</f>
        <v>45755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300</v>
      </c>
      <c r="D6" s="2"/>
      <c r="E6" s="87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300</v>
      </c>
      <c r="D8" s="2"/>
      <c r="E8" s="87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0">
        <f>(SUMIF($G$2:$G$31,B11,$I$2:$I$31))+(SUMIF($G$35:$G$42,B11,$H$35:$H$42))</f>
        <v>135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0">
        <f>(SUMIF($G$2:$G$31,B12,$I$2:$I$31))+(SUMIF($G$35:$G$42,B12,$H$35:$H$42))</f>
        <v>0</v>
      </c>
      <c r="D12" s="2"/>
      <c r="E12" s="87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0">
        <f>(SUMIF($G$2:$G$31,B13,$I$2:$I$31))+(SUMIF($G$35:$G$42,B13,$H$35:$H$42))</f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IF(vend8[[#This Row],[Nº Venda]]&gt;1,1,0)</f>
        <v>0</v>
      </c>
    </row>
    <row r="14" spans="2:18" ht="15.75" x14ac:dyDescent="0.25">
      <c r="B14" s="29" t="s">
        <v>9</v>
      </c>
      <c r="C14" s="70">
        <f>(SUMIF($G$2:$G$31,B14,$I$2:$I$31))+(SUMIF($G$35:$G$42,B14,$H$35:$H$42))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0">
        <f>(SUMIF($G$2:$G$31,B15,$I$2:$I$31))+(SUMIF($G$35:$G$42,B15,$H$35:$H$42))</f>
        <v>165</v>
      </c>
      <c r="D15" s="2"/>
      <c r="E15" s="87"/>
      <c r="F15" s="24"/>
      <c r="G15" s="25"/>
      <c r="H15" s="8"/>
      <c r="I15" s="8"/>
      <c r="J15" s="2"/>
      <c r="K15" s="95">
        <v>4818</v>
      </c>
      <c r="L15" s="9" t="s">
        <v>133</v>
      </c>
      <c r="M15" s="16" t="s">
        <v>147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300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IF(vend8[[#This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73"/>
      <c r="G26" s="74"/>
      <c r="H26" s="75"/>
      <c r="I26" s="75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42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42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42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24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4641</v>
      </c>
      <c r="F35" s="24" t="s">
        <v>152</v>
      </c>
      <c r="G35" s="25" t="s">
        <v>6</v>
      </c>
      <c r="H35" s="8">
        <v>135</v>
      </c>
      <c r="I35" s="8" t="s">
        <v>44</v>
      </c>
      <c r="K35" s="95"/>
      <c r="L35" s="40"/>
      <c r="M35" s="16"/>
    </row>
    <row r="36" spans="2:18" ht="15.75" x14ac:dyDescent="0.25">
      <c r="E36" s="91">
        <v>4507</v>
      </c>
      <c r="F36" s="24" t="s">
        <v>163</v>
      </c>
      <c r="G36" s="25" t="s">
        <v>10</v>
      </c>
      <c r="H36" s="8">
        <v>165</v>
      </c>
      <c r="I36" s="8" t="s">
        <v>44</v>
      </c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5"/>
      <c r="L41" s="40"/>
      <c r="M41" s="39"/>
    </row>
    <row r="42" spans="2:18" ht="15.75" x14ac:dyDescent="0.25">
      <c r="E42" s="34"/>
      <c r="F42" s="67"/>
      <c r="G42" s="68"/>
      <c r="H42" s="6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1.140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7">
        <f>'08'!B1+1</f>
        <v>45756</v>
      </c>
      <c r="L1" s="99" t="s">
        <v>142</v>
      </c>
    </row>
    <row r="2" spans="2:22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100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100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7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100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IF(vend9[[#This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4"/>
      <c r="G20" s="25"/>
      <c r="H20" s="8"/>
      <c r="I20" s="8"/>
      <c r="J20" s="2"/>
      <c r="K20" s="9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4709</v>
      </c>
      <c r="F35" s="24" t="s">
        <v>154</v>
      </c>
      <c r="G35" s="25" t="s">
        <v>7</v>
      </c>
      <c r="H35" s="8">
        <v>100</v>
      </c>
      <c r="I35" s="8" t="s">
        <v>73</v>
      </c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4" max="1048575" man="1"/>
  </colBreaks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'09'!B1+1</f>
        <v>45757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700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700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(SUMIF($G$2:$G$32,B11,$I$2:$I$32))+(SUMIF($G$36:$G$41,B11,$H$36:$H$41))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(SUMIF($G$2:$G$32,B12,$I$2:$I$32))+(SUMIF($G$36:$G$41,B12,$H$36:$H$41))</f>
        <v>0</v>
      </c>
      <c r="D12" s="2"/>
      <c r="E12" s="87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(SUMIF($G$2:$G$32,B13,$I$2:$I$32))+(SUMIF($G$36:$G$41,B13,$H$36:$H$41))</f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(SUMIF($G$2:$G$32,B14,$I$2:$I$32))+(SUMIF($G$36:$G$41,B14,$H$36:$H$41))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(SUMIF($G$2:$G$32,B15,$I$2:$I$32))+(SUMIF($G$36:$G$41,B15,$H$36:$H$41))</f>
        <v>700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700</v>
      </c>
      <c r="D16" s="2"/>
      <c r="E16" s="87"/>
      <c r="F16" s="24"/>
      <c r="G16" s="25"/>
      <c r="H16" s="8"/>
      <c r="I16" s="8"/>
      <c r="J16" s="2"/>
      <c r="K16" s="95"/>
      <c r="L16" s="9"/>
      <c r="M16" s="55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IF(vend10[[#This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42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42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4" t="s">
        <v>12</v>
      </c>
      <c r="L33" s="105"/>
      <c r="M33" s="106"/>
    </row>
    <row r="34" spans="2:18" ht="15" x14ac:dyDescent="0.25">
      <c r="E34" s="103" t="s">
        <v>28</v>
      </c>
      <c r="F34" s="103"/>
      <c r="G34" s="103"/>
      <c r="H34" s="103"/>
      <c r="I34" s="103"/>
      <c r="K34" s="14" t="s">
        <v>23</v>
      </c>
      <c r="L34" s="6" t="s">
        <v>31</v>
      </c>
      <c r="M34" s="15" t="s">
        <v>32</v>
      </c>
    </row>
    <row r="35" spans="2:18" ht="15" x14ac:dyDescent="0.25">
      <c r="E35" s="93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5"/>
      <c r="L35" s="40"/>
      <c r="M35" s="16"/>
    </row>
    <row r="36" spans="2:18" ht="15.75" x14ac:dyDescent="0.25">
      <c r="E36" s="87">
        <v>4720</v>
      </c>
      <c r="F36" s="24" t="s">
        <v>144</v>
      </c>
      <c r="G36" s="25" t="s">
        <v>10</v>
      </c>
      <c r="H36" s="8">
        <v>150</v>
      </c>
      <c r="I36" s="8" t="s">
        <v>83</v>
      </c>
      <c r="K36" s="95"/>
      <c r="L36" s="40"/>
      <c r="M36" s="16"/>
    </row>
    <row r="37" spans="2:18" ht="15.75" x14ac:dyDescent="0.25">
      <c r="E37" s="91">
        <v>4696</v>
      </c>
      <c r="F37" s="24" t="s">
        <v>155</v>
      </c>
      <c r="G37" s="25" t="s">
        <v>10</v>
      </c>
      <c r="H37" s="8">
        <v>242</v>
      </c>
      <c r="I37" s="8" t="s">
        <v>47</v>
      </c>
      <c r="K37" s="95"/>
      <c r="L37" s="40"/>
      <c r="M37" s="16"/>
    </row>
    <row r="38" spans="2:18" ht="15.75" x14ac:dyDescent="0.25">
      <c r="E38" s="87">
        <v>4629</v>
      </c>
      <c r="F38" s="24" t="s">
        <v>161</v>
      </c>
      <c r="G38" s="25" t="s">
        <v>10</v>
      </c>
      <c r="H38" s="8">
        <v>308</v>
      </c>
      <c r="I38" s="8" t="s">
        <v>80</v>
      </c>
      <c r="K38" s="95"/>
      <c r="L38" s="40"/>
      <c r="M38" s="16"/>
    </row>
    <row r="39" spans="2:18" ht="15.75" x14ac:dyDescent="0.25">
      <c r="E39" s="87"/>
      <c r="F39" s="24"/>
      <c r="G39" s="25"/>
      <c r="H39" s="8"/>
      <c r="I39" s="8"/>
      <c r="K39" s="95"/>
      <c r="L39" s="40"/>
      <c r="M39" s="16"/>
    </row>
    <row r="40" spans="2:18" ht="15.75" x14ac:dyDescent="0.25">
      <c r="E40" s="87"/>
      <c r="F40" s="38"/>
      <c r="G40" s="25"/>
      <c r="H40" s="8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89"/>
      <c r="F41" s="35"/>
      <c r="G41" s="36"/>
      <c r="H41" s="17"/>
      <c r="I41" s="8"/>
      <c r="K41" s="95"/>
      <c r="L41" s="40"/>
      <c r="M41" s="39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ignoredErrors>
    <ignoredError sqref="E35:I35" listDataValidation="1"/>
  </ignoredErrors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8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'10'!B1+1</f>
        <v>45758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IF(vend11[[#This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view="pageBreakPreview" zoomScale="60" zoomScaleNormal="9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'11'!B1+1</f>
        <v>45759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420</v>
      </c>
      <c r="D6" s="2"/>
      <c r="E6" s="87"/>
      <c r="F6" s="46"/>
      <c r="G6" s="46"/>
      <c r="H6" s="47"/>
      <c r="I6" s="47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48"/>
      <c r="G7" s="48"/>
      <c r="H7" s="49"/>
      <c r="I7" s="49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420</v>
      </c>
      <c r="D8" s="2"/>
      <c r="E8" s="87"/>
      <c r="F8" s="48"/>
      <c r="G8" s="48"/>
      <c r="H8" s="49"/>
      <c r="I8" s="49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170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250</v>
      </c>
      <c r="D15" s="2"/>
      <c r="E15" s="87"/>
      <c r="F15" s="24"/>
      <c r="G15" s="25"/>
      <c r="H15" s="8"/>
      <c r="I15" s="8"/>
      <c r="J15" s="2"/>
      <c r="K15" s="95">
        <v>4846</v>
      </c>
      <c r="L15" s="9" t="s">
        <v>133</v>
      </c>
      <c r="M15" s="16" t="s">
        <v>162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420</v>
      </c>
      <c r="D16" s="2"/>
      <c r="E16" s="87"/>
      <c r="F16" s="24"/>
      <c r="G16" s="25"/>
      <c r="H16" s="8"/>
      <c r="I16" s="8"/>
      <c r="J16" s="2"/>
      <c r="K16" s="95">
        <v>4847</v>
      </c>
      <c r="L16" s="9" t="s">
        <v>133</v>
      </c>
      <c r="M16" s="16" t="s">
        <v>162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>
        <v>4853</v>
      </c>
      <c r="L17" s="9" t="s">
        <v>133</v>
      </c>
      <c r="M17" s="16" t="s">
        <v>147</v>
      </c>
      <c r="R17" s="1">
        <f>IF(vend12[[#This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2</v>
      </c>
      <c r="C19" s="30">
        <f>SUM(entr_carn12[Valor Total])</f>
        <v>1198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1198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>
        <v>4846</v>
      </c>
      <c r="F26" s="50" t="s">
        <v>160</v>
      </c>
      <c r="G26" s="42" t="s">
        <v>10</v>
      </c>
      <c r="H26" s="8">
        <v>0</v>
      </c>
      <c r="I26" s="8">
        <v>100</v>
      </c>
      <c r="J26" s="2"/>
      <c r="K26" s="95"/>
      <c r="L26" s="9"/>
      <c r="M26" s="16"/>
    </row>
    <row r="27" spans="2:18" ht="15.75" x14ac:dyDescent="0.25">
      <c r="B27" s="2"/>
      <c r="C27" s="2"/>
      <c r="D27" s="2"/>
      <c r="E27" s="87">
        <v>4847</v>
      </c>
      <c r="F27" s="24" t="s">
        <v>160</v>
      </c>
      <c r="G27" s="25" t="s">
        <v>10</v>
      </c>
      <c r="H27" s="8">
        <v>0</v>
      </c>
      <c r="I27" s="8">
        <v>100</v>
      </c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4685</v>
      </c>
      <c r="F35" s="24" t="s">
        <v>143</v>
      </c>
      <c r="G35" s="25" t="s">
        <v>10</v>
      </c>
      <c r="H35" s="8">
        <v>50</v>
      </c>
      <c r="I35" s="8" t="s">
        <v>80</v>
      </c>
      <c r="K35" s="95">
        <v>4846</v>
      </c>
      <c r="L35" s="40">
        <v>6</v>
      </c>
      <c r="M35" s="16">
        <v>599</v>
      </c>
    </row>
    <row r="36" spans="2:18" ht="15.75" x14ac:dyDescent="0.25">
      <c r="E36" s="91">
        <v>4792</v>
      </c>
      <c r="F36" s="24" t="s">
        <v>153</v>
      </c>
      <c r="G36" s="25" t="s">
        <v>6</v>
      </c>
      <c r="H36" s="8">
        <v>170</v>
      </c>
      <c r="I36" s="8" t="s">
        <v>39</v>
      </c>
      <c r="K36" s="95">
        <v>4847</v>
      </c>
      <c r="L36" s="40">
        <v>6</v>
      </c>
      <c r="M36" s="16">
        <v>599</v>
      </c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'12'!B1+1</f>
        <v>45760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IF(vend13[[#This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13" zoomScale="60" zoomScaleNormal="9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'13'!B1+1</f>
        <v>45761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389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389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389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389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IF(vend14[[#This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4144</v>
      </c>
      <c r="F35" s="24" t="s">
        <v>158</v>
      </c>
      <c r="G35" s="25" t="s">
        <v>10</v>
      </c>
      <c r="H35" s="8">
        <v>62.5</v>
      </c>
      <c r="I35" s="8" t="s">
        <v>56</v>
      </c>
      <c r="K35" s="95"/>
      <c r="L35" s="40"/>
      <c r="M35" s="16"/>
    </row>
    <row r="36" spans="2:18" ht="15.75" x14ac:dyDescent="0.25">
      <c r="E36" s="91">
        <v>4147</v>
      </c>
      <c r="F36" s="24" t="s">
        <v>157</v>
      </c>
      <c r="G36" s="25" t="s">
        <v>10</v>
      </c>
      <c r="H36" s="8">
        <v>187.5</v>
      </c>
      <c r="I36" s="8" t="s">
        <v>56</v>
      </c>
      <c r="K36" s="95"/>
      <c r="L36" s="40"/>
      <c r="M36" s="16"/>
    </row>
    <row r="37" spans="2:18" ht="15.75" x14ac:dyDescent="0.25">
      <c r="E37" s="87">
        <v>4519</v>
      </c>
      <c r="F37" s="24" t="s">
        <v>159</v>
      </c>
      <c r="G37" s="25" t="s">
        <v>10</v>
      </c>
      <c r="H37" s="8">
        <v>139</v>
      </c>
      <c r="I37" s="8" t="s">
        <v>56</v>
      </c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7" zoomScale="90" zoomScaleNormal="9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'14'!B1+1</f>
        <v>45762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4760</v>
      </c>
      <c r="L15" s="9" t="s">
        <v>133</v>
      </c>
      <c r="M15" s="16" t="s">
        <v>147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>
        <v>4732</v>
      </c>
      <c r="L16" s="9" t="s">
        <v>133</v>
      </c>
      <c r="M16" s="16" t="s">
        <v>147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IF(vend15[[#This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60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0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'15'!B1+1</f>
        <v>45763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270</v>
      </c>
      <c r="D6" s="2"/>
      <c r="E6" s="87"/>
      <c r="F6" s="24"/>
      <c r="G6" s="42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2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270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270</v>
      </c>
      <c r="D15" s="2"/>
      <c r="E15" s="87"/>
      <c r="F15" s="24"/>
      <c r="G15" s="25"/>
      <c r="H15" s="8"/>
      <c r="I15" s="8"/>
      <c r="J15" s="2"/>
      <c r="K15" s="95">
        <v>4854</v>
      </c>
      <c r="L15" s="9" t="s">
        <v>133</v>
      </c>
      <c r="M15" s="16" t="s">
        <v>147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270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60"/>
      <c r="R17" s="1">
        <f>IF(vend16[[#This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42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4771</v>
      </c>
      <c r="F35" s="24" t="s">
        <v>150</v>
      </c>
      <c r="G35" s="25" t="s">
        <v>10</v>
      </c>
      <c r="H35" s="8">
        <v>150</v>
      </c>
      <c r="I35" s="8" t="s">
        <v>53</v>
      </c>
      <c r="K35" s="95"/>
      <c r="L35" s="40"/>
      <c r="M35" s="16"/>
    </row>
    <row r="36" spans="2:18" ht="15.75" x14ac:dyDescent="0.25">
      <c r="E36" s="91">
        <v>4600</v>
      </c>
      <c r="F36" s="24" t="s">
        <v>159</v>
      </c>
      <c r="G36" s="25" t="s">
        <v>10</v>
      </c>
      <c r="H36" s="8">
        <v>120</v>
      </c>
      <c r="I36" s="8" t="s">
        <v>79</v>
      </c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 t="s">
        <v>6</v>
      </c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BreakPreview" zoomScale="70" zoomScaleNormal="90" zoomScaleSheetLayoutView="70" workbookViewId="0">
      <selection activeCell="K37" sqref="K3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'16'!B1+1</f>
        <v>45764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4848</v>
      </c>
      <c r="L15" s="9" t="s">
        <v>133</v>
      </c>
      <c r="M15" s="16" t="s">
        <v>147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IF(vend17[[#This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'17'!B1+1</f>
        <v>45765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54"/>
      <c r="G6" s="79"/>
      <c r="H6" s="62"/>
      <c r="I6" s="62"/>
      <c r="J6" s="2"/>
      <c r="K6" s="24"/>
      <c r="L6" s="58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IF(vend18[[#This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56"/>
      <c r="F23" s="56"/>
      <c r="G23" s="56"/>
      <c r="H23" s="57"/>
      <c r="I23" s="5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>
        <v>1</v>
      </c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view="pageBreakPreview" zoomScale="70" zoomScaleNormal="90" zoomScaleSheetLayoutView="7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'18'!B1+1</f>
        <v>45766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59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7"/>
      <c r="F9" s="54"/>
      <c r="G9" s="79"/>
      <c r="H9" s="62"/>
      <c r="I9" s="62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IF(vend19[[#This Row],[Nº Venda]]&gt;1,1,0)</f>
        <v>0</v>
      </c>
    </row>
    <row r="18" spans="2:22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22" ht="15.75" x14ac:dyDescent="0.25">
      <c r="B26" s="2"/>
      <c r="C26" s="2"/>
      <c r="D26" s="2"/>
      <c r="E26" s="87"/>
      <c r="F26" s="38"/>
      <c r="G26" s="25"/>
      <c r="H26" s="8"/>
      <c r="I26" s="8"/>
      <c r="J26" s="2"/>
      <c r="K26" s="95"/>
      <c r="L26" s="9"/>
      <c r="M26" s="16"/>
    </row>
    <row r="27" spans="2:22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22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22" ht="15.75" x14ac:dyDescent="0.25">
      <c r="B29" s="2"/>
      <c r="C29" s="2"/>
      <c r="D29" s="2"/>
      <c r="E29" s="87"/>
      <c r="F29" s="24"/>
      <c r="G29" s="80"/>
      <c r="H29" s="25"/>
      <c r="I29" s="8"/>
      <c r="J29" s="2"/>
      <c r="K29" s="95"/>
      <c r="L29" s="9"/>
      <c r="M29" s="16"/>
    </row>
    <row r="30" spans="2:22" ht="15.75" x14ac:dyDescent="0.25">
      <c r="B30" s="2"/>
      <c r="C30" s="2"/>
      <c r="D30" s="2"/>
      <c r="E30" s="87"/>
      <c r="F30" s="24"/>
      <c r="G30" s="25"/>
      <c r="H30" s="8"/>
      <c r="I30" s="8"/>
      <c r="J30" s="2"/>
      <c r="K30" s="95"/>
      <c r="L30" s="9"/>
      <c r="M30" s="16"/>
    </row>
    <row r="31" spans="2:22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'19'!B1+1</f>
        <v>45767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60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IF(vend20[[#This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60"/>
    </row>
    <row r="36" spans="2:18" ht="15.75" x14ac:dyDescent="0.25">
      <c r="E36" s="91"/>
      <c r="F36" s="24"/>
      <c r="G36" s="25"/>
      <c r="H36" s="8"/>
      <c r="I36" s="8"/>
      <c r="K36" s="95"/>
      <c r="L36" s="61"/>
      <c r="M36" s="60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'20'!B1+1</f>
        <v>45768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IF(vend21[[#This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L29" sqref="L29"/>
    </sheetView>
  </sheetViews>
  <sheetFormatPr defaultColWidth="9.140625" defaultRowHeight="12.75" x14ac:dyDescent="0.2"/>
  <cols>
    <col min="1" max="1" width="3.7109375" style="1" customWidth="1"/>
    <col min="2" max="2" width="30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'21'!B1+1</f>
        <v>45769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134.75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134.75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134.75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134.75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IF(vend22[[#This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4843</v>
      </c>
      <c r="F35" s="24" t="s">
        <v>165</v>
      </c>
      <c r="G35" s="25" t="s">
        <v>10</v>
      </c>
      <c r="H35" s="8">
        <v>134.75</v>
      </c>
      <c r="I35" s="8" t="s">
        <v>52</v>
      </c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1" zoomScale="9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'22'!B1+1</f>
        <v>45770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0">
        <f>(SUMIF($G$2:$G$31,B11,$I$2:$I$31))+(SUMIF($G$35:$G$44,B11,$H$35:$H$44))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0">
        <f>(SUMIF($G$2:$G$31,B12,$I$2:$I$31))+(SUMIF($G$35:$G$44,B12,$H$35:$H$44))</f>
        <v>0</v>
      </c>
      <c r="D12" s="2"/>
      <c r="E12" s="87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0">
        <f>(SUMIF($G$2:$G$31,B13,$I$2:$I$31))+(SUMIF($G$35:$G$44,B13,$H$35:$H$44))</f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IF(vend23[[#This Row],[Nº Venda]]&gt;1,1,0)</f>
        <v>0</v>
      </c>
    </row>
    <row r="14" spans="2:18" ht="15.75" x14ac:dyDescent="0.25">
      <c r="B14" s="29" t="s">
        <v>9</v>
      </c>
      <c r="C14" s="70">
        <f>(SUMIF($G$2:$G$31,B14,$I$2:$I$31))+(SUMIF($G$35:$G$44,B14,$H$35:$H$44))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0">
        <f>(SUMIF($G$2:$G$31,B15,$I$2:$I$31))+(SUMIF($G$35:$G$44,B15,$H$35:$H$44))</f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IF(vend23[[#This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5"/>
      <c r="L41" s="40"/>
      <c r="M41" s="39"/>
    </row>
    <row r="42" spans="2:18" ht="15.75" x14ac:dyDescent="0.25">
      <c r="E42" s="83"/>
      <c r="F42" s="67"/>
      <c r="G42" s="68"/>
      <c r="H42" s="69"/>
      <c r="I42" s="17"/>
    </row>
    <row r="43" spans="2:18" ht="15.75" x14ac:dyDescent="0.25">
      <c r="E43" s="83"/>
      <c r="F43" s="81"/>
      <c r="G43" s="80"/>
      <c r="H43" s="82"/>
      <c r="I43" s="8"/>
    </row>
    <row r="44" spans="2:18" ht="15.75" x14ac:dyDescent="0.25">
      <c r="E44" s="84"/>
      <c r="F44" s="67"/>
      <c r="G44" s="68"/>
      <c r="H44" s="6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6" zoomScale="9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'23'!B1+1</f>
        <v>45771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IF(vend24[[#This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9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'24'!B1+1</f>
        <v>45772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7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7"/>
      <c r="F15" s="24"/>
      <c r="G15" s="25"/>
      <c r="H15" s="8"/>
      <c r="I15" s="8"/>
      <c r="J15" s="2"/>
      <c r="K15" s="95">
        <v>4800</v>
      </c>
      <c r="L15" s="9" t="s">
        <v>133</v>
      </c>
      <c r="M15" s="16" t="s">
        <v>147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87"/>
      <c r="F16" s="24"/>
      <c r="G16" s="25"/>
      <c r="H16" s="8"/>
      <c r="I16" s="8"/>
      <c r="J16" s="2"/>
      <c r="K16" s="95">
        <v>4860</v>
      </c>
      <c r="L16" s="9" t="s">
        <v>133</v>
      </c>
      <c r="M16" s="16" t="s">
        <v>162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>
        <v>4856</v>
      </c>
      <c r="L17" s="9" t="s">
        <v>133</v>
      </c>
      <c r="M17" s="16" t="s">
        <v>147</v>
      </c>
      <c r="R17" s="1">
        <f>IF(vend25[[#This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1</v>
      </c>
      <c r="C19" s="30">
        <f>SUM(entr_carn25[Valor Total])</f>
        <v>790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790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4030</v>
      </c>
      <c r="F35" s="24" t="s">
        <v>166</v>
      </c>
      <c r="G35" s="25" t="s">
        <v>6</v>
      </c>
      <c r="H35" s="64">
        <v>100</v>
      </c>
      <c r="I35" s="8" t="s">
        <v>53</v>
      </c>
      <c r="K35" s="95">
        <v>4860</v>
      </c>
      <c r="L35" s="40">
        <v>4</v>
      </c>
      <c r="M35" s="16">
        <v>790</v>
      </c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  <c r="Q39" s="1" t="s">
        <v>36</v>
      </c>
      <c r="R39" s="1">
        <f>SUM(R6:R21)</f>
        <v>0</v>
      </c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46" type="noConversion"/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'25'!B1+1</f>
        <v>45773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IF(vend26[[#This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'26'!B1+1</f>
        <v>45774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IF(vend27[[#This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30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'27'!B1+1</f>
        <v>45775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300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300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300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4849</v>
      </c>
      <c r="L15" s="9" t="s">
        <v>133</v>
      </c>
      <c r="M15" s="16" t="s">
        <v>162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300</v>
      </c>
      <c r="D16" s="2"/>
      <c r="E16" s="87"/>
      <c r="F16" s="24"/>
      <c r="G16" s="25"/>
      <c r="H16" s="8"/>
      <c r="I16" s="8"/>
      <c r="J16" s="2"/>
      <c r="K16" s="95">
        <v>4850</v>
      </c>
      <c r="L16" s="9" t="s">
        <v>133</v>
      </c>
      <c r="M16" s="16" t="s">
        <v>162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>
        <v>4852</v>
      </c>
      <c r="L17" s="9" t="s">
        <v>133</v>
      </c>
      <c r="M17" s="16" t="s">
        <v>147</v>
      </c>
      <c r="R17" s="1">
        <f>IF(vend28[[#This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2</v>
      </c>
      <c r="C19" s="30">
        <f>SUM(entr_carn28[Valor Total])</f>
        <v>990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990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>
        <v>4849</v>
      </c>
      <c r="F26" s="24" t="s">
        <v>168</v>
      </c>
      <c r="G26" s="25" t="s">
        <v>8</v>
      </c>
      <c r="H26" s="8">
        <v>0</v>
      </c>
      <c r="I26" s="8">
        <v>150</v>
      </c>
      <c r="J26" s="2"/>
      <c r="K26" s="95"/>
      <c r="L26" s="9"/>
      <c r="M26" s="16"/>
    </row>
    <row r="27" spans="2:18" ht="15.75" x14ac:dyDescent="0.25">
      <c r="B27" s="2"/>
      <c r="C27" s="2"/>
      <c r="D27" s="2"/>
      <c r="E27" s="87">
        <v>4850</v>
      </c>
      <c r="F27" s="24" t="s">
        <v>168</v>
      </c>
      <c r="G27" s="25" t="s">
        <v>8</v>
      </c>
      <c r="H27" s="8">
        <v>0</v>
      </c>
      <c r="I27" s="8">
        <v>150</v>
      </c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>
        <v>4849</v>
      </c>
      <c r="L35" s="40">
        <v>6</v>
      </c>
      <c r="M35" s="16">
        <v>495</v>
      </c>
    </row>
    <row r="36" spans="2:18" ht="15.75" x14ac:dyDescent="0.25">
      <c r="E36" s="91"/>
      <c r="F36" s="24"/>
      <c r="G36" s="25"/>
      <c r="H36" s="8"/>
      <c r="I36" s="8"/>
      <c r="K36" s="96">
        <v>4850</v>
      </c>
      <c r="L36" s="40">
        <v>6</v>
      </c>
      <c r="M36" s="16">
        <v>495</v>
      </c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K15:K31 K35 K37:K41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L36" sqref="L36"/>
    </sheetView>
  </sheetViews>
  <sheetFormatPr defaultColWidth="9.140625" defaultRowHeight="12.75" x14ac:dyDescent="0.2"/>
  <cols>
    <col min="1" max="1" width="3.7109375" style="1" customWidth="1"/>
    <col min="2" max="2" width="30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'28'!B1+1</f>
        <v>45776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43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IF(vend29[[#This Row],[Nº Venda]]&gt;1,1,0)</f>
        <v>0</v>
      </c>
    </row>
    <row r="18" spans="2:18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5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6" zoomScale="90" zoomScaleNormal="9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8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7">
        <f>'29'!B1+1</f>
        <v>45777</v>
      </c>
      <c r="L1" s="99" t="s">
        <v>142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1112.5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1112.5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2" t="s">
        <v>5</v>
      </c>
      <c r="C10" s="102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112.5</v>
      </c>
      <c r="D12" s="2"/>
      <c r="E12" s="87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5">
        <v>4799</v>
      </c>
      <c r="L15" s="9" t="s">
        <v>133</v>
      </c>
      <c r="M15" s="16" t="s">
        <v>147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1112.5</v>
      </c>
      <c r="D16" s="2"/>
      <c r="E16" s="87"/>
      <c r="F16" s="24"/>
      <c r="G16" s="25"/>
      <c r="H16" s="8"/>
      <c r="I16" s="8"/>
      <c r="J16" s="2"/>
      <c r="K16" s="9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5"/>
      <c r="L17" s="9"/>
      <c r="M17" s="16"/>
      <c r="R17" s="1">
        <f>IF(vend30[[#This Row],[Nº Venda]]&gt;1,1,0)</f>
        <v>0</v>
      </c>
    </row>
    <row r="18" spans="2:22" ht="15.75" x14ac:dyDescent="0.25">
      <c r="B18" s="102" t="s">
        <v>12</v>
      </c>
      <c r="C18" s="102"/>
      <c r="D18" s="2"/>
      <c r="E18" s="87"/>
      <c r="F18" s="24"/>
      <c r="G18" s="25"/>
      <c r="H18" s="8"/>
      <c r="I18" s="8"/>
      <c r="J18" s="2"/>
      <c r="K18" s="95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7"/>
      <c r="F19" s="24"/>
      <c r="G19" s="25"/>
      <c r="H19" s="8"/>
      <c r="I19" s="8"/>
      <c r="J19" s="2"/>
      <c r="K19" s="95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5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5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5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5"/>
      <c r="L25" s="9"/>
      <c r="M25" s="16"/>
    </row>
    <row r="26" spans="2:22" ht="15.75" x14ac:dyDescent="0.25">
      <c r="B26" s="2"/>
      <c r="C26" s="2"/>
      <c r="D26" s="2"/>
      <c r="E26" s="87">
        <v>4799</v>
      </c>
      <c r="F26" s="24" t="s">
        <v>164</v>
      </c>
      <c r="G26" s="25" t="s">
        <v>6</v>
      </c>
      <c r="H26" s="8"/>
      <c r="I26" s="8">
        <v>1000</v>
      </c>
      <c r="J26" s="2"/>
      <c r="K26" s="95"/>
      <c r="L26" s="9"/>
      <c r="M26" s="16"/>
    </row>
    <row r="27" spans="2:22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5"/>
      <c r="L27" s="9"/>
      <c r="M27" s="16"/>
    </row>
    <row r="28" spans="2:22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5"/>
      <c r="L28" s="9"/>
      <c r="M28" s="16"/>
    </row>
    <row r="29" spans="2:22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5"/>
      <c r="L29" s="9"/>
      <c r="M29" s="16"/>
    </row>
    <row r="30" spans="2:22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5"/>
      <c r="L30" s="9"/>
      <c r="M30" s="16"/>
    </row>
    <row r="31" spans="2:22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5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4698</v>
      </c>
      <c r="F35" s="24" t="s">
        <v>169</v>
      </c>
      <c r="G35" s="25" t="s">
        <v>7</v>
      </c>
      <c r="H35" s="8">
        <v>112.5</v>
      </c>
      <c r="I35" s="8" t="s">
        <v>78</v>
      </c>
      <c r="K35" s="95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5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5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5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5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6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5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7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2025-05-30T17:21:24Z</cp:lastPrinted>
  <dcterms:created xsi:type="dcterms:W3CDTF">2004-04-07T20:43:43Z</dcterms:created>
  <dcterms:modified xsi:type="dcterms:W3CDTF">2025-10-11T13:38:59Z</dcterms:modified>
  <cp:category/>
  <cp:contentStatus/>
</cp:coreProperties>
</file>