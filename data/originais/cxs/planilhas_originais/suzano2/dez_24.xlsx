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1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comments2.xml" ContentType="application/vnd.openxmlformats-officedocument.spreadsheetml.comments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4/"/>
    </mc:Choice>
  </mc:AlternateContent>
  <xr:revisionPtr revIDLastSave="710" documentId="8_{20048746-4408-4412-9F4D-B1900827C9FD}" xr6:coauthVersionLast="47" xr6:coauthVersionMax="47" xr10:uidLastSave="{BEEB8144-D07D-406A-9291-CC1D9CB80CEA}"/>
  <bookViews>
    <workbookView xWindow="-120" yWindow="330" windowWidth="20730" windowHeight="11310" tabRatio="895" firstSheet="2" activeTab="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2" sheetId="182" r:id="rId11"/>
    <sheet name="10" sheetId="176" r:id="rId12"/>
    <sheet name="11" sheetId="180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3"/>
  <c r="C6" i="172"/>
  <c r="C6" i="171"/>
  <c r="C6" i="178"/>
  <c r="C6" i="179"/>
  <c r="C6" i="184"/>
  <c r="C6" i="185"/>
  <c r="C6" i="186"/>
  <c r="C6" i="191"/>
  <c r="C6" i="192"/>
  <c r="C6" i="175"/>
  <c r="B1" i="171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2"/>
  <c r="C8" i="171"/>
  <c r="C8" i="17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92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C16" i="189"/>
  <c r="C16" i="188"/>
  <c r="C16" i="185"/>
  <c r="O11" i="185" s="1"/>
  <c r="C8" i="178"/>
  <c r="C8" i="185"/>
  <c r="C16" i="198"/>
  <c r="C16" i="199"/>
  <c r="C16" i="192"/>
  <c r="O11" i="192" s="1"/>
  <c r="C16" i="197"/>
  <c r="C16" i="194"/>
  <c r="C16" i="195"/>
  <c r="C16" i="193"/>
  <c r="C16" i="191"/>
  <c r="O11" i="191" s="1"/>
  <c r="C16" i="190"/>
  <c r="C16" i="187"/>
  <c r="C16" i="186"/>
  <c r="O11" i="186" s="1"/>
  <c r="C16" i="184"/>
  <c r="O11" i="184" s="1"/>
  <c r="C8" i="184"/>
  <c r="C16" i="179"/>
  <c r="O11" i="179" s="1"/>
  <c r="C16" i="181"/>
  <c r="C16" i="183"/>
  <c r="C16" i="182"/>
  <c r="C16" i="180"/>
  <c r="C16" i="176"/>
  <c r="C16" i="177"/>
  <c r="C16" i="178"/>
  <c r="O11" i="178" s="1"/>
  <c r="C16" i="172"/>
  <c r="O11" i="172" s="1"/>
  <c r="C16" i="173"/>
  <c r="O11" i="173" s="1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4" l="1"/>
  <c r="C6" i="174"/>
  <c r="C8" i="174" s="1"/>
  <c r="O11" i="198"/>
  <c r="C6" i="198"/>
  <c r="C8" i="198" s="1"/>
  <c r="O11" i="196"/>
  <c r="C6" i="196"/>
  <c r="C8" i="196" s="1"/>
  <c r="O11" i="197"/>
  <c r="C6" i="197"/>
  <c r="C8" i="197" s="1"/>
  <c r="O11" i="199"/>
  <c r="C6" i="199"/>
  <c r="C8" i="199" s="1"/>
  <c r="O11" i="194"/>
  <c r="C6" i="194"/>
  <c r="C8" i="194" s="1"/>
  <c r="O11" i="193"/>
  <c r="C6" i="193"/>
  <c r="C8" i="193" s="1"/>
  <c r="O11" i="188"/>
  <c r="C6" i="188"/>
  <c r="C8" i="188" s="1"/>
  <c r="O11" i="190"/>
  <c r="C6" i="190"/>
  <c r="C8" i="190" s="1"/>
  <c r="O11" i="189"/>
  <c r="C6" i="189"/>
  <c r="C8" i="189" s="1"/>
  <c r="O11" i="187"/>
  <c r="C6" i="187"/>
  <c r="C8" i="187" s="1"/>
  <c r="O11" i="181"/>
  <c r="C6" i="181"/>
  <c r="C8" i="181" s="1"/>
  <c r="O11" i="183"/>
  <c r="C6" i="183"/>
  <c r="C8" i="183" s="1"/>
  <c r="O11" i="182"/>
  <c r="C6" i="182"/>
  <c r="C8" i="182" s="1"/>
  <c r="O11" i="180"/>
  <c r="C6" i="180"/>
  <c r="C8" i="180" s="1"/>
  <c r="O11" i="176"/>
  <c r="C6" i="176"/>
  <c r="C8" i="176" s="1"/>
  <c r="O11" i="177"/>
  <c r="C6" i="177"/>
  <c r="C8" i="177" s="1"/>
  <c r="O11" i="170"/>
  <c r="C6" i="170"/>
  <c r="C8" i="170" s="1"/>
  <c r="O11" i="195"/>
  <c r="C6" i="195"/>
  <c r="B14" i="200"/>
  <c r="C16" i="103"/>
  <c r="R40" i="103"/>
  <c r="O11" i="103" l="1"/>
  <c r="C6" i="103"/>
  <c r="C8" i="103" s="1"/>
  <c r="C8" i="195"/>
  <c r="B1" i="174"/>
  <c r="B1" i="173" s="1"/>
  <c r="B1" i="172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26" authorId="0" shapeId="0" xr:uid="{AE681273-E99A-4E9C-8E94-C982EA32D95C}">
      <text>
        <r>
          <rPr>
            <sz val="9"/>
            <color indexed="81"/>
            <rFont val="Segoe UI"/>
            <charset val="1"/>
          </rPr>
          <t xml:space="preserve">
Restante de entrada
- 1° parte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27" authorId="0" shapeId="0" xr:uid="{5012B3B7-6C8D-442A-8615-24ADE3AB29FD}">
      <text>
        <r>
          <rPr>
            <sz val="9"/>
            <color indexed="81"/>
            <rFont val="Segoe UI"/>
            <charset val="1"/>
          </rPr>
          <t xml:space="preserve">
Restante de entrada
- 2° parte
</t>
        </r>
      </text>
    </comment>
  </commentList>
</comments>
</file>

<file path=xl/sharedStrings.xml><?xml version="1.0" encoding="utf-8"?>
<sst xmlns="http://schemas.openxmlformats.org/spreadsheetml/2006/main" count="1756" uniqueCount="184">
  <si>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</si>
  <si>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</si>
  <si>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</si>
  <si>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</si>
  <si>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</si>
  <si>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</si>
  <si>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</si>
  <si>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</si>
  <si>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</si>
  <si>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</si>
  <si>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</si>
  <si>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</si>
  <si>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</si>
  <si>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</si>
  <si>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</si>
  <si>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</si>
  <si>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</si>
  <si>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</si>
  <si>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</si>
  <si>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</si>
  <si>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</si>
  <si>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</si>
  <si>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</si>
  <si>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</si>
  <si>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</si>
  <si>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</si>
  <si>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</si>
  <si>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</si>
  <si>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</si>
  <si>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</si>
  <si>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</si>
  <si>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</si>
  <si>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</si>
  <si>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</si>
  <si>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</si>
  <si>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</si>
  <si>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</si>
  <si>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</si>
  <si>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</si>
  <si>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</si>
  <si>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</si>
  <si>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</si>
  <si>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</si>
  <si>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</si>
  <si>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</si>
  <si>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</si>
  <si>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</si>
  <si>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</si>
  <si>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</si>
  <si>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</si>
  <si>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</si>
  <si>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</si>
  <si>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</si>
  <si>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</si>
  <si>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</si>
  <si>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</si>
  <si>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</si>
  <si>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</si>
  <si>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</si>
  <si>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</si>
  <si>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</si>
  <si>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</si>
  <si>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</si>
  <si>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</si>
  <si>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</si>
  <si>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</si>
  <si>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</si>
  <si>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</si>
  <si>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</si>
  <si>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</si>
  <si>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</si>
  <si>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</si>
  <si>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</si>
  <si>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</si>
  <si>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</si>
  <si>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</si>
  <si>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</si>
  <si>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</si>
  <si>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</si>
  <si>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</si>
  <si>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</si>
  <si>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</si>
  <si>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</si>
  <si>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</si>
  <si>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</si>
  <si>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</si>
  <si>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</si>
  <si>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</si>
  <si>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</si>
  <si>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</si>
  <si>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</si>
  <si>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</si>
  <si>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</si>
  <si>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</si>
  <si>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</si>
  <si>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</si>
  <si>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</si>
  <si>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</si>
  <si>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</si>
  <si>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</si>
  <si>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</si>
  <si>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</si>
  <si>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</si>
  <si>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</si>
  <si>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</si>
  <si>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</si>
  <si>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</si>
  <si>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</si>
  <si>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</si>
  <si>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</si>
  <si>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</si>
  <si>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</si>
  <si>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</si>
  <si>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</si>
  <si>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</si>
  <si>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</si>
  <si>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</si>
  <si>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</si>
  <si>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</si>
  <si>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</si>
  <si>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</si>
  <si>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</si>
  <si>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</si>
  <si>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</si>
  <si>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</si>
  <si>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</si>
  <si>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</si>
  <si>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</si>
  <si>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</si>
  <si>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</si>
  <si>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</si>
  <si>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</si>
  <si>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</si>
  <si>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</si>
  <si>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</si>
  <si>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</si>
  <si>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</si>
  <si>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</si>
  <si>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</si>
  <si>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</si>
  <si>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</si>
  <si>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</si>
  <si>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JOSE NILTON GOMES VIEIRA</t>
  </si>
  <si>
    <t>Não</t>
  </si>
  <si>
    <t>PEDRO HERMELATO DOS SANOS</t>
  </si>
  <si>
    <t>LUANA STHEFANI DE OLIVEIRA</t>
  </si>
  <si>
    <t>SIM</t>
  </si>
  <si>
    <t>GEORGINA MACHADO</t>
  </si>
  <si>
    <t>NÃO</t>
  </si>
  <si>
    <t>EDSON MARQUES DA SILVA</t>
  </si>
  <si>
    <t>MICHELE RODRIGUES SAITO</t>
  </si>
  <si>
    <t>AGUA</t>
  </si>
  <si>
    <t>ELIANA FRANÇA DE OLIVEIRA</t>
  </si>
  <si>
    <t>JONATAS CORDEIRO DE OLIVEIRA</t>
  </si>
  <si>
    <t>GIOVANNA CRISTINA FRANÇA DE OLIVEIRA</t>
  </si>
  <si>
    <t>KETELLIN GOMES JUVENCIO</t>
  </si>
  <si>
    <t>Sim</t>
  </si>
  <si>
    <t>INDAIARA CELIA DOS SANTOS CAVALCANTE</t>
  </si>
  <si>
    <t>ANTONIO TROGUILHO</t>
  </si>
  <si>
    <t>BENEDITA APARECIDA CALDOMANIS DE MELLO</t>
  </si>
  <si>
    <t>ISABELLA VIANA DE SILVA OLIVEIRA</t>
  </si>
  <si>
    <t>SUELI DE SOUZA</t>
  </si>
  <si>
    <t>ISABELLE VIANA DA SILVA OLIVEIRA</t>
  </si>
  <si>
    <t>RITA DE CASSIA CARDOSO LANDIM</t>
  </si>
  <si>
    <t>ALZAIR DE BARROS SOUZA</t>
  </si>
  <si>
    <t>LORENZO GUILHERME MOREIRA DOS SANTOS</t>
  </si>
  <si>
    <t>LIVIA DE SOUZA SANTANA</t>
  </si>
  <si>
    <t>Água</t>
  </si>
  <si>
    <t>SILVIA NEVES DE PAULA</t>
  </si>
  <si>
    <t>FABIANA ANDRADE</t>
  </si>
  <si>
    <t>DONIZETE RIBEIRO DE OLIVEIRA</t>
  </si>
  <si>
    <t>HELIO FERREIRA DA COSTA</t>
  </si>
  <si>
    <t>VANDERLEI DE BRITO FURTADO</t>
  </si>
  <si>
    <t>FERNANDO DE ALMEIDA AMADEU</t>
  </si>
  <si>
    <t>APARECIDO RONOFRE</t>
  </si>
  <si>
    <t>CAMILA BISPO DE SOUZA</t>
  </si>
  <si>
    <t>ALINE DE SANTANA MORAIS</t>
  </si>
  <si>
    <t xml:space="preserve">    </t>
  </si>
  <si>
    <t xml:space="preserve">  </t>
  </si>
  <si>
    <t xml:space="preserve">EDNA FERREIRA PIRES </t>
  </si>
  <si>
    <t>VERA LUCIA MELOTI</t>
  </si>
  <si>
    <t>PAULO ROBERTO PEIXOTO DO NACIMENTO</t>
  </si>
  <si>
    <t>ELIZABTHE SILVA RODRIGUES</t>
  </si>
  <si>
    <t>Sara Patrocínio Gonçalves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</si>
</sst>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name val="Arial"/>
      <family val="2"/>
    </font>
    <font>
      <i/>
      <sz val="11"/>
      <name val="Calibri"/>
      <family val="2"/>
      <scheme val="minor"/>
    </font>
    <font>
      <i/>
      <sz val="11"/>
      <name val="Calibri"/>
      <family val="2"/>
    </font>
    <font>
      <i/>
      <sz val="11"/>
      <name val="Arial"/>
      <family val="2"/>
    </font>
    <font>
      <sz val="11"/>
      <name val="Arial Black"/>
      <family val="2"/>
    </font>
    <font>
      <sz val="24"/>
      <name val="Arial Black"/>
      <family val="2"/>
    </font>
    <font>
      <sz val="27"/>
      <name val="Arial Black"/>
      <family val="2"/>
    </font>
    <font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13" fillId="0" borderId="0" xfId="0" applyFont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" fontId="3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164" fontId="31" fillId="0" borderId="0" xfId="2" applyFont="1" applyFill="1" applyBorder="1" applyAlignment="1">
      <alignment horizontal="center"/>
    </xf>
    <xf numFmtId="165" fontId="31" fillId="0" borderId="0" xfId="4" applyNumberFormat="1" applyFont="1" applyFill="1" applyBorder="1" applyAlignment="1">
      <alignment horizontal="center"/>
    </xf>
    <xf numFmtId="165" fontId="31" fillId="0" borderId="0" xfId="0" applyNumberFormat="1" applyFont="1" applyAlignment="1">
      <alignment horizontal="center"/>
    </xf>
    <xf numFmtId="1" fontId="31" fillId="0" borderId="17" xfId="0" applyNumberFormat="1" applyFont="1" applyBorder="1" applyAlignment="1">
      <alignment horizontal="center"/>
    </xf>
    <xf numFmtId="1" fontId="31" fillId="0" borderId="17" xfId="2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165" fontId="10" fillId="7" borderId="8" xfId="0" applyNumberFormat="1" applyFont="1" applyFill="1" applyBorder="1" applyAlignment="1">
      <alignment horizontal="center"/>
    </xf>
    <xf numFmtId="164" fontId="10" fillId="7" borderId="6" xfId="2" applyFont="1" applyFill="1" applyBorder="1" applyAlignment="1">
      <alignment horizontal="center"/>
    </xf>
    <xf numFmtId="164" fontId="31" fillId="0" borderId="2" xfId="2" applyFont="1" applyFill="1" applyBorder="1" applyAlignment="1">
      <alignment horizontal="center"/>
    </xf>
    <xf numFmtId="165" fontId="31" fillId="0" borderId="11" xfId="4" applyNumberFormat="1" applyFont="1" applyFill="1" applyBorder="1" applyAlignment="1">
      <alignment horizontal="center"/>
    </xf>
    <xf numFmtId="1" fontId="31" fillId="0" borderId="3" xfId="0" applyNumberFormat="1" applyFont="1" applyBorder="1" applyAlignment="1">
      <alignment horizontal="center"/>
    </xf>
    <xf numFmtId="164" fontId="33" fillId="0" borderId="0" xfId="2" applyFont="1" applyFill="1" applyBorder="1" applyAlignment="1">
      <alignment horizontal="center"/>
    </xf>
    <xf numFmtId="165" fontId="33" fillId="0" borderId="0" xfId="4" applyNumberFormat="1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164" fontId="33" fillId="0" borderId="2" xfId="2" applyFont="1" applyFill="1" applyBorder="1" applyAlignment="1">
      <alignment horizontal="center"/>
    </xf>
    <xf numFmtId="0" fontId="31" fillId="0" borderId="0" xfId="0" applyFont="1"/>
    <xf numFmtId="0" fontId="34" fillId="0" borderId="0" xfId="0" applyFont="1"/>
    <xf numFmtId="0" fontId="18" fillId="0" borderId="0" xfId="0" applyFont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5" fillId="0" borderId="0" xfId="2" applyFont="1" applyFill="1" applyBorder="1" applyAlignment="1">
      <alignment horizontal="center"/>
    </xf>
    <xf numFmtId="165" fontId="5" fillId="0" borderId="0" xfId="4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6" fillId="7" borderId="6" xfId="0" applyFont="1" applyFill="1" applyBorder="1" applyAlignment="1">
      <alignment horizontal="center"/>
    </xf>
    <xf numFmtId="165" fontId="36" fillId="7" borderId="8" xfId="0" applyNumberFormat="1" applyFont="1" applyFill="1" applyBorder="1" applyAlignment="1">
      <alignment horizontal="center"/>
    </xf>
    <xf numFmtId="164" fontId="5" fillId="0" borderId="2" xfId="2" applyFont="1" applyFill="1" applyBorder="1" applyAlignment="1">
      <alignment horizontal="center"/>
    </xf>
    <xf numFmtId="165" fontId="5" fillId="0" borderId="11" xfId="4" applyNumberFormat="1" applyFont="1" applyFill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64" fontId="5" fillId="5" borderId="0" xfId="2" applyFont="1" applyFill="1" applyBorder="1" applyAlignment="1">
      <alignment horizontal="center"/>
    </xf>
    <xf numFmtId="164" fontId="24" fillId="0" borderId="3" xfId="2" applyFont="1" applyFill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165" fontId="31" fillId="0" borderId="13" xfId="0" applyNumberFormat="1" applyFont="1" applyBorder="1" applyAlignment="1">
      <alignment horizontal="center"/>
    </xf>
    <xf numFmtId="1" fontId="40" fillId="0" borderId="17" xfId="0" applyNumberFormat="1" applyFont="1" applyBorder="1" applyAlignment="1">
      <alignment horizontal="center"/>
    </xf>
    <xf numFmtId="164" fontId="31" fillId="0" borderId="3" xfId="2" applyFont="1" applyFill="1" applyBorder="1" applyAlignment="1">
      <alignment horizontal="center"/>
    </xf>
    <xf numFmtId="165" fontId="31" fillId="0" borderId="3" xfId="4" applyNumberFormat="1" applyFont="1" applyFill="1" applyBorder="1" applyAlignment="1">
      <alignment horizontal="center"/>
    </xf>
    <xf numFmtId="1" fontId="31" fillId="0" borderId="3" xfId="2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5" fontId="31" fillId="0" borderId="6" xfId="0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4" fontId="39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4" fontId="31" fillId="5" borderId="0" xfId="2" applyFont="1" applyFill="1" applyBorder="1" applyAlignment="1">
      <alignment horizontal="center"/>
    </xf>
    <xf numFmtId="1" fontId="31" fillId="0" borderId="17" xfId="2" applyNumberFormat="1" applyFont="1" applyBorder="1" applyAlignment="1">
      <alignment horizontal="center"/>
    </xf>
    <xf numFmtId="164" fontId="31" fillId="0" borderId="0" xfId="2" applyFont="1" applyAlignment="1">
      <alignment horizontal="center"/>
    </xf>
    <xf numFmtId="165" fontId="31" fillId="0" borderId="0" xfId="4" applyNumberFormat="1" applyFont="1" applyAlignment="1">
      <alignment horizontal="center"/>
    </xf>
    <xf numFmtId="1" fontId="31" fillId="0" borderId="13" xfId="2" applyNumberFormat="1" applyFont="1" applyFill="1" applyBorder="1" applyAlignment="1">
      <alignment horizontal="center"/>
    </xf>
    <xf numFmtId="165" fontId="31" fillId="0" borderId="9" xfId="0" applyNumberFormat="1" applyFont="1" applyBorder="1" applyAlignment="1">
      <alignment horizontal="center"/>
    </xf>
    <xf numFmtId="1" fontId="31" fillId="0" borderId="3" xfId="2" applyNumberFormat="1" applyFont="1" applyFill="1" applyBorder="1" applyAlignment="1">
      <alignment horizontal="center"/>
    </xf>
    <xf numFmtId="165" fontId="41" fillId="0" borderId="6" xfId="0" applyNumberFormat="1" applyFont="1" applyBorder="1" applyAlignment="1">
      <alignment horizontal="center"/>
    </xf>
    <xf numFmtId="164" fontId="36" fillId="7" borderId="6" xfId="2" applyFont="1" applyFill="1" applyBorder="1" applyAlignment="1" applyProtection="1">
      <alignment horizontal="center"/>
    </xf>
    <xf numFmtId="0" fontId="12" fillId="0" borderId="0" xfId="0" applyFont="1" applyAlignment="1">
      <alignment horizontal="center"/>
    </xf>
    <xf numFmtId="165" fontId="13" fillId="6" borderId="12" xfId="2" applyNumberFormat="1" applyFont="1" applyFill="1" applyBorder="1" applyAlignment="1">
      <alignment horizontal="center" vertical="center"/>
    </xf>
    <xf numFmtId="1" fontId="31" fillId="5" borderId="10" xfId="2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0" fontId="42" fillId="0" borderId="0" xfId="0" applyFont="1"/>
    <xf numFmtId="0" fontId="33" fillId="0" borderId="0" xfId="0" applyFont="1" applyAlignment="1">
      <alignment horizontal="center"/>
    </xf>
    <xf numFmtId="0" fontId="24" fillId="0" borderId="0" xfId="0" applyFont="1"/>
    <xf numFmtId="0" fontId="34" fillId="0" borderId="0" xfId="0" applyFont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13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 headerRowDxfId="1678" dataDxfId="1677">
  <autoFilter ref="P1:P18" xr:uid="{A07979E3-B559-4616-B340-41AD393CE256}"/>
  <tableColumns count="1">
    <tableColumn id="1" xr3:uid="{72FA060C-600C-46E7-82BB-477F5B3C8BCF}" name="Colaboradores" dataDxfId="16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184" dataCellStyle="Moeda"/>
    <tableColumn id="5" xr3:uid="{C388448A-992D-4C2D-8BB2-14D587C7E260}" name="Cliente" dataDxfId="1183" dataCellStyle="Moeda"/>
    <tableColumn id="2" xr3:uid="{C66BE185-63F5-4991-91CC-2661F40F891F}" name="Forma de Pgto" dataDxfId="1182" dataCellStyle="Moeda"/>
    <tableColumn id="3" xr3:uid="{C86C165C-F04B-4F8A-9769-AE38C03F025E}" name="Valor Venda" dataDxfId="1181" dataCellStyle="Porcentagem"/>
    <tableColumn id="4" xr3:uid="{C11C99C9-E646-4417-8698-61AFF55AB567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696BC9EF-69BB-4D0D-96DF-B836B5771C08}" name="Descrição" dataDxfId="1174"/>
    <tableColumn id="2" xr3:uid="{4F12E940-09E4-4E51-A2A0-CEF5523233E2}" name="Tipo de Pagto" dataDxfId="1173"/>
    <tableColumn id="3" xr3:uid="{329E2ABB-99D4-47D1-8CEB-C3F4DE69A1C8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171" dataDxfId="1169" headerRowBorderDxfId="1170" tableBorderDxfId="1168" totalsRowBorderDxfId="11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166"/>
    <tableColumn id="2" xr3:uid="{4745164B-5E29-4C65-87CA-C8C1B31B8272}" name="Cliente" dataDxfId="1165"/>
    <tableColumn id="3" xr3:uid="{69D7D490-36CA-4F69-BF76-2ADB810B4F37}" name="Forma de Pgto" dataDxfId="1164" dataCellStyle="Moeda"/>
    <tableColumn id="4" xr3:uid="{9B6B365B-42F7-499F-B705-B8F5196F8192}" name="Valor Venda" dataDxfId="1163" dataCellStyle="Porcentagem"/>
    <tableColumn id="5" xr3:uid="{7C88B9A2-2920-4AD8-AC1F-7417F3FA8282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5740FA63-223C-47B7-8842-178B003DB4BC}" name="OS" dataDxfId="1156"/>
    <tableColumn id="2" xr3:uid="{5CCC3C75-C80E-44BB-BC37-80F487481DDA}" name="Vendedor" dataDxfId="1155"/>
    <tableColumn id="3" xr3:uid="{585175B8-B982-429E-9344-163CE2687302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153" dataDxfId="1151" headerRowBorderDxfId="1152" tableBorderDxfId="1150" totalsRowBorderDxfId="114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148"/>
    <tableColumn id="2" xr3:uid="{2540FF22-68AB-4A04-B72D-DDBC8B064A8D}" name="Cliente" dataDxfId="1147"/>
    <tableColumn id="3" xr3:uid="{A7CB1680-9636-42C6-8AD9-F68C54BBCE0A}" name="Forma de Pgto" dataDxfId="1146" dataCellStyle="Moeda"/>
    <tableColumn id="4" xr3:uid="{727C37A8-450C-4D57-A2C9-396F29733C0A}" name="Valor Parcela" dataDxfId="1145" dataCellStyle="Porcentagem"/>
    <tableColumn id="5" xr3:uid="{4B27DCBF-BD8C-46A2-BC12-DE369C458E8A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0FAE849-4EC1-49E6-990F-8A43377EE6C3}" name="OS" dataDxfId="1138"/>
    <tableColumn id="2" xr3:uid="{B3127003-34D7-49FE-AFFC-7FA256F8BC3F}" name="Parcelas" dataDxfId="1137"/>
    <tableColumn id="3" xr3:uid="{412AC98E-5FB9-4C3C-9FBF-2EBE1631A397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30" dataCellStyle="Moeda"/>
    <tableColumn id="5" xr3:uid="{A57F8BDB-02F9-493C-AD6D-F47611C369D5}" name="Cliente" dataDxfId="1129" dataCellStyle="Moeda"/>
    <tableColumn id="2" xr3:uid="{3BF4EA26-026F-42E1-9B28-3FCC68B54E9F}" name="Forma de Pgto" dataDxfId="1128" dataCellStyle="Moeda"/>
    <tableColumn id="3" xr3:uid="{FD063076-8462-4774-B716-34AAD1738449}" name="Valor Venda" dataDxfId="1127" dataCellStyle="Porcentagem"/>
    <tableColumn id="4" xr3:uid="{690445E0-65B1-450A-A6D3-179070107086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5D510C76-887A-4F0A-A2F3-BD55732E9E85}" name="Descrição" dataDxfId="1120"/>
    <tableColumn id="2" xr3:uid="{F6C1F4A7-28F4-48F8-905E-708FA62EB574}" name="Tipo de Pagto" dataDxfId="1119"/>
    <tableColumn id="3" xr3:uid="{E62B0002-F6CD-4351-A9EA-673FC7C97B03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17" dataDxfId="1115" headerRowBorderDxfId="1116" tableBorderDxfId="1114" totalsRowBorderDxfId="1113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12"/>
    <tableColumn id="2" xr3:uid="{822B50C3-46B7-46F0-8829-5293CCAFB21E}" name="Cliente" dataDxfId="1111"/>
    <tableColumn id="3" xr3:uid="{F2A36AB3-30D6-4C43-A466-18FF147EE075}" name="Forma de Pgto" dataDxfId="1110" dataCellStyle="Moeda"/>
    <tableColumn id="4" xr3:uid="{AD829CF8-2271-44F1-A1F1-4928D83ED658}" name="Valor Venda" dataDxfId="1109" dataCellStyle="Porcentagem"/>
    <tableColumn id="5" xr3:uid="{7973C843-3740-4AE2-931D-89DE845BA145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07" dataDxfId="1105" headerRowBorderDxfId="1106" tableBorderDxfId="1104" totalsRowBorderDxfId="1103">
  <autoFilter ref="K14:M31" xr:uid="{C83FE64B-E221-4DAA-89EA-5307A7BC98B3}"/>
  <tableColumns count="3">
    <tableColumn id="1" xr3:uid="{404BEA27-9F48-40AC-AF84-177E7CA2ADEC}" name="OS" dataDxfId="1102"/>
    <tableColumn id="2" xr3:uid="{BC07784A-25E9-4C57-B0FF-1E3D183BCD37}" name="Vendedor" dataDxfId="1101"/>
    <tableColumn id="3" xr3:uid="{EFFF7860-5B35-466B-BA53-4485DC02FB15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099" dataDxfId="1097" headerRowBorderDxfId="1098" tableBorderDxfId="1096" totalsRowBorderDxfId="1095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094"/>
    <tableColumn id="2" xr3:uid="{A8D4686B-F05E-4D96-BDB9-FD354C9E28B8}" name="Cliente" dataDxfId="1093"/>
    <tableColumn id="3" xr3:uid="{0FB871EC-4505-4E7C-A162-0EFDB16AB8E5}" name="Forma de Pgto" dataDxfId="1092" dataCellStyle="Moeda"/>
    <tableColumn id="4" xr3:uid="{41436228-3E61-4F7F-80EF-627B1794150B}" name="Valor Parcela" dataDxfId="1091" dataCellStyle="Porcentagem"/>
    <tableColumn id="5" xr3:uid="{9C580DC7-08E3-4AD7-B73C-C1AA4298633B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6E774D52-7DFE-4ED1-9F2F-47B5899CBAC1}" name="OS" dataDxfId="1084"/>
    <tableColumn id="2" xr3:uid="{39CE62CA-537C-4DF4-B8D5-281ED0EE57C3}" name="Parcelas" dataDxfId="1083"/>
    <tableColumn id="3" xr3:uid="{830AFF05-9BCF-488F-97F3-8D4378DE4DCB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76" dataCellStyle="Moeda"/>
    <tableColumn id="5" xr3:uid="{CE0B3E90-9420-4A96-9195-72088311874E}" name="Cliente" dataDxfId="1075" dataCellStyle="Moeda"/>
    <tableColumn id="2" xr3:uid="{3EF1B45D-588D-4066-8ACF-697863B5F984}" name="Forma de Pgto" dataDxfId="1074" dataCellStyle="Moeda"/>
    <tableColumn id="3" xr3:uid="{9ADBAC7B-B04C-4E2B-9C83-E18200698CCE}" name="Valor Venda" dataDxfId="1073" dataCellStyle="Porcentagem"/>
    <tableColumn id="4" xr3:uid="{16823673-1F5B-4F46-A676-8665CF4D02BA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A02811B4-F6FA-4EDA-94FE-5EDFE6293B48}" name="Descrição" dataDxfId="1066"/>
    <tableColumn id="2" xr3:uid="{39EAD4CE-DDFA-4948-8B1E-10589BABDD84}" name="Tipo de Pagto" dataDxfId="1065"/>
    <tableColumn id="3" xr3:uid="{30C3BD81-38C9-4C67-BF45-044DFDDD7A0B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58"/>
    <tableColumn id="2" xr3:uid="{BE6E3444-490A-4F75-BE63-234EB84D04F7}" name="Cliente" dataDxfId="1057"/>
    <tableColumn id="3" xr3:uid="{868472E6-6C45-4AEC-9672-E559CFA15EA7}" name="Forma de Pgto" dataDxfId="1056" dataCellStyle="Moeda"/>
    <tableColumn id="4" xr3:uid="{DB2D0AA9-9B1E-4A35-B9B2-8B1052EAD782}" name="Valor Venda" dataDxfId="1055" dataCellStyle="Porcentagem"/>
    <tableColumn id="5" xr3:uid="{C23CEEDF-415E-4EFC-ACF7-2661157A84C3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53" dataDxfId="1051" headerRowBorderDxfId="1052" tableBorderDxfId="1050" totalsRowBorderDxfId="104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48"/>
    <tableColumn id="2" xr3:uid="{13D709D4-8F81-4D58-95F2-22F1C686CB18}" name="Vendedor" dataDxfId="1047"/>
    <tableColumn id="3" xr3:uid="{92130A71-CEC8-4371-B6C9-DA29C0189A09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40"/>
    <tableColumn id="2" xr3:uid="{7652DD36-D535-400C-856B-02CB62C18176}" name="Cliente" dataDxfId="1039"/>
    <tableColumn id="3" xr3:uid="{129618E1-FDB4-497A-9DB0-29AC7143AF10}" name="Forma de Pgto" dataDxfId="1038" dataCellStyle="Moeda"/>
    <tableColumn id="4" xr3:uid="{EC69F906-8001-4D12-8ED6-D597AE23E936}" name="Valor Parcela" dataDxfId="1037" dataCellStyle="Porcentagem"/>
    <tableColumn id="5" xr3:uid="{65040BF1-55E0-4DD6-926F-3F0324D47077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710179D9-1888-45A0-96B5-C6E1151FFFF0}" name="OS" dataDxfId="1030"/>
    <tableColumn id="2" xr3:uid="{D9D130F4-6D87-4655-90D8-AF3976107C2A}" name="Parcelas" dataDxfId="1029"/>
    <tableColumn id="3" xr3:uid="{07DCBA20-7E86-4F99-AED4-2BDCD854B71C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51" dataDxfId="449" headerRowBorderDxfId="450" tableBorderDxfId="448" totalsRowBorderDxfId="447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1.xml"/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Relationship Id="rId9" Type="http://schemas.openxmlformats.org/officeDocument/2006/relationships/comments" Target="../comments2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35"/>
  <sheetViews>
    <sheetView workbookViewId="0">
      <selection activeCell="D40" sqref="D40"/>
    </sheetView>
  </sheetViews>
  <sheetFormatPr defaultColWidth="21.28515625" defaultRowHeight="12.75" x14ac:dyDescent="0.2"/>
  <cols>
    <col min="1" max="1" width="21.28515625" style="23"/>
    <col min="2" max="2" width="22.7109375" style="23" customWidth="1"/>
    <col min="3" max="16384" width="21.28515625" style="23"/>
  </cols>
  <sheetData>
    <row r="1" spans="1:16" ht="36.75" x14ac:dyDescent="0.7">
      <c r="B1" s="109"/>
      <c r="P1" s="23" t="s">
        <v>128</v>
      </c>
    </row>
    <row r="2" spans="1:16" ht="15" x14ac:dyDescent="0.2">
      <c r="A2" s="59" t="s">
        <v>0</v>
      </c>
      <c r="B2" s="31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P2" s="23" t="s">
        <v>129</v>
      </c>
    </row>
    <row r="3" spans="1:16" ht="15" x14ac:dyDescent="0.25">
      <c r="A3" s="10" t="s">
        <v>1</v>
      </c>
      <c r="B3" s="11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6086.5</v>
      </c>
      <c r="P3" s="23" t="s">
        <v>130</v>
      </c>
    </row>
    <row r="4" spans="1:16" ht="15" x14ac:dyDescent="0.25">
      <c r="A4" s="10" t="s">
        <v>2</v>
      </c>
      <c r="B4" s="1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6071.8899999999994</v>
      </c>
      <c r="E4" s="57"/>
      <c r="F4" s="57"/>
      <c r="G4" s="57"/>
      <c r="H4" s="57"/>
      <c r="I4" s="57"/>
      <c r="K4" s="57"/>
      <c r="L4" s="57"/>
      <c r="M4" s="57"/>
      <c r="P4" s="23" t="s">
        <v>131</v>
      </c>
    </row>
    <row r="5" spans="1:16" ht="15" x14ac:dyDescent="0.25">
      <c r="A5" s="10" t="s">
        <v>3</v>
      </c>
      <c r="B5" s="1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39</v>
      </c>
      <c r="P5" s="23" t="s">
        <v>132</v>
      </c>
    </row>
    <row r="6" spans="1:16" ht="15.75" x14ac:dyDescent="0.25">
      <c r="A6" s="66" t="s">
        <v>4</v>
      </c>
      <c r="B6" s="67">
        <f ca="1">SUM(B4:B5)</f>
        <v>6110.8899999999994</v>
      </c>
      <c r="C6" s="23">
        <f>C16</f>
        <v>0</v>
      </c>
      <c r="P6" s="23" t="s">
        <v>133</v>
      </c>
    </row>
    <row r="7" spans="1:16" ht="15" x14ac:dyDescent="0.25">
      <c r="A7" s="1"/>
      <c r="B7" s="1"/>
      <c r="P7" s="23" t="s">
        <v>134</v>
      </c>
    </row>
    <row r="8" spans="1:16" ht="15" x14ac:dyDescent="0.2">
      <c r="A8" s="117" t="s">
        <v>5</v>
      </c>
      <c r="B8" s="118"/>
      <c r="C8" s="57"/>
      <c r="E8" s="56"/>
      <c r="P8" s="23" t="s">
        <v>135</v>
      </c>
    </row>
    <row r="9" spans="1:16" ht="15" x14ac:dyDescent="0.25">
      <c r="A9" s="17" t="s">
        <v>6</v>
      </c>
      <c r="B9" s="1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1330.98</v>
      </c>
      <c r="P9" s="23" t="s">
        <v>136</v>
      </c>
    </row>
    <row r="10" spans="1:16" ht="15" x14ac:dyDescent="0.25">
      <c r="A10" s="17" t="s">
        <v>7</v>
      </c>
      <c r="B10" s="5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1645.65</v>
      </c>
      <c r="C10" s="57"/>
      <c r="P10" s="23" t="s">
        <v>137</v>
      </c>
    </row>
    <row r="11" spans="1:16" ht="15" x14ac:dyDescent="0.25">
      <c r="A11" s="17" t="s">
        <v>8</v>
      </c>
      <c r="B11" s="11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1160</v>
      </c>
      <c r="P11" s="23" t="s">
        <v>138</v>
      </c>
    </row>
    <row r="12" spans="1:16" ht="15" x14ac:dyDescent="0.25">
      <c r="A12" s="17" t="s">
        <v>9</v>
      </c>
      <c r="B12" s="11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s="23" t="s">
        <v>139</v>
      </c>
    </row>
    <row r="13" spans="1:16" ht="15" x14ac:dyDescent="0.25">
      <c r="A13" s="17" t="s">
        <v>10</v>
      </c>
      <c r="B13" s="11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1935.2600000000002</v>
      </c>
      <c r="K13" s="57"/>
      <c r="L13" s="57"/>
      <c r="M13" s="57"/>
      <c r="P13" s="23" t="s">
        <v>140</v>
      </c>
    </row>
    <row r="14" spans="1:16" ht="15.75" x14ac:dyDescent="0.25">
      <c r="A14" s="66" t="s">
        <v>11</v>
      </c>
      <c r="B14" s="104">
        <f ca="1">SUM(B9:B13)</f>
        <v>6071.89</v>
      </c>
    </row>
    <row r="15" spans="1:16" ht="15" x14ac:dyDescent="0.25">
      <c r="A15" s="1"/>
      <c r="B15" s="1"/>
    </row>
    <row r="16" spans="1:16" ht="15" x14ac:dyDescent="0.2">
      <c r="A16" s="117" t="s">
        <v>12</v>
      </c>
      <c r="B16" s="118"/>
      <c r="C16" s="57"/>
    </row>
    <row r="17" spans="1:9" ht="15" x14ac:dyDescent="0.25">
      <c r="A17" s="17">
        <f>COUNT(#REF!)</f>
        <v>0</v>
      </c>
      <c r="B17" s="1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4893.6000000000004</v>
      </c>
    </row>
    <row r="18" spans="1:9" ht="15.75" x14ac:dyDescent="0.25">
      <c r="A18" s="66" t="s">
        <v>11</v>
      </c>
      <c r="B18" s="32">
        <f>SUM(B17:B17)</f>
        <v>4893.6000000000004</v>
      </c>
      <c r="C18" s="57"/>
    </row>
    <row r="20" spans="1:9" x14ac:dyDescent="0.2">
      <c r="B20" s="57"/>
      <c r="C20" s="57"/>
    </row>
    <row r="21" spans="1:9" x14ac:dyDescent="0.2">
      <c r="B21" s="57"/>
      <c r="C21" s="57"/>
    </row>
    <row r="22" spans="1:9" x14ac:dyDescent="0.2">
      <c r="B22" s="57"/>
      <c r="C22" s="57"/>
    </row>
    <row r="24" spans="1:9" x14ac:dyDescent="0.2">
      <c r="E24" s="57"/>
      <c r="F24" s="57"/>
      <c r="G24" s="57"/>
      <c r="H24" s="57"/>
      <c r="I24" s="57"/>
    </row>
    <row r="33" spans="5:13" x14ac:dyDescent="0.2">
      <c r="E33" s="57"/>
      <c r="F33" s="57"/>
      <c r="G33" s="57"/>
      <c r="H33" s="57"/>
      <c r="I33" s="57"/>
      <c r="J33" s="57"/>
      <c r="K33" s="57"/>
      <c r="L33" s="57"/>
      <c r="M33" s="57"/>
    </row>
    <row r="35" spans="5:13" ht="15" x14ac:dyDescent="0.25">
      <c r="E35" s="56"/>
      <c r="K35" s="111"/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8" zoomScale="80" zoomScaleNormal="80" workbookViewId="0">
      <selection activeCell="D40" sqref="D40"/>
    </sheetView>
  </sheetViews>
  <sheetFormatPr defaultColWidth="9.140625" defaultRowHeight="14.25" x14ac:dyDescent="0.2"/>
  <cols>
    <col min="1" max="1" width="3.7109375" style="40" customWidth="1"/>
    <col min="2" max="2" width="34.5703125" style="40" bestFit="1" customWidth="1"/>
    <col min="3" max="3" width="14" style="40" customWidth="1"/>
    <col min="4" max="4" width="2.7109375" style="40" customWidth="1"/>
    <col min="5" max="5" width="15.5703125" style="41" customWidth="1"/>
    <col min="6" max="6" width="34.28515625" style="41" bestFit="1" customWidth="1"/>
    <col min="7" max="7" width="17.28515625" style="41" customWidth="1"/>
    <col min="8" max="8" width="19.140625" style="42" customWidth="1"/>
    <col min="9" max="9" width="15.5703125" style="42" customWidth="1"/>
    <col min="10" max="10" width="2.710937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v>45627</v>
      </c>
    </row>
    <row r="2" spans="2:18" ht="15" x14ac:dyDescent="0.2">
      <c r="B2" s="123" t="s">
        <v>127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0</v>
      </c>
      <c r="D6" s="1"/>
      <c r="E6" s="44"/>
      <c r="F6" s="12"/>
      <c r="G6" s="13"/>
      <c r="H6" s="2"/>
      <c r="I6" s="2"/>
      <c r="J6" s="1"/>
      <c r="K6" s="12"/>
      <c r="L6" s="3"/>
      <c r="M6" s="8"/>
      <c r="R6" s="40">
        <f>IF(vend1[[#This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5"/>
      <c r="F7" s="12"/>
      <c r="G7" s="13"/>
      <c r="H7" s="2"/>
      <c r="I7" s="2"/>
      <c r="J7" s="1"/>
      <c r="K7" s="12"/>
      <c r="L7" s="3"/>
      <c r="M7" s="8"/>
      <c r="R7" s="40">
        <f>IF(vend1[[#This Row],[Nº Venda]]&gt;1,1,0)</f>
        <v>0</v>
      </c>
    </row>
    <row r="8" spans="2:18" ht="15" x14ac:dyDescent="0.25">
      <c r="B8" s="46" t="s">
        <v>21</v>
      </c>
      <c r="C8" s="47">
        <f>SUM(C6:C7)</f>
        <v>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IF(vend1[[#This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IF(vend1[[#This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0</v>
      </c>
      <c r="R11" s="40">
        <f>IF(vend1[[#This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IF(vend1[[#This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44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44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/>
      <c r="L15" s="3"/>
      <c r="M15" s="8"/>
      <c r="R15" s="40">
        <f>IF(vend1[[#This Row],[Nº Venda]]&gt;1,1,0)</f>
        <v>0</v>
      </c>
    </row>
    <row r="16" spans="2:18" ht="15" x14ac:dyDescent="0.25">
      <c r="B16" s="46" t="s">
        <v>11</v>
      </c>
      <c r="C16" s="48">
        <f>SUM(C11:C15)</f>
        <v>0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IF(vend1[[#This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IF(vend1[[#This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IF(vend1[[#This Row],[Nº Venda]]&gt;1,1,0)</f>
        <v>0</v>
      </c>
    </row>
    <row r="19" spans="2:18" ht="15" x14ac:dyDescent="0.25">
      <c r="B19" s="17">
        <f>COUNT(entr_carn1[OS])</f>
        <v>0</v>
      </c>
      <c r="C19" s="18">
        <f>SUM(entr_carn1[Valor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44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E26:E31 K15:K31 K35:K41 E35:E41 E6 E8:E22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abSelected="1" topLeftCell="A16" zoomScale="90" zoomScaleNormal="90" workbookViewId="0">
      <selection activeCell="I28" sqref="I28"/>
    </sheetView>
  </sheetViews>
  <sheetFormatPr defaultColWidth="9.140625" defaultRowHeight="14.25" x14ac:dyDescent="0.2"/>
  <cols>
    <col min="1" max="1" width="0.7109375" style="40" customWidth="1"/>
    <col min="2" max="2" width="35.28515625" style="40" bestFit="1" customWidth="1"/>
    <col min="3" max="3" width="14" style="40" customWidth="1"/>
    <col min="4" max="4" width="0.28515625" style="40" customWidth="1"/>
    <col min="5" max="5" width="15.5703125" style="41" customWidth="1"/>
    <col min="6" max="6" width="28" style="41" bestFit="1" customWidth="1"/>
    <col min="7" max="7" width="17.28515625" style="41" customWidth="1"/>
    <col min="8" max="8" width="19.140625" style="42" customWidth="1"/>
    <col min="9" max="9" width="15.5703125" style="42" customWidth="1"/>
    <col min="10" max="10" width="0.425781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'01'!B1+1</f>
        <v>45628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289.60000000000002</v>
      </c>
      <c r="D6" s="1"/>
      <c r="E6" s="44"/>
      <c r="F6" s="12"/>
      <c r="G6" s="28"/>
      <c r="H6" s="2"/>
      <c r="I6" s="2"/>
      <c r="J6" s="1"/>
      <c r="K6" s="12"/>
      <c r="L6" s="3"/>
      <c r="M6" s="8"/>
      <c r="R6" s="40">
        <f>IF(vend2[[#This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28"/>
      <c r="H7" s="2"/>
      <c r="I7" s="2"/>
      <c r="J7" s="1"/>
      <c r="K7" s="12"/>
      <c r="L7" s="3"/>
      <c r="M7" s="8"/>
      <c r="R7" s="40">
        <f>IF(vend2[[#This Row],[Nº Venda]]&gt;1,1,0)</f>
        <v>0</v>
      </c>
    </row>
    <row r="8" spans="2:18" ht="15" x14ac:dyDescent="0.25">
      <c r="B8" s="46" t="s">
        <v>21</v>
      </c>
      <c r="C8" s="47">
        <f>SUM(C6:C7)</f>
        <v>289.60000000000002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IF(vend2[[#This Row],[Nº Venda]]&gt;1,1,0)</f>
        <v>0</v>
      </c>
    </row>
    <row r="9" spans="2:18" ht="15" x14ac:dyDescent="0.25">
      <c r="B9" s="1"/>
      <c r="C9" s="1"/>
      <c r="D9" s="1"/>
      <c r="E9" s="44"/>
      <c r="F9" s="12" t="s">
        <v>58</v>
      </c>
      <c r="G9" s="13"/>
      <c r="H9" s="2"/>
      <c r="I9" s="2"/>
      <c r="J9" s="1"/>
      <c r="K9" s="12"/>
      <c r="L9" s="3"/>
      <c r="M9" s="8"/>
      <c r="R9" s="40">
        <f>IF(vend2[[#This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IF(vend2[[#This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199.7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IF(vend2[[#This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IF(vend2[[#This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74"/>
      <c r="G13" s="75"/>
      <c r="H13" s="76"/>
      <c r="I13" s="76"/>
      <c r="J13" s="1"/>
      <c r="K13" s="120" t="s">
        <v>22</v>
      </c>
      <c r="L13" s="121"/>
      <c r="M13" s="122"/>
      <c r="R13" s="40">
        <f>IF(vend2[[#This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74"/>
      <c r="G14" s="75"/>
      <c r="H14" s="76"/>
      <c r="I14" s="76"/>
      <c r="J14" s="1"/>
      <c r="K14" s="113" t="s">
        <v>23</v>
      </c>
      <c r="L14" s="114" t="s">
        <v>24</v>
      </c>
      <c r="M14" s="115" t="s">
        <v>25</v>
      </c>
      <c r="R14" s="40">
        <f>IF(vend2[[#This Row],[Nº Venda]]&gt;1,1,0)</f>
        <v>0</v>
      </c>
    </row>
    <row r="15" spans="2:18" ht="15" x14ac:dyDescent="0.25">
      <c r="B15" s="17" t="s">
        <v>10</v>
      </c>
      <c r="C15" s="18">
        <f t="shared" si="0"/>
        <v>89.9</v>
      </c>
      <c r="D15" s="1"/>
      <c r="E15" s="44"/>
      <c r="F15" s="12"/>
      <c r="G15" s="13"/>
      <c r="H15" s="2"/>
      <c r="I15" s="2"/>
      <c r="J15" s="1"/>
      <c r="K15" s="38">
        <v>1019</v>
      </c>
      <c r="L15" s="3" t="s">
        <v>140</v>
      </c>
      <c r="M15" s="8" t="s">
        <v>143</v>
      </c>
      <c r="R15" s="40">
        <f>IF(vend2[[#This Row],[Nº Venda]]&gt;1,1,0)</f>
        <v>0</v>
      </c>
    </row>
    <row r="16" spans="2:18" ht="15" x14ac:dyDescent="0.25">
      <c r="B16" s="46" t="s">
        <v>11</v>
      </c>
      <c r="C16" s="48">
        <f>SUM(C11:C15)</f>
        <v>289.60000000000002</v>
      </c>
      <c r="D16" s="1"/>
      <c r="E16" s="44"/>
      <c r="F16" s="12"/>
      <c r="G16" s="13"/>
      <c r="H16" s="2"/>
      <c r="I16" s="2"/>
      <c r="J16" s="1"/>
      <c r="K16" s="38">
        <v>1020</v>
      </c>
      <c r="L16" s="3" t="s">
        <v>140</v>
      </c>
      <c r="M16" s="8" t="s">
        <v>143</v>
      </c>
      <c r="R16" s="40">
        <f>IF(vend2[[#This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>
        <v>1037</v>
      </c>
      <c r="L17" s="3" t="s">
        <v>140</v>
      </c>
      <c r="M17" s="8" t="s">
        <v>143</v>
      </c>
      <c r="R17" s="40">
        <f>IF(vend2[[#This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>
        <v>1044</v>
      </c>
      <c r="L18" s="3" t="s">
        <v>140</v>
      </c>
      <c r="M18" s="8" t="s">
        <v>143</v>
      </c>
      <c r="R18" s="40">
        <f>IF(vend2[[#This Row],[Nº Venda]]&gt;1,1,0)</f>
        <v>0</v>
      </c>
    </row>
    <row r="19" spans="2:18" ht="15" x14ac:dyDescent="0.25">
      <c r="B19" s="17">
        <f>COUNT(entr_carn2[OS])</f>
        <v>0</v>
      </c>
      <c r="C19" s="18">
        <f>SUM(entr_carn2[Valor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IF(vend2[[#This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IF(vend2[[#This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>
        <v>1027</v>
      </c>
      <c r="F26" s="12" t="s">
        <v>183</v>
      </c>
      <c r="G26" s="13" t="s">
        <v>10</v>
      </c>
      <c r="H26" s="2">
        <v>0</v>
      </c>
      <c r="I26" s="2">
        <v>89.9</v>
      </c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21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21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  <c r="U34" s="40" t="s">
        <v>37</v>
      </c>
    </row>
    <row r="35" spans="2:21" ht="15" x14ac:dyDescent="0.25">
      <c r="E35" s="44">
        <v>972</v>
      </c>
      <c r="F35" s="12" t="s">
        <v>142</v>
      </c>
      <c r="G35" s="13" t="s">
        <v>6</v>
      </c>
      <c r="H35" s="2">
        <v>99.85</v>
      </c>
      <c r="I35" s="2" t="s">
        <v>41</v>
      </c>
      <c r="K35" s="38"/>
      <c r="L35" s="26"/>
      <c r="M35" s="8"/>
    </row>
    <row r="36" spans="2:21" ht="15" x14ac:dyDescent="0.25">
      <c r="E36" s="44">
        <v>972</v>
      </c>
      <c r="F36" s="12" t="s">
        <v>142</v>
      </c>
      <c r="G36" s="13" t="s">
        <v>6</v>
      </c>
      <c r="H36" s="2">
        <v>99.85</v>
      </c>
      <c r="I36" s="2" t="s">
        <v>44</v>
      </c>
      <c r="K36" s="38"/>
      <c r="L36" s="26"/>
      <c r="M36" s="8"/>
    </row>
    <row r="37" spans="2:21" ht="15" x14ac:dyDescent="0.25">
      <c r="E37" s="44"/>
      <c r="F37" s="12"/>
      <c r="G37" s="13"/>
      <c r="H37" s="2"/>
      <c r="I37" s="2"/>
      <c r="K37" s="38"/>
      <c r="L37" s="26"/>
      <c r="M37" s="8"/>
    </row>
    <row r="38" spans="2:21" ht="15" x14ac:dyDescent="0.25">
      <c r="E38" s="44"/>
      <c r="F38" s="12"/>
      <c r="G38" s="13"/>
      <c r="H38" s="2"/>
      <c r="I38" s="2"/>
      <c r="K38" s="38"/>
      <c r="L38" s="26"/>
      <c r="M38" s="8"/>
    </row>
    <row r="39" spans="2:21" ht="15" x14ac:dyDescent="0.25">
      <c r="E39" s="44"/>
      <c r="F39" s="24"/>
      <c r="G39" s="13"/>
      <c r="H39" s="2"/>
      <c r="I39" s="2"/>
      <c r="K39" s="38"/>
      <c r="L39" s="26"/>
      <c r="M39" s="8"/>
    </row>
    <row r="40" spans="2:21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21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G35:G41 G26:G31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K15:K31 E35:E41 K35:K41 E26:E31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5" zoomScale="90" zoomScaleNormal="90" workbookViewId="0">
      <selection activeCell="D40" sqref="D40"/>
    </sheetView>
  </sheetViews>
  <sheetFormatPr defaultColWidth="9.140625" defaultRowHeight="14.25" x14ac:dyDescent="0.2"/>
  <cols>
    <col min="1" max="1" width="0.5703125" style="40" customWidth="1"/>
    <col min="2" max="2" width="35.28515625" style="40" bestFit="1" customWidth="1"/>
    <col min="3" max="3" width="12.85546875" style="40" customWidth="1"/>
    <col min="4" max="4" width="3.85546875" style="40" customWidth="1"/>
    <col min="5" max="5" width="15.5703125" style="41" customWidth="1"/>
    <col min="6" max="6" width="29.42578125" style="41" bestFit="1" customWidth="1"/>
    <col min="7" max="7" width="17.28515625" style="41" customWidth="1"/>
    <col min="8" max="8" width="19.140625" style="42" customWidth="1"/>
    <col min="9" max="9" width="15.5703125" style="42" customWidth="1"/>
    <col min="10" max="10" width="0.425781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'02'!B1+1</f>
        <v>45629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1790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500</v>
      </c>
      <c r="D6" s="1"/>
      <c r="E6" s="44">
        <v>1050</v>
      </c>
      <c r="F6" s="12" t="s">
        <v>144</v>
      </c>
      <c r="G6" s="28" t="s">
        <v>7</v>
      </c>
      <c r="H6" s="2">
        <v>999</v>
      </c>
      <c r="I6" s="2">
        <v>300</v>
      </c>
      <c r="J6" s="1"/>
      <c r="K6" s="12"/>
      <c r="L6" s="3"/>
      <c r="M6" s="8"/>
      <c r="R6" s="40">
        <f>IF(vend3[[#This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>
        <v>1051</v>
      </c>
      <c r="F7" s="12" t="s">
        <v>144</v>
      </c>
      <c r="G7" s="13" t="s">
        <v>8</v>
      </c>
      <c r="H7" s="2">
        <v>791</v>
      </c>
      <c r="I7" s="2">
        <v>200</v>
      </c>
      <c r="J7" s="1"/>
      <c r="K7" s="12"/>
      <c r="L7" s="3"/>
      <c r="M7" s="8"/>
      <c r="R7" s="40">
        <f>IF(vend3[[#This Row],[Nº Venda]]&gt;1,1,0)</f>
        <v>1</v>
      </c>
    </row>
    <row r="8" spans="2:18" ht="15" x14ac:dyDescent="0.25">
      <c r="B8" s="46" t="s">
        <v>21</v>
      </c>
      <c r="C8" s="47">
        <f>SUM(C6:C7)</f>
        <v>500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IF(vend3[[#This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IF(vend3[[#This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IF(vend3[[#This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IF(vend3[[#This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300</v>
      </c>
      <c r="D12" s="1"/>
      <c r="E12" s="44"/>
      <c r="F12" s="12"/>
      <c r="G12" s="13"/>
      <c r="H12" s="2"/>
      <c r="I12" s="2"/>
      <c r="J12" s="1"/>
      <c r="R12" s="40">
        <f>IF(vend3[[#This Row],[Nº Venda]]&gt;1,1,0)</f>
        <v>0</v>
      </c>
    </row>
    <row r="13" spans="2:18" ht="15" x14ac:dyDescent="0.25">
      <c r="B13" s="17" t="s">
        <v>8</v>
      </c>
      <c r="C13" s="18">
        <f t="shared" si="0"/>
        <v>200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IF(vend3[[#This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IF(vend3[[#This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/>
      <c r="L15" s="3"/>
      <c r="M15" s="8"/>
      <c r="R15" s="40">
        <f>IF(vend3[[#This Row],[Nº Venda]]&gt;1,1,0)</f>
        <v>0</v>
      </c>
    </row>
    <row r="16" spans="2:18" ht="15" x14ac:dyDescent="0.25">
      <c r="B16" s="46" t="s">
        <v>11</v>
      </c>
      <c r="C16" s="48">
        <f>SUM(C11:C15)</f>
        <v>500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IF(vend3[[#This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IF(vend3[[#This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IF(vend3[[#This Row],[Nº Venda]]&gt;1,1,0)</f>
        <v>0</v>
      </c>
    </row>
    <row r="19" spans="2:18" ht="15" x14ac:dyDescent="0.25">
      <c r="B19" s="17">
        <f>COUNT(entr_carn3[OS])</f>
        <v>0</v>
      </c>
      <c r="C19" s="18">
        <f>SUM(entr_carn3[Valor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IF(vend3[[#This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IF(vend3[[#This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1790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28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44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2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view="pageBreakPreview" topLeftCell="A5" zoomScale="82" zoomScaleNormal="80" zoomScaleSheetLayoutView="82" workbookViewId="0">
      <selection activeCell="D40" sqref="D40"/>
    </sheetView>
  </sheetViews>
  <sheetFormatPr defaultColWidth="9.140625" defaultRowHeight="14.25" x14ac:dyDescent="0.2"/>
  <cols>
    <col min="1" max="1" width="0.42578125" style="40" customWidth="1"/>
    <col min="2" max="2" width="35.85546875" style="40" bestFit="1" customWidth="1"/>
    <col min="3" max="3" width="14" style="40" customWidth="1"/>
    <col min="4" max="4" width="0.42578125" style="40" customWidth="1"/>
    <col min="5" max="5" width="12.5703125" style="41" customWidth="1"/>
    <col min="6" max="6" width="35.85546875" style="41" bestFit="1" customWidth="1"/>
    <col min="7" max="7" width="17.28515625" style="41" customWidth="1"/>
    <col min="8" max="8" width="19.140625" style="42" customWidth="1"/>
    <col min="9" max="9" width="15.5703125" style="42" customWidth="1"/>
    <col min="10" max="10" width="0.42578125" style="40" customWidth="1"/>
    <col min="11" max="11" width="21.7109375" style="43" customWidth="1"/>
    <col min="12" max="12" width="24.28515625" style="43" bestFit="1" customWidth="1"/>
    <col min="13" max="13" width="13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'03'!B1+1</f>
        <v>45630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60</v>
      </c>
      <c r="D6" s="1"/>
      <c r="E6" s="44"/>
      <c r="F6" s="12"/>
      <c r="G6" s="28"/>
      <c r="H6" s="2"/>
      <c r="I6" s="2"/>
      <c r="J6" s="1"/>
      <c r="K6" s="12"/>
      <c r="L6" s="3"/>
      <c r="M6" s="8"/>
      <c r="R6" s="40">
        <f>IF(vend4[[#This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28"/>
      <c r="H7" s="2"/>
      <c r="I7" s="2"/>
      <c r="J7" s="1"/>
      <c r="K7" s="12"/>
      <c r="L7" s="3"/>
      <c r="M7" s="8"/>
      <c r="R7" s="40">
        <f>IF(vend4[[#This Row],[Nº Venda]]&gt;1,1,0)</f>
        <v>0</v>
      </c>
    </row>
    <row r="8" spans="2:18" ht="15" x14ac:dyDescent="0.25">
      <c r="B8" s="46" t="s">
        <v>21</v>
      </c>
      <c r="C8" s="47">
        <f>SUM(C6:C7)</f>
        <v>60</v>
      </c>
      <c r="D8" s="1"/>
      <c r="E8" s="44"/>
      <c r="F8" s="12"/>
      <c r="G8" s="28"/>
      <c r="H8" s="2"/>
      <c r="I8" s="2"/>
      <c r="J8" s="1"/>
      <c r="K8" s="12"/>
      <c r="L8" s="3"/>
      <c r="M8" s="8"/>
      <c r="R8" s="40">
        <f>IF(vend4[[#This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28"/>
      <c r="H9" s="2"/>
      <c r="I9" s="2"/>
      <c r="J9" s="1"/>
      <c r="K9" s="12"/>
      <c r="L9" s="3"/>
      <c r="M9" s="8"/>
      <c r="R9" s="40">
        <f>IF(vend4[[#This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IF(vend4[[#This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IF(vend4[[#This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IF(vend4[[#This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IF(vend4[[#This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IF(vend4[[#This Row],[Nº Venda]]&gt;1,1,0)</f>
        <v>0</v>
      </c>
    </row>
    <row r="15" spans="2:18" ht="18.75" x14ac:dyDescent="0.4">
      <c r="B15" s="17" t="s">
        <v>10</v>
      </c>
      <c r="C15" s="18">
        <f t="shared" si="0"/>
        <v>60</v>
      </c>
      <c r="D15" s="1"/>
      <c r="E15" s="44"/>
      <c r="F15" s="12"/>
      <c r="G15" s="13"/>
      <c r="H15" s="2"/>
      <c r="I15" s="2"/>
      <c r="J15" s="1"/>
      <c r="K15" s="38"/>
      <c r="L15" s="3"/>
      <c r="M15" s="103"/>
      <c r="R15" s="40">
        <f>IF(vend4[[#This Row],[Nº Venda]]&gt;1,1,0)</f>
        <v>0</v>
      </c>
    </row>
    <row r="16" spans="2:18" ht="18.75" x14ac:dyDescent="0.4">
      <c r="B16" s="46" t="s">
        <v>11</v>
      </c>
      <c r="C16" s="48">
        <f>SUM(C11:C15)</f>
        <v>60</v>
      </c>
      <c r="D16" s="1"/>
      <c r="E16" s="44"/>
      <c r="F16" s="12"/>
      <c r="G16" s="13"/>
      <c r="H16" s="2"/>
      <c r="I16" s="2"/>
      <c r="J16" s="1"/>
      <c r="K16" s="38"/>
      <c r="L16" s="3"/>
      <c r="M16" s="103"/>
      <c r="R16" s="40">
        <f>IF(vend4[[#This Row],[Nº Venda]]&gt;1,1,0)</f>
        <v>0</v>
      </c>
    </row>
    <row r="17" spans="2:18" ht="18.75" x14ac:dyDescent="0.4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103"/>
      <c r="R17" s="40">
        <f>IF(vend4[[#This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IF(vend4[[#This Row],[Nº Venda]]&gt;1,1,0)</f>
        <v>0</v>
      </c>
    </row>
    <row r="19" spans="2:18" ht="15" x14ac:dyDescent="0.25">
      <c r="B19" s="17">
        <f>COUNT(entr_carn4[OS])</f>
        <v>0</v>
      </c>
      <c r="C19" s="18">
        <f>SUM(entr_carn4[Valor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IF(vend4[[#This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IF(vend4[[#This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28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28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28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>
        <v>967</v>
      </c>
      <c r="F35" s="12" t="s">
        <v>145</v>
      </c>
      <c r="G35" s="13" t="s">
        <v>10</v>
      </c>
      <c r="H35" s="2">
        <v>60</v>
      </c>
      <c r="I35" s="2" t="s">
        <v>47</v>
      </c>
      <c r="K35" s="38"/>
      <c r="L35" s="26"/>
      <c r="M35" s="8"/>
    </row>
    <row r="36" spans="2:18" ht="15" x14ac:dyDescent="0.25">
      <c r="E36" s="44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5" zoomScale="90" zoomScaleNormal="90" workbookViewId="0">
      <selection activeCell="D40" sqref="D40"/>
    </sheetView>
  </sheetViews>
  <sheetFormatPr defaultColWidth="9.140625" defaultRowHeight="14.25" x14ac:dyDescent="0.2"/>
  <cols>
    <col min="1" max="1" width="0.42578125" style="40" customWidth="1"/>
    <col min="2" max="2" width="35.28515625" style="40" bestFit="1" customWidth="1"/>
    <col min="3" max="3" width="14" style="40" customWidth="1"/>
    <col min="4" max="4" width="0.42578125" style="40" customWidth="1"/>
    <col min="5" max="5" width="15.5703125" style="41" customWidth="1"/>
    <col min="6" max="6" width="32.140625" style="41" bestFit="1" customWidth="1"/>
    <col min="7" max="7" width="13.28515625" style="41" customWidth="1"/>
    <col min="8" max="8" width="19.140625" style="42" customWidth="1"/>
    <col min="9" max="9" width="15.5703125" style="42" customWidth="1"/>
    <col min="10" max="10" width="0.28515625" style="40" customWidth="1"/>
    <col min="11" max="11" width="21.7109375" style="43" customWidth="1"/>
    <col min="12" max="12" width="24.28515625" style="43" bestFit="1" customWidth="1"/>
    <col min="13" max="13" width="11.2851562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'04'!B1+1</f>
        <v>45631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80</v>
      </c>
      <c r="D6" s="1"/>
      <c r="E6" s="100"/>
      <c r="F6" s="12"/>
      <c r="G6" s="28"/>
      <c r="H6" s="2"/>
      <c r="I6" s="2"/>
      <c r="J6" s="1"/>
      <c r="K6" s="12"/>
      <c r="L6" s="3"/>
      <c r="M6" s="8"/>
      <c r="R6" s="40">
        <f>IF(vend5[[#This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28"/>
      <c r="H7" s="2"/>
      <c r="I7" s="2"/>
      <c r="J7" s="1"/>
      <c r="K7" s="12"/>
      <c r="L7" s="3"/>
      <c r="M7" s="8"/>
      <c r="R7" s="40">
        <f>IF(vend5[[#This Row],[Nº Venda]]&gt;1,1,0)</f>
        <v>0</v>
      </c>
    </row>
    <row r="8" spans="2:18" ht="15" x14ac:dyDescent="0.25">
      <c r="B8" s="46" t="s">
        <v>21</v>
      </c>
      <c r="C8" s="47">
        <f>SUM(C6:C7)</f>
        <v>80</v>
      </c>
      <c r="D8" s="1"/>
      <c r="E8" s="44"/>
      <c r="F8" s="12"/>
      <c r="G8" s="28"/>
      <c r="H8" s="2"/>
      <c r="I8" s="2"/>
      <c r="J8" s="1"/>
      <c r="K8" s="12"/>
      <c r="L8" s="3"/>
      <c r="M8" s="8"/>
      <c r="R8" s="40">
        <f>IF(vend5[[#This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28"/>
      <c r="H9" s="2"/>
      <c r="I9" s="2"/>
      <c r="J9" s="1"/>
      <c r="K9" s="12"/>
      <c r="L9" s="3"/>
      <c r="M9" s="8"/>
      <c r="R9" s="40">
        <f>IF(vend5[[#This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28"/>
      <c r="H10" s="2"/>
      <c r="I10" s="2"/>
      <c r="J10" s="1"/>
      <c r="K10" s="12"/>
      <c r="L10" s="3"/>
      <c r="M10" s="8"/>
      <c r="R10" s="40">
        <f>IF(vend5[[#This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28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IF(vend5[[#This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IF(vend5[[#This Row],[Nº Venda]]&gt;1,1,0)</f>
        <v>0</v>
      </c>
    </row>
    <row r="13" spans="2:18" ht="15" x14ac:dyDescent="0.25">
      <c r="B13" s="17" t="s">
        <v>8</v>
      </c>
      <c r="C13" s="18">
        <f t="shared" si="0"/>
        <v>80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IF(vend5[[#This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IF(vend5[[#This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>
        <v>1028</v>
      </c>
      <c r="L15" s="3" t="s">
        <v>140</v>
      </c>
      <c r="M15" s="101" t="s">
        <v>146</v>
      </c>
      <c r="N15" s="8"/>
      <c r="R15" s="40">
        <f>IF(vend5[[#This Row],[Nº Venda]]&gt;1,1,0)</f>
        <v>0</v>
      </c>
    </row>
    <row r="16" spans="2:18" ht="15" x14ac:dyDescent="0.25">
      <c r="B16" s="46" t="s">
        <v>11</v>
      </c>
      <c r="C16" s="48">
        <f>SUM(C11:C15)</f>
        <v>80</v>
      </c>
      <c r="D16" s="1"/>
      <c r="E16" s="44"/>
      <c r="F16" s="12"/>
      <c r="G16" s="13"/>
      <c r="H16" s="2"/>
      <c r="I16" s="2"/>
      <c r="J16" s="1"/>
      <c r="K16" s="38">
        <v>1045</v>
      </c>
      <c r="L16" s="3" t="s">
        <v>140</v>
      </c>
      <c r="M16" s="87" t="s">
        <v>148</v>
      </c>
      <c r="N16" s="8"/>
      <c r="R16" s="40">
        <f>IF(vend5[[#This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>
        <v>1046</v>
      </c>
      <c r="L17" s="3" t="s">
        <v>140</v>
      </c>
      <c r="M17" s="8" t="s">
        <v>143</v>
      </c>
      <c r="R17" s="40">
        <f>IF(vend5[[#This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>
        <v>1043</v>
      </c>
      <c r="L18" s="3" t="s">
        <v>140</v>
      </c>
      <c r="M18" s="8" t="s">
        <v>143</v>
      </c>
      <c r="R18" s="40">
        <f>IF(vend5[[#This Row],[Nº Venda]]&gt;1,1,0)</f>
        <v>0</v>
      </c>
    </row>
    <row r="19" spans="2:18" ht="15" x14ac:dyDescent="0.25">
      <c r="B19" s="17">
        <f>COUNT(entr_carn5[OS])</f>
        <v>1</v>
      </c>
      <c r="C19" s="18">
        <f>SUM(entr_carn5[Valor Total])</f>
        <v>1249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IF(vend5[[#This Row],[Nº Venda]]&gt;1,1,0)</f>
        <v>0</v>
      </c>
    </row>
    <row r="20" spans="2:18" ht="15" x14ac:dyDescent="0.25">
      <c r="B20" s="46" t="s">
        <v>11</v>
      </c>
      <c r="C20" s="48">
        <f>SUM(C19:C19)</f>
        <v>1249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IF(vend5[[#This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>
        <v>1046</v>
      </c>
      <c r="F26" s="12" t="s">
        <v>147</v>
      </c>
      <c r="G26" s="28" t="s">
        <v>8</v>
      </c>
      <c r="H26" s="2"/>
      <c r="I26" s="2">
        <v>80</v>
      </c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28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28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>
        <v>1028</v>
      </c>
      <c r="L35" s="26">
        <v>5</v>
      </c>
      <c r="M35" s="8">
        <v>1249</v>
      </c>
    </row>
    <row r="36" spans="2:18" ht="15" x14ac:dyDescent="0.25">
      <c r="E36" s="102"/>
      <c r="F36" s="12"/>
      <c r="G36" s="13"/>
      <c r="H36" s="2"/>
      <c r="I36" s="2"/>
      <c r="K36" s="38"/>
      <c r="L36" s="26"/>
      <c r="M36" s="8" t="s">
        <v>58</v>
      </c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E26:E31 E35:E41 K35:K41 K15:K31 E7:E22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13" zoomScale="90" zoomScaleNormal="90" workbookViewId="0">
      <selection activeCell="D40" sqref="D40"/>
    </sheetView>
  </sheetViews>
  <sheetFormatPr defaultColWidth="9.140625" defaultRowHeight="14.25" x14ac:dyDescent="0.2"/>
  <cols>
    <col min="1" max="1" width="0.85546875" style="40" customWidth="1"/>
    <col min="2" max="2" width="35.28515625" style="40" bestFit="1" customWidth="1"/>
    <col min="3" max="3" width="14" style="40" customWidth="1"/>
    <col min="4" max="4" width="0.85546875" style="40" customWidth="1"/>
    <col min="5" max="5" width="15.5703125" style="41" customWidth="1"/>
    <col min="6" max="6" width="34.28515625" style="41" bestFit="1" customWidth="1"/>
    <col min="7" max="7" width="17.28515625" style="41" customWidth="1"/>
    <col min="8" max="8" width="19.140625" style="42" customWidth="1"/>
    <col min="9" max="9" width="15.5703125" style="42" customWidth="1"/>
    <col min="10" max="10" width="0.7109375" style="40" customWidth="1"/>
    <col min="11" max="11" width="21.7109375" style="43" customWidth="1"/>
    <col min="12" max="12" width="22.5703125" style="43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'05'!B1+1</f>
        <v>45632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949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380</v>
      </c>
      <c r="D6" s="1"/>
      <c r="E6" s="44">
        <v>1052</v>
      </c>
      <c r="F6" s="12" t="s">
        <v>150</v>
      </c>
      <c r="G6" s="13" t="s">
        <v>6</v>
      </c>
      <c r="H6" s="2">
        <v>949</v>
      </c>
      <c r="I6" s="2">
        <v>50</v>
      </c>
      <c r="J6" s="1"/>
      <c r="K6" s="12" t="s">
        <v>151</v>
      </c>
      <c r="L6" s="3" t="s">
        <v>10</v>
      </c>
      <c r="M6" s="8">
        <v>13</v>
      </c>
      <c r="R6" s="40">
        <f>IF(vend[[#This Row],[Nº Venda]]&gt;1,1,0)</f>
        <v>1</v>
      </c>
    </row>
    <row r="7" spans="2:18" ht="15" x14ac:dyDescent="0.25">
      <c r="B7" s="10" t="s">
        <v>3</v>
      </c>
      <c r="C7" s="11">
        <f>SUM(M6:M11)</f>
        <v>13</v>
      </c>
      <c r="D7" s="1"/>
      <c r="E7" s="44">
        <v>1053</v>
      </c>
      <c r="F7" s="12" t="s">
        <v>150</v>
      </c>
      <c r="G7" s="13"/>
      <c r="H7" s="2"/>
      <c r="I7" s="2"/>
      <c r="J7" s="1"/>
      <c r="K7" s="12"/>
      <c r="L7" s="3"/>
      <c r="M7" s="8"/>
      <c r="R7" s="40">
        <f>IF(vend[[#This Row],[Nº Venda]]&gt;1,1,0)</f>
        <v>1</v>
      </c>
    </row>
    <row r="8" spans="2:18" ht="15" x14ac:dyDescent="0.25">
      <c r="B8" s="46" t="s">
        <v>21</v>
      </c>
      <c r="C8" s="47">
        <f>SUM(C6:C7)</f>
        <v>393</v>
      </c>
      <c r="D8" s="1"/>
      <c r="E8" s="44">
        <v>1054</v>
      </c>
      <c r="F8" s="12" t="s">
        <v>150</v>
      </c>
      <c r="G8" s="13"/>
      <c r="H8" s="2"/>
      <c r="I8" s="2"/>
      <c r="J8" s="1"/>
      <c r="K8" s="12"/>
      <c r="L8" s="3"/>
      <c r="M8" s="8"/>
      <c r="R8" s="40">
        <f>IF(vend[[#This Row],[Nº Venda]]&gt;1,1,0)</f>
        <v>1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89"/>
      <c r="G10" s="13"/>
      <c r="H10" s="2"/>
      <c r="I10" s="2"/>
      <c r="J10" s="1"/>
      <c r="K10" s="12"/>
      <c r="L10" s="3"/>
      <c r="M10" s="8"/>
      <c r="R10" s="40">
        <f>IF(vend[[#This Row],[Nº Venda]]&gt;1,1,0)</f>
        <v>0</v>
      </c>
    </row>
    <row r="11" spans="2:18" ht="15" x14ac:dyDescent="0.25">
      <c r="B11" s="17" t="s">
        <v>6</v>
      </c>
      <c r="C11" s="96">
        <f>(SUMIF($G$2:$G$31,B11,$I$2:$I$31))+(SUMIF($G$35:$G$41,B11,$H$35:$H$41))</f>
        <v>50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IF(vend[[#This Row],[Nº Venda]]&gt;1,1,0)</f>
        <v>0</v>
      </c>
    </row>
    <row r="12" spans="2:18" ht="15" x14ac:dyDescent="0.25">
      <c r="B12" s="17" t="s">
        <v>7</v>
      </c>
      <c r="C12" s="96">
        <f>(SUMIF($G$2:$G$31,B12,$I$2:$I$31))+(SUMIF($G$35:$G$41,B12,$H$35:$H$41))</f>
        <v>80</v>
      </c>
      <c r="D12" s="1"/>
      <c r="E12" s="44"/>
      <c r="F12" s="12"/>
      <c r="G12" s="13"/>
      <c r="H12" s="2"/>
      <c r="I12" s="2"/>
      <c r="J12" s="1"/>
      <c r="R12" s="40">
        <f>IF(vend[[#This Row],[Nº Venda]]&gt;1,1,0)</f>
        <v>0</v>
      </c>
    </row>
    <row r="13" spans="2:18" ht="15" x14ac:dyDescent="0.25">
      <c r="B13" s="17" t="s">
        <v>8</v>
      </c>
      <c r="C13" s="96">
        <f>(SUMIF($G$2:$G$31,B13,$I$2:$I$31))+(SUMIF($G$35:$G$41,B13,$H$35:$H$41))</f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IF(vend[[#This Row],[Nº Venda]]&gt;1,1,0)</f>
        <v>0</v>
      </c>
    </row>
    <row r="14" spans="2:18" ht="15" x14ac:dyDescent="0.25">
      <c r="B14" s="17" t="s">
        <v>9</v>
      </c>
      <c r="C14" s="96">
        <f>(SUMIF($G$2:$G$31,B14,$I$2:$I$31))+(SUMIF($G$35:$G$41,B14,$H$35:$H$41))</f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IF(vend[[#This Row],[Nº Venda]]&gt;1,1,0)</f>
        <v>0</v>
      </c>
    </row>
    <row r="15" spans="2:18" ht="15" x14ac:dyDescent="0.25">
      <c r="B15" s="17" t="s">
        <v>10</v>
      </c>
      <c r="C15" s="96">
        <f>(SUMIF($G$2:$G$31,B15,$I$2:$I$31))+(SUMIF($G$35:$G$41,B15,$H$35:$H$41))</f>
        <v>250</v>
      </c>
      <c r="D15" s="1"/>
      <c r="E15" s="44"/>
      <c r="F15" s="12"/>
      <c r="G15" s="13"/>
      <c r="H15" s="2"/>
      <c r="I15" s="2"/>
      <c r="J15" s="1"/>
      <c r="K15" s="38"/>
      <c r="L15" s="3"/>
      <c r="M15" s="8"/>
      <c r="R15" s="40">
        <f>IF(vend[[#This Row],[Nº Venda]]&gt;1,1,0)</f>
        <v>0</v>
      </c>
    </row>
    <row r="16" spans="2:18" ht="15" x14ac:dyDescent="0.25">
      <c r="B16" s="46" t="s">
        <v>11</v>
      </c>
      <c r="C16" s="48">
        <f>SUM(C11:C15)</f>
        <v>380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IF(vend[[#This Row],[Nº Venda]]&gt;1,1,0)</f>
        <v>0</v>
      </c>
    </row>
    <row r="19" spans="2:18" ht="15" x14ac:dyDescent="0.25">
      <c r="B19" s="17">
        <f>COUNT(entr_carn6[OS])</f>
        <v>0</v>
      </c>
      <c r="C19" s="18">
        <f>SUM(entr_carn6[Valor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949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>
        <v>1048</v>
      </c>
      <c r="F26" s="12" t="s">
        <v>152</v>
      </c>
      <c r="G26" s="13" t="s">
        <v>10</v>
      </c>
      <c r="H26" s="2"/>
      <c r="I26" s="2">
        <v>250</v>
      </c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>
        <v>988</v>
      </c>
      <c r="F35" s="12" t="s">
        <v>149</v>
      </c>
      <c r="G35" s="13" t="s">
        <v>7</v>
      </c>
      <c r="H35" s="2">
        <v>80</v>
      </c>
      <c r="I35" s="2" t="s">
        <v>47</v>
      </c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3</v>
      </c>
    </row>
    <row r="41" spans="2:18" ht="15" x14ac:dyDescent="0.25">
      <c r="E41" s="97"/>
      <c r="F41" s="24"/>
      <c r="G41" s="13"/>
      <c r="H41" s="2"/>
      <c r="I41" s="2"/>
      <c r="K41" s="38"/>
      <c r="L41" s="26"/>
      <c r="M41" s="25"/>
    </row>
    <row r="42" spans="2:18" x14ac:dyDescent="0.2">
      <c r="F42" s="98"/>
      <c r="G42" s="98"/>
      <c r="H42" s="99"/>
      <c r="I42" s="9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view="pageBreakPreview" topLeftCell="A2" zoomScale="60" zoomScaleNormal="90" workbookViewId="0">
      <selection activeCell="D40" sqref="D40"/>
    </sheetView>
  </sheetViews>
  <sheetFormatPr defaultColWidth="9.140625" defaultRowHeight="14.25" x14ac:dyDescent="0.2"/>
  <cols>
    <col min="1" max="1" width="0.7109375" style="40" customWidth="1"/>
    <col min="2" max="2" width="34.85546875" style="40" bestFit="1" customWidth="1"/>
    <col min="3" max="3" width="14" style="40" customWidth="1"/>
    <col min="4" max="4" width="0.42578125" style="40" customWidth="1"/>
    <col min="5" max="5" width="15.5703125" style="41" customWidth="1"/>
    <col min="6" max="6" width="50.140625" style="41" bestFit="1" customWidth="1"/>
    <col min="7" max="7" width="17.28515625" style="41" customWidth="1"/>
    <col min="8" max="8" width="19.140625" style="42" customWidth="1"/>
    <col min="9" max="9" width="15.5703125" style="42" customWidth="1"/>
    <col min="10" max="10" width="0.425781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21" ht="36.75" x14ac:dyDescent="0.7">
      <c r="B1" s="108">
        <f>'06'!B1+1</f>
        <v>45633</v>
      </c>
    </row>
    <row r="2" spans="2:21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21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21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  <c r="U4" s="40">
        <v>0</v>
      </c>
    </row>
    <row r="5" spans="2:21" ht="15" x14ac:dyDescent="0.25">
      <c r="B5" s="10" t="s">
        <v>1</v>
      </c>
      <c r="C5" s="11">
        <f>SUMIF(I6:I31,"&gt;0",H6:H31)</f>
        <v>290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21" ht="15" x14ac:dyDescent="0.25">
      <c r="B6" s="10" t="s">
        <v>2</v>
      </c>
      <c r="C6" s="11">
        <f>C16</f>
        <v>1039</v>
      </c>
      <c r="D6" s="1"/>
      <c r="E6" s="44">
        <v>1055</v>
      </c>
      <c r="F6" s="82" t="s">
        <v>153</v>
      </c>
      <c r="G6" s="82" t="s">
        <v>8</v>
      </c>
      <c r="H6" s="83">
        <v>290</v>
      </c>
      <c r="I6" s="83">
        <v>290</v>
      </c>
      <c r="J6" s="1"/>
      <c r="K6" s="12"/>
      <c r="L6" s="3"/>
      <c r="M6" s="8"/>
      <c r="R6" s="40">
        <f>IF(vend7[[#This Row],[Nº Venda]]&gt;1,1,0)</f>
        <v>1</v>
      </c>
    </row>
    <row r="7" spans="2:21" ht="15" x14ac:dyDescent="0.25">
      <c r="B7" s="10" t="s">
        <v>3</v>
      </c>
      <c r="C7" s="11">
        <f>SUM(M6:M11)</f>
        <v>0</v>
      </c>
      <c r="D7" s="1"/>
      <c r="E7" s="44"/>
      <c r="F7" s="84"/>
      <c r="G7" s="84"/>
      <c r="H7" s="85"/>
      <c r="I7" s="85"/>
      <c r="J7" s="1"/>
      <c r="K7" s="12"/>
      <c r="L7" s="3"/>
      <c r="M7" s="8"/>
      <c r="R7" s="40">
        <f>IF(vend7[[#This Row],[Nº Venda]]&gt;1,1,0)</f>
        <v>0</v>
      </c>
    </row>
    <row r="8" spans="2:21" ht="15" x14ac:dyDescent="0.25">
      <c r="B8" s="46" t="s">
        <v>21</v>
      </c>
      <c r="C8" s="47">
        <f>SUM(C6:C7)</f>
        <v>1039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IF(vend7[[#This Row],[Nº Venda]]&gt;1,1,0)</f>
        <v>0</v>
      </c>
    </row>
    <row r="9" spans="2:21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IF(vend7[[#This Row],[Nº Venda]]&gt;1,1,0)</f>
        <v>0</v>
      </c>
    </row>
    <row r="10" spans="2:21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IF(vend7[[#This Row],[Nº Venda]]&gt;1,1,0)</f>
        <v>0</v>
      </c>
    </row>
    <row r="11" spans="2:21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IF(vend7[[#This Row],[Nº Venda]]&gt;1,1,0)</f>
        <v>0</v>
      </c>
    </row>
    <row r="12" spans="2:21" ht="15" x14ac:dyDescent="0.25">
      <c r="B12" s="17" t="s">
        <v>7</v>
      </c>
      <c r="C12" s="18">
        <f t="shared" ref="C12:C15" si="0">(SUMIF($G$2:$G$31,B12,$I$2:$I$31))+(SUMIF($G$35:$G$41,B12,$H$35:$H$41))</f>
        <v>349</v>
      </c>
      <c r="D12" s="1"/>
      <c r="E12" s="44"/>
      <c r="F12" s="12"/>
      <c r="G12" s="13"/>
      <c r="H12" s="2"/>
      <c r="I12" s="2"/>
      <c r="J12" s="1"/>
      <c r="R12" s="40">
        <f>IF(vend7[[#This Row],[Nº Venda]]&gt;1,1,0)</f>
        <v>0</v>
      </c>
    </row>
    <row r="13" spans="2:21" ht="15" x14ac:dyDescent="0.25">
      <c r="B13" s="17" t="s">
        <v>8</v>
      </c>
      <c r="C13" s="18">
        <f t="shared" si="0"/>
        <v>290</v>
      </c>
      <c r="D13" s="1"/>
      <c r="E13" s="44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IF(vend7[[#This Row],[Nº Venda]]&gt;1,1,0)</f>
        <v>0</v>
      </c>
    </row>
    <row r="14" spans="2:21" ht="15" x14ac:dyDescent="0.25">
      <c r="B14" s="17" t="s">
        <v>9</v>
      </c>
      <c r="C14" s="18">
        <f t="shared" si="0"/>
        <v>0</v>
      </c>
      <c r="D14" s="1"/>
      <c r="E14" s="44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IF(vend7[[#This Row],[Nº Venda]]&gt;1,1,0)</f>
        <v>0</v>
      </c>
    </row>
    <row r="15" spans="2:21" ht="15" x14ac:dyDescent="0.25">
      <c r="B15" s="17" t="s">
        <v>10</v>
      </c>
      <c r="C15" s="18">
        <f t="shared" si="0"/>
        <v>400</v>
      </c>
      <c r="D15" s="1"/>
      <c r="E15" s="44"/>
      <c r="F15" s="12"/>
      <c r="G15" s="13"/>
      <c r="H15" s="2"/>
      <c r="I15" s="2"/>
      <c r="J15" s="1"/>
      <c r="K15" s="38">
        <v>1034</v>
      </c>
      <c r="L15" s="3" t="s">
        <v>140</v>
      </c>
      <c r="M15" s="93" t="s">
        <v>143</v>
      </c>
      <c r="R15" s="40">
        <f>IF(vend7[[#This Row],[Nº Venda]]&gt;1,1,0)</f>
        <v>0</v>
      </c>
    </row>
    <row r="16" spans="2:21" ht="15" x14ac:dyDescent="0.25">
      <c r="B16" s="46" t="s">
        <v>11</v>
      </c>
      <c r="C16" s="48">
        <f>SUM(C11:C15)</f>
        <v>1039</v>
      </c>
      <c r="D16" s="1"/>
      <c r="E16" s="44"/>
      <c r="F16" s="12"/>
      <c r="G16" s="13"/>
      <c r="H16" s="2"/>
      <c r="I16" s="2"/>
      <c r="J16" s="1"/>
      <c r="K16" s="38">
        <v>1049</v>
      </c>
      <c r="L16" s="3" t="s">
        <v>140</v>
      </c>
      <c r="M16" s="8" t="s">
        <v>156</v>
      </c>
      <c r="R16" s="40">
        <f>IF(vend7[[#This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IF(vend7[[#This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IF(vend7[[#This Row],[Nº Venda]]&gt;1,1,0)</f>
        <v>0</v>
      </c>
    </row>
    <row r="19" spans="2:18" ht="15" x14ac:dyDescent="0.25">
      <c r="B19" s="17">
        <f>COUNT(entr_carn7[OS])</f>
        <v>1</v>
      </c>
      <c r="C19" s="18">
        <f>SUM(entr_carn7[Valor Total])</f>
        <v>249</v>
      </c>
      <c r="D19" s="1"/>
      <c r="E19" s="44"/>
      <c r="F19" s="12"/>
      <c r="G19" s="13"/>
      <c r="H19" s="2"/>
      <c r="I19" s="2"/>
      <c r="J19" s="1"/>
      <c r="K19" s="38"/>
      <c r="L19" s="3"/>
      <c r="M19" s="3"/>
      <c r="R19" s="40">
        <f>IF(vend7[[#This Row],[Nº Venda]]&gt;1,1,0)</f>
        <v>0</v>
      </c>
    </row>
    <row r="20" spans="2:18" ht="15" x14ac:dyDescent="0.25">
      <c r="B20" s="46" t="s">
        <v>11</v>
      </c>
      <c r="C20" s="48">
        <f>SUM(C19:C19)</f>
        <v>249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IF(vend7[[#This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290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>
        <v>1049</v>
      </c>
      <c r="F26" s="94" t="s">
        <v>154</v>
      </c>
      <c r="G26" s="95" t="s">
        <v>10</v>
      </c>
      <c r="H26" s="30"/>
      <c r="I26" s="30">
        <v>400</v>
      </c>
      <c r="J26" s="1"/>
      <c r="K26" s="38"/>
      <c r="L26" s="3"/>
      <c r="M26" s="8"/>
    </row>
    <row r="27" spans="2:18" ht="15" x14ac:dyDescent="0.25">
      <c r="B27" s="1"/>
      <c r="C27" s="1"/>
      <c r="D27" s="1"/>
      <c r="E27" s="44">
        <v>1034</v>
      </c>
      <c r="F27" s="12" t="s">
        <v>155</v>
      </c>
      <c r="G27" s="13" t="s">
        <v>7</v>
      </c>
      <c r="H27" s="2"/>
      <c r="I27" s="2">
        <v>349</v>
      </c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>
        <v>1049</v>
      </c>
      <c r="L35" s="26">
        <v>2</v>
      </c>
      <c r="M35" s="8">
        <v>249</v>
      </c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1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18 M20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 M19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6" zoomScale="90" zoomScaleNormal="90" workbookViewId="0">
      <selection activeCell="D40" sqref="D40"/>
    </sheetView>
  </sheetViews>
  <sheetFormatPr defaultColWidth="9.140625" defaultRowHeight="12.75" x14ac:dyDescent="0.2"/>
  <cols>
    <col min="1" max="1" width="3.7109375" style="61" customWidth="1"/>
    <col min="2" max="2" width="35.28515625" style="61" bestFit="1" customWidth="1"/>
    <col min="3" max="3" width="14" style="61" customWidth="1"/>
    <col min="4" max="4" width="2.7109375" style="61" customWidth="1"/>
    <col min="5" max="5" width="15.5703125" style="62" customWidth="1"/>
    <col min="6" max="6" width="30.7109375" style="62" bestFit="1" customWidth="1"/>
    <col min="7" max="7" width="17.28515625" style="62" customWidth="1"/>
    <col min="8" max="8" width="19.140625" style="63" customWidth="1"/>
    <col min="9" max="9" width="15.5703125" style="63" customWidth="1"/>
    <col min="10" max="10" width="2.7109375" style="61" customWidth="1"/>
    <col min="11" max="11" width="21.7109375" style="64" customWidth="1"/>
    <col min="12" max="12" width="24.28515625" style="64" bestFit="1" customWidth="1"/>
    <col min="13" max="13" width="15.7109375" style="64" customWidth="1"/>
    <col min="14" max="14" width="4.28515625" style="61" customWidth="1"/>
    <col min="15" max="15" width="2.140625" style="61" hidden="1" customWidth="1"/>
    <col min="16" max="16" width="9.140625" style="61" hidden="1" customWidth="1"/>
    <col min="17" max="17" width="11.42578125" style="61" hidden="1" customWidth="1"/>
    <col min="18" max="18" width="2.42578125" style="61" hidden="1" customWidth="1"/>
    <col min="19" max="20" width="0" style="61" hidden="1" customWidth="1"/>
    <col min="21" max="16384" width="9.140625" style="61"/>
  </cols>
  <sheetData>
    <row r="1" spans="2:18" ht="36.75" x14ac:dyDescent="0.7">
      <c r="B1" s="108">
        <f>'07'!B1+1</f>
        <v>45634</v>
      </c>
    </row>
    <row r="2" spans="2:18" ht="18.75" x14ac:dyDescent="0.2">
      <c r="B2" s="127" t="s">
        <v>13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9"/>
    </row>
    <row r="3" spans="2:18" ht="18.75" x14ac:dyDescent="0.2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.75" x14ac:dyDescent="0.25">
      <c r="B6" s="10" t="s">
        <v>2</v>
      </c>
      <c r="C6" s="11">
        <f>C16</f>
        <v>0</v>
      </c>
      <c r="D6" s="1"/>
      <c r="E6" s="33"/>
      <c r="F6" s="2"/>
      <c r="G6" s="2"/>
      <c r="H6" s="2"/>
      <c r="I6" s="2"/>
      <c r="J6" s="1"/>
      <c r="K6" s="12"/>
      <c r="L6" s="3"/>
      <c r="M6" s="8"/>
      <c r="R6" s="61">
        <f>IF(vend8[[#This Row],[Nº Venda]]&gt;1,1,0)</f>
        <v>0</v>
      </c>
    </row>
    <row r="7" spans="2:18" ht="15.75" x14ac:dyDescent="0.25">
      <c r="B7" s="10" t="s">
        <v>3</v>
      </c>
      <c r="C7" s="11">
        <f>SUM(M6:M11)</f>
        <v>0</v>
      </c>
      <c r="D7" s="1"/>
      <c r="E7" s="33"/>
      <c r="F7" s="2"/>
      <c r="G7" s="2"/>
      <c r="H7" s="2"/>
      <c r="I7" s="2"/>
      <c r="J7" s="1"/>
      <c r="K7" s="12"/>
      <c r="L7" s="3"/>
      <c r="M7" s="8"/>
      <c r="R7" s="61">
        <f>IF(vend8[[#This Row],[Nº Venda]]&gt;1,1,0)</f>
        <v>0</v>
      </c>
    </row>
    <row r="8" spans="2:18" ht="15.75" x14ac:dyDescent="0.25">
      <c r="B8" s="15" t="s">
        <v>21</v>
      </c>
      <c r="C8" s="16">
        <f>SUM(C6:C7)</f>
        <v>0</v>
      </c>
      <c r="D8" s="1"/>
      <c r="E8" s="44"/>
      <c r="F8" s="2"/>
      <c r="G8" s="2"/>
      <c r="H8" s="2"/>
      <c r="I8" s="2"/>
      <c r="J8" s="1"/>
      <c r="K8" s="12"/>
      <c r="L8" s="3"/>
      <c r="M8" s="8"/>
      <c r="R8" s="61">
        <f>IF(vend8[[#This Row],[Nº Venda]]&gt;1,1,0)</f>
        <v>0</v>
      </c>
    </row>
    <row r="9" spans="2:18" ht="15.75" x14ac:dyDescent="0.25">
      <c r="B9" s="1"/>
      <c r="C9" s="1"/>
      <c r="D9" s="1"/>
      <c r="E9" s="33"/>
      <c r="F9" s="2"/>
      <c r="G9" s="2"/>
      <c r="H9" s="2"/>
      <c r="I9" s="2"/>
      <c r="J9" s="1"/>
      <c r="K9" s="12"/>
      <c r="L9" s="3"/>
      <c r="M9" s="8"/>
      <c r="R9" s="61">
        <f>IF(vend8[[#This Row],[Nº Venda]]&gt;1,1,0)</f>
        <v>0</v>
      </c>
    </row>
    <row r="10" spans="2:18" ht="15.75" x14ac:dyDescent="0.25">
      <c r="B10" s="118" t="s">
        <v>5</v>
      </c>
      <c r="C10" s="118"/>
      <c r="D10" s="1"/>
      <c r="E10" s="33"/>
      <c r="F10" s="12"/>
      <c r="G10" s="13"/>
      <c r="H10" s="2"/>
      <c r="I10" s="2"/>
      <c r="J10" s="1"/>
      <c r="K10" s="12"/>
      <c r="L10" s="3"/>
      <c r="M10" s="8"/>
      <c r="R10" s="61">
        <f>IF(vend8[[#This Row],[Nº Venda]]&gt;1,1,0)</f>
        <v>0</v>
      </c>
    </row>
    <row r="11" spans="2:18" ht="15.75" x14ac:dyDescent="0.25">
      <c r="B11" s="17" t="s">
        <v>6</v>
      </c>
      <c r="C11" s="71">
        <f>(SUMIF($G$2:$G$31,B11,$I$2:$I$31))+(SUMIF($G$35:$G$42,B11,$H$35:$H$42))</f>
        <v>0</v>
      </c>
      <c r="D11" s="1"/>
      <c r="E11" s="33"/>
      <c r="F11" s="12"/>
      <c r="G11" s="13"/>
      <c r="H11" s="2"/>
      <c r="I11" s="2"/>
      <c r="J11" s="1"/>
      <c r="K11" s="14"/>
      <c r="L11" s="3"/>
      <c r="M11" s="8"/>
      <c r="O11" s="61">
        <f>IF(C16=0,0,1)</f>
        <v>0</v>
      </c>
      <c r="R11" s="61">
        <f>IF(vend8[[#This Row],[Nº Venda]]&gt;1,1,0)</f>
        <v>0</v>
      </c>
    </row>
    <row r="12" spans="2:18" ht="15.75" x14ac:dyDescent="0.25">
      <c r="B12" s="17" t="s">
        <v>7</v>
      </c>
      <c r="C12" s="71">
        <f>(SUMIF($G$2:$G$31,B12,$I$2:$I$31))+(SUMIF($G$35:$G$42,B12,$H$35:$H$42))</f>
        <v>0</v>
      </c>
      <c r="D12" s="1"/>
      <c r="E12" s="33"/>
      <c r="F12" s="12"/>
      <c r="G12" s="13"/>
      <c r="H12" s="2"/>
      <c r="I12" s="2"/>
      <c r="J12" s="1"/>
      <c r="R12" s="61">
        <f>IF(vend8[[#This Row],[Nº Venda]]&gt;1,1,0)</f>
        <v>0</v>
      </c>
    </row>
    <row r="13" spans="2:18" ht="15.75" x14ac:dyDescent="0.25">
      <c r="B13" s="17" t="s">
        <v>8</v>
      </c>
      <c r="C13" s="71">
        <f>(SUMIF($G$2:$G$31,B13,$I$2:$I$31))+(SUMIF($G$35:$G$42,B13,$H$35:$H$42))</f>
        <v>0</v>
      </c>
      <c r="D13" s="1"/>
      <c r="E13" s="70"/>
      <c r="F13" s="12"/>
      <c r="G13" s="13"/>
      <c r="H13" s="2"/>
      <c r="I13" s="2"/>
      <c r="J13" s="1"/>
      <c r="K13" s="120" t="s">
        <v>22</v>
      </c>
      <c r="L13" s="121"/>
      <c r="M13" s="122"/>
      <c r="R13" s="61">
        <f>IF(vend8[[#This Row],[Nº Venda]]&gt;1,1,0)</f>
        <v>0</v>
      </c>
    </row>
    <row r="14" spans="2:18" ht="15.75" x14ac:dyDescent="0.25">
      <c r="B14" s="17" t="s">
        <v>9</v>
      </c>
      <c r="C14" s="71">
        <f>(SUMIF($G$2:$G$31,B14,$I$2:$I$31))+(SUMIF($G$35:$G$42,B14,$H$35:$H$42))</f>
        <v>0</v>
      </c>
      <c r="D14" s="1"/>
      <c r="E14" s="70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61">
        <f>IF(vend8[[#This Row],[Nº Venda]]&gt;1,1,0)</f>
        <v>0</v>
      </c>
    </row>
    <row r="15" spans="2:18" ht="15.75" x14ac:dyDescent="0.25">
      <c r="B15" s="17" t="s">
        <v>10</v>
      </c>
      <c r="C15" s="71">
        <f>(SUMIF($G$2:$G$31,B15,$I$2:$I$31))+(SUMIF($G$35:$G$42,B15,$H$35:$H$42))</f>
        <v>0</v>
      </c>
      <c r="D15" s="1"/>
      <c r="E15" s="33"/>
      <c r="F15" s="12"/>
      <c r="G15" s="13"/>
      <c r="H15" s="2"/>
      <c r="I15" s="2"/>
      <c r="J15" s="1"/>
      <c r="K15" s="38"/>
      <c r="L15" s="3"/>
      <c r="M15" s="8"/>
      <c r="R15" s="61">
        <f>IF(vend8[[#This Row],[Nº Venda]]&gt;1,1,0)</f>
        <v>0</v>
      </c>
    </row>
    <row r="16" spans="2:18" ht="15.75" x14ac:dyDescent="0.25">
      <c r="B16" s="15" t="s">
        <v>11</v>
      </c>
      <c r="C16" s="19">
        <f>SUM(C11:C15)</f>
        <v>0</v>
      </c>
      <c r="D16" s="1"/>
      <c r="E16" s="33"/>
      <c r="F16" s="12"/>
      <c r="G16" s="13"/>
      <c r="H16" s="2"/>
      <c r="I16" s="2"/>
      <c r="J16" s="1"/>
      <c r="K16" s="38"/>
      <c r="L16" s="3"/>
      <c r="M16" s="8"/>
      <c r="R16" s="61">
        <f>IF(vend8[[#This Row],[Nº Venda]]&gt;1,1,0)</f>
        <v>0</v>
      </c>
    </row>
    <row r="17" spans="2:18" ht="15.75" x14ac:dyDescent="0.25">
      <c r="B17" s="1"/>
      <c r="C17" s="1"/>
      <c r="D17" s="1"/>
      <c r="E17" s="33"/>
      <c r="F17" s="12"/>
      <c r="G17" s="13"/>
      <c r="H17" s="2"/>
      <c r="I17" s="2"/>
      <c r="J17" s="1"/>
      <c r="K17" s="38"/>
      <c r="L17" s="3"/>
      <c r="M17" s="8"/>
      <c r="R17" s="61">
        <f>IF(vend8[[#This Row],[Nº Venda]]&gt;1,1,0)</f>
        <v>0</v>
      </c>
    </row>
    <row r="18" spans="2:18" ht="15.75" x14ac:dyDescent="0.25">
      <c r="B18" s="118" t="s">
        <v>12</v>
      </c>
      <c r="C18" s="118"/>
      <c r="D18" s="1"/>
      <c r="E18" s="33"/>
      <c r="F18" s="12"/>
      <c r="G18" s="13"/>
      <c r="H18" s="2"/>
      <c r="I18" s="2"/>
      <c r="J18" s="1"/>
      <c r="K18" s="38"/>
      <c r="L18" s="3"/>
      <c r="M18" s="8"/>
      <c r="R18" s="61">
        <f>IF(vend8[[#This Row],[Nº Venda]]&gt;1,1,0)</f>
        <v>0</v>
      </c>
    </row>
    <row r="19" spans="2:18" ht="15.75" x14ac:dyDescent="0.25">
      <c r="B19" s="17">
        <f>COUNT(entr_carn8[OS])</f>
        <v>0</v>
      </c>
      <c r="C19" s="18">
        <f>SUM(entr_carn8[Valor Total])</f>
        <v>0</v>
      </c>
      <c r="D19" s="1"/>
      <c r="E19" s="33"/>
      <c r="F19" s="12"/>
      <c r="G19" s="13"/>
      <c r="H19" s="2"/>
      <c r="I19" s="2"/>
      <c r="J19" s="1"/>
      <c r="K19" s="38"/>
      <c r="L19" s="3"/>
      <c r="M19" s="8"/>
      <c r="R19" s="61">
        <f>IF(vend8[[#This Row],[Nº Venda]]&gt;1,1,0)</f>
        <v>0</v>
      </c>
    </row>
    <row r="20" spans="2:18" ht="15.75" x14ac:dyDescent="0.25">
      <c r="B20" s="15" t="s">
        <v>11</v>
      </c>
      <c r="C20" s="19">
        <f>SUM(C19:C19)</f>
        <v>0</v>
      </c>
      <c r="D20" s="1"/>
      <c r="E20" s="33"/>
      <c r="F20" s="13"/>
      <c r="G20" s="13"/>
      <c r="H20" s="2"/>
      <c r="I20" s="2"/>
      <c r="J20" s="1"/>
      <c r="K20" s="38"/>
      <c r="L20" s="3"/>
      <c r="M20" s="8"/>
      <c r="R20" s="61">
        <f>IF(vend8[[#This Row],[Nº Venda]]&gt;1,1,0)</f>
        <v>0</v>
      </c>
    </row>
    <row r="21" spans="2:18" ht="15.75" x14ac:dyDescent="0.25">
      <c r="B21" s="105"/>
      <c r="C21" s="105"/>
      <c r="D21" s="1"/>
      <c r="E21" s="33"/>
      <c r="F21" s="12"/>
      <c r="G21" s="13"/>
      <c r="H21" s="2"/>
      <c r="I21" s="2"/>
      <c r="J21" s="1"/>
      <c r="K21" s="38"/>
      <c r="L21" s="3"/>
      <c r="M21" s="8"/>
    </row>
    <row r="22" spans="2:18" ht="15.75" x14ac:dyDescent="0.25">
      <c r="B22" s="15" t="s">
        <v>26</v>
      </c>
      <c r="C22" s="19">
        <f>C5</f>
        <v>0</v>
      </c>
      <c r="D22" s="1"/>
      <c r="E22" s="33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68"/>
      <c r="H23" s="69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.75" x14ac:dyDescent="0.25">
      <c r="B26" s="1"/>
      <c r="C26" s="1"/>
      <c r="D26" s="1"/>
      <c r="E26" s="33"/>
      <c r="F26" s="90"/>
      <c r="G26" s="91"/>
      <c r="H26" s="92"/>
      <c r="I26" s="92"/>
      <c r="J26" s="1"/>
      <c r="K26" s="38"/>
      <c r="L26" s="3"/>
      <c r="M26" s="8"/>
    </row>
    <row r="27" spans="2:18" ht="15.75" x14ac:dyDescent="0.25">
      <c r="B27" s="1"/>
      <c r="C27" s="1"/>
      <c r="D27" s="1"/>
      <c r="E27" s="33"/>
      <c r="F27" s="12"/>
      <c r="G27" s="28"/>
      <c r="H27" s="2"/>
      <c r="I27" s="2"/>
      <c r="J27" s="1"/>
      <c r="K27" s="38"/>
      <c r="L27" s="3"/>
      <c r="M27" s="8"/>
    </row>
    <row r="28" spans="2:18" ht="15.75" x14ac:dyDescent="0.25">
      <c r="B28" s="1"/>
      <c r="C28" s="1"/>
      <c r="D28" s="1"/>
      <c r="E28" s="33"/>
      <c r="F28" s="12"/>
      <c r="G28" s="28"/>
      <c r="H28" s="2"/>
      <c r="I28" s="2"/>
      <c r="J28" s="1"/>
      <c r="K28" s="38"/>
      <c r="L28" s="3"/>
      <c r="M28" s="8"/>
    </row>
    <row r="29" spans="2:18" ht="15.75" x14ac:dyDescent="0.25">
      <c r="B29" s="1"/>
      <c r="C29" s="1"/>
      <c r="D29" s="1"/>
      <c r="E29" s="33"/>
      <c r="F29" s="12"/>
      <c r="G29" s="28"/>
      <c r="H29" s="2"/>
      <c r="I29" s="2"/>
      <c r="J29" s="1"/>
      <c r="K29" s="38"/>
      <c r="L29" s="3"/>
      <c r="M29" s="8"/>
    </row>
    <row r="30" spans="2:18" ht="15.75" x14ac:dyDescent="0.25">
      <c r="B30" s="1"/>
      <c r="C30" s="1"/>
      <c r="D30" s="1"/>
      <c r="E30" s="33"/>
      <c r="F30" s="12"/>
      <c r="G30" s="13"/>
      <c r="H30" s="2"/>
      <c r="I30" s="2"/>
      <c r="J30" s="1"/>
      <c r="K30" s="38"/>
      <c r="L30" s="3"/>
      <c r="M30" s="8"/>
    </row>
    <row r="31" spans="2:18" ht="15.75" x14ac:dyDescent="0.25">
      <c r="B31" s="1"/>
      <c r="C31" s="1"/>
      <c r="D31" s="1"/>
      <c r="E31" s="34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68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2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.75" x14ac:dyDescent="0.25">
      <c r="E36" s="36"/>
      <c r="F36" s="12"/>
      <c r="G36" s="13"/>
      <c r="H36" s="2"/>
      <c r="I36" s="2"/>
      <c r="K36" s="38"/>
      <c r="L36" s="26"/>
      <c r="M36" s="8"/>
    </row>
    <row r="37" spans="2:18" ht="15.75" x14ac:dyDescent="0.25">
      <c r="E37" s="33"/>
      <c r="F37" s="12"/>
      <c r="G37" s="13"/>
      <c r="H37" s="2"/>
      <c r="I37" s="2"/>
      <c r="K37" s="38"/>
      <c r="L37" s="26"/>
      <c r="M37" s="8"/>
    </row>
    <row r="38" spans="2:18" ht="15.75" x14ac:dyDescent="0.25">
      <c r="E38" s="33"/>
      <c r="F38" s="12"/>
      <c r="G38" s="13"/>
      <c r="H38" s="2"/>
      <c r="I38" s="2"/>
      <c r="K38" s="38"/>
      <c r="L38" s="26"/>
      <c r="M38" s="8"/>
    </row>
    <row r="39" spans="2:18" ht="15.75" x14ac:dyDescent="0.25">
      <c r="E39" s="33"/>
      <c r="F39" s="24"/>
      <c r="G39" s="13"/>
      <c r="H39" s="2"/>
      <c r="I39" s="2"/>
      <c r="K39" s="38"/>
      <c r="L39" s="26"/>
      <c r="M39" s="8"/>
    </row>
    <row r="40" spans="2:18" ht="15.75" x14ac:dyDescent="0.25">
      <c r="E40" s="34"/>
      <c r="F40" s="21"/>
      <c r="G40" s="22"/>
      <c r="H40" s="9"/>
      <c r="I40" s="2"/>
      <c r="K40" s="39"/>
      <c r="L40" s="27"/>
      <c r="M40" s="25"/>
      <c r="Q40" s="61" t="s">
        <v>36</v>
      </c>
      <c r="R40" s="61">
        <f>SUM(R6:R21)</f>
        <v>0</v>
      </c>
    </row>
    <row r="41" spans="2:18" ht="15.75" x14ac:dyDescent="0.25">
      <c r="E41" s="37"/>
      <c r="F41" s="24"/>
      <c r="G41" s="13"/>
      <c r="H41" s="2"/>
      <c r="I41" s="2"/>
      <c r="K41" s="38"/>
      <c r="L41" s="26"/>
      <c r="M41" s="25"/>
    </row>
    <row r="42" spans="2:18" ht="15.75" x14ac:dyDescent="0.25">
      <c r="E42" s="20"/>
      <c r="F42" s="72"/>
      <c r="G42" s="22"/>
      <c r="H42" s="9"/>
      <c r="I42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topLeftCell="A5" zoomScale="60" zoomScaleNormal="90" workbookViewId="0">
      <selection activeCell="D40" sqref="D40"/>
    </sheetView>
  </sheetViews>
  <sheetFormatPr defaultColWidth="9.140625" defaultRowHeight="14.25" x14ac:dyDescent="0.2"/>
  <cols>
    <col min="1" max="1" width="0.28515625" style="40" customWidth="1"/>
    <col min="2" max="2" width="32.28515625" style="40" customWidth="1"/>
    <col min="3" max="3" width="14.28515625" style="40" customWidth="1"/>
    <col min="4" max="4" width="0.7109375" style="40" customWidth="1"/>
    <col min="5" max="5" width="9.28515625" style="41" customWidth="1"/>
    <col min="6" max="6" width="37.7109375" style="41" customWidth="1"/>
    <col min="7" max="7" width="14.42578125" style="41" customWidth="1"/>
    <col min="8" max="8" width="16.140625" style="42" customWidth="1"/>
    <col min="9" max="9" width="13.85546875" style="42" customWidth="1"/>
    <col min="10" max="10" width="4.5703125" style="40" customWidth="1"/>
    <col min="11" max="11" width="12.42578125" style="43" customWidth="1"/>
    <col min="12" max="12" width="24.28515625" style="43" bestFit="1" customWidth="1"/>
    <col min="13" max="13" width="12.855468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22" ht="36.75" x14ac:dyDescent="0.7">
      <c r="B1" s="108">
        <f>'08'!B1+1</f>
        <v>45635</v>
      </c>
    </row>
    <row r="2" spans="2:22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22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22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22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22" ht="15" x14ac:dyDescent="0.25">
      <c r="B6" s="10" t="s">
        <v>2</v>
      </c>
      <c r="C6" s="11">
        <f>C16</f>
        <v>229</v>
      </c>
      <c r="D6" s="1"/>
      <c r="E6" s="44"/>
      <c r="F6" s="12" t="s">
        <v>58</v>
      </c>
      <c r="G6" s="28"/>
      <c r="H6" s="2"/>
      <c r="I6" s="2"/>
      <c r="J6" s="1"/>
      <c r="K6" s="12"/>
      <c r="L6" s="3"/>
      <c r="M6" s="8"/>
      <c r="R6" s="40">
        <f>IF(vend9[[#This Row],[Nº Venda]]&gt;1,1,0)</f>
        <v>0</v>
      </c>
    </row>
    <row r="7" spans="2:22" ht="15" x14ac:dyDescent="0.25">
      <c r="B7" s="10" t="s">
        <v>3</v>
      </c>
      <c r="C7" s="11">
        <f>SUM(M6:M11)</f>
        <v>0</v>
      </c>
      <c r="D7" s="1"/>
      <c r="E7" s="44"/>
      <c r="F7" s="89"/>
      <c r="G7" s="28"/>
      <c r="H7" s="2"/>
      <c r="I7" s="2"/>
      <c r="J7" s="1"/>
      <c r="K7" s="12"/>
      <c r="L7" s="3"/>
      <c r="M7" s="8"/>
      <c r="R7" s="40">
        <f>IF(vend9[[#This Row],[Nº Venda]]&gt;1,1,0)</f>
        <v>0</v>
      </c>
    </row>
    <row r="8" spans="2:22" ht="15" x14ac:dyDescent="0.25">
      <c r="B8" s="46" t="s">
        <v>21</v>
      </c>
      <c r="C8" s="47">
        <f>SUM(C6:C7)</f>
        <v>229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IF(vend9[[#This Row],[Nº Venda]]&gt;1,1,0)</f>
        <v>0</v>
      </c>
    </row>
    <row r="9" spans="2:22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IF(vend9[[#This Row],[Nº Venda]]&gt;1,1,0)</f>
        <v>0</v>
      </c>
    </row>
    <row r="10" spans="2:22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IF(vend9[[#This Row],[Nº Venda]]&gt;1,1,0)</f>
        <v>0</v>
      </c>
    </row>
    <row r="11" spans="2:22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IF(vend9[[#This Row],[Nº Venda]]&gt;1,1,0)</f>
        <v>0</v>
      </c>
    </row>
    <row r="12" spans="2:22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IF(vend9[[#This Row],[Nº Venda]]&gt;1,1,0)</f>
        <v>0</v>
      </c>
      <c r="V12" s="40">
        <v>0</v>
      </c>
    </row>
    <row r="13" spans="2:22" ht="15" x14ac:dyDescent="0.25">
      <c r="B13" s="17" t="s">
        <v>8</v>
      </c>
      <c r="C13" s="18">
        <f t="shared" si="0"/>
        <v>0</v>
      </c>
      <c r="D13" s="1"/>
      <c r="E13" s="44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IF(vend9[[#This Row],[Nº Venda]]&gt;1,1,0)</f>
        <v>0</v>
      </c>
    </row>
    <row r="14" spans="2:22" ht="15" x14ac:dyDescent="0.25">
      <c r="B14" s="17" t="s">
        <v>9</v>
      </c>
      <c r="C14" s="18">
        <f t="shared" si="0"/>
        <v>0</v>
      </c>
      <c r="D14" s="1"/>
      <c r="E14" s="44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IF(vend9[[#This Row],[Nº Venda]]&gt;1,1,0)</f>
        <v>0</v>
      </c>
    </row>
    <row r="15" spans="2:22" ht="15" x14ac:dyDescent="0.25">
      <c r="B15" s="17" t="s">
        <v>10</v>
      </c>
      <c r="C15" s="18">
        <f t="shared" si="0"/>
        <v>229</v>
      </c>
      <c r="D15" s="1"/>
      <c r="E15" s="44"/>
      <c r="F15" s="12"/>
      <c r="G15" s="13"/>
      <c r="H15" s="2"/>
      <c r="I15" s="2"/>
      <c r="J15" s="1"/>
      <c r="K15" s="38">
        <v>1038</v>
      </c>
      <c r="L15" s="3" t="s">
        <v>140</v>
      </c>
      <c r="M15" s="8" t="s">
        <v>143</v>
      </c>
      <c r="R15" s="40">
        <f>IF(vend9[[#This Row],[Nº Venda]]&gt;1,1,0)</f>
        <v>0</v>
      </c>
    </row>
    <row r="16" spans="2:22" ht="15" x14ac:dyDescent="0.25">
      <c r="B16" s="46" t="s">
        <v>11</v>
      </c>
      <c r="C16" s="48">
        <f>SUM(C11:C15)</f>
        <v>229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IF(vend9[[#This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IF(vend9[[#This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IF(vend9[[#This Row],[Nº Venda]]&gt;1,1,0)</f>
        <v>0</v>
      </c>
    </row>
    <row r="19" spans="2:18" ht="15" x14ac:dyDescent="0.25">
      <c r="B19" s="17">
        <f>COUNT(entr_carn9[OS])</f>
        <v>0</v>
      </c>
      <c r="C19" s="18">
        <f>SUM(entr_carn9[Valor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IF(vend9[[#This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2"/>
      <c r="G20" s="13"/>
      <c r="H20" s="2"/>
      <c r="I20" s="2"/>
      <c r="J20" s="1"/>
      <c r="K20" s="38"/>
      <c r="L20" s="3"/>
      <c r="M20" s="8"/>
      <c r="R20" s="40">
        <f>IF(vend9[[#This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>
        <v>1038</v>
      </c>
      <c r="F26" s="12" t="s">
        <v>157</v>
      </c>
      <c r="G26" s="28" t="s">
        <v>10</v>
      </c>
      <c r="H26" s="2"/>
      <c r="I26" s="2">
        <v>229</v>
      </c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3" zoomScale="90" zoomScaleNormal="90" workbookViewId="0">
      <selection activeCell="D40" sqref="D40"/>
    </sheetView>
  </sheetViews>
  <sheetFormatPr defaultColWidth="9.140625" defaultRowHeight="14.25" x14ac:dyDescent="0.2"/>
  <cols>
    <col min="1" max="1" width="0.42578125" style="40" customWidth="1"/>
    <col min="2" max="2" width="35.28515625" style="40" bestFit="1" customWidth="1"/>
    <col min="3" max="3" width="14" style="40" customWidth="1"/>
    <col min="4" max="4" width="0.425781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425781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'11'!B1+1</f>
        <v>45638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100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326.25</v>
      </c>
      <c r="D6" s="1"/>
      <c r="E6" s="44">
        <v>1058</v>
      </c>
      <c r="F6" s="82" t="s">
        <v>161</v>
      </c>
      <c r="G6" s="82" t="s">
        <v>7</v>
      </c>
      <c r="H6" s="83">
        <v>100</v>
      </c>
      <c r="I6" s="83">
        <v>100</v>
      </c>
      <c r="J6" s="1"/>
      <c r="K6" s="12"/>
      <c r="L6" s="3"/>
      <c r="M6" s="8"/>
      <c r="R6" s="40">
        <f>IF(vend12[[#This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84"/>
      <c r="G7" s="84"/>
      <c r="H7" s="85"/>
      <c r="I7" s="85"/>
      <c r="J7" s="1"/>
      <c r="K7" s="12"/>
      <c r="L7" s="3"/>
      <c r="M7" s="8"/>
      <c r="R7" s="40">
        <f>IF(vend12[[#This Row],[Nº Venda]]&gt;1,1,0)</f>
        <v>0</v>
      </c>
    </row>
    <row r="8" spans="2:18" ht="15" x14ac:dyDescent="0.25">
      <c r="B8" s="46" t="s">
        <v>21</v>
      </c>
      <c r="C8" s="47">
        <f>SUM(C6:C7)</f>
        <v>326.25</v>
      </c>
      <c r="D8" s="1"/>
      <c r="E8" s="44"/>
      <c r="F8" s="84"/>
      <c r="G8" s="84"/>
      <c r="H8" s="85"/>
      <c r="I8" s="85"/>
      <c r="J8" s="1"/>
      <c r="K8" s="12"/>
      <c r="L8" s="3"/>
      <c r="M8" s="8"/>
      <c r="R8" s="40">
        <f>IF(vend12[[#This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IF(vend12[[#This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IF(vend12[[#This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IF(vend12[[#This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100</v>
      </c>
      <c r="D12" s="1"/>
      <c r="E12" s="44"/>
      <c r="F12" s="12"/>
      <c r="G12" s="13"/>
      <c r="H12" s="2"/>
      <c r="I12" s="2"/>
      <c r="J12" s="1"/>
      <c r="R12" s="40">
        <f>IF(vend12[[#This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IF(vend12[[#This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IF(vend12[[#This Row],[Nº Venda]]&gt;1,1,0)</f>
        <v>0</v>
      </c>
    </row>
    <row r="15" spans="2:18" ht="15" x14ac:dyDescent="0.25">
      <c r="B15" s="17" t="s">
        <v>10</v>
      </c>
      <c r="C15" s="18">
        <f t="shared" si="0"/>
        <v>226.25</v>
      </c>
      <c r="D15" s="1"/>
      <c r="E15" s="44"/>
      <c r="F15" s="12"/>
      <c r="G15" s="13"/>
      <c r="H15" s="2"/>
      <c r="I15" s="2"/>
      <c r="J15" s="1"/>
      <c r="K15" s="38">
        <v>1058</v>
      </c>
      <c r="L15" s="3" t="s">
        <v>140</v>
      </c>
      <c r="M15" s="8" t="s">
        <v>143</v>
      </c>
      <c r="R15" s="40">
        <f>IF(vend12[[#This Row],[Nº Venda]]&gt;1,1,0)</f>
        <v>0</v>
      </c>
    </row>
    <row r="16" spans="2:18" ht="15" x14ac:dyDescent="0.25">
      <c r="B16" s="46" t="s">
        <v>11</v>
      </c>
      <c r="C16" s="48">
        <f>SUM(C11:C15)</f>
        <v>326.25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IF(vend12[[#This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IF(vend12[[#This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IF(vend12[[#This Row],[Nº Venda]]&gt;1,1,0)</f>
        <v>0</v>
      </c>
    </row>
    <row r="19" spans="2:18" ht="15" x14ac:dyDescent="0.25">
      <c r="B19" s="17">
        <f>COUNT(entr_carn12[OS])</f>
        <v>0</v>
      </c>
      <c r="C19" s="18">
        <f>SUM(entr_carn12[Valor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IF(vend12[[#This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IF(vend12[[#This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100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>
        <v>1057</v>
      </c>
      <c r="F26" s="86" t="s">
        <v>162</v>
      </c>
      <c r="G26" s="28" t="s">
        <v>10</v>
      </c>
      <c r="H26" s="2"/>
      <c r="I26" s="2">
        <v>226.25</v>
      </c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1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A1:R42"/>
  <sheetViews>
    <sheetView showGridLines="0" topLeftCell="B10" zoomScale="90" zoomScaleNormal="90" workbookViewId="0">
      <selection activeCell="D40" sqref="D40"/>
    </sheetView>
  </sheetViews>
  <sheetFormatPr defaultColWidth="9.140625" defaultRowHeight="14.25" x14ac:dyDescent="0.2"/>
  <cols>
    <col min="1" max="1" width="3.7109375" style="40" hidden="1" customWidth="1"/>
    <col min="2" max="2" width="35.28515625" style="40" bestFit="1" customWidth="1"/>
    <col min="3" max="3" width="14" style="40" customWidth="1"/>
    <col min="4" max="4" width="0.28515625" style="40" customWidth="1"/>
    <col min="5" max="5" width="15.5703125" style="41" customWidth="1"/>
    <col min="6" max="6" width="42.85546875" style="41" bestFit="1" customWidth="1"/>
    <col min="7" max="7" width="17.28515625" style="41" customWidth="1"/>
    <col min="8" max="8" width="19.140625" style="42" customWidth="1"/>
    <col min="9" max="9" width="15.5703125" style="42" customWidth="1"/>
    <col min="10" max="10" width="2.7109375" style="40" hidden="1" customWidth="1"/>
    <col min="11" max="11" width="17.5703125" style="43" customWidth="1"/>
    <col min="12" max="12" width="20" style="43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'09'!B1+1</f>
        <v>45636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SUMIF(I6:I32,"&gt;0",H6:H32)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176.5</v>
      </c>
      <c r="D6" s="1"/>
      <c r="E6" s="44">
        <v>1056</v>
      </c>
      <c r="F6" s="12" t="s">
        <v>158</v>
      </c>
      <c r="G6" s="28" t="s">
        <v>40</v>
      </c>
      <c r="H6" s="2">
        <v>0</v>
      </c>
      <c r="I6" s="2">
        <v>0</v>
      </c>
      <c r="J6" s="1"/>
      <c r="K6" s="12"/>
      <c r="L6" s="3"/>
      <c r="M6" s="8"/>
      <c r="R6" s="40">
        <f>IF(vend10[[#This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28"/>
      <c r="H7" s="2"/>
      <c r="I7" s="2"/>
      <c r="J7" s="1"/>
      <c r="K7" s="12"/>
      <c r="L7" s="3"/>
      <c r="M7" s="8"/>
      <c r="R7" s="40">
        <f>IF(vend10[[#This Row],[Nº Venda]]&gt;1,1,0)</f>
        <v>0</v>
      </c>
    </row>
    <row r="8" spans="2:18" ht="15" x14ac:dyDescent="0.25">
      <c r="B8" s="46" t="s">
        <v>21</v>
      </c>
      <c r="C8" s="47">
        <f>SUM(C6:C7)</f>
        <v>176.5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IF(vend10[[#This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IF(vend10[[#This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IF(vend10[[#This Row],[Nº Venda]]&gt;1,1,0)</f>
        <v>0</v>
      </c>
    </row>
    <row r="11" spans="2:18" ht="15" x14ac:dyDescent="0.25">
      <c r="B11" s="17" t="s">
        <v>6</v>
      </c>
      <c r="C11" s="18">
        <f>(SUMIF($G$2:$G$32,B11,$I$2:$I$32))+(SUMIF($G$36:$G$42,B11,$H$36:$H$42))</f>
        <v>100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IF(vend10[[#This Row],[Nº Venda]]&gt;1,1,0)</f>
        <v>0</v>
      </c>
    </row>
    <row r="12" spans="2:18" ht="15" x14ac:dyDescent="0.25">
      <c r="B12" s="17" t="s">
        <v>7</v>
      </c>
      <c r="C12" s="18">
        <f>(SUMIF($G$2:$G$32,B12,$I$2:$I$32))+(SUMIF($G$36:$G$42,B12,$H$36:$H$42))</f>
        <v>76.5</v>
      </c>
      <c r="D12" s="1"/>
      <c r="E12" s="44"/>
      <c r="F12" s="12"/>
      <c r="G12" s="13"/>
      <c r="H12" s="2"/>
      <c r="I12" s="2"/>
      <c r="J12" s="1"/>
      <c r="R12" s="40">
        <f>IF(vend10[[#This Row],[Nº Venda]]&gt;1,1,0)</f>
        <v>0</v>
      </c>
    </row>
    <row r="13" spans="2:18" ht="15" x14ac:dyDescent="0.25">
      <c r="B13" s="17" t="s">
        <v>8</v>
      </c>
      <c r="C13" s="18">
        <f>(SUMIF($G$2:$G$32,B13,$I$2:$I$32))+(SUMIF($G$36:$G$42,B13,$H$36:$H$42))</f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IF(vend10[[#This Row],[Nº Venda]]&gt;1,1,0)</f>
        <v>0</v>
      </c>
    </row>
    <row r="14" spans="2:18" ht="15" x14ac:dyDescent="0.25">
      <c r="B14" s="17" t="s">
        <v>9</v>
      </c>
      <c r="C14" s="18">
        <f>(SUMIF($G$2:$G$32,B14,$I$2:$I$32))+(SUMIF($G$36:$G$42,B14,$H$36:$H$42))</f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IF(vend10[[#This Row],[Nº Venda]]&gt;1,1,0)</f>
        <v>0</v>
      </c>
    </row>
    <row r="15" spans="2:18" ht="15" x14ac:dyDescent="0.25">
      <c r="B15" s="17" t="s">
        <v>10</v>
      </c>
      <c r="C15" s="18">
        <f>(SUMIF($G$2:$G$32,B15,$I$2:$I$32))+(SUMIF($G$36:$G$42,B15,$H$36:$H$42))</f>
        <v>0</v>
      </c>
      <c r="D15" s="1"/>
      <c r="E15" s="44"/>
      <c r="F15" s="12"/>
      <c r="G15" s="13"/>
      <c r="H15" s="2"/>
      <c r="I15" s="2"/>
      <c r="J15" s="1"/>
      <c r="K15" s="38">
        <v>1029</v>
      </c>
      <c r="L15" s="3" t="s">
        <v>140</v>
      </c>
      <c r="M15" s="8" t="s">
        <v>143</v>
      </c>
      <c r="R15" s="40">
        <f>IF(vend10[[#This Row],[Nº Venda]]&gt;1,1,0)</f>
        <v>0</v>
      </c>
    </row>
    <row r="16" spans="2:18" ht="15" x14ac:dyDescent="0.25">
      <c r="B16" s="46" t="s">
        <v>11</v>
      </c>
      <c r="C16" s="48">
        <f>SUM(C11:C15)</f>
        <v>176.5</v>
      </c>
      <c r="D16" s="1"/>
      <c r="E16" s="44"/>
      <c r="F16" s="12"/>
      <c r="G16" s="13"/>
      <c r="H16" s="2"/>
      <c r="I16" s="2"/>
      <c r="J16" s="1"/>
      <c r="K16" s="38">
        <v>1030</v>
      </c>
      <c r="L16" s="3" t="s">
        <v>140</v>
      </c>
      <c r="M16" s="87" t="s">
        <v>143</v>
      </c>
      <c r="R16" s="40">
        <f>IF(vend10[[#This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IF(vend10[[#This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IF(vend10[[#This Row],[Nº Venda]]&gt;1,1,0)</f>
        <v>0</v>
      </c>
    </row>
    <row r="19" spans="2:18" ht="15" x14ac:dyDescent="0.25">
      <c r="B19" s="17">
        <f>COUNT(entr_carn10[OS])</f>
        <v>0</v>
      </c>
      <c r="C19" s="18">
        <f>SUM(entr_carn10[Valor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IF(vend10[[#This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IF(vend10[[#This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28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28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28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88"/>
      <c r="F32" s="24"/>
      <c r="G32" s="13"/>
      <c r="H32" s="2"/>
      <c r="I32" s="2"/>
    </row>
    <row r="33" spans="2:18" ht="15" x14ac:dyDescent="0.25">
      <c r="B33" s="1"/>
      <c r="C33" s="1"/>
      <c r="E33" s="55"/>
      <c r="F33" s="52"/>
      <c r="G33" s="52"/>
      <c r="H33" s="53"/>
      <c r="I33" s="53"/>
      <c r="J33" s="110"/>
      <c r="K33" s="120" t="s">
        <v>12</v>
      </c>
      <c r="L33" s="121"/>
      <c r="M33" s="122"/>
    </row>
    <row r="34" spans="2:18" ht="15" x14ac:dyDescent="0.25">
      <c r="E34" s="130" t="s">
        <v>28</v>
      </c>
      <c r="F34" s="130"/>
      <c r="G34" s="130"/>
      <c r="H34" s="130"/>
      <c r="I34" s="130"/>
      <c r="K34" s="113" t="s">
        <v>23</v>
      </c>
      <c r="L34" s="114" t="s">
        <v>31</v>
      </c>
      <c r="M34" s="115" t="s">
        <v>32</v>
      </c>
    </row>
    <row r="35" spans="2:18" ht="15" x14ac:dyDescent="0.25">
      <c r="E35" s="107" t="s">
        <v>23</v>
      </c>
      <c r="F35" s="4" t="s">
        <v>15</v>
      </c>
      <c r="G35" s="5" t="s">
        <v>16</v>
      </c>
      <c r="H35" s="6" t="s">
        <v>29</v>
      </c>
      <c r="I35" s="7" t="s">
        <v>30</v>
      </c>
      <c r="K35" s="38"/>
      <c r="L35" s="26"/>
      <c r="M35" s="8"/>
    </row>
    <row r="36" spans="2:18" ht="15" x14ac:dyDescent="0.25">
      <c r="E36" s="44">
        <v>946</v>
      </c>
      <c r="F36" s="12" t="s">
        <v>159</v>
      </c>
      <c r="G36" s="13" t="s">
        <v>6</v>
      </c>
      <c r="H36" s="2">
        <v>100</v>
      </c>
      <c r="I36" s="2" t="s">
        <v>98</v>
      </c>
      <c r="K36" s="38"/>
      <c r="L36" s="26"/>
      <c r="M36" s="8"/>
    </row>
    <row r="37" spans="2:18" ht="15" x14ac:dyDescent="0.25">
      <c r="E37" s="81">
        <v>946</v>
      </c>
      <c r="F37" s="12" t="s">
        <v>159</v>
      </c>
      <c r="G37" s="13" t="s">
        <v>7</v>
      </c>
      <c r="H37" s="2">
        <v>76.5</v>
      </c>
      <c r="I37" s="2" t="s">
        <v>98</v>
      </c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12"/>
      <c r="G39" s="13"/>
      <c r="H39" s="2"/>
      <c r="I39" s="2"/>
      <c r="K39" s="38"/>
      <c r="L39" s="26"/>
      <c r="M39" s="8"/>
    </row>
    <row r="40" spans="2:18" ht="15" x14ac:dyDescent="0.25">
      <c r="E40" s="44"/>
      <c r="F40" s="24"/>
      <c r="G40" s="13"/>
      <c r="H40" s="2"/>
      <c r="I40" s="2"/>
      <c r="K40" s="39"/>
      <c r="L40" s="27"/>
      <c r="M40" s="25"/>
      <c r="Q40" s="40" t="s">
        <v>36</v>
      </c>
      <c r="R40" s="40">
        <f>SUM(R6:R21)</f>
        <v>1</v>
      </c>
    </row>
    <row r="41" spans="2:18" ht="15" x14ac:dyDescent="0.25">
      <c r="E41" s="51"/>
      <c r="F41" s="21"/>
      <c r="G41" s="22"/>
      <c r="H41" s="9"/>
      <c r="I41" s="2"/>
      <c r="K41" s="38"/>
      <c r="L41" s="26"/>
      <c r="M41" s="25"/>
    </row>
    <row r="42" spans="2:18" ht="15" x14ac:dyDescent="0.25">
      <c r="E42" s="89"/>
      <c r="F42" s="24"/>
      <c r="G42" s="13"/>
      <c r="H42" s="2"/>
      <c r="I42" s="2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A1:R41"/>
  <sheetViews>
    <sheetView showGridLines="0" topLeftCell="B16" zoomScale="90" zoomScaleNormal="90" workbookViewId="0">
      <selection activeCell="D40" sqref="D40"/>
    </sheetView>
  </sheetViews>
  <sheetFormatPr defaultColWidth="9.140625" defaultRowHeight="14.25" x14ac:dyDescent="0.2"/>
  <cols>
    <col min="1" max="1" width="3.7109375" style="40" hidden="1" customWidth="1"/>
    <col min="2" max="2" width="35.28515625" style="40" bestFit="1" customWidth="1"/>
    <col min="3" max="3" width="14" style="40" customWidth="1"/>
    <col min="4" max="4" width="2.710937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2.710937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'10'!B1+1</f>
        <v>45637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525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10</v>
      </c>
      <c r="D6" s="1"/>
      <c r="E6" s="44">
        <v>1057</v>
      </c>
      <c r="F6" s="12" t="s">
        <v>160</v>
      </c>
      <c r="G6" s="13" t="s">
        <v>10</v>
      </c>
      <c r="H6" s="2">
        <v>525</v>
      </c>
      <c r="I6" s="2">
        <v>10</v>
      </c>
      <c r="J6" s="1"/>
      <c r="K6" s="12"/>
      <c r="L6" s="3"/>
      <c r="M6" s="8"/>
      <c r="R6" s="40">
        <f>IF(vend11[[#This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IF(vend11[[#This Row],[Nº Venda]]&gt;1,1,0)</f>
        <v>0</v>
      </c>
    </row>
    <row r="8" spans="2:18" ht="15" x14ac:dyDescent="0.25">
      <c r="B8" s="46" t="s">
        <v>21</v>
      </c>
      <c r="C8" s="47">
        <f>SUM(C6:C7)</f>
        <v>10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IF(vend11[[#This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IF(vend11[[#This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IF(vend11[[#This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IF(vend11[[#This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IF(vend11[[#This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IF(vend11[[#This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IF(vend11[[#This Row],[Nº Venda]]&gt;1,1,0)</f>
        <v>0</v>
      </c>
    </row>
    <row r="15" spans="2:18" ht="15" x14ac:dyDescent="0.25">
      <c r="B15" s="17" t="s">
        <v>10</v>
      </c>
      <c r="C15" s="18">
        <f t="shared" si="0"/>
        <v>10</v>
      </c>
      <c r="D15" s="1"/>
      <c r="E15" s="44"/>
      <c r="F15" s="12"/>
      <c r="G15" s="13"/>
      <c r="H15" s="2"/>
      <c r="I15" s="2"/>
      <c r="J15" s="1"/>
      <c r="K15" s="38">
        <v>1042</v>
      </c>
      <c r="L15" s="3" t="s">
        <v>140</v>
      </c>
      <c r="M15" s="8" t="s">
        <v>143</v>
      </c>
      <c r="R15" s="40">
        <f>IF(vend11[[#This Row],[Nº Venda]]&gt;1,1,0)</f>
        <v>0</v>
      </c>
    </row>
    <row r="16" spans="2:18" ht="15" x14ac:dyDescent="0.25">
      <c r="B16" s="46" t="s">
        <v>11</v>
      </c>
      <c r="C16" s="48">
        <f>SUM(C11:C15)</f>
        <v>10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IF(vend11[[#This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IF(vend11[[#This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IF(vend11[[#This Row],[Nº Venda]]&gt;1,1,0)</f>
        <v>0</v>
      </c>
    </row>
    <row r="19" spans="2:18" ht="15" x14ac:dyDescent="0.25">
      <c r="B19" s="17">
        <f>COUNT(entr_carn11[OS])</f>
        <v>0</v>
      </c>
      <c r="C19" s="18">
        <f>SUM(entr_carn11[Valor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IF(vend11[[#This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IF(vend11[[#This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525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28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1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0" zoomScale="90" zoomScaleNormal="90" workbookViewId="0">
      <selection activeCell="D40" sqref="D40"/>
    </sheetView>
  </sheetViews>
  <sheetFormatPr defaultColWidth="9.140625" defaultRowHeight="14.25" x14ac:dyDescent="0.2"/>
  <cols>
    <col min="1" max="1" width="0.85546875" style="40" customWidth="1"/>
    <col min="2" max="2" width="35.28515625" style="40" bestFit="1" customWidth="1"/>
    <col min="3" max="3" width="14" style="40" customWidth="1"/>
    <col min="4" max="4" width="0.42578125" style="40" customWidth="1"/>
    <col min="5" max="5" width="15.5703125" style="41" customWidth="1"/>
    <col min="6" max="6" width="31.85546875" style="41" bestFit="1" customWidth="1"/>
    <col min="7" max="7" width="17.28515625" style="41" customWidth="1"/>
    <col min="8" max="8" width="19.140625" style="42" customWidth="1"/>
    <col min="9" max="9" width="15.5703125" style="42" customWidth="1"/>
    <col min="10" max="10" width="0.285156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'12'!B1+1</f>
        <v>45639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779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287.5</v>
      </c>
      <c r="D6" s="1"/>
      <c r="E6" s="44">
        <v>1059</v>
      </c>
      <c r="F6" s="12" t="s">
        <v>163</v>
      </c>
      <c r="G6" s="13" t="s">
        <v>10</v>
      </c>
      <c r="H6" s="2">
        <v>779</v>
      </c>
      <c r="I6" s="2">
        <v>200</v>
      </c>
      <c r="J6" s="1"/>
      <c r="K6" s="12"/>
      <c r="L6" s="3"/>
      <c r="M6" s="8"/>
      <c r="R6" s="40">
        <f>IF(vend13[[#This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IF(vend13[[#This Row],[Nº Venda]]&gt;1,1,0)</f>
        <v>0</v>
      </c>
    </row>
    <row r="8" spans="2:18" ht="15" x14ac:dyDescent="0.25">
      <c r="B8" s="46" t="s">
        <v>21</v>
      </c>
      <c r="C8" s="47">
        <f>SUM(C6:C7)</f>
        <v>287.5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IF(vend13[[#This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IF(vend13[[#This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IF(vend13[[#This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IF(vend13[[#This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87.5</v>
      </c>
      <c r="D12" s="1"/>
      <c r="E12" s="44"/>
      <c r="F12" s="12"/>
      <c r="G12" s="13"/>
      <c r="H12" s="2"/>
      <c r="I12" s="2"/>
      <c r="J12" s="1"/>
      <c r="R12" s="40">
        <f>IF(vend13[[#This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IF(vend13[[#This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IF(vend13[[#This Row],[Nº Venda]]&gt;1,1,0)</f>
        <v>0</v>
      </c>
    </row>
    <row r="15" spans="2:18" ht="15" x14ac:dyDescent="0.25">
      <c r="B15" s="17" t="s">
        <v>10</v>
      </c>
      <c r="C15" s="18">
        <f t="shared" si="0"/>
        <v>200</v>
      </c>
      <c r="D15" s="1"/>
      <c r="E15" s="44"/>
      <c r="F15" s="12"/>
      <c r="G15" s="13"/>
      <c r="H15" s="2"/>
      <c r="I15" s="2"/>
      <c r="J15" s="1"/>
      <c r="K15" s="38">
        <v>1041</v>
      </c>
      <c r="L15" s="3" t="s">
        <v>140</v>
      </c>
      <c r="M15" s="8" t="s">
        <v>156</v>
      </c>
      <c r="R15" s="40">
        <f>IF(vend13[[#This Row],[Nº Venda]]&gt;1,1,0)</f>
        <v>0</v>
      </c>
    </row>
    <row r="16" spans="2:18" ht="15" x14ac:dyDescent="0.25">
      <c r="B16" s="46" t="s">
        <v>11</v>
      </c>
      <c r="C16" s="48">
        <f>SUM(C11:C15)</f>
        <v>287.5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IF(vend13[[#This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IF(vend13[[#This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IF(vend13[[#This Row],[Nº Venda]]&gt;1,1,0)</f>
        <v>0</v>
      </c>
    </row>
    <row r="19" spans="2:18" ht="15" x14ac:dyDescent="0.25">
      <c r="B19" s="17">
        <f>COUNT(entr_carn13[OS])</f>
        <v>1</v>
      </c>
      <c r="C19" s="18">
        <f>SUM(entr_carn13[Valor Total])</f>
        <v>498.99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IF(vend13[[#This Row],[Nº Venda]]&gt;1,1,0)</f>
        <v>0</v>
      </c>
    </row>
    <row r="20" spans="2:18" ht="15" x14ac:dyDescent="0.25">
      <c r="B20" s="46" t="s">
        <v>11</v>
      </c>
      <c r="C20" s="48">
        <f>SUM(C19:C19)</f>
        <v>498.99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IF(vend13[[#This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779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>
        <v>987</v>
      </c>
      <c r="F35" s="12" t="s">
        <v>164</v>
      </c>
      <c r="G35" s="13" t="s">
        <v>7</v>
      </c>
      <c r="H35" s="2">
        <v>87.5</v>
      </c>
      <c r="I35" s="2" t="s">
        <v>41</v>
      </c>
      <c r="K35" s="38">
        <v>1041</v>
      </c>
      <c r="L35" s="26">
        <v>3</v>
      </c>
      <c r="M35" s="8">
        <v>498.99</v>
      </c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1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B14" zoomScale="90" zoomScaleNormal="90" workbookViewId="0">
      <selection activeCell="D40" sqref="D40"/>
    </sheetView>
  </sheetViews>
  <sheetFormatPr defaultColWidth="9.140625" defaultRowHeight="14.25" x14ac:dyDescent="0.2"/>
  <cols>
    <col min="1" max="1" width="0.7109375" style="40" customWidth="1"/>
    <col min="2" max="2" width="35.28515625" style="40" bestFit="1" customWidth="1"/>
    <col min="3" max="3" width="14" style="40" customWidth="1"/>
    <col min="4" max="4" width="0.28515625" style="40" customWidth="1"/>
    <col min="5" max="5" width="15.5703125" style="41" customWidth="1"/>
    <col min="6" max="6" width="41.85546875" style="41" bestFit="1" customWidth="1"/>
    <col min="7" max="7" width="15" style="41" customWidth="1"/>
    <col min="8" max="8" width="19.140625" style="42" customWidth="1"/>
    <col min="9" max="9" width="15.5703125" style="42" customWidth="1"/>
    <col min="10" max="10" width="0.285156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'13'!B1+1</f>
        <v>45640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527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300</v>
      </c>
      <c r="D6" s="1"/>
      <c r="E6" s="44">
        <v>1060</v>
      </c>
      <c r="F6" s="12" t="s">
        <v>165</v>
      </c>
      <c r="G6" s="28" t="s">
        <v>7</v>
      </c>
      <c r="H6" s="2">
        <v>527</v>
      </c>
      <c r="I6" s="2">
        <v>100</v>
      </c>
      <c r="J6" s="1"/>
      <c r="K6" s="12"/>
      <c r="L6" s="3"/>
      <c r="M6" s="8"/>
      <c r="R6" s="40">
        <f>IF(vend14[[#This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28"/>
      <c r="H7" s="2"/>
      <c r="I7" s="2"/>
      <c r="J7" s="1"/>
      <c r="K7" s="12"/>
      <c r="L7" s="3"/>
      <c r="M7" s="8"/>
      <c r="R7" s="40">
        <f>IF(vend14[[#This Row],[Nº Venda]]&gt;1,1,0)</f>
        <v>0</v>
      </c>
    </row>
    <row r="8" spans="2:18" ht="15" x14ac:dyDescent="0.25">
      <c r="B8" s="46" t="s">
        <v>21</v>
      </c>
      <c r="C8" s="47">
        <f>SUM(C6:C7)</f>
        <v>300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IF(vend14[[#This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IF(vend14[[#This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IF(vend14[[#This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IF(vend14[[#This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100</v>
      </c>
      <c r="D12" s="1"/>
      <c r="E12" s="44"/>
      <c r="F12" s="12"/>
      <c r="G12" s="13"/>
      <c r="H12" s="2"/>
      <c r="I12" s="2"/>
      <c r="J12" s="1"/>
      <c r="R12" s="40">
        <f>IF(vend14[[#This Row],[Nº Venda]]&gt;1,1,0)</f>
        <v>0</v>
      </c>
    </row>
    <row r="13" spans="2:18" ht="15" x14ac:dyDescent="0.25">
      <c r="B13" s="17" t="s">
        <v>8</v>
      </c>
      <c r="C13" s="18">
        <f t="shared" si="0"/>
        <v>200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IF(vend14[[#This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IF(vend14[[#This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>
        <v>1048</v>
      </c>
      <c r="L15" s="3" t="s">
        <v>140</v>
      </c>
      <c r="M15" s="8" t="s">
        <v>156</v>
      </c>
      <c r="R15" s="40">
        <f>IF(vend14[[#This Row],[Nº Venda]]&gt;1,1,0)</f>
        <v>0</v>
      </c>
    </row>
    <row r="16" spans="2:18" ht="15" x14ac:dyDescent="0.25">
      <c r="B16" s="46" t="s">
        <v>11</v>
      </c>
      <c r="C16" s="48">
        <f>SUM(C11:C15)</f>
        <v>300</v>
      </c>
      <c r="D16" s="1"/>
      <c r="E16" s="44"/>
      <c r="F16" s="12"/>
      <c r="G16" s="13"/>
      <c r="H16" s="2"/>
      <c r="I16" s="2"/>
      <c r="J16" s="1"/>
      <c r="K16" s="38">
        <v>1050</v>
      </c>
      <c r="L16" s="3" t="s">
        <v>140</v>
      </c>
      <c r="M16" s="8" t="s">
        <v>156</v>
      </c>
      <c r="R16" s="40">
        <f>IF(vend14[[#This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IF(vend14[[#This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IF(vend14[[#This Row],[Nº Venda]]&gt;1,1,0)</f>
        <v>0</v>
      </c>
    </row>
    <row r="19" spans="2:18" ht="15" x14ac:dyDescent="0.25">
      <c r="B19" s="17">
        <f>COUNT(entr_carn14[OS])</f>
        <v>2</v>
      </c>
      <c r="C19" s="18">
        <f>SUM(entr_carn14[Valor Total])</f>
        <v>1739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IF(vend14[[#This Row],[Nº Venda]]&gt;1,1,0)</f>
        <v>0</v>
      </c>
    </row>
    <row r="20" spans="2:18" ht="15" x14ac:dyDescent="0.25">
      <c r="B20" s="46" t="s">
        <v>11</v>
      </c>
      <c r="C20" s="48">
        <f>SUM(C19:C19)</f>
        <v>1739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IF(vend14[[#This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527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>
        <v>1050</v>
      </c>
      <c r="F26" s="12" t="s">
        <v>144</v>
      </c>
      <c r="G26" s="13" t="s">
        <v>8</v>
      </c>
      <c r="H26" s="2"/>
      <c r="I26" s="2">
        <v>200</v>
      </c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>
        <v>1048</v>
      </c>
      <c r="L35" s="26">
        <v>5</v>
      </c>
      <c r="M35" s="8">
        <v>649</v>
      </c>
    </row>
    <row r="36" spans="2:18" ht="15" x14ac:dyDescent="0.25">
      <c r="E36" s="81"/>
      <c r="F36" s="12"/>
      <c r="G36" s="13"/>
      <c r="H36" s="2"/>
      <c r="I36" s="2"/>
      <c r="K36" s="38">
        <v>1050</v>
      </c>
      <c r="L36" s="26">
        <v>6</v>
      </c>
      <c r="M36" s="8">
        <v>1090</v>
      </c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1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3" zoomScale="90" zoomScaleNormal="90" workbookViewId="0">
      <selection activeCell="D40" sqref="D40"/>
    </sheetView>
  </sheetViews>
  <sheetFormatPr defaultColWidth="9.140625" defaultRowHeight="12.75" x14ac:dyDescent="0.2"/>
  <cols>
    <col min="1" max="1" width="3.7109375" style="61" customWidth="1"/>
    <col min="2" max="2" width="35.28515625" style="61" bestFit="1" customWidth="1"/>
    <col min="3" max="3" width="14" style="61" customWidth="1"/>
    <col min="4" max="4" width="2.7109375" style="61" customWidth="1"/>
    <col min="5" max="5" width="15.5703125" style="62" customWidth="1"/>
    <col min="6" max="6" width="26.28515625" style="62" customWidth="1"/>
    <col min="7" max="7" width="17.28515625" style="62" customWidth="1"/>
    <col min="8" max="8" width="19.140625" style="63" customWidth="1"/>
    <col min="9" max="9" width="15.5703125" style="63" customWidth="1"/>
    <col min="10" max="10" width="2.7109375" style="61" customWidth="1"/>
    <col min="11" max="11" width="21.7109375" style="64" customWidth="1"/>
    <col min="12" max="12" width="24.28515625" style="64" bestFit="1" customWidth="1"/>
    <col min="13" max="13" width="15.7109375" style="64" customWidth="1"/>
    <col min="14" max="14" width="4.28515625" style="61" customWidth="1"/>
    <col min="15" max="15" width="2.140625" style="61" hidden="1" customWidth="1"/>
    <col min="16" max="16" width="9.140625" style="61" hidden="1" customWidth="1"/>
    <col min="17" max="17" width="11.42578125" style="61" hidden="1" customWidth="1"/>
    <col min="18" max="18" width="2.42578125" style="61" hidden="1" customWidth="1"/>
    <col min="19" max="20" width="0" style="61" hidden="1" customWidth="1"/>
    <col min="21" max="16384" width="9.140625" style="61"/>
  </cols>
  <sheetData>
    <row r="1" spans="2:18" ht="36.75" x14ac:dyDescent="0.7">
      <c r="B1" s="108">
        <f>'14'!B1+1</f>
        <v>45641</v>
      </c>
    </row>
    <row r="2" spans="2:18" ht="18.75" x14ac:dyDescent="0.2">
      <c r="B2" s="127" t="s">
        <v>13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9"/>
    </row>
    <row r="3" spans="2:18" ht="18.75" x14ac:dyDescent="0.2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.75" x14ac:dyDescent="0.25">
      <c r="B6" s="10" t="s">
        <v>2</v>
      </c>
      <c r="C6" s="11">
        <f>C16</f>
        <v>0</v>
      </c>
      <c r="D6" s="1"/>
      <c r="E6" s="33"/>
      <c r="F6" s="12"/>
      <c r="G6" s="28"/>
      <c r="H6" s="2"/>
      <c r="I6" s="2"/>
      <c r="J6" s="1"/>
      <c r="K6" s="12"/>
      <c r="L6" s="3"/>
      <c r="M6" s="8"/>
      <c r="R6" s="61">
        <f>IF(vend15[[#This Row],[Nº Venda]]&gt;1,1,0)</f>
        <v>0</v>
      </c>
    </row>
    <row r="7" spans="2:18" ht="15.75" x14ac:dyDescent="0.25">
      <c r="B7" s="10" t="s">
        <v>3</v>
      </c>
      <c r="C7" s="11">
        <f>SUM(M6:M11)</f>
        <v>0</v>
      </c>
      <c r="D7" s="1"/>
      <c r="E7" s="33"/>
      <c r="F7" s="12"/>
      <c r="G7" s="28"/>
      <c r="H7" s="2"/>
      <c r="I7" s="2"/>
      <c r="J7" s="1"/>
      <c r="K7" s="12"/>
      <c r="L7" s="3"/>
      <c r="M7" s="8"/>
      <c r="R7" s="61">
        <f>IF(vend15[[#This Row],[Nº Venda]]&gt;1,1,0)</f>
        <v>0</v>
      </c>
    </row>
    <row r="8" spans="2:18" ht="15.75" x14ac:dyDescent="0.25">
      <c r="B8" s="15" t="s">
        <v>21</v>
      </c>
      <c r="C8" s="16">
        <f>SUM(C6:C7)</f>
        <v>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61">
        <f>IF(vend15[[#This Row],[Nº Venda]]&gt;1,1,0)</f>
        <v>0</v>
      </c>
    </row>
    <row r="9" spans="2:18" ht="15.75" x14ac:dyDescent="0.25">
      <c r="B9" s="1"/>
      <c r="C9" s="1"/>
      <c r="D9" s="1"/>
      <c r="E9" s="33"/>
      <c r="F9" s="12"/>
      <c r="G9" s="13"/>
      <c r="H9" s="2"/>
      <c r="I9" s="2"/>
      <c r="J9" s="1"/>
      <c r="K9" s="12"/>
      <c r="L9" s="3"/>
      <c r="M9" s="8"/>
      <c r="R9" s="61">
        <f>IF(vend15[[#This Row],[Nº Venda]]&gt;1,1,0)</f>
        <v>0</v>
      </c>
    </row>
    <row r="10" spans="2:18" ht="15.75" x14ac:dyDescent="0.25">
      <c r="B10" s="118" t="s">
        <v>5</v>
      </c>
      <c r="C10" s="118"/>
      <c r="D10" s="1"/>
      <c r="E10" s="33"/>
      <c r="F10" s="12"/>
      <c r="G10" s="13"/>
      <c r="H10" s="2"/>
      <c r="I10" s="2"/>
      <c r="J10" s="1"/>
      <c r="K10" s="12"/>
      <c r="L10" s="3"/>
      <c r="M10" s="8"/>
      <c r="R10" s="61">
        <f>IF(vend15[[#This Row],[Nº Venda]]&gt;1,1,0)</f>
        <v>0</v>
      </c>
    </row>
    <row r="11" spans="2:18" ht="15.75" x14ac:dyDescent="0.25">
      <c r="B11" s="17" t="s">
        <v>6</v>
      </c>
      <c r="C11" s="18">
        <f>(SUMIF($G$2:$G$31,B11,$I$2:$I$31))+(SUMIF($G$35:$G$41,B11,$H$35:$H$41))</f>
        <v>0</v>
      </c>
      <c r="D11" s="1"/>
      <c r="E11" s="33"/>
      <c r="F11" s="12"/>
      <c r="G11" s="13"/>
      <c r="H11" s="2"/>
      <c r="I11" s="2"/>
      <c r="J11" s="1"/>
      <c r="K11" s="14"/>
      <c r="L11" s="3"/>
      <c r="M11" s="8"/>
      <c r="O11" s="61">
        <f>IF(C16=0,0,1)</f>
        <v>0</v>
      </c>
      <c r="R11" s="61">
        <f>IF(vend15[[#This Row],[Nº Venda]]&gt;1,1,0)</f>
        <v>0</v>
      </c>
    </row>
    <row r="12" spans="2:18" ht="15.7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33"/>
      <c r="F12" s="12"/>
      <c r="G12" s="13"/>
      <c r="H12" s="2"/>
      <c r="I12" s="2"/>
      <c r="J12" s="1"/>
      <c r="R12" s="61">
        <f>IF(vend15[[#This Row],[Nº Venda]]&gt;1,1,0)</f>
        <v>0</v>
      </c>
    </row>
    <row r="13" spans="2:18" ht="15.75" x14ac:dyDescent="0.25">
      <c r="B13" s="17" t="s">
        <v>8</v>
      </c>
      <c r="C13" s="18">
        <f t="shared" si="0"/>
        <v>0</v>
      </c>
      <c r="D13" s="1"/>
      <c r="E13" s="70"/>
      <c r="F13" s="12"/>
      <c r="G13" s="13"/>
      <c r="H13" s="2"/>
      <c r="I13" s="2"/>
      <c r="J13" s="1"/>
      <c r="K13" s="120" t="s">
        <v>22</v>
      </c>
      <c r="L13" s="121"/>
      <c r="M13" s="122"/>
      <c r="R13" s="61">
        <f>IF(vend15[[#This Row],[Nº Venda]]&gt;1,1,0)</f>
        <v>0</v>
      </c>
    </row>
    <row r="14" spans="2:18" ht="15.75" x14ac:dyDescent="0.25">
      <c r="B14" s="17" t="s">
        <v>9</v>
      </c>
      <c r="C14" s="18">
        <f t="shared" si="0"/>
        <v>0</v>
      </c>
      <c r="D14" s="1"/>
      <c r="E14" s="70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61">
        <f>IF(vend15[[#This Row],[Nº Venda]]&gt;1,1,0)</f>
        <v>0</v>
      </c>
    </row>
    <row r="15" spans="2:18" ht="15.75" x14ac:dyDescent="0.25">
      <c r="B15" s="17" t="s">
        <v>10</v>
      </c>
      <c r="C15" s="18">
        <f t="shared" si="0"/>
        <v>0</v>
      </c>
      <c r="D15" s="1"/>
      <c r="E15" s="33"/>
      <c r="F15" s="12"/>
      <c r="G15" s="13"/>
      <c r="H15" s="2"/>
      <c r="I15" s="2"/>
      <c r="J15" s="1"/>
      <c r="K15" s="38"/>
      <c r="L15" s="3"/>
      <c r="M15" s="73"/>
      <c r="R15" s="61">
        <f>IF(vend15[[#This Row],[Nº Venda]]&gt;1,1,0)</f>
        <v>0</v>
      </c>
    </row>
    <row r="16" spans="2:18" ht="15.75" x14ac:dyDescent="0.25">
      <c r="B16" s="15" t="s">
        <v>11</v>
      </c>
      <c r="C16" s="19">
        <f>SUM(C11:C15)</f>
        <v>0</v>
      </c>
      <c r="D16" s="1"/>
      <c r="E16" s="33"/>
      <c r="F16" s="12"/>
      <c r="G16" s="13"/>
      <c r="H16" s="2"/>
      <c r="I16" s="2"/>
      <c r="J16" s="1"/>
      <c r="K16" s="38"/>
      <c r="L16" s="3"/>
      <c r="M16" s="8"/>
      <c r="R16" s="61">
        <f>IF(vend15[[#This Row],[Nº Venda]]&gt;1,1,0)</f>
        <v>0</v>
      </c>
    </row>
    <row r="17" spans="2:18" ht="15.75" x14ac:dyDescent="0.25">
      <c r="B17" s="1"/>
      <c r="C17" s="1"/>
      <c r="D17" s="1"/>
      <c r="E17" s="33"/>
      <c r="F17" s="12"/>
      <c r="G17" s="13"/>
      <c r="H17" s="2"/>
      <c r="I17" s="2"/>
      <c r="J17" s="1"/>
      <c r="K17" s="38"/>
      <c r="L17" s="3"/>
      <c r="M17" s="8"/>
      <c r="R17" s="61">
        <f>IF(vend15[[#This Row],[Nº Venda]]&gt;1,1,0)</f>
        <v>0</v>
      </c>
    </row>
    <row r="18" spans="2:18" ht="15.75" x14ac:dyDescent="0.25">
      <c r="B18" s="118" t="s">
        <v>12</v>
      </c>
      <c r="C18" s="118"/>
      <c r="D18" s="1"/>
      <c r="E18" s="33"/>
      <c r="F18" s="12"/>
      <c r="G18" s="13"/>
      <c r="H18" s="2"/>
      <c r="I18" s="2"/>
      <c r="J18" s="1"/>
      <c r="K18" s="38"/>
      <c r="L18" s="3"/>
      <c r="M18" s="8"/>
      <c r="R18" s="61">
        <f>IF(vend15[[#This Row],[Nº Venda]]&gt;1,1,0)</f>
        <v>0</v>
      </c>
    </row>
    <row r="19" spans="2:18" ht="15.75" x14ac:dyDescent="0.25">
      <c r="B19" s="17">
        <f>COUNT(entr_carn15[OS])</f>
        <v>0</v>
      </c>
      <c r="C19" s="18">
        <f>SUM(entr_carn15[Valor Total])</f>
        <v>0</v>
      </c>
      <c r="D19" s="1"/>
      <c r="E19" s="33"/>
      <c r="F19" s="12"/>
      <c r="G19" s="13"/>
      <c r="H19" s="2"/>
      <c r="I19" s="2"/>
      <c r="J19" s="1"/>
      <c r="K19" s="38"/>
      <c r="L19" s="3"/>
      <c r="M19" s="73"/>
      <c r="R19" s="61">
        <f>IF(vend15[[#This Row],[Nº Venda]]&gt;1,1,0)</f>
        <v>0</v>
      </c>
    </row>
    <row r="20" spans="2:18" ht="15.75" x14ac:dyDescent="0.25">
      <c r="B20" s="15" t="s">
        <v>11</v>
      </c>
      <c r="C20" s="19">
        <f>SUM(C19:C19)</f>
        <v>0</v>
      </c>
      <c r="D20" s="1"/>
      <c r="E20" s="33"/>
      <c r="F20" s="13"/>
      <c r="G20" s="13"/>
      <c r="H20" s="2"/>
      <c r="I20" s="2"/>
      <c r="J20" s="1"/>
      <c r="K20" s="38"/>
      <c r="L20" s="3"/>
      <c r="M20" s="8"/>
      <c r="R20" s="61">
        <f>IF(vend15[[#This Row],[Nº Venda]]&gt;1,1,0)</f>
        <v>0</v>
      </c>
    </row>
    <row r="21" spans="2:18" ht="15.75" x14ac:dyDescent="0.25">
      <c r="B21" s="105"/>
      <c r="C21" s="105"/>
      <c r="D21" s="1"/>
      <c r="E21" s="33"/>
      <c r="F21" s="12"/>
      <c r="G21" s="13"/>
      <c r="H21" s="2"/>
      <c r="I21" s="2"/>
      <c r="J21" s="1"/>
      <c r="K21" s="38"/>
      <c r="L21" s="3"/>
      <c r="M21" s="8"/>
    </row>
    <row r="22" spans="2:18" ht="15.75" x14ac:dyDescent="0.25">
      <c r="B22" s="15" t="s">
        <v>26</v>
      </c>
      <c r="C22" s="19">
        <f>C5</f>
        <v>0</v>
      </c>
      <c r="D22" s="1"/>
      <c r="E22" s="33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68"/>
      <c r="H23" s="69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.75" x14ac:dyDescent="0.25">
      <c r="B26" s="1"/>
      <c r="C26" s="1"/>
      <c r="D26" s="1"/>
      <c r="E26" s="33"/>
      <c r="F26" s="12"/>
      <c r="G26" s="28"/>
      <c r="H26" s="2"/>
      <c r="I26" s="2"/>
      <c r="J26" s="1"/>
      <c r="K26" s="38"/>
      <c r="L26" s="3"/>
      <c r="M26" s="8"/>
    </row>
    <row r="27" spans="2:18" ht="15.75" x14ac:dyDescent="0.25">
      <c r="B27" s="1"/>
      <c r="C27" s="1"/>
      <c r="D27" s="1"/>
      <c r="E27" s="33"/>
      <c r="F27" s="12"/>
      <c r="G27" s="13"/>
      <c r="H27" s="2"/>
      <c r="I27" s="2"/>
      <c r="J27" s="1"/>
      <c r="K27" s="38"/>
      <c r="L27" s="3"/>
      <c r="M27" s="8"/>
    </row>
    <row r="28" spans="2:18" ht="15.75" x14ac:dyDescent="0.25">
      <c r="B28" s="1"/>
      <c r="C28" s="1"/>
      <c r="D28" s="1"/>
      <c r="E28" s="33"/>
      <c r="F28" s="12"/>
      <c r="G28" s="13"/>
      <c r="H28" s="2"/>
      <c r="I28" s="2"/>
      <c r="J28" s="1"/>
      <c r="K28" s="38"/>
      <c r="L28" s="3"/>
      <c r="M28" s="8"/>
    </row>
    <row r="29" spans="2:18" ht="15.75" x14ac:dyDescent="0.25">
      <c r="B29" s="1"/>
      <c r="C29" s="1"/>
      <c r="D29" s="1"/>
      <c r="E29" s="33"/>
      <c r="F29" s="12"/>
      <c r="G29" s="13"/>
      <c r="H29" s="2"/>
      <c r="I29" s="2"/>
      <c r="J29" s="1"/>
      <c r="K29" s="38"/>
      <c r="L29" s="3"/>
      <c r="M29" s="8"/>
    </row>
    <row r="30" spans="2:18" ht="15.75" x14ac:dyDescent="0.25">
      <c r="B30" s="1"/>
      <c r="C30" s="1"/>
      <c r="D30" s="1"/>
      <c r="E30" s="33"/>
      <c r="F30" s="24"/>
      <c r="G30" s="13"/>
      <c r="H30" s="2"/>
      <c r="I30" s="2"/>
      <c r="J30" s="1"/>
      <c r="K30" s="38"/>
      <c r="L30" s="3"/>
      <c r="M30" s="8"/>
    </row>
    <row r="31" spans="2:18" ht="15.75" x14ac:dyDescent="0.25">
      <c r="B31" s="1"/>
      <c r="C31" s="1"/>
      <c r="D31" s="1"/>
      <c r="E31" s="34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68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2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.75" x14ac:dyDescent="0.25">
      <c r="E36" s="36"/>
      <c r="F36" s="12"/>
      <c r="G36" s="13"/>
      <c r="H36" s="2"/>
      <c r="I36" s="2"/>
      <c r="K36" s="38"/>
      <c r="L36" s="26"/>
      <c r="M36" s="8"/>
    </row>
    <row r="37" spans="2:18" ht="15.75" x14ac:dyDescent="0.25">
      <c r="E37" s="33"/>
      <c r="F37" s="12"/>
      <c r="G37" s="13"/>
      <c r="H37" s="2"/>
      <c r="I37" s="2"/>
      <c r="K37" s="38"/>
      <c r="L37" s="26"/>
      <c r="M37" s="8"/>
    </row>
    <row r="38" spans="2:18" ht="15.75" x14ac:dyDescent="0.25">
      <c r="E38" s="33"/>
      <c r="F38" s="12"/>
      <c r="G38" s="13"/>
      <c r="H38" s="2"/>
      <c r="I38" s="2"/>
      <c r="K38" s="38"/>
      <c r="L38" s="26"/>
      <c r="M38" s="8"/>
    </row>
    <row r="39" spans="2:18" ht="15.75" x14ac:dyDescent="0.25">
      <c r="E39" s="33"/>
      <c r="F39" s="24"/>
      <c r="G39" s="13"/>
      <c r="H39" s="2"/>
      <c r="I39" s="2"/>
      <c r="K39" s="38"/>
      <c r="L39" s="26"/>
      <c r="M39" s="8"/>
    </row>
    <row r="40" spans="2:18" ht="15.75" x14ac:dyDescent="0.25">
      <c r="E40" s="34"/>
      <c r="F40" s="21"/>
      <c r="G40" s="22"/>
      <c r="H40" s="9"/>
      <c r="I40" s="2"/>
      <c r="K40" s="39"/>
      <c r="L40" s="27"/>
      <c r="M40" s="25"/>
      <c r="Q40" s="61" t="s">
        <v>36</v>
      </c>
      <c r="R40" s="61">
        <f>SUM(R6:R21)</f>
        <v>0</v>
      </c>
    </row>
    <row r="41" spans="2:18" ht="15.75" x14ac:dyDescent="0.25">
      <c r="E41" s="3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6" zoomScale="90" zoomScaleNormal="90" workbookViewId="0">
      <selection activeCell="D40" sqref="D40"/>
    </sheetView>
  </sheetViews>
  <sheetFormatPr defaultColWidth="9.140625" defaultRowHeight="14.25" x14ac:dyDescent="0.2"/>
  <cols>
    <col min="1" max="1" width="0.28515625" style="40" customWidth="1"/>
    <col min="2" max="2" width="35.28515625" style="40" bestFit="1" customWidth="1"/>
    <col min="3" max="3" width="14" style="40" customWidth="1"/>
    <col min="4" max="4" width="0.425781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425781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'15'!B1+1</f>
        <v>45642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0</v>
      </c>
      <c r="D6" s="1"/>
      <c r="E6" s="44"/>
      <c r="F6" s="12"/>
      <c r="G6" s="28"/>
      <c r="H6" s="2"/>
      <c r="I6" s="2"/>
      <c r="J6" s="1"/>
      <c r="K6" s="12" t="s">
        <v>167</v>
      </c>
      <c r="L6" s="3" t="s">
        <v>10</v>
      </c>
      <c r="M6" s="8">
        <v>13</v>
      </c>
      <c r="R6" s="40">
        <f>IF(vend16[[#This Row],[Nº Venda]]&gt;1,1,0)</f>
        <v>0</v>
      </c>
    </row>
    <row r="7" spans="2:18" ht="15" x14ac:dyDescent="0.25">
      <c r="B7" s="10" t="s">
        <v>3</v>
      </c>
      <c r="C7" s="11">
        <f>SUM(M6:M11)</f>
        <v>13</v>
      </c>
      <c r="D7" s="1"/>
      <c r="E7" s="44"/>
      <c r="F7" s="12"/>
      <c r="G7" s="28"/>
      <c r="H7" s="2"/>
      <c r="I7" s="2"/>
      <c r="J7" s="1"/>
      <c r="K7" s="12"/>
      <c r="L7" s="3"/>
      <c r="M7" s="8"/>
      <c r="R7" s="40">
        <f>IF(vend16[[#This Row],[Nº Venda]]&gt;1,1,0)</f>
        <v>0</v>
      </c>
    </row>
    <row r="8" spans="2:18" ht="15" x14ac:dyDescent="0.25">
      <c r="B8" s="46" t="s">
        <v>21</v>
      </c>
      <c r="C8" s="47">
        <f>SUM(C6:C7)</f>
        <v>13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IF(vend16[[#This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IF(vend16[[#This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IF(vend16[[#This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0</v>
      </c>
      <c r="R11" s="40">
        <f>IF(vend16[[#This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IF(vend16[[#This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IF(vend16[[#This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IF(vend16[[#This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>
        <v>1032</v>
      </c>
      <c r="L15" s="3" t="s">
        <v>140</v>
      </c>
      <c r="M15" s="8" t="s">
        <v>143</v>
      </c>
      <c r="R15" s="40">
        <f>IF(vend16[[#This Row],[Nº Venda]]&gt;1,1,0)</f>
        <v>0</v>
      </c>
    </row>
    <row r="16" spans="2:18" ht="15" x14ac:dyDescent="0.25">
      <c r="B16" s="46" t="s">
        <v>11</v>
      </c>
      <c r="C16" s="48">
        <f>SUM(C11:C15)</f>
        <v>0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IF(vend16[[#This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73"/>
      <c r="R17" s="40">
        <f>IF(vend16[[#This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IF(vend16[[#This Row],[Nº Venda]]&gt;1,1,0)</f>
        <v>0</v>
      </c>
    </row>
    <row r="19" spans="2:18" ht="15" x14ac:dyDescent="0.25">
      <c r="B19" s="17">
        <f>COUNT(entr_carn16[OS])</f>
        <v>0</v>
      </c>
      <c r="C19" s="18">
        <f>SUM(entr_carn16[Valor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IF(vend16[[#This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IF(vend16[[#This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28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3" zoomScale="90" zoomScaleNormal="90" workbookViewId="0">
      <selection activeCell="D40" sqref="D40"/>
    </sheetView>
  </sheetViews>
  <sheetFormatPr defaultColWidth="9.140625" defaultRowHeight="14.25" x14ac:dyDescent="0.2"/>
  <cols>
    <col min="1" max="1" width="0.42578125" style="40" customWidth="1"/>
    <col min="2" max="2" width="35.28515625" style="40" bestFit="1" customWidth="1"/>
    <col min="3" max="3" width="14" style="40" customWidth="1"/>
    <col min="4" max="4" width="0.425781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425781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'16'!B1+1</f>
        <v>45643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0</v>
      </c>
      <c r="D6" s="1"/>
      <c r="E6" s="44"/>
      <c r="F6" s="12"/>
      <c r="G6" s="13"/>
      <c r="H6" s="2"/>
      <c r="I6" s="2"/>
      <c r="J6" s="1"/>
      <c r="K6" s="12"/>
      <c r="L6" s="3"/>
      <c r="M6" s="8"/>
      <c r="R6" s="40">
        <f>IF(vend17[[#This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IF(vend17[[#This Row],[Nº Venda]]&gt;1,1,0)</f>
        <v>0</v>
      </c>
    </row>
    <row r="8" spans="2:18" ht="15" x14ac:dyDescent="0.25">
      <c r="B8" s="46" t="s">
        <v>21</v>
      </c>
      <c r="C8" s="47">
        <f>SUM(C6:C7)</f>
        <v>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IF(vend17[[#This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IF(vend17[[#This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IF(vend17[[#This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0</v>
      </c>
      <c r="R11" s="40">
        <f>IF(vend17[[#This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IF(vend17[[#This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IF(vend17[[#This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IF(vend17[[#This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/>
      <c r="L15" s="3"/>
      <c r="M15" s="8"/>
      <c r="R15" s="40">
        <f>IF(vend17[[#This Row],[Nº Venda]]&gt;1,1,0)</f>
        <v>0</v>
      </c>
    </row>
    <row r="16" spans="2:18" ht="15" x14ac:dyDescent="0.25">
      <c r="B16" s="46" t="s">
        <v>11</v>
      </c>
      <c r="C16" s="48">
        <f>SUM(C11:C15)</f>
        <v>0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IF(vend17[[#This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IF(vend17[[#This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IF(vend17[[#This Row],[Nº Venda]]&gt;1,1,0)</f>
        <v>0</v>
      </c>
    </row>
    <row r="19" spans="2:18" ht="15" x14ac:dyDescent="0.25">
      <c r="B19" s="17">
        <f>COUNT(entr_carn17[OS])</f>
        <v>0</v>
      </c>
      <c r="C19" s="18">
        <f>SUM(entr_carn17[Valor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IF(vend17[[#This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IF(vend17[[#This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3" zoomScale="90" zoomScaleNormal="90" workbookViewId="0">
      <selection activeCell="D40" sqref="D40"/>
    </sheetView>
  </sheetViews>
  <sheetFormatPr defaultColWidth="9.140625" defaultRowHeight="14.25" x14ac:dyDescent="0.2"/>
  <cols>
    <col min="1" max="1" width="0.5703125" style="40" customWidth="1"/>
    <col min="2" max="2" width="35.28515625" style="40" bestFit="1" customWidth="1"/>
    <col min="3" max="3" width="14" style="40" customWidth="1"/>
    <col min="4" max="4" width="0.425781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425781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'17'!B1+1</f>
        <v>45644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0</v>
      </c>
      <c r="D6" s="1"/>
      <c r="E6" s="44"/>
      <c r="F6" s="74"/>
      <c r="G6" s="75"/>
      <c r="H6" s="76"/>
      <c r="I6" s="76"/>
      <c r="J6" s="1"/>
      <c r="K6" s="12"/>
      <c r="L6" s="77"/>
      <c r="M6" s="8"/>
      <c r="R6" s="40">
        <f>IF(vend18[[#This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IF(vend18[[#This Row],[Nº Venda]]&gt;1,1,0)</f>
        <v>0</v>
      </c>
    </row>
    <row r="8" spans="2:18" ht="15" x14ac:dyDescent="0.25">
      <c r="B8" s="46" t="s">
        <v>21</v>
      </c>
      <c r="C8" s="47">
        <f>SUM(C6:C7)</f>
        <v>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IF(vend18[[#This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IF(vend18[[#This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IF(vend18[[#This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0</v>
      </c>
      <c r="R11" s="40">
        <f>IF(vend18[[#This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IF(vend18[[#This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IF(vend18[[#This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IF(vend18[[#This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>
        <v>1039</v>
      </c>
      <c r="L15" s="3" t="s">
        <v>140</v>
      </c>
      <c r="M15" s="8" t="s">
        <v>143</v>
      </c>
      <c r="R15" s="40">
        <f>IF(vend18[[#This Row],[Nº Venda]]&gt;1,1,0)</f>
        <v>0</v>
      </c>
    </row>
    <row r="16" spans="2:18" ht="15" x14ac:dyDescent="0.25">
      <c r="B16" s="46" t="s">
        <v>11</v>
      </c>
      <c r="C16" s="48">
        <f>SUM(C11:C15)</f>
        <v>0</v>
      </c>
      <c r="D16" s="1"/>
      <c r="E16" s="44"/>
      <c r="F16" s="12"/>
      <c r="G16" s="13"/>
      <c r="H16" s="2"/>
      <c r="I16" s="2"/>
      <c r="J16" s="1"/>
      <c r="K16" s="38">
        <v>1057</v>
      </c>
      <c r="L16" s="3" t="s">
        <v>140</v>
      </c>
      <c r="M16" s="8" t="s">
        <v>156</v>
      </c>
      <c r="R16" s="40">
        <f>IF(vend18[[#This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IF(vend18[[#This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IF(vend18[[#This Row],[Nº Venda]]&gt;1,1,0)</f>
        <v>0</v>
      </c>
    </row>
    <row r="19" spans="2:18" ht="15" x14ac:dyDescent="0.25">
      <c r="B19" s="17">
        <f>COUNT(entr_carn18[OS])</f>
        <v>1</v>
      </c>
      <c r="C19" s="18">
        <f>SUM(entr_carn18[Valor Total])</f>
        <v>288.76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IF(vend18[[#This Row],[Nº Venda]]&gt;1,1,0)</f>
        <v>0</v>
      </c>
    </row>
    <row r="20" spans="2:18" ht="15" x14ac:dyDescent="0.25">
      <c r="B20" s="46" t="s">
        <v>11</v>
      </c>
      <c r="C20" s="48">
        <f>SUM(C19:C19)</f>
        <v>288.76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IF(vend18[[#This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79"/>
      <c r="F23" s="79"/>
      <c r="G23" s="79"/>
      <c r="H23" s="80"/>
      <c r="I23" s="8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>
        <v>1057</v>
      </c>
      <c r="L35" s="26">
        <v>4</v>
      </c>
      <c r="M35" s="8">
        <v>288.76</v>
      </c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3" zoomScale="90" zoomScaleNormal="90" zoomScaleSheetLayoutView="70" workbookViewId="0">
      <selection activeCell="D40" sqref="D40"/>
    </sheetView>
  </sheetViews>
  <sheetFormatPr defaultColWidth="9.140625" defaultRowHeight="14.25" x14ac:dyDescent="0.2"/>
  <cols>
    <col min="1" max="1" width="0.28515625" style="40" customWidth="1"/>
    <col min="2" max="2" width="35.28515625" style="40" bestFit="1" customWidth="1"/>
    <col min="3" max="3" width="14" style="40" customWidth="1"/>
    <col min="4" max="4" width="0.425781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285156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36.75" x14ac:dyDescent="0.7">
      <c r="B1" s="108">
        <f>'18'!B1+1</f>
        <v>45645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282.5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285.5</v>
      </c>
      <c r="D6" s="1"/>
      <c r="E6" s="44">
        <v>1061</v>
      </c>
      <c r="F6" s="12" t="s">
        <v>166</v>
      </c>
      <c r="G6" s="13" t="s">
        <v>7</v>
      </c>
      <c r="H6" s="2">
        <v>82.5</v>
      </c>
      <c r="I6" s="2">
        <v>85.5</v>
      </c>
      <c r="J6" s="1"/>
      <c r="K6" s="12"/>
      <c r="L6" s="3"/>
      <c r="M6" s="8"/>
      <c r="R6" s="40">
        <f>IF(vend19[[#This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>
        <v>1062</v>
      </c>
      <c r="F7" s="12" t="s">
        <v>168</v>
      </c>
      <c r="G7" s="13" t="s">
        <v>7</v>
      </c>
      <c r="H7" s="85">
        <v>200</v>
      </c>
      <c r="I7" s="2">
        <v>200</v>
      </c>
      <c r="J7" s="1"/>
      <c r="K7" s="12"/>
      <c r="L7" s="3"/>
      <c r="M7" s="8"/>
      <c r="R7" s="40">
        <f>IF(vend19[[#This Row],[Nº Venda]]&gt;1,1,0)</f>
        <v>1</v>
      </c>
    </row>
    <row r="8" spans="2:18" ht="15" x14ac:dyDescent="0.25">
      <c r="B8" s="46" t="s">
        <v>21</v>
      </c>
      <c r="C8" s="47">
        <f>SUM(C6:C7)</f>
        <v>285.5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IF(vend19[[#This Row],[Nº Venda]]&gt;1,1,0)</f>
        <v>0</v>
      </c>
    </row>
    <row r="9" spans="2:18" ht="15" x14ac:dyDescent="0.25">
      <c r="B9" s="1"/>
      <c r="C9" s="1"/>
      <c r="D9" s="1"/>
      <c r="E9" s="44"/>
      <c r="F9" s="74"/>
      <c r="G9" s="75"/>
      <c r="H9" s="76"/>
      <c r="I9" s="76"/>
      <c r="J9" s="1"/>
      <c r="K9" s="12"/>
      <c r="L9" s="3"/>
      <c r="M9" s="8"/>
      <c r="R9" s="40">
        <f>IF(vend19[[#This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IF(vend19[[#This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IF(vend19[[#This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285.5</v>
      </c>
      <c r="D12" s="1"/>
      <c r="E12" s="44"/>
      <c r="F12" s="12"/>
      <c r="G12" s="13"/>
      <c r="H12" s="2"/>
      <c r="I12" s="2"/>
      <c r="J12" s="1"/>
      <c r="R12" s="40">
        <f>IF(vend19[[#This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IF(vend19[[#This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IF(vend19[[#This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>
        <v>1040</v>
      </c>
      <c r="L15" s="3" t="s">
        <v>140</v>
      </c>
      <c r="M15" s="8" t="s">
        <v>143</v>
      </c>
      <c r="R15" s="40">
        <f>IF(vend19[[#This Row],[Nº Venda]]&gt;1,1,0)</f>
        <v>0</v>
      </c>
    </row>
    <row r="16" spans="2:18" ht="15" x14ac:dyDescent="0.25">
      <c r="B16" s="46" t="s">
        <v>11</v>
      </c>
      <c r="C16" s="48">
        <f>SUM(C11:C15)</f>
        <v>285.5</v>
      </c>
      <c r="D16" s="1"/>
      <c r="E16" s="44"/>
      <c r="F16" s="12"/>
      <c r="G16" s="13"/>
      <c r="H16" s="2"/>
      <c r="I16" s="2"/>
      <c r="J16" s="1"/>
      <c r="K16" s="38">
        <v>1061</v>
      </c>
      <c r="L16" s="3" t="s">
        <v>140</v>
      </c>
      <c r="M16" s="8" t="s">
        <v>143</v>
      </c>
      <c r="R16" s="40">
        <f>IF(vend19[[#This Row],[Nº Venda]]&gt;1,1,0)</f>
        <v>0</v>
      </c>
    </row>
    <row r="17" spans="2:22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IF(vend19[[#This Row],[Nº Venda]]&gt;1,1,0)</f>
        <v>0</v>
      </c>
    </row>
    <row r="18" spans="2:22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IF(vend19[[#This Row],[Nº Venda]]&gt;1,1,0)</f>
        <v>0</v>
      </c>
    </row>
    <row r="19" spans="2:22" ht="15" x14ac:dyDescent="0.25">
      <c r="B19" s="17">
        <f>COUNT(entr_carn19[OS])</f>
        <v>0</v>
      </c>
      <c r="C19" s="18">
        <f>SUM(entr_carn19[Valor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IF(vend19[[#This Row],[Nº Venda]]&gt;1,1,0)</f>
        <v>0</v>
      </c>
    </row>
    <row r="20" spans="2:22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IF(vend19[[#This Row],[Nº Venda]]&gt;1,1,0)</f>
        <v>0</v>
      </c>
      <c r="V20" s="40" t="s">
        <v>58</v>
      </c>
    </row>
    <row r="21" spans="2:22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22" ht="15" x14ac:dyDescent="0.25">
      <c r="B22" s="46" t="s">
        <v>26</v>
      </c>
      <c r="C22" s="48">
        <f>C5</f>
        <v>282.5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22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22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22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22" ht="15" x14ac:dyDescent="0.25">
      <c r="B26" s="1"/>
      <c r="C26" s="1"/>
      <c r="D26" s="1"/>
      <c r="E26" s="44"/>
      <c r="F26" s="24"/>
      <c r="G26" s="13"/>
      <c r="H26" s="2"/>
      <c r="I26" s="2"/>
      <c r="J26" s="1"/>
      <c r="K26" s="38"/>
      <c r="L26" s="3"/>
      <c r="M26" s="8"/>
    </row>
    <row r="27" spans="2:22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22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22" ht="15" x14ac:dyDescent="0.25">
      <c r="B29" s="1"/>
      <c r="C29" s="1"/>
      <c r="D29" s="1"/>
      <c r="E29" s="44"/>
      <c r="F29" s="12"/>
      <c r="G29" s="13"/>
      <c r="H29" s="13"/>
      <c r="I29" s="2"/>
      <c r="J29" s="1"/>
      <c r="K29" s="38"/>
      <c r="L29" s="3"/>
      <c r="M29" s="8"/>
    </row>
    <row r="30" spans="2:22" ht="15" x14ac:dyDescent="0.25">
      <c r="B30" s="1"/>
      <c r="C30" s="1"/>
      <c r="D30" s="1"/>
      <c r="E30" s="44"/>
      <c r="F30" s="12"/>
      <c r="G30" s="13"/>
      <c r="H30" s="2"/>
      <c r="I30" s="2"/>
      <c r="J30" s="1"/>
      <c r="K30" s="38"/>
      <c r="L30" s="3"/>
      <c r="M30" s="8"/>
    </row>
    <row r="31" spans="2:22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22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2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A1:R41"/>
  <sheetViews>
    <sheetView showGridLines="0" topLeftCell="B16" zoomScale="90" zoomScaleNormal="90" workbookViewId="0">
      <selection activeCell="D40" sqref="D40"/>
    </sheetView>
  </sheetViews>
  <sheetFormatPr defaultColWidth="9.140625" defaultRowHeight="14.25" x14ac:dyDescent="0.2"/>
  <cols>
    <col min="1" max="1" width="3.7109375" style="40" hidden="1" customWidth="1"/>
    <col min="2" max="2" width="35.28515625" style="40" bestFit="1" customWidth="1"/>
    <col min="3" max="3" width="14" style="40" customWidth="1"/>
    <col min="4" max="4" width="0.285156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2.7109375" style="40" hidden="1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42" x14ac:dyDescent="0.8">
      <c r="B1" s="116">
        <f>'19'!B1+1</f>
        <v>45646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99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177.2</v>
      </c>
      <c r="D6" s="1"/>
      <c r="E6" s="44">
        <v>1063</v>
      </c>
      <c r="F6" s="12" t="s">
        <v>169</v>
      </c>
      <c r="G6" s="13" t="s">
        <v>10</v>
      </c>
      <c r="H6" s="2">
        <v>99</v>
      </c>
      <c r="I6" s="2">
        <v>99</v>
      </c>
      <c r="J6" s="1"/>
      <c r="K6" s="12"/>
      <c r="L6" s="3"/>
      <c r="M6" s="8"/>
      <c r="R6" s="40">
        <f>IF(vend20[[#This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IF(vend20[[#This Row],[Nº Venda]]&gt;1,1,0)</f>
        <v>0</v>
      </c>
    </row>
    <row r="8" spans="2:18" ht="15" x14ac:dyDescent="0.25">
      <c r="B8" s="46" t="s">
        <v>21</v>
      </c>
      <c r="C8" s="47">
        <f>SUM(C6:C7)</f>
        <v>177.2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IF(vend20[[#This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IF(vend20[[#This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IF(vend20[[#This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78.2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IF(vend20[[#This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IF(vend20[[#This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44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IF(vend20[[#This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44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IF(vend20[[#This Row],[Nº Venda]]&gt;1,1,0)</f>
        <v>0</v>
      </c>
    </row>
    <row r="15" spans="2:18" ht="15" x14ac:dyDescent="0.25">
      <c r="B15" s="17" t="s">
        <v>10</v>
      </c>
      <c r="C15" s="18">
        <f t="shared" si="0"/>
        <v>99</v>
      </c>
      <c r="D15" s="1"/>
      <c r="E15" s="44"/>
      <c r="F15" s="12"/>
      <c r="G15" s="13"/>
      <c r="H15" s="2"/>
      <c r="I15" s="2"/>
      <c r="J15" s="1"/>
      <c r="K15" s="38">
        <v>1063</v>
      </c>
      <c r="L15" s="3" t="s">
        <v>140</v>
      </c>
      <c r="M15" s="8" t="s">
        <v>143</v>
      </c>
      <c r="R15" s="40">
        <f>IF(vend20[[#This Row],[Nº Venda]]&gt;1,1,0)</f>
        <v>0</v>
      </c>
    </row>
    <row r="16" spans="2:18" ht="15" x14ac:dyDescent="0.25">
      <c r="B16" s="46" t="s">
        <v>11</v>
      </c>
      <c r="C16" s="48">
        <f>SUM(C11:C15)</f>
        <v>177.2</v>
      </c>
      <c r="D16" s="1"/>
      <c r="E16" s="44"/>
      <c r="F16" s="12"/>
      <c r="G16" s="13"/>
      <c r="H16" s="2"/>
      <c r="I16" s="2"/>
      <c r="J16" s="1"/>
      <c r="K16" s="38">
        <v>1059</v>
      </c>
      <c r="L16" s="3" t="s">
        <v>140</v>
      </c>
      <c r="M16" s="8" t="s">
        <v>156</v>
      </c>
      <c r="R16" s="40">
        <f>IF(vend20[[#This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IF(vend20[[#This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IF(vend20[[#This Row],[Nº Venda]]&gt;1,1,0)</f>
        <v>0</v>
      </c>
    </row>
    <row r="19" spans="2:18" ht="15" x14ac:dyDescent="0.25">
      <c r="B19" s="17">
        <f>COUNT(entr_carn20[OS])</f>
        <v>1</v>
      </c>
      <c r="C19" s="18">
        <f>SUM(entr_carn20[Valor Total])</f>
        <v>579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IF(vend20[[#This Row],[Nº Venda]]&gt;1,1,0)</f>
        <v>0</v>
      </c>
    </row>
    <row r="20" spans="2:18" ht="15" x14ac:dyDescent="0.25">
      <c r="B20" s="46" t="s">
        <v>11</v>
      </c>
      <c r="C20" s="48">
        <f>SUM(C19:C19)</f>
        <v>579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IF(vend20[[#This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99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>
        <v>859</v>
      </c>
      <c r="F35" s="12" t="s">
        <v>170</v>
      </c>
      <c r="G35" s="13" t="s">
        <v>6</v>
      </c>
      <c r="H35" s="2">
        <v>78.2</v>
      </c>
      <c r="I35" s="2" t="s">
        <v>102</v>
      </c>
      <c r="K35" s="38">
        <v>1059</v>
      </c>
      <c r="L35" s="26">
        <v>8</v>
      </c>
      <c r="M35" s="8">
        <v>579</v>
      </c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1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A1:R41"/>
  <sheetViews>
    <sheetView showGridLines="0" topLeftCell="C16" zoomScale="90" zoomScaleNormal="90" workbookViewId="0">
      <selection activeCell="D40" sqref="D40"/>
    </sheetView>
  </sheetViews>
  <sheetFormatPr defaultColWidth="9.140625" defaultRowHeight="14.25" x14ac:dyDescent="0.2"/>
  <cols>
    <col min="1" max="1" width="3.7109375" style="40" hidden="1" customWidth="1"/>
    <col min="2" max="2" width="35.28515625" style="40" bestFit="1" customWidth="1"/>
    <col min="3" max="3" width="14" style="40" customWidth="1"/>
    <col min="4" max="4" width="0.1406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42578125" style="42" customWidth="1"/>
    <col min="10" max="10" width="2.7109375" style="40" hidden="1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42" x14ac:dyDescent="0.8">
      <c r="B1" s="116">
        <f>'20'!B1+1</f>
        <v>45647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137.15</v>
      </c>
      <c r="D6" s="1"/>
      <c r="E6" s="44"/>
      <c r="F6" s="12"/>
      <c r="G6" s="13"/>
      <c r="H6" s="2"/>
      <c r="I6" s="2"/>
      <c r="J6" s="1"/>
      <c r="K6" s="12"/>
      <c r="L6" s="3"/>
      <c r="M6" s="8"/>
      <c r="R6" s="40">
        <f>IF(vend21[[#This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IF(vend21[[#This Row],[Nº Venda]]&gt;1,1,0)</f>
        <v>0</v>
      </c>
    </row>
    <row r="8" spans="2:18" ht="15" x14ac:dyDescent="0.25">
      <c r="B8" s="46" t="s">
        <v>21</v>
      </c>
      <c r="C8" s="47">
        <f>SUM(C6:C7)</f>
        <v>137.15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IF(vend21[[#This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IF(vend21[[#This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IF(vend21[[#This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IF(vend21[[#This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137.15</v>
      </c>
      <c r="D12" s="1"/>
      <c r="E12" s="44"/>
      <c r="F12" s="12"/>
      <c r="G12" s="13"/>
      <c r="H12" s="2"/>
      <c r="I12" s="2"/>
      <c r="J12" s="1"/>
      <c r="R12" s="40">
        <f>IF(vend21[[#This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IF(vend21[[#This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IF(vend21[[#This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>
        <v>1060</v>
      </c>
      <c r="L15" s="3" t="s">
        <v>140</v>
      </c>
      <c r="M15" s="8" t="s">
        <v>156</v>
      </c>
      <c r="R15" s="40">
        <f>IF(vend21[[#This Row],[Nº Venda]]&gt;1,1,0)</f>
        <v>0</v>
      </c>
    </row>
    <row r="16" spans="2:18" ht="15" x14ac:dyDescent="0.25">
      <c r="B16" s="46" t="s">
        <v>11</v>
      </c>
      <c r="C16" s="48">
        <f>SUM(C11:C15)</f>
        <v>137.15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IF(vend21[[#This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IF(vend21[[#This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IF(vend21[[#This Row],[Nº Venda]]&gt;1,1,0)</f>
        <v>0</v>
      </c>
    </row>
    <row r="19" spans="2:18" ht="15" x14ac:dyDescent="0.25">
      <c r="B19" s="17">
        <f>COUNT(entr_carn21[OS])</f>
        <v>1</v>
      </c>
      <c r="C19" s="18">
        <f>SUM(entr_carn21[Valor Total])</f>
        <v>289.85000000000002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IF(vend21[[#This Row],[Nº Venda]]&gt;1,1,0)</f>
        <v>0</v>
      </c>
    </row>
    <row r="20" spans="2:18" ht="15" x14ac:dyDescent="0.25">
      <c r="B20" s="46" t="s">
        <v>11</v>
      </c>
      <c r="C20" s="48">
        <f>SUM(C19:C19)</f>
        <v>289.85000000000002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IF(vend21[[#This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>
        <v>1060</v>
      </c>
      <c r="F26" s="12" t="s">
        <v>165</v>
      </c>
      <c r="G26" s="13" t="s">
        <v>7</v>
      </c>
      <c r="H26" s="2"/>
      <c r="I26" s="2">
        <v>137.15</v>
      </c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>
        <v>1060</v>
      </c>
      <c r="L35" s="26">
        <v>4</v>
      </c>
      <c r="M35" s="8">
        <v>289.85000000000002</v>
      </c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3" zoomScale="90" zoomScaleNormal="90" workbookViewId="0">
      <selection activeCell="D40" sqref="D40"/>
    </sheetView>
  </sheetViews>
  <sheetFormatPr defaultColWidth="9.140625" defaultRowHeight="12.75" x14ac:dyDescent="0.2"/>
  <cols>
    <col min="1" max="1" width="3.7109375" style="61" customWidth="1"/>
    <col min="2" max="2" width="35.28515625" style="61" bestFit="1" customWidth="1"/>
    <col min="3" max="3" width="14" style="61" customWidth="1"/>
    <col min="4" max="4" width="2.7109375" style="61" customWidth="1"/>
    <col min="5" max="5" width="15.5703125" style="62" customWidth="1"/>
    <col min="6" max="6" width="26.28515625" style="62" customWidth="1"/>
    <col min="7" max="7" width="17.28515625" style="62" customWidth="1"/>
    <col min="8" max="8" width="19.140625" style="63" customWidth="1"/>
    <col min="9" max="9" width="15.5703125" style="63" customWidth="1"/>
    <col min="10" max="10" width="2.7109375" style="61" customWidth="1"/>
    <col min="11" max="11" width="21.7109375" style="64" customWidth="1"/>
    <col min="12" max="12" width="24.28515625" style="64" bestFit="1" customWidth="1"/>
    <col min="13" max="13" width="15.7109375" style="64" customWidth="1"/>
    <col min="14" max="14" width="4.28515625" style="61" customWidth="1"/>
    <col min="15" max="15" width="2.140625" style="61" hidden="1" customWidth="1"/>
    <col min="16" max="16" width="9.140625" style="61" hidden="1" customWidth="1"/>
    <col min="17" max="17" width="11.42578125" style="61" hidden="1" customWidth="1"/>
    <col min="18" max="18" width="2.42578125" style="61" hidden="1" customWidth="1"/>
    <col min="19" max="20" width="0" style="61" hidden="1" customWidth="1"/>
    <col min="21" max="16384" width="9.140625" style="61"/>
  </cols>
  <sheetData>
    <row r="1" spans="2:18" ht="36.75" x14ac:dyDescent="0.7">
      <c r="B1" s="108">
        <f>'21'!B1+1</f>
        <v>45648</v>
      </c>
    </row>
    <row r="2" spans="2:18" ht="18.75" x14ac:dyDescent="0.2">
      <c r="B2" s="127" t="s">
        <v>13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9"/>
    </row>
    <row r="3" spans="2:18" ht="18.75" x14ac:dyDescent="0.2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.75" x14ac:dyDescent="0.25">
      <c r="B6" s="10" t="s">
        <v>2</v>
      </c>
      <c r="C6" s="11">
        <f>C16</f>
        <v>0</v>
      </c>
      <c r="D6" s="1"/>
      <c r="E6" s="33"/>
      <c r="F6" s="12"/>
      <c r="G6" s="13"/>
      <c r="H6" s="2"/>
      <c r="I6" s="2"/>
      <c r="J6" s="1"/>
      <c r="K6" s="12"/>
      <c r="L6" s="3"/>
      <c r="M6" s="8"/>
      <c r="R6" s="61">
        <f>IF(vend22[[#This Row],[Nº Venda]]&gt;1,1,0)</f>
        <v>0</v>
      </c>
    </row>
    <row r="7" spans="2:18" ht="15.75" x14ac:dyDescent="0.25">
      <c r="B7" s="10" t="s">
        <v>3</v>
      </c>
      <c r="C7" s="11">
        <f>SUM(M6:M11)</f>
        <v>0</v>
      </c>
      <c r="D7" s="1"/>
      <c r="E7" s="33"/>
      <c r="F7" s="12"/>
      <c r="G7" s="13"/>
      <c r="H7" s="2"/>
      <c r="I7" s="2"/>
      <c r="J7" s="1"/>
      <c r="K7" s="12"/>
      <c r="L7" s="3"/>
      <c r="M7" s="8"/>
      <c r="R7" s="61">
        <f>IF(vend22[[#This Row],[Nº Venda]]&gt;1,1,0)</f>
        <v>0</v>
      </c>
    </row>
    <row r="8" spans="2:18" ht="15.75" x14ac:dyDescent="0.25">
      <c r="B8" s="15" t="s">
        <v>21</v>
      </c>
      <c r="C8" s="16">
        <f>SUM(C6:C7)</f>
        <v>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61">
        <f>IF(vend22[[#This Row],[Nº Venda]]&gt;1,1,0)</f>
        <v>0</v>
      </c>
    </row>
    <row r="9" spans="2:18" ht="15.75" x14ac:dyDescent="0.25">
      <c r="B9" s="1"/>
      <c r="C9" s="1"/>
      <c r="D9" s="1"/>
      <c r="E9" s="33"/>
      <c r="F9" s="12"/>
      <c r="G9" s="13"/>
      <c r="H9" s="2"/>
      <c r="I9" s="2"/>
      <c r="J9" s="1"/>
      <c r="K9" s="12"/>
      <c r="L9" s="3"/>
      <c r="M9" s="8"/>
      <c r="R9" s="61">
        <f>IF(vend22[[#This Row],[Nº Venda]]&gt;1,1,0)</f>
        <v>0</v>
      </c>
    </row>
    <row r="10" spans="2:18" ht="15.75" x14ac:dyDescent="0.25">
      <c r="B10" s="118" t="s">
        <v>5</v>
      </c>
      <c r="C10" s="118"/>
      <c r="D10" s="1"/>
      <c r="E10" s="33"/>
      <c r="F10" s="12"/>
      <c r="G10" s="13"/>
      <c r="H10" s="2"/>
      <c r="I10" s="2"/>
      <c r="J10" s="1"/>
      <c r="K10" s="12"/>
      <c r="L10" s="3"/>
      <c r="M10" s="8"/>
      <c r="R10" s="61">
        <f>IF(vend22[[#This Row],[Nº Venda]]&gt;1,1,0)</f>
        <v>0</v>
      </c>
    </row>
    <row r="11" spans="2:18" ht="15.75" x14ac:dyDescent="0.25">
      <c r="B11" s="17" t="s">
        <v>6</v>
      </c>
      <c r="C11" s="18">
        <f>(SUMIF($G$2:$G$31,B11,$I$2:$I$31))+(SUMIF($G$35:$G$41,B11,$H$35:$H$41))</f>
        <v>0</v>
      </c>
      <c r="D11" s="1"/>
      <c r="E11" s="33"/>
      <c r="F11" s="12"/>
      <c r="G11" s="13"/>
      <c r="H11" s="2"/>
      <c r="I11" s="2"/>
      <c r="J11" s="1"/>
      <c r="K11" s="14"/>
      <c r="L11" s="3"/>
      <c r="M11" s="8"/>
      <c r="O11" s="61">
        <f>IF(C16=0,0,1)</f>
        <v>0</v>
      </c>
      <c r="R11" s="61">
        <f>IF(vend22[[#This Row],[Nº Venda]]&gt;1,1,0)</f>
        <v>0</v>
      </c>
    </row>
    <row r="12" spans="2:18" ht="15.7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33"/>
      <c r="F12" s="12"/>
      <c r="G12" s="13"/>
      <c r="H12" s="2"/>
      <c r="I12" s="2"/>
      <c r="J12" s="1"/>
      <c r="R12" s="61">
        <f>IF(vend22[[#This Row],[Nº Venda]]&gt;1,1,0)</f>
        <v>0</v>
      </c>
    </row>
    <row r="13" spans="2:18" ht="15.75" x14ac:dyDescent="0.25">
      <c r="B13" s="17" t="s">
        <v>8</v>
      </c>
      <c r="C13" s="18">
        <f t="shared" si="0"/>
        <v>0</v>
      </c>
      <c r="D13" s="1"/>
      <c r="E13" s="70"/>
      <c r="F13" s="12"/>
      <c r="G13" s="13"/>
      <c r="H13" s="2"/>
      <c r="I13" s="2"/>
      <c r="J13" s="1"/>
      <c r="K13" s="120" t="s">
        <v>22</v>
      </c>
      <c r="L13" s="121"/>
      <c r="M13" s="122"/>
      <c r="R13" s="61">
        <f>IF(vend22[[#This Row],[Nº Venda]]&gt;1,1,0)</f>
        <v>0</v>
      </c>
    </row>
    <row r="14" spans="2:18" ht="15.75" x14ac:dyDescent="0.25">
      <c r="B14" s="17" t="s">
        <v>9</v>
      </c>
      <c r="C14" s="18">
        <f t="shared" si="0"/>
        <v>0</v>
      </c>
      <c r="D14" s="1"/>
      <c r="E14" s="70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61">
        <f>IF(vend22[[#This Row],[Nº Venda]]&gt;1,1,0)</f>
        <v>0</v>
      </c>
    </row>
    <row r="15" spans="2:18" ht="15.75" x14ac:dyDescent="0.25">
      <c r="B15" s="17" t="s">
        <v>10</v>
      </c>
      <c r="C15" s="18">
        <f t="shared" si="0"/>
        <v>0</v>
      </c>
      <c r="D15" s="1"/>
      <c r="E15" s="33"/>
      <c r="F15" s="12"/>
      <c r="G15" s="13"/>
      <c r="H15" s="2"/>
      <c r="I15" s="2"/>
      <c r="J15" s="1"/>
      <c r="K15" s="38"/>
      <c r="L15" s="3"/>
      <c r="M15" s="8"/>
      <c r="R15" s="61">
        <f>IF(vend22[[#This Row],[Nº Venda]]&gt;1,1,0)</f>
        <v>0</v>
      </c>
    </row>
    <row r="16" spans="2:18" ht="15.75" x14ac:dyDescent="0.25">
      <c r="B16" s="15" t="s">
        <v>11</v>
      </c>
      <c r="C16" s="19">
        <f>SUM(C11:C15)</f>
        <v>0</v>
      </c>
      <c r="D16" s="1"/>
      <c r="E16" s="33"/>
      <c r="F16" s="12"/>
      <c r="G16" s="13"/>
      <c r="H16" s="2"/>
      <c r="I16" s="2"/>
      <c r="J16" s="1"/>
      <c r="K16" s="38"/>
      <c r="L16" s="3"/>
      <c r="M16" s="8"/>
      <c r="R16" s="61">
        <f>IF(vend22[[#This Row],[Nº Venda]]&gt;1,1,0)</f>
        <v>0</v>
      </c>
    </row>
    <row r="17" spans="2:18" ht="15.75" x14ac:dyDescent="0.25">
      <c r="B17" s="1"/>
      <c r="C17" s="1"/>
      <c r="D17" s="1"/>
      <c r="E17" s="33"/>
      <c r="F17" s="12"/>
      <c r="G17" s="13"/>
      <c r="H17" s="2"/>
      <c r="I17" s="2"/>
      <c r="J17" s="1"/>
      <c r="K17" s="38"/>
      <c r="L17" s="3"/>
      <c r="M17" s="8"/>
      <c r="R17" s="61">
        <f>IF(vend22[[#This Row],[Nº Venda]]&gt;1,1,0)</f>
        <v>0</v>
      </c>
    </row>
    <row r="18" spans="2:18" ht="15.75" x14ac:dyDescent="0.25">
      <c r="B18" s="118" t="s">
        <v>12</v>
      </c>
      <c r="C18" s="118"/>
      <c r="D18" s="1"/>
      <c r="E18" s="33"/>
      <c r="F18" s="12"/>
      <c r="G18" s="13"/>
      <c r="H18" s="2"/>
      <c r="I18" s="2"/>
      <c r="J18" s="1"/>
      <c r="K18" s="38"/>
      <c r="L18" s="3"/>
      <c r="M18" s="8"/>
      <c r="R18" s="61">
        <f>IF(vend22[[#This Row],[Nº Venda]]&gt;1,1,0)</f>
        <v>0</v>
      </c>
    </row>
    <row r="19" spans="2:18" ht="15.75" x14ac:dyDescent="0.25">
      <c r="B19" s="17">
        <f>COUNT(entr_carn22[OS])</f>
        <v>0</v>
      </c>
      <c r="C19" s="18">
        <f>SUM(entr_carn22[Valor Total])</f>
        <v>0</v>
      </c>
      <c r="D19" s="1"/>
      <c r="E19" s="33"/>
      <c r="F19" s="12"/>
      <c r="G19" s="13"/>
      <c r="H19" s="2"/>
      <c r="I19" s="2"/>
      <c r="J19" s="1"/>
      <c r="K19" s="38"/>
      <c r="L19" s="3"/>
      <c r="M19" s="8"/>
      <c r="R19" s="61">
        <f>IF(vend22[[#This Row],[Nº Venda]]&gt;1,1,0)</f>
        <v>0</v>
      </c>
    </row>
    <row r="20" spans="2:18" ht="15.75" x14ac:dyDescent="0.25">
      <c r="B20" s="15" t="s">
        <v>11</v>
      </c>
      <c r="C20" s="19">
        <f>SUM(C19:C19)</f>
        <v>0</v>
      </c>
      <c r="D20" s="1"/>
      <c r="E20" s="33"/>
      <c r="F20" s="13"/>
      <c r="G20" s="13"/>
      <c r="H20" s="2"/>
      <c r="I20" s="2"/>
      <c r="J20" s="1"/>
      <c r="K20" s="38"/>
      <c r="L20" s="3"/>
      <c r="M20" s="8"/>
      <c r="R20" s="61">
        <f>IF(vend22[[#This Row],[Nº Venda]]&gt;1,1,0)</f>
        <v>0</v>
      </c>
    </row>
    <row r="21" spans="2:18" ht="15.75" x14ac:dyDescent="0.25">
      <c r="B21" s="105"/>
      <c r="C21" s="105"/>
      <c r="D21" s="1"/>
      <c r="E21" s="33"/>
      <c r="F21" s="12"/>
      <c r="G21" s="13"/>
      <c r="H21" s="2"/>
      <c r="I21" s="2"/>
      <c r="J21" s="1"/>
      <c r="K21" s="38"/>
      <c r="L21" s="3"/>
      <c r="M21" s="8"/>
    </row>
    <row r="22" spans="2:18" ht="15.75" x14ac:dyDescent="0.25">
      <c r="B22" s="15" t="s">
        <v>26</v>
      </c>
      <c r="C22" s="19">
        <f>C5</f>
        <v>0</v>
      </c>
      <c r="D22" s="1"/>
      <c r="E22" s="33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68"/>
      <c r="H23" s="69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.75" x14ac:dyDescent="0.25">
      <c r="B26" s="1"/>
      <c r="C26" s="1"/>
      <c r="D26" s="1"/>
      <c r="E26" s="33"/>
      <c r="F26" s="12"/>
      <c r="G26" s="13"/>
      <c r="H26" s="2"/>
      <c r="I26" s="2"/>
      <c r="J26" s="1"/>
      <c r="K26" s="38"/>
      <c r="L26" s="3"/>
      <c r="M26" s="8"/>
    </row>
    <row r="27" spans="2:18" ht="15.75" x14ac:dyDescent="0.25">
      <c r="B27" s="1"/>
      <c r="C27" s="1"/>
      <c r="D27" s="1"/>
      <c r="E27" s="33"/>
      <c r="F27" s="12"/>
      <c r="G27" s="13"/>
      <c r="H27" s="2"/>
      <c r="I27" s="2"/>
      <c r="J27" s="1"/>
      <c r="K27" s="38"/>
      <c r="L27" s="3"/>
      <c r="M27" s="8"/>
    </row>
    <row r="28" spans="2:18" ht="15.75" x14ac:dyDescent="0.25">
      <c r="B28" s="1"/>
      <c r="C28" s="1"/>
      <c r="D28" s="1"/>
      <c r="E28" s="33"/>
      <c r="F28" s="12"/>
      <c r="G28" s="13"/>
      <c r="H28" s="2"/>
      <c r="I28" s="2"/>
      <c r="J28" s="1"/>
      <c r="K28" s="38"/>
      <c r="L28" s="3"/>
      <c r="M28" s="8"/>
    </row>
    <row r="29" spans="2:18" ht="15.75" x14ac:dyDescent="0.25">
      <c r="B29" s="1"/>
      <c r="C29" s="1"/>
      <c r="D29" s="1"/>
      <c r="E29" s="33"/>
      <c r="F29" s="12"/>
      <c r="G29" s="13"/>
      <c r="H29" s="2"/>
      <c r="I29" s="2"/>
      <c r="J29" s="1"/>
      <c r="K29" s="38"/>
      <c r="L29" s="3"/>
      <c r="M29" s="8"/>
    </row>
    <row r="30" spans="2:18" ht="15.75" x14ac:dyDescent="0.25">
      <c r="B30" s="1"/>
      <c r="C30" s="1"/>
      <c r="D30" s="1"/>
      <c r="E30" s="33"/>
      <c r="F30" s="24"/>
      <c r="G30" s="13"/>
      <c r="H30" s="2"/>
      <c r="I30" s="2"/>
      <c r="J30" s="1"/>
      <c r="K30" s="38"/>
      <c r="L30" s="3"/>
      <c r="M30" s="8"/>
    </row>
    <row r="31" spans="2:18" ht="15.75" x14ac:dyDescent="0.25">
      <c r="B31" s="1"/>
      <c r="C31" s="1"/>
      <c r="D31" s="1"/>
      <c r="E31" s="34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68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2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.75" x14ac:dyDescent="0.25">
      <c r="E36" s="36"/>
      <c r="F36" s="12"/>
      <c r="G36" s="13"/>
      <c r="H36" s="2"/>
      <c r="I36" s="2"/>
      <c r="K36" s="38"/>
      <c r="L36" s="26"/>
      <c r="M36" s="8"/>
    </row>
    <row r="37" spans="2:18" ht="15.75" x14ac:dyDescent="0.25">
      <c r="E37" s="33"/>
      <c r="F37" s="12"/>
      <c r="G37" s="13"/>
      <c r="H37" s="2"/>
      <c r="I37" s="2"/>
      <c r="K37" s="38"/>
      <c r="L37" s="26"/>
      <c r="M37" s="8"/>
    </row>
    <row r="38" spans="2:18" ht="15.75" x14ac:dyDescent="0.25">
      <c r="E38" s="33"/>
      <c r="F38" s="12"/>
      <c r="G38" s="13"/>
      <c r="H38" s="2"/>
      <c r="I38" s="2"/>
      <c r="K38" s="38"/>
      <c r="L38" s="26"/>
      <c r="M38" s="8"/>
    </row>
    <row r="39" spans="2:18" ht="15.75" x14ac:dyDescent="0.25">
      <c r="E39" s="33"/>
      <c r="F39" s="24"/>
      <c r="G39" s="13"/>
      <c r="H39" s="2"/>
      <c r="I39" s="2"/>
      <c r="K39" s="38"/>
      <c r="L39" s="26"/>
      <c r="M39" s="8"/>
    </row>
    <row r="40" spans="2:18" ht="15.75" x14ac:dyDescent="0.25">
      <c r="E40" s="34"/>
      <c r="F40" s="21"/>
      <c r="G40" s="22"/>
      <c r="H40" s="9"/>
      <c r="I40" s="2"/>
      <c r="K40" s="39"/>
      <c r="L40" s="27"/>
      <c r="M40" s="25"/>
      <c r="Q40" s="61" t="s">
        <v>36</v>
      </c>
      <c r="R40" s="61">
        <f>SUM(R6:R21)</f>
        <v>0</v>
      </c>
    </row>
    <row r="41" spans="2:18" ht="15.75" x14ac:dyDescent="0.25">
      <c r="E41" s="3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3" zoomScale="90" zoomScaleNormal="90" workbookViewId="0">
      <selection activeCell="D40" sqref="D40"/>
    </sheetView>
  </sheetViews>
  <sheetFormatPr defaultColWidth="9.140625" defaultRowHeight="14.25" x14ac:dyDescent="0.2"/>
  <cols>
    <col min="1" max="1" width="0.5703125" style="40" customWidth="1"/>
    <col min="2" max="2" width="35.28515625" style="40" bestFit="1" customWidth="1"/>
    <col min="3" max="3" width="14" style="40" customWidth="1"/>
    <col min="4" max="4" width="0.285156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285156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42" x14ac:dyDescent="0.8">
      <c r="B1" s="116">
        <f>'22'!B1+1</f>
        <v>45649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250</v>
      </c>
      <c r="D6" s="1"/>
      <c r="E6" s="44"/>
      <c r="F6" s="12"/>
      <c r="G6" s="13"/>
      <c r="H6" s="2"/>
      <c r="I6" s="2"/>
      <c r="J6" s="1"/>
      <c r="K6" s="12"/>
      <c r="L6" s="3"/>
      <c r="M6" s="8"/>
      <c r="R6" s="40">
        <f>IF(vend23[[#This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IF(vend23[[#This Row],[Nº Venda]]&gt;1,1,0)</f>
        <v>0</v>
      </c>
    </row>
    <row r="8" spans="2:18" ht="15" x14ac:dyDescent="0.25">
      <c r="B8" s="46" t="s">
        <v>21</v>
      </c>
      <c r="C8" s="47">
        <f>SUM(C6:C7)</f>
        <v>250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IF(vend23[[#This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IF(vend23[[#This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IF(vend23[[#This Row],[Nº Venda]]&gt;1,1,0)</f>
        <v>0</v>
      </c>
    </row>
    <row r="11" spans="2:18" ht="15" x14ac:dyDescent="0.25">
      <c r="B11" s="17" t="s">
        <v>6</v>
      </c>
      <c r="C11" s="96">
        <f>(SUMIF($G$2:$G$31,B11,$I$2:$I$31))+(SUMIF($G$35:$G$44,B11,$H$35:$H$44))</f>
        <v>250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IF(vend23[[#This Row],[Nº Venda]]&gt;1,1,0)</f>
        <v>0</v>
      </c>
    </row>
    <row r="12" spans="2:18" ht="15" x14ac:dyDescent="0.25">
      <c r="B12" s="17" t="s">
        <v>7</v>
      </c>
      <c r="C12" s="96">
        <f>(SUMIF($G$2:$G$31,B12,$I$2:$I$31))+(SUMIF($G$35:$G$44,B12,$H$35:$H$44))</f>
        <v>0</v>
      </c>
      <c r="D12" s="1"/>
      <c r="E12" s="44"/>
      <c r="F12" s="12"/>
      <c r="G12" s="13"/>
      <c r="H12" s="2"/>
      <c r="I12" s="2"/>
      <c r="J12" s="1"/>
      <c r="R12" s="40">
        <f>IF(vend23[[#This Row],[Nº Venda]]&gt;1,1,0)</f>
        <v>0</v>
      </c>
    </row>
    <row r="13" spans="2:18" ht="15" x14ac:dyDescent="0.25">
      <c r="B13" s="17" t="s">
        <v>8</v>
      </c>
      <c r="C13" s="96">
        <f>(SUMIF($G$2:$G$31,B13,$I$2:$I$31))+(SUMIF($G$35:$G$44,B13,$H$35:$H$44))</f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IF(vend23[[#This Row],[Nº Venda]]&gt;1,1,0)</f>
        <v>0</v>
      </c>
    </row>
    <row r="14" spans="2:18" ht="15" x14ac:dyDescent="0.25">
      <c r="B14" s="17" t="s">
        <v>9</v>
      </c>
      <c r="C14" s="96">
        <f>(SUMIF($G$2:$G$31,B14,$I$2:$I$31))+(SUMIF($G$35:$G$44,B14,$H$35:$H$44))</f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IF(vend23[[#This Row],[Nº Venda]]&gt;1,1,0)</f>
        <v>0</v>
      </c>
    </row>
    <row r="15" spans="2:18" ht="15" x14ac:dyDescent="0.25">
      <c r="B15" s="17" t="s">
        <v>10</v>
      </c>
      <c r="C15" s="96">
        <f>(SUMIF($G$2:$G$31,B15,$I$2:$I$31))+(SUMIF($G$35:$G$44,B15,$H$35:$H$44))</f>
        <v>0</v>
      </c>
      <c r="D15" s="1"/>
      <c r="E15" s="44"/>
      <c r="F15" s="12"/>
      <c r="G15" s="13"/>
      <c r="H15" s="2"/>
      <c r="I15" s="2"/>
      <c r="J15" s="1"/>
      <c r="K15" s="38"/>
      <c r="L15" s="3"/>
      <c r="M15" s="8"/>
      <c r="R15" s="40">
        <f>IF(vend23[[#This Row],[Nº Venda]]&gt;1,1,0)</f>
        <v>0</v>
      </c>
    </row>
    <row r="16" spans="2:18" ht="15" x14ac:dyDescent="0.25">
      <c r="B16" s="46" t="s">
        <v>11</v>
      </c>
      <c r="C16" s="48">
        <f>SUM(C11:C15)</f>
        <v>250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IF(vend23[[#This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IF(vend23[[#This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IF(vend23[[#This Row],[Nº Venda]]&gt;1,1,0)</f>
        <v>0</v>
      </c>
    </row>
    <row r="19" spans="2:18" ht="15" x14ac:dyDescent="0.25">
      <c r="B19" s="17">
        <f>COUNT(entr_carn23[OS])</f>
        <v>0</v>
      </c>
      <c r="C19" s="18">
        <f>SUM(entr_carn23[Valor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IF(vend23[[#This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IF(vend23[[#This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>
        <v>1028</v>
      </c>
      <c r="F35" s="12" t="s">
        <v>171</v>
      </c>
      <c r="G35" s="13" t="s">
        <v>6</v>
      </c>
      <c r="H35" s="2">
        <v>250</v>
      </c>
      <c r="I35" s="2" t="s">
        <v>39</v>
      </c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97"/>
      <c r="F41" s="24"/>
      <c r="G41" s="13"/>
      <c r="H41" s="2"/>
      <c r="I41" s="2"/>
      <c r="K41" s="38"/>
      <c r="L41" s="26"/>
      <c r="M41" s="25"/>
    </row>
    <row r="42" spans="2:18" ht="15" x14ac:dyDescent="0.25">
      <c r="E42" s="88"/>
      <c r="F42" s="72"/>
      <c r="G42" s="22"/>
      <c r="H42" s="9"/>
      <c r="I42" s="9"/>
    </row>
    <row r="43" spans="2:18" ht="15" x14ac:dyDescent="0.25">
      <c r="E43" s="88"/>
      <c r="F43" s="24"/>
      <c r="G43" s="13"/>
      <c r="H43" s="2"/>
      <c r="I43" s="2"/>
    </row>
    <row r="44" spans="2:18" ht="15" x14ac:dyDescent="0.25">
      <c r="E44" s="79"/>
      <c r="F44" s="72"/>
      <c r="G44" s="22"/>
      <c r="H44" s="9"/>
      <c r="I44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A1:R41"/>
  <sheetViews>
    <sheetView showGridLines="0" view="pageBreakPreview" topLeftCell="B7" zoomScale="60" zoomScaleNormal="90" workbookViewId="0">
      <selection activeCell="D40" sqref="D40"/>
    </sheetView>
  </sheetViews>
  <sheetFormatPr defaultColWidth="9.140625" defaultRowHeight="14.25" x14ac:dyDescent="0.2"/>
  <cols>
    <col min="1" max="1" width="0.5703125" style="40" hidden="1" customWidth="1"/>
    <col min="2" max="2" width="35.28515625" style="40" bestFit="1" customWidth="1"/>
    <col min="3" max="3" width="14" style="40" customWidth="1"/>
    <col min="4" max="4" width="0.28515625" style="40" customWidth="1"/>
    <col min="5" max="5" width="15.5703125" style="41" customWidth="1"/>
    <col min="6" max="6" width="28.7109375" style="41" bestFit="1" customWidth="1"/>
    <col min="7" max="7" width="17.28515625" style="41" customWidth="1"/>
    <col min="8" max="8" width="19.140625" style="42" customWidth="1"/>
    <col min="9" max="9" width="15.5703125" style="42" customWidth="1"/>
    <col min="10" max="10" width="0.285156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42" x14ac:dyDescent="0.8">
      <c r="B1" s="116">
        <f>'23'!B1+1</f>
        <v>45650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80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80</v>
      </c>
      <c r="D6" s="1"/>
      <c r="E6" s="44">
        <v>1064</v>
      </c>
      <c r="F6" s="12" t="s">
        <v>172</v>
      </c>
      <c r="G6" s="13" t="s">
        <v>7</v>
      </c>
      <c r="H6" s="2">
        <v>80</v>
      </c>
      <c r="I6" s="2">
        <v>80</v>
      </c>
      <c r="J6" s="1"/>
      <c r="K6" s="12"/>
      <c r="L6" s="3"/>
      <c r="M6" s="8"/>
      <c r="R6" s="40">
        <f>IF(vend24[[#This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IF(vend24[[#This Row],[Nº Venda]]&gt;1,1,0)</f>
        <v>0</v>
      </c>
    </row>
    <row r="8" spans="2:18" ht="15" x14ac:dyDescent="0.25">
      <c r="B8" s="46" t="s">
        <v>21</v>
      </c>
      <c r="C8" s="47">
        <f>SUM(C6:C7)</f>
        <v>80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IF(vend24[[#This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IF(vend24[[#This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IF(vend24[[#This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IF(vend24[[#This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80</v>
      </c>
      <c r="D12" s="1"/>
      <c r="E12" s="44"/>
      <c r="F12" s="12"/>
      <c r="G12" s="13"/>
      <c r="H12" s="2"/>
      <c r="I12" s="2"/>
      <c r="J12" s="1"/>
      <c r="R12" s="40">
        <f>IF(vend24[[#This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IF(vend24[[#This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IF(vend24[[#This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>
        <v>1064</v>
      </c>
      <c r="L15" s="3" t="s">
        <v>140</v>
      </c>
      <c r="M15" s="8" t="s">
        <v>143</v>
      </c>
      <c r="R15" s="40">
        <f>IF(vend24[[#This Row],[Nº Venda]]&gt;1,1,0)</f>
        <v>0</v>
      </c>
    </row>
    <row r="16" spans="2:18" ht="15" x14ac:dyDescent="0.25">
      <c r="B16" s="46" t="s">
        <v>11</v>
      </c>
      <c r="C16" s="48">
        <f>SUM(C11:C15)</f>
        <v>80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IF(vend24[[#This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IF(vend24[[#This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IF(vend24[[#This Row],[Nº Venda]]&gt;1,1,0)</f>
        <v>0</v>
      </c>
    </row>
    <row r="19" spans="2:18" ht="15" x14ac:dyDescent="0.25">
      <c r="B19" s="17">
        <f>COUNT(entr_carn24[OS])</f>
        <v>0</v>
      </c>
      <c r="C19" s="18">
        <f>SUM(entr_carn24[Valor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IF(vend24[[#This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IF(vend24[[#This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80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D40" s="40" t="s">
        <v>178</v>
      </c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1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8" zoomScale="90" zoomScaleNormal="90" workbookViewId="0">
      <selection activeCell="D40" sqref="D40"/>
    </sheetView>
  </sheetViews>
  <sheetFormatPr defaultColWidth="9.140625" defaultRowHeight="12.75" x14ac:dyDescent="0.2"/>
  <cols>
    <col min="1" max="1" width="3.7109375" style="61" customWidth="1"/>
    <col min="2" max="2" width="35.28515625" style="61" bestFit="1" customWidth="1"/>
    <col min="3" max="3" width="14" style="61" customWidth="1"/>
    <col min="4" max="4" width="2.7109375" style="61" customWidth="1"/>
    <col min="5" max="5" width="15.5703125" style="62" customWidth="1"/>
    <col min="6" max="6" width="26.28515625" style="62" customWidth="1"/>
    <col min="7" max="7" width="17.28515625" style="62" customWidth="1"/>
    <col min="8" max="8" width="19.140625" style="63" customWidth="1"/>
    <col min="9" max="9" width="15.5703125" style="63" customWidth="1"/>
    <col min="10" max="10" width="2.7109375" style="61" customWidth="1"/>
    <col min="11" max="11" width="21.7109375" style="64" customWidth="1"/>
    <col min="12" max="12" width="24.28515625" style="64" bestFit="1" customWidth="1"/>
    <col min="13" max="13" width="15.7109375" style="64" customWidth="1"/>
    <col min="14" max="14" width="4.28515625" style="61" customWidth="1"/>
    <col min="15" max="15" width="2.140625" style="61" hidden="1" customWidth="1"/>
    <col min="16" max="16" width="9.140625" style="61" hidden="1" customWidth="1"/>
    <col min="17" max="17" width="11.42578125" style="61" hidden="1" customWidth="1"/>
    <col min="18" max="18" width="2.42578125" style="61" hidden="1" customWidth="1"/>
    <col min="19" max="20" width="0" style="61" hidden="1" customWidth="1"/>
    <col min="21" max="16384" width="9.140625" style="61"/>
  </cols>
  <sheetData>
    <row r="1" spans="2:18" ht="36.75" x14ac:dyDescent="0.7">
      <c r="B1" s="108">
        <f>'24'!B1+1</f>
        <v>45651</v>
      </c>
    </row>
    <row r="2" spans="2:18" ht="18.75" x14ac:dyDescent="0.2">
      <c r="B2" s="127" t="s">
        <v>13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9"/>
    </row>
    <row r="3" spans="2:18" ht="18.75" x14ac:dyDescent="0.2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.75" x14ac:dyDescent="0.25">
      <c r="B6" s="10" t="s">
        <v>2</v>
      </c>
      <c r="C6" s="11">
        <f ca="1">C16</f>
        <v>0</v>
      </c>
      <c r="D6" s="1"/>
      <c r="E6" s="33"/>
      <c r="F6" s="12"/>
      <c r="G6" s="13"/>
      <c r="H6" s="2"/>
      <c r="I6" s="2"/>
      <c r="J6" s="1"/>
      <c r="K6" s="12"/>
      <c r="L6" s="3"/>
      <c r="M6" s="8"/>
      <c r="R6" s="61">
        <f>IF(vend25[[#This Row],[Nº Venda]]&gt;1,1,0)</f>
        <v>0</v>
      </c>
    </row>
    <row r="7" spans="2:18" ht="15.75" x14ac:dyDescent="0.25">
      <c r="B7" s="10" t="s">
        <v>3</v>
      </c>
      <c r="C7" s="11">
        <f>SUM(M6:M11)</f>
        <v>0</v>
      </c>
      <c r="D7" s="1"/>
      <c r="E7" s="33"/>
      <c r="F7" s="12"/>
      <c r="G7" s="13"/>
      <c r="H7" s="2"/>
      <c r="I7" s="2"/>
      <c r="J7" s="1"/>
      <c r="K7" s="12"/>
      <c r="L7" s="3"/>
      <c r="M7" s="8"/>
      <c r="R7" s="61">
        <f>IF(vend25[[#This Row],[Nº Venda]]&gt;1,1,0)</f>
        <v>0</v>
      </c>
    </row>
    <row r="8" spans="2:18" ht="15.75" x14ac:dyDescent="0.25">
      <c r="B8" s="15" t="s">
        <v>21</v>
      </c>
      <c r="C8" s="16">
        <f ca="1">SUM(C6:C7)</f>
        <v>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61">
        <f>IF(vend25[[#This Row],[Nº Venda]]&gt;1,1,0)</f>
        <v>0</v>
      </c>
    </row>
    <row r="9" spans="2:18" ht="15.75" x14ac:dyDescent="0.25">
      <c r="B9" s="1"/>
      <c r="C9" s="1"/>
      <c r="D9" s="1"/>
      <c r="E9" s="33"/>
      <c r="F9" s="12"/>
      <c r="G9" s="13"/>
      <c r="H9" s="2"/>
      <c r="I9" s="2"/>
      <c r="J9" s="1"/>
      <c r="K9" s="12"/>
      <c r="L9" s="3"/>
      <c r="M9" s="8"/>
      <c r="R9" s="61">
        <f>IF(vend25[[#This Row],[Nº Venda]]&gt;1,1,0)</f>
        <v>0</v>
      </c>
    </row>
    <row r="10" spans="2:18" ht="15.75" x14ac:dyDescent="0.25">
      <c r="B10" s="118" t="s">
        <v>5</v>
      </c>
      <c r="C10" s="118"/>
      <c r="D10" s="1"/>
      <c r="E10" s="33"/>
      <c r="F10" s="12"/>
      <c r="G10" s="13"/>
      <c r="H10" s="2"/>
      <c r="I10" s="2"/>
      <c r="J10" s="1"/>
      <c r="K10" s="12"/>
      <c r="L10" s="3"/>
      <c r="M10" s="8"/>
      <c r="R10" s="61">
        <f>IF(vend25[[#This Row],[Nº Venda]]&gt;1,1,0)</f>
        <v>0</v>
      </c>
    </row>
    <row r="11" spans="2:18" ht="15.75" x14ac:dyDescent="0.25">
      <c r="B11" s="17" t="s">
        <v>6</v>
      </c>
      <c r="C11" s="18">
        <f ca="1">(SUMIF($G$2:$G$31,B11,$I$2:$I$31))+(SUMIF($G$35:$G$41,B11,$H$36:$H$41))</f>
        <v>0</v>
      </c>
      <c r="D11" s="1"/>
      <c r="E11" s="33"/>
      <c r="F11" s="12"/>
      <c r="G11" s="13"/>
      <c r="H11" s="2"/>
      <c r="I11" s="2"/>
      <c r="J11" s="1"/>
      <c r="K11" s="14"/>
      <c r="L11" s="3"/>
      <c r="M11" s="8"/>
      <c r="O11" s="61">
        <f ca="1">IF(C16=0,0,1)</f>
        <v>0</v>
      </c>
      <c r="R11" s="61">
        <f>IF(vend25[[#This Row],[Nº Venda]]&gt;1,1,0)</f>
        <v>0</v>
      </c>
    </row>
    <row r="12" spans="2:18" ht="15.75" x14ac:dyDescent="0.25">
      <c r="B12" s="17" t="s">
        <v>7</v>
      </c>
      <c r="C12" s="18">
        <f ca="1">(SUMIF($G$2:$G$31,B12,$I$2:$I$31))+(SUMIF($G$35:$G$41,B12,$H$36:$H$41))</f>
        <v>0</v>
      </c>
      <c r="D12" s="1"/>
      <c r="E12" s="33"/>
      <c r="F12" s="12"/>
      <c r="G12" s="13"/>
      <c r="H12" s="2"/>
      <c r="I12" s="2"/>
      <c r="J12" s="1"/>
      <c r="R12" s="61">
        <f>IF(vend25[[#This Row],[Nº Venda]]&gt;1,1,0)</f>
        <v>0</v>
      </c>
    </row>
    <row r="13" spans="2:18" ht="15.75" x14ac:dyDescent="0.25">
      <c r="B13" s="17" t="s">
        <v>8</v>
      </c>
      <c r="C13" s="18">
        <f ca="1">(SUMIF($G$2:$G$31,B13,$I$2:$I$31))+(SUMIF($G$35:$G$41,B13,$H$36:$H$41))</f>
        <v>0</v>
      </c>
      <c r="D13" s="1"/>
      <c r="E13" s="70"/>
      <c r="F13" s="12"/>
      <c r="G13" s="13"/>
      <c r="H13" s="2"/>
      <c r="I13" s="2"/>
      <c r="J13" s="1"/>
      <c r="K13" s="120" t="s">
        <v>22</v>
      </c>
      <c r="L13" s="121"/>
      <c r="M13" s="122"/>
      <c r="R13" s="61">
        <f>IF(vend25[[#This Row],[Nº Venda]]&gt;1,1,0)</f>
        <v>0</v>
      </c>
    </row>
    <row r="14" spans="2:18" ht="15.75" x14ac:dyDescent="0.25">
      <c r="B14" s="17" t="s">
        <v>9</v>
      </c>
      <c r="C14" s="18">
        <f ca="1">(SUMIF($G$2:$G$31,B14,$I$2:$I$31))+(SUMIF($G$35:$G$41,B14,$H$36:$H$41))</f>
        <v>0</v>
      </c>
      <c r="D14" s="1"/>
      <c r="E14" s="70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61">
        <f>IF(vend25[[#This Row],[Nº Venda]]&gt;1,1,0)</f>
        <v>0</v>
      </c>
    </row>
    <row r="15" spans="2:18" ht="15.75" x14ac:dyDescent="0.25">
      <c r="B15" s="17" t="s">
        <v>10</v>
      </c>
      <c r="C15" s="18">
        <f ca="1">(SUMIF($G$2:$G$31,B15,$I$2:$I$31))+(SUMIF($G$35:$G$41,B15,$H$36:$H$41))</f>
        <v>0</v>
      </c>
      <c r="D15" s="1"/>
      <c r="E15" s="33"/>
      <c r="F15" s="12"/>
      <c r="G15" s="13"/>
      <c r="H15" s="2"/>
      <c r="I15" s="2"/>
      <c r="J15" s="1"/>
      <c r="K15" s="38"/>
      <c r="L15" s="3"/>
      <c r="M15" s="8"/>
      <c r="R15" s="61">
        <f>IF(vend25[[#This Row],[Nº Venda]]&gt;1,1,0)</f>
        <v>0</v>
      </c>
    </row>
    <row r="16" spans="2:18" ht="15.75" x14ac:dyDescent="0.25">
      <c r="B16" s="15" t="s">
        <v>11</v>
      </c>
      <c r="C16" s="19">
        <f ca="1">SUM(C11:C15)</f>
        <v>0</v>
      </c>
      <c r="D16" s="1"/>
      <c r="E16" s="33"/>
      <c r="F16" s="12"/>
      <c r="G16" s="13"/>
      <c r="H16" s="2"/>
      <c r="I16" s="2"/>
      <c r="J16" s="1"/>
      <c r="K16" s="38"/>
      <c r="L16" s="3"/>
      <c r="M16" s="8"/>
      <c r="R16" s="61">
        <f>IF(vend25[[#This Row],[Nº Venda]]&gt;1,1,0)</f>
        <v>0</v>
      </c>
    </row>
    <row r="17" spans="2:18" ht="15.75" x14ac:dyDescent="0.25">
      <c r="B17" s="1"/>
      <c r="C17" s="1"/>
      <c r="D17" s="1"/>
      <c r="E17" s="33"/>
      <c r="F17" s="12"/>
      <c r="G17" s="13"/>
      <c r="H17" s="2"/>
      <c r="I17" s="2"/>
      <c r="J17" s="1"/>
      <c r="K17" s="38"/>
      <c r="L17" s="3"/>
      <c r="M17" s="8"/>
      <c r="R17" s="61">
        <f>IF(vend25[[#This Row],[Nº Venda]]&gt;1,1,0)</f>
        <v>0</v>
      </c>
    </row>
    <row r="18" spans="2:18" ht="15.75" x14ac:dyDescent="0.25">
      <c r="B18" s="118" t="s">
        <v>12</v>
      </c>
      <c r="C18" s="118"/>
      <c r="D18" s="1"/>
      <c r="E18" s="33"/>
      <c r="F18" s="12"/>
      <c r="G18" s="13"/>
      <c r="H18" s="2"/>
      <c r="I18" s="2"/>
      <c r="J18" s="1"/>
      <c r="K18" s="38"/>
      <c r="L18" s="3"/>
      <c r="M18" s="8"/>
      <c r="R18" s="61">
        <f>IF(vend25[[#This Row],[Nº Venda]]&gt;1,1,0)</f>
        <v>0</v>
      </c>
    </row>
    <row r="19" spans="2:18" ht="15.75" x14ac:dyDescent="0.25">
      <c r="B19" s="17">
        <f>COUNT(entr_carn25[OS])</f>
        <v>0</v>
      </c>
      <c r="C19" s="18">
        <f>SUM(entr_carn25[Valor Total])</f>
        <v>0</v>
      </c>
      <c r="D19" s="1"/>
      <c r="E19" s="33"/>
      <c r="F19" s="12"/>
      <c r="G19" s="13"/>
      <c r="H19" s="2"/>
      <c r="I19" s="2"/>
      <c r="J19" s="1"/>
      <c r="K19" s="38"/>
      <c r="L19" s="3"/>
      <c r="M19" s="8"/>
      <c r="R19" s="61">
        <f>IF(vend25[[#This Row],[Nº Venda]]&gt;1,1,0)</f>
        <v>0</v>
      </c>
    </row>
    <row r="20" spans="2:18" ht="15.75" x14ac:dyDescent="0.25">
      <c r="B20" s="15" t="s">
        <v>11</v>
      </c>
      <c r="C20" s="19">
        <f>SUM(C19:C19)</f>
        <v>0</v>
      </c>
      <c r="D20" s="1"/>
      <c r="E20" s="33"/>
      <c r="F20" s="13"/>
      <c r="G20" s="13"/>
      <c r="H20" s="2"/>
      <c r="I20" s="2"/>
      <c r="J20" s="1"/>
      <c r="K20" s="38"/>
      <c r="L20" s="3"/>
      <c r="M20" s="8"/>
      <c r="R20" s="61">
        <f>IF(vend25[[#This Row],[Nº Venda]]&gt;1,1,0)</f>
        <v>0</v>
      </c>
    </row>
    <row r="21" spans="2:18" ht="15.75" x14ac:dyDescent="0.25">
      <c r="B21" s="105"/>
      <c r="C21" s="105"/>
      <c r="D21" s="1"/>
      <c r="E21" s="33"/>
      <c r="F21" s="12"/>
      <c r="G21" s="13"/>
      <c r="H21" s="2"/>
      <c r="I21" s="2"/>
      <c r="J21" s="1"/>
      <c r="K21" s="38"/>
      <c r="L21" s="3"/>
      <c r="M21" s="8"/>
    </row>
    <row r="22" spans="2:18" ht="15.75" x14ac:dyDescent="0.25">
      <c r="B22" s="15" t="s">
        <v>26</v>
      </c>
      <c r="C22" s="19">
        <f>C5</f>
        <v>0</v>
      </c>
      <c r="D22" s="1"/>
      <c r="E22" s="33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68"/>
      <c r="H23" s="69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.75" x14ac:dyDescent="0.25">
      <c r="B26" s="1"/>
      <c r="C26" s="1"/>
      <c r="D26" s="1"/>
      <c r="E26" s="33"/>
      <c r="F26" s="12"/>
      <c r="G26" s="13"/>
      <c r="H26" s="2"/>
      <c r="I26" s="2"/>
      <c r="J26" s="1"/>
      <c r="K26" s="38"/>
      <c r="L26" s="3"/>
      <c r="M26" s="8"/>
    </row>
    <row r="27" spans="2:18" ht="15.75" x14ac:dyDescent="0.25">
      <c r="B27" s="1"/>
      <c r="C27" s="1"/>
      <c r="D27" s="1"/>
      <c r="E27" s="33"/>
      <c r="F27" s="12"/>
      <c r="G27" s="13"/>
      <c r="H27" s="2"/>
      <c r="I27" s="2"/>
      <c r="J27" s="1"/>
      <c r="K27" s="38"/>
      <c r="L27" s="3"/>
      <c r="M27" s="8"/>
    </row>
    <row r="28" spans="2:18" ht="15.75" x14ac:dyDescent="0.25">
      <c r="B28" s="1"/>
      <c r="C28" s="1"/>
      <c r="D28" s="1"/>
      <c r="E28" s="33"/>
      <c r="F28" s="12"/>
      <c r="G28" s="13"/>
      <c r="H28" s="2"/>
      <c r="I28" s="2"/>
      <c r="J28" s="1"/>
      <c r="K28" s="38"/>
      <c r="L28" s="3"/>
      <c r="M28" s="8"/>
    </row>
    <row r="29" spans="2:18" ht="15.75" x14ac:dyDescent="0.25">
      <c r="B29" s="1"/>
      <c r="C29" s="1"/>
      <c r="D29" s="1"/>
      <c r="E29" s="33"/>
      <c r="F29" s="12"/>
      <c r="G29" s="13"/>
      <c r="H29" s="2"/>
      <c r="I29" s="2"/>
      <c r="J29" s="1"/>
      <c r="K29" s="38"/>
      <c r="L29" s="3"/>
      <c r="M29" s="8"/>
    </row>
    <row r="30" spans="2:18" ht="15.75" x14ac:dyDescent="0.25">
      <c r="B30" s="1"/>
      <c r="C30" s="1"/>
      <c r="D30" s="1"/>
      <c r="E30" s="33"/>
      <c r="F30" s="24"/>
      <c r="G30" s="13"/>
      <c r="H30" s="2"/>
      <c r="I30" s="2"/>
      <c r="J30" s="1"/>
      <c r="K30" s="38"/>
      <c r="L30" s="3"/>
      <c r="M30" s="8"/>
    </row>
    <row r="31" spans="2:18" ht="15.75" x14ac:dyDescent="0.25">
      <c r="B31" s="1"/>
      <c r="C31" s="1"/>
      <c r="D31" s="1"/>
      <c r="E31" s="34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68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2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30"/>
      <c r="I35" s="2"/>
      <c r="K35" s="38"/>
      <c r="L35" s="26"/>
      <c r="M35" s="8"/>
    </row>
    <row r="36" spans="2:18" ht="15.75" x14ac:dyDescent="0.25">
      <c r="E36" s="36"/>
      <c r="F36" s="12"/>
      <c r="G36" s="13"/>
      <c r="H36" s="2"/>
      <c r="I36" s="2"/>
      <c r="K36" s="38"/>
      <c r="L36" s="26"/>
      <c r="M36" s="8"/>
    </row>
    <row r="37" spans="2:18" ht="15.75" x14ac:dyDescent="0.25">
      <c r="E37" s="33"/>
      <c r="F37" s="12"/>
      <c r="G37" s="13"/>
      <c r="H37" s="2"/>
      <c r="I37" s="2"/>
      <c r="K37" s="38"/>
      <c r="L37" s="26"/>
      <c r="M37" s="8"/>
    </row>
    <row r="38" spans="2:18" ht="15.75" x14ac:dyDescent="0.25">
      <c r="E38" s="33"/>
      <c r="F38" s="12"/>
      <c r="G38" s="13"/>
      <c r="H38" s="2"/>
      <c r="I38" s="2"/>
      <c r="K38" s="38"/>
      <c r="L38" s="26"/>
      <c r="M38" s="8"/>
    </row>
    <row r="39" spans="2:18" ht="15.75" x14ac:dyDescent="0.25">
      <c r="E39" s="33"/>
      <c r="F39" s="24"/>
      <c r="G39" s="13"/>
      <c r="H39" s="2"/>
      <c r="I39" s="2"/>
      <c r="K39" s="38"/>
      <c r="L39" s="26"/>
      <c r="M39" s="8"/>
    </row>
    <row r="40" spans="2:18" ht="15.75" x14ac:dyDescent="0.25">
      <c r="E40" s="34"/>
      <c r="F40" s="21"/>
      <c r="G40" s="22"/>
      <c r="H40" s="9"/>
      <c r="I40" s="2"/>
      <c r="K40" s="39"/>
      <c r="L40" s="27"/>
      <c r="M40" s="25"/>
      <c r="Q40" s="61" t="s">
        <v>36</v>
      </c>
      <c r="R40" s="61">
        <f>SUM(R6:R21)</f>
        <v>0</v>
      </c>
    </row>
    <row r="41" spans="2:18" ht="15.75" x14ac:dyDescent="0.25">
      <c r="E41" s="3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3" zoomScale="90" zoomScaleNormal="90" workbookViewId="0">
      <selection activeCell="H13" sqref="H13"/>
    </sheetView>
  </sheetViews>
  <sheetFormatPr defaultColWidth="9.140625" defaultRowHeight="14.25" x14ac:dyDescent="0.2"/>
  <cols>
    <col min="1" max="1" width="0.42578125" style="40" customWidth="1"/>
    <col min="2" max="2" width="35.28515625" style="40" bestFit="1" customWidth="1"/>
    <col min="3" max="3" width="14" style="40" customWidth="1"/>
    <col min="4" max="4" width="0.1406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285156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42" x14ac:dyDescent="0.8">
      <c r="B1" s="116">
        <f>'25'!B1+1</f>
        <v>45652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615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721.21</v>
      </c>
      <c r="D6" s="1"/>
      <c r="E6" s="44">
        <v>1065</v>
      </c>
      <c r="F6" s="12" t="s">
        <v>174</v>
      </c>
      <c r="G6" s="13" t="s">
        <v>8</v>
      </c>
      <c r="H6" s="2">
        <v>40</v>
      </c>
      <c r="I6" s="2">
        <v>40</v>
      </c>
      <c r="J6" s="1"/>
      <c r="K6" s="12"/>
      <c r="L6" s="3"/>
      <c r="M6" s="8"/>
      <c r="R6" s="40">
        <f>IF(vend26[[#This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>
        <v>1066</v>
      </c>
      <c r="F7" s="12" t="s">
        <v>175</v>
      </c>
      <c r="G7" s="13" t="s">
        <v>8</v>
      </c>
      <c r="H7" s="2">
        <v>575</v>
      </c>
      <c r="I7" s="2">
        <v>350</v>
      </c>
      <c r="J7" s="1"/>
      <c r="K7" s="12"/>
      <c r="L7" s="3"/>
      <c r="M7" s="8"/>
      <c r="R7" s="40">
        <f>IF(vend26[[#This Row],[Nº Venda]]&gt;1,1,0)</f>
        <v>1</v>
      </c>
    </row>
    <row r="8" spans="2:18" ht="15" x14ac:dyDescent="0.25">
      <c r="B8" s="46" t="s">
        <v>21</v>
      </c>
      <c r="C8" s="47">
        <f>SUM(C6:C7)</f>
        <v>721.21</v>
      </c>
      <c r="D8" s="1"/>
      <c r="E8" s="44">
        <v>1066</v>
      </c>
      <c r="F8" s="12" t="s">
        <v>175</v>
      </c>
      <c r="G8" s="13" t="s">
        <v>6</v>
      </c>
      <c r="H8" s="2"/>
      <c r="I8" s="2">
        <v>50</v>
      </c>
      <c r="J8" s="1"/>
      <c r="K8" s="12"/>
      <c r="L8" s="3"/>
      <c r="M8" s="8"/>
      <c r="R8" s="40">
        <f>IF(vend26[[#This Row],[Nº Venda]]&gt;1,1,0)</f>
        <v>1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IF(vend26[[#This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IF(vend26[[#This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50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IF(vend26[[#This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IF(vend26[[#This Row],[Nº Venda]]&gt;1,1,0)</f>
        <v>0</v>
      </c>
    </row>
    <row r="13" spans="2:18" ht="15" x14ac:dyDescent="0.25">
      <c r="B13" s="17" t="s">
        <v>8</v>
      </c>
      <c r="C13" s="18">
        <f t="shared" si="0"/>
        <v>390</v>
      </c>
      <c r="D13" s="1"/>
      <c r="E13" s="78"/>
      <c r="F13" s="12"/>
      <c r="G13" s="13"/>
      <c r="H13" s="2" t="s">
        <v>177</v>
      </c>
      <c r="I13" s="2"/>
      <c r="J13" s="1"/>
      <c r="K13" s="120" t="s">
        <v>22</v>
      </c>
      <c r="L13" s="121"/>
      <c r="M13" s="122"/>
      <c r="R13" s="40">
        <f>IF(vend26[[#This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IF(vend26[[#This Row],[Nº Venda]]&gt;1,1,0)</f>
        <v>0</v>
      </c>
    </row>
    <row r="15" spans="2:18" ht="15" x14ac:dyDescent="0.25">
      <c r="B15" s="17" t="s">
        <v>10</v>
      </c>
      <c r="C15" s="18">
        <f t="shared" si="0"/>
        <v>281.21000000000004</v>
      </c>
      <c r="D15" s="1"/>
      <c r="E15" s="44"/>
      <c r="F15" s="12"/>
      <c r="G15" s="13"/>
      <c r="H15" s="2"/>
      <c r="I15" s="2"/>
      <c r="J15" s="1"/>
      <c r="K15" s="38">
        <v>1065</v>
      </c>
      <c r="L15" s="3" t="s">
        <v>140</v>
      </c>
      <c r="M15" s="8" t="s">
        <v>143</v>
      </c>
      <c r="R15" s="40">
        <f>IF(vend26[[#This Row],[Nº Venda]]&gt;1,1,0)</f>
        <v>0</v>
      </c>
    </row>
    <row r="16" spans="2:18" ht="15" x14ac:dyDescent="0.25">
      <c r="B16" s="46" t="s">
        <v>11</v>
      </c>
      <c r="C16" s="48">
        <f>SUM(C11:C15)</f>
        <v>721.21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IF(vend26[[#This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IF(vend26[[#This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IF(vend26[[#This Row],[Nº Venda]]&gt;1,1,0)</f>
        <v>0</v>
      </c>
    </row>
    <row r="19" spans="2:18" ht="15" x14ac:dyDescent="0.25">
      <c r="B19" s="17">
        <f>COUNT(entr_carn26[OS])</f>
        <v>0</v>
      </c>
      <c r="C19" s="18">
        <f>SUM(entr_carn26[Valor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IF(vend26[[#This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IF(vend26[[#This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615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>
        <v>1001</v>
      </c>
      <c r="F35" s="12" t="s">
        <v>173</v>
      </c>
      <c r="G35" s="13" t="s">
        <v>10</v>
      </c>
      <c r="H35" s="2">
        <v>233.33</v>
      </c>
      <c r="I35" s="2" t="s">
        <v>33</v>
      </c>
      <c r="K35" s="38"/>
      <c r="L35" s="26"/>
      <c r="M35" s="8"/>
    </row>
    <row r="36" spans="2:18" ht="15" x14ac:dyDescent="0.25">
      <c r="E36" s="81">
        <v>1033</v>
      </c>
      <c r="F36" s="12" t="s">
        <v>176</v>
      </c>
      <c r="G36" s="13" t="s">
        <v>10</v>
      </c>
      <c r="H36" s="2">
        <v>47.88</v>
      </c>
      <c r="I36" s="2" t="s">
        <v>39</v>
      </c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3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0" zoomScale="90" zoomScaleNormal="90" workbookViewId="0">
      <selection activeCell="M15" sqref="M15"/>
    </sheetView>
  </sheetViews>
  <sheetFormatPr defaultColWidth="9.140625" defaultRowHeight="14.25" x14ac:dyDescent="0.2"/>
  <cols>
    <col min="1" max="1" width="0.28515625" style="40" customWidth="1"/>
    <col min="2" max="2" width="35.28515625" style="40" bestFit="1" customWidth="1"/>
    <col min="3" max="3" width="14" style="40" customWidth="1"/>
    <col min="4" max="4" width="0.285156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425781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42" x14ac:dyDescent="0.8">
      <c r="B1" s="116">
        <f>'26'!B1+1</f>
        <v>45653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50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228.71</v>
      </c>
      <c r="D6" s="1"/>
      <c r="E6" s="44">
        <v>1067</v>
      </c>
      <c r="F6" s="12" t="s">
        <v>180</v>
      </c>
      <c r="G6" s="13" t="s">
        <v>7</v>
      </c>
      <c r="H6" s="2">
        <v>50</v>
      </c>
      <c r="I6" s="2">
        <v>50</v>
      </c>
      <c r="J6" s="1"/>
      <c r="K6" s="12"/>
      <c r="L6" s="3"/>
      <c r="M6" s="8"/>
      <c r="R6" s="40">
        <f>IF(vend27[[#This Row],[Nº Venda]]&gt;1,1,0)</f>
        <v>1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IF(vend27[[#This Row],[Nº Venda]]&gt;1,1,0)</f>
        <v>0</v>
      </c>
    </row>
    <row r="8" spans="2:18" ht="15" x14ac:dyDescent="0.25">
      <c r="B8" s="46" t="s">
        <v>21</v>
      </c>
      <c r="C8" s="47">
        <f>SUM(C6:C7)</f>
        <v>228.71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IF(vend27[[#This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IF(vend27[[#This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IF(vend27[[#This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178.71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IF(vend27[[#This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50</v>
      </c>
      <c r="D12" s="1"/>
      <c r="E12" s="44"/>
      <c r="F12" s="12"/>
      <c r="G12" s="13"/>
      <c r="H12" s="2"/>
      <c r="I12" s="2"/>
      <c r="J12" s="1"/>
      <c r="R12" s="40">
        <f>IF(vend27[[#This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IF(vend27[[#This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IF(vend27[[#This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>
        <v>1067</v>
      </c>
      <c r="L15" s="3" t="s">
        <v>140</v>
      </c>
      <c r="M15" s="8" t="s">
        <v>143</v>
      </c>
      <c r="R15" s="40">
        <f>IF(vend27[[#This Row],[Nº Venda]]&gt;1,1,0)</f>
        <v>0</v>
      </c>
    </row>
    <row r="16" spans="2:18" ht="15" x14ac:dyDescent="0.25">
      <c r="B16" s="46" t="s">
        <v>11</v>
      </c>
      <c r="C16" s="48">
        <f>SUM(C11:C15)</f>
        <v>228.71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IF(vend27[[#This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IF(vend27[[#This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IF(vend27[[#This Row],[Nº Venda]]&gt;1,1,0)</f>
        <v>0</v>
      </c>
    </row>
    <row r="19" spans="2:18" ht="15" x14ac:dyDescent="0.25">
      <c r="B19" s="17">
        <f>COUNT(entr_carn27[OS])</f>
        <v>0</v>
      </c>
      <c r="C19" s="18">
        <f>SUM(entr_carn27[Valor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IF(vend27[[#This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IF(vend27[[#This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50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>
        <v>926</v>
      </c>
      <c r="F35" s="12" t="s">
        <v>179</v>
      </c>
      <c r="G35" s="13" t="s">
        <v>6</v>
      </c>
      <c r="H35" s="2">
        <v>178.71</v>
      </c>
      <c r="I35" s="2" t="s">
        <v>61</v>
      </c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1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A1:R41"/>
  <sheetViews>
    <sheetView showGridLines="0" topLeftCell="B20" zoomScale="90" zoomScaleNormal="90" workbookViewId="0">
      <selection activeCell="I35" sqref="I35"/>
    </sheetView>
  </sheetViews>
  <sheetFormatPr defaultColWidth="9.140625" defaultRowHeight="14.25" x14ac:dyDescent="0.2"/>
  <cols>
    <col min="1" max="1" width="3.7109375" style="40" hidden="1" customWidth="1"/>
    <col min="2" max="2" width="35.28515625" style="40" bestFit="1" customWidth="1"/>
    <col min="3" max="3" width="14" style="40" customWidth="1"/>
    <col min="4" max="4" width="0.28515625" style="40" customWidth="1"/>
    <col min="5" max="5" width="15.5703125" style="41" customWidth="1"/>
    <col min="6" max="6" width="26.2851562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28515625" style="40" customWidth="1"/>
    <col min="11" max="11" width="21.7109375" style="43" customWidth="1"/>
    <col min="12" max="12" width="24.28515625" style="43" bestFit="1" customWidth="1"/>
    <col min="13" max="13" width="15.710937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42" x14ac:dyDescent="0.8">
      <c r="B1" s="116">
        <f>'27'!B1+1</f>
        <v>45654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112.25</v>
      </c>
      <c r="D6" s="1"/>
      <c r="E6" s="44"/>
      <c r="F6" s="12"/>
      <c r="G6" s="13"/>
      <c r="H6" s="2"/>
      <c r="I6" s="2"/>
      <c r="J6" s="1"/>
      <c r="K6" s="12" t="s">
        <v>151</v>
      </c>
      <c r="L6" s="3" t="s">
        <v>10</v>
      </c>
      <c r="M6" s="8">
        <v>13</v>
      </c>
      <c r="R6" s="40">
        <f>IF(vend28[[#This Row],[Nº Venda]]&gt;1,1,0)</f>
        <v>0</v>
      </c>
    </row>
    <row r="7" spans="2:18" ht="15" x14ac:dyDescent="0.25">
      <c r="B7" s="10" t="s">
        <v>3</v>
      </c>
      <c r="C7" s="11">
        <f>SUM(M6:M11)</f>
        <v>13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IF(vend28[[#This Row],[Nº Venda]]&gt;1,1,0)</f>
        <v>0</v>
      </c>
    </row>
    <row r="8" spans="2:18" ht="15" x14ac:dyDescent="0.25">
      <c r="B8" s="46" t="s">
        <v>21</v>
      </c>
      <c r="C8" s="47">
        <f>SUM(C6:C7)</f>
        <v>125.25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IF(vend28[[#This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IF(vend28[[#This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IF(vend28[[#This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112.25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IF(vend28[[#This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IF(vend28[[#This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IF(vend28[[#This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IF(vend28[[#This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/>
      <c r="L15" s="3"/>
      <c r="M15" s="8"/>
      <c r="R15" s="40">
        <f>IF(vend28[[#This Row],[Nº Venda]]&gt;1,1,0)</f>
        <v>0</v>
      </c>
    </row>
    <row r="16" spans="2:18" ht="15" x14ac:dyDescent="0.25">
      <c r="B16" s="46" t="s">
        <v>11</v>
      </c>
      <c r="C16" s="48">
        <f>SUM(C11:C15)</f>
        <v>112.25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IF(vend28[[#This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IF(vend28[[#This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IF(vend28[[#This Row],[Nº Venda]]&gt;1,1,0)</f>
        <v>0</v>
      </c>
    </row>
    <row r="19" spans="2:18" ht="15" x14ac:dyDescent="0.25">
      <c r="B19" s="17">
        <f>COUNT(entr_carn28[OS])</f>
        <v>0</v>
      </c>
      <c r="C19" s="18">
        <f>SUM(entr_carn28[Valor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IF(vend28[[#This Row],[Nº Venda]]&gt;1,1,0)</f>
        <v>0</v>
      </c>
    </row>
    <row r="20" spans="2:18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IF(vend28[[#This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>
        <v>966</v>
      </c>
      <c r="F35" s="12" t="s">
        <v>181</v>
      </c>
      <c r="G35" s="13" t="s">
        <v>6</v>
      </c>
      <c r="H35" s="2">
        <v>112.25</v>
      </c>
      <c r="I35" s="2" t="s">
        <v>57</v>
      </c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90" zoomScaleNormal="90" workbookViewId="0">
      <selection activeCell="D40" sqref="D40"/>
    </sheetView>
  </sheetViews>
  <sheetFormatPr defaultColWidth="9.140625" defaultRowHeight="12.75" x14ac:dyDescent="0.2"/>
  <cols>
    <col min="1" max="1" width="3.7109375" style="61" customWidth="1"/>
    <col min="2" max="2" width="35.28515625" style="61" bestFit="1" customWidth="1"/>
    <col min="3" max="3" width="14" style="61" customWidth="1"/>
    <col min="4" max="4" width="2.7109375" style="61" customWidth="1"/>
    <col min="5" max="5" width="15.5703125" style="62" customWidth="1"/>
    <col min="6" max="6" width="26.28515625" style="62" customWidth="1"/>
    <col min="7" max="7" width="17.28515625" style="62" customWidth="1"/>
    <col min="8" max="8" width="19.140625" style="63" customWidth="1"/>
    <col min="9" max="9" width="15.5703125" style="63" customWidth="1"/>
    <col min="10" max="10" width="2.7109375" style="61" customWidth="1"/>
    <col min="11" max="11" width="21.7109375" style="64" customWidth="1"/>
    <col min="12" max="12" width="24.28515625" style="64" bestFit="1" customWidth="1"/>
    <col min="13" max="13" width="15.7109375" style="64" customWidth="1"/>
    <col min="14" max="14" width="4.28515625" style="61" customWidth="1"/>
    <col min="15" max="15" width="2.140625" style="61" hidden="1" customWidth="1"/>
    <col min="16" max="16" width="9.140625" style="61" hidden="1" customWidth="1"/>
    <col min="17" max="17" width="11.42578125" style="61" hidden="1" customWidth="1"/>
    <col min="18" max="18" width="2.42578125" style="61" hidden="1" customWidth="1"/>
    <col min="19" max="20" width="0" style="61" hidden="1" customWidth="1"/>
    <col min="21" max="16384" width="9.140625" style="61"/>
  </cols>
  <sheetData>
    <row r="1" spans="2:18" ht="36.75" x14ac:dyDescent="0.7">
      <c r="B1" s="108">
        <f>'28'!B1+1</f>
        <v>45655</v>
      </c>
    </row>
    <row r="2" spans="2:18" ht="18.75" x14ac:dyDescent="0.2">
      <c r="B2" s="127" t="s">
        <v>13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9"/>
    </row>
    <row r="3" spans="2:18" ht="18.75" x14ac:dyDescent="0.2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.75" x14ac:dyDescent="0.25">
      <c r="B6" s="10" t="s">
        <v>2</v>
      </c>
      <c r="C6" s="11">
        <f>C16</f>
        <v>0</v>
      </c>
      <c r="D6" s="1"/>
      <c r="E6" s="33"/>
      <c r="F6" s="12"/>
      <c r="G6" s="13"/>
      <c r="H6" s="2"/>
      <c r="I6" s="2"/>
      <c r="J6" s="1"/>
      <c r="K6" s="12"/>
      <c r="L6" s="3"/>
      <c r="M6" s="8"/>
      <c r="R6" s="61">
        <f>IF(vend29[[#This Row],[Nº Venda]]&gt;1,1,0)</f>
        <v>0</v>
      </c>
    </row>
    <row r="7" spans="2:18" ht="15.75" x14ac:dyDescent="0.25">
      <c r="B7" s="10" t="s">
        <v>3</v>
      </c>
      <c r="C7" s="11">
        <f>SUM(M6:M11)</f>
        <v>0</v>
      </c>
      <c r="D7" s="1"/>
      <c r="E7" s="33"/>
      <c r="F7" s="12"/>
      <c r="G7" s="13"/>
      <c r="H7" s="2"/>
      <c r="I7" s="2"/>
      <c r="J7" s="1"/>
      <c r="K7" s="12"/>
      <c r="L7" s="3"/>
      <c r="M7" s="8"/>
      <c r="R7" s="61">
        <f>IF(vend29[[#This Row],[Nº Venda]]&gt;1,1,0)</f>
        <v>0</v>
      </c>
    </row>
    <row r="8" spans="2:18" ht="15.75" x14ac:dyDescent="0.25">
      <c r="B8" s="15" t="s">
        <v>21</v>
      </c>
      <c r="C8" s="16">
        <f>SUM(C6:C7)</f>
        <v>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61">
        <f>IF(vend29[[#This Row],[Nº Venda]]&gt;1,1,0)</f>
        <v>0</v>
      </c>
    </row>
    <row r="9" spans="2:18" ht="15.75" x14ac:dyDescent="0.25">
      <c r="B9" s="1"/>
      <c r="C9" s="1"/>
      <c r="D9" s="1"/>
      <c r="E9" s="33"/>
      <c r="F9" s="12"/>
      <c r="G9" s="13"/>
      <c r="H9" s="29"/>
      <c r="I9" s="2"/>
      <c r="J9" s="1"/>
      <c r="K9" s="12"/>
      <c r="L9" s="3"/>
      <c r="M9" s="8"/>
      <c r="R9" s="61">
        <f>IF(vend29[[#This Row],[Nº Venda]]&gt;1,1,0)</f>
        <v>0</v>
      </c>
    </row>
    <row r="10" spans="2:18" ht="15.75" x14ac:dyDescent="0.25">
      <c r="B10" s="118" t="s">
        <v>5</v>
      </c>
      <c r="C10" s="118"/>
      <c r="D10" s="1"/>
      <c r="E10" s="33"/>
      <c r="F10" s="12"/>
      <c r="G10" s="13"/>
      <c r="H10" s="2"/>
      <c r="I10" s="2"/>
      <c r="J10" s="1"/>
      <c r="K10" s="12"/>
      <c r="L10" s="3"/>
      <c r="M10" s="8"/>
      <c r="R10" s="61">
        <f>IF(vend29[[#This Row],[Nº Venda]]&gt;1,1,0)</f>
        <v>0</v>
      </c>
    </row>
    <row r="11" spans="2:18" ht="15.75" x14ac:dyDescent="0.25">
      <c r="B11" s="17" t="s">
        <v>6</v>
      </c>
      <c r="C11" s="18">
        <f>(SUMIF($G$2:$G$31,B11,$I$2:$I$31))+(SUMIF($G$35:$G$41,B11,$H$35:$H$41))</f>
        <v>0</v>
      </c>
      <c r="D11" s="1"/>
      <c r="E11" s="33"/>
      <c r="F11" s="12"/>
      <c r="G11" s="13"/>
      <c r="H11" s="2"/>
      <c r="I11" s="2"/>
      <c r="J11" s="1"/>
      <c r="K11" s="14"/>
      <c r="L11" s="3"/>
      <c r="M11" s="8"/>
      <c r="O11" s="61">
        <f>IF(C16=0,0,1)</f>
        <v>0</v>
      </c>
      <c r="R11" s="61">
        <f>IF(vend29[[#This Row],[Nº Venda]]&gt;1,1,0)</f>
        <v>0</v>
      </c>
    </row>
    <row r="12" spans="2:18" ht="15.7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33"/>
      <c r="F12" s="12"/>
      <c r="G12" s="13"/>
      <c r="H12" s="2"/>
      <c r="I12" s="2"/>
      <c r="J12" s="1"/>
      <c r="R12" s="61">
        <f>IF(vend29[[#This Row],[Nº Venda]]&gt;1,1,0)</f>
        <v>0</v>
      </c>
    </row>
    <row r="13" spans="2:18" ht="15.75" x14ac:dyDescent="0.25">
      <c r="B13" s="17" t="s">
        <v>8</v>
      </c>
      <c r="C13" s="18">
        <f t="shared" si="0"/>
        <v>0</v>
      </c>
      <c r="D13" s="1"/>
      <c r="E13" s="70"/>
      <c r="F13" s="12"/>
      <c r="G13" s="13"/>
      <c r="H13" s="2"/>
      <c r="I13" s="2"/>
      <c r="J13" s="1"/>
      <c r="K13" s="120" t="s">
        <v>22</v>
      </c>
      <c r="L13" s="121"/>
      <c r="M13" s="122"/>
      <c r="R13" s="61">
        <f>IF(vend29[[#This Row],[Nº Venda]]&gt;1,1,0)</f>
        <v>0</v>
      </c>
    </row>
    <row r="14" spans="2:18" ht="15.75" x14ac:dyDescent="0.25">
      <c r="B14" s="17" t="s">
        <v>9</v>
      </c>
      <c r="C14" s="18">
        <f t="shared" si="0"/>
        <v>0</v>
      </c>
      <c r="D14" s="1"/>
      <c r="E14" s="70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61">
        <f>IF(vend29[[#This Row],[Nº Venda]]&gt;1,1,0)</f>
        <v>0</v>
      </c>
    </row>
    <row r="15" spans="2:18" ht="15.75" x14ac:dyDescent="0.25">
      <c r="B15" s="17" t="s">
        <v>10</v>
      </c>
      <c r="C15" s="18">
        <f t="shared" si="0"/>
        <v>0</v>
      </c>
      <c r="D15" s="1"/>
      <c r="E15" s="33"/>
      <c r="F15" s="12"/>
      <c r="G15" s="13"/>
      <c r="H15" s="2"/>
      <c r="I15" s="2"/>
      <c r="J15" s="1"/>
      <c r="K15" s="38"/>
      <c r="L15" s="3"/>
      <c r="M15" s="8"/>
      <c r="R15" s="61">
        <f>IF(vend29[[#This Row],[Nº Venda]]&gt;1,1,0)</f>
        <v>0</v>
      </c>
    </row>
    <row r="16" spans="2:18" ht="15.75" x14ac:dyDescent="0.25">
      <c r="B16" s="15" t="s">
        <v>11</v>
      </c>
      <c r="C16" s="19">
        <f>SUM(C11:C15)</f>
        <v>0</v>
      </c>
      <c r="D16" s="1"/>
      <c r="E16" s="33"/>
      <c r="F16" s="12"/>
      <c r="G16" s="13"/>
      <c r="H16" s="2"/>
      <c r="I16" s="2"/>
      <c r="J16" s="1"/>
      <c r="K16" s="38"/>
      <c r="L16" s="3"/>
      <c r="M16" s="8"/>
      <c r="R16" s="61">
        <f>IF(vend29[[#This Row],[Nº Venda]]&gt;1,1,0)</f>
        <v>0</v>
      </c>
    </row>
    <row r="17" spans="2:18" ht="15.75" x14ac:dyDescent="0.25">
      <c r="B17" s="1"/>
      <c r="C17" s="1"/>
      <c r="D17" s="1"/>
      <c r="E17" s="33"/>
      <c r="F17" s="12"/>
      <c r="G17" s="13"/>
      <c r="H17" s="2"/>
      <c r="I17" s="2"/>
      <c r="J17" s="1"/>
      <c r="K17" s="38"/>
      <c r="L17" s="3"/>
      <c r="M17" s="8"/>
      <c r="R17" s="61">
        <f>IF(vend29[[#This Row],[Nº Venda]]&gt;1,1,0)</f>
        <v>0</v>
      </c>
    </row>
    <row r="18" spans="2:18" ht="15.75" x14ac:dyDescent="0.25">
      <c r="B18" s="118" t="s">
        <v>12</v>
      </c>
      <c r="C18" s="118"/>
      <c r="D18" s="1"/>
      <c r="E18" s="33"/>
      <c r="F18" s="12"/>
      <c r="G18" s="13"/>
      <c r="H18" s="2"/>
      <c r="I18" s="2"/>
      <c r="J18" s="1"/>
      <c r="K18" s="38"/>
      <c r="L18" s="3"/>
      <c r="M18" s="8"/>
      <c r="R18" s="61">
        <f>IF(vend29[[#This Row],[Nº Venda]]&gt;1,1,0)</f>
        <v>0</v>
      </c>
    </row>
    <row r="19" spans="2:18" ht="15.75" x14ac:dyDescent="0.25">
      <c r="B19" s="17">
        <f>COUNT(entr_carn29[OS])</f>
        <v>0</v>
      </c>
      <c r="C19" s="18">
        <f>SUM(entr_carn29[Valor Total])</f>
        <v>0</v>
      </c>
      <c r="D19" s="1"/>
      <c r="E19" s="33"/>
      <c r="F19" s="12"/>
      <c r="G19" s="13"/>
      <c r="H19" s="2"/>
      <c r="I19" s="2"/>
      <c r="J19" s="1"/>
      <c r="K19" s="38"/>
      <c r="L19" s="3"/>
      <c r="M19" s="8"/>
      <c r="R19" s="61">
        <f>IF(vend29[[#This Row],[Nº Venda]]&gt;1,1,0)</f>
        <v>0</v>
      </c>
    </row>
    <row r="20" spans="2:18" ht="15.75" x14ac:dyDescent="0.25">
      <c r="B20" s="15" t="s">
        <v>11</v>
      </c>
      <c r="C20" s="19">
        <f>SUM(C19:C19)</f>
        <v>0</v>
      </c>
      <c r="D20" s="1"/>
      <c r="E20" s="33"/>
      <c r="F20" s="13"/>
      <c r="G20" s="13"/>
      <c r="H20" s="2"/>
      <c r="I20" s="2"/>
      <c r="J20" s="1"/>
      <c r="K20" s="38"/>
      <c r="L20" s="3"/>
      <c r="M20" s="8"/>
      <c r="R20" s="61">
        <f>IF(vend29[[#This Row],[Nº Venda]]&gt;1,1,0)</f>
        <v>0</v>
      </c>
    </row>
    <row r="21" spans="2:18" ht="15.75" x14ac:dyDescent="0.25">
      <c r="B21" s="105"/>
      <c r="C21" s="105"/>
      <c r="D21" s="1"/>
      <c r="E21" s="33"/>
      <c r="F21" s="12"/>
      <c r="G21" s="13"/>
      <c r="H21" s="2"/>
      <c r="I21" s="2"/>
      <c r="J21" s="1"/>
      <c r="K21" s="38"/>
      <c r="L21" s="3"/>
      <c r="M21" s="8"/>
    </row>
    <row r="22" spans="2:18" ht="15.75" x14ac:dyDescent="0.25">
      <c r="B22" s="15" t="s">
        <v>26</v>
      </c>
      <c r="C22" s="19">
        <f>C5</f>
        <v>0</v>
      </c>
      <c r="D22" s="1"/>
      <c r="E22" s="33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68"/>
      <c r="H23" s="69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.75" x14ac:dyDescent="0.25">
      <c r="B26" s="1"/>
      <c r="C26" s="1"/>
      <c r="D26" s="1"/>
      <c r="E26" s="33"/>
      <c r="F26" s="12"/>
      <c r="G26" s="13"/>
      <c r="H26" s="2"/>
      <c r="I26" s="2"/>
      <c r="J26" s="1"/>
      <c r="K26" s="38"/>
      <c r="L26" s="3"/>
      <c r="M26" s="8"/>
    </row>
    <row r="27" spans="2:18" ht="15.75" x14ac:dyDescent="0.25">
      <c r="B27" s="1"/>
      <c r="C27" s="1"/>
      <c r="D27" s="1"/>
      <c r="E27" s="33"/>
      <c r="F27" s="12"/>
      <c r="G27" s="13"/>
      <c r="H27" s="2"/>
      <c r="I27" s="2"/>
      <c r="J27" s="1"/>
      <c r="K27" s="38"/>
      <c r="L27" s="3"/>
      <c r="M27" s="8"/>
    </row>
    <row r="28" spans="2:18" ht="15.75" x14ac:dyDescent="0.25">
      <c r="B28" s="1"/>
      <c r="C28" s="1"/>
      <c r="D28" s="1"/>
      <c r="E28" s="33"/>
      <c r="F28" s="12"/>
      <c r="G28" s="13"/>
      <c r="H28" s="2"/>
      <c r="I28" s="2"/>
      <c r="J28" s="1"/>
      <c r="K28" s="38"/>
      <c r="L28" s="3"/>
      <c r="M28" s="8"/>
    </row>
    <row r="29" spans="2:18" ht="15.75" x14ac:dyDescent="0.25">
      <c r="B29" s="1"/>
      <c r="C29" s="1"/>
      <c r="D29" s="1"/>
      <c r="E29" s="33"/>
      <c r="F29" s="12"/>
      <c r="G29" s="13"/>
      <c r="H29" s="2"/>
      <c r="I29" s="2"/>
      <c r="J29" s="1"/>
      <c r="K29" s="38"/>
      <c r="L29" s="3"/>
      <c r="M29" s="8"/>
    </row>
    <row r="30" spans="2:18" ht="15.75" x14ac:dyDescent="0.25">
      <c r="B30" s="1"/>
      <c r="C30" s="1"/>
      <c r="D30" s="1"/>
      <c r="E30" s="33"/>
      <c r="F30" s="24"/>
      <c r="G30" s="13"/>
      <c r="H30" s="2"/>
      <c r="I30" s="2"/>
      <c r="J30" s="1"/>
      <c r="K30" s="38"/>
      <c r="L30" s="3"/>
      <c r="M30" s="8"/>
    </row>
    <row r="31" spans="2:18" ht="15.75" x14ac:dyDescent="0.25">
      <c r="B31" s="1"/>
      <c r="C31" s="1"/>
      <c r="D31" s="1"/>
      <c r="E31" s="34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68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2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.75" x14ac:dyDescent="0.25">
      <c r="E36" s="36"/>
      <c r="F36" s="12"/>
      <c r="G36" s="13"/>
      <c r="H36" s="2"/>
      <c r="I36" s="2"/>
      <c r="K36" s="38"/>
      <c r="L36" s="26"/>
      <c r="M36" s="8"/>
    </row>
    <row r="37" spans="2:18" ht="15.75" x14ac:dyDescent="0.25">
      <c r="E37" s="33"/>
      <c r="F37" s="12"/>
      <c r="G37" s="13"/>
      <c r="H37" s="2"/>
      <c r="I37" s="2"/>
      <c r="K37" s="38"/>
      <c r="L37" s="26"/>
      <c r="M37" s="8"/>
    </row>
    <row r="38" spans="2:18" ht="15.75" x14ac:dyDescent="0.25">
      <c r="E38" s="33"/>
      <c r="F38" s="12"/>
      <c r="G38" s="13"/>
      <c r="H38" s="2"/>
      <c r="I38" s="2"/>
      <c r="K38" s="38"/>
      <c r="L38" s="26"/>
      <c r="M38" s="8"/>
    </row>
    <row r="39" spans="2:18" ht="15.75" x14ac:dyDescent="0.25">
      <c r="E39" s="33"/>
      <c r="F39" s="24"/>
      <c r="G39" s="13"/>
      <c r="H39" s="2"/>
      <c r="I39" s="2"/>
      <c r="K39" s="38"/>
      <c r="L39" s="26"/>
      <c r="M39" s="8"/>
    </row>
    <row r="40" spans="2:18" ht="15.75" x14ac:dyDescent="0.25">
      <c r="E40" s="34"/>
      <c r="F40" s="21"/>
      <c r="G40" s="22"/>
      <c r="H40" s="9"/>
      <c r="I40" s="2"/>
      <c r="K40" s="39"/>
      <c r="L40" s="27"/>
      <c r="M40" s="25"/>
      <c r="Q40" s="61" t="s">
        <v>36</v>
      </c>
      <c r="R40" s="61">
        <f>SUM(R6:R21)</f>
        <v>0</v>
      </c>
    </row>
    <row r="41" spans="2:18" ht="15.75" x14ac:dyDescent="0.25">
      <c r="E41" s="3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5" zoomScale="90" zoomScaleNormal="90" workbookViewId="0">
      <selection activeCell="H30" sqref="H30"/>
    </sheetView>
  </sheetViews>
  <sheetFormatPr defaultColWidth="9.140625" defaultRowHeight="14.25" x14ac:dyDescent="0.2"/>
  <cols>
    <col min="1" max="1" width="0.42578125" style="40" customWidth="1"/>
    <col min="2" max="2" width="35.28515625" style="40" bestFit="1" customWidth="1"/>
    <col min="3" max="3" width="11.28515625" style="40" customWidth="1"/>
    <col min="4" max="4" width="0.28515625" style="40" hidden="1" customWidth="1"/>
    <col min="5" max="5" width="11.140625" style="41" customWidth="1"/>
    <col min="6" max="6" width="23.7109375" style="41" customWidth="1"/>
    <col min="7" max="7" width="17.28515625" style="41" customWidth="1"/>
    <col min="8" max="8" width="19.140625" style="42" customWidth="1"/>
    <col min="9" max="9" width="15.5703125" style="42" customWidth="1"/>
    <col min="10" max="10" width="0.28515625" style="40" customWidth="1"/>
    <col min="11" max="11" width="17.85546875" style="43" customWidth="1"/>
    <col min="12" max="12" width="19.42578125" style="43" customWidth="1"/>
    <col min="13" max="13" width="10.140625" style="43" customWidth="1"/>
    <col min="14" max="14" width="4.28515625" style="40" customWidth="1"/>
    <col min="15" max="15" width="2.140625" style="40" hidden="1" customWidth="1"/>
    <col min="16" max="16" width="9.140625" style="40" hidden="1" customWidth="1"/>
    <col min="17" max="17" width="11.42578125" style="40" hidden="1" customWidth="1"/>
    <col min="18" max="18" width="2.42578125" style="40" hidden="1" customWidth="1"/>
    <col min="19" max="20" width="0" style="40" hidden="1" customWidth="1"/>
    <col min="21" max="16384" width="9.140625" style="40"/>
  </cols>
  <sheetData>
    <row r="1" spans="2:18" ht="42" x14ac:dyDescent="0.8">
      <c r="B1" s="116">
        <f>'29'!B1+1</f>
        <v>45656</v>
      </c>
    </row>
    <row r="2" spans="2:18" ht="15" x14ac:dyDescent="0.2">
      <c r="B2" s="123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5"/>
    </row>
    <row r="3" spans="2:18" ht="15" x14ac:dyDescent="0.2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402.02</v>
      </c>
      <c r="D6" s="1"/>
      <c r="E6" s="44"/>
      <c r="F6" s="12"/>
      <c r="G6" s="13"/>
      <c r="H6" s="2"/>
      <c r="I6" s="2"/>
      <c r="J6" s="1"/>
      <c r="K6" s="12"/>
      <c r="L6" s="3"/>
      <c r="M6" s="8"/>
      <c r="R6" s="40">
        <f>IF(vend30[[#This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40">
        <f>IF(vend30[[#This Row],[Nº Venda]]&gt;1,1,0)</f>
        <v>0</v>
      </c>
    </row>
    <row r="8" spans="2:18" ht="15" x14ac:dyDescent="0.25">
      <c r="B8" s="46" t="s">
        <v>21</v>
      </c>
      <c r="C8" s="47">
        <f>SUM(C6:C7)</f>
        <v>402.02</v>
      </c>
      <c r="D8" s="1"/>
      <c r="E8" s="44"/>
      <c r="F8" s="12"/>
      <c r="G8" s="13"/>
      <c r="H8" s="2"/>
      <c r="I8" s="2"/>
      <c r="J8" s="1"/>
      <c r="K8" s="12"/>
      <c r="L8" s="3"/>
      <c r="M8" s="8"/>
      <c r="R8" s="40">
        <f>IF(vend30[[#This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40">
        <f>IF(vend30[[#This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40">
        <f>IF(vend30[[#This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312.12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40">
        <f>IF(C16=0,0,1)</f>
        <v>1</v>
      </c>
      <c r="R11" s="40">
        <f>IF(vend30[[#This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40">
        <f>IF(vend30[[#This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78"/>
      <c r="F13" s="12"/>
      <c r="G13" s="13"/>
      <c r="H13" s="2"/>
      <c r="I13" s="2"/>
      <c r="J13" s="1"/>
      <c r="K13" s="120" t="s">
        <v>22</v>
      </c>
      <c r="L13" s="121"/>
      <c r="M13" s="122"/>
      <c r="R13" s="40">
        <f>IF(vend30[[#This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78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40">
        <f>IF(vend30[[#This Row],[Nº Venda]]&gt;1,1,0)</f>
        <v>0</v>
      </c>
    </row>
    <row r="15" spans="2:18" ht="15" x14ac:dyDescent="0.25">
      <c r="B15" s="17" t="s">
        <v>10</v>
      </c>
      <c r="C15" s="18">
        <f t="shared" si="0"/>
        <v>89.9</v>
      </c>
      <c r="D15" s="1"/>
      <c r="E15" s="44"/>
      <c r="F15" s="12"/>
      <c r="G15" s="13"/>
      <c r="H15" s="2"/>
      <c r="I15" s="2"/>
      <c r="J15" s="1"/>
      <c r="K15" s="38">
        <v>1062</v>
      </c>
      <c r="L15" s="3" t="s">
        <v>140</v>
      </c>
      <c r="M15" s="8" t="s">
        <v>143</v>
      </c>
      <c r="R15" s="40">
        <f>IF(vend30[[#This Row],[Nº Venda]]&gt;1,1,0)</f>
        <v>0</v>
      </c>
    </row>
    <row r="16" spans="2:18" ht="15" x14ac:dyDescent="0.25">
      <c r="B16" s="46" t="s">
        <v>11</v>
      </c>
      <c r="C16" s="48">
        <f>SUM(C11:C15)</f>
        <v>402.02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40">
        <f>IF(vend30[[#This Row],[Nº Venda]]&gt;1,1,0)</f>
        <v>0</v>
      </c>
    </row>
    <row r="17" spans="2:22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40">
        <f>IF(vend30[[#This Row],[Nº Venda]]&gt;1,1,0)</f>
        <v>0</v>
      </c>
    </row>
    <row r="18" spans="2:22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40">
        <f>IF(vend30[[#This Row],[Nº Venda]]&gt;1,1,0)</f>
        <v>0</v>
      </c>
    </row>
    <row r="19" spans="2:22" ht="15" x14ac:dyDescent="0.25">
      <c r="B19" s="17">
        <f>COUNT(entr_carn30[OS])</f>
        <v>0</v>
      </c>
      <c r="C19" s="18">
        <f>SUM(entr_carn30[Valor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40">
        <f>IF(vend30[[#This Row],[Nº Venda]]&gt;1,1,0)</f>
        <v>0</v>
      </c>
    </row>
    <row r="20" spans="2:22" ht="15" x14ac:dyDescent="0.25">
      <c r="B20" s="46" t="s">
        <v>11</v>
      </c>
      <c r="C20" s="48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40">
        <f>IF(vend30[[#This Row],[Nº Venda]]&gt;1,1,0)</f>
        <v>0</v>
      </c>
    </row>
    <row r="21" spans="2:22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  <c r="V21" s="40" t="s">
        <v>126</v>
      </c>
    </row>
    <row r="22" spans="2:22" ht="15" x14ac:dyDescent="0.25">
      <c r="B22" s="46" t="s">
        <v>26</v>
      </c>
      <c r="C22" s="48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22" ht="15" x14ac:dyDescent="0.25">
      <c r="B23" s="1"/>
      <c r="C23" s="1"/>
      <c r="D23" s="1"/>
      <c r="E23" s="49"/>
      <c r="H23" s="50"/>
      <c r="J23" s="1"/>
      <c r="K23" s="38"/>
      <c r="L23" s="3"/>
      <c r="M23" s="8"/>
    </row>
    <row r="24" spans="2:22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22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22" ht="15" x14ac:dyDescent="0.25">
      <c r="B26" s="1"/>
      <c r="C26" s="1"/>
      <c r="D26" s="1"/>
      <c r="E26" s="44">
        <v>1066</v>
      </c>
      <c r="F26" s="12" t="s">
        <v>175</v>
      </c>
      <c r="G26" s="13" t="s">
        <v>6</v>
      </c>
      <c r="H26" s="2"/>
      <c r="I26" s="2">
        <v>100</v>
      </c>
      <c r="J26" s="1"/>
      <c r="K26" s="38"/>
      <c r="L26" s="3"/>
      <c r="M26" s="8"/>
    </row>
    <row r="27" spans="2:22" ht="15" x14ac:dyDescent="0.25">
      <c r="B27" s="1"/>
      <c r="C27" s="1"/>
      <c r="D27" s="1"/>
      <c r="E27" s="81">
        <v>1027</v>
      </c>
      <c r="F27" s="12" t="s">
        <v>183</v>
      </c>
      <c r="G27" s="13" t="s">
        <v>10</v>
      </c>
      <c r="H27" s="2">
        <v>0</v>
      </c>
      <c r="I27" s="2">
        <v>89.9</v>
      </c>
      <c r="J27" s="1"/>
      <c r="K27" s="38"/>
      <c r="L27" s="3"/>
      <c r="M27" s="8"/>
    </row>
    <row r="28" spans="2:22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22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22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22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22" ht="15" x14ac:dyDescent="0.25">
      <c r="B32" s="1"/>
      <c r="C32" s="1"/>
      <c r="E32" s="49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0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>
        <v>953</v>
      </c>
      <c r="F35" s="12" t="s">
        <v>182</v>
      </c>
      <c r="G35" s="13" t="s">
        <v>6</v>
      </c>
      <c r="H35" s="2">
        <v>212.12</v>
      </c>
      <c r="I35" s="2" t="s">
        <v>56</v>
      </c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40" t="s">
        <v>36</v>
      </c>
      <c r="R40" s="40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G35:G41 G26:G31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K15:K31 E35:E41 K35:K41 E26:E31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90" zoomScaleNormal="90" workbookViewId="0">
      <selection activeCell="F26" sqref="F26"/>
    </sheetView>
  </sheetViews>
  <sheetFormatPr defaultColWidth="9.140625" defaultRowHeight="12.75" x14ac:dyDescent="0.2"/>
  <cols>
    <col min="1" max="1" width="0.5703125" style="61" customWidth="1"/>
    <col min="2" max="2" width="35.28515625" style="61" bestFit="1" customWidth="1"/>
    <col min="3" max="3" width="14" style="61" customWidth="1"/>
    <col min="4" max="4" width="0.42578125" style="61" customWidth="1"/>
    <col min="5" max="5" width="15.5703125" style="62" customWidth="1"/>
    <col min="6" max="6" width="26.28515625" style="62" customWidth="1"/>
    <col min="7" max="7" width="17.28515625" style="62" customWidth="1"/>
    <col min="8" max="8" width="19.140625" style="63" customWidth="1"/>
    <col min="9" max="9" width="15.5703125" style="63" customWidth="1"/>
    <col min="10" max="10" width="2.7109375" style="61" customWidth="1"/>
    <col min="11" max="11" width="21.7109375" style="64" customWidth="1"/>
    <col min="12" max="12" width="24.28515625" style="64" bestFit="1" customWidth="1"/>
    <col min="13" max="13" width="15.7109375" style="64" customWidth="1"/>
    <col min="14" max="14" width="4.28515625" style="61" customWidth="1"/>
    <col min="15" max="15" width="2.140625" style="61" hidden="1" customWidth="1"/>
    <col min="16" max="16" width="9.140625" style="61" hidden="1" customWidth="1"/>
    <col min="17" max="17" width="11.42578125" style="61" hidden="1" customWidth="1"/>
    <col min="18" max="18" width="2.42578125" style="61" hidden="1" customWidth="1"/>
    <col min="19" max="20" width="0" style="61" hidden="1" customWidth="1"/>
    <col min="21" max="16384" width="9.140625" style="61"/>
  </cols>
  <sheetData>
    <row r="1" spans="2:18" ht="36.75" x14ac:dyDescent="0.7">
      <c r="B1" s="108">
        <f>'30'!B1+1</f>
        <v>45657</v>
      </c>
    </row>
    <row r="2" spans="2:18" ht="18.75" x14ac:dyDescent="0.2">
      <c r="B2" s="127" t="s">
        <v>13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9"/>
    </row>
    <row r="3" spans="2:18" ht="18.75" x14ac:dyDescent="0.2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2:18" ht="15" x14ac:dyDescent="0.25">
      <c r="B4" s="59" t="s">
        <v>0</v>
      </c>
      <c r="C4" s="106">
        <v>0</v>
      </c>
      <c r="D4" s="60"/>
      <c r="E4" s="126" t="s">
        <v>1</v>
      </c>
      <c r="F4" s="126"/>
      <c r="G4" s="126"/>
      <c r="H4" s="126"/>
      <c r="I4" s="126"/>
      <c r="J4" s="1"/>
      <c r="K4" s="120" t="s">
        <v>3</v>
      </c>
      <c r="L4" s="121"/>
      <c r="M4" s="122"/>
    </row>
    <row r="5" spans="2:18" ht="15" x14ac:dyDescent="0.25">
      <c r="B5" s="10" t="s">
        <v>1</v>
      </c>
      <c r="C5" s="11">
        <f>SUMIF(I6:I31,"&gt;0",H6:H31)</f>
        <v>0</v>
      </c>
      <c r="D5" s="1"/>
      <c r="E5" s="4" t="s">
        <v>14</v>
      </c>
      <c r="F5" s="4" t="s">
        <v>15</v>
      </c>
      <c r="G5" s="5" t="s">
        <v>16</v>
      </c>
      <c r="H5" s="6" t="s">
        <v>17</v>
      </c>
      <c r="I5" s="7" t="s">
        <v>2</v>
      </c>
      <c r="J5" s="1"/>
      <c r="K5" s="113" t="s">
        <v>18</v>
      </c>
      <c r="L5" s="114" t="s">
        <v>19</v>
      </c>
      <c r="M5" s="115" t="s">
        <v>20</v>
      </c>
    </row>
    <row r="6" spans="2:18" ht="15" x14ac:dyDescent="0.25">
      <c r="B6" s="10" t="s">
        <v>2</v>
      </c>
      <c r="C6" s="11">
        <f>C16</f>
        <v>0</v>
      </c>
      <c r="D6" s="1"/>
      <c r="E6" s="44"/>
      <c r="F6" s="12"/>
      <c r="G6" s="13"/>
      <c r="H6" s="2"/>
      <c r="I6" s="2"/>
      <c r="J6" s="1"/>
      <c r="K6" s="12"/>
      <c r="L6" s="3"/>
      <c r="M6" s="8"/>
      <c r="R6" s="61">
        <f>IF(vend31[[#This Row],[Nº Venda]]&gt;1,1,0)</f>
        <v>0</v>
      </c>
    </row>
    <row r="7" spans="2:18" ht="15" x14ac:dyDescent="0.25">
      <c r="B7" s="10" t="s">
        <v>3</v>
      </c>
      <c r="C7" s="11">
        <f>SUM(M6:M11)</f>
        <v>0</v>
      </c>
      <c r="D7" s="1"/>
      <c r="E7" s="44"/>
      <c r="F7" s="12"/>
      <c r="G7" s="13"/>
      <c r="H7" s="2"/>
      <c r="I7" s="2"/>
      <c r="J7" s="1"/>
      <c r="K7" s="12"/>
      <c r="L7" s="3"/>
      <c r="M7" s="8"/>
      <c r="R7" s="61">
        <f>IF(vend31[[#This Row],[Nº Venda]]&gt;1,1,0)</f>
        <v>0</v>
      </c>
    </row>
    <row r="8" spans="2:18" ht="15.75" x14ac:dyDescent="0.25">
      <c r="B8" s="15" t="s">
        <v>21</v>
      </c>
      <c r="C8" s="16">
        <f>SUM(C6:C7)</f>
        <v>0</v>
      </c>
      <c r="D8" s="1"/>
      <c r="E8" s="44"/>
      <c r="F8" s="12"/>
      <c r="G8" s="13"/>
      <c r="H8" s="2"/>
      <c r="I8" s="2"/>
      <c r="J8" s="1"/>
      <c r="K8" s="12"/>
      <c r="L8" s="3"/>
      <c r="M8" s="8"/>
      <c r="R8" s="61">
        <f>IF(vend31[[#This Row],[Nº Venda]]&gt;1,1,0)</f>
        <v>0</v>
      </c>
    </row>
    <row r="9" spans="2:18" ht="15" x14ac:dyDescent="0.25">
      <c r="B9" s="1"/>
      <c r="C9" s="1"/>
      <c r="D9" s="1"/>
      <c r="E9" s="44"/>
      <c r="F9" s="12"/>
      <c r="G9" s="13"/>
      <c r="H9" s="2"/>
      <c r="I9" s="2"/>
      <c r="J9" s="1"/>
      <c r="K9" s="12"/>
      <c r="L9" s="3"/>
      <c r="M9" s="8"/>
      <c r="R9" s="61">
        <f>IF(vend31[[#This Row],[Nº Venda]]&gt;1,1,0)</f>
        <v>0</v>
      </c>
    </row>
    <row r="10" spans="2:18" ht="15" x14ac:dyDescent="0.25">
      <c r="B10" s="118" t="s">
        <v>5</v>
      </c>
      <c r="C10" s="118"/>
      <c r="D10" s="1"/>
      <c r="E10" s="44"/>
      <c r="F10" s="12"/>
      <c r="G10" s="13"/>
      <c r="H10" s="2"/>
      <c r="I10" s="2"/>
      <c r="J10" s="1"/>
      <c r="K10" s="12"/>
      <c r="L10" s="3"/>
      <c r="M10" s="8"/>
      <c r="R10" s="61">
        <f>IF(vend31[[#This Row],[Nº Venda]]&gt;1,1,0)</f>
        <v>0</v>
      </c>
    </row>
    <row r="11" spans="2:18" ht="15" x14ac:dyDescent="0.25">
      <c r="B11" s="17" t="s">
        <v>6</v>
      </c>
      <c r="C11" s="18">
        <f>(SUMIF($G$2:$G$31,B11,$I$2:$I$31))+(SUMIF($G$35:$G$41,B11,$H$35:$H$41))</f>
        <v>0</v>
      </c>
      <c r="D11" s="1"/>
      <c r="E11" s="44"/>
      <c r="F11" s="12"/>
      <c r="G11" s="13"/>
      <c r="H11" s="2"/>
      <c r="I11" s="2"/>
      <c r="J11" s="1"/>
      <c r="K11" s="14"/>
      <c r="L11" s="3"/>
      <c r="M11" s="8"/>
      <c r="O11" s="61">
        <f>IF(C16=0,0,1)</f>
        <v>0</v>
      </c>
      <c r="R11" s="61">
        <f>IF(vend31[[#This Row],[Nº Venda]]&gt;1,1,0)</f>
        <v>0</v>
      </c>
    </row>
    <row r="12" spans="2:18" ht="15" x14ac:dyDescent="0.25">
      <c r="B12" s="17" t="s">
        <v>7</v>
      </c>
      <c r="C12" s="18">
        <f t="shared" ref="C12:C15" si="0">(SUMIF($G$2:$G$31,B12,$I$2:$I$31))+(SUMIF($G$35:$G$41,B12,$H$35:$H$41))</f>
        <v>0</v>
      </c>
      <c r="D12" s="1"/>
      <c r="E12" s="44"/>
      <c r="F12" s="12"/>
      <c r="G12" s="13"/>
      <c r="H12" s="2"/>
      <c r="I12" s="2"/>
      <c r="J12" s="1"/>
      <c r="R12" s="61">
        <f>IF(vend31[[#This Row],[Nº Venda]]&gt;1,1,0)</f>
        <v>0</v>
      </c>
    </row>
    <row r="13" spans="2:18" ht="15" x14ac:dyDescent="0.25">
      <c r="B13" s="17" t="s">
        <v>8</v>
      </c>
      <c r="C13" s="18">
        <f t="shared" si="0"/>
        <v>0</v>
      </c>
      <c r="D13" s="1"/>
      <c r="E13" s="44"/>
      <c r="F13" s="12"/>
      <c r="G13" s="13"/>
      <c r="H13" s="2"/>
      <c r="I13" s="2"/>
      <c r="J13" s="1"/>
      <c r="K13" s="120" t="s">
        <v>22</v>
      </c>
      <c r="L13" s="121"/>
      <c r="M13" s="122"/>
      <c r="R13" s="61">
        <f>IF(vend31[[#This Row],[Nº Venda]]&gt;1,1,0)</f>
        <v>0</v>
      </c>
    </row>
    <row r="14" spans="2:18" ht="15" x14ac:dyDescent="0.25">
      <c r="B14" s="17" t="s">
        <v>9</v>
      </c>
      <c r="C14" s="18">
        <f t="shared" si="0"/>
        <v>0</v>
      </c>
      <c r="D14" s="1"/>
      <c r="E14" s="44"/>
      <c r="F14" s="12"/>
      <c r="G14" s="13"/>
      <c r="H14" s="2"/>
      <c r="I14" s="2"/>
      <c r="J14" s="1"/>
      <c r="K14" s="113" t="s">
        <v>23</v>
      </c>
      <c r="L14" s="114" t="s">
        <v>24</v>
      </c>
      <c r="M14" s="115" t="s">
        <v>25</v>
      </c>
      <c r="R14" s="61">
        <f>IF(vend31[[#This Row],[Nº Venda]]&gt;1,1,0)</f>
        <v>0</v>
      </c>
    </row>
    <row r="15" spans="2:18" ht="15" x14ac:dyDescent="0.25">
      <c r="B15" s="17" t="s">
        <v>10</v>
      </c>
      <c r="C15" s="18">
        <f t="shared" si="0"/>
        <v>0</v>
      </c>
      <c r="D15" s="1"/>
      <c r="E15" s="44"/>
      <c r="F15" s="12"/>
      <c r="G15" s="13"/>
      <c r="H15" s="2"/>
      <c r="I15" s="2"/>
      <c r="J15" s="1"/>
      <c r="K15" s="38"/>
      <c r="L15" s="3"/>
      <c r="M15" s="8"/>
      <c r="R15" s="61">
        <f>IF(vend31[[#This Row],[Nº Venda]]&gt;1,1,0)</f>
        <v>0</v>
      </c>
    </row>
    <row r="16" spans="2:18" ht="15.75" x14ac:dyDescent="0.25">
      <c r="B16" s="15" t="s">
        <v>11</v>
      </c>
      <c r="C16" s="19">
        <f>SUM(C11:C15)</f>
        <v>0</v>
      </c>
      <c r="D16" s="1"/>
      <c r="E16" s="44"/>
      <c r="F16" s="12"/>
      <c r="G16" s="13"/>
      <c r="H16" s="2"/>
      <c r="I16" s="2"/>
      <c r="J16" s="1"/>
      <c r="K16" s="38"/>
      <c r="L16" s="3"/>
      <c r="M16" s="8"/>
      <c r="R16" s="61">
        <f>IF(vend31[[#This Row],[Nº Venda]]&gt;1,1,0)</f>
        <v>0</v>
      </c>
    </row>
    <row r="17" spans="2:18" ht="15" x14ac:dyDescent="0.25">
      <c r="B17" s="1"/>
      <c r="C17" s="1"/>
      <c r="D17" s="1"/>
      <c r="E17" s="44"/>
      <c r="F17" s="12"/>
      <c r="G17" s="13"/>
      <c r="H17" s="2"/>
      <c r="I17" s="2"/>
      <c r="J17" s="1"/>
      <c r="K17" s="38"/>
      <c r="L17" s="3"/>
      <c r="M17" s="8"/>
      <c r="R17" s="61">
        <f>IF(vend31[[#This Row],[Nº Venda]]&gt;1,1,0)</f>
        <v>0</v>
      </c>
    </row>
    <row r="18" spans="2:18" ht="15" x14ac:dyDescent="0.25">
      <c r="B18" s="118" t="s">
        <v>12</v>
      </c>
      <c r="C18" s="118"/>
      <c r="D18" s="1"/>
      <c r="E18" s="44"/>
      <c r="F18" s="12"/>
      <c r="G18" s="13"/>
      <c r="H18" s="2"/>
      <c r="I18" s="2"/>
      <c r="J18" s="1"/>
      <c r="K18" s="38"/>
      <c r="L18" s="3"/>
      <c r="M18" s="8"/>
      <c r="R18" s="61">
        <f>IF(vend31[[#This Row],[Nº Venda]]&gt;1,1,0)</f>
        <v>0</v>
      </c>
    </row>
    <row r="19" spans="2:18" ht="15" x14ac:dyDescent="0.25">
      <c r="B19" s="17">
        <f>COUNT(entr_carn31[OS])</f>
        <v>0</v>
      </c>
      <c r="C19" s="18">
        <f>SUM(entr_carn31[Valor Total])</f>
        <v>0</v>
      </c>
      <c r="D19" s="1"/>
      <c r="E19" s="44"/>
      <c r="F19" s="12"/>
      <c r="G19" s="13"/>
      <c r="H19" s="2"/>
      <c r="I19" s="2"/>
      <c r="J19" s="1"/>
      <c r="K19" s="38"/>
      <c r="L19" s="3"/>
      <c r="M19" s="8"/>
      <c r="R19" s="61">
        <f>IF(vend31[[#This Row],[Nº Venda]]&gt;1,1,0)</f>
        <v>0</v>
      </c>
    </row>
    <row r="20" spans="2:18" ht="15.75" x14ac:dyDescent="0.25">
      <c r="B20" s="15" t="s">
        <v>11</v>
      </c>
      <c r="C20" s="19">
        <f>SUM(C19:C19)</f>
        <v>0</v>
      </c>
      <c r="D20" s="1"/>
      <c r="E20" s="44"/>
      <c r="F20" s="13"/>
      <c r="G20" s="13"/>
      <c r="H20" s="2"/>
      <c r="I20" s="2"/>
      <c r="J20" s="1"/>
      <c r="K20" s="38"/>
      <c r="L20" s="3"/>
      <c r="M20" s="8"/>
      <c r="R20" s="61">
        <f>IF(vend31[[#This Row],[Nº Venda]]&gt;1,1,0)</f>
        <v>0</v>
      </c>
    </row>
    <row r="21" spans="2:18" ht="15" x14ac:dyDescent="0.25">
      <c r="B21" s="105"/>
      <c r="C21" s="105"/>
      <c r="D21" s="1"/>
      <c r="E21" s="44"/>
      <c r="F21" s="12"/>
      <c r="G21" s="13"/>
      <c r="H21" s="2"/>
      <c r="I21" s="2"/>
      <c r="J21" s="1"/>
      <c r="K21" s="38"/>
      <c r="L21" s="3"/>
      <c r="M21" s="8"/>
    </row>
    <row r="22" spans="2:18" ht="15.75" x14ac:dyDescent="0.25">
      <c r="B22" s="15" t="s">
        <v>26</v>
      </c>
      <c r="C22" s="19">
        <f>C5</f>
        <v>0</v>
      </c>
      <c r="D22" s="1"/>
      <c r="E22" s="44"/>
      <c r="F22" s="12"/>
      <c r="G22" s="13"/>
      <c r="H22" s="2"/>
      <c r="I22" s="2"/>
      <c r="J22" s="1"/>
      <c r="K22" s="38"/>
      <c r="L22" s="3"/>
      <c r="M22" s="8"/>
    </row>
    <row r="23" spans="2:18" ht="15" x14ac:dyDescent="0.25">
      <c r="B23" s="1"/>
      <c r="C23" s="1"/>
      <c r="D23" s="1"/>
      <c r="E23" s="49"/>
      <c r="F23" s="41"/>
      <c r="G23" s="41"/>
      <c r="H23" s="50"/>
      <c r="I23" s="42"/>
      <c r="J23" s="1"/>
      <c r="K23" s="38"/>
      <c r="L23" s="3"/>
      <c r="M23" s="8"/>
    </row>
    <row r="24" spans="2:18" ht="15" x14ac:dyDescent="0.25">
      <c r="B24" s="1"/>
      <c r="C24" s="1"/>
      <c r="D24" s="1"/>
      <c r="E24" s="119" t="s">
        <v>27</v>
      </c>
      <c r="F24" s="119"/>
      <c r="G24" s="119"/>
      <c r="H24" s="119"/>
      <c r="I24" s="119"/>
      <c r="J24" s="1"/>
      <c r="K24" s="38"/>
      <c r="L24" s="3"/>
      <c r="M24" s="8"/>
    </row>
    <row r="25" spans="2:18" ht="15" x14ac:dyDescent="0.25">
      <c r="B25" s="1"/>
      <c r="C25" s="1"/>
      <c r="D25" s="1"/>
      <c r="E25" s="4" t="s">
        <v>14</v>
      </c>
      <c r="F25" s="4" t="s">
        <v>15</v>
      </c>
      <c r="G25" s="5" t="s">
        <v>16</v>
      </c>
      <c r="H25" s="6" t="s">
        <v>17</v>
      </c>
      <c r="I25" s="7" t="s">
        <v>2</v>
      </c>
      <c r="J25" s="1"/>
      <c r="K25" s="38"/>
      <c r="L25" s="3"/>
      <c r="M25" s="8"/>
    </row>
    <row r="26" spans="2:18" ht="15" x14ac:dyDescent="0.25">
      <c r="B26" s="1"/>
      <c r="C26" s="1"/>
      <c r="D26" s="1"/>
      <c r="E26" s="44"/>
      <c r="F26" s="12"/>
      <c r="G26" s="13"/>
      <c r="H26" s="2"/>
      <c r="I26" s="2"/>
      <c r="J26" s="1"/>
      <c r="K26" s="38"/>
      <c r="L26" s="3"/>
      <c r="M26" s="8"/>
    </row>
    <row r="27" spans="2:18" ht="15" x14ac:dyDescent="0.25">
      <c r="B27" s="1"/>
      <c r="C27" s="1"/>
      <c r="D27" s="1"/>
      <c r="E27" s="44"/>
      <c r="F27" s="12"/>
      <c r="G27" s="13"/>
      <c r="H27" s="2"/>
      <c r="I27" s="2"/>
      <c r="J27" s="1"/>
      <c r="K27" s="38"/>
      <c r="L27" s="3"/>
      <c r="M27" s="8"/>
    </row>
    <row r="28" spans="2:18" ht="15" x14ac:dyDescent="0.25">
      <c r="B28" s="1"/>
      <c r="C28" s="1"/>
      <c r="D28" s="1"/>
      <c r="E28" s="44"/>
      <c r="F28" s="12"/>
      <c r="G28" s="13"/>
      <c r="H28" s="2"/>
      <c r="I28" s="2"/>
      <c r="J28" s="1"/>
      <c r="K28" s="38"/>
      <c r="L28" s="3"/>
      <c r="M28" s="8"/>
    </row>
    <row r="29" spans="2:18" ht="15" x14ac:dyDescent="0.25">
      <c r="B29" s="1"/>
      <c r="C29" s="1"/>
      <c r="D29" s="1"/>
      <c r="E29" s="44"/>
      <c r="F29" s="12"/>
      <c r="G29" s="13"/>
      <c r="H29" s="2"/>
      <c r="I29" s="2"/>
      <c r="J29" s="1"/>
      <c r="K29" s="38"/>
      <c r="L29" s="3"/>
      <c r="M29" s="8"/>
    </row>
    <row r="30" spans="2:18" ht="15" x14ac:dyDescent="0.25">
      <c r="B30" s="1"/>
      <c r="C30" s="1"/>
      <c r="D30" s="1"/>
      <c r="E30" s="44"/>
      <c r="F30" s="24"/>
      <c r="G30" s="13"/>
      <c r="H30" s="2"/>
      <c r="I30" s="2"/>
      <c r="J30" s="1"/>
      <c r="K30" s="38"/>
      <c r="L30" s="3"/>
      <c r="M30" s="8"/>
    </row>
    <row r="31" spans="2:18" ht="15" x14ac:dyDescent="0.25">
      <c r="B31" s="1"/>
      <c r="C31" s="1"/>
      <c r="D31" s="1"/>
      <c r="E31" s="51"/>
      <c r="F31" s="21"/>
      <c r="G31" s="22"/>
      <c r="H31" s="9"/>
      <c r="I31" s="9"/>
      <c r="J31" s="1"/>
      <c r="K31" s="38"/>
      <c r="L31" s="3"/>
      <c r="M31" s="8"/>
    </row>
    <row r="32" spans="2:18" ht="15" x14ac:dyDescent="0.25">
      <c r="B32" s="1"/>
      <c r="C32" s="1"/>
      <c r="E32" s="49"/>
      <c r="F32" s="41"/>
      <c r="G32" s="41"/>
      <c r="H32" s="42"/>
      <c r="I32" s="42"/>
    </row>
    <row r="33" spans="2:18" ht="15" x14ac:dyDescent="0.25">
      <c r="B33" s="1"/>
      <c r="C33" s="1"/>
      <c r="E33" s="119" t="s">
        <v>28</v>
      </c>
      <c r="F33" s="119"/>
      <c r="G33" s="119"/>
      <c r="H33" s="119"/>
      <c r="I33" s="119"/>
      <c r="J33" s="112"/>
      <c r="K33" s="120" t="s">
        <v>12</v>
      </c>
      <c r="L33" s="121"/>
      <c r="M33" s="122"/>
    </row>
    <row r="34" spans="2:18" ht="15" x14ac:dyDescent="0.25">
      <c r="E34" s="4" t="s">
        <v>23</v>
      </c>
      <c r="F34" s="4" t="s">
        <v>15</v>
      </c>
      <c r="G34" s="5" t="s">
        <v>16</v>
      </c>
      <c r="H34" s="6" t="s">
        <v>29</v>
      </c>
      <c r="I34" s="7" t="s">
        <v>30</v>
      </c>
      <c r="K34" s="113" t="s">
        <v>23</v>
      </c>
      <c r="L34" s="114" t="s">
        <v>31</v>
      </c>
      <c r="M34" s="115" t="s">
        <v>32</v>
      </c>
    </row>
    <row r="35" spans="2:18" ht="15" x14ac:dyDescent="0.25">
      <c r="E35" s="44"/>
      <c r="F35" s="12"/>
      <c r="G35" s="13"/>
      <c r="H35" s="2"/>
      <c r="I35" s="2"/>
      <c r="K35" s="38"/>
      <c r="L35" s="26"/>
      <c r="M35" s="8"/>
    </row>
    <row r="36" spans="2:18" ht="15" x14ac:dyDescent="0.25">
      <c r="E36" s="81"/>
      <c r="F36" s="12"/>
      <c r="G36" s="13"/>
      <c r="H36" s="2"/>
      <c r="I36" s="2"/>
      <c r="K36" s="38"/>
      <c r="L36" s="26"/>
      <c r="M36" s="8"/>
    </row>
    <row r="37" spans="2:18" ht="15" x14ac:dyDescent="0.25">
      <c r="E37" s="44"/>
      <c r="F37" s="12"/>
      <c r="G37" s="13"/>
      <c r="H37" s="2"/>
      <c r="I37" s="2"/>
      <c r="K37" s="38"/>
      <c r="L37" s="26"/>
      <c r="M37" s="8"/>
    </row>
    <row r="38" spans="2:18" ht="15" x14ac:dyDescent="0.25">
      <c r="E38" s="44"/>
      <c r="F38" s="12"/>
      <c r="G38" s="13"/>
      <c r="H38" s="2"/>
      <c r="I38" s="2"/>
      <c r="K38" s="38"/>
      <c r="L38" s="26"/>
      <c r="M38" s="8"/>
    </row>
    <row r="39" spans="2:18" ht="15" x14ac:dyDescent="0.25">
      <c r="E39" s="44"/>
      <c r="F39" s="24"/>
      <c r="G39" s="13"/>
      <c r="H39" s="2"/>
      <c r="I39" s="2"/>
      <c r="K39" s="38"/>
      <c r="L39" s="26"/>
      <c r="M39" s="8"/>
    </row>
    <row r="40" spans="2:18" ht="15" x14ac:dyDescent="0.25">
      <c r="E40" s="51"/>
      <c r="F40" s="21"/>
      <c r="G40" s="22"/>
      <c r="H40" s="9"/>
      <c r="I40" s="2"/>
      <c r="K40" s="39"/>
      <c r="L40" s="27"/>
      <c r="M40" s="25"/>
      <c r="Q40" s="61" t="s">
        <v>36</v>
      </c>
      <c r="R40" s="61">
        <f>SUM(R6:R21)</f>
        <v>0</v>
      </c>
    </row>
    <row r="41" spans="2:18" ht="15" x14ac:dyDescent="0.25">
      <c r="E41" s="45"/>
      <c r="F41" s="24"/>
      <c r="G41" s="13"/>
      <c r="H41" s="2"/>
      <c r="I41" s="2"/>
      <c r="K41" s="38"/>
      <c r="L41" s="26"/>
      <c r="M41" s="2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23" t="s">
        <v>62</v>
      </c>
      <c r="B1" s="23" t="s">
        <v>63</v>
      </c>
      <c r="E1" s="23" t="s">
        <v>64</v>
      </c>
    </row>
    <row r="2" spans="1:5" x14ac:dyDescent="0.2">
      <c r="A2" s="23" t="s">
        <v>6</v>
      </c>
      <c r="B2" s="23" t="s">
        <v>65</v>
      </c>
      <c r="E2" t="s">
        <v>46</v>
      </c>
    </row>
    <row r="3" spans="1:5" x14ac:dyDescent="0.2">
      <c r="A3" s="23" t="s">
        <v>7</v>
      </c>
      <c r="B3" s="23" t="s">
        <v>66</v>
      </c>
      <c r="E3" t="s">
        <v>67</v>
      </c>
    </row>
    <row r="4" spans="1:5" x14ac:dyDescent="0.2">
      <c r="A4" s="23" t="s">
        <v>8</v>
      </c>
      <c r="B4" s="23" t="s">
        <v>68</v>
      </c>
      <c r="E4" t="s">
        <v>69</v>
      </c>
    </row>
    <row r="5" spans="1:5" x14ac:dyDescent="0.2">
      <c r="A5" s="23" t="s">
        <v>9</v>
      </c>
      <c r="B5" s="23" t="s">
        <v>70</v>
      </c>
      <c r="E5" t="s">
        <v>71</v>
      </c>
    </row>
    <row r="6" spans="1:5" x14ac:dyDescent="0.2">
      <c r="A6" s="23" t="s">
        <v>10</v>
      </c>
      <c r="B6" s="23" t="s">
        <v>10</v>
      </c>
      <c r="E6" t="s">
        <v>33</v>
      </c>
    </row>
    <row r="7" spans="1:5" x14ac:dyDescent="0.2">
      <c r="A7" s="23" t="s">
        <v>50</v>
      </c>
      <c r="B7" s="23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23" t="s">
        <v>40</v>
      </c>
      <c r="B9" s="23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6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12</vt:lpstr>
      <vt:lpstr>10</vt:lpstr>
      <vt:lpstr>11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suzano2 lojas</cp:lastModifiedBy>
  <cp:revision/>
  <cp:lastPrinted>2024-12-30T20:09:34Z</cp:lastPrinted>
  <dcterms:created xsi:type="dcterms:W3CDTF">2004-04-07T20:43:43Z</dcterms:created>
  <dcterms:modified xsi:type="dcterms:W3CDTF">2025-02-19T19:35:16Z</dcterms:modified>
  <cp:category/>
  <cp:contentStatus/>
</cp:coreProperties>
</file>