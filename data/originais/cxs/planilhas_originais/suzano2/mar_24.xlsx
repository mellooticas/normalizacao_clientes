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507" documentId="13_ncr:1_{7412B4C8-BAC3-4E56-8244-DAC76CBDF892}" xr6:coauthVersionLast="47" xr6:coauthVersionMax="47" xr10:uidLastSave="{F38ABFA2-1775-4398-AFEB-5D6D86E972B4}"/>
  <bookViews>
    <workbookView xWindow="-120" yWindow="330" windowWidth="29040" windowHeight="15990" tabRatio="895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5" sheetId="171" r:id="rId5"/>
    <sheet name="04" sheetId="172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Planilha1" sheetId="201" r:id="rId33"/>
    <sheet name="base" sheetId="36" state="hidden" r:id="rId34"/>
  </sheets>
  <definedNames>
    <definedName name="_xlnm.Print_Area" localSheetId="18">'18'!$A$1:$AB$41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<sst xmlns="http://schemas.openxmlformats.org/spreadsheetml/2006/main" count="1700" uniqueCount="161">
  <si>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</si>
  <si>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</si>
  <si>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</si>
  <si>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</si>
  <si>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</si>
  <si>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</si>
  <si>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</si>
  <si>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</si>
  <si>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</si>
  <si>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</si>
  <si>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</si>
  <si>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</si>
  <si>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</si>
  <si>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</si>
  <si>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</si>
  <si>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</si>
  <si>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</si>
  <si>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</si>
  <si>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</si>
  <si>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</si>
  <si>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</si>
  <si>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</si>
  <si>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</si>
  <si>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</si>
  <si>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</si>
  <si>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</si>
  <si>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</si>
  <si>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</si>
  <si>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</si>
  <si>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</si>
  <si>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</si>
  <si>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</si>
  <si>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</si>
  <si>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</si>
  <si>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GARANTIA</t>
  </si>
  <si>
    <t>Não</t>
  </si>
  <si>
    <t>PARC. 4/4</t>
  </si>
  <si>
    <t>PARC. 1/1</t>
  </si>
  <si>
    <t>SS</t>
  </si>
  <si>
    <t>PARC. 5/8</t>
  </si>
  <si>
    <t>PARC. 1/4</t>
  </si>
  <si>
    <t>PARC. 2/5</t>
  </si>
  <si>
    <t>PARC. 3/6</t>
  </si>
  <si>
    <t>PARC. 5/5</t>
  </si>
  <si>
    <t>PARC. 6/6</t>
  </si>
  <si>
    <t>PARC. 4/5</t>
  </si>
  <si>
    <t>PARC. 1/2</t>
  </si>
  <si>
    <t>PARC. 3/3</t>
  </si>
  <si>
    <t>PARC. 4/6</t>
  </si>
  <si>
    <t>PARC. 3/5</t>
  </si>
  <si>
    <t>PARC. 2/3</t>
  </si>
  <si>
    <t>PARC. 2/7</t>
  </si>
  <si>
    <t>PARC. 5/7</t>
  </si>
  <si>
    <t>Tipo Pagto</t>
  </si>
  <si>
    <t>descricao</t>
  </si>
  <si>
    <t xml:space="preserve">Parcelas </t>
  </si>
  <si>
    <t>Dinheiro</t>
  </si>
  <si>
    <t>Cartão Débito</t>
  </si>
  <si>
    <t>Cartão Crédito</t>
  </si>
  <si>
    <t>PARC. 2/2</t>
  </si>
  <si>
    <t>Parcelado Cartão Crédito</t>
  </si>
  <si>
    <t>PARC. 1/3</t>
  </si>
  <si>
    <t>Sem Sinal</t>
  </si>
  <si>
    <t xml:space="preserve">Carne </t>
  </si>
  <si>
    <t>Todas as Garantias</t>
  </si>
  <si>
    <t>PARC. 2/4</t>
  </si>
  <si>
    <t>PARC. 3/4</t>
  </si>
  <si>
    <t>PARC. 1/5</t>
  </si>
  <si>
    <t>PARC. 1/6</t>
  </si>
  <si>
    <t>PARC. 2/6</t>
  </si>
  <si>
    <t>PARC. 5/6</t>
  </si>
  <si>
    <t>PARC. 1/7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</si>
  <si>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</si>
  <si>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</si>
  <si>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</si>
  <si>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</si>
  <si>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</si>
  <si>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</si>
  <si>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</si>
  <si>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</si>
  <si>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</si>
  <si>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</si>
  <si>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</si>
  <si>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</si>
  <si>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</si>
  <si>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</si>
  <si>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</si>
  <si>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</si>
  <si>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</si>
  <si>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</si>
  <si>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</si>
  <si>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</si>
  <si>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</si>
  <si>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</si>
  <si>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</si>
  <si>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</si>
  <si>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</si>
  <si>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</si>
  <si>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</si>
  <si>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</si>
  <si>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</si>
  <si>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</si>
  <si>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</si>
  <si>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</si>
  <si>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</si>
  <si>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</si>
  <si>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</si>
  <si>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</si>
  <si>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</si>
  <si>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</si>
  <si>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</si>
  <si>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</si>
  <si>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</si>
  <si>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</si>
  <si>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</si>
  <si>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</si>
  <si>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</si>
  <si>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</si>
  <si>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</si>
  <si>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</si>
  <si>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</si>
  <si>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</si>
  <si>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</si>
  <si>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</si>
  <si>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</si>
  <si>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CLAUDETE COSTA MARTINS DE ARAUJO</t>
  </si>
  <si>
    <t>FELIPE MIRANDA</t>
  </si>
  <si>
    <t>Sim</t>
  </si>
  <si>
    <t>EDUARDO BOAVENTURA DA CRUZ</t>
  </si>
  <si>
    <t>ANDREA BELMIRO</t>
  </si>
  <si>
    <t>FELIPE MIRANDFA</t>
  </si>
  <si>
    <t>MARIA DE LOURDES DA SILVA NASCIMENTO</t>
  </si>
  <si>
    <t>SILVANA MENDES CARDOSO</t>
  </si>
  <si>
    <t>GISELE LIMA DO NASCIMENTO</t>
  </si>
  <si>
    <t>EDER APARECIDO ANANIAS</t>
  </si>
  <si>
    <t xml:space="preserve">MARIO ROSA LIMA JUNIOR </t>
  </si>
  <si>
    <t>KETTELYN ARAUJO DE OLIVEIRA</t>
  </si>
  <si>
    <t>Valéria da Silva Pinto</t>
  </si>
  <si>
    <t>876</t>
  </si>
  <si>
    <t>GIOVANA NASCIMENTO SILVA</t>
  </si>
  <si>
    <t>TAYNARA SANTANA SILVA</t>
  </si>
  <si>
    <t>PAULO EDUARDO MENDES DE OLIVEIRA</t>
  </si>
  <si>
    <t>ADRIANA SOUZA SILVA</t>
  </si>
  <si>
    <t>Amerlinda de Oliveira da Silva Aguiar</t>
  </si>
  <si>
    <t>880</t>
  </si>
  <si>
    <t>EUNICE GOLZAGA</t>
  </si>
  <si>
    <t>JOENES PERES AMORIM</t>
  </si>
  <si>
    <t>Água</t>
  </si>
  <si>
    <t>VALERIA ANASTACIO MARTINS</t>
  </si>
  <si>
    <t xml:space="preserve">RAHYANE FREITAS VIEIRA </t>
  </si>
  <si>
    <t>LILIANE SANTOS DA SILVA</t>
  </si>
  <si>
    <t>DONIZETE RIBEIRO DE OLIVEIRA</t>
  </si>
  <si>
    <t>FERNADA SILVA DE OLIVEIRA</t>
  </si>
  <si>
    <t>AGUA</t>
  </si>
  <si>
    <t>GIOVANNA NACIMENTO SILVA</t>
  </si>
  <si>
    <t xml:space="preserve">SILVANA MENDES CARDOSO </t>
  </si>
  <si>
    <t>MOIZES DO NACISMENTO</t>
  </si>
  <si>
    <t>DENIS MIGUEL LOPES</t>
  </si>
  <si>
    <t xml:space="preserve">  </t>
  </si>
  <si>
    <t xml:space="preserve">SILVANA NEVES DE PAULA </t>
  </si>
  <si>
    <t xml:space="preserve">VALDECIR SOUZA LIMA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</si>
</sst>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  <scheme val="minor"/>
    </font>
    <font>
      <b/>
      <i/>
      <sz val="12"/>
      <name val="Arial"/>
      <family val="2"/>
    </font>
    <font>
      <sz val="24"/>
      <name val="Castellar"/>
      <family val="1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0" fontId="41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1" fillId="0" borderId="13" xfId="0" applyFont="1" applyBorder="1" applyAlignment="1">
      <alignment horizontal="center"/>
    </xf>
    <xf numFmtId="0" fontId="36" fillId="0" borderId="13" xfId="0" applyFont="1" applyBorder="1" applyAlignment="1">
      <alignment horizontal="center"/>
    </xf>
    <xf numFmtId="44" fontId="38" fillId="0" borderId="13" xfId="39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80" dataCellStyle="Moeda"/>
    <tableColumn id="5" xr3:uid="{4F9ED826-A0E1-4FB0-83C6-A561EA7B6750}" name="Cliente" dataDxfId="1479" dataCellStyle="Moeda"/>
    <tableColumn id="2" xr3:uid="{C2B928FE-CB2E-4271-AE3D-2FE26117248E}" name="Forma de Pgto" dataDxfId="1478" dataCellStyle="Moeda"/>
    <tableColumn id="3" xr3:uid="{CE23E3D0-4056-4DCB-83C4-5B94BD49CAAC}" name="Valor Venda" dataDxfId="1477" dataCellStyle="Porcentagem"/>
    <tableColumn id="4" xr3:uid="{1F426340-BFB9-4B9E-B988-7A195156D2F2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4C840DC-E06E-4A51-B1BF-E769E4EC9ACB}" name="Descrição" dataDxfId="1470"/>
    <tableColumn id="2" xr3:uid="{E6DE1F07-CE97-421A-A22A-4B4270DDF46D}" name="Tipo de Pagto" dataDxfId="1469"/>
    <tableColumn id="3" xr3:uid="{D84FBA92-07C5-41FD-BBA2-2AADF245D1D6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62"/>
    <tableColumn id="2" xr3:uid="{CD77FB12-1DAA-4DAF-B42A-0357959803DD}" name="Cliente" dataDxfId="1461"/>
    <tableColumn id="3" xr3:uid="{5F4C4F5C-C920-452A-B2BA-592AD2C18723}" name="Forma de Pgto" dataDxfId="1460" dataCellStyle="Moeda"/>
    <tableColumn id="4" xr3:uid="{3930B2F0-6049-4E02-92B1-EC55A5330B2C}" name="Valor Venda" dataDxfId="1459" dataCellStyle="Porcentagem"/>
    <tableColumn id="5" xr3:uid="{82EBAE08-64CA-459E-9015-FA8F61210D87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E0565617-EB8C-486F-838C-B370E84BC8A2}" name="OS" dataDxfId="1452"/>
    <tableColumn id="2" xr3:uid="{EA20833B-67D8-48B8-B6E4-54A10D0969E8}" name="Vendedor" dataDxfId="1451"/>
    <tableColumn id="3" xr3:uid="{8B1F8993-74A4-499F-AD5E-91A6051BA219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44"/>
    <tableColumn id="2" xr3:uid="{FB461660-91D6-4E31-81FF-113A17320EED}" name="Cliente" dataDxfId="1443"/>
    <tableColumn id="3" xr3:uid="{0A47D0C3-375B-4E2D-B5E9-2048252BC0D3}" name="Forma de Pgto" dataDxfId="1442" dataCellStyle="Moeda"/>
    <tableColumn id="4" xr3:uid="{F9C62ED5-C18D-465D-B7E4-0729BD7B3A10}" name="Valor Parcela" dataDxfId="1441" dataCellStyle="Porcentagem"/>
    <tableColumn id="5" xr3:uid="{DD9D513B-1645-445F-83E9-DC54C163BD4E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39" headerRowBorderDxfId="1438" tableBorderDxfId="1437" totalsRowBorderDxfId="1436">
  <autoFilter ref="K34:M41" xr:uid="{1B8643D4-6AC3-4029-882A-C62E9D7CB225}"/>
  <tableColumns count="3">
    <tableColumn id="1" xr3:uid="{D65B195F-C059-40E5-A4CA-FE91C5DB43DB}" name="OS" dataDxfId="1435"/>
    <tableColumn id="2" xr3:uid="{A2A023CF-C61D-419E-ABB0-2F9CEE35150B}" name="Parcelas" dataDxfId="1434"/>
    <tableColumn id="3" xr3:uid="{F7D650A1-7C3D-42D0-B133-EB49D396C64F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89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10723.89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8583.6899999999987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24</v>
      </c>
    </row>
    <row r="6" spans="1:2" ht="15.75" x14ac:dyDescent="0.25">
      <c r="A6" s="28" t="s">
        <v>4</v>
      </c>
      <c r="B6" s="29">
        <f>SUM(B4:B5)</f>
        <v>8607.6899999999987</v>
      </c>
    </row>
    <row r="7" spans="1:2" ht="15" x14ac:dyDescent="0.25">
      <c r="A7" s="2"/>
      <c r="B7" s="2"/>
    </row>
    <row r="8" spans="1:2" ht="15" x14ac:dyDescent="0.2">
      <c r="A8" s="109" t="s">
        <v>5</v>
      </c>
      <c r="B8" s="109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1785.2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4223.1000000000004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1260.99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1200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1609.8899999999999</v>
      </c>
    </row>
    <row r="14" spans="1:2" ht="15.75" x14ac:dyDescent="0.25">
      <c r="A14" s="28" t="s">
        <v>11</v>
      </c>
      <c r="B14" s="90">
        <f ca="1">SUM(B9:B13)</f>
        <v>10079.18</v>
      </c>
    </row>
    <row r="15" spans="1:2" ht="15" x14ac:dyDescent="0.25">
      <c r="A15" s="2"/>
      <c r="B15" s="2"/>
    </row>
    <row r="16" spans="1:2" ht="15" x14ac:dyDescent="0.2">
      <c r="A16" s="109" t="s">
        <v>12</v>
      </c>
      <c r="B16" s="109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4688.08</v>
      </c>
    </row>
    <row r="18" spans="1:2" ht="15.75" x14ac:dyDescent="0.25">
      <c r="A18" s="28" t="s">
        <v>11</v>
      </c>
      <c r="B18" s="90">
        <f>SUM(B17:B17)</f>
        <v>4688.08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8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45352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870</v>
      </c>
      <c r="F6" s="25" t="s">
        <v>125</v>
      </c>
      <c r="G6" s="26" t="s">
        <v>8</v>
      </c>
      <c r="H6" s="8">
        <v>350</v>
      </c>
      <c r="I6" s="8">
        <v>350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871</v>
      </c>
      <c r="F7" s="25" t="s">
        <v>129</v>
      </c>
      <c r="G7" s="26" t="s">
        <v>6</v>
      </c>
      <c r="H7" s="8">
        <v>1049</v>
      </c>
      <c r="I7" s="8">
        <v>150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137.80000000000001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350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863</v>
      </c>
      <c r="L15" s="9" t="s">
        <v>126</v>
      </c>
      <c r="M15" s="16" t="s">
        <v>127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637.79999999999995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1</v>
      </c>
      <c r="C19" s="31">
        <f>SUM(entr_carn31195[Valor Total])</f>
        <v>551.20000000000005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551.20000000000005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863</v>
      </c>
      <c r="F35" s="25" t="s">
        <v>128</v>
      </c>
      <c r="G35" s="26" t="s">
        <v>7</v>
      </c>
      <c r="H35" s="8">
        <v>137.80000000000001</v>
      </c>
      <c r="I35" s="8" t="s">
        <v>40</v>
      </c>
      <c r="K35" s="25">
        <v>863</v>
      </c>
      <c r="L35" s="41">
        <v>4</v>
      </c>
      <c r="M35" s="16">
        <v>551.20000000000005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45353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2446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1621</v>
      </c>
      <c r="D6" s="2"/>
      <c r="E6" s="18">
        <v>872</v>
      </c>
      <c r="F6" s="25" t="s">
        <v>131</v>
      </c>
      <c r="G6" s="46" t="s">
        <v>7</v>
      </c>
      <c r="H6" s="8">
        <v>1399</v>
      </c>
      <c r="I6" s="8">
        <v>1399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873</v>
      </c>
      <c r="F7" s="25" t="s">
        <v>132</v>
      </c>
      <c r="G7" s="46" t="s">
        <v>8</v>
      </c>
      <c r="H7" s="8">
        <v>1047</v>
      </c>
      <c r="I7" s="8">
        <v>222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1621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1399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222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857</v>
      </c>
      <c r="L15" s="9" t="s">
        <v>130</v>
      </c>
      <c r="M15" s="16" t="s">
        <v>35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1621</v>
      </c>
      <c r="D16" s="2"/>
      <c r="E16" s="18"/>
      <c r="F16" s="25"/>
      <c r="G16" s="26"/>
      <c r="H16" s="8"/>
      <c r="I16" s="8"/>
      <c r="J16" s="2"/>
      <c r="K16" s="25">
        <v>864</v>
      </c>
      <c r="L16" s="9" t="s">
        <v>130</v>
      </c>
      <c r="M16" s="16" t="s">
        <v>127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495.18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495.18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2446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864</v>
      </c>
      <c r="L35" s="41">
        <v>7</v>
      </c>
      <c r="M35" s="16">
        <v>495.18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K15" sqref="K15:M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45354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45356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577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874</v>
      </c>
      <c r="F6" s="25" t="s">
        <v>133</v>
      </c>
      <c r="G6" s="46" t="s">
        <v>7</v>
      </c>
      <c r="H6" s="8">
        <v>577</v>
      </c>
      <c r="I6" s="8">
        <v>100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212.5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75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212.5</v>
      </c>
      <c r="D16" s="2"/>
      <c r="E16" s="18"/>
      <c r="F16" s="25"/>
      <c r="G16" s="26"/>
      <c r="H16" s="8"/>
      <c r="I16" s="8"/>
      <c r="J16" s="2"/>
      <c r="K16" s="25"/>
      <c r="L16" s="9"/>
      <c r="M16" s="74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577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797</v>
      </c>
      <c r="F35" s="25" t="s">
        <v>134</v>
      </c>
      <c r="G35" s="26" t="s">
        <v>7</v>
      </c>
      <c r="H35" s="8">
        <v>112.5</v>
      </c>
      <c r="I35" s="8" t="s">
        <v>66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45355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7"/>
      <c r="L15" s="68"/>
      <c r="M15" s="69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view="pageBreakPreview" topLeftCell="B1" zoomScale="6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'05'!B1+1</f>
        <v>45357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737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550</v>
      </c>
      <c r="D6" s="2"/>
      <c r="E6" s="91">
        <v>875</v>
      </c>
      <c r="F6" s="72" t="s">
        <v>137</v>
      </c>
      <c r="G6" s="92" t="s">
        <v>6</v>
      </c>
      <c r="H6" s="84">
        <v>737</v>
      </c>
      <c r="I6" s="84">
        <v>150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550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109" t="s">
        <v>5</v>
      </c>
      <c r="C10" s="109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18">
        <v>861</v>
      </c>
      <c r="L15" s="25" t="s">
        <v>126</v>
      </c>
      <c r="M15" s="16" t="s">
        <v>127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750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1352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1352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737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1">
        <v>861</v>
      </c>
      <c r="F26" s="72" t="s">
        <v>135</v>
      </c>
      <c r="G26" s="92" t="s">
        <v>7</v>
      </c>
      <c r="H26" s="84"/>
      <c r="I26" s="84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840</v>
      </c>
      <c r="F35" s="25" t="s">
        <v>136</v>
      </c>
      <c r="G35" s="26" t="s">
        <v>10</v>
      </c>
      <c r="H35" s="8">
        <v>200</v>
      </c>
      <c r="I35" s="8" t="s">
        <v>59</v>
      </c>
      <c r="K35" s="25">
        <v>861</v>
      </c>
      <c r="L35" s="41">
        <v>7</v>
      </c>
      <c r="M35" s="16">
        <v>1352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45358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557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20</v>
      </c>
      <c r="D6" s="2"/>
      <c r="E6" s="51" t="s">
        <v>138</v>
      </c>
      <c r="F6" s="49" t="s">
        <v>139</v>
      </c>
      <c r="G6" s="49" t="s">
        <v>10</v>
      </c>
      <c r="H6" s="50">
        <v>557</v>
      </c>
      <c r="I6" s="50">
        <v>20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557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86"/>
      <c r="F26" s="71"/>
      <c r="G26" s="87"/>
      <c r="H26" s="88"/>
      <c r="I26" s="88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8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'07'!B1+1</f>
        <v>45359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619.89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1519.8899999999999</v>
      </c>
      <c r="D6" s="2"/>
      <c r="E6" s="56">
        <v>877</v>
      </c>
      <c r="F6" s="8" t="s">
        <v>140</v>
      </c>
      <c r="G6" s="8" t="s">
        <v>7</v>
      </c>
      <c r="H6" s="8">
        <v>19.899999999999999</v>
      </c>
      <c r="I6" s="8">
        <v>19.899999999999999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878</v>
      </c>
      <c r="F7" s="8" t="s">
        <v>141</v>
      </c>
      <c r="G7" s="8" t="s">
        <v>8</v>
      </c>
      <c r="H7" s="8">
        <v>599.99</v>
      </c>
      <c r="I7" s="8">
        <v>599.99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1519.8899999999999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157.70000000000002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599.99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900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869</v>
      </c>
      <c r="L15" s="9" t="s">
        <v>126</v>
      </c>
      <c r="M15" s="16" t="s">
        <v>35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1657.69</v>
      </c>
      <c r="D16" s="2"/>
      <c r="E16" s="18"/>
      <c r="F16" s="25"/>
      <c r="G16" s="26"/>
      <c r="H16" s="8"/>
      <c r="I16" s="8"/>
      <c r="J16" s="2"/>
      <c r="K16" s="25">
        <v>874</v>
      </c>
      <c r="L16" s="9" t="s">
        <v>126</v>
      </c>
      <c r="M16" s="16" t="s">
        <v>127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877</v>
      </c>
      <c r="L17" s="9" t="s">
        <v>126</v>
      </c>
      <c r="M17" s="16" t="s">
        <v>35</v>
      </c>
      <c r="R17" s="1">
        <f>IF(vend8[[#This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860</v>
      </c>
      <c r="L18" s="9" t="s">
        <v>126</v>
      </c>
      <c r="M18" s="16" t="s">
        <v>35</v>
      </c>
      <c r="R18" s="1">
        <f>IF(vend8[[#This Row],[Nº Venda]]&gt;1,1,0)</f>
        <v>0</v>
      </c>
    </row>
    <row r="19" spans="2:18" ht="15.75" x14ac:dyDescent="0.25">
      <c r="B19" s="30">
        <f>COUNT(entr_carn8[OS])</f>
        <v>1</v>
      </c>
      <c r="C19" s="31">
        <f>SUM(entr_carn8[Valor Total])</f>
        <v>477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477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619.89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4">
        <v>869</v>
      </c>
      <c r="F26" s="95" t="s">
        <v>143</v>
      </c>
      <c r="G26" s="96" t="s">
        <v>9</v>
      </c>
      <c r="H26" s="97">
        <v>0</v>
      </c>
      <c r="I26" s="97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863</v>
      </c>
      <c r="F35" s="25" t="s">
        <v>128</v>
      </c>
      <c r="G35" s="26" t="s">
        <v>7</v>
      </c>
      <c r="H35" s="8">
        <v>137.80000000000001</v>
      </c>
      <c r="I35" s="8" t="s">
        <v>65</v>
      </c>
      <c r="K35" s="25">
        <v>874</v>
      </c>
      <c r="L35" s="41">
        <v>2</v>
      </c>
      <c r="M35" s="16">
        <v>477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45360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848</v>
      </c>
      <c r="L15" s="9" t="s">
        <v>126</v>
      </c>
      <c r="M15" s="16" t="s">
        <v>35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856</v>
      </c>
      <c r="L16" s="9" t="s">
        <v>126</v>
      </c>
      <c r="M16" s="16" t="s">
        <v>35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858</v>
      </c>
      <c r="L17" s="9" t="s">
        <v>126</v>
      </c>
      <c r="M17" s="16" t="s">
        <v>35</v>
      </c>
      <c r="R17" s="1">
        <f>IF(vend9[[#This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F40" sqref="F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45361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74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11" t="s">
        <v>12</v>
      </c>
      <c r="L33" s="112"/>
      <c r="M33" s="113"/>
    </row>
    <row r="34" spans="2:18" ht="15" x14ac:dyDescent="0.25">
      <c r="E34" s="110" t="s">
        <v>28</v>
      </c>
      <c r="F34" s="110"/>
      <c r="G34" s="110"/>
      <c r="H34" s="110"/>
      <c r="I34" s="110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45362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1427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879</v>
      </c>
      <c r="F6" s="25" t="s">
        <v>142</v>
      </c>
      <c r="G6" s="26" t="s">
        <v>6</v>
      </c>
      <c r="H6" s="8">
        <v>1427</v>
      </c>
      <c r="I6" s="8">
        <v>100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1427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'11'!B1+1</f>
        <v>45363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20</v>
      </c>
      <c r="D6" s="2"/>
      <c r="E6" s="57" t="s">
        <v>144</v>
      </c>
      <c r="F6" s="58" t="s">
        <v>145</v>
      </c>
      <c r="G6" s="58" t="s">
        <v>6</v>
      </c>
      <c r="H6" s="59">
        <v>20</v>
      </c>
      <c r="I6" s="59">
        <v>20</v>
      </c>
      <c r="J6" s="2"/>
      <c r="K6" s="72" t="s">
        <v>147</v>
      </c>
      <c r="L6" s="80" t="s">
        <v>10</v>
      </c>
      <c r="M6" s="81">
        <v>12</v>
      </c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12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32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E18" sqref="E18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'12'!B1+1</f>
        <v>45364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588.79999999999995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588.79999999999995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288.8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862</v>
      </c>
      <c r="L15" s="9" t="s">
        <v>126</v>
      </c>
      <c r="M15" s="16" t="s">
        <v>127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588.79999999999995</v>
      </c>
      <c r="D16" s="2"/>
      <c r="E16" s="18"/>
      <c r="F16" s="25"/>
      <c r="G16" s="26"/>
      <c r="H16" s="8"/>
      <c r="I16" s="8"/>
      <c r="J16" s="2"/>
      <c r="K16" s="25">
        <v>871</v>
      </c>
      <c r="L16" s="9" t="s">
        <v>126</v>
      </c>
      <c r="M16" s="16" t="s">
        <v>127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2</v>
      </c>
      <c r="C19" s="31">
        <f>SUM(entr_carn13[Valor Total])</f>
        <v>173.7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173.7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1">
        <v>862</v>
      </c>
      <c r="F26" s="72" t="s">
        <v>146</v>
      </c>
      <c r="G26" s="92" t="s">
        <v>9</v>
      </c>
      <c r="H26" s="84"/>
      <c r="I26" s="84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871</v>
      </c>
      <c r="F27" s="25" t="s">
        <v>129</v>
      </c>
      <c r="G27" s="26" t="s">
        <v>7</v>
      </c>
      <c r="H27" s="8"/>
      <c r="I27" s="8">
        <v>288.8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>
        <v>862</v>
      </c>
      <c r="L35" s="41">
        <v>1</v>
      </c>
      <c r="M35" s="16">
        <v>72</v>
      </c>
    </row>
    <row r="36" spans="2:18" ht="15.75" x14ac:dyDescent="0.25">
      <c r="E36" s="18"/>
      <c r="F36" s="25"/>
      <c r="G36" s="26"/>
      <c r="H36" s="8"/>
      <c r="I36" s="8"/>
      <c r="K36" s="25">
        <v>871</v>
      </c>
      <c r="L36" s="41">
        <v>6</v>
      </c>
      <c r="M36" s="16">
        <v>101.7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45365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878</v>
      </c>
      <c r="L15" s="9" t="s">
        <v>126</v>
      </c>
      <c r="M15" s="16" t="s">
        <v>35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4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45366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112.5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873</v>
      </c>
      <c r="L15" s="9" t="s">
        <v>126</v>
      </c>
      <c r="M15" s="16" t="s">
        <v>127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112.5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825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825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757</v>
      </c>
      <c r="F35" s="25" t="s">
        <v>148</v>
      </c>
      <c r="G35" s="26" t="s">
        <v>7</v>
      </c>
      <c r="H35" s="8">
        <v>112.5</v>
      </c>
      <c r="I35" s="8" t="s">
        <v>80</v>
      </c>
      <c r="K35" s="25">
        <v>873</v>
      </c>
      <c r="L35" s="41">
        <v>7</v>
      </c>
      <c r="M35" s="16">
        <v>825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45367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577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881</v>
      </c>
      <c r="F6" s="25" t="s">
        <v>149</v>
      </c>
      <c r="G6" s="46" t="s">
        <v>6</v>
      </c>
      <c r="H6" s="8">
        <v>577</v>
      </c>
      <c r="I6" s="8">
        <v>100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870</v>
      </c>
      <c r="L15" s="9" t="s">
        <v>126</v>
      </c>
      <c r="M15" s="16" t="s">
        <v>35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577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45368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4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'17'!B1+1</f>
        <v>45369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800</v>
      </c>
      <c r="D6" s="2"/>
      <c r="E6" s="18"/>
      <c r="F6" s="25"/>
      <c r="G6" s="26"/>
      <c r="H6" s="84"/>
      <c r="I6" s="8"/>
      <c r="J6" s="2"/>
      <c r="K6" s="25"/>
      <c r="L6" s="78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4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800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800</v>
      </c>
      <c r="D15" s="2"/>
      <c r="E15" s="18"/>
      <c r="F15" s="25"/>
      <c r="G15" s="26"/>
      <c r="H15" s="8"/>
      <c r="I15" s="8"/>
      <c r="J15" s="2"/>
      <c r="K15" s="25">
        <v>868</v>
      </c>
      <c r="L15" s="9" t="s">
        <v>126</v>
      </c>
      <c r="M15" s="16" t="s">
        <v>35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800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76"/>
      <c r="F23" s="76"/>
      <c r="G23" s="76"/>
      <c r="H23" s="77"/>
      <c r="I23" s="7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868</v>
      </c>
      <c r="F26" s="25" t="s">
        <v>150</v>
      </c>
      <c r="G26" s="26" t="s">
        <v>10</v>
      </c>
      <c r="H26" s="8"/>
      <c r="I26" s="8">
        <v>800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opLeftCell="A7" zoomScale="85" zoomScaleNormal="85" workbookViewId="0">
      <selection activeCell="E7" sqref="A1:T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45370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9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78.2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89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>
        <v>865</v>
      </c>
      <c r="L15" s="9" t="s">
        <v>126</v>
      </c>
      <c r="M15" s="16" t="s">
        <v>127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167.2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820</v>
      </c>
      <c r="F35" s="25" t="s">
        <v>152</v>
      </c>
      <c r="G35" s="26" t="s">
        <v>8</v>
      </c>
      <c r="H35" s="8">
        <v>89</v>
      </c>
      <c r="I35" s="8" t="s">
        <v>45</v>
      </c>
      <c r="K35" s="25"/>
      <c r="L35" s="41"/>
      <c r="M35" s="16"/>
    </row>
    <row r="36" spans="2:18" ht="15.75" x14ac:dyDescent="0.25">
      <c r="E36" s="18">
        <v>859</v>
      </c>
      <c r="F36" s="25" t="s">
        <v>151</v>
      </c>
      <c r="G36" s="98" t="s">
        <v>6</v>
      </c>
      <c r="H36" s="8">
        <v>78.2</v>
      </c>
      <c r="I36" s="8" t="s">
        <v>92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 G37:G41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M6" sqref="M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'19'!B1+1</f>
        <v>45371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153</v>
      </c>
      <c r="L6" s="9" t="s">
        <v>10</v>
      </c>
      <c r="M6" s="16">
        <v>12</v>
      </c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12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72"/>
      <c r="L16" s="80"/>
      <c r="M16" s="81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81"/>
    </row>
    <row r="36" spans="2:18" ht="15.75" x14ac:dyDescent="0.25">
      <c r="E36" s="18"/>
      <c r="F36" s="25"/>
      <c r="G36" s="26"/>
      <c r="H36" s="8"/>
      <c r="I36" s="8"/>
      <c r="K36" s="72"/>
      <c r="L36" s="82"/>
      <c r="M36" s="8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45372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M35" sqref="M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45373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882</v>
      </c>
      <c r="F6" s="25" t="s">
        <v>155</v>
      </c>
      <c r="G6" s="26" t="s">
        <v>34</v>
      </c>
      <c r="H6" s="8">
        <v>0</v>
      </c>
      <c r="I6" s="8">
        <v>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883</v>
      </c>
      <c r="F7" s="25" t="s">
        <v>156</v>
      </c>
      <c r="G7" s="26" t="s">
        <v>34</v>
      </c>
      <c r="H7" s="8">
        <v>0</v>
      </c>
      <c r="I7" s="8">
        <v>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180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876</v>
      </c>
      <c r="L15" s="9" t="s">
        <v>126</v>
      </c>
      <c r="M15" s="16" t="s">
        <v>127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337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337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876</v>
      </c>
      <c r="F26" s="25" t="s">
        <v>154</v>
      </c>
      <c r="G26" s="26" t="s">
        <v>7</v>
      </c>
      <c r="H26" s="8"/>
      <c r="I26" s="8">
        <v>180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876</v>
      </c>
      <c r="F27" s="25" t="s">
        <v>154</v>
      </c>
      <c r="G27" s="26" t="s">
        <v>6</v>
      </c>
      <c r="H27" s="8"/>
      <c r="I27" s="8">
        <v>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876</v>
      </c>
      <c r="L35" s="41">
        <v>4</v>
      </c>
      <c r="M35" s="16">
        <v>337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19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45374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1197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1297</v>
      </c>
      <c r="D6" s="2"/>
      <c r="E6" s="18">
        <v>884</v>
      </c>
      <c r="F6" s="25" t="s">
        <v>157</v>
      </c>
      <c r="G6" s="26" t="s">
        <v>7</v>
      </c>
      <c r="H6" s="8">
        <v>1197</v>
      </c>
      <c r="I6" s="8">
        <v>1197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1297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1197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881</v>
      </c>
      <c r="L15" s="9" t="s">
        <v>126</v>
      </c>
      <c r="M15" s="16" t="s">
        <v>127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1297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477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477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873</v>
      </c>
      <c r="F26" s="25" t="s">
        <v>132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881</v>
      </c>
      <c r="L35" s="41">
        <v>5</v>
      </c>
      <c r="M35" s="55">
        <v>477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 t="s">
        <v>158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9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45375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45376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5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4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45377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1167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1167</v>
      </c>
      <c r="D6" s="2"/>
      <c r="E6" s="18">
        <v>885</v>
      </c>
      <c r="F6" s="25" t="s">
        <v>159</v>
      </c>
      <c r="G6" s="26" t="s">
        <v>6</v>
      </c>
      <c r="H6" s="8">
        <v>1167</v>
      </c>
      <c r="I6" s="8">
        <v>1167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1167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1167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193.14</v>
      </c>
      <c r="D15" s="2"/>
      <c r="E15" s="18"/>
      <c r="F15" s="25"/>
      <c r="G15" s="26"/>
      <c r="H15" s="8"/>
      <c r="I15" s="8"/>
      <c r="J15" s="2"/>
      <c r="K15" s="25">
        <v>872</v>
      </c>
      <c r="L15" s="9" t="s">
        <v>126</v>
      </c>
      <c r="M15" s="16" t="s">
        <v>35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1360.1399999999999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1167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861</v>
      </c>
      <c r="F35" s="25" t="s">
        <v>135</v>
      </c>
      <c r="G35" s="26" t="s">
        <v>10</v>
      </c>
      <c r="H35" s="8">
        <v>193.14</v>
      </c>
      <c r="I35" s="8" t="s">
        <v>71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2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45378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45379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137.80000000000001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84.25</v>
      </c>
      <c r="D15" s="2"/>
      <c r="E15" s="18"/>
      <c r="F15" s="25"/>
      <c r="G15" s="26"/>
      <c r="H15" s="8"/>
      <c r="I15" s="8"/>
      <c r="J15" s="2"/>
      <c r="K15" s="25">
        <v>882</v>
      </c>
      <c r="L15" s="9" t="s">
        <v>126</v>
      </c>
      <c r="M15" s="16" t="s">
        <v>35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222.05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876</v>
      </c>
      <c r="F35" s="25" t="s">
        <v>139</v>
      </c>
      <c r="G35" s="26" t="s">
        <v>10</v>
      </c>
      <c r="H35" s="8">
        <v>84.25</v>
      </c>
      <c r="I35" s="8" t="s">
        <v>40</v>
      </c>
      <c r="K35" s="25"/>
      <c r="L35" s="41"/>
      <c r="M35" s="16"/>
    </row>
    <row r="36" spans="2:18" ht="15.75" x14ac:dyDescent="0.25">
      <c r="E36" s="18">
        <v>863</v>
      </c>
      <c r="F36" s="25" t="s">
        <v>128</v>
      </c>
      <c r="G36" s="26" t="s">
        <v>7</v>
      </c>
      <c r="H36" s="8">
        <v>137.80000000000001</v>
      </c>
      <c r="I36" s="8" t="s">
        <v>66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H36" sqref="H3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45380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7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topLeftCell="A19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45381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212.5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212.5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106">
        <v>785</v>
      </c>
      <c r="F35" s="99" t="s">
        <v>160</v>
      </c>
      <c r="G35" s="100" t="s">
        <v>10</v>
      </c>
      <c r="H35" s="101">
        <v>212.5</v>
      </c>
      <c r="I35" s="101" t="s">
        <v>39</v>
      </c>
      <c r="K35" s="25"/>
      <c r="L35" s="41"/>
      <c r="M35" s="16"/>
    </row>
    <row r="36" spans="2:18" ht="15" x14ac:dyDescent="0.25">
      <c r="E36" s="106"/>
      <c r="F36" s="99"/>
      <c r="G36" s="100"/>
      <c r="H36" s="101"/>
      <c r="I36" s="101"/>
      <c r="K36" s="25"/>
      <c r="L36" s="41"/>
      <c r="M36" s="16"/>
    </row>
    <row r="37" spans="2:18" ht="15" x14ac:dyDescent="0.25">
      <c r="E37" s="106"/>
      <c r="F37" s="99"/>
      <c r="G37" s="100"/>
      <c r="H37" s="101"/>
      <c r="I37" s="101"/>
      <c r="K37" s="25"/>
      <c r="L37" s="41"/>
      <c r="M37" s="16"/>
    </row>
    <row r="38" spans="2:18" ht="15" x14ac:dyDescent="0.25">
      <c r="E38" s="106"/>
      <c r="F38" s="99"/>
      <c r="G38" s="100"/>
      <c r="H38" s="101"/>
      <c r="I38" s="101"/>
      <c r="K38" s="25"/>
      <c r="L38" s="41"/>
      <c r="M38" s="16"/>
    </row>
    <row r="39" spans="2:18" ht="15" x14ac:dyDescent="0.25">
      <c r="E39" s="106"/>
      <c r="F39" s="102"/>
      <c r="G39" s="100"/>
      <c r="H39" s="101"/>
      <c r="I39" s="101"/>
      <c r="K39" s="25"/>
      <c r="L39" s="41"/>
      <c r="M39" s="16"/>
    </row>
    <row r="40" spans="2:18" ht="15" x14ac:dyDescent="0.25">
      <c r="E40" s="107"/>
      <c r="F40" s="103"/>
      <c r="G40" s="104"/>
      <c r="H40" s="105"/>
      <c r="I40" s="101"/>
      <c r="K40" s="36"/>
      <c r="L40" s="42"/>
      <c r="M40" s="40"/>
      <c r="Q40" s="1" t="s">
        <v>33</v>
      </c>
      <c r="R40" s="1">
        <f>SUM(R6:R21)</f>
        <v>0</v>
      </c>
    </row>
    <row r="41" spans="2:18" ht="15" x14ac:dyDescent="0.25">
      <c r="E41" s="108"/>
      <c r="F41" s="102"/>
      <c r="G41" s="100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45382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26D6-E20D-4436-8899-5AE3B32C6EB7}">
  <sheetPr codeName="Planilha34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53</v>
      </c>
      <c r="B1" s="38" t="s">
        <v>54</v>
      </c>
      <c r="E1" s="38" t="s">
        <v>55</v>
      </c>
    </row>
    <row r="2" spans="1:5" x14ac:dyDescent="0.2">
      <c r="A2" s="38" t="s">
        <v>6</v>
      </c>
      <c r="B2" s="38" t="s">
        <v>56</v>
      </c>
      <c r="E2" t="s">
        <v>37</v>
      </c>
    </row>
    <row r="3" spans="1:5" x14ac:dyDescent="0.2">
      <c r="A3" s="38" t="s">
        <v>7</v>
      </c>
      <c r="B3" s="38" t="s">
        <v>57</v>
      </c>
      <c r="E3" t="s">
        <v>46</v>
      </c>
    </row>
    <row r="4" spans="1:5" x14ac:dyDescent="0.2">
      <c r="A4" s="38" t="s">
        <v>8</v>
      </c>
      <c r="B4" s="38" t="s">
        <v>58</v>
      </c>
      <c r="E4" t="s">
        <v>59</v>
      </c>
    </row>
    <row r="5" spans="1:5" x14ac:dyDescent="0.2">
      <c r="A5" s="38" t="s">
        <v>9</v>
      </c>
      <c r="B5" s="38" t="s">
        <v>60</v>
      </c>
      <c r="E5" t="s">
        <v>61</v>
      </c>
    </row>
    <row r="6" spans="1:5" x14ac:dyDescent="0.2">
      <c r="A6" s="38" t="s">
        <v>10</v>
      </c>
      <c r="B6" s="38" t="s">
        <v>10</v>
      </c>
      <c r="E6" t="s">
        <v>50</v>
      </c>
    </row>
    <row r="7" spans="1:5" x14ac:dyDescent="0.2">
      <c r="A7" s="38" t="s">
        <v>38</v>
      </c>
      <c r="B7" s="38" t="s">
        <v>62</v>
      </c>
      <c r="E7" t="s">
        <v>47</v>
      </c>
    </row>
    <row r="8" spans="1:5" x14ac:dyDescent="0.2">
      <c r="A8" t="s">
        <v>25</v>
      </c>
      <c r="B8" t="s">
        <v>63</v>
      </c>
      <c r="E8" t="s">
        <v>40</v>
      </c>
    </row>
    <row r="9" spans="1:5" x14ac:dyDescent="0.2">
      <c r="A9" s="38" t="s">
        <v>34</v>
      </c>
      <c r="B9" s="38" t="s">
        <v>64</v>
      </c>
      <c r="E9" t="s">
        <v>65</v>
      </c>
    </row>
    <row r="10" spans="1:5" x14ac:dyDescent="0.2">
      <c r="E10" t="s">
        <v>66</v>
      </c>
    </row>
    <row r="11" spans="1:5" x14ac:dyDescent="0.2">
      <c r="E11" t="s">
        <v>36</v>
      </c>
    </row>
    <row r="12" spans="1:5" x14ac:dyDescent="0.2">
      <c r="E12" t="s">
        <v>67</v>
      </c>
    </row>
    <row r="13" spans="1:5" x14ac:dyDescent="0.2">
      <c r="E13" t="s">
        <v>41</v>
      </c>
    </row>
    <row r="14" spans="1:5" x14ac:dyDescent="0.2">
      <c r="E14" t="s">
        <v>49</v>
      </c>
    </row>
    <row r="15" spans="1:5" x14ac:dyDescent="0.2">
      <c r="E15" t="s">
        <v>45</v>
      </c>
    </row>
    <row r="16" spans="1:5" x14ac:dyDescent="0.2">
      <c r="E16" t="s">
        <v>43</v>
      </c>
    </row>
    <row r="17" spans="5:5" x14ac:dyDescent="0.2">
      <c r="E17" t="s">
        <v>68</v>
      </c>
    </row>
    <row r="18" spans="5:5" x14ac:dyDescent="0.2">
      <c r="E18" t="s">
        <v>69</v>
      </c>
    </row>
    <row r="19" spans="5:5" x14ac:dyDescent="0.2">
      <c r="E19" t="s">
        <v>42</v>
      </c>
    </row>
    <row r="20" spans="5:5" x14ac:dyDescent="0.2">
      <c r="E20" t="s">
        <v>48</v>
      </c>
    </row>
    <row r="21" spans="5:5" x14ac:dyDescent="0.2">
      <c r="E21" t="s">
        <v>70</v>
      </c>
    </row>
    <row r="22" spans="5:5" x14ac:dyDescent="0.2">
      <c r="E22" t="s">
        <v>44</v>
      </c>
    </row>
    <row r="23" spans="5:5" x14ac:dyDescent="0.2">
      <c r="E23" t="s">
        <v>71</v>
      </c>
    </row>
    <row r="24" spans="5:5" x14ac:dyDescent="0.2">
      <c r="E24" t="s">
        <v>51</v>
      </c>
    </row>
    <row r="25" spans="5:5" x14ac:dyDescent="0.2">
      <c r="E25" t="s">
        <v>72</v>
      </c>
    </row>
    <row r="26" spans="5:5" x14ac:dyDescent="0.2">
      <c r="E26" t="s">
        <v>73</v>
      </c>
    </row>
    <row r="27" spans="5:5" x14ac:dyDescent="0.2">
      <c r="E27" t="s">
        <v>52</v>
      </c>
    </row>
    <row r="28" spans="5:5" x14ac:dyDescent="0.2">
      <c r="E28" t="s">
        <v>74</v>
      </c>
    </row>
    <row r="29" spans="5:5" x14ac:dyDescent="0.2">
      <c r="E29" t="s">
        <v>75</v>
      </c>
    </row>
    <row r="30" spans="5:5" x14ac:dyDescent="0.2">
      <c r="E30" t="s">
        <v>76</v>
      </c>
    </row>
    <row r="31" spans="5:5" x14ac:dyDescent="0.2">
      <c r="E31" t="s">
        <v>77</v>
      </c>
    </row>
    <row r="32" spans="5:5" x14ac:dyDescent="0.2">
      <c r="E32" t="s">
        <v>78</v>
      </c>
    </row>
    <row r="33" spans="5:5" x14ac:dyDescent="0.2">
      <c r="E33" t="s">
        <v>79</v>
      </c>
    </row>
    <row r="34" spans="5:5" x14ac:dyDescent="0.2">
      <c r="E34" t="s">
        <v>39</v>
      </c>
    </row>
    <row r="35" spans="5:5" x14ac:dyDescent="0.2">
      <c r="E35" t="s">
        <v>80</v>
      </c>
    </row>
    <row r="36" spans="5:5" x14ac:dyDescent="0.2">
      <c r="E36" t="s">
        <v>81</v>
      </c>
    </row>
    <row r="37" spans="5:5" x14ac:dyDescent="0.2">
      <c r="E37" t="s">
        <v>82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1</vt:i4>
      </vt:variant>
    </vt:vector>
  </HeadingPairs>
  <TitlesOfParts>
    <vt:vector size="35" baseType="lpstr">
      <vt:lpstr>resumo_cx</vt:lpstr>
      <vt:lpstr>01</vt:lpstr>
      <vt:lpstr>02</vt:lpstr>
      <vt:lpstr>03</vt:lpstr>
      <vt:lpstr>05</vt:lpstr>
      <vt:lpstr>04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base</vt:lpstr>
      <vt:lpstr>'18'!Area_de_impressao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2024-04-12T16:35:08Z</cp:lastPrinted>
  <dcterms:created xsi:type="dcterms:W3CDTF">2004-04-07T20:43:43Z</dcterms:created>
  <dcterms:modified xsi:type="dcterms:W3CDTF">2024-09-28T13:45:08Z</dcterms:modified>
  <cp:category/>
  <cp:contentStatus/>
</cp:coreProperties>
</file>