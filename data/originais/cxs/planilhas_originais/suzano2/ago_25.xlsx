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5" documentId="8_{BA15C91A-803C-429A-A513-3429DB3AAC5C}" xr6:coauthVersionLast="47" xr6:coauthVersionMax="47" xr10:uidLastSave="{BD02828A-2168-444C-80D5-3659F377E301}"/>
  <bookViews>
    <workbookView xWindow="-120" yWindow="330" windowWidth="29040" windowHeight="15990" tabRatio="895" firstSheet="1" activeTab="1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1"/>
  <c r="C6" i="170"/>
  <c r="C6" i="103"/>
  <c r="C6" i="178"/>
  <c r="C6" i="177"/>
  <c r="C6" i="176"/>
  <c r="C6" i="182"/>
  <c r="C6" i="183"/>
  <c r="C6" i="181"/>
  <c r="C6" i="179"/>
  <c r="C6" i="184"/>
  <c r="C6" i="185"/>
  <c r="C6" i="186"/>
  <c r="C6" i="187"/>
  <c r="C6" i="189"/>
  <c r="C6" i="190"/>
  <c r="C6" i="191"/>
  <c r="C6" i="193"/>
  <c r="C6" i="194"/>
  <c r="C6" i="197"/>
  <c r="C6" i="196"/>
  <c r="C6" i="192"/>
  <c r="C6" i="199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79"/>
  <c r="C8" i="187"/>
  <c r="C8" i="189"/>
  <c r="C8" i="190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76"/>
  <c r="C8" i="192"/>
  <c r="C8" i="183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O11" i="185" s="1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80" l="1"/>
  <c r="C6" i="180"/>
  <c r="C8" i="180" s="1"/>
  <c r="O11" i="188"/>
  <c r="C6" i="188"/>
  <c r="C8" i="188" s="1"/>
  <c r="O11" i="175"/>
  <c r="C6" i="175"/>
  <c r="C8" i="175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<sst xmlns="http://schemas.openxmlformats.org/spreadsheetml/2006/main" count="1625" uniqueCount="146">
  <si>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</si>
  <si>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</si>
  <si>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</si>
  <si>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</si>
  <si>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</si>
  <si>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</si>
  <si>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</si>
  <si>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</si>
  <si>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</si>
  <si>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</si>
  <si>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</si>
  <si>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</si>
  <si>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</si>
  <si>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</si>
  <si>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</si>
  <si>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</si>
  <si>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</si>
  <si>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</si>
  <si>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</si>
  <si>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</si>
  <si>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</si>
  <si>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</si>
  <si>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</si>
  <si>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</si>
  <si>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</si>
  <si>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</si>
  <si>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</si>
  <si>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</si>
  <si>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</si>
  <si>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</si>
  <si>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</si>
  <si>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</si>
  <si>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</si>
  <si>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</si>
  <si>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</si>
  <si>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</si>
  <si>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</si>
  <si>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</si>
  <si>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</si>
  <si>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</si>
  <si>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</si>
  <si>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</si>
  <si>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</si>
  <si>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</si>
  <si>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</si>
  <si>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</si>
  <si>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</si>
  <si>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</si>
  <si>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</si>
  <si>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</si>
  <si>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</si>
  <si>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</si>
  <si>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</si>
  <si>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</si>
  <si>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</si>
  <si>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</si>
  <si>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</si>
  <si>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</si>
  <si>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</si>
  <si>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</si>
  <si>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</si>
  <si>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</si>
  <si>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</si>
  <si>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</si>
  <si>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</si>
  <si>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</si>
  <si>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</si>
  <si>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</si>
  <si>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</si>
  <si>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</si>
  <si>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</si>
  <si>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</si>
  <si>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</si>
  <si>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</si>
  <si>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</si>
  <si>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</si>
  <si>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</si>
  <si>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</si>
  <si>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</si>
  <si>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</si>
  <si>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</si>
  <si>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</si>
  <si>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</si>
  <si>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</si>
  <si>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</si>
  <si>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</si>
  <si>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</si>
  <si>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</si>
  <si>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</si>
  <si>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</si>
  <si>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</si>
  <si>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</si>
  <si>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</si>
  <si>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</si>
  <si>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</si>
  <si>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</si>
  <si>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</si>
  <si>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</si>
  <si>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</si>
  <si>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</si>
  <si>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</si>
  <si>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</si>
  <si>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</si>
  <si>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</si>
  <si>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</si>
  <si>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</si>
  <si>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</si>
  <si>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</si>
  <si>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</si>
  <si>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</si>
  <si>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</si>
  <si>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</si>
  <si>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</si>
  <si>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</si>
  <si>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</si>
  <si>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</si>
  <si>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</si>
  <si>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</si>
  <si>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</si>
  <si>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</si>
  <si>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</si>
  <si>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</si>
  <si>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</si>
  <si>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</si>
  <si>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</si>
  <si>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</si>
  <si>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</si>
  <si>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</si>
  <si>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</si>
  <si>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</si>
  <si>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</si>
  <si>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</si>
  <si>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</si>
  <si>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</si>
  <si>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</si>
  <si>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</si>
  <si>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</si>
  <si>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</si>
  <si>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</si>
  <si>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</si>
  <si>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</si>
  <si>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</si>
  <si>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</si>
  <si>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</si>
  <si>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II</t>
  </si>
  <si>
    <t>MARLENE CARDOZO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</si>
</sst>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B2" sqref="B2:M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0"/>
      <c r="C1" s="100"/>
      <c r="L1" s="101" t="s">
        <v>144</v>
      </c>
      <c r="M1" s="101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145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75" x14ac:dyDescent="0.25">
      <c r="A6" s="10" t="s">
        <v>4</v>
      </c>
      <c r="B6" s="34">
        <f ca="1">SUM(B4:B5)</f>
        <v>145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5" x14ac:dyDescent="0.25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5" x14ac:dyDescent="0.25">
      <c r="A8" s="97" t="s">
        <v>5</v>
      </c>
      <c r="B8" s="98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0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5" x14ac:dyDescent="0.25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145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5" x14ac:dyDescent="0.25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5" x14ac:dyDescent="0.25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5" x14ac:dyDescent="0.25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0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75" x14ac:dyDescent="0.25">
      <c r="A14" s="10" t="s">
        <v>11</v>
      </c>
      <c r="B14" s="60">
        <f ca="1">SUM(B9:B13)</f>
        <v>145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5" x14ac:dyDescent="0.25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5" x14ac:dyDescent="0.25">
      <c r="A16" s="97" t="s">
        <v>12</v>
      </c>
      <c r="B16" s="99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75" x14ac:dyDescent="0.25">
      <c r="A18" s="10" t="s">
        <v>11</v>
      </c>
      <c r="B18" s="60">
        <f>SUM(B17:B17)</f>
        <v>0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ht="13.5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13.5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ht="13.5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ht="13.5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ht="13.5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3.5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ht="13.5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ht="13.5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3.5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ht="13.5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ht="13.5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ht="13.5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ht="13.5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3.5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ht="13.5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ht="13.5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ht="13.5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ht="13.5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ht="13.5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ht="13.5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v>45870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topLeftCell="B1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'01'!B1+1</f>
        <v>45871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IF(vend2[[#This Row],[Nº Venda]]&gt;1,1,0)</f>
        <v>0</v>
      </c>
    </row>
    <row r="19" spans="2:18" ht="16.5" x14ac:dyDescent="0.3">
      <c r="B19" s="30">
        <f>COUNT(entr_carn2[OS])</f>
        <v>0</v>
      </c>
      <c r="C19" s="74">
        <f>SUM(entr_carn2[Valor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'02'!B1+1</f>
        <v>45872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IF(vend3[[#This Row],[Nº Venda]]&gt;1,1,0)</f>
        <v>0</v>
      </c>
    </row>
    <row r="19" spans="2:18" ht="16.5" x14ac:dyDescent="0.3">
      <c r="B19" s="30">
        <f>COUNT(entr_carn3[OS])</f>
        <v>0</v>
      </c>
      <c r="C19" s="74">
        <f>SUM(entr_carn3[Valor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'03'!B1+1</f>
        <v>45873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'04'!B1+1</f>
        <v>45874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3"/>
      <c r="H10" s="41"/>
      <c r="I10" s="41"/>
      <c r="J10" s="32"/>
      <c r="K10" s="81"/>
      <c r="L10" s="95"/>
      <c r="M10" s="46"/>
      <c r="R10" s="1">
        <f>IF(vend5[[#This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3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N15" s="6"/>
      <c r="R15" s="1">
        <f>IF(vend5[[#This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N16" s="6"/>
      <c r="R16" s="1">
        <f>IF(vend5[[#This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IF(vend5[[#This Row],[Nº Venda]]&gt;1,1,0)</f>
        <v>0</v>
      </c>
    </row>
    <row r="19" spans="2:18" ht="16.5" x14ac:dyDescent="0.3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'05'!B1+1</f>
        <v>45875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2">
        <f>'06'!B1+1</f>
        <v>45876</v>
      </c>
      <c r="C1" s="102"/>
      <c r="L1" s="103" t="s">
        <v>144</v>
      </c>
      <c r="M1" s="103"/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  <c r="U4" s="1">
        <v>0</v>
      </c>
    </row>
    <row r="5" spans="2:21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IF(vend7[[#This Row],[Nº Venda]]&gt;1,1,0)</f>
        <v>0</v>
      </c>
    </row>
    <row r="7" spans="2:21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IF(vend7[[#This Row],[Nº Venda]]&gt;1,1,0)</f>
        <v>0</v>
      </c>
    </row>
    <row r="8" spans="2:21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IF(vend7[[#This Row],[Nº Venda]]&gt;1,1,0)</f>
        <v>0</v>
      </c>
    </row>
    <row r="9" spans="2:21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IF(vend7[[#This Row],[Nº Venda]]&gt;1,1,0)</f>
        <v>0</v>
      </c>
    </row>
    <row r="10" spans="2:21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IF(vend7[[#This Row],[Nº Venda]]&gt;1,1,0)</f>
        <v>0</v>
      </c>
    </row>
    <row r="11" spans="2:21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IF(vend7[[#This Row],[Nº Venda]]&gt;1,1,0)</f>
        <v>0</v>
      </c>
    </row>
    <row r="14" spans="2:21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R15" s="1">
        <f>IF(vend7[[#This Row],[Nº Venda]]&gt;1,1,0)</f>
        <v>0</v>
      </c>
    </row>
    <row r="16" spans="2:21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5"/>
      <c r="G26" s="51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'07'!B1+1</f>
        <v>45877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41"/>
      <c r="G6" s="41"/>
      <c r="H6" s="41"/>
      <c r="I6" s="41"/>
      <c r="J6" s="32"/>
      <c r="K6" s="81"/>
      <c r="L6" s="95"/>
      <c r="M6" s="46"/>
      <c r="R6" s="1">
        <f>IF(vend8[[#This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41"/>
      <c r="G7" s="41"/>
      <c r="H7" s="41"/>
      <c r="I7" s="41"/>
      <c r="J7" s="32"/>
      <c r="K7" s="81"/>
      <c r="L7" s="95"/>
      <c r="M7" s="46"/>
      <c r="R7" s="1">
        <f>IF(vend8[[#This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41"/>
      <c r="G8" s="41"/>
      <c r="H8" s="41"/>
      <c r="I8" s="41"/>
      <c r="J8" s="32"/>
      <c r="K8" s="81"/>
      <c r="L8" s="95"/>
      <c r="M8" s="46"/>
      <c r="R8" s="1">
        <f>IF(vend8[[#This Row],[Nº Venda]]&gt;1,1,0)</f>
        <v>0</v>
      </c>
    </row>
    <row r="9" spans="2:18" ht="16.5" x14ac:dyDescent="0.3">
      <c r="B9" s="29"/>
      <c r="C9" s="29"/>
      <c r="D9" s="32"/>
      <c r="E9" s="80"/>
      <c r="F9" s="41"/>
      <c r="G9" s="41"/>
      <c r="H9" s="41"/>
      <c r="I9" s="41"/>
      <c r="J9" s="32"/>
      <c r="K9" s="81"/>
      <c r="L9" s="95"/>
      <c r="M9" s="46"/>
      <c r="R9" s="1">
        <f>IF(vend8[[#This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IF(vend8[[#This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(SUMIF($G$2:$G$31,B11,$I$2:$I$31))+(SUMIF($G$35:$G$42,B11,$H$35:$H$42))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(SUMIF($G$2:$G$31,B12,$I$2:$I$31))+(SUMIF($G$35:$G$42,B12,$H$35:$H$42))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(SUMIF($G$2:$G$31,B13,$I$2:$I$31))+(SUMIF($G$35:$G$42,B13,$H$35:$H$42))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IF(vend8[[#This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(SUMIF($G$2:$G$31,B14,$I$2:$I$31))+(SUMIF($G$35:$G$42,B14,$H$35:$H$42))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(SUMIF($G$2:$G$31,B15,$I$2:$I$31))+(SUMIF($G$35:$G$42,B15,$H$35:$H$42))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2">
        <f>'08'!B1+1</f>
        <v>45878</v>
      </c>
      <c r="C1" s="102"/>
      <c r="L1" s="103" t="s">
        <v>144</v>
      </c>
      <c r="M1" s="103"/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IF(vend9[[#This Row],[Nº Venda]]&gt;1,1,0)</f>
        <v>0</v>
      </c>
    </row>
    <row r="14" spans="2:22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IF(vend9[[#This Row],[Nº Venda]]&gt;1,1,0)</f>
        <v>0</v>
      </c>
    </row>
    <row r="16" spans="2:22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'09'!B1+1</f>
        <v>45879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SUMIF(I6:I32,"&gt;0",H6:H32)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IF(vend10[[#This Row],[Nº Venda]]&gt;1,1,0)</f>
        <v>0</v>
      </c>
    </row>
    <row r="11" spans="2:18" ht="16.5" x14ac:dyDescent="0.3">
      <c r="B11" s="30" t="s">
        <v>6</v>
      </c>
      <c r="C11" s="74">
        <f>(SUMIF($G$2:$G$32,B11,$I$2:$I$32))+(SUMIF($G$36:$G$42,B11,$H$36:$H$42))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30" t="s">
        <v>7</v>
      </c>
      <c r="C12" s="74">
        <f>(SUMIF($G$2:$G$32,B12,$I$2:$I$32))+(SUMIF($G$36:$G$42,B12,$H$36:$H$42))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6.5" x14ac:dyDescent="0.3">
      <c r="B13" s="30" t="s">
        <v>8</v>
      </c>
      <c r="C13" s="74">
        <f>(SUMIF($G$2:$G$32,B13,$I$2:$I$32))+(SUMIF($G$36:$G$42,B13,$H$36:$H$42))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IF(vend10[[#This Row],[Nº Venda]]&gt;1,1,0)</f>
        <v>0</v>
      </c>
    </row>
    <row r="14" spans="2:18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4">
        <f>(SUMIF($G$2:$G$32,B15,$I$2:$I$32))+(SUMIF($G$36:$G$42,B15,$H$36:$H$42))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7.25" x14ac:dyDescent="0.3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6.5" x14ac:dyDescent="0.3">
      <c r="B33" s="32"/>
      <c r="C33" s="32"/>
      <c r="D33" s="40"/>
      <c r="E33" s="47"/>
      <c r="F33" s="48"/>
      <c r="G33" s="48"/>
      <c r="H33" s="49"/>
      <c r="I33" s="62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05" t="s">
        <v>143</v>
      </c>
      <c r="F34" s="105"/>
      <c r="G34" s="105"/>
      <c r="H34" s="105"/>
      <c r="I34" s="105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tabSelected="1" topLeftCell="A6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'10'!B1+1</f>
        <v>45880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145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IF(vend11[[#This Row],[Nº Venda]]&gt;1,1,0)</f>
        <v>0</v>
      </c>
    </row>
    <row r="8" spans="2:18" ht="16.5" x14ac:dyDescent="0.3">
      <c r="B8" s="33" t="s">
        <v>21</v>
      </c>
      <c r="C8" s="34">
        <f>SUM(C6:C7)</f>
        <v>145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145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IF(vend11[[#This Row],[Nº Venda]]&gt;1,1,0)</f>
        <v>0</v>
      </c>
    </row>
    <row r="16" spans="2:18" ht="16.5" x14ac:dyDescent="0.3">
      <c r="B16" s="33" t="s">
        <v>11</v>
      </c>
      <c r="C16" s="75">
        <f>SUM(C11:C15)</f>
        <v>145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IF(vend11[[#This Row],[Nº Venda]]&gt;1,1,0)</f>
        <v>0</v>
      </c>
    </row>
    <row r="19" spans="2:18" ht="16.5" x14ac:dyDescent="0.3">
      <c r="B19" s="30">
        <f>COUNT(entr_carn11[OS])</f>
        <v>0</v>
      </c>
      <c r="C19" s="74">
        <f>SUM(entr_carn11[Valor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1068</v>
      </c>
      <c r="F35" s="81" t="s">
        <v>145</v>
      </c>
      <c r="G35" s="54" t="s">
        <v>7</v>
      </c>
      <c r="H35" s="41">
        <v>145</v>
      </c>
      <c r="I35" s="41" t="s">
        <v>44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'11'!B1+1</f>
        <v>45881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IF(vend12[[#This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IF(vend12[[#This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53"/>
      <c r="G8" s="53"/>
      <c r="H8" s="41"/>
      <c r="I8" s="41"/>
      <c r="J8" s="32"/>
      <c r="K8" s="81"/>
      <c r="L8" s="95"/>
      <c r="M8" s="46"/>
      <c r="R8" s="1">
        <f>IF(vend12[[#This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53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'12'!B1+1</f>
        <v>45882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'13'!B1+1</f>
        <v>45883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IF(vend14[[#This Row],[Nº Venda]]&gt;1,1,0)</f>
        <v>0</v>
      </c>
    </row>
    <row r="19" spans="2:18" ht="16.5" x14ac:dyDescent="0.3">
      <c r="B19" s="30">
        <f>COUNT(entr_carn14[OS])</f>
        <v>0</v>
      </c>
      <c r="C19" s="74">
        <f>SUM(entr_carn14[Valor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'14'!B1+1</f>
        <v>45884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'15'!B1+1</f>
        <v>45885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'16'!B1+1</f>
        <v>45886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'17'!B1+1</f>
        <v>45887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43"/>
      <c r="M6" s="46"/>
      <c r="R6" s="1">
        <f>IF(vend18[[#This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IF(vend18[[#This Row],[Nº Venda]]&gt;1,1,0)</f>
        <v>0</v>
      </c>
    </row>
    <row r="19" spans="2:18" ht="16.5" x14ac:dyDescent="0.3">
      <c r="B19" s="30">
        <f>COUNT(entr_carn18[OS])</f>
        <v>0</v>
      </c>
      <c r="C19" s="74">
        <f>SUM(entr_carn18[Valor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zoomScale="90" zoomScaleNormal="90" zoomScaleSheetLayoutView="7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'18'!B1+1</f>
        <v>45888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IF(vend19[[#This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IF(vend19[[#This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IF(vend19[[#This Row],[Nº Venda]]&gt;1,1,0)</f>
        <v>0</v>
      </c>
    </row>
    <row r="19" spans="2:22" ht="16.5" x14ac:dyDescent="0.3">
      <c r="B19" s="30">
        <f>COUNT(entr_carn19[OS])</f>
        <v>0</v>
      </c>
      <c r="C19" s="74">
        <f>SUM(entr_carn19[Valor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IF(vend19[[#This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54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54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'19'!B1+1</f>
        <v>45889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'20'!B1+1</f>
        <v>45890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'21'!B1+1</f>
        <v>45891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'22'!B1+1</f>
        <v>45892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IF(vend23[[#This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'23'!B1+1</f>
        <v>45893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'24'!B1+1</f>
        <v>45894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IF(vend25[[#This Row],[Nº Venda]]&gt;1,1,0)</f>
        <v>0</v>
      </c>
    </row>
    <row r="14" spans="2:18" ht="16.5" x14ac:dyDescent="0.3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'25'!B1+1</f>
        <v>45895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'26'!B1+1</f>
        <v>45896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'27'!B1+1</f>
        <v>45897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'28'!B1+1</f>
        <v>45898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'29'!B1+1</f>
        <v>45899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'30'!B1+1</f>
        <v>45900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2024-04-01T15:51:27Z</cp:lastPrinted>
  <dcterms:created xsi:type="dcterms:W3CDTF">2004-04-07T20:43:43Z</dcterms:created>
  <dcterms:modified xsi:type="dcterms:W3CDTF">2025-08-20T19:07:48Z</dcterms:modified>
  <cp:category/>
  <cp:contentStatus/>
</cp:coreProperties>
</file>