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2023/"/>
    </mc:Choice>
  </mc:AlternateContent>
  <xr:revisionPtr revIDLastSave="8" documentId="13_ncr:1_{0568D12D-0197-4D07-BA32-8CFC11491533}" xr6:coauthVersionLast="47" xr6:coauthVersionMax="47" xr10:uidLastSave="{6AB26AF5-69E5-4A63-BBDF-0B8576C8AE95}"/>
  <bookViews>
    <workbookView xWindow="-120" yWindow="-120" windowWidth="20730" windowHeight="11160" tabRatio="895" firstSheet="7" activeTab="28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25">'25'!$A$1:$S$41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4" l="1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5" i="198"/>
  <c r="C5" i="175"/>
  <c r="C22" i="175" s="1"/>
  <c r="C6" i="174"/>
  <c r="C6" i="173"/>
  <c r="C8" i="173" s="1"/>
  <c r="C6" i="172"/>
  <c r="C6" i="171"/>
  <c r="C8" i="171" s="1"/>
  <c r="C6" i="170"/>
  <c r="C6" i="103"/>
  <c r="C6" i="178"/>
  <c r="C6" i="177"/>
  <c r="C6" i="176"/>
  <c r="C6" i="180"/>
  <c r="C8" i="180" s="1"/>
  <c r="C6" i="182"/>
  <c r="C6" i="183"/>
  <c r="C8" i="183" s="1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6" i="197"/>
  <c r="C8" i="197" s="1"/>
  <c r="C6" i="196"/>
  <c r="C6" i="192"/>
  <c r="C8" i="192" s="1"/>
  <c r="C6" i="199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C22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C22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22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C8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96" l="1"/>
  <c r="C8" i="172"/>
  <c r="C8" i="194"/>
  <c r="C8" i="199"/>
  <c r="R40" i="197"/>
  <c r="R40" i="199"/>
  <c r="R40" i="190"/>
  <c r="C16" i="170"/>
  <c r="O11" i="170" s="1"/>
  <c r="C8" i="191"/>
  <c r="R40" i="192"/>
  <c r="R40" i="196"/>
  <c r="B17" i="200"/>
  <c r="B18" i="200" s="1"/>
  <c r="R40" i="194"/>
  <c r="R40" i="198"/>
  <c r="C8" i="175"/>
  <c r="R40" i="187"/>
  <c r="R40" i="189"/>
  <c r="R40" i="191"/>
  <c r="R40" i="193"/>
  <c r="R40" i="195"/>
  <c r="C8" i="176"/>
  <c r="C8" i="188"/>
  <c r="R40" i="183"/>
  <c r="R40" i="170"/>
  <c r="R40" i="180"/>
  <c r="R40" i="185"/>
  <c r="R40" i="186"/>
  <c r="R40" i="188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sharedStrings.xml><?xml version="1.0" encoding="utf-8"?>
<sst xmlns="http://schemas.openxmlformats.org/spreadsheetml/2006/main" count="1718" uniqueCount="186">
  <si>
    <t>Fechamento Diário do Caixa</t>
  </si>
  <si>
    <t>Saldo Inicial</t>
  </si>
  <si>
    <t>Vendas</t>
  </si>
  <si>
    <t>Despesas</t>
  </si>
  <si>
    <t>Nº Venda</t>
  </si>
  <si>
    <t>Cliente</t>
  </si>
  <si>
    <t>Forma de Pgto</t>
  </si>
  <si>
    <t>Valor Venda</t>
  </si>
  <si>
    <t>Entrada</t>
  </si>
  <si>
    <t>Descrição</t>
  </si>
  <si>
    <t>Tipo de Pagto</t>
  </si>
  <si>
    <t>Valor</t>
  </si>
  <si>
    <t>DN</t>
  </si>
  <si>
    <t>PIX</t>
  </si>
  <si>
    <t>Total  entrada</t>
  </si>
  <si>
    <t>PCTC</t>
  </si>
  <si>
    <t>Tipos de Pagtos</t>
  </si>
  <si>
    <t>CTD</t>
  </si>
  <si>
    <t>CTC</t>
  </si>
  <si>
    <t>Total</t>
  </si>
  <si>
    <t>Venda</t>
  </si>
  <si>
    <t>Total de OS</t>
  </si>
  <si>
    <t>Restante Entrada</t>
  </si>
  <si>
    <t>SS</t>
  </si>
  <si>
    <t>Tipo Pagto</t>
  </si>
  <si>
    <t>descricao</t>
  </si>
  <si>
    <t>Dinheiro</t>
  </si>
  <si>
    <t>Cartão Débito</t>
  </si>
  <si>
    <t>Cartão Crédito</t>
  </si>
  <si>
    <t>Parcelado Cartão Crédito</t>
  </si>
  <si>
    <t>Sem Sinal</t>
  </si>
  <si>
    <t>OS</t>
  </si>
  <si>
    <t>CARNE</t>
  </si>
  <si>
    <t xml:space="preserve">Carne </t>
  </si>
  <si>
    <t>Vendedor</t>
  </si>
  <si>
    <t>Entrega de Carne</t>
  </si>
  <si>
    <t>OS Entregue no Dia</t>
  </si>
  <si>
    <t>Parcelas</t>
  </si>
  <si>
    <t>Valor Total</t>
  </si>
  <si>
    <t>Recebimento de Carnê</t>
  </si>
  <si>
    <t>Valor Parcela</t>
  </si>
  <si>
    <t>Nº Parcela</t>
  </si>
  <si>
    <t>GARANTIA</t>
  </si>
  <si>
    <t>Todas as Garantias</t>
  </si>
  <si>
    <t xml:space="preserve">Parcelas </t>
  </si>
  <si>
    <t>PARC. 1/1</t>
  </si>
  <si>
    <t>PARC. 1/2</t>
  </si>
  <si>
    <t>PARC. 2/2</t>
  </si>
  <si>
    <t>PARC. 1/3</t>
  </si>
  <si>
    <t>PARC. 2/3</t>
  </si>
  <si>
    <t>PARC. 3/3</t>
  </si>
  <si>
    <t>PARC. 1/4</t>
  </si>
  <si>
    <t>PARC. 2/4</t>
  </si>
  <si>
    <t>PARC. 3/4</t>
  </si>
  <si>
    <t>PARC. 4/4</t>
  </si>
  <si>
    <t>PARC. 1/5</t>
  </si>
  <si>
    <t>PARC. 2/5</t>
  </si>
  <si>
    <t>PARC. 3/5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</si>
  <si>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</si>
  <si>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</si>
  <si>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</si>
  <si>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</si>
  <si>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</si>
  <si>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</si>
  <si>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</si>
  <si>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</si>
  <si>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</si>
  <si>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</si>
  <si>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</si>
  <si>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</si>
  <si>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</si>
  <si>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</si>
  <si>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</si>
  <si>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</si>
  <si>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</si>
  <si>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</si>
  <si>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</si>
  <si>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</si>
  <si>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</si>
  <si>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</si>
  <si>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</si>
  <si>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</si>
  <si>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</si>
  <si>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</si>
  <si>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</si>
  <si>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</si>
  <si>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</si>
  <si>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</si>
  <si>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</si>
  <si>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</si>
  <si>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</si>
  <si>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</si>
  <si>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</si>
  <si>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</si>
  <si>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</si>
  <si>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</si>
  <si>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</si>
  <si>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</si>
  <si>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</si>
  <si>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</si>
  <si>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</si>
  <si>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</si>
  <si>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</si>
  <si>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</si>
  <si>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</si>
  <si>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</si>
  <si>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</si>
  <si>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</si>
  <si>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</si>
  <si>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</si>
  <si>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</si>
  <si>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</si>
  <si>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</si>
  <si>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</si>
  <si>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</si>
  <si>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</si>
  <si>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</si>
  <si>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</si>
  <si>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</si>
  <si>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</si>
  <si>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</si>
  <si>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</si>
  <si>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</si>
  <si>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Entr_Desp</t>
  </si>
  <si>
    <t xml:space="preserve">Kaylane </t>
  </si>
  <si>
    <t>Não</t>
  </si>
  <si>
    <t>Juliana Cera</t>
  </si>
  <si>
    <t>Adriana Anselmo</t>
  </si>
  <si>
    <t>ADONEL LOPES</t>
  </si>
  <si>
    <t>MARIA</t>
  </si>
  <si>
    <t>Água</t>
  </si>
  <si>
    <t>Sim</t>
  </si>
  <si>
    <t>Valeria Anastacio</t>
  </si>
  <si>
    <t>dn</t>
  </si>
  <si>
    <t>Zaine</t>
  </si>
  <si>
    <t>Valeria Cristina</t>
  </si>
  <si>
    <t>ctd</t>
  </si>
  <si>
    <t xml:space="preserve">Valeria Anastacio </t>
  </si>
  <si>
    <t>Patricia Lopes</t>
  </si>
  <si>
    <t>pix</t>
  </si>
  <si>
    <t>776</t>
  </si>
  <si>
    <t xml:space="preserve">Cilene Dos Santos </t>
  </si>
  <si>
    <t>pctc</t>
  </si>
  <si>
    <t>Maria</t>
  </si>
  <si>
    <t xml:space="preserve">Margarida Maria </t>
  </si>
  <si>
    <t>Mário Jorge Martins</t>
  </si>
  <si>
    <t>Valeria Anastacio Martins</t>
  </si>
  <si>
    <t>Adonel Lopes</t>
  </si>
  <si>
    <t xml:space="preserve">Leticia Viana </t>
  </si>
  <si>
    <t>Jessica henrique</t>
  </si>
  <si>
    <t>Dn</t>
  </si>
  <si>
    <t>Sofia Henrique</t>
  </si>
  <si>
    <t xml:space="preserve">Edna De Albuquerque </t>
  </si>
  <si>
    <t>Marlene Aparecida</t>
  </si>
  <si>
    <t>Fabiano Noronha</t>
  </si>
  <si>
    <t>Ana Claudia Soares</t>
  </si>
  <si>
    <t>Valdecir de Souza Lima</t>
  </si>
  <si>
    <t>Margarida Maria Peixoto</t>
  </si>
  <si>
    <t>VERIFICAÇÃO</t>
  </si>
  <si>
    <t>Cassia Regina</t>
  </si>
  <si>
    <t>Maria Cristina Paulino</t>
  </si>
  <si>
    <t xml:space="preserve">      </t>
  </si>
  <si>
    <t xml:space="preserve">Rosineide Bezerra </t>
  </si>
  <si>
    <t>Ivani Gomes Januário</t>
  </si>
  <si>
    <t>Fabíola dos Santos</t>
  </si>
  <si>
    <t>Samuel</t>
  </si>
  <si>
    <t xml:space="preserve">Francisco Gomes </t>
  </si>
  <si>
    <t xml:space="preserve">Garantia </t>
  </si>
  <si>
    <t>Fabiola Dos Santos</t>
  </si>
  <si>
    <t xml:space="preserve">Juliana Patricia </t>
  </si>
  <si>
    <t xml:space="preserve">Iva Padua </t>
  </si>
  <si>
    <t>ss</t>
  </si>
  <si>
    <t>Givanildo Pedro</t>
  </si>
  <si>
    <t xml:space="preserve">         </t>
  </si>
  <si>
    <t>Luana Dos Santos</t>
  </si>
  <si>
    <t>Luana dos Santos Soares</t>
  </si>
  <si>
    <t xml:space="preserve">Jessica Henrique </t>
  </si>
  <si>
    <t xml:space="preserve">Sofia Henrique </t>
  </si>
  <si>
    <t>Camila Castro</t>
  </si>
  <si>
    <t>Eder Aparecido</t>
  </si>
  <si>
    <t>Claudineia Gomes</t>
  </si>
  <si>
    <t>Erika</t>
  </si>
  <si>
    <t xml:space="preserve">Maria </t>
  </si>
  <si>
    <t xml:space="preserve">Maria Thays </t>
  </si>
  <si>
    <t>Iva Padua Maia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</si>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</sst>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1"/>
      <name val="Calibri"/>
      <family val="2"/>
    </font>
    <font>
      <sz val="18"/>
      <name val="Arial Black"/>
      <family val="2"/>
    </font>
    <font>
      <b/>
      <sz val="12"/>
      <name val="Arial"/>
      <family val="2"/>
    </font>
    <font>
      <sz val="20"/>
      <name val="Arial Black"/>
      <family val="2"/>
    </font>
    <font>
      <b/>
      <i/>
      <sz val="12"/>
      <name val="Arial"/>
      <family val="2"/>
    </font>
    <font>
      <b/>
      <i/>
      <sz val="12"/>
      <name val="Calibri"/>
      <family val="2"/>
    </font>
    <font>
      <b/>
      <i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44" fontId="34" fillId="0" borderId="13" xfId="39" applyFont="1" applyFill="1" applyBorder="1" applyAlignment="1">
      <alignment horizontal="center"/>
    </xf>
    <xf numFmtId="165" fontId="34" fillId="0" borderId="13" xfId="4" applyNumberFormat="1" applyFont="1" applyFill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4" fillId="0" borderId="17" xfId="39" applyFont="1" applyFill="1" applyBorder="1" applyAlignment="1">
      <alignment horizontal="center"/>
    </xf>
    <xf numFmtId="165" fontId="34" fillId="0" borderId="17" xfId="4" applyNumberFormat="1" applyFont="1" applyFill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49" fontId="35" fillId="0" borderId="13" xfId="39" applyNumberFormat="1" applyFont="1" applyFill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165" fontId="35" fillId="0" borderId="13" xfId="4" applyNumberFormat="1" applyFont="1" applyFill="1" applyBorder="1" applyAlignment="1">
      <alignment horizontal="center"/>
    </xf>
    <xf numFmtId="49" fontId="35" fillId="0" borderId="17" xfId="39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5" fillId="0" borderId="17" xfId="39" applyNumberFormat="1" applyFont="1" applyFill="1" applyBorder="1" applyAlignment="1">
      <alignment horizontal="center"/>
    </xf>
    <xf numFmtId="0" fontId="36" fillId="0" borderId="17" xfId="0" applyFont="1" applyBorder="1" applyAlignment="1">
      <alignment horizontal="center"/>
    </xf>
    <xf numFmtId="165" fontId="12" fillId="0" borderId="17" xfId="0" applyNumberFormat="1" applyFont="1" applyBorder="1" applyAlignment="1">
      <alignment horizontal="center"/>
    </xf>
    <xf numFmtId="165" fontId="12" fillId="0" borderId="6" xfId="0" applyNumberFormat="1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0" fontId="24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0" fontId="38" fillId="0" borderId="17" xfId="0" applyFont="1" applyBorder="1" applyAlignment="1">
      <alignment horizontal="center"/>
    </xf>
    <xf numFmtId="44" fontId="12" fillId="0" borderId="17" xfId="39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0" fontId="40" fillId="0" borderId="17" xfId="0" applyFont="1" applyBorder="1" applyAlignment="1">
      <alignment horizontal="center"/>
    </xf>
    <xf numFmtId="0" fontId="41" fillId="0" borderId="17" xfId="0" applyFont="1" applyBorder="1" applyAlignment="1">
      <alignment horizontal="center"/>
    </xf>
    <xf numFmtId="164" fontId="42" fillId="0" borderId="17" xfId="2" applyFont="1" applyFill="1" applyBorder="1" applyAlignment="1">
      <alignment horizontal="center"/>
    </xf>
    <xf numFmtId="165" fontId="42" fillId="0" borderId="17" xfId="4" applyNumberFormat="1" applyFont="1" applyFill="1" applyBorder="1" applyAlignment="1">
      <alignment horizontal="center"/>
    </xf>
    <xf numFmtId="1" fontId="42" fillId="0" borderId="17" xfId="0" applyNumberFormat="1" applyFont="1" applyBorder="1" applyAlignment="1">
      <alignment horizontal="center"/>
    </xf>
    <xf numFmtId="165" fontId="42" fillId="0" borderId="6" xfId="0" applyNumberFormat="1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644" dataDxfId="1642" headerRowBorderDxfId="1643" tableBorderDxfId="1641" totalsRowBorderDxfId="164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639" dataCellStyle="Moeda"/>
    <tableColumn id="5" xr3:uid="{4E864FFB-62AE-4C76-999A-80DAC03BA10F}" name="Cliente" dataDxfId="1638" dataCellStyle="Moeda"/>
    <tableColumn id="2" xr3:uid="{39F76C04-E7DF-4C8C-921C-A165689790E9}" name="Forma de Pgto" dataDxfId="1637" dataCellStyle="Moeda"/>
    <tableColumn id="3" xr3:uid="{E9370F52-26BB-4EAF-A1D9-2BD0CAE66157}" name="Valor Venda" dataDxfId="1636" dataCellStyle="Porcentagem"/>
    <tableColumn id="4" xr3:uid="{BA146EFF-288C-407A-B27C-EC83C6C60F64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634" dataDxfId="1632" headerRowBorderDxfId="1633" tableBorderDxfId="1631" totalsRowBorderDxfId="1630">
  <autoFilter ref="K5:M11" xr:uid="{00000000-0009-0000-0100-000015000000}"/>
  <tableColumns count="3">
    <tableColumn id="1" xr3:uid="{0B88E9C0-AB9D-453A-B36F-BD29A8C17D8A}" name="Descrição" dataDxfId="1629"/>
    <tableColumn id="2" xr3:uid="{17C658DA-B17E-40FE-A7BD-DC7D9EC674E9}" name="Tipo de Pagto" dataDxfId="1628"/>
    <tableColumn id="3" xr3:uid="{FF4BC756-9A15-4D47-B863-8A20D3280A08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626" dataDxfId="1624" headerRowBorderDxfId="1625" tableBorderDxfId="1623" totalsRowBorderDxfId="162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621"/>
    <tableColumn id="2" xr3:uid="{47D41B32-D662-49C2-9421-3A125B03A82A}" name="Cliente" dataDxfId="1620"/>
    <tableColumn id="3" xr3:uid="{39E1C509-0A71-43B1-986F-88861123AB80}" name="Forma de Pgto" dataDxfId="1619" dataCellStyle="Moeda"/>
    <tableColumn id="4" xr3:uid="{47286C2F-E1F6-47AA-8494-04DB96C3E6B1}" name="Valor Venda" dataDxfId="1618" dataCellStyle="Porcentagem"/>
    <tableColumn id="5" xr3:uid="{8CC8BB9B-601E-4BB4-B63E-BE429656D172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616" dataDxfId="1614" headerRowBorderDxfId="1615" tableBorderDxfId="1613" totalsRowBorderDxfId="1612">
  <autoFilter ref="K14:M31" xr:uid="{C83FE64B-E221-4DAA-89EA-5307A7BC98B3}"/>
  <tableColumns count="3">
    <tableColumn id="1" xr3:uid="{4F2E3C78-49DF-438D-A2AF-840084C0C05C}" name="OS" dataDxfId="1611"/>
    <tableColumn id="2" xr3:uid="{2EBF3173-B4D7-4BCC-8593-5878D7F40F65}" name="Vendedor" dataDxfId="1610"/>
    <tableColumn id="3" xr3:uid="{BFD4CEE5-C30B-49BA-951C-C0B0CCFBDF6A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608" dataDxfId="1606" headerRowBorderDxfId="1607" tableBorderDxfId="1605" totalsRowBorderDxfId="160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603"/>
    <tableColumn id="2" xr3:uid="{69A152AB-9A1E-4E74-850B-E7190DCBB712}" name="Cliente" dataDxfId="1602"/>
    <tableColumn id="3" xr3:uid="{F918E665-3FA3-4D49-8B7B-662CAB3CB814}" name="Forma de Pgto" dataDxfId="1601" dataCellStyle="Moeda"/>
    <tableColumn id="4" xr3:uid="{31D63A0C-E278-497A-9D40-34077035FD25}" name="Valor Parcela" dataDxfId="1600" dataCellStyle="Porcentagem"/>
    <tableColumn id="5" xr3:uid="{1B552883-A189-4B21-8398-A08FF7756606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98" headerRowBorderDxfId="1597" tableBorderDxfId="1596" totalsRowBorderDxfId="1595">
  <autoFilter ref="K34:M41" xr:uid="{1B8643D4-6AC3-4029-882A-C62E9D7CB225}"/>
  <tableColumns count="3">
    <tableColumn id="1" xr3:uid="{8A794627-537E-47A8-A07A-ED4FE9B7FAEE}" name="OS" dataDxfId="1594"/>
    <tableColumn id="2" xr3:uid="{75A5608F-8F26-4C71-A24D-8E79F737416A}" name="Parcelas" dataDxfId="1593"/>
    <tableColumn id="3" xr3:uid="{405D57D3-4E8E-4A9E-A3A3-7DDC45B62F91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18"/>
  <sheetViews>
    <sheetView workbookViewId="0">
      <selection activeCell="D6" sqref="D6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1</v>
      </c>
      <c r="B2" s="20">
        <v>0</v>
      </c>
    </row>
    <row r="3" spans="1:2" ht="15" x14ac:dyDescent="0.25">
      <c r="A3" s="23" t="s">
        <v>2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9500</v>
      </c>
    </row>
    <row r="4" spans="1:2" ht="15" x14ac:dyDescent="0.25">
      <c r="A4" s="23" t="s">
        <v>8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7467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11</v>
      </c>
    </row>
    <row r="6" spans="1:2" ht="15.75" x14ac:dyDescent="0.25">
      <c r="A6" s="28" t="s">
        <v>123</v>
      </c>
      <c r="B6" s="29">
        <f>SUM(B4:B5)</f>
        <v>7478</v>
      </c>
    </row>
    <row r="7" spans="1:2" ht="15" x14ac:dyDescent="0.25">
      <c r="A7" s="2"/>
      <c r="B7" s="2"/>
    </row>
    <row r="8" spans="1:2" ht="15" x14ac:dyDescent="0.2">
      <c r="A8" s="93" t="s">
        <v>16</v>
      </c>
      <c r="B8" s="93"/>
    </row>
    <row r="9" spans="1:2" ht="15" x14ac:dyDescent="0.25">
      <c r="A9" s="30" t="s">
        <v>12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645</v>
      </c>
    </row>
    <row r="10" spans="1:2" ht="15" x14ac:dyDescent="0.25">
      <c r="A10" s="30" t="s">
        <v>17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909</v>
      </c>
    </row>
    <row r="11" spans="1:2" ht="15" x14ac:dyDescent="0.25">
      <c r="A11" s="30" t="s">
        <v>18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188</v>
      </c>
    </row>
    <row r="12" spans="1:2" ht="15" x14ac:dyDescent="0.25">
      <c r="A12" s="30" t="s">
        <v>15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5210</v>
      </c>
    </row>
    <row r="13" spans="1:2" ht="15" x14ac:dyDescent="0.25">
      <c r="A13" s="30" t="s">
        <v>13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769.85</v>
      </c>
    </row>
    <row r="14" spans="1:2" ht="15.75" x14ac:dyDescent="0.25">
      <c r="A14" s="28" t="s">
        <v>19</v>
      </c>
      <c r="B14" s="32">
        <f>SUM(B9:B13)</f>
        <v>7721.85</v>
      </c>
    </row>
    <row r="15" spans="1:2" ht="15" x14ac:dyDescent="0.25">
      <c r="A15" s="2"/>
      <c r="B15" s="2"/>
    </row>
    <row r="16" spans="1:2" ht="15" x14ac:dyDescent="0.2">
      <c r="A16" s="93" t="s">
        <v>35</v>
      </c>
      <c r="B16" s="93"/>
    </row>
    <row r="17" spans="1:2" ht="15" x14ac:dyDescent="0.2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4365</v>
      </c>
    </row>
    <row r="18" spans="1:2" ht="15.75" x14ac:dyDescent="0.25">
      <c r="A18" s="28" t="s">
        <v>19</v>
      </c>
      <c r="B18" s="32">
        <f>SUM(B17:B17)</f>
        <v>4365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45200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IF(vend1[[#This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6" t="s">
        <v>31</v>
      </c>
      <c r="L34" s="6" t="s">
        <v>37</v>
      </c>
      <c r="M34" s="6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9"/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zoomScale="80" zoomScaleNormal="80" workbookViewId="0">
      <selection activeCell="M18" sqref="M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45201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IF(vend2[[#This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751</v>
      </c>
      <c r="L15" s="9" t="s">
        <v>124</v>
      </c>
      <c r="M15" s="16" t="s">
        <v>125</v>
      </c>
      <c r="R15" s="1">
        <f>IF(vend2[[#This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769</v>
      </c>
      <c r="L16" s="9" t="s">
        <v>126</v>
      </c>
      <c r="M16" s="16" t="s">
        <v>125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763</v>
      </c>
      <c r="L17" s="9" t="s">
        <v>127</v>
      </c>
      <c r="M17" s="16" t="s">
        <v>125</v>
      </c>
      <c r="R17" s="1">
        <f>IF(vend2[[#This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78">
        <f>'02'!B1+1</f>
        <v>45202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650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50</v>
      </c>
      <c r="D6" s="2"/>
      <c r="E6" s="18">
        <v>774</v>
      </c>
      <c r="F6" s="25" t="s">
        <v>128</v>
      </c>
      <c r="G6" s="48" t="s">
        <v>12</v>
      </c>
      <c r="H6" s="8">
        <v>650</v>
      </c>
      <c r="I6" s="8">
        <v>50</v>
      </c>
      <c r="J6" s="2"/>
      <c r="K6" s="75" t="s">
        <v>130</v>
      </c>
      <c r="L6" s="76" t="s">
        <v>13</v>
      </c>
      <c r="M6" s="77">
        <v>11</v>
      </c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11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14</v>
      </c>
      <c r="C8" s="29">
        <f>SUM(C6:C7)</f>
        <v>61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IF(vend3[[#This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756</v>
      </c>
      <c r="L15" s="9" t="s">
        <v>129</v>
      </c>
      <c r="M15" s="16" t="s">
        <v>125</v>
      </c>
      <c r="R15" s="1">
        <f>IF(vend3[[#This Row],[Nº Venda]]&gt;1,1,0)</f>
        <v>0</v>
      </c>
    </row>
    <row r="16" spans="2:18" ht="15.75" x14ac:dyDescent="0.25">
      <c r="B16" s="28" t="s">
        <v>19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650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zoomScale="80" zoomScaleNormal="80" workbookViewId="0">
      <selection activeCell="M31" sqref="M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45203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IF(vend4[[#This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IF(vend4[[#This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 t="s">
        <v>185</v>
      </c>
      <c r="L15" s="9"/>
      <c r="M15" s="16"/>
      <c r="R15" s="1">
        <f>IF(vend4[[#This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zoomScale="80" zoomScaleNormal="80" workbookViewId="0">
      <selection activeCell="L14" sqref="L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7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78">
        <f>'04'!B1+1</f>
        <v>45204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350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14</v>
      </c>
      <c r="C8" s="29">
        <f>SUM(C6:C7)</f>
        <v>350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162.5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IF(vend5[[#This Row],[Nº Venda]]&gt;1,1,0)</f>
        <v>0</v>
      </c>
    </row>
    <row r="14" spans="2:18" ht="15.75" x14ac:dyDescent="0.25">
      <c r="B14" s="30" t="s">
        <v>15</v>
      </c>
      <c r="C14" s="31">
        <f t="shared" si="0"/>
        <v>300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IF(vend5[[#This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757</v>
      </c>
      <c r="L15" s="9" t="s">
        <v>134</v>
      </c>
      <c r="M15" s="16" t="s">
        <v>131</v>
      </c>
      <c r="R15" s="1">
        <f>IF(vend5[[#This Row],[Nº Venda]]&gt;1,1,0)</f>
        <v>0</v>
      </c>
    </row>
    <row r="16" spans="2:18" ht="15.75" x14ac:dyDescent="0.25">
      <c r="B16" s="28" t="s">
        <v>19</v>
      </c>
      <c r="C16" s="32">
        <f>SUM(C11:C15)</f>
        <v>462.5</v>
      </c>
      <c r="D16" s="2"/>
      <c r="E16" s="18"/>
      <c r="F16" s="25"/>
      <c r="G16" s="26"/>
      <c r="H16" s="8"/>
      <c r="I16" s="8"/>
      <c r="J16" s="2"/>
      <c r="K16" s="25">
        <v>758</v>
      </c>
      <c r="L16" s="9" t="s">
        <v>134</v>
      </c>
      <c r="M16" s="16" t="s">
        <v>131</v>
      </c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2</v>
      </c>
      <c r="C19" s="31">
        <f>SUM(entr_carn5[Valor Total])</f>
        <v>900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19</v>
      </c>
      <c r="C20" s="32">
        <f>SUM(C19:C19)</f>
        <v>900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1">
        <v>757</v>
      </c>
      <c r="F26" s="75" t="s">
        <v>146</v>
      </c>
      <c r="G26" s="82" t="s">
        <v>12</v>
      </c>
      <c r="H26" s="83"/>
      <c r="I26" s="83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81">
        <v>758</v>
      </c>
      <c r="F27" s="75" t="s">
        <v>145</v>
      </c>
      <c r="G27" s="82" t="s">
        <v>15</v>
      </c>
      <c r="H27" s="83"/>
      <c r="I27" s="83">
        <v>300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81">
        <v>757</v>
      </c>
      <c r="F35" s="75" t="s">
        <v>146</v>
      </c>
      <c r="G35" s="84" t="s">
        <v>12</v>
      </c>
      <c r="H35" s="83">
        <v>59.34</v>
      </c>
      <c r="I35" s="83" t="s">
        <v>73</v>
      </c>
      <c r="K35" s="75">
        <v>757</v>
      </c>
      <c r="L35" s="85">
        <v>8</v>
      </c>
      <c r="M35" s="77">
        <v>475</v>
      </c>
    </row>
    <row r="36" spans="2:18" ht="15.75" x14ac:dyDescent="0.25">
      <c r="E36" s="81">
        <v>758</v>
      </c>
      <c r="F36" s="75" t="s">
        <v>145</v>
      </c>
      <c r="G36" s="84" t="s">
        <v>12</v>
      </c>
      <c r="H36" s="83">
        <v>53.16</v>
      </c>
      <c r="I36" s="83" t="s">
        <v>73</v>
      </c>
      <c r="K36" s="75">
        <v>758</v>
      </c>
      <c r="L36" s="85">
        <v>8</v>
      </c>
      <c r="M36" s="77">
        <v>425</v>
      </c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zoomScale="80" zoomScaleNormal="80" workbookViewId="0">
      <selection activeCell="K36" sqref="K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45205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350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14</v>
      </c>
      <c r="C8" s="29">
        <f>SUM(C6:C7)</f>
        <v>350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162.5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IF(vend[[#This Row],[Nº Venda]]&gt;1,1,0)</f>
        <v>0</v>
      </c>
    </row>
    <row r="14" spans="2:18" ht="15.75" x14ac:dyDescent="0.25">
      <c r="B14" s="30" t="s">
        <v>15</v>
      </c>
      <c r="C14" s="31">
        <f t="shared" si="0"/>
        <v>300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757</v>
      </c>
      <c r="L15" s="9" t="s">
        <v>134</v>
      </c>
      <c r="M15" s="16" t="s">
        <v>131</v>
      </c>
      <c r="R15" s="1">
        <f>IF(vend[[#This Row],[Nº Venda]]&gt;1,1,0)</f>
        <v>0</v>
      </c>
    </row>
    <row r="16" spans="2:18" ht="15.75" x14ac:dyDescent="0.25">
      <c r="B16" s="28" t="s">
        <v>19</v>
      </c>
      <c r="C16" s="32">
        <f>SUM(C11:C15)</f>
        <v>462.5</v>
      </c>
      <c r="D16" s="2"/>
      <c r="E16" s="18"/>
      <c r="F16" s="25"/>
      <c r="G16" s="26"/>
      <c r="H16" s="8"/>
      <c r="I16" s="8"/>
      <c r="J16" s="2"/>
      <c r="K16" s="25">
        <v>758</v>
      </c>
      <c r="L16" s="9" t="s">
        <v>134</v>
      </c>
      <c r="M16" s="16" t="s">
        <v>131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1</v>
      </c>
      <c r="C19" s="31">
        <f>SUM(entr_carn6[Valor Total])</f>
        <v>900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19</v>
      </c>
      <c r="C20" s="32">
        <f>SUM(C19:C19)</f>
        <v>900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757</v>
      </c>
      <c r="F26" s="25" t="s">
        <v>132</v>
      </c>
      <c r="G26" s="26" t="s">
        <v>133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757</v>
      </c>
      <c r="F27" s="25" t="s">
        <v>132</v>
      </c>
      <c r="G27" s="26" t="s">
        <v>15</v>
      </c>
      <c r="H27" s="8"/>
      <c r="I27" s="8">
        <v>300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757</v>
      </c>
      <c r="F35" s="25" t="s">
        <v>137</v>
      </c>
      <c r="G35" s="26" t="s">
        <v>133</v>
      </c>
      <c r="H35" s="8">
        <v>112.5</v>
      </c>
      <c r="I35" s="8" t="s">
        <v>73</v>
      </c>
      <c r="K35" s="25">
        <v>757</v>
      </c>
      <c r="L35" s="42">
        <v>8</v>
      </c>
      <c r="M35" s="16">
        <v>900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80" zoomScaleNormal="8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45206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40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 x14ac:dyDescent="0.25">
      <c r="B6" s="23" t="s">
        <v>8</v>
      </c>
      <c r="C6" s="24">
        <f>SUM(I6:I41)</f>
        <v>1089</v>
      </c>
      <c r="D6" s="2"/>
      <c r="E6" s="53" t="s">
        <v>140</v>
      </c>
      <c r="F6" s="51" t="s">
        <v>141</v>
      </c>
      <c r="G6" s="51" t="s">
        <v>142</v>
      </c>
      <c r="H6" s="52">
        <v>40</v>
      </c>
      <c r="I6" s="52">
        <v>40</v>
      </c>
      <c r="J6" s="2"/>
      <c r="K6" s="25"/>
      <c r="L6" s="9"/>
      <c r="M6" s="16"/>
      <c r="R6" s="1">
        <f>IF(vend7[[#This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4"/>
      <c r="F7" s="50"/>
      <c r="G7" s="50"/>
      <c r="H7" s="49"/>
      <c r="I7" s="49"/>
      <c r="J7" s="2"/>
      <c r="K7" s="25"/>
      <c r="L7" s="9"/>
      <c r="M7" s="16"/>
      <c r="R7" s="1">
        <f>IF(vend7[[#This Row],[Nº Venda]]&gt;1,1,0)</f>
        <v>0</v>
      </c>
    </row>
    <row r="8" spans="2:18" ht="15.75" x14ac:dyDescent="0.25">
      <c r="B8" s="28" t="s">
        <v>14</v>
      </c>
      <c r="C8" s="29">
        <f>SUM(C6:C7)</f>
        <v>1089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449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IF(vend7[[#This Row],[Nº Venda]]&gt;1,1,0)</f>
        <v>0</v>
      </c>
    </row>
    <row r="14" spans="2:18" ht="15.75" x14ac:dyDescent="0.25">
      <c r="B14" s="30" t="s">
        <v>15</v>
      </c>
      <c r="C14" s="31">
        <f t="shared" si="0"/>
        <v>640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IF(vend7[[#This Row],[Nº Venda]]&gt;1,1,0)</f>
        <v>0</v>
      </c>
    </row>
    <row r="15" spans="2:18" ht="15.75" x14ac:dyDescent="0.25">
      <c r="B15" s="30" t="s">
        <v>13</v>
      </c>
      <c r="C15" s="31">
        <f t="shared" si="0"/>
        <v>99.85</v>
      </c>
      <c r="D15" s="2"/>
      <c r="E15" s="18"/>
      <c r="F15" s="25"/>
      <c r="G15" s="26"/>
      <c r="H15" s="8"/>
      <c r="I15" s="8"/>
      <c r="J15" s="2"/>
      <c r="K15" s="55">
        <v>765</v>
      </c>
      <c r="L15" s="60" t="s">
        <v>143</v>
      </c>
      <c r="M15" s="61" t="s">
        <v>125</v>
      </c>
      <c r="R15" s="1">
        <f>IF(vend7[[#This Row],[Nº Venda]]&gt;1,1,0)</f>
        <v>0</v>
      </c>
    </row>
    <row r="16" spans="2:18" ht="15.75" x14ac:dyDescent="0.25">
      <c r="B16" s="28" t="s">
        <v>19</v>
      </c>
      <c r="C16" s="32">
        <f>SUM(C11:C15)</f>
        <v>1188.8499999999999</v>
      </c>
      <c r="D16" s="2"/>
      <c r="E16" s="18"/>
      <c r="F16" s="25"/>
      <c r="G16" s="26"/>
      <c r="H16" s="8"/>
      <c r="I16" s="8"/>
      <c r="J16" s="2"/>
      <c r="K16" s="47">
        <v>750</v>
      </c>
      <c r="L16" s="9" t="s">
        <v>143</v>
      </c>
      <c r="M16" s="16" t="s">
        <v>125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7">
        <v>762</v>
      </c>
      <c r="L17" s="9" t="s">
        <v>143</v>
      </c>
      <c r="M17" s="16" t="s">
        <v>125</v>
      </c>
      <c r="R17" s="1">
        <f>IF(vend7[[#This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20</v>
      </c>
      <c r="C22" s="32">
        <f>C5</f>
        <v>40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56">
        <v>772</v>
      </c>
      <c r="F26" s="79" t="s">
        <v>135</v>
      </c>
      <c r="G26" s="80" t="s">
        <v>136</v>
      </c>
      <c r="H26" s="59"/>
      <c r="I26" s="59">
        <v>350</v>
      </c>
      <c r="J26" s="2"/>
      <c r="K26" s="47"/>
      <c r="L26" s="9"/>
      <c r="M26" s="16"/>
    </row>
    <row r="27" spans="2:18" ht="15.75" x14ac:dyDescent="0.25">
      <c r="B27" s="2"/>
      <c r="C27" s="2"/>
      <c r="D27" s="2"/>
      <c r="E27" s="18">
        <v>750</v>
      </c>
      <c r="F27" s="25" t="s">
        <v>144</v>
      </c>
      <c r="G27" s="26" t="s">
        <v>136</v>
      </c>
      <c r="H27" s="8"/>
      <c r="I27" s="8">
        <v>99</v>
      </c>
      <c r="J27" s="2"/>
      <c r="K27" s="47"/>
      <c r="L27" s="9"/>
      <c r="M27" s="16"/>
    </row>
    <row r="28" spans="2:18" ht="15.75" x14ac:dyDescent="0.25">
      <c r="B28" s="2"/>
      <c r="C28" s="2"/>
      <c r="D28" s="2"/>
      <c r="E28" s="18">
        <v>750</v>
      </c>
      <c r="F28" s="25" t="s">
        <v>144</v>
      </c>
      <c r="G28" s="26" t="s">
        <v>142</v>
      </c>
      <c r="H28" s="8"/>
      <c r="I28" s="8">
        <v>600</v>
      </c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718</v>
      </c>
      <c r="F35" s="25" t="s">
        <v>138</v>
      </c>
      <c r="G35" s="26" t="s">
        <v>139</v>
      </c>
      <c r="H35" s="8">
        <v>99.85</v>
      </c>
      <c r="I35" s="8" t="s">
        <v>68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'07'!B1+1</f>
        <v>45207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 x14ac:dyDescent="0.25">
      <c r="B6" s="23" t="s">
        <v>8</v>
      </c>
      <c r="C6" s="24">
        <f>SUM(I6:I41)</f>
        <v>0</v>
      </c>
      <c r="D6" s="2"/>
      <c r="E6" s="62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2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62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62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IF(vend8[[#This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IF(vend8[[#This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56"/>
      <c r="F26" s="57"/>
      <c r="G26" s="58"/>
      <c r="H26" s="59"/>
      <c r="I26" s="59"/>
      <c r="J26" s="2"/>
      <c r="K26" s="25"/>
      <c r="L26" s="9"/>
      <c r="M26" s="16"/>
    </row>
    <row r="27" spans="2:18" ht="15.75" x14ac:dyDescent="0.25">
      <c r="B27" s="2"/>
      <c r="C27" s="2"/>
      <c r="D27" s="2"/>
      <c r="E27" s="65"/>
      <c r="F27" s="66"/>
      <c r="G27" s="63"/>
      <c r="H27" s="64"/>
      <c r="I27" s="64"/>
      <c r="J27" s="2"/>
      <c r="K27" s="25"/>
      <c r="L27" s="9"/>
      <c r="M27" s="16"/>
    </row>
    <row r="28" spans="2:18" ht="15.75" x14ac:dyDescent="0.25">
      <c r="B28" s="2"/>
      <c r="C28" s="2"/>
      <c r="D28" s="2"/>
      <c r="E28" s="65"/>
      <c r="F28" s="66"/>
      <c r="G28" s="63"/>
      <c r="H28" s="64"/>
      <c r="I28" s="64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topLeftCell="A4" zoomScale="80" zoomScaleNormal="80" workbookViewId="0">
      <selection activeCell="I8" sqref="I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'08'!B1+1</f>
        <v>45208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50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260</v>
      </c>
      <c r="D6" s="2"/>
      <c r="E6" s="18">
        <v>778</v>
      </c>
      <c r="F6" s="25" t="s">
        <v>148</v>
      </c>
      <c r="G6" s="48" t="s">
        <v>139</v>
      </c>
      <c r="H6" s="8">
        <v>50</v>
      </c>
      <c r="I6" s="8">
        <v>50</v>
      </c>
      <c r="J6" s="2"/>
      <c r="K6" s="25"/>
      <c r="L6" s="9"/>
      <c r="M6" s="16"/>
      <c r="R6" s="1">
        <f>IF(vend9[[#This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14</v>
      </c>
      <c r="C8" s="29">
        <f>SUM(C6:C7)</f>
        <v>260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IF(vend9[[#This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IF(vend9[[#This Row],[Nº Venda]]&gt;1,1,0)</f>
        <v>0</v>
      </c>
    </row>
    <row r="15" spans="2:18" ht="15.75" x14ac:dyDescent="0.25">
      <c r="B15" s="30" t="s">
        <v>13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75" x14ac:dyDescent="0.25">
      <c r="B16" s="28" t="s">
        <v>19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774</v>
      </c>
      <c r="F26" s="25" t="s">
        <v>147</v>
      </c>
      <c r="G26" s="48"/>
      <c r="H26" s="8"/>
      <c r="I26" s="8">
        <v>210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45209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900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150</v>
      </c>
      <c r="D6" s="2"/>
      <c r="E6" s="18">
        <v>779</v>
      </c>
      <c r="F6" s="25" t="s">
        <v>149</v>
      </c>
      <c r="G6" s="48" t="s">
        <v>150</v>
      </c>
      <c r="H6" s="8">
        <v>450</v>
      </c>
      <c r="I6" s="8">
        <v>35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780</v>
      </c>
      <c r="F7" s="25" t="s">
        <v>151</v>
      </c>
      <c r="G7" s="48" t="s">
        <v>150</v>
      </c>
      <c r="H7" s="8">
        <v>250</v>
      </c>
      <c r="I7" s="8">
        <v>35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14</v>
      </c>
      <c r="C8" s="29">
        <f>SUM(C6:C7)</f>
        <v>150</v>
      </c>
      <c r="D8" s="2"/>
      <c r="E8" s="18">
        <v>781</v>
      </c>
      <c r="F8" s="25" t="s">
        <v>152</v>
      </c>
      <c r="G8" s="26" t="s">
        <v>13</v>
      </c>
      <c r="H8" s="8">
        <v>200</v>
      </c>
      <c r="I8" s="8">
        <v>80</v>
      </c>
      <c r="J8" s="2"/>
      <c r="K8" s="25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IF(vend10[[#This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IF(vend10[[#This Row],[Nº Venda]]&gt;1,1,0)</f>
        <v>0</v>
      </c>
    </row>
    <row r="15" spans="2:18" ht="15.75" x14ac:dyDescent="0.25">
      <c r="B15" s="30" t="s">
        <v>13</v>
      </c>
      <c r="C15" s="31">
        <f t="shared" si="0"/>
        <v>80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19</v>
      </c>
      <c r="C16" s="32">
        <f>SUM(C11:C15)</f>
        <v>150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900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45210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IF(vend11[[#This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45211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 x14ac:dyDescent="0.25">
      <c r="B6" s="23" t="s">
        <v>8</v>
      </c>
      <c r="C6" s="24">
        <f>SUM(I6:I41)</f>
        <v>0</v>
      </c>
      <c r="D6" s="2"/>
      <c r="E6" s="67"/>
      <c r="F6" s="68"/>
      <c r="G6" s="68"/>
      <c r="H6" s="69"/>
      <c r="I6" s="69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70"/>
      <c r="F7" s="71"/>
      <c r="G7" s="71"/>
      <c r="H7" s="72"/>
      <c r="I7" s="72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74"/>
      <c r="F8" s="71"/>
      <c r="G8" s="71"/>
      <c r="H8" s="72"/>
      <c r="I8" s="7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IF(vend12[[#This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IF(vend12[[#This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73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45212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IF(vend13[[#This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IF(vend13[[#This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zoomScale="80" zoomScaleNormal="80" workbookViewId="0">
      <selection activeCell="H8" sqref="H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'13'!B1+1</f>
        <v>45213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3270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1370</v>
      </c>
      <c r="D6" s="2"/>
      <c r="E6" s="18">
        <v>783</v>
      </c>
      <c r="F6" s="25" t="s">
        <v>153</v>
      </c>
      <c r="G6" s="48" t="s">
        <v>15</v>
      </c>
      <c r="H6" s="8">
        <v>1150</v>
      </c>
      <c r="I6" s="8">
        <v>1150</v>
      </c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784</v>
      </c>
      <c r="F7" s="25" t="s">
        <v>154</v>
      </c>
      <c r="G7" s="48" t="s">
        <v>18</v>
      </c>
      <c r="H7" s="8">
        <v>20</v>
      </c>
      <c r="I7" s="8">
        <v>20</v>
      </c>
      <c r="J7" s="2"/>
      <c r="K7" s="25"/>
      <c r="L7" s="9"/>
      <c r="M7" s="16"/>
      <c r="R7" s="1">
        <f>IF(vend14[[#This Row],[Nº Venda]]&gt;1,1,0)</f>
        <v>1</v>
      </c>
    </row>
    <row r="8" spans="2:18" ht="15.75" x14ac:dyDescent="0.25">
      <c r="B8" s="28" t="s">
        <v>14</v>
      </c>
      <c r="C8" s="29">
        <f>SUM(C6:C7)</f>
        <v>1370</v>
      </c>
      <c r="D8" s="2"/>
      <c r="E8" s="18">
        <v>785</v>
      </c>
      <c r="F8" s="25" t="s">
        <v>155</v>
      </c>
      <c r="G8" s="26" t="s">
        <v>15</v>
      </c>
      <c r="H8" s="8">
        <v>1050</v>
      </c>
      <c r="I8" s="8">
        <v>100</v>
      </c>
      <c r="J8" s="2"/>
      <c r="K8" s="25"/>
      <c r="L8" s="9"/>
      <c r="M8" s="1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18">
        <v>786</v>
      </c>
      <c r="F9" s="25" t="s">
        <v>156</v>
      </c>
      <c r="G9" s="26" t="s">
        <v>18</v>
      </c>
      <c r="H9" s="8">
        <v>1050</v>
      </c>
      <c r="I9" s="8">
        <v>100</v>
      </c>
      <c r="J9" s="2"/>
      <c r="K9" s="25"/>
      <c r="L9" s="9"/>
      <c r="M9" s="16"/>
      <c r="R9" s="1">
        <f>IF(vend14[[#This Row],[Nº Venda]]&gt;1,1,0)</f>
        <v>1</v>
      </c>
    </row>
    <row r="10" spans="2:18" ht="15.75" x14ac:dyDescent="0.25">
      <c r="B10" s="93" t="s">
        <v>16</v>
      </c>
      <c r="C10" s="93"/>
      <c r="D10" s="2"/>
      <c r="E10" s="18">
        <v>787</v>
      </c>
      <c r="F10" s="25" t="s">
        <v>157</v>
      </c>
      <c r="G10" s="26"/>
      <c r="H10" s="8" t="s">
        <v>158</v>
      </c>
      <c r="I10" s="8"/>
      <c r="J10" s="2"/>
      <c r="K10" s="25"/>
      <c r="L10" s="9"/>
      <c r="M10" s="16"/>
      <c r="R10" s="1">
        <f>IF(vend14[[#This Row],[Nº Venda]]&gt;1,1,0)</f>
        <v>1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18</v>
      </c>
      <c r="C13" s="31">
        <f t="shared" si="0"/>
        <v>120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IF(vend14[[#This Row],[Nº Venda]]&gt;1,1,0)</f>
        <v>0</v>
      </c>
    </row>
    <row r="14" spans="2:18" ht="15.75" x14ac:dyDescent="0.25">
      <c r="B14" s="30" t="s">
        <v>15</v>
      </c>
      <c r="C14" s="31">
        <f t="shared" si="0"/>
        <v>1250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IF(vend14[[#This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19</v>
      </c>
      <c r="C16" s="32">
        <f>SUM(C11:C15)</f>
        <v>1370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3270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'14'!B1+1</f>
        <v>45214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IF(vend15[[#This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IF(vend15[[#This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45215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IF(vend16[[#This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IF(vend16[[#This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zoomScale="80" zoomScaleNormal="80" workbookViewId="0">
      <selection activeCell="I7" sqref="I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'16'!B1+1</f>
        <v>45216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200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200</v>
      </c>
      <c r="D6" s="2"/>
      <c r="E6" s="18">
        <v>782</v>
      </c>
      <c r="F6" s="25" t="s">
        <v>159</v>
      </c>
      <c r="G6" s="26" t="s">
        <v>15</v>
      </c>
      <c r="H6" s="8">
        <v>200</v>
      </c>
      <c r="I6" s="8">
        <v>200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14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IF(vend17[[#This Row],[Nº Venda]]&gt;1,1,0)</f>
        <v>0</v>
      </c>
    </row>
    <row r="14" spans="2:18" ht="15.75" x14ac:dyDescent="0.25">
      <c r="B14" s="30" t="s">
        <v>15</v>
      </c>
      <c r="C14" s="31">
        <f t="shared" si="0"/>
        <v>200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IF(vend17[[#This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19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I7" sqref="I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45217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700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700</v>
      </c>
      <c r="D6" s="2"/>
      <c r="E6" s="18">
        <v>788</v>
      </c>
      <c r="F6" s="25" t="s">
        <v>160</v>
      </c>
      <c r="G6" s="26" t="s">
        <v>15</v>
      </c>
      <c r="H6" s="8">
        <v>700</v>
      </c>
      <c r="I6" s="8">
        <v>700</v>
      </c>
      <c r="J6" s="2"/>
      <c r="K6" s="25"/>
      <c r="L6" s="9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14</v>
      </c>
      <c r="C8" s="29">
        <f>SUM(C6:C7)</f>
        <v>700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IF(vend18[[#This Row],[Nº Venda]]&gt;1,1,0)</f>
        <v>0</v>
      </c>
    </row>
    <row r="14" spans="2:18" ht="15.75" x14ac:dyDescent="0.25">
      <c r="B14" s="30" t="s">
        <v>15</v>
      </c>
      <c r="C14" s="31">
        <f t="shared" si="0"/>
        <v>700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IF(vend18[[#This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19</v>
      </c>
      <c r="C16" s="32">
        <f>SUM(C11:C15)</f>
        <v>700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700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W41"/>
  <sheetViews>
    <sheetView showGridLines="0" topLeftCell="A2" zoomScale="80" zoomScaleNormal="80" workbookViewId="0">
      <selection activeCell="L26" sqref="L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45218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IF(vend19[[#This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IF(vend19[[#This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774</v>
      </c>
      <c r="L15" s="9" t="s">
        <v>143</v>
      </c>
      <c r="M15" s="16" t="s">
        <v>131</v>
      </c>
      <c r="R15" s="1">
        <f>IF(vend19[[#This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759</v>
      </c>
      <c r="L16" s="9" t="s">
        <v>143</v>
      </c>
      <c r="M16" s="16" t="s">
        <v>131</v>
      </c>
      <c r="R16" s="1">
        <f>IF(vend19[[#This Row],[Nº Venda]]&gt;1,1,0)</f>
        <v>0</v>
      </c>
    </row>
    <row r="17" spans="2:23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23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23" ht="15.75" x14ac:dyDescent="0.25">
      <c r="B19" s="30">
        <f>COUNT(entr_carn19[OS])</f>
        <v>1</v>
      </c>
      <c r="C19" s="31">
        <f>SUM(entr_carn19[Valor Total])</f>
        <v>325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23" ht="15.75" x14ac:dyDescent="0.25">
      <c r="B20" s="28" t="s">
        <v>19</v>
      </c>
      <c r="C20" s="32">
        <f>SUM(C19:C19)</f>
        <v>325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23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3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3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3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23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23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23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3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3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3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3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  <c r="W31" s="1" t="s">
        <v>161</v>
      </c>
    </row>
    <row r="32" spans="2:23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>
        <v>774</v>
      </c>
      <c r="L35" s="42">
        <v>5</v>
      </c>
      <c r="M35" s="16">
        <v>325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zoomScale="80" zoomScaleNormal="80" workbookViewId="0">
      <selection activeCell="I8" sqref="I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'19'!B1+1</f>
        <v>45219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200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14</v>
      </c>
      <c r="C8" s="29">
        <f>SUM(C6:C7)</f>
        <v>200</v>
      </c>
      <c r="D8" s="2"/>
      <c r="E8" s="18"/>
      <c r="F8" s="25"/>
      <c r="G8" s="26"/>
      <c r="H8" s="8"/>
      <c r="I8" s="8" t="s">
        <v>173</v>
      </c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IF(vend20[[#This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IF(vend20[[#This Row],[Nº Venda]]&gt;1,1,0)</f>
        <v>0</v>
      </c>
    </row>
    <row r="15" spans="2:18" ht="15.75" x14ac:dyDescent="0.25">
      <c r="B15" s="30" t="s">
        <v>13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19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759</v>
      </c>
      <c r="F26" s="25" t="s">
        <v>172</v>
      </c>
      <c r="G26" s="26" t="s">
        <v>13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'20'!B1+1</f>
        <v>45220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920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920</v>
      </c>
      <c r="D6" s="2"/>
      <c r="E6" s="18">
        <v>789</v>
      </c>
      <c r="F6" s="25" t="s">
        <v>163</v>
      </c>
      <c r="G6" s="26" t="s">
        <v>15</v>
      </c>
      <c r="H6" s="8">
        <v>920</v>
      </c>
      <c r="I6" s="8">
        <v>920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14</v>
      </c>
      <c r="C8" s="29">
        <f>SUM(C6:C7)</f>
        <v>920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IF(vend21[[#This Row],[Nº Venda]]&gt;1,1,0)</f>
        <v>0</v>
      </c>
    </row>
    <row r="14" spans="2:18" ht="15.75" x14ac:dyDescent="0.25">
      <c r="B14" s="30" t="s">
        <v>15</v>
      </c>
      <c r="C14" s="31">
        <f t="shared" si="0"/>
        <v>920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IF(vend21[[#This Row],[Nº Venda]]&gt;1,1,0)</f>
        <v>0</v>
      </c>
    </row>
    <row r="15" spans="2:18" ht="15.75" x14ac:dyDescent="0.25">
      <c r="B15" s="30" t="s">
        <v>13</v>
      </c>
      <c r="C15" s="31">
        <f t="shared" si="0"/>
        <v>90</v>
      </c>
      <c r="D15" s="2"/>
      <c r="E15" s="18"/>
      <c r="F15" s="25"/>
      <c r="G15" s="26"/>
      <c r="H15" s="8"/>
      <c r="I15" s="8"/>
      <c r="J15" s="2"/>
      <c r="K15" s="25">
        <v>782</v>
      </c>
      <c r="L15" s="9" t="s">
        <v>165</v>
      </c>
      <c r="M15" s="16" t="s">
        <v>125</v>
      </c>
      <c r="R15" s="1">
        <f>IF(vend21[[#This Row],[Nº Venda]]&gt;1,1,0)</f>
        <v>0</v>
      </c>
    </row>
    <row r="16" spans="2:18" ht="15.75" x14ac:dyDescent="0.25">
      <c r="B16" s="28" t="s">
        <v>19</v>
      </c>
      <c r="C16" s="32">
        <f>SUM(C11:C15)</f>
        <v>1060</v>
      </c>
      <c r="D16" s="2"/>
      <c r="E16" s="18"/>
      <c r="F16" s="25"/>
      <c r="G16" s="26"/>
      <c r="H16" s="8"/>
      <c r="I16" s="8"/>
      <c r="J16" s="2"/>
      <c r="K16" s="25">
        <v>787</v>
      </c>
      <c r="L16" s="9" t="s">
        <v>143</v>
      </c>
      <c r="M16" s="16" t="s">
        <v>125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920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715</v>
      </c>
      <c r="F35" s="25" t="s">
        <v>162</v>
      </c>
      <c r="G35" s="26" t="s">
        <v>13</v>
      </c>
      <c r="H35" s="8">
        <v>90</v>
      </c>
      <c r="I35" s="8" t="s">
        <v>57</v>
      </c>
      <c r="K35" s="25"/>
      <c r="L35" s="42"/>
      <c r="M35" s="16"/>
    </row>
    <row r="36" spans="2:18" ht="15.75" x14ac:dyDescent="0.25">
      <c r="E36" s="18">
        <v>766</v>
      </c>
      <c r="F36" s="25" t="s">
        <v>164</v>
      </c>
      <c r="G36" s="26" t="s">
        <v>17</v>
      </c>
      <c r="H36" s="8">
        <v>50</v>
      </c>
      <c r="I36" s="8" t="s">
        <v>55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'21'!B1+1</f>
        <v>45221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IF(vend22[[#This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IF(vend22[[#This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zoomScale="80" zoomScaleNormal="80" workbookViewId="0">
      <selection activeCell="H9" sqref="H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'22'!B1+1</f>
        <v>45222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200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100</v>
      </c>
      <c r="D6" s="2"/>
      <c r="E6" s="18">
        <v>790</v>
      </c>
      <c r="F6" s="25" t="s">
        <v>166</v>
      </c>
      <c r="G6" s="26"/>
      <c r="H6" s="8" t="s">
        <v>167</v>
      </c>
      <c r="I6" s="8"/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791</v>
      </c>
      <c r="F7" s="25" t="s">
        <v>168</v>
      </c>
      <c r="G7" s="26"/>
      <c r="H7" s="8" t="s">
        <v>167</v>
      </c>
      <c r="I7" s="8"/>
      <c r="J7" s="2"/>
      <c r="K7" s="25"/>
      <c r="L7" s="9"/>
      <c r="M7" s="16"/>
      <c r="R7" s="1">
        <f>IF(vend23[[#This Row],[Nº Venda]]&gt;1,1,0)</f>
        <v>1</v>
      </c>
    </row>
    <row r="8" spans="2:18" ht="15.75" x14ac:dyDescent="0.25">
      <c r="B8" s="28" t="s">
        <v>14</v>
      </c>
      <c r="C8" s="29">
        <f>SUM(C6:C7)</f>
        <v>100</v>
      </c>
      <c r="D8" s="2"/>
      <c r="E8" s="18">
        <v>792</v>
      </c>
      <c r="F8" s="25" t="s">
        <v>169</v>
      </c>
      <c r="G8" s="26" t="s">
        <v>15</v>
      </c>
      <c r="H8" s="8">
        <v>200</v>
      </c>
      <c r="I8" s="8">
        <v>100</v>
      </c>
      <c r="J8" s="2"/>
      <c r="K8" s="25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18">
        <v>793</v>
      </c>
      <c r="F9" s="25" t="s">
        <v>170</v>
      </c>
      <c r="G9" s="26" t="s">
        <v>171</v>
      </c>
      <c r="H9" s="8" t="s">
        <v>167</v>
      </c>
      <c r="I9" s="8"/>
      <c r="J9" s="2"/>
      <c r="K9" s="25"/>
      <c r="L9" s="9"/>
      <c r="M9" s="16"/>
      <c r="R9" s="1">
        <f>IF(vend23[[#This Row],[Nº Venda]]&gt;1,1,0)</f>
        <v>1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IF(vend23[[#This Row],[Nº Venda]]&gt;1,1,0)</f>
        <v>0</v>
      </c>
    </row>
    <row r="14" spans="2:18" ht="15.75" x14ac:dyDescent="0.25">
      <c r="B14" s="30" t="s">
        <v>15</v>
      </c>
      <c r="C14" s="31">
        <f t="shared" si="0"/>
        <v>100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IF(vend23[[#This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777</v>
      </c>
      <c r="L15" s="9" t="s">
        <v>143</v>
      </c>
      <c r="M15" s="16" t="s">
        <v>125</v>
      </c>
      <c r="R15" s="1">
        <f>IF(vend23[[#This Row],[Nº Venda]]&gt;1,1,0)</f>
        <v>0</v>
      </c>
    </row>
    <row r="16" spans="2:18" ht="15.75" x14ac:dyDescent="0.25">
      <c r="B16" s="28" t="s">
        <v>19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zoomScale="80" zoomScaleNormal="80" workbookViewId="0">
      <selection activeCell="I27" sqref="I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'23'!B1+1</f>
        <v>45223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14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IF(vend24[[#This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IF(vend24[[#This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19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771</v>
      </c>
      <c r="F26" s="25" t="s">
        <v>174</v>
      </c>
      <c r="G26" s="26" t="s">
        <v>150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K35" sqref="K35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36.8554687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86">
        <f>'24'!B1+1</f>
        <v>45224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500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460</v>
      </c>
      <c r="D6" s="2"/>
      <c r="E6" s="81">
        <v>794</v>
      </c>
      <c r="F6" s="25" t="s">
        <v>175</v>
      </c>
      <c r="G6" s="26" t="s">
        <v>13</v>
      </c>
      <c r="H6" s="8">
        <v>500</v>
      </c>
      <c r="I6" s="8">
        <v>150</v>
      </c>
      <c r="J6" s="2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794</v>
      </c>
      <c r="F7" s="25" t="s">
        <v>175</v>
      </c>
      <c r="G7" s="26" t="s">
        <v>12</v>
      </c>
      <c r="H7" s="8"/>
      <c r="I7" s="8">
        <v>100</v>
      </c>
      <c r="J7" s="2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14</v>
      </c>
      <c r="C8" s="29">
        <f>SUM(C6:C7)</f>
        <v>460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210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IF(vend25[[#This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IF(vend25[[#This Row],[Nº Venda]]&gt;1,1,0)</f>
        <v>0</v>
      </c>
    </row>
    <row r="15" spans="2:18" ht="15.75" x14ac:dyDescent="0.25">
      <c r="B15" s="30" t="s">
        <v>13</v>
      </c>
      <c r="C15" s="31">
        <f t="shared" si="0"/>
        <v>150</v>
      </c>
      <c r="D15" s="2"/>
      <c r="E15" s="18"/>
      <c r="F15" s="25"/>
      <c r="G15" s="26"/>
      <c r="H15" s="8"/>
      <c r="I15" s="8"/>
      <c r="J15" s="2"/>
      <c r="K15" s="25">
        <v>779</v>
      </c>
      <c r="L15" s="9" t="s">
        <v>143</v>
      </c>
      <c r="M15" s="16" t="s">
        <v>131</v>
      </c>
      <c r="R15" s="1">
        <f>IF(vend25[[#This Row],[Nº Venda]]&gt;1,1,0)</f>
        <v>0</v>
      </c>
    </row>
    <row r="16" spans="2:18" ht="15.75" x14ac:dyDescent="0.25">
      <c r="B16" s="28" t="s">
        <v>19</v>
      </c>
      <c r="C16" s="32">
        <f>SUM(C11:C15)</f>
        <v>460</v>
      </c>
      <c r="D16" s="2"/>
      <c r="E16" s="18"/>
      <c r="F16" s="25"/>
      <c r="G16" s="26"/>
      <c r="H16" s="8"/>
      <c r="I16" s="8"/>
      <c r="J16" s="2"/>
      <c r="K16" s="25">
        <v>780</v>
      </c>
      <c r="L16" s="9" t="s">
        <v>143</v>
      </c>
      <c r="M16" s="16" t="s">
        <v>131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781</v>
      </c>
      <c r="L17" s="9" t="s">
        <v>143</v>
      </c>
      <c r="M17" s="16" t="s">
        <v>131</v>
      </c>
      <c r="R17" s="1">
        <f>IF(vend25[[#This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>
        <v>770</v>
      </c>
      <c r="L18" s="9" t="s">
        <v>143</v>
      </c>
      <c r="M18" s="16" t="s">
        <v>125</v>
      </c>
      <c r="R18" s="1">
        <f>IF(vend25[[#This Row],[Nº Venda]]&gt;1,1,0)</f>
        <v>0</v>
      </c>
    </row>
    <row r="19" spans="2:18" ht="15.75" x14ac:dyDescent="0.25">
      <c r="B19" s="30">
        <f>COUNT(entr_carn25[OS])</f>
        <v>3</v>
      </c>
      <c r="C19" s="31">
        <f>SUM(entr_carn25[Valor Total])</f>
        <v>540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19</v>
      </c>
      <c r="C20" s="32">
        <f>SUM(C19:C19)</f>
        <v>540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500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779</v>
      </c>
      <c r="F26" s="25" t="s">
        <v>176</v>
      </c>
      <c r="G26" s="84" t="s">
        <v>17</v>
      </c>
      <c r="H26" s="8"/>
      <c r="I26" s="83">
        <v>145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780</v>
      </c>
      <c r="F27" s="25" t="s">
        <v>177</v>
      </c>
      <c r="G27" s="84" t="s">
        <v>17</v>
      </c>
      <c r="H27" s="8"/>
      <c r="I27" s="83">
        <v>65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75">
        <v>779</v>
      </c>
      <c r="L35" s="85">
        <v>4</v>
      </c>
      <c r="M35" s="77">
        <v>270</v>
      </c>
    </row>
    <row r="36" spans="2:18" ht="15.75" x14ac:dyDescent="0.25">
      <c r="E36" s="18"/>
      <c r="F36" s="25"/>
      <c r="G36" s="26"/>
      <c r="H36" s="8"/>
      <c r="I36" s="8"/>
      <c r="K36" s="75">
        <v>780</v>
      </c>
      <c r="L36" s="85">
        <v>4</v>
      </c>
      <c r="M36" s="77">
        <v>150</v>
      </c>
    </row>
    <row r="37" spans="2:18" ht="15.75" x14ac:dyDescent="0.25">
      <c r="E37" s="18"/>
      <c r="F37" s="25"/>
      <c r="G37" s="26"/>
      <c r="H37" s="8"/>
      <c r="I37" s="8"/>
      <c r="K37" s="75">
        <v>781</v>
      </c>
      <c r="L37" s="85">
        <v>2</v>
      </c>
      <c r="M37" s="77">
        <v>120</v>
      </c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7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zoomScale="80" zoomScaleNormal="80" workbookViewId="0">
      <selection activeCell="E26" sqref="E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'25'!B1+1</f>
        <v>45225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IF(vend26[[#This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IF(vend26[[#This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zoomScale="80" zoomScaleNormal="80" workbookViewId="0">
      <selection activeCell="L10" sqref="L10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86">
        <f>'26'!B1+1</f>
        <v>45226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238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14</v>
      </c>
      <c r="C8" s="29">
        <f>SUM(C6:C7)</f>
        <v>238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18</v>
      </c>
      <c r="C13" s="31">
        <f t="shared" si="0"/>
        <v>38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IF(vend27[[#This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IF(vend27[[#This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793</v>
      </c>
      <c r="L15" s="9" t="s">
        <v>182</v>
      </c>
      <c r="M15" s="16" t="s">
        <v>125</v>
      </c>
      <c r="R15" s="1">
        <f>IF(vend27[[#This Row],[Nº Venda]]&gt;1,1,0)</f>
        <v>0</v>
      </c>
    </row>
    <row r="16" spans="2:18" ht="15.75" x14ac:dyDescent="0.25">
      <c r="B16" s="28" t="s">
        <v>19</v>
      </c>
      <c r="C16" s="32">
        <f>SUM(C11:C15)</f>
        <v>238</v>
      </c>
      <c r="D16" s="2"/>
      <c r="E16" s="18"/>
      <c r="F16" s="25"/>
      <c r="G16" s="26"/>
      <c r="H16" s="8"/>
      <c r="I16" s="8"/>
      <c r="J16" s="2"/>
      <c r="K16" s="25">
        <v>785</v>
      </c>
      <c r="L16" s="9" t="s">
        <v>181</v>
      </c>
      <c r="M16" s="16" t="s">
        <v>131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786</v>
      </c>
      <c r="L17" s="9" t="s">
        <v>181</v>
      </c>
      <c r="M17" s="16" t="s">
        <v>131</v>
      </c>
      <c r="R17" s="1">
        <f>IF(vend27[[#This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2</v>
      </c>
      <c r="C19" s="31">
        <f>SUM(entr_carn27[Valor Total])</f>
        <v>1700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19</v>
      </c>
      <c r="C20" s="32">
        <f>SUM(C19:C19)</f>
        <v>1700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7">
        <v>785</v>
      </c>
      <c r="F26" s="88" t="s">
        <v>155</v>
      </c>
      <c r="G26" s="89" t="s">
        <v>17</v>
      </c>
      <c r="H26" s="90"/>
      <c r="I26" s="90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87">
        <v>786</v>
      </c>
      <c r="F27" s="88" t="s">
        <v>156</v>
      </c>
      <c r="G27" s="89" t="s">
        <v>17</v>
      </c>
      <c r="H27" s="90"/>
      <c r="I27" s="90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87">
        <v>793</v>
      </c>
      <c r="F28" s="88" t="s">
        <v>184</v>
      </c>
      <c r="G28" s="89" t="s">
        <v>18</v>
      </c>
      <c r="H28" s="90"/>
      <c r="I28" s="90">
        <v>38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88">
        <v>785</v>
      </c>
      <c r="L35" s="91">
        <v>8</v>
      </c>
      <c r="M35" s="92">
        <v>850</v>
      </c>
    </row>
    <row r="36" spans="2:18" ht="15.75" x14ac:dyDescent="0.25">
      <c r="E36" s="18"/>
      <c r="F36" s="25"/>
      <c r="G36" s="26"/>
      <c r="H36" s="8"/>
      <c r="I36" s="8"/>
      <c r="K36" s="88">
        <v>786</v>
      </c>
      <c r="L36" s="91">
        <v>8</v>
      </c>
      <c r="M36" s="92">
        <v>850</v>
      </c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tabSelected="1" zoomScale="80" zoomScaleNormal="8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'27'!B1+1</f>
        <v>45227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2070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930</v>
      </c>
      <c r="D6" s="2"/>
      <c r="E6" s="18">
        <v>795</v>
      </c>
      <c r="F6" s="25" t="s">
        <v>178</v>
      </c>
      <c r="G6" s="26" t="s">
        <v>15</v>
      </c>
      <c r="H6" s="8">
        <v>800</v>
      </c>
      <c r="I6" s="8">
        <v>800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796</v>
      </c>
      <c r="F7" s="25" t="s">
        <v>180</v>
      </c>
      <c r="G7" s="26"/>
      <c r="H7" s="8" t="s">
        <v>167</v>
      </c>
      <c r="I7" s="8"/>
      <c r="J7" s="2"/>
      <c r="K7" s="25"/>
      <c r="L7" s="9"/>
      <c r="M7" s="16"/>
      <c r="R7" s="1">
        <f>IF(vend28[[#This Row],[Nº Venda]]&gt;1,1,0)</f>
        <v>1</v>
      </c>
    </row>
    <row r="8" spans="2:18" ht="15.75" x14ac:dyDescent="0.25">
      <c r="B8" s="28" t="s">
        <v>14</v>
      </c>
      <c r="C8" s="29">
        <f>SUM(C6:C7)</f>
        <v>930</v>
      </c>
      <c r="D8" s="2"/>
      <c r="E8" s="18">
        <v>797</v>
      </c>
      <c r="F8" s="25" t="s">
        <v>179</v>
      </c>
      <c r="G8" s="26" t="s">
        <v>18</v>
      </c>
      <c r="H8" s="8">
        <v>650</v>
      </c>
      <c r="I8" s="8">
        <v>30</v>
      </c>
      <c r="J8" s="2"/>
      <c r="K8" s="25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18">
        <v>799</v>
      </c>
      <c r="F9" s="25" t="s">
        <v>183</v>
      </c>
      <c r="G9" s="26" t="s">
        <v>13</v>
      </c>
      <c r="H9" s="8">
        <v>620</v>
      </c>
      <c r="I9" s="8">
        <v>100</v>
      </c>
      <c r="J9" s="2"/>
      <c r="K9" s="25"/>
      <c r="L9" s="9"/>
      <c r="M9" s="16"/>
      <c r="R9" s="1">
        <f>IF(vend28[[#This Row],[Nº Venda]]&gt;1,1,0)</f>
        <v>1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18</v>
      </c>
      <c r="C13" s="31">
        <f t="shared" si="0"/>
        <v>30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IF(vend28[[#This Row],[Nº Venda]]&gt;1,1,0)</f>
        <v>0</v>
      </c>
    </row>
    <row r="14" spans="2:18" ht="15.75" x14ac:dyDescent="0.25">
      <c r="B14" s="30" t="s">
        <v>15</v>
      </c>
      <c r="C14" s="31">
        <f t="shared" si="0"/>
        <v>800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IF(vend28[[#This Row],[Nº Venda]]&gt;1,1,0)</f>
        <v>0</v>
      </c>
    </row>
    <row r="15" spans="2:18" ht="15.75" x14ac:dyDescent="0.25">
      <c r="B15" s="30" t="s">
        <v>13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783</v>
      </c>
      <c r="L15" s="9" t="s">
        <v>181</v>
      </c>
      <c r="M15" s="16" t="s">
        <v>125</v>
      </c>
      <c r="R15" s="1">
        <f>IF(vend28[[#This Row],[Nº Venda]]&gt;1,1,0)</f>
        <v>0</v>
      </c>
    </row>
    <row r="16" spans="2:18" ht="15.75" x14ac:dyDescent="0.25">
      <c r="B16" s="28" t="s">
        <v>19</v>
      </c>
      <c r="C16" s="32">
        <f>SUM(C11:C15)</f>
        <v>930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2070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'28'!B1+1</f>
        <v>45228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IF(vend29[[#This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IF(vend29[[#This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'29'!B1+1</f>
        <v>45229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IF(vend30[[#This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IF(vend30[[#This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IF(vend30[[#This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'30'!B1+1</f>
        <v>45230</v>
      </c>
    </row>
    <row r="2" spans="2:18" ht="18.75" x14ac:dyDescent="0.2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01" t="s">
        <v>2</v>
      </c>
      <c r="F4" s="101"/>
      <c r="G4" s="101"/>
      <c r="H4" s="101"/>
      <c r="I4" s="101"/>
      <c r="J4" s="22"/>
      <c r="K4" s="95" t="s">
        <v>3</v>
      </c>
      <c r="L4" s="96"/>
      <c r="M4" s="9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93" t="s">
        <v>16</v>
      </c>
      <c r="C10" s="9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5" t="s">
        <v>36</v>
      </c>
      <c r="L13" s="96"/>
      <c r="M13" s="97"/>
      <c r="R13" s="1">
        <f>IF(vend31[[#This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93" t="s">
        <v>35</v>
      </c>
      <c r="C18" s="9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4" t="s">
        <v>22</v>
      </c>
      <c r="F24" s="94"/>
      <c r="G24" s="94"/>
      <c r="H24" s="94"/>
      <c r="I24" s="9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4" t="s">
        <v>39</v>
      </c>
      <c r="F33" s="94"/>
      <c r="G33" s="94"/>
      <c r="H33" s="94"/>
      <c r="I33" s="94"/>
      <c r="K33" s="95" t="s">
        <v>35</v>
      </c>
      <c r="L33" s="96"/>
      <c r="M33" s="9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24</v>
      </c>
      <c r="B1" s="38" t="s">
        <v>25</v>
      </c>
      <c r="E1" s="38" t="s">
        <v>44</v>
      </c>
    </row>
    <row r="2" spans="1:5" x14ac:dyDescent="0.2">
      <c r="A2" s="38" t="s">
        <v>12</v>
      </c>
      <c r="B2" s="38" t="s">
        <v>26</v>
      </c>
      <c r="E2" t="s">
        <v>45</v>
      </c>
    </row>
    <row r="3" spans="1:5" x14ac:dyDescent="0.2">
      <c r="A3" s="38" t="s">
        <v>17</v>
      </c>
      <c r="B3" s="38" t="s">
        <v>27</v>
      </c>
      <c r="E3" t="s">
        <v>46</v>
      </c>
    </row>
    <row r="4" spans="1:5" x14ac:dyDescent="0.2">
      <c r="A4" s="38" t="s">
        <v>18</v>
      </c>
      <c r="B4" s="38" t="s">
        <v>28</v>
      </c>
      <c r="E4" t="s">
        <v>47</v>
      </c>
    </row>
    <row r="5" spans="1:5" x14ac:dyDescent="0.2">
      <c r="A5" s="38" t="s">
        <v>15</v>
      </c>
      <c r="B5" s="38" t="s">
        <v>29</v>
      </c>
      <c r="E5" t="s">
        <v>48</v>
      </c>
    </row>
    <row r="6" spans="1:5" x14ac:dyDescent="0.2">
      <c r="A6" s="38" t="s">
        <v>13</v>
      </c>
      <c r="B6" s="38" t="s">
        <v>13</v>
      </c>
      <c r="E6" t="s">
        <v>49</v>
      </c>
    </row>
    <row r="7" spans="1:5" x14ac:dyDescent="0.2">
      <c r="A7" s="38" t="s">
        <v>23</v>
      </c>
      <c r="B7" s="38" t="s">
        <v>30</v>
      </c>
      <c r="E7" t="s">
        <v>50</v>
      </c>
    </row>
    <row r="8" spans="1:5" x14ac:dyDescent="0.2">
      <c r="A8" t="s">
        <v>32</v>
      </c>
      <c r="B8" t="s">
        <v>33</v>
      </c>
      <c r="E8" t="s">
        <v>51</v>
      </c>
    </row>
    <row r="9" spans="1:5" x14ac:dyDescent="0.2">
      <c r="A9" s="38" t="s">
        <v>42</v>
      </c>
      <c r="B9" s="38" t="s">
        <v>43</v>
      </c>
      <c r="E9" t="s">
        <v>52</v>
      </c>
    </row>
    <row r="10" spans="1:5" x14ac:dyDescent="0.2">
      <c r="E10" t="s">
        <v>53</v>
      </c>
    </row>
    <row r="11" spans="1:5" x14ac:dyDescent="0.2">
      <c r="E11" t="s">
        <v>54</v>
      </c>
    </row>
    <row r="12" spans="1:5" x14ac:dyDescent="0.2">
      <c r="E12" t="s">
        <v>55</v>
      </c>
    </row>
    <row r="13" spans="1:5" x14ac:dyDescent="0.2">
      <c r="E13" t="s">
        <v>56</v>
      </c>
    </row>
    <row r="14" spans="1:5" x14ac:dyDescent="0.2">
      <c r="E14" t="s">
        <v>57</v>
      </c>
    </row>
    <row r="15" spans="1:5" x14ac:dyDescent="0.2">
      <c r="E15" t="s">
        <v>58</v>
      </c>
    </row>
    <row r="16" spans="1:5" x14ac:dyDescent="0.2">
      <c r="E16" t="s">
        <v>59</v>
      </c>
    </row>
    <row r="17" spans="5:5" x14ac:dyDescent="0.2">
      <c r="E17" t="s">
        <v>60</v>
      </c>
    </row>
    <row r="18" spans="5:5" x14ac:dyDescent="0.2">
      <c r="E18" t="s">
        <v>61</v>
      </c>
    </row>
    <row r="19" spans="5:5" x14ac:dyDescent="0.2">
      <c r="E19" t="s">
        <v>62</v>
      </c>
    </row>
    <row r="20" spans="5:5" x14ac:dyDescent="0.2">
      <c r="E20" t="s">
        <v>63</v>
      </c>
    </row>
    <row r="21" spans="5:5" x14ac:dyDescent="0.2">
      <c r="E21" t="s">
        <v>64</v>
      </c>
    </row>
    <row r="22" spans="5:5" x14ac:dyDescent="0.2">
      <c r="E22" t="s">
        <v>65</v>
      </c>
    </row>
    <row r="23" spans="5:5" x14ac:dyDescent="0.2">
      <c r="E23" t="s">
        <v>66</v>
      </c>
    </row>
    <row r="24" spans="5:5" x14ac:dyDescent="0.2">
      <c r="E24" t="s">
        <v>67</v>
      </c>
    </row>
    <row r="25" spans="5:5" x14ac:dyDescent="0.2">
      <c r="E25" t="s">
        <v>68</v>
      </c>
    </row>
    <row r="26" spans="5:5" x14ac:dyDescent="0.2">
      <c r="E26" t="s">
        <v>69</v>
      </c>
    </row>
    <row r="27" spans="5:5" x14ac:dyDescent="0.2">
      <c r="E27" t="s">
        <v>70</v>
      </c>
    </row>
    <row r="28" spans="5:5" x14ac:dyDescent="0.2">
      <c r="E28" t="s">
        <v>71</v>
      </c>
    </row>
    <row r="29" spans="5:5" x14ac:dyDescent="0.2">
      <c r="E29" t="s">
        <v>72</v>
      </c>
    </row>
    <row r="30" spans="5:5" x14ac:dyDescent="0.2">
      <c r="E30" t="s">
        <v>73</v>
      </c>
    </row>
    <row r="31" spans="5:5" x14ac:dyDescent="0.2">
      <c r="E31" t="s">
        <v>74</v>
      </c>
    </row>
    <row r="32" spans="5:5" x14ac:dyDescent="0.2">
      <c r="E32" t="s">
        <v>75</v>
      </c>
    </row>
    <row r="33" spans="5:5" x14ac:dyDescent="0.2">
      <c r="E33" t="s">
        <v>76</v>
      </c>
    </row>
    <row r="34" spans="5:5" x14ac:dyDescent="0.2">
      <c r="E34" t="s">
        <v>77</v>
      </c>
    </row>
    <row r="35" spans="5:5" x14ac:dyDescent="0.2">
      <c r="E35" t="s">
        <v>78</v>
      </c>
    </row>
    <row r="36" spans="5:5" x14ac:dyDescent="0.2">
      <c r="E36" t="s">
        <v>79</v>
      </c>
    </row>
    <row r="37" spans="5:5" x14ac:dyDescent="0.2">
      <c r="E37" t="s">
        <v>80</v>
      </c>
    </row>
    <row r="38" spans="5:5" x14ac:dyDescent="0.2">
      <c r="E38" t="s">
        <v>81</v>
      </c>
    </row>
    <row r="39" spans="5:5" x14ac:dyDescent="0.2">
      <c r="E39" t="s">
        <v>82</v>
      </c>
    </row>
    <row r="40" spans="5:5" x14ac:dyDescent="0.2">
      <c r="E40" t="s">
        <v>83</v>
      </c>
    </row>
    <row r="41" spans="5:5" x14ac:dyDescent="0.2">
      <c r="E41" t="s">
        <v>84</v>
      </c>
    </row>
    <row r="42" spans="5:5" x14ac:dyDescent="0.2">
      <c r="E42" t="s">
        <v>85</v>
      </c>
    </row>
    <row r="43" spans="5:5" x14ac:dyDescent="0.2">
      <c r="E43" t="s">
        <v>86</v>
      </c>
    </row>
    <row r="44" spans="5:5" x14ac:dyDescent="0.2">
      <c r="E44" t="s">
        <v>87</v>
      </c>
    </row>
    <row r="45" spans="5:5" x14ac:dyDescent="0.2">
      <c r="E45" t="s">
        <v>88</v>
      </c>
    </row>
    <row r="46" spans="5:5" x14ac:dyDescent="0.2">
      <c r="E46" t="s">
        <v>89</v>
      </c>
    </row>
    <row r="47" spans="5:5" x14ac:dyDescent="0.2">
      <c r="E47" t="s">
        <v>90</v>
      </c>
    </row>
    <row r="48" spans="5:5" x14ac:dyDescent="0.2">
      <c r="E48" t="s">
        <v>91</v>
      </c>
    </row>
    <row r="49" spans="5:5" x14ac:dyDescent="0.2">
      <c r="E49" t="s">
        <v>92</v>
      </c>
    </row>
    <row r="50" spans="5:5" x14ac:dyDescent="0.2">
      <c r="E50" t="s">
        <v>93</v>
      </c>
    </row>
    <row r="51" spans="5:5" x14ac:dyDescent="0.2">
      <c r="E51" t="s">
        <v>94</v>
      </c>
    </row>
    <row r="52" spans="5:5" x14ac:dyDescent="0.2">
      <c r="E52" t="s">
        <v>95</v>
      </c>
    </row>
    <row r="53" spans="5:5" x14ac:dyDescent="0.2">
      <c r="E53" t="s">
        <v>96</v>
      </c>
    </row>
    <row r="54" spans="5:5" x14ac:dyDescent="0.2">
      <c r="E54" t="s">
        <v>97</v>
      </c>
    </row>
    <row r="55" spans="5:5" x14ac:dyDescent="0.2">
      <c r="E55" t="s">
        <v>98</v>
      </c>
    </row>
    <row r="56" spans="5:5" x14ac:dyDescent="0.2">
      <c r="E56" t="s">
        <v>99</v>
      </c>
    </row>
    <row r="57" spans="5:5" x14ac:dyDescent="0.2">
      <c r="E57" t="s">
        <v>100</v>
      </c>
    </row>
    <row r="58" spans="5:5" x14ac:dyDescent="0.2">
      <c r="E58" t="s">
        <v>101</v>
      </c>
    </row>
    <row r="59" spans="5:5" x14ac:dyDescent="0.2">
      <c r="E59" t="s">
        <v>102</v>
      </c>
    </row>
    <row r="60" spans="5:5" x14ac:dyDescent="0.2">
      <c r="E60" t="s">
        <v>103</v>
      </c>
    </row>
    <row r="61" spans="5:5" x14ac:dyDescent="0.2">
      <c r="E61" t="s">
        <v>104</v>
      </c>
    </row>
    <row r="62" spans="5:5" x14ac:dyDescent="0.2">
      <c r="E62" t="s">
        <v>105</v>
      </c>
    </row>
    <row r="63" spans="5:5" x14ac:dyDescent="0.2">
      <c r="E63" t="s">
        <v>106</v>
      </c>
    </row>
    <row r="64" spans="5:5" x14ac:dyDescent="0.2">
      <c r="E64" t="s">
        <v>107</v>
      </c>
    </row>
    <row r="65" spans="5:5" x14ac:dyDescent="0.2">
      <c r="E65" t="s">
        <v>108</v>
      </c>
    </row>
    <row r="66" spans="5:5" x14ac:dyDescent="0.2">
      <c r="E66" t="s">
        <v>109</v>
      </c>
    </row>
    <row r="67" spans="5:5" x14ac:dyDescent="0.2">
      <c r="E67" t="s">
        <v>110</v>
      </c>
    </row>
    <row r="68" spans="5:5" x14ac:dyDescent="0.2">
      <c r="E68" t="s">
        <v>111</v>
      </c>
    </row>
    <row r="69" spans="5:5" x14ac:dyDescent="0.2">
      <c r="E69" t="s">
        <v>112</v>
      </c>
    </row>
    <row r="70" spans="5:5" x14ac:dyDescent="0.2">
      <c r="E70" t="s">
        <v>113</v>
      </c>
    </row>
    <row r="71" spans="5:5" x14ac:dyDescent="0.2">
      <c r="E71" t="s">
        <v>114</v>
      </c>
    </row>
    <row r="72" spans="5:5" x14ac:dyDescent="0.2">
      <c r="E72" t="s">
        <v>115</v>
      </c>
    </row>
    <row r="73" spans="5:5" x14ac:dyDescent="0.2">
      <c r="E73" t="s">
        <v>116</v>
      </c>
    </row>
    <row r="74" spans="5:5" x14ac:dyDescent="0.2">
      <c r="E74" t="s">
        <v>117</v>
      </c>
    </row>
    <row r="75" spans="5:5" x14ac:dyDescent="0.2">
      <c r="E75" t="s">
        <v>118</v>
      </c>
    </row>
    <row r="76" spans="5:5" x14ac:dyDescent="0.2">
      <c r="E76" t="s">
        <v>119</v>
      </c>
    </row>
    <row r="77" spans="5:5" x14ac:dyDescent="0.2">
      <c r="E77" t="s">
        <v>120</v>
      </c>
    </row>
    <row r="78" spans="5:5" x14ac:dyDescent="0.2">
      <c r="E78" t="s">
        <v>121</v>
      </c>
    </row>
    <row r="79" spans="5:5" x14ac:dyDescent="0.2">
      <c r="E79" t="s">
        <v>122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1</vt:i4>
      </vt:variant>
    </vt:vector>
  </HeadingPairs>
  <TitlesOfParts>
    <vt:vector size="34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'25'!Area_de_impressao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ESTOQUE</cp:lastModifiedBy>
  <cp:revision/>
  <cp:lastPrinted>2023-10-30T19:00:42Z</cp:lastPrinted>
  <dcterms:created xsi:type="dcterms:W3CDTF">2004-04-07T20:43:43Z</dcterms:created>
  <dcterms:modified xsi:type="dcterms:W3CDTF">2024-09-24T18:48:27Z</dcterms:modified>
  <cp:category/>
  <cp:contentStatus/>
</cp:coreProperties>
</file>