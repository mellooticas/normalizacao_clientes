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489" documentId="8_{B3B8B47A-3DB5-4B57-8C03-A6D96B357B35}" xr6:coauthVersionLast="47" xr6:coauthVersionMax="47" xr10:uidLastSave="{3458DC16-A031-4953-B02A-AD66552B4C93}"/>
  <bookViews>
    <workbookView xWindow="-120" yWindow="-120" windowWidth="29040" windowHeight="15840" tabRatio="895" firstSheet="3" activeTab="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Planilha1" sheetId="202" r:id="rId33"/>
    <sheet name="base_OS" sheetId="201" state="hidden" r:id="rId34"/>
    <sheet name="base" sheetId="36" state="hidden" r:id="rId35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1"/>
  <c r="C6" i="176"/>
  <c r="C6" i="182"/>
  <c r="C6" i="183"/>
  <c r="C6" i="181"/>
  <c r="C6" i="179"/>
  <c r="C6" i="184"/>
  <c r="C6" i="187"/>
  <c r="C6" i="189"/>
  <c r="C6" i="188"/>
  <c r="C6" i="194"/>
  <c r="C6" i="196"/>
  <c r="C6" i="192"/>
  <c r="C6" i="175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1"/>
  <c r="C8" i="179"/>
  <c r="C8" i="187"/>
  <c r="C8" i="189"/>
  <c r="C8" i="194"/>
  <c r="C8" i="196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6" l="1"/>
  <c r="C8" i="192"/>
  <c r="C8" i="183"/>
  <c r="C8" i="175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C8" i="181"/>
  <c r="C8" i="182"/>
  <c r="C16" i="198"/>
  <c r="C16" i="199"/>
  <c r="C16" i="192"/>
  <c r="O11" i="192" s="1"/>
  <c r="C16" i="197"/>
  <c r="C16" i="194"/>
  <c r="O11" i="194" s="1"/>
  <c r="C16" i="195"/>
  <c r="C6" i="195" s="1"/>
  <c r="C16" i="193"/>
  <c r="C16" i="191"/>
  <c r="C16" i="190"/>
  <c r="C16" i="187"/>
  <c r="O11" i="187" s="1"/>
  <c r="C16" i="186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C16" i="176"/>
  <c r="O11" i="176" s="1"/>
  <c r="C16" i="177"/>
  <c r="C16" i="178"/>
  <c r="C16" i="172"/>
  <c r="C16" i="173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8" l="1"/>
  <c r="C6" i="198"/>
  <c r="C8" i="198" s="1"/>
  <c r="O11" i="199"/>
  <c r="C6" i="199"/>
  <c r="C8" i="199" s="1"/>
  <c r="O11" i="197"/>
  <c r="C6" i="197"/>
  <c r="C8" i="197" s="1"/>
  <c r="O11" i="193"/>
  <c r="C6" i="193"/>
  <c r="C8" i="193" s="1"/>
  <c r="O11" i="191"/>
  <c r="C6" i="191"/>
  <c r="C8" i="191" s="1"/>
  <c r="O11" i="190"/>
  <c r="C6" i="190"/>
  <c r="C8" i="190" s="1"/>
  <c r="O11" i="186"/>
  <c r="C6" i="186"/>
  <c r="C8" i="186" s="1"/>
  <c r="O11" i="185"/>
  <c r="C6" i="185"/>
  <c r="C8" i="185" s="1"/>
  <c r="O11" i="180"/>
  <c r="C6" i="180"/>
  <c r="C8" i="180" s="1"/>
  <c r="O11" i="177"/>
  <c r="C6" i="177"/>
  <c r="C8" i="177" s="1"/>
  <c r="O11" i="178"/>
  <c r="C6" i="178"/>
  <c r="C8" i="178" s="1"/>
  <c r="O11" i="170"/>
  <c r="C6" i="170"/>
  <c r="C8" i="170" s="1"/>
  <c r="O11" i="172"/>
  <c r="C6" i="172"/>
  <c r="C8" i="172" s="1"/>
  <c r="O11" i="173"/>
  <c r="C6" i="173"/>
  <c r="C8" i="173" s="1"/>
  <c r="O11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<sst xmlns="http://schemas.openxmlformats.org/spreadsheetml/2006/main" count="1731" uniqueCount="174">
  <si>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</si>
  <si>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</si>
  <si>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</si>
  <si>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</si>
  <si>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</si>
  <si>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</si>
  <si>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</si>
  <si>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</si>
  <si>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</si>
  <si>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</si>
  <si>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</si>
  <si>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</si>
  <si>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</si>
  <si>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</si>
  <si>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</si>
  <si>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</si>
  <si>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</si>
  <si>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</si>
  <si>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</si>
  <si>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</si>
  <si>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</si>
  <si>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</si>
  <si>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</si>
  <si>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</si>
  <si>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</si>
  <si>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</si>
  <si>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</si>
  <si>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</si>
  <si>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</si>
  <si>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</si>
  <si>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</si>
  <si>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</si>
  <si>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</si>
  <si>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</si>
  <si>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</si>
  <si>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</si>
  <si>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</si>
  <si>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</si>
  <si>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</si>
  <si>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</si>
  <si>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</si>
  <si>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</si>
  <si>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</si>
  <si>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</si>
  <si>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</si>
  <si>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</si>
  <si>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</si>
  <si>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</si>
  <si>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</si>
  <si>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</si>
  <si>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</si>
  <si>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</si>
  <si>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</si>
  <si>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</si>
  <si>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</si>
  <si>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</si>
  <si>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</si>
  <si>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</si>
  <si>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</si>
  <si>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</si>
  <si>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</si>
  <si>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</si>
  <si>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</si>
  <si>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</si>
  <si>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</si>
  <si>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</si>
  <si>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</si>
  <si>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</si>
  <si>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</si>
  <si>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</si>
  <si>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</si>
  <si>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</si>
  <si>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</si>
  <si>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</si>
  <si>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</si>
  <si>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</si>
  <si>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</si>
  <si>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</si>
  <si>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</si>
  <si>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</si>
  <si>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</si>
  <si>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</si>
  <si>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</si>
  <si>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</si>
  <si>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</si>
  <si>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</si>
  <si>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</si>
  <si>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</si>
  <si>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</si>
  <si>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</si>
  <si>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</si>
  <si>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</si>
  <si>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</si>
  <si>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</si>
  <si>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</si>
  <si>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</si>
  <si>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</si>
  <si>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</si>
  <si>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</si>
  <si>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</si>
  <si>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</si>
  <si>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</si>
  <si>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</si>
  <si>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</si>
  <si>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</si>
  <si>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</si>
  <si>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</si>
  <si>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</si>
  <si>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</si>
  <si>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</si>
  <si>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</si>
  <si>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</si>
  <si>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</si>
  <si>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</si>
  <si>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</si>
  <si>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</si>
  <si>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</si>
  <si>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</si>
  <si>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</si>
  <si>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</si>
  <si>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</si>
  <si>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</si>
  <si>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</si>
  <si>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</si>
  <si>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</si>
  <si>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</si>
  <si>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</si>
  <si>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</si>
  <si>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</si>
  <si>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</si>
  <si>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</si>
  <si>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</si>
  <si>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</si>
  <si>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</si>
  <si>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</si>
  <si>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</si>
  <si>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</si>
  <si>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</si>
  <si>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</si>
  <si>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</si>
  <si>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</si>
  <si>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SUZANO 2</t>
  </si>
  <si>
    <t xml:space="preserve">MARLENE CARDOZO DE AGUIAR </t>
  </si>
  <si>
    <t>ROBERTO RODRIGUES MORATO</t>
  </si>
  <si>
    <t>Letícia Viana Luciano</t>
  </si>
  <si>
    <t>Não</t>
  </si>
  <si>
    <t>CAMILA BISPO DE SOUZA</t>
  </si>
  <si>
    <t>TALITHA CECILIA LAU COSTA SOUZA</t>
  </si>
  <si>
    <t>MICHAELLA DA SILVA OLIVEIRA</t>
  </si>
  <si>
    <t>BENEDITA APARECIDA CALDOMANIS DE MELLO</t>
  </si>
  <si>
    <t>JOSE MARIA SILVA</t>
  </si>
  <si>
    <t>ELIANA FRANÇA DE OLIVEIRA</t>
  </si>
  <si>
    <t>GIONNNA CRISTNA FRANÇA DE OLIVEIRA</t>
  </si>
  <si>
    <t xml:space="preserve">AGUA </t>
  </si>
  <si>
    <t>MARIA AP RODRIGUES</t>
  </si>
  <si>
    <t>DANIEL DA ROCHA FERRO</t>
  </si>
  <si>
    <t>Sim</t>
  </si>
  <si>
    <t>ISABELLE VIANA DA SILVA</t>
  </si>
  <si>
    <t>LORENZO GUILHERME MOREIRA DOS SANTOS</t>
  </si>
  <si>
    <t>NOELMA CARNEIRO DE ARAUJO</t>
  </si>
  <si>
    <t>LUANA STHEFANI DE OLIVEIRA</t>
  </si>
  <si>
    <t>RAIRA LIMA DA SILVA</t>
  </si>
  <si>
    <t xml:space="preserve">HELIO FERREIRA DA COSTA </t>
  </si>
  <si>
    <t>PAULO EDUARDO MENDES DE OLIVEIRA</t>
  </si>
  <si>
    <t>ALZIR DE BARROS SOUZA</t>
  </si>
  <si>
    <t>DIVA RAMIRES CUNHA DE CAMARGO</t>
  </si>
  <si>
    <t>NICOLLY ARAUJO NUNES</t>
  </si>
  <si>
    <t>FERNANDO DE ALMEIDA</t>
  </si>
  <si>
    <t>RAINAN DA SILVA BARBOSA</t>
  </si>
  <si>
    <t>CECILIA LATIFA ZANINIE DA SILVA</t>
  </si>
  <si>
    <t>ELIZABETE SILVA RODRIGUES</t>
  </si>
  <si>
    <t>RITA DE CASSIA CARDOSO</t>
  </si>
  <si>
    <t>PEDRO HENRIQUE ARMILATO DOS SANTOS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</si>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</sst>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u/>
      <sz val="27"/>
      <name val="Century Gothic"/>
      <family val="2"/>
    </font>
    <font>
      <b/>
      <u/>
      <sz val="27"/>
      <name val="Arial Black"/>
      <family val="2"/>
    </font>
    <font>
      <b/>
      <sz val="27"/>
      <name val="Arial Black"/>
      <family val="2"/>
    </font>
    <font>
      <strike/>
      <sz val="11"/>
      <name val="Arial"/>
      <family val="2"/>
    </font>
    <font>
      <strike/>
      <sz val="11"/>
      <name val="Calibri"/>
      <family val="2"/>
    </font>
    <font>
      <strike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4" fillId="0" borderId="3" xfId="2" applyFont="1" applyFill="1" applyBorder="1" applyAlignment="1">
      <alignment horizontal="center"/>
    </xf>
    <xf numFmtId="164" fontId="35" fillId="0" borderId="3" xfId="2" applyFont="1" applyFill="1" applyBorder="1" applyAlignment="1">
      <alignment horizontal="center"/>
    </xf>
    <xf numFmtId="165" fontId="35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4" fillId="0" borderId="17" xfId="2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6" fillId="0" borderId="3" xfId="0" applyFont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65" fontId="37" fillId="0" borderId="0" xfId="0" applyNumberFormat="1" applyFont="1" applyAlignment="1">
      <alignment horizontal="center"/>
    </xf>
    <xf numFmtId="14" fontId="38" fillId="0" borderId="0" xfId="0" applyNumberFormat="1" applyFont="1" applyAlignment="1">
      <alignment horizontal="center"/>
    </xf>
    <xf numFmtId="0" fontId="38" fillId="0" borderId="0" xfId="0" applyFont="1"/>
    <xf numFmtId="0" fontId="37" fillId="0" borderId="0" xfId="0" applyFont="1"/>
    <xf numFmtId="1" fontId="31" fillId="0" borderId="17" xfId="0" applyNumberFormat="1" applyFont="1" applyBorder="1" applyAlignment="1">
      <alignment horizontal="center"/>
    </xf>
    <xf numFmtId="164" fontId="31" fillId="0" borderId="2" xfId="2" applyFont="1" applyFill="1" applyBorder="1" applyAlignment="1">
      <alignment horizontal="center"/>
    </xf>
    <xf numFmtId="164" fontId="31" fillId="0" borderId="0" xfId="2" applyFont="1" applyFill="1" applyBorder="1" applyAlignment="1">
      <alignment horizontal="center"/>
    </xf>
    <xf numFmtId="165" fontId="31" fillId="0" borderId="11" xfId="4" applyNumberFormat="1" applyFont="1" applyFill="1" applyBorder="1" applyAlignment="1">
      <alignment horizontal="center"/>
    </xf>
    <xf numFmtId="165" fontId="31" fillId="0" borderId="0" xfId="4" applyNumberFormat="1" applyFont="1" applyFill="1" applyBorder="1" applyAlignment="1">
      <alignment horizontal="center"/>
    </xf>
    <xf numFmtId="164" fontId="31" fillId="0" borderId="3" xfId="2" applyFont="1" applyFill="1" applyBorder="1" applyAlignment="1">
      <alignment horizontal="center"/>
    </xf>
    <xf numFmtId="165" fontId="31" fillId="0" borderId="3" xfId="4" applyNumberFormat="1" applyFont="1" applyFill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0" fontId="31" fillId="0" borderId="0" xfId="0" applyFont="1"/>
    <xf numFmtId="165" fontId="31" fillId="0" borderId="0" xfId="0" applyNumberFormat="1" applyFont="1" applyAlignment="1">
      <alignment horizontal="center"/>
    </xf>
    <xf numFmtId="165" fontId="31" fillId="0" borderId="13" xfId="0" applyNumberFormat="1" applyFont="1" applyBorder="1" applyAlignment="1">
      <alignment horizontal="center"/>
    </xf>
    <xf numFmtId="165" fontId="31" fillId="0" borderId="6" xfId="0" applyNumberFormat="1" applyFont="1" applyBorder="1" applyAlignment="1">
      <alignment horizontal="center"/>
    </xf>
    <xf numFmtId="165" fontId="31" fillId="0" borderId="9" xfId="0" applyNumberFormat="1" applyFont="1" applyBorder="1" applyAlignment="1">
      <alignment horizontal="center"/>
    </xf>
    <xf numFmtId="1" fontId="31" fillId="0" borderId="3" xfId="0" applyNumberFormat="1" applyFont="1" applyBorder="1" applyAlignment="1">
      <alignment horizontal="center"/>
    </xf>
    <xf numFmtId="1" fontId="31" fillId="0" borderId="17" xfId="2" applyNumberFormat="1" applyFont="1" applyFill="1" applyBorder="1" applyAlignment="1">
      <alignment horizontal="center"/>
    </xf>
    <xf numFmtId="1" fontId="31" fillId="0" borderId="3" xfId="2" applyNumberFormat="1" applyFont="1" applyBorder="1" applyAlignment="1">
      <alignment horizontal="center"/>
    </xf>
    <xf numFmtId="1" fontId="31" fillId="0" borderId="17" xfId="2" applyNumberFormat="1" applyFont="1" applyBorder="1" applyAlignment="1">
      <alignment horizontal="center"/>
    </xf>
    <xf numFmtId="1" fontId="31" fillId="0" borderId="3" xfId="2" applyNumberFormat="1" applyFont="1" applyFill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" fontId="40" fillId="0" borderId="17" xfId="0" applyNumberFormat="1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42" fillId="0" borderId="17" xfId="2" applyFont="1" applyFill="1" applyBorder="1" applyAlignment="1">
      <alignment horizontal="center"/>
    </xf>
    <xf numFmtId="165" fontId="42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51" dataDxfId="449" headerRowBorderDxfId="450" tableBorderDxfId="448" totalsRowBorderDxfId="447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1"/>
  <sheetViews>
    <sheetView workbookViewId="0">
      <selection activeCell="K27" sqref="K27"/>
    </sheetView>
  </sheetViews>
  <sheetFormatPr defaultColWidth="21.28515625" defaultRowHeight="12.75" x14ac:dyDescent="0.2"/>
  <cols>
    <col min="1" max="1" width="0.42578125" customWidth="1"/>
    <col min="2" max="2" width="22.7109375" customWidth="1"/>
    <col min="4" max="4" width="0.28515625" customWidth="1"/>
    <col min="10" max="10" width="0.28515625" customWidth="1"/>
  </cols>
  <sheetData>
    <row r="1" spans="1:16" ht="42" x14ac:dyDescent="0.8">
      <c r="B1" s="73"/>
      <c r="L1" s="74" t="s">
        <v>141</v>
      </c>
      <c r="P1" t="s">
        <v>127</v>
      </c>
    </row>
    <row r="2" spans="1:16" ht="15" x14ac:dyDescent="0.2">
      <c r="A2" s="17" t="s">
        <v>0</v>
      </c>
      <c r="B2" s="53" t="s">
        <v>13</v>
      </c>
      <c r="P2" t="s">
        <v>128</v>
      </c>
    </row>
    <row r="3" spans="1:16" ht="9.75" customHeight="1" x14ac:dyDescent="0.25">
      <c r="A3" s="21" t="s">
        <v>1</v>
      </c>
      <c r="B3" s="22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5893.99</v>
      </c>
      <c r="P3" t="s">
        <v>129</v>
      </c>
    </row>
    <row r="4" spans="1:16" ht="15" x14ac:dyDescent="0.25">
      <c r="A4" s="21" t="s">
        <v>2</v>
      </c>
      <c r="B4" s="22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6021.29</v>
      </c>
      <c r="P4" t="s">
        <v>130</v>
      </c>
    </row>
    <row r="5" spans="1:16" ht="15" x14ac:dyDescent="0.25">
      <c r="A5" s="21" t="s">
        <v>3</v>
      </c>
      <c r="B5" s="22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43</v>
      </c>
      <c r="P5" t="s">
        <v>131</v>
      </c>
    </row>
    <row r="6" spans="1:16" ht="15.75" x14ac:dyDescent="0.25">
      <c r="A6" s="26" t="s">
        <v>4</v>
      </c>
      <c r="B6" s="27">
        <f ca="1">SUM(B4:B5)</f>
        <v>6064.29</v>
      </c>
      <c r="C6">
        <f>C16</f>
        <v>0</v>
      </c>
      <c r="E6" s="83"/>
      <c r="F6" s="83"/>
      <c r="G6" s="83"/>
      <c r="H6" s="83"/>
      <c r="I6" s="83"/>
      <c r="K6" s="83"/>
      <c r="L6" s="83"/>
      <c r="M6" s="83"/>
      <c r="P6" t="s">
        <v>132</v>
      </c>
    </row>
    <row r="7" spans="1:16" ht="15" x14ac:dyDescent="0.25">
      <c r="A7" s="2"/>
      <c r="B7" s="2"/>
      <c r="E7" s="83"/>
      <c r="F7" s="83"/>
      <c r="G7" s="83"/>
      <c r="H7" s="83"/>
      <c r="I7" s="83"/>
      <c r="K7" s="83"/>
      <c r="L7" s="83"/>
      <c r="M7" s="83"/>
      <c r="P7" t="s">
        <v>133</v>
      </c>
    </row>
    <row r="8" spans="1:16" ht="15" x14ac:dyDescent="0.2">
      <c r="A8" s="98" t="s">
        <v>5</v>
      </c>
      <c r="B8" s="98"/>
      <c r="E8" s="83"/>
      <c r="F8" s="83"/>
      <c r="G8" s="83"/>
      <c r="H8" s="83"/>
      <c r="I8" s="83"/>
      <c r="K8" s="83"/>
      <c r="L8" s="83"/>
      <c r="M8" s="83"/>
      <c r="P8" t="s">
        <v>134</v>
      </c>
    </row>
    <row r="9" spans="1:16" ht="15" x14ac:dyDescent="0.25">
      <c r="A9" s="28" t="s">
        <v>6</v>
      </c>
      <c r="B9" s="22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933.6</v>
      </c>
      <c r="E9" s="83"/>
      <c r="F9" s="83"/>
      <c r="G9" s="83"/>
      <c r="H9" s="83"/>
      <c r="I9" s="83"/>
      <c r="K9" s="83"/>
      <c r="L9" s="83"/>
      <c r="M9" s="83"/>
      <c r="P9" t="s">
        <v>135</v>
      </c>
    </row>
    <row r="10" spans="1:16" ht="15" x14ac:dyDescent="0.25">
      <c r="A10" s="28" t="s">
        <v>7</v>
      </c>
      <c r="B10" s="22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313.99</v>
      </c>
      <c r="E10" s="83"/>
      <c r="F10" s="83"/>
      <c r="G10" s="83"/>
      <c r="H10" s="83"/>
      <c r="I10" s="83"/>
      <c r="K10" s="83"/>
      <c r="L10" s="83"/>
      <c r="M10" s="83"/>
      <c r="P10" t="s">
        <v>136</v>
      </c>
    </row>
    <row r="11" spans="1:16" ht="15" x14ac:dyDescent="0.25">
      <c r="A11" s="28" t="s">
        <v>8</v>
      </c>
      <c r="B11" s="22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3417</v>
      </c>
      <c r="E11" s="83"/>
      <c r="F11" s="83"/>
      <c r="G11" s="83"/>
      <c r="H11" s="83"/>
      <c r="I11" s="83"/>
      <c r="K11" s="83"/>
      <c r="L11" s="83"/>
      <c r="M11" s="83"/>
      <c r="P11" t="s">
        <v>137</v>
      </c>
    </row>
    <row r="12" spans="1:16" ht="15" x14ac:dyDescent="0.25">
      <c r="A12" s="28" t="s">
        <v>9</v>
      </c>
      <c r="B12" s="22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E12" s="83"/>
      <c r="F12" s="83"/>
      <c r="G12" s="83"/>
      <c r="H12" s="83"/>
      <c r="I12" s="83"/>
      <c r="K12" s="83"/>
      <c r="L12" s="83"/>
      <c r="M12" s="83"/>
      <c r="P12" t="s">
        <v>138</v>
      </c>
    </row>
    <row r="13" spans="1:16" ht="15" x14ac:dyDescent="0.25">
      <c r="A13" s="28" t="s">
        <v>10</v>
      </c>
      <c r="B13" s="22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1356.6999999999998</v>
      </c>
      <c r="E13" s="83"/>
      <c r="F13" s="83"/>
      <c r="G13" s="83"/>
      <c r="H13" s="83"/>
      <c r="I13" s="83"/>
      <c r="P13" t="s">
        <v>139</v>
      </c>
    </row>
    <row r="14" spans="1:16" ht="15.75" x14ac:dyDescent="0.25">
      <c r="A14" s="26" t="s">
        <v>11</v>
      </c>
      <c r="B14" s="54">
        <f ca="1">SUM(B9:B13)</f>
        <v>6021.29</v>
      </c>
      <c r="E14" s="83"/>
      <c r="F14" s="83"/>
      <c r="G14" s="83"/>
      <c r="H14" s="83"/>
      <c r="I14" s="83"/>
    </row>
    <row r="15" spans="1:16" ht="15" x14ac:dyDescent="0.25">
      <c r="A15" s="2"/>
      <c r="B15" s="2"/>
      <c r="E15" s="83"/>
      <c r="F15" s="83"/>
      <c r="G15" s="83"/>
      <c r="H15" s="83"/>
      <c r="I15" s="83"/>
      <c r="K15" s="83"/>
      <c r="L15" s="83"/>
      <c r="M15" s="83"/>
    </row>
    <row r="16" spans="1:16" ht="15" x14ac:dyDescent="0.2">
      <c r="A16" s="98" t="s">
        <v>12</v>
      </c>
      <c r="B16" s="98"/>
      <c r="E16" s="83"/>
      <c r="F16" s="83"/>
      <c r="G16" s="83"/>
      <c r="H16" s="83"/>
      <c r="I16" s="83"/>
      <c r="K16" s="83"/>
      <c r="L16" s="83"/>
      <c r="M16" s="83"/>
    </row>
    <row r="17" spans="1:13" ht="15" x14ac:dyDescent="0.25">
      <c r="A17" s="28">
        <f>COUNT(#REF!)</f>
        <v>0</v>
      </c>
      <c r="B17" s="22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1189.96</v>
      </c>
      <c r="E17" s="83"/>
      <c r="F17" s="83"/>
      <c r="G17" s="83"/>
      <c r="H17" s="83"/>
      <c r="I17" s="83"/>
      <c r="K17" s="83"/>
      <c r="L17" s="83"/>
      <c r="M17" s="83"/>
    </row>
    <row r="18" spans="1:13" ht="15.75" x14ac:dyDescent="0.25">
      <c r="A18" s="26" t="s">
        <v>11</v>
      </c>
      <c r="B18" s="54">
        <f>SUM(B17:B17)</f>
        <v>1189.96</v>
      </c>
      <c r="E18" s="83"/>
      <c r="F18" s="83"/>
      <c r="G18" s="83"/>
      <c r="H18" s="83"/>
      <c r="I18" s="83"/>
      <c r="K18" s="83"/>
      <c r="L18" s="83"/>
      <c r="M18" s="83"/>
    </row>
    <row r="19" spans="1:13" ht="14.25" x14ac:dyDescent="0.2">
      <c r="E19" s="83"/>
      <c r="F19" s="83"/>
      <c r="G19" s="83"/>
      <c r="H19" s="83"/>
      <c r="I19" s="83"/>
      <c r="K19" s="83"/>
      <c r="L19" s="83"/>
      <c r="M19" s="83"/>
    </row>
    <row r="20" spans="1:13" ht="14.25" x14ac:dyDescent="0.2">
      <c r="E20" s="83"/>
      <c r="F20" s="83"/>
      <c r="G20" s="83"/>
      <c r="H20" s="83"/>
      <c r="I20" s="83"/>
      <c r="K20" s="83"/>
      <c r="L20" s="83"/>
      <c r="M20" s="83"/>
    </row>
    <row r="21" spans="1:13" ht="14.25" x14ac:dyDescent="0.2">
      <c r="E21" s="83"/>
      <c r="F21" s="83"/>
      <c r="G21" s="83"/>
      <c r="H21" s="83"/>
      <c r="I21" s="83"/>
      <c r="K21" s="83"/>
      <c r="L21" s="83"/>
      <c r="M21" s="83"/>
    </row>
    <row r="22" spans="1:13" ht="14.25" x14ac:dyDescent="0.2">
      <c r="E22" s="83"/>
      <c r="F22" s="83"/>
      <c r="G22" s="83"/>
      <c r="H22" s="83"/>
      <c r="I22" s="83"/>
      <c r="K22" s="83"/>
      <c r="L22" s="83"/>
      <c r="M22" s="83"/>
    </row>
    <row r="23" spans="1:13" ht="14.25" x14ac:dyDescent="0.2">
      <c r="E23" s="83"/>
      <c r="F23" s="83"/>
      <c r="G23" s="83"/>
      <c r="H23" s="83"/>
      <c r="I23" s="83"/>
      <c r="K23" s="83"/>
      <c r="L23" s="83"/>
      <c r="M23" s="83"/>
    </row>
    <row r="24" spans="1:13" ht="14.25" x14ac:dyDescent="0.2">
      <c r="K24" s="83"/>
      <c r="L24" s="83"/>
      <c r="M24" s="83"/>
    </row>
    <row r="25" spans="1:13" ht="14.25" x14ac:dyDescent="0.2">
      <c r="K25" s="83"/>
      <c r="L25" s="83"/>
      <c r="M25" s="83"/>
    </row>
    <row r="26" spans="1:13" ht="14.25" x14ac:dyDescent="0.2">
      <c r="E26" s="83"/>
      <c r="F26" s="83"/>
      <c r="G26" s="83"/>
      <c r="H26" s="83"/>
      <c r="I26" s="83"/>
      <c r="K26" s="83"/>
      <c r="L26" s="83"/>
      <c r="M26" s="83"/>
    </row>
    <row r="27" spans="1:13" ht="14.25" x14ac:dyDescent="0.2">
      <c r="E27" s="83"/>
      <c r="F27" s="83"/>
      <c r="G27" s="83"/>
      <c r="H27" s="83"/>
      <c r="I27" s="83"/>
      <c r="K27" s="83"/>
      <c r="L27" s="83"/>
      <c r="M27" s="83"/>
    </row>
    <row r="28" spans="1:13" ht="14.25" x14ac:dyDescent="0.2">
      <c r="E28" s="83"/>
      <c r="F28" s="83"/>
      <c r="G28" s="83"/>
      <c r="H28" s="83"/>
      <c r="I28" s="83"/>
      <c r="K28" s="83"/>
      <c r="L28" s="83"/>
      <c r="M28" s="83"/>
    </row>
    <row r="29" spans="1:13" ht="14.25" x14ac:dyDescent="0.2">
      <c r="E29" s="83"/>
      <c r="F29" s="83"/>
      <c r="G29" s="83"/>
      <c r="H29" s="83"/>
      <c r="I29" s="83"/>
      <c r="K29" s="83"/>
      <c r="L29" s="83"/>
      <c r="M29" s="83"/>
    </row>
    <row r="30" spans="1:13" ht="14.25" x14ac:dyDescent="0.2">
      <c r="E30" s="83"/>
      <c r="F30" s="83"/>
      <c r="G30" s="83"/>
      <c r="H30" s="83"/>
      <c r="I30" s="83"/>
      <c r="K30" s="83"/>
      <c r="L30" s="83"/>
      <c r="M30" s="83"/>
    </row>
    <row r="31" spans="1:13" ht="14.25" x14ac:dyDescent="0.2">
      <c r="E31" s="83"/>
      <c r="F31" s="83"/>
      <c r="G31" s="83"/>
      <c r="H31" s="83"/>
      <c r="I31" s="83"/>
      <c r="K31" s="83"/>
      <c r="L31" s="83"/>
      <c r="M31" s="83"/>
    </row>
    <row r="35" spans="5:13" ht="14.25" x14ac:dyDescent="0.2">
      <c r="E35" s="83"/>
      <c r="F35" s="83"/>
      <c r="G35" s="83"/>
      <c r="H35" s="83"/>
      <c r="I35" s="83"/>
      <c r="K35" s="83"/>
      <c r="L35" s="83"/>
      <c r="M35" s="83"/>
    </row>
    <row r="36" spans="5:13" ht="14.25" x14ac:dyDescent="0.2">
      <c r="E36" s="83"/>
      <c r="F36" s="83"/>
      <c r="G36" s="83"/>
      <c r="H36" s="83"/>
      <c r="I36" s="83"/>
      <c r="K36" s="83"/>
      <c r="L36" s="83"/>
      <c r="M36" s="83"/>
    </row>
    <row r="37" spans="5:13" ht="14.25" x14ac:dyDescent="0.2">
      <c r="E37" s="83"/>
      <c r="F37" s="83"/>
      <c r="G37" s="83"/>
      <c r="H37" s="83"/>
      <c r="I37" s="83"/>
      <c r="K37" s="83"/>
      <c r="L37" s="83"/>
      <c r="M37" s="83"/>
    </row>
    <row r="38" spans="5:13" ht="14.25" x14ac:dyDescent="0.2">
      <c r="E38" s="83"/>
      <c r="F38" s="83"/>
      <c r="G38" s="83"/>
      <c r="H38" s="83"/>
      <c r="I38" s="83"/>
      <c r="K38" s="83"/>
      <c r="L38" s="83"/>
      <c r="M38" s="83"/>
    </row>
    <row r="39" spans="5:13" ht="14.25" x14ac:dyDescent="0.2">
      <c r="E39" s="83"/>
      <c r="F39" s="83"/>
      <c r="G39" s="83"/>
      <c r="H39" s="83"/>
      <c r="I39" s="83"/>
      <c r="K39" s="83"/>
      <c r="L39" s="83"/>
      <c r="M39" s="83"/>
    </row>
    <row r="40" spans="5:13" ht="14.25" x14ac:dyDescent="0.2">
      <c r="E40" s="83"/>
      <c r="F40" s="83"/>
      <c r="G40" s="83"/>
      <c r="H40" s="83"/>
      <c r="I40" s="83"/>
      <c r="K40" s="83"/>
      <c r="L40" s="83"/>
      <c r="M40" s="83"/>
    </row>
    <row r="41" spans="5:13" ht="14.25" x14ac:dyDescent="0.2">
      <c r="E41" s="83"/>
      <c r="F41" s="83"/>
      <c r="G41" s="83"/>
      <c r="H41" s="83"/>
      <c r="I41" s="83"/>
      <c r="K41" s="83"/>
      <c r="L41" s="83"/>
      <c r="M41" s="83"/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90" zoomScaleNormal="90" workbookViewId="0">
      <selection activeCell="K27" sqref="K27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34.2851562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v>45658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24"/>
      <c r="H6" s="7"/>
      <c r="I6" s="7"/>
      <c r="J6" s="2"/>
      <c r="K6" s="23"/>
      <c r="L6" s="8"/>
      <c r="M6" s="15"/>
      <c r="R6" s="1">
        <f>IF(vend1[[#This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IF(vend1[[#This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IF(vend1[[#This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IF(vend1[[#This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IF(vend1[[#This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IF(vend1[[#This Row],[Nº Venda]]&gt;1,1,0)</f>
        <v>0</v>
      </c>
    </row>
    <row r="19" spans="2:18" ht="15" x14ac:dyDescent="0.25">
      <c r="B19" s="28">
        <f>COUNT(entr_carn1[OS])</f>
        <v>0</v>
      </c>
      <c r="C19" s="29">
        <f>SUM(entr_carn1[Valor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75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K27" sqref="K27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'01'!B1+1</f>
        <v>45659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42"/>
      <c r="H6" s="7"/>
      <c r="I6" s="7"/>
      <c r="J6" s="2"/>
      <c r="K6" s="23"/>
      <c r="L6" s="8"/>
      <c r="M6" s="15"/>
      <c r="R6" s="1">
        <f>IF(vend2[[#This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42"/>
      <c r="H7" s="7"/>
      <c r="I7" s="7"/>
      <c r="J7" s="2"/>
      <c r="K7" s="23"/>
      <c r="L7" s="8"/>
      <c r="M7" s="15"/>
      <c r="R7" s="1">
        <f>IF(vend2[[#This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IF(vend2[[#This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IF(vend2[[#This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IF(vend2[[#This Row],[Nº Venda]]&gt;1,1,0)</f>
        <v>0</v>
      </c>
    </row>
    <row r="19" spans="2:18" ht="15" x14ac:dyDescent="0.25">
      <c r="B19" s="28">
        <f>COUNT(entr_carn2[OS])</f>
        <v>0</v>
      </c>
      <c r="C19" s="29">
        <f>SUM(entr_carn2[Valor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21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21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  <c r="U34" s="1" t="s">
        <v>37</v>
      </c>
    </row>
    <row r="35" spans="2:21" ht="15" x14ac:dyDescent="0.25">
      <c r="E35" s="75"/>
      <c r="F35" s="23"/>
      <c r="G35" s="24"/>
      <c r="H35" s="7"/>
      <c r="I35" s="7"/>
      <c r="K35" s="67"/>
      <c r="L35" s="39"/>
      <c r="M35" s="15"/>
    </row>
    <row r="36" spans="2:21" ht="15" x14ac:dyDescent="0.25">
      <c r="E36" s="75"/>
      <c r="F36" s="23"/>
      <c r="G36" s="24"/>
      <c r="H36" s="7"/>
      <c r="I36" s="7"/>
      <c r="K36" s="67"/>
      <c r="L36" s="39"/>
      <c r="M36" s="15"/>
    </row>
    <row r="37" spans="2:21" ht="15" x14ac:dyDescent="0.25">
      <c r="E37" s="75"/>
      <c r="F37" s="23"/>
      <c r="G37" s="24"/>
      <c r="H37" s="7"/>
      <c r="I37" s="7"/>
      <c r="K37" s="67"/>
      <c r="L37" s="39"/>
      <c r="M37" s="15"/>
    </row>
    <row r="38" spans="2:21" ht="15" x14ac:dyDescent="0.25">
      <c r="E38" s="75"/>
      <c r="F38" s="23"/>
      <c r="G38" s="24"/>
      <c r="H38" s="7"/>
      <c r="I38" s="7"/>
      <c r="K38" s="67"/>
      <c r="L38" s="39"/>
      <c r="M38" s="15"/>
    </row>
    <row r="39" spans="2:21" ht="15" x14ac:dyDescent="0.25">
      <c r="E39" s="75"/>
      <c r="F39" s="37"/>
      <c r="G39" s="24"/>
      <c r="H39" s="7"/>
      <c r="I39" s="7"/>
      <c r="K39" s="67"/>
      <c r="L39" s="39"/>
      <c r="M39" s="15"/>
    </row>
    <row r="40" spans="2:21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21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90" zoomScaleNormal="90" workbookViewId="0">
      <selection activeCell="E36" sqref="E3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'02'!B1+1</f>
        <v>45660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1027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296.03999999999996</v>
      </c>
      <c r="D6" s="2"/>
      <c r="E6" s="75">
        <v>1068</v>
      </c>
      <c r="F6" s="23" t="s">
        <v>142</v>
      </c>
      <c r="G6" s="42" t="s">
        <v>6</v>
      </c>
      <c r="H6" s="7">
        <v>1027</v>
      </c>
      <c r="I6" s="7">
        <v>50</v>
      </c>
      <c r="J6" s="2"/>
      <c r="K6" s="23"/>
      <c r="L6" s="8"/>
      <c r="M6" s="15"/>
      <c r="R6" s="1">
        <f>IF(vend3[[#This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75">
        <v>1068</v>
      </c>
      <c r="F7" s="23" t="s">
        <v>142</v>
      </c>
      <c r="G7" s="24" t="s">
        <v>10</v>
      </c>
      <c r="H7" s="7"/>
      <c r="I7" s="7">
        <v>50</v>
      </c>
      <c r="J7" s="2"/>
      <c r="K7" s="23"/>
      <c r="L7" s="8"/>
      <c r="M7" s="15"/>
      <c r="R7" s="1">
        <f>IF(vend3[[#This Row],[Nº Venda]]&gt;1,1,0)</f>
        <v>1</v>
      </c>
    </row>
    <row r="8" spans="2:18" ht="15.75" x14ac:dyDescent="0.25">
      <c r="B8" s="26" t="s">
        <v>21</v>
      </c>
      <c r="C8" s="27">
        <f>SUM(C6:C7)</f>
        <v>296.03999999999996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IF(vend3[[#This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IF(vend3[[#This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IF(vend3[[#This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50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IF(vend3[[#This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IF(vend3[[#This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IF(vend3[[#This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IF(vend3[[#This Row],[Nº Venda]]&gt;1,1,0)</f>
        <v>0</v>
      </c>
    </row>
    <row r="15" spans="2:18" ht="15" x14ac:dyDescent="0.25">
      <c r="B15" s="28" t="s">
        <v>10</v>
      </c>
      <c r="C15" s="29">
        <f t="shared" si="0"/>
        <v>246.04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IF(vend3[[#This Row],[Nº Venda]]&gt;1,1,0)</f>
        <v>0</v>
      </c>
    </row>
    <row r="16" spans="2:18" ht="15.75" x14ac:dyDescent="0.25">
      <c r="B16" s="26" t="s">
        <v>11</v>
      </c>
      <c r="C16" s="30">
        <f>SUM(C11:C15)</f>
        <v>296.03999999999996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IF(vend3[[#This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IF(vend3[[#This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IF(vend3[[#This Row],[Nº Venda]]&gt;1,1,0)</f>
        <v>0</v>
      </c>
    </row>
    <row r="19" spans="2:18" ht="15" x14ac:dyDescent="0.25">
      <c r="B19" s="28">
        <f>COUNT(entr_carn3[OS])</f>
        <v>0</v>
      </c>
      <c r="C19" s="29">
        <f>SUM(entr_carn3[Valor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IF(vend3[[#This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IF(vend3[[#This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1027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42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>
        <v>942</v>
      </c>
      <c r="F35" s="23" t="s">
        <v>143</v>
      </c>
      <c r="G35" s="24" t="s">
        <v>10</v>
      </c>
      <c r="H35" s="7">
        <v>98.02</v>
      </c>
      <c r="I35" s="7" t="s">
        <v>82</v>
      </c>
      <c r="K35" s="67"/>
      <c r="L35" s="39"/>
      <c r="M35" s="15"/>
    </row>
    <row r="36" spans="2:18" ht="15" x14ac:dyDescent="0.25">
      <c r="E36" s="75">
        <v>942</v>
      </c>
      <c r="F36" s="23" t="s">
        <v>143</v>
      </c>
      <c r="G36" s="24" t="s">
        <v>10</v>
      </c>
      <c r="H36" s="7">
        <v>98.02</v>
      </c>
      <c r="I36" s="7" t="s">
        <v>34</v>
      </c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2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abSelected="1" zoomScale="80" zoomScaleNormal="80" workbookViewId="0">
      <selection activeCell="H13" sqref="H13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2.5703125" style="32" customWidth="1"/>
    <col min="6" max="6" width="35.8554687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18.4257812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'03'!B1+1</f>
        <v>45661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170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170</v>
      </c>
      <c r="D6" s="2"/>
      <c r="E6" s="75">
        <v>1069</v>
      </c>
      <c r="F6" s="23" t="s">
        <v>144</v>
      </c>
      <c r="G6" s="42" t="s">
        <v>8</v>
      </c>
      <c r="H6" s="7">
        <v>170</v>
      </c>
      <c r="I6" s="7">
        <v>170</v>
      </c>
      <c r="J6" s="2"/>
      <c r="K6" s="23"/>
      <c r="L6" s="8"/>
      <c r="M6" s="15"/>
      <c r="R6" s="1">
        <f>IF(vend4[[#This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42"/>
      <c r="H7" s="7"/>
      <c r="I7" s="7"/>
      <c r="J7" s="2"/>
      <c r="K7" s="23"/>
      <c r="L7" s="8"/>
      <c r="M7" s="15"/>
      <c r="R7" s="1">
        <f>IF(vend4[[#This Row],[Nº Venda]]&gt;1,1,0)</f>
        <v>0</v>
      </c>
    </row>
    <row r="8" spans="2:18" ht="15.75" x14ac:dyDescent="0.25">
      <c r="B8" s="26" t="s">
        <v>21</v>
      </c>
      <c r="C8" s="27">
        <f>SUM(C6:C7)</f>
        <v>170</v>
      </c>
      <c r="D8" s="2"/>
      <c r="E8" s="75"/>
      <c r="F8" s="23"/>
      <c r="G8" s="42"/>
      <c r="H8" s="7"/>
      <c r="I8" s="7"/>
      <c r="J8" s="2"/>
      <c r="K8" s="23"/>
      <c r="L8" s="8"/>
      <c r="M8" s="15"/>
      <c r="R8" s="1">
        <f>IF(vend4[[#This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42"/>
      <c r="H9" s="7"/>
      <c r="I9" s="7"/>
      <c r="J9" s="2"/>
      <c r="K9" s="23"/>
      <c r="L9" s="8"/>
      <c r="M9" s="15"/>
      <c r="R9" s="1">
        <f>IF(vend4[[#This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IF(vend4[[#This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IF(vend4[[#This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IF(vend4[[#This Row],[Nº Venda]]&gt;1,1,0)</f>
        <v>0</v>
      </c>
    </row>
    <row r="13" spans="2:18" ht="15" x14ac:dyDescent="0.25">
      <c r="B13" s="28" t="s">
        <v>8</v>
      </c>
      <c r="C13" s="29">
        <f t="shared" si="0"/>
        <v>170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IF(vend4[[#This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IF(vend4[[#This Row],[Nº Venda]]&gt;1,1,0)</f>
        <v>0</v>
      </c>
    </row>
    <row r="15" spans="2:18" ht="18.75" x14ac:dyDescent="0.4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>
        <v>1069</v>
      </c>
      <c r="L15" s="8" t="s">
        <v>139</v>
      </c>
      <c r="M15" s="49" t="s">
        <v>145</v>
      </c>
      <c r="R15" s="1">
        <f>IF(vend4[[#This Row],[Nº Venda]]&gt;1,1,0)</f>
        <v>0</v>
      </c>
    </row>
    <row r="16" spans="2:18" ht="18.75" x14ac:dyDescent="0.4">
      <c r="B16" s="26" t="s">
        <v>11</v>
      </c>
      <c r="C16" s="30">
        <f>SUM(C11:C15)</f>
        <v>170</v>
      </c>
      <c r="D16" s="2"/>
      <c r="E16" s="75"/>
      <c r="F16" s="23"/>
      <c r="G16" s="24"/>
      <c r="H16" s="7"/>
      <c r="I16" s="7"/>
      <c r="J16" s="2"/>
      <c r="K16" s="67"/>
      <c r="L16" s="8"/>
      <c r="M16" s="49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49"/>
      <c r="R17" s="1">
        <f>IF(vend4[[#This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IF(vend4[[#This Row],[Nº Venda]]&gt;1,1,0)</f>
        <v>0</v>
      </c>
    </row>
    <row r="19" spans="2:18" ht="15" x14ac:dyDescent="0.25">
      <c r="B19" s="28">
        <f>COUNT(entr_carn4[OS])</f>
        <v>0</v>
      </c>
      <c r="C19" s="29">
        <f>SUM(entr_carn4[Valor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IF(vend4[[#This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IF(vend4[[#This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170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42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42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42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75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1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90" zoomScaleNormal="90" workbookViewId="0">
      <selection activeCell="K27" sqref="K27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32.14062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'04'!B1+1</f>
        <v>45662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42"/>
      <c r="H6" s="7"/>
      <c r="I6" s="7"/>
      <c r="J6" s="2"/>
      <c r="K6" s="23"/>
      <c r="L6" s="8"/>
      <c r="M6" s="15"/>
      <c r="R6" s="1">
        <f>IF(vend5[[#This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42"/>
      <c r="H7" s="7"/>
      <c r="I7" s="7"/>
      <c r="J7" s="2"/>
      <c r="K7" s="23"/>
      <c r="L7" s="8"/>
      <c r="M7" s="15"/>
      <c r="R7" s="1">
        <f>IF(vend5[[#This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42"/>
      <c r="H8" s="7"/>
      <c r="I8" s="7"/>
      <c r="J8" s="2"/>
      <c r="K8" s="23"/>
      <c r="L8" s="8"/>
      <c r="M8" s="15"/>
      <c r="R8" s="1">
        <f>IF(vend5[[#This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42"/>
      <c r="H9" s="7"/>
      <c r="I9" s="7"/>
      <c r="J9" s="2"/>
      <c r="K9" s="23"/>
      <c r="L9" s="8"/>
      <c r="M9" s="15"/>
      <c r="R9" s="1">
        <f>IF(vend5[[#This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42"/>
      <c r="H10" s="7"/>
      <c r="I10" s="7"/>
      <c r="J10" s="2"/>
      <c r="K10" s="23"/>
      <c r="L10" s="8"/>
      <c r="M10" s="15"/>
      <c r="R10" s="1">
        <f>IF(vend5[[#This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42"/>
      <c r="H11" s="7"/>
      <c r="I11" s="7"/>
      <c r="J11" s="2"/>
      <c r="K11" s="25"/>
      <c r="L11" s="8"/>
      <c r="M11" s="15"/>
      <c r="O11" s="1">
        <f>IF(C16=0,0,1)</f>
        <v>0</v>
      </c>
      <c r="R11" s="1">
        <f>IF(vend5[[#This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IF(vend5[[#This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IF(vend5[[#This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IF(vend5[[#This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87"/>
      <c r="N15" s="15"/>
      <c r="R15" s="1">
        <f>IF(vend5[[#This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86"/>
      <c r="N16" s="15"/>
      <c r="R16" s="1">
        <f>IF(vend5[[#This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IF(vend5[[#This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IF(vend5[[#This Row],[Nº Venda]]&gt;1,1,0)</f>
        <v>0</v>
      </c>
    </row>
    <row r="19" spans="2:18" ht="15" x14ac:dyDescent="0.25">
      <c r="B19" s="28">
        <f>COUNT(entr_carn5[OS])</f>
        <v>0</v>
      </c>
      <c r="C19" s="29">
        <f>SUM(entr_carn5[Valor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IF(vend5[[#This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IF(vend5[[#This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42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42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42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2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34.2851562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710937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'05'!B1+1</f>
        <v>45663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40</v>
      </c>
      <c r="D6" s="2"/>
      <c r="E6" s="75"/>
      <c r="F6" s="23"/>
      <c r="G6" s="24"/>
      <c r="H6" s="7"/>
      <c r="I6" s="7"/>
      <c r="J6" s="2"/>
      <c r="K6" s="23"/>
      <c r="L6" s="8"/>
      <c r="M6" s="15"/>
      <c r="R6" s="1">
        <f>IF(vend[[#This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IF(vend[[#This Row],[Nº Venda]]&gt;1,1,0)</f>
        <v>0</v>
      </c>
    </row>
    <row r="8" spans="2:18" ht="15.75" x14ac:dyDescent="0.25">
      <c r="B8" s="26" t="s">
        <v>21</v>
      </c>
      <c r="C8" s="27">
        <f>SUM(C6:C7)</f>
        <v>40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82"/>
      <c r="G10" s="24"/>
      <c r="H10" s="7"/>
      <c r="I10" s="7"/>
      <c r="J10" s="2"/>
      <c r="K10" s="23"/>
      <c r="L10" s="8"/>
      <c r="M10" s="15"/>
      <c r="R10" s="1">
        <f>IF(vend[[#This Row],[Nº Venda]]&gt;1,1,0)</f>
        <v>0</v>
      </c>
    </row>
    <row r="11" spans="2:18" ht="15" x14ac:dyDescent="0.25">
      <c r="B11" s="28" t="s">
        <v>6</v>
      </c>
      <c r="C11" s="58">
        <f>(SUMIF($G$2:$G$31,B11,$I$2:$I$31))+(SUMIF($G$35:$G$41,B11,$H$35:$H$41))</f>
        <v>40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IF(vend[[#This Row],[Nº Venda]]&gt;1,1,0)</f>
        <v>0</v>
      </c>
    </row>
    <row r="12" spans="2:18" ht="15" x14ac:dyDescent="0.25">
      <c r="B12" s="28" t="s">
        <v>7</v>
      </c>
      <c r="C12" s="58">
        <f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IF(vend[[#This Row],[Nº Venda]]&gt;1,1,0)</f>
        <v>0</v>
      </c>
    </row>
    <row r="13" spans="2:18" ht="15" x14ac:dyDescent="0.25">
      <c r="B13" s="28" t="s">
        <v>8</v>
      </c>
      <c r="C13" s="58">
        <f>(SUMIF($G$2:$G$31,B13,$I$2:$I$31))+(SUMIF($G$35:$G$41,B13,$H$35:$H$41))</f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IF(vend[[#This Row],[Nº Venda]]&gt;1,1,0)</f>
        <v>0</v>
      </c>
    </row>
    <row r="14" spans="2:18" ht="15" x14ac:dyDescent="0.25">
      <c r="B14" s="28" t="s">
        <v>9</v>
      </c>
      <c r="C14" s="58">
        <f>(SUMIF($G$2:$G$31,B14,$I$2:$I$31))+(SUMIF($G$35:$G$41,B14,$H$35:$H$41))</f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IF(vend[[#This Row],[Nº Venda]]&gt;1,1,0)</f>
        <v>0</v>
      </c>
    </row>
    <row r="15" spans="2:18" ht="15" x14ac:dyDescent="0.25">
      <c r="B15" s="28" t="s">
        <v>10</v>
      </c>
      <c r="C15" s="58">
        <f>(SUMIF($G$2:$G$31,B15,$I$2:$I$31))+(SUMIF($G$35:$G$41,B15,$H$35:$H$41))</f>
        <v>0</v>
      </c>
      <c r="D15" s="2"/>
      <c r="E15" s="75"/>
      <c r="F15" s="23"/>
      <c r="G15" s="24"/>
      <c r="H15" s="7"/>
      <c r="I15" s="7"/>
      <c r="J15" s="2"/>
      <c r="K15" s="67">
        <v>1056</v>
      </c>
      <c r="L15" s="8" t="s">
        <v>139</v>
      </c>
      <c r="M15" s="15" t="s">
        <v>145</v>
      </c>
      <c r="R15" s="1">
        <f>IF(vend[[#This Row],[Nº Venda]]&gt;1,1,0)</f>
        <v>0</v>
      </c>
    </row>
    <row r="16" spans="2:18" ht="15.75" x14ac:dyDescent="0.25">
      <c r="B16" s="26" t="s">
        <v>11</v>
      </c>
      <c r="C16" s="30">
        <f>SUM(C11:C15)</f>
        <v>40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IF(vend[[#This Row],[Nº Venda]]&gt;1,1,0)</f>
        <v>0</v>
      </c>
    </row>
    <row r="19" spans="2:18" ht="15" x14ac:dyDescent="0.25">
      <c r="B19" s="28">
        <f>COUNT(entr_carn6[OS])</f>
        <v>0</v>
      </c>
      <c r="C19" s="29">
        <f>SUM(entr_carn6[Valor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>
        <v>1066</v>
      </c>
      <c r="F26" s="23" t="s">
        <v>146</v>
      </c>
      <c r="G26" s="24" t="s">
        <v>6</v>
      </c>
      <c r="H26" s="7"/>
      <c r="I26" s="7">
        <v>40</v>
      </c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91"/>
      <c r="F41" s="37"/>
      <c r="G41" s="24"/>
      <c r="H41" s="7"/>
      <c r="I41" s="7"/>
      <c r="K41" s="67"/>
      <c r="L41" s="39"/>
      <c r="M41" s="38"/>
    </row>
    <row r="42" spans="2:18" x14ac:dyDescent="0.2">
      <c r="F42" s="65"/>
      <c r="G42" s="65"/>
      <c r="H42" s="64"/>
      <c r="I42" s="64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90" zoomScaleNormal="90" workbookViewId="0">
      <selection activeCell="E16" sqref="E1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42" x14ac:dyDescent="0.8">
      <c r="B1" s="72">
        <f>'06'!B1+1</f>
        <v>45664</v>
      </c>
      <c r="L1" s="71" t="s">
        <v>141</v>
      </c>
    </row>
    <row r="2" spans="2:21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21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  <c r="U4" s="1">
        <v>0</v>
      </c>
    </row>
    <row r="5" spans="2:21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21" ht="15" x14ac:dyDescent="0.25">
      <c r="B6" s="21" t="s">
        <v>2</v>
      </c>
      <c r="C6" s="22">
        <f>C16</f>
        <v>199.14</v>
      </c>
      <c r="D6" s="2"/>
      <c r="E6" s="75"/>
      <c r="F6" s="44"/>
      <c r="G6" s="44"/>
      <c r="H6" s="45"/>
      <c r="I6" s="45"/>
      <c r="J6" s="2"/>
      <c r="K6" s="23"/>
      <c r="L6" s="8"/>
      <c r="M6" s="15"/>
      <c r="R6" s="1">
        <f>IF(vend7[[#This Row],[Nº Venda]]&gt;1,1,0)</f>
        <v>0</v>
      </c>
    </row>
    <row r="7" spans="2:21" ht="15" x14ac:dyDescent="0.25">
      <c r="B7" s="21" t="s">
        <v>3</v>
      </c>
      <c r="C7" s="22">
        <f>SUM(M6:M11)</f>
        <v>0</v>
      </c>
      <c r="D7" s="2"/>
      <c r="E7" s="75"/>
      <c r="F7" s="46"/>
      <c r="G7" s="46"/>
      <c r="H7" s="47"/>
      <c r="I7" s="47"/>
      <c r="J7" s="2"/>
      <c r="K7" s="23"/>
      <c r="L7" s="8"/>
      <c r="M7" s="15"/>
      <c r="R7" s="1">
        <f>IF(vend7[[#This Row],[Nº Venda]]&gt;1,1,0)</f>
        <v>0</v>
      </c>
    </row>
    <row r="8" spans="2:21" ht="15.75" x14ac:dyDescent="0.25">
      <c r="B8" s="26" t="s">
        <v>21</v>
      </c>
      <c r="C8" s="27">
        <f>SUM(C6:C7)</f>
        <v>199.14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IF(vend7[[#This Row],[Nº Venda]]&gt;1,1,0)</f>
        <v>0</v>
      </c>
    </row>
    <row r="9" spans="2:21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IF(vend7[[#This Row],[Nº Venda]]&gt;1,1,0)</f>
        <v>0</v>
      </c>
    </row>
    <row r="10" spans="2:21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IF(vend7[[#This Row],[Nº Venda]]&gt;1,1,0)</f>
        <v>0</v>
      </c>
    </row>
    <row r="11" spans="2:21" ht="15" x14ac:dyDescent="0.25">
      <c r="B11" s="28" t="s">
        <v>6</v>
      </c>
      <c r="C11" s="29">
        <f>(SUMIF($G$2:$G$31,B11,$I$2:$I$31))+(SUMIF($G$35:$G$41,B11,$H$35:$H$41))</f>
        <v>35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IF(vend7[[#This Row],[Nº Venda]]&gt;1,1,0)</f>
        <v>0</v>
      </c>
    </row>
    <row r="12" spans="2:21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IF(vend7[[#This Row],[Nº Venda]]&gt;1,1,0)</f>
        <v>0</v>
      </c>
    </row>
    <row r="13" spans="2:21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IF(vend7[[#This Row],[Nº Venda]]&gt;1,1,0)</f>
        <v>0</v>
      </c>
    </row>
    <row r="14" spans="2:21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IF(vend7[[#This Row],[Nº Venda]]&gt;1,1,0)</f>
        <v>0</v>
      </c>
    </row>
    <row r="15" spans="2:21" ht="15" x14ac:dyDescent="0.25">
      <c r="B15" s="28" t="s">
        <v>10</v>
      </c>
      <c r="C15" s="29">
        <f t="shared" si="0"/>
        <v>164.14</v>
      </c>
      <c r="D15" s="2"/>
      <c r="E15" s="75"/>
      <c r="F15" s="23"/>
      <c r="G15" s="24"/>
      <c r="H15" s="7"/>
      <c r="I15" s="7"/>
      <c r="J15" s="2"/>
      <c r="K15" s="67">
        <v>1066</v>
      </c>
      <c r="L15" s="8" t="s">
        <v>139</v>
      </c>
      <c r="M15" s="43" t="s">
        <v>145</v>
      </c>
      <c r="R15" s="1">
        <f>IF(vend7[[#This Row],[Nº Venda]]&gt;1,1,0)</f>
        <v>0</v>
      </c>
    </row>
    <row r="16" spans="2:21" ht="15.75" x14ac:dyDescent="0.25">
      <c r="B16" s="26" t="s">
        <v>11</v>
      </c>
      <c r="C16" s="30">
        <f>SUM(C11:C15)</f>
        <v>199.14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IF(vend7[[#This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IF(vend7[[#This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IF(vend7[[#This Row],[Nº Venda]]&gt;1,1,0)</f>
        <v>0</v>
      </c>
    </row>
    <row r="19" spans="2:18" ht="15" x14ac:dyDescent="0.25">
      <c r="B19" s="28">
        <f>COUNT(entr_carn7[OS])</f>
        <v>0</v>
      </c>
      <c r="C19" s="29">
        <f>SUM(entr_carn7[Valor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IF(vend7[[#This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IF(vend7[[#This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>
        <v>1066</v>
      </c>
      <c r="F26" s="50" t="s">
        <v>146</v>
      </c>
      <c r="G26" s="51" t="s">
        <v>6</v>
      </c>
      <c r="H26" s="52"/>
      <c r="I26" s="52">
        <v>35</v>
      </c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>
        <v>921</v>
      </c>
      <c r="F35" s="23" t="s">
        <v>147</v>
      </c>
      <c r="G35" s="24" t="s">
        <v>10</v>
      </c>
      <c r="H35" s="7">
        <v>100</v>
      </c>
      <c r="I35" s="7" t="s">
        <v>59</v>
      </c>
      <c r="K35" s="67"/>
      <c r="L35" s="39"/>
      <c r="M35" s="15"/>
    </row>
    <row r="36" spans="2:18" ht="15" x14ac:dyDescent="0.25">
      <c r="E36" s="90">
        <v>934</v>
      </c>
      <c r="F36" s="23" t="s">
        <v>148</v>
      </c>
      <c r="G36" s="24" t="s">
        <v>10</v>
      </c>
      <c r="H36" s="7">
        <v>64.14</v>
      </c>
      <c r="I36" s="7" t="s">
        <v>61</v>
      </c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I35" sqref="I35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30.710937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0.710937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'07'!B1+1</f>
        <v>45665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176.5</v>
      </c>
      <c r="D6" s="2"/>
      <c r="E6" s="75"/>
      <c r="F6" s="7"/>
      <c r="G6" s="7"/>
      <c r="H6" s="7"/>
      <c r="I6" s="7"/>
      <c r="J6" s="2"/>
      <c r="K6" s="23"/>
      <c r="L6" s="8"/>
      <c r="M6" s="15"/>
      <c r="R6" s="1">
        <f>IF(vend8[[#This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7"/>
      <c r="G7" s="7"/>
      <c r="H7" s="7"/>
      <c r="I7" s="7"/>
      <c r="J7" s="2"/>
      <c r="K7" s="23"/>
      <c r="L7" s="8"/>
      <c r="M7" s="15"/>
      <c r="R7" s="1">
        <f>IF(vend8[[#This Row],[Nº Venda]]&gt;1,1,0)</f>
        <v>0</v>
      </c>
    </row>
    <row r="8" spans="2:18" ht="15.75" x14ac:dyDescent="0.25">
      <c r="B8" s="26" t="s">
        <v>21</v>
      </c>
      <c r="C8" s="27">
        <f>SUM(C6:C7)</f>
        <v>176.5</v>
      </c>
      <c r="D8" s="2"/>
      <c r="E8" s="75"/>
      <c r="F8" s="7"/>
      <c r="G8" s="7"/>
      <c r="H8" s="7"/>
      <c r="I8" s="7"/>
      <c r="J8" s="2"/>
      <c r="K8" s="23"/>
      <c r="L8" s="8"/>
      <c r="M8" s="15"/>
      <c r="R8" s="1">
        <f>IF(vend8[[#This Row],[Nº Venda]]&gt;1,1,0)</f>
        <v>0</v>
      </c>
    </row>
    <row r="9" spans="2:18" ht="15" x14ac:dyDescent="0.25">
      <c r="B9" s="2"/>
      <c r="C9" s="2"/>
      <c r="D9" s="2"/>
      <c r="E9" s="75"/>
      <c r="F9" s="7"/>
      <c r="G9" s="7"/>
      <c r="H9" s="7"/>
      <c r="I9" s="7"/>
      <c r="J9" s="2"/>
      <c r="K9" s="23"/>
      <c r="L9" s="8"/>
      <c r="M9" s="15"/>
      <c r="R9" s="1">
        <f>IF(vend8[[#This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IF(vend8[[#This Row],[Nº Venda]]&gt;1,1,0)</f>
        <v>0</v>
      </c>
    </row>
    <row r="11" spans="2:18" ht="15" x14ac:dyDescent="0.25">
      <c r="B11" s="28" t="s">
        <v>6</v>
      </c>
      <c r="C11" s="58">
        <f>(SUMIF($G$2:$G$31,B11,$I$2:$I$31))+(SUMIF($G$35:$G$42,B11,$H$35:$H$42))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IF(vend8[[#This Row],[Nº Venda]]&gt;1,1,0)</f>
        <v>0</v>
      </c>
    </row>
    <row r="12" spans="2:18" ht="15" x14ac:dyDescent="0.25">
      <c r="B12" s="28" t="s">
        <v>7</v>
      </c>
      <c r="C12" s="58">
        <f>(SUMIF($G$2:$G$31,B12,$I$2:$I$31))+(SUMIF($G$35:$G$42,B12,$H$35:$H$42))</f>
        <v>176.5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IF(vend8[[#This Row],[Nº Venda]]&gt;1,1,0)</f>
        <v>0</v>
      </c>
    </row>
    <row r="13" spans="2:18" ht="15" x14ac:dyDescent="0.25">
      <c r="B13" s="28" t="s">
        <v>8</v>
      </c>
      <c r="C13" s="58">
        <f>(SUMIF($G$2:$G$31,B13,$I$2:$I$31))+(SUMIF($G$35:$G$42,B13,$H$35:$H$42))</f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IF(vend8[[#This Row],[Nº Venda]]&gt;1,1,0)</f>
        <v>0</v>
      </c>
    </row>
    <row r="14" spans="2:18" ht="15" x14ac:dyDescent="0.25">
      <c r="B14" s="28" t="s">
        <v>9</v>
      </c>
      <c r="C14" s="58">
        <f>(SUMIF($G$2:$G$31,B14,$I$2:$I$31))+(SUMIF($G$35:$G$42,B14,$H$35:$H$42))</f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IF(vend8[[#This Row],[Nº Venda]]&gt;1,1,0)</f>
        <v>0</v>
      </c>
    </row>
    <row r="15" spans="2:18" ht="15" x14ac:dyDescent="0.25">
      <c r="B15" s="28" t="s">
        <v>10</v>
      </c>
      <c r="C15" s="58">
        <f>(SUMIF($G$2:$G$31,B15,$I$2:$I$31))+(SUMIF($G$35:$G$42,B15,$H$35:$H$42))</f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IF(vend8[[#This Row],[Nº Venda]]&gt;1,1,0)</f>
        <v>0</v>
      </c>
    </row>
    <row r="16" spans="2:18" ht="15.75" x14ac:dyDescent="0.25">
      <c r="B16" s="26" t="s">
        <v>11</v>
      </c>
      <c r="C16" s="30">
        <f>SUM(C11:C15)</f>
        <v>176.5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IF(vend8[[#This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IF(vend8[[#This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IF(vend8[[#This Row],[Nº Venda]]&gt;1,1,0)</f>
        <v>0</v>
      </c>
    </row>
    <row r="19" spans="2:18" ht="15" x14ac:dyDescent="0.25">
      <c r="B19" s="28">
        <f>COUNT(entr_carn8[OS])</f>
        <v>0</v>
      </c>
      <c r="C19" s="29">
        <f>SUM(entr_carn8[Valor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IF(vend8[[#This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IF(vend8[[#This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69"/>
      <c r="G26" s="70"/>
      <c r="H26" s="52"/>
      <c r="I26" s="52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42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42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42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23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>
        <v>946</v>
      </c>
      <c r="F35" s="23" t="s">
        <v>149</v>
      </c>
      <c r="G35" s="24" t="s">
        <v>7</v>
      </c>
      <c r="H35" s="7">
        <v>176.5</v>
      </c>
      <c r="I35" s="7" t="s">
        <v>99</v>
      </c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91"/>
      <c r="F41" s="37"/>
      <c r="G41" s="24"/>
      <c r="H41" s="7"/>
      <c r="I41" s="7"/>
      <c r="K41" s="67"/>
      <c r="L41" s="39"/>
      <c r="M41" s="38"/>
    </row>
    <row r="42" spans="2:18" ht="15.75" x14ac:dyDescent="0.25">
      <c r="E42" s="33"/>
      <c r="F42" s="55"/>
      <c r="G42" s="56"/>
      <c r="H42" s="57"/>
      <c r="I42" s="1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5.28515625" style="1" customWidth="1"/>
    <col min="4" max="4" width="0.28515625" style="1" customWidth="1"/>
    <col min="5" max="5" width="13.140625" style="32" customWidth="1"/>
    <col min="6" max="6" width="26.28515625" style="32" customWidth="1"/>
    <col min="7" max="7" width="17.28515625" style="32" customWidth="1"/>
    <col min="8" max="8" width="16.5703125" style="4" customWidth="1"/>
    <col min="9" max="9" width="15.5703125" style="4" customWidth="1"/>
    <col min="10" max="10" width="0.28515625" style="1" customWidth="1"/>
    <col min="11" max="11" width="17.42578125" style="3" customWidth="1"/>
    <col min="12" max="12" width="21.28515625" style="3" customWidth="1"/>
    <col min="13" max="13" width="10.140625" style="3" customWidth="1"/>
    <col min="14" max="14" width="4.28515625" style="1" hidden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'08'!B1+1</f>
        <v>45666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420.85</v>
      </c>
      <c r="D6" s="2"/>
      <c r="E6" s="75"/>
      <c r="F6" s="23"/>
      <c r="G6" s="42"/>
      <c r="H6" s="7"/>
      <c r="I6" s="7"/>
      <c r="J6" s="2"/>
      <c r="K6" s="23" t="s">
        <v>153</v>
      </c>
      <c r="L6" s="8" t="s">
        <v>10</v>
      </c>
      <c r="M6" s="15">
        <v>13</v>
      </c>
      <c r="R6" s="1">
        <f>IF(vend9[[#This Row],[Nº Venda]]&gt;1,1,0)</f>
        <v>0</v>
      </c>
    </row>
    <row r="7" spans="2:18" ht="15" x14ac:dyDescent="0.25">
      <c r="B7" s="21" t="s">
        <v>3</v>
      </c>
      <c r="C7" s="22">
        <f>SUM(M6:M11)</f>
        <v>13</v>
      </c>
      <c r="D7" s="2"/>
      <c r="E7" s="75"/>
      <c r="F7" s="23"/>
      <c r="G7" s="42"/>
      <c r="H7" s="7"/>
      <c r="I7" s="7"/>
      <c r="J7" s="2"/>
      <c r="K7" s="23"/>
      <c r="L7" s="8"/>
      <c r="M7" s="15"/>
      <c r="R7" s="1">
        <f>IF(vend9[[#This Row],[Nº Venda]]&gt;1,1,0)</f>
        <v>0</v>
      </c>
    </row>
    <row r="8" spans="2:18" ht="15.75" x14ac:dyDescent="0.25">
      <c r="B8" s="26" t="s">
        <v>21</v>
      </c>
      <c r="C8" s="27">
        <f>SUM(C6:C7)</f>
        <v>433.85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IF(vend9[[#This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IF(vend9[[#This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IF(vend9[[#This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296.35000000000002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IF(vend9[[#This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IF(vend9[[#This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IF(vend9[[#This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IF(vend9[[#This Row],[Nº Venda]]&gt;1,1,0)</f>
        <v>0</v>
      </c>
    </row>
    <row r="15" spans="2:18" ht="15" x14ac:dyDescent="0.25">
      <c r="B15" s="28" t="s">
        <v>10</v>
      </c>
      <c r="C15" s="29">
        <f t="shared" si="0"/>
        <v>124.5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IF(vend9[[#This Row],[Nº Venda]]&gt;1,1,0)</f>
        <v>0</v>
      </c>
    </row>
    <row r="16" spans="2:18" ht="15.75" x14ac:dyDescent="0.25">
      <c r="B16" s="26" t="s">
        <v>11</v>
      </c>
      <c r="C16" s="30">
        <f>SUM(C11:C15)</f>
        <v>420.85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IF(vend9[[#This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IF(vend9[[#This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IF(vend9[[#This Row],[Nº Venda]]&gt;1,1,0)</f>
        <v>0</v>
      </c>
    </row>
    <row r="19" spans="2:18" ht="15" x14ac:dyDescent="0.25">
      <c r="B19" s="28">
        <f>COUNT(entr_carn9[OS])</f>
        <v>0</v>
      </c>
      <c r="C19" s="29">
        <f>SUM(entr_carn9[Valor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IF(vend9[[#This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3"/>
      <c r="G20" s="24"/>
      <c r="H20" s="7"/>
      <c r="I20" s="7"/>
      <c r="J20" s="2"/>
      <c r="K20" s="67"/>
      <c r="L20" s="8"/>
      <c r="M20" s="15"/>
      <c r="R20" s="1">
        <f>IF(vend9[[#This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42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>
        <v>1041</v>
      </c>
      <c r="F35" s="23" t="s">
        <v>150</v>
      </c>
      <c r="G35" s="24" t="s">
        <v>6</v>
      </c>
      <c r="H35" s="7">
        <v>166.35</v>
      </c>
      <c r="I35" s="7" t="s">
        <v>71</v>
      </c>
      <c r="K35" s="67"/>
      <c r="L35" s="39"/>
      <c r="M35" s="15"/>
    </row>
    <row r="36" spans="2:18" ht="15" x14ac:dyDescent="0.25">
      <c r="E36" s="90">
        <v>1048</v>
      </c>
      <c r="F36" s="23" t="s">
        <v>151</v>
      </c>
      <c r="G36" s="24" t="s">
        <v>6</v>
      </c>
      <c r="H36" s="7">
        <v>130</v>
      </c>
      <c r="I36" s="7" t="s">
        <v>39</v>
      </c>
      <c r="K36" s="67"/>
      <c r="L36" s="39"/>
      <c r="M36" s="15"/>
    </row>
    <row r="37" spans="2:18" ht="15" x14ac:dyDescent="0.25">
      <c r="E37" s="75">
        <v>1049</v>
      </c>
      <c r="F37" s="23" t="s">
        <v>152</v>
      </c>
      <c r="G37" s="24" t="s">
        <v>10</v>
      </c>
      <c r="H37" s="7">
        <v>124.5</v>
      </c>
      <c r="I37" s="7" t="s">
        <v>67</v>
      </c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32.14062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19.140625" style="3" customWidth="1"/>
    <col min="12" max="12" width="24.28515625" style="3" bestFit="1" customWidth="1"/>
    <col min="13" max="13" width="13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'09'!B1+1</f>
        <v>45667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SUMIF(I6:I32,"&gt;0",H6:H32)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42"/>
      <c r="H6" s="7"/>
      <c r="I6" s="7"/>
      <c r="J6" s="2"/>
      <c r="K6" s="23"/>
      <c r="L6" s="8"/>
      <c r="M6" s="15"/>
      <c r="R6" s="1">
        <f>IF(vend10[[#This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42"/>
      <c r="H7" s="7"/>
      <c r="I7" s="7"/>
      <c r="J7" s="2"/>
      <c r="K7" s="23"/>
      <c r="L7" s="8"/>
      <c r="M7" s="15"/>
      <c r="R7" s="1">
        <f>IF(vend10[[#This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IF(vend10[[#This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IF(vend10[[#This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IF(vend10[[#This Row],[Nº Venda]]&gt;1,1,0)</f>
        <v>0</v>
      </c>
    </row>
    <row r="11" spans="2:18" ht="15" x14ac:dyDescent="0.25">
      <c r="B11" s="28" t="s">
        <v>6</v>
      </c>
      <c r="C11" s="29">
        <f>(SUMIF($G$2:$G$32,B11,$I$2:$I$32))+(SUMIF($G$36:$G$42,B11,$H$36:$H$42))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IF(vend10[[#This Row],[Nº Venda]]&gt;1,1,0)</f>
        <v>0</v>
      </c>
    </row>
    <row r="12" spans="2:18" ht="15" x14ac:dyDescent="0.25">
      <c r="B12" s="28" t="s">
        <v>7</v>
      </c>
      <c r="C12" s="29">
        <f>(SUMIF($G$2:$G$32,B12,$I$2:$I$32))+(SUMIF($G$36:$G$42,B12,$H$36:$H$42))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IF(vend10[[#This Row],[Nº Venda]]&gt;1,1,0)</f>
        <v>0</v>
      </c>
    </row>
    <row r="13" spans="2:18" ht="15" x14ac:dyDescent="0.25">
      <c r="B13" s="28" t="s">
        <v>8</v>
      </c>
      <c r="C13" s="29">
        <f>(SUMIF($G$2:$G$32,B13,$I$2:$I$32))+(SUMIF($G$36:$G$42,B13,$H$36:$H$42))</f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IF(vend10[[#This Row],[Nº Venda]]&gt;1,1,0)</f>
        <v>0</v>
      </c>
    </row>
    <row r="14" spans="2:18" ht="15" x14ac:dyDescent="0.25">
      <c r="B14" s="28" t="s">
        <v>9</v>
      </c>
      <c r="C14" s="29">
        <f>(SUMIF($G$2:$G$32,B14,$I$2:$I$32))+(SUMIF($G$36:$G$42,B14,$H$36:$H$42))</f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IF(vend10[[#This Row],[Nº Venda]]&gt;1,1,0)</f>
        <v>0</v>
      </c>
    </row>
    <row r="15" spans="2:18" ht="15" x14ac:dyDescent="0.25">
      <c r="B15" s="28" t="s">
        <v>10</v>
      </c>
      <c r="C15" s="29">
        <f>(SUMIF($G$2:$G$32,B15,$I$2:$I$32))+(SUMIF($G$36:$G$42,B15,$H$36:$H$42))</f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IF(vend10[[#This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86"/>
      <c r="R16" s="1">
        <f>IF(vend10[[#This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IF(vend10[[#This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IF(vend10[[#This Row],[Nº Venda]]&gt;1,1,0)</f>
        <v>0</v>
      </c>
    </row>
    <row r="19" spans="2:18" ht="15" x14ac:dyDescent="0.25">
      <c r="B19" s="28">
        <f>COUNT(entr_carn10[OS])</f>
        <v>0</v>
      </c>
      <c r="C19" s="29">
        <f>SUM(entr_carn10[Valor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IF(vend10[[#This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IF(vend10[[#This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42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42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42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.75" x14ac:dyDescent="0.25">
      <c r="B32" s="2"/>
      <c r="C32" s="2"/>
      <c r="E32" s="33"/>
      <c r="F32" s="37"/>
      <c r="G32" s="24"/>
      <c r="H32" s="7"/>
      <c r="I32" s="7"/>
    </row>
    <row r="33" spans="2:18" ht="15" x14ac:dyDescent="0.25">
      <c r="B33" s="2"/>
      <c r="C33" s="2"/>
      <c r="E33" s="31"/>
      <c r="K33" s="100" t="s">
        <v>12</v>
      </c>
      <c r="L33" s="101"/>
      <c r="M33" s="102"/>
    </row>
    <row r="34" spans="2:18" ht="15" x14ac:dyDescent="0.25">
      <c r="E34" s="99" t="s">
        <v>28</v>
      </c>
      <c r="F34" s="99"/>
      <c r="G34" s="99"/>
      <c r="H34" s="99"/>
      <c r="I34" s="99"/>
      <c r="K34" s="13" t="s">
        <v>23</v>
      </c>
      <c r="L34" s="6" t="s">
        <v>31</v>
      </c>
      <c r="M34" s="14" t="s">
        <v>32</v>
      </c>
    </row>
    <row r="35" spans="2:18" ht="15" x14ac:dyDescent="0.25">
      <c r="E35" s="66" t="s">
        <v>23</v>
      </c>
      <c r="F35" s="9" t="s">
        <v>15</v>
      </c>
      <c r="G35" s="10" t="s">
        <v>16</v>
      </c>
      <c r="H35" s="11" t="s">
        <v>29</v>
      </c>
      <c r="I35" s="12" t="s">
        <v>30</v>
      </c>
      <c r="K35" s="67"/>
      <c r="L35" s="39"/>
      <c r="M35" s="15"/>
    </row>
    <row r="36" spans="2:18" ht="15" x14ac:dyDescent="0.25">
      <c r="E36" s="75"/>
      <c r="F36" s="23"/>
      <c r="G36" s="24"/>
      <c r="H36" s="7"/>
      <c r="I36" s="7"/>
      <c r="K36" s="67"/>
      <c r="L36" s="39"/>
      <c r="M36" s="15"/>
    </row>
    <row r="37" spans="2:18" ht="15" x14ac:dyDescent="0.25">
      <c r="E37" s="90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23"/>
      <c r="G39" s="24"/>
      <c r="H39" s="7"/>
      <c r="I39" s="7"/>
      <c r="K39" s="67"/>
      <c r="L39" s="39"/>
      <c r="M39" s="15"/>
    </row>
    <row r="40" spans="2:18" ht="15" x14ac:dyDescent="0.25">
      <c r="E40" s="75"/>
      <c r="F40" s="37"/>
      <c r="G40" s="24"/>
      <c r="H40" s="7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8"/>
      <c r="F41" s="34"/>
      <c r="G41" s="35"/>
      <c r="H41" s="16"/>
      <c r="I41" s="7"/>
      <c r="K41" s="67"/>
      <c r="L41" s="39"/>
      <c r="M41" s="38"/>
    </row>
    <row r="42" spans="2:18" ht="15.75" x14ac:dyDescent="0.25">
      <c r="E42" s="41"/>
      <c r="F42" s="37"/>
      <c r="G42" s="24"/>
      <c r="H42" s="7"/>
      <c r="I42" s="7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90" zoomScaleNormal="90" workbookViewId="0">
      <selection activeCell="K7" sqref="K7:M7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'10'!B1+1</f>
        <v>45668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>
        <v>1069</v>
      </c>
      <c r="F6" s="23" t="s">
        <v>154</v>
      </c>
      <c r="G6" s="24" t="s">
        <v>40</v>
      </c>
      <c r="H6" s="7">
        <v>0</v>
      </c>
      <c r="I6" s="7">
        <v>0</v>
      </c>
      <c r="J6" s="2"/>
      <c r="K6" s="23"/>
      <c r="L6" s="8"/>
      <c r="M6" s="15"/>
      <c r="R6" s="1">
        <f>IF(vend11[[#This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IF(vend11[[#This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IF(vend11[[#This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IF(vend11[[#This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IF(vend11[[#This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IF(vend11[[#This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IF(vend11[[#This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IF(vend11[[#This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IF(vend11[[#This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>
        <v>1047</v>
      </c>
      <c r="L15" s="8" t="s">
        <v>139</v>
      </c>
      <c r="M15" s="15" t="s">
        <v>145</v>
      </c>
      <c r="R15" s="1">
        <f>IF(vend11[[#This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IF(vend11[[#This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IF(vend11[[#This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IF(vend11[[#This Row],[Nº Venda]]&gt;1,1,0)</f>
        <v>0</v>
      </c>
    </row>
    <row r="19" spans="2:18" ht="15" x14ac:dyDescent="0.25">
      <c r="B19" s="28">
        <f>COUNT(entr_carn11[OS])</f>
        <v>0</v>
      </c>
      <c r="C19" s="29">
        <f>SUM(entr_carn11[Valor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IF(vend11[[#This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IF(vend11[[#This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42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1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0" zoomScaleNormal="90" workbookViewId="0">
      <selection activeCell="K27" sqref="K27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'11'!B1+1</f>
        <v>45669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44"/>
      <c r="G6" s="44"/>
      <c r="H6" s="45"/>
      <c r="I6" s="45"/>
      <c r="J6" s="2"/>
      <c r="K6" s="23"/>
      <c r="L6" s="8"/>
      <c r="M6" s="15"/>
      <c r="R6" s="1">
        <f>IF(vend12[[#This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46"/>
      <c r="G7" s="46"/>
      <c r="H7" s="47"/>
      <c r="I7" s="47"/>
      <c r="J7" s="2"/>
      <c r="K7" s="23"/>
      <c r="L7" s="8"/>
      <c r="M7" s="15"/>
      <c r="R7" s="1">
        <f>IF(vend12[[#This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46"/>
      <c r="G8" s="46"/>
      <c r="H8" s="47"/>
      <c r="I8" s="47"/>
      <c r="J8" s="2"/>
      <c r="K8" s="23"/>
      <c r="L8" s="8"/>
      <c r="M8" s="15"/>
      <c r="R8" s="1">
        <f>IF(vend12[[#This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IF(vend12[[#This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IF(vend12[[#This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IF(vend12[[#This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IF(vend12[[#This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IF(vend12[[#This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IF(vend12[[#This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IF(vend12[[#This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IF(vend12[[#This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IF(vend12[[#This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IF(vend12[[#This Row],[Nº Venda]]&gt;1,1,0)</f>
        <v>0</v>
      </c>
    </row>
    <row r="19" spans="2:18" ht="15" x14ac:dyDescent="0.25">
      <c r="B19" s="28">
        <f>COUNT(entr_carn12[OS])</f>
        <v>0</v>
      </c>
      <c r="C19" s="29">
        <f>SUM(entr_carn12[Valor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IF(vend12[[#This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IF(vend12[[#This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48"/>
      <c r="G26" s="42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'12'!B1+1</f>
        <v>45670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24"/>
      <c r="H6" s="7"/>
      <c r="I6" s="7"/>
      <c r="J6" s="2"/>
      <c r="K6" s="23"/>
      <c r="L6" s="8"/>
      <c r="M6" s="15"/>
      <c r="R6" s="1">
        <f>IF(vend13[[#This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IF(vend13[[#This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IF(vend13[[#This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IF(vend13[[#This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IF(vend13[[#This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IF(vend13[[#This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IF(vend13[[#This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IF(vend13[[#This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IF(vend13[[#This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IF(vend13[[#This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IF(vend13[[#This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IF(vend13[[#This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IF(vend13[[#This Row],[Nº Venda]]&gt;1,1,0)</f>
        <v>0</v>
      </c>
    </row>
    <row r="19" spans="2:18" ht="15" x14ac:dyDescent="0.25">
      <c r="B19" s="28">
        <f>COUNT(entr_carn13[OS])</f>
        <v>0</v>
      </c>
      <c r="C19" s="29">
        <f>SUM(entr_carn13[Valor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IF(vend13[[#This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IF(vend13[[#This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K27" sqref="K27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9.425781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2.1406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'13'!B1+1</f>
        <v>45671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42"/>
      <c r="H6" s="7"/>
      <c r="I6" s="7"/>
      <c r="J6" s="2"/>
      <c r="K6" s="23"/>
      <c r="L6" s="8"/>
      <c r="M6" s="15"/>
      <c r="R6" s="1">
        <f>IF(vend14[[#This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42"/>
      <c r="H7" s="7"/>
      <c r="I7" s="7"/>
      <c r="J7" s="2"/>
      <c r="K7" s="23"/>
      <c r="L7" s="8"/>
      <c r="M7" s="15"/>
      <c r="R7" s="1">
        <f>IF(vend14[[#This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IF(vend14[[#This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IF(vend14[[#This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IF(vend14[[#This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IF(vend14[[#This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IF(vend14[[#This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IF(vend14[[#This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IF(vend14[[#This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IF(vend14[[#This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IF(vend14[[#This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IF(vend14[[#This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IF(vend14[[#This Row],[Nº Venda]]&gt;1,1,0)</f>
        <v>0</v>
      </c>
    </row>
    <row r="19" spans="2:18" ht="15" x14ac:dyDescent="0.25">
      <c r="B19" s="28">
        <f>COUNT(entr_carn14[OS])</f>
        <v>0</v>
      </c>
      <c r="C19" s="29">
        <f>SUM(entr_carn14[Valor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IF(vend14[[#This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IF(vend14[[#This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'14'!B1+1</f>
        <v>45672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42"/>
      <c r="H6" s="7"/>
      <c r="I6" s="7"/>
      <c r="J6" s="2"/>
      <c r="K6" s="23"/>
      <c r="L6" s="8"/>
      <c r="M6" s="15"/>
      <c r="R6" s="1">
        <f>IF(vend15[[#This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42"/>
      <c r="H7" s="7"/>
      <c r="I7" s="7"/>
      <c r="J7" s="2"/>
      <c r="K7" s="23"/>
      <c r="L7" s="8"/>
      <c r="M7" s="15"/>
      <c r="R7" s="1">
        <f>IF(vend15[[#This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IF(vend15[[#This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IF(vend15[[#This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IF(vend15[[#This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IF(vend15[[#This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IF(vend15[[#This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IF(vend15[[#This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IF(vend15[[#This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IF(vend15[[#This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IF(vend15[[#This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IF(vend15[[#This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IF(vend15[[#This Row],[Nº Venda]]&gt;1,1,0)</f>
        <v>0</v>
      </c>
    </row>
    <row r="19" spans="2:18" ht="15" x14ac:dyDescent="0.25">
      <c r="B19" s="28">
        <f>COUNT(entr_carn15[OS])</f>
        <v>0</v>
      </c>
      <c r="C19" s="29">
        <f>SUM(entr_carn15[Valor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IF(vend15[[#This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IF(vend15[[#This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42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'15'!B1+1</f>
        <v>45673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42"/>
      <c r="H6" s="7"/>
      <c r="I6" s="7"/>
      <c r="J6" s="2"/>
      <c r="K6" s="23"/>
      <c r="L6" s="8"/>
      <c r="M6" s="15"/>
      <c r="R6" s="1">
        <f>IF(vend16[[#This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42"/>
      <c r="H7" s="7"/>
      <c r="I7" s="7"/>
      <c r="J7" s="2"/>
      <c r="K7" s="23"/>
      <c r="L7" s="8"/>
      <c r="M7" s="15"/>
      <c r="R7" s="1">
        <f>IF(vend16[[#This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IF(vend16[[#This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IF(vend16[[#This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IF(vend16[[#This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IF(vend16[[#This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IF(vend16[[#This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IF(vend16[[#This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IF(vend16[[#This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IF(vend16[[#This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IF(vend16[[#This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IF(vend16[[#This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IF(vend16[[#This Row],[Nº Venda]]&gt;1,1,0)</f>
        <v>0</v>
      </c>
    </row>
    <row r="19" spans="2:18" ht="15" x14ac:dyDescent="0.25">
      <c r="B19" s="28">
        <f>COUNT(entr_carn16[OS])</f>
        <v>0</v>
      </c>
      <c r="C19" s="29">
        <f>SUM(entr_carn16[Valor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IF(vend16[[#This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IF(vend16[[#This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42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90" zoomScaleNormal="90" workbookViewId="0">
      <selection activeCell="M6" sqref="M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'16'!B1+1</f>
        <v>45674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199.99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99.990000000000009</v>
      </c>
      <c r="D6" s="2"/>
      <c r="E6" s="75">
        <v>1070</v>
      </c>
      <c r="F6" s="23" t="s">
        <v>150</v>
      </c>
      <c r="G6" s="24" t="s">
        <v>6</v>
      </c>
      <c r="H6" s="7">
        <v>150</v>
      </c>
      <c r="I6" s="7">
        <v>50</v>
      </c>
      <c r="J6" s="2"/>
      <c r="K6" s="23" t="s">
        <v>153</v>
      </c>
      <c r="L6" s="8" t="s">
        <v>10</v>
      </c>
      <c r="M6" s="15">
        <v>15</v>
      </c>
      <c r="R6" s="1">
        <f>IF(vend17[[#This Row],[Nº Venda]]&gt;1,1,0)</f>
        <v>1</v>
      </c>
    </row>
    <row r="7" spans="2:18" ht="15" x14ac:dyDescent="0.25">
      <c r="B7" s="21" t="s">
        <v>3</v>
      </c>
      <c r="C7" s="22">
        <f>SUM(M6:M11)</f>
        <v>15</v>
      </c>
      <c r="D7" s="2"/>
      <c r="E7" s="75">
        <v>1071</v>
      </c>
      <c r="F7" s="23" t="s">
        <v>155</v>
      </c>
      <c r="G7" s="24" t="s">
        <v>7</v>
      </c>
      <c r="H7" s="7">
        <v>49.99</v>
      </c>
      <c r="I7" s="7">
        <v>49.99</v>
      </c>
      <c r="J7" s="2"/>
      <c r="K7" s="23"/>
      <c r="L7" s="8"/>
      <c r="M7" s="15"/>
      <c r="R7" s="1">
        <f>IF(vend17[[#This Row],[Nº Venda]]&gt;1,1,0)</f>
        <v>1</v>
      </c>
    </row>
    <row r="8" spans="2:18" ht="15.75" x14ac:dyDescent="0.25">
      <c r="B8" s="26" t="s">
        <v>21</v>
      </c>
      <c r="C8" s="27">
        <f>SUM(C6:C7)</f>
        <v>114.99000000000001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IF(vend17[[#This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IF(vend17[[#This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IF(vend17[[#This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50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IF(vend17[[#This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49.99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IF(vend17[[#This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IF(vend17[[#This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IF(vend17[[#This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>
        <v>1070</v>
      </c>
      <c r="L15" s="8" t="s">
        <v>139</v>
      </c>
      <c r="M15" s="15" t="s">
        <v>156</v>
      </c>
      <c r="R15" s="1">
        <f>IF(vend17[[#This Row],[Nº Venda]]&gt;1,1,0)</f>
        <v>0</v>
      </c>
    </row>
    <row r="16" spans="2:18" ht="15.75" x14ac:dyDescent="0.25">
      <c r="B16" s="26" t="s">
        <v>11</v>
      </c>
      <c r="C16" s="30">
        <f>SUM(C11:C15)</f>
        <v>99.990000000000009</v>
      </c>
      <c r="D16" s="2"/>
      <c r="E16" s="75"/>
      <c r="F16" s="23"/>
      <c r="G16" s="24"/>
      <c r="H16" s="7"/>
      <c r="I16" s="7"/>
      <c r="J16" s="2"/>
      <c r="K16" s="67">
        <v>1071</v>
      </c>
      <c r="L16" s="8" t="s">
        <v>139</v>
      </c>
      <c r="M16" s="15" t="s">
        <v>145</v>
      </c>
      <c r="R16" s="1">
        <f>IF(vend17[[#This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IF(vend17[[#This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IF(vend17[[#This Row],[Nº Venda]]&gt;1,1,0)</f>
        <v>0</v>
      </c>
    </row>
    <row r="19" spans="2:18" ht="15" x14ac:dyDescent="0.25">
      <c r="B19" s="28">
        <f>COUNT(entr_carn17[OS])</f>
        <v>1</v>
      </c>
      <c r="C19" s="29">
        <f>SUM(entr_carn17[Valor Total])</f>
        <v>100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IF(vend17[[#This Row],[Nº Venda]]&gt;1,1,0)</f>
        <v>0</v>
      </c>
    </row>
    <row r="20" spans="2:18" ht="15.75" x14ac:dyDescent="0.25">
      <c r="B20" s="26" t="s">
        <v>11</v>
      </c>
      <c r="C20" s="30">
        <f>SUM(C19:C19)</f>
        <v>100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IF(vend17[[#This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199.99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>
        <v>1070</v>
      </c>
      <c r="L35" s="39">
        <v>2</v>
      </c>
      <c r="M35" s="15">
        <v>100</v>
      </c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2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'17'!B1+1</f>
        <v>45675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144.64999999999998</v>
      </c>
      <c r="D6" s="2"/>
      <c r="E6" s="75"/>
      <c r="F6" s="23"/>
      <c r="G6" s="24"/>
      <c r="H6" s="7"/>
      <c r="I6" s="7"/>
      <c r="J6" s="2"/>
      <c r="K6" s="23"/>
      <c r="L6" s="85"/>
      <c r="M6" s="15"/>
      <c r="R6" s="1">
        <f>IF(vend18[[#This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IF(vend18[[#This Row],[Nº Venda]]&gt;1,1,0)</f>
        <v>0</v>
      </c>
    </row>
    <row r="8" spans="2:18" ht="15.75" x14ac:dyDescent="0.25">
      <c r="B8" s="26" t="s">
        <v>21</v>
      </c>
      <c r="C8" s="27">
        <f>SUM(C6:C7)</f>
        <v>144.64999999999998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IF(vend18[[#This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IF(vend18[[#This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IF(vend18[[#This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IF(vend18[[#This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IF(vend18[[#This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IF(vend18[[#This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IF(vend18[[#This Row],[Nº Venda]]&gt;1,1,0)</f>
        <v>0</v>
      </c>
    </row>
    <row r="15" spans="2:18" ht="15" x14ac:dyDescent="0.25">
      <c r="B15" s="28" t="s">
        <v>10</v>
      </c>
      <c r="C15" s="29">
        <f t="shared" si="0"/>
        <v>144.64999999999998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IF(vend18[[#This Row],[Nº Venda]]&gt;1,1,0)</f>
        <v>0</v>
      </c>
    </row>
    <row r="16" spans="2:18" ht="15.75" x14ac:dyDescent="0.25">
      <c r="B16" s="26" t="s">
        <v>11</v>
      </c>
      <c r="C16" s="30">
        <f>SUM(C11:C15)</f>
        <v>144.64999999999998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IF(vend18[[#This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IF(vend18[[#This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IF(vend18[[#This Row],[Nº Venda]]&gt;1,1,0)</f>
        <v>0</v>
      </c>
    </row>
    <row r="19" spans="2:18" ht="15" x14ac:dyDescent="0.25">
      <c r="B19" s="28">
        <f>COUNT(entr_carn18[OS])</f>
        <v>0</v>
      </c>
      <c r="C19" s="29">
        <f>SUM(entr_carn18[Valor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IF(vend18[[#This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IF(vend18[[#This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80"/>
      <c r="F23" s="80"/>
      <c r="G23" s="80"/>
      <c r="H23" s="81"/>
      <c r="I23" s="81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>
        <v>1057</v>
      </c>
      <c r="F35" s="23" t="s">
        <v>157</v>
      </c>
      <c r="G35" s="24" t="s">
        <v>10</v>
      </c>
      <c r="H35" s="7">
        <v>72.19</v>
      </c>
      <c r="I35" s="7" t="s">
        <v>52</v>
      </c>
      <c r="K35" s="67"/>
      <c r="L35" s="39"/>
      <c r="M35" s="15"/>
    </row>
    <row r="36" spans="2:18" ht="15" x14ac:dyDescent="0.25">
      <c r="E36" s="90">
        <v>1060</v>
      </c>
      <c r="F36" s="23" t="s">
        <v>158</v>
      </c>
      <c r="G36" s="24" t="s">
        <v>10</v>
      </c>
      <c r="H36" s="7">
        <v>72.459999999999994</v>
      </c>
      <c r="I36" s="7" t="s">
        <v>52</v>
      </c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K27" sqref="K27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'18'!B1+1</f>
        <v>45676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24"/>
      <c r="H6" s="7"/>
      <c r="I6" s="7"/>
      <c r="J6" s="2"/>
      <c r="K6" s="23"/>
      <c r="L6" s="8"/>
      <c r="M6" s="15"/>
      <c r="R6" s="1">
        <f>IF(vend19[[#This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47"/>
      <c r="I7" s="7"/>
      <c r="J7" s="2"/>
      <c r="K7" s="23"/>
      <c r="L7" s="8"/>
      <c r="M7" s="15"/>
      <c r="R7" s="1">
        <f>IF(vend19[[#This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IF(vend19[[#This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IF(vend19[[#This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IF(vend19[[#This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IF(vend19[[#This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IF(vend19[[#This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IF(vend19[[#This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IF(vend19[[#This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IF(vend19[[#This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IF(vend19[[#This Row],[Nº Venda]]&gt;1,1,0)</f>
        <v>0</v>
      </c>
    </row>
    <row r="17" spans="2:22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IF(vend19[[#This Row],[Nº Venda]]&gt;1,1,0)</f>
        <v>0</v>
      </c>
    </row>
    <row r="18" spans="2:22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IF(vend19[[#This Row],[Nº Venda]]&gt;1,1,0)</f>
        <v>0</v>
      </c>
    </row>
    <row r="19" spans="2:22" ht="15" x14ac:dyDescent="0.25">
      <c r="B19" s="28">
        <f>COUNT(entr_carn19[OS])</f>
        <v>0</v>
      </c>
      <c r="C19" s="29">
        <f>SUM(entr_carn19[Valor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IF(vend19[[#This Row],[Nº Venda]]&gt;1,1,0)</f>
        <v>0</v>
      </c>
    </row>
    <row r="20" spans="2:22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IF(vend19[[#This Row],[Nº Venda]]&gt;1,1,0)</f>
        <v>0</v>
      </c>
      <c r="V20" s="1" t="s">
        <v>58</v>
      </c>
    </row>
    <row r="21" spans="2:22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22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22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22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22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22" ht="15" x14ac:dyDescent="0.25">
      <c r="B26" s="2"/>
      <c r="C26" s="2"/>
      <c r="D26" s="2"/>
      <c r="E26" s="75"/>
      <c r="F26" s="37"/>
      <c r="G26" s="24"/>
      <c r="H26" s="7"/>
      <c r="I26" s="7"/>
      <c r="J26" s="2"/>
      <c r="K26" s="67"/>
      <c r="L26" s="8"/>
      <c r="M26" s="15"/>
    </row>
    <row r="27" spans="2:22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22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22" ht="15" x14ac:dyDescent="0.25">
      <c r="B29" s="2"/>
      <c r="C29" s="2"/>
      <c r="D29" s="2"/>
      <c r="E29" s="75"/>
      <c r="F29" s="23"/>
      <c r="G29" s="24"/>
      <c r="H29" s="24"/>
      <c r="I29" s="7"/>
      <c r="J29" s="2"/>
      <c r="K29" s="67"/>
      <c r="L29" s="8"/>
      <c r="M29" s="15"/>
    </row>
    <row r="30" spans="2:22" ht="15" x14ac:dyDescent="0.25">
      <c r="B30" s="2"/>
      <c r="C30" s="2"/>
      <c r="D30" s="2"/>
      <c r="E30" s="75"/>
      <c r="F30" s="23"/>
      <c r="G30" s="24"/>
      <c r="H30" s="7"/>
      <c r="I30" s="7"/>
      <c r="J30" s="2"/>
      <c r="K30" s="67"/>
      <c r="L30" s="8"/>
      <c r="M30" s="15"/>
    </row>
    <row r="31" spans="2:22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22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K27" sqref="K27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'19'!B1+1</f>
        <v>45677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24"/>
      <c r="H6" s="7"/>
      <c r="I6" s="7"/>
      <c r="J6" s="2"/>
      <c r="K6" s="23"/>
      <c r="L6" s="8"/>
      <c r="M6" s="15"/>
      <c r="R6" s="1">
        <f>IF(vend20[[#This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IF(vend20[[#This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IF(vend20[[#This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IF(vend20[[#This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IF(vend20[[#This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IF(vend20[[#This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IF(vend20[[#This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IF(vend20[[#This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IF(vend20[[#This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IF(vend20[[#This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IF(vend20[[#This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IF(vend20[[#This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IF(vend20[[#This Row],[Nº Venda]]&gt;1,1,0)</f>
        <v>0</v>
      </c>
    </row>
    <row r="19" spans="2:18" ht="15" x14ac:dyDescent="0.25">
      <c r="B19" s="28">
        <f>COUNT(entr_carn20[OS])</f>
        <v>0</v>
      </c>
      <c r="C19" s="29">
        <f>SUM(entr_carn20[Valor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IF(vend20[[#This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IF(vend20[[#This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90" zoomScaleNormal="90" workbookViewId="0">
      <selection activeCell="F15" sqref="E13:F15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'20'!B1+1</f>
        <v>45678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1610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1143</v>
      </c>
      <c r="D6" s="2"/>
      <c r="E6" s="75">
        <v>1072</v>
      </c>
      <c r="F6" s="23" t="s">
        <v>159</v>
      </c>
      <c r="G6" s="24" t="s">
        <v>8</v>
      </c>
      <c r="H6" s="7">
        <v>1063</v>
      </c>
      <c r="I6" s="7">
        <v>1063</v>
      </c>
      <c r="J6" s="2"/>
      <c r="K6" s="23"/>
      <c r="L6" s="8"/>
      <c r="M6" s="15"/>
      <c r="R6" s="1">
        <f>IF(vend21[[#This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75">
        <v>1073</v>
      </c>
      <c r="F7" s="23" t="s">
        <v>161</v>
      </c>
      <c r="G7" s="24" t="s">
        <v>10</v>
      </c>
      <c r="H7" s="7">
        <v>547</v>
      </c>
      <c r="I7" s="7">
        <v>20</v>
      </c>
      <c r="J7" s="2"/>
      <c r="K7" s="23"/>
      <c r="L7" s="8"/>
      <c r="M7" s="15"/>
      <c r="R7" s="1">
        <f>IF(vend21[[#This Row],[Nº Venda]]&gt;1,1,0)</f>
        <v>1</v>
      </c>
    </row>
    <row r="8" spans="2:18" ht="15.75" x14ac:dyDescent="0.25">
      <c r="B8" s="26" t="s">
        <v>21</v>
      </c>
      <c r="C8" s="27">
        <f>SUM(C6:C7)</f>
        <v>1143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IF(vend21[[#This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IF(vend21[[#This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IF(vend21[[#This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IF(vend21[[#This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IF(vend21[[#This Row],[Nº Venda]]&gt;1,1,0)</f>
        <v>0</v>
      </c>
    </row>
    <row r="13" spans="2:18" ht="15" x14ac:dyDescent="0.25">
      <c r="B13" s="28" t="s">
        <v>8</v>
      </c>
      <c r="C13" s="29">
        <f t="shared" si="0"/>
        <v>1063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IF(vend21[[#This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IF(vend21[[#This Row],[Nº Venda]]&gt;1,1,0)</f>
        <v>0</v>
      </c>
    </row>
    <row r="15" spans="2:18" ht="15" x14ac:dyDescent="0.25">
      <c r="B15" s="28" t="s">
        <v>10</v>
      </c>
      <c r="C15" s="29">
        <f t="shared" si="0"/>
        <v>80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IF(vend21[[#This Row],[Nº Venda]]&gt;1,1,0)</f>
        <v>0</v>
      </c>
    </row>
    <row r="16" spans="2:18" ht="15.75" x14ac:dyDescent="0.25">
      <c r="B16" s="26" t="s">
        <v>11</v>
      </c>
      <c r="C16" s="30">
        <f>SUM(C11:C15)</f>
        <v>1143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IF(vend21[[#This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IF(vend21[[#This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IF(vend21[[#This Row],[Nº Venda]]&gt;1,1,0)</f>
        <v>0</v>
      </c>
    </row>
    <row r="19" spans="2:18" ht="15" x14ac:dyDescent="0.25">
      <c r="B19" s="28">
        <f>COUNT(entr_carn21[OS])</f>
        <v>0</v>
      </c>
      <c r="C19" s="29">
        <f>SUM(entr_carn21[Valor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IF(vend21[[#This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IF(vend21[[#This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1610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>
        <v>967</v>
      </c>
      <c r="F35" s="23" t="s">
        <v>160</v>
      </c>
      <c r="G35" s="24" t="s">
        <v>10</v>
      </c>
      <c r="H35" s="7">
        <v>60</v>
      </c>
      <c r="I35" s="7" t="s">
        <v>79</v>
      </c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2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F6" sqref="F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93">
        <f>'21'!B1+1</f>
        <v>45679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767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360</v>
      </c>
      <c r="D6" s="2"/>
      <c r="E6" s="75">
        <v>1074</v>
      </c>
      <c r="F6" s="23" t="s">
        <v>163</v>
      </c>
      <c r="G6" s="24" t="s">
        <v>10</v>
      </c>
      <c r="H6" s="7">
        <v>767</v>
      </c>
      <c r="I6" s="7">
        <v>50</v>
      </c>
      <c r="J6" s="2"/>
      <c r="K6" s="23"/>
      <c r="L6" s="8"/>
      <c r="M6" s="15"/>
      <c r="R6" s="1">
        <f>IF(vend22[[#This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IF(vend22[[#This Row],[Nº Venda]]&gt;1,1,0)</f>
        <v>0</v>
      </c>
    </row>
    <row r="8" spans="2:18" ht="15.75" x14ac:dyDescent="0.25">
      <c r="B8" s="26" t="s">
        <v>21</v>
      </c>
      <c r="C8" s="27">
        <f>SUM(C6:C7)</f>
        <v>360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IF(vend22[[#This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IF(vend22[[#This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IF(vend22[[#This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250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IF(vend22[[#This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IF(vend22[[#This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IF(vend22[[#This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IF(vend22[[#This Row],[Nº Venda]]&gt;1,1,0)</f>
        <v>0</v>
      </c>
    </row>
    <row r="15" spans="2:18" ht="15" x14ac:dyDescent="0.25">
      <c r="B15" s="28" t="s">
        <v>10</v>
      </c>
      <c r="C15" s="29">
        <f t="shared" si="0"/>
        <v>110</v>
      </c>
      <c r="D15" s="2"/>
      <c r="E15" s="75"/>
      <c r="F15" s="23"/>
      <c r="G15" s="24"/>
      <c r="H15" s="7"/>
      <c r="I15" s="7"/>
      <c r="J15" s="2"/>
      <c r="K15" s="67">
        <v>1069</v>
      </c>
      <c r="L15" s="8" t="s">
        <v>139</v>
      </c>
      <c r="M15" s="15" t="s">
        <v>145</v>
      </c>
      <c r="R15" s="1">
        <f>IF(vend22[[#This Row],[Nº Venda]]&gt;1,1,0)</f>
        <v>0</v>
      </c>
    </row>
    <row r="16" spans="2:18" ht="15.75" x14ac:dyDescent="0.25">
      <c r="B16" s="26" t="s">
        <v>11</v>
      </c>
      <c r="C16" s="30">
        <f>SUM(C11:C15)</f>
        <v>360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IF(vend22[[#This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IF(vend22[[#This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IF(vend22[[#This Row],[Nº Venda]]&gt;1,1,0)</f>
        <v>0</v>
      </c>
    </row>
    <row r="19" spans="2:18" ht="15" x14ac:dyDescent="0.25">
      <c r="B19" s="28">
        <f>COUNT(entr_carn22[OS])</f>
        <v>0</v>
      </c>
      <c r="C19" s="29">
        <f>SUM(entr_carn22[Valor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IF(vend22[[#This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IF(vend22[[#This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767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>
        <v>1028</v>
      </c>
      <c r="F35" s="23" t="s">
        <v>162</v>
      </c>
      <c r="G35" s="24" t="s">
        <v>6</v>
      </c>
      <c r="H35" s="7">
        <v>250</v>
      </c>
      <c r="I35" s="7" t="s">
        <v>53</v>
      </c>
      <c r="K35" s="67"/>
      <c r="L35" s="39"/>
      <c r="M35" s="15"/>
    </row>
    <row r="36" spans="2:18" ht="15" x14ac:dyDescent="0.25">
      <c r="E36" s="90">
        <v>967</v>
      </c>
      <c r="F36" s="23" t="s">
        <v>160</v>
      </c>
      <c r="G36" s="24" t="s">
        <v>10</v>
      </c>
      <c r="H36" s="7">
        <v>60</v>
      </c>
      <c r="I36" s="7" t="s">
        <v>79</v>
      </c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1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'22'!B1+1</f>
        <v>45680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24"/>
      <c r="H6" s="7"/>
      <c r="I6" s="7"/>
      <c r="J6" s="2"/>
      <c r="K6" s="23"/>
      <c r="L6" s="8"/>
      <c r="M6" s="15"/>
      <c r="R6" s="1">
        <f>IF(vend23[[#This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IF(vend23[[#This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IF(vend23[[#This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IF(vend23[[#This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IF(vend23[[#This Row],[Nº Venda]]&gt;1,1,0)</f>
        <v>0</v>
      </c>
    </row>
    <row r="11" spans="2:18" ht="15" x14ac:dyDescent="0.25">
      <c r="B11" s="28" t="s">
        <v>6</v>
      </c>
      <c r="C11" s="58">
        <f>(SUMIF($G$2:$G$31,B11,$I$2:$I$31))+(SUMIF($G$35:$G$44,B11,$H$35:$H$44))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IF(vend23[[#This Row],[Nº Venda]]&gt;1,1,0)</f>
        <v>0</v>
      </c>
    </row>
    <row r="12" spans="2:18" ht="15" x14ac:dyDescent="0.25">
      <c r="B12" s="28" t="s">
        <v>7</v>
      </c>
      <c r="C12" s="58">
        <f>(SUMIF($G$2:$G$31,B12,$I$2:$I$31))+(SUMIF($G$35:$G$44,B12,$H$35:$H$44))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IF(vend23[[#This Row],[Nº Venda]]&gt;1,1,0)</f>
        <v>0</v>
      </c>
    </row>
    <row r="13" spans="2:18" ht="15" x14ac:dyDescent="0.25">
      <c r="B13" s="28" t="s">
        <v>8</v>
      </c>
      <c r="C13" s="58">
        <f>(SUMIF($G$2:$G$31,B13,$I$2:$I$31))+(SUMIF($G$35:$G$44,B13,$H$35:$H$44))</f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IF(vend23[[#This Row],[Nº Venda]]&gt;1,1,0)</f>
        <v>0</v>
      </c>
    </row>
    <row r="14" spans="2:18" ht="15" x14ac:dyDescent="0.25">
      <c r="B14" s="28" t="s">
        <v>9</v>
      </c>
      <c r="C14" s="58">
        <f>(SUMIF($G$2:$G$31,B14,$I$2:$I$31))+(SUMIF($G$35:$G$44,B14,$H$35:$H$44))</f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IF(vend23[[#This Row],[Nº Venda]]&gt;1,1,0)</f>
        <v>0</v>
      </c>
    </row>
    <row r="15" spans="2:18" ht="15" x14ac:dyDescent="0.25">
      <c r="B15" s="28" t="s">
        <v>10</v>
      </c>
      <c r="C15" s="58">
        <f>(SUMIF($G$2:$G$31,B15,$I$2:$I$31))+(SUMIF($G$35:$G$44,B15,$H$35:$H$44))</f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IF(vend23[[#This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IF(vend23[[#This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IF(vend23[[#This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IF(vend23[[#This Row],[Nº Venda]]&gt;1,1,0)</f>
        <v>0</v>
      </c>
    </row>
    <row r="19" spans="2:18" ht="15" x14ac:dyDescent="0.25">
      <c r="B19" s="28">
        <f>COUNT(entr_carn23[OS])</f>
        <v>0</v>
      </c>
      <c r="C19" s="29">
        <f>SUM(entr_carn23[Valor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IF(vend23[[#This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IF(vend23[[#This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91"/>
      <c r="F41" s="37"/>
      <c r="G41" s="24"/>
      <c r="H41" s="7"/>
      <c r="I41" s="7"/>
      <c r="K41" s="67"/>
      <c r="L41" s="39"/>
      <c r="M41" s="38"/>
    </row>
    <row r="42" spans="2:18" ht="15.75" x14ac:dyDescent="0.25">
      <c r="E42" s="62"/>
      <c r="F42" s="55"/>
      <c r="G42" s="56"/>
      <c r="H42" s="57"/>
      <c r="I42" s="16"/>
    </row>
    <row r="43" spans="2:18" ht="15.75" x14ac:dyDescent="0.25">
      <c r="E43" s="62"/>
      <c r="F43" s="60"/>
      <c r="G43" s="59"/>
      <c r="H43" s="61"/>
      <c r="I43" s="7"/>
    </row>
    <row r="44" spans="2:18" ht="15.75" x14ac:dyDescent="0.25">
      <c r="E44" s="63"/>
      <c r="F44" s="55"/>
      <c r="G44" s="56"/>
      <c r="H44" s="57"/>
      <c r="I44" s="1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'23'!B1+1</f>
        <v>45681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87.5</v>
      </c>
      <c r="D6" s="2"/>
      <c r="E6" s="75"/>
      <c r="F6" s="23"/>
      <c r="G6" s="24"/>
      <c r="H6" s="7"/>
      <c r="I6" s="7"/>
      <c r="J6" s="2"/>
      <c r="K6" s="23"/>
      <c r="L6" s="8"/>
      <c r="M6" s="15"/>
      <c r="R6" s="1">
        <f>IF(vend24[[#This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IF(vend24[[#This Row],[Nº Venda]]&gt;1,1,0)</f>
        <v>0</v>
      </c>
    </row>
    <row r="8" spans="2:18" ht="15.75" x14ac:dyDescent="0.25">
      <c r="B8" s="26" t="s">
        <v>21</v>
      </c>
      <c r="C8" s="27">
        <f>SUM(C6:C7)</f>
        <v>87.5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IF(vend24[[#This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IF(vend24[[#This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IF(vend24[[#This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IF(vend24[[#This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87.5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IF(vend24[[#This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IF(vend24[[#This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IF(vend24[[#This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IF(vend24[[#This Row],[Nº Venda]]&gt;1,1,0)</f>
        <v>0</v>
      </c>
    </row>
    <row r="16" spans="2:18" ht="15.75" x14ac:dyDescent="0.25">
      <c r="B16" s="26" t="s">
        <v>11</v>
      </c>
      <c r="C16" s="30">
        <f>SUM(C11:C15)</f>
        <v>87.5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IF(vend24[[#This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IF(vend24[[#This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IF(vend24[[#This Row],[Nº Venda]]&gt;1,1,0)</f>
        <v>0</v>
      </c>
    </row>
    <row r="19" spans="2:18" ht="15" x14ac:dyDescent="0.25">
      <c r="B19" s="28">
        <f>COUNT(entr_carn24[OS])</f>
        <v>0</v>
      </c>
      <c r="C19" s="29">
        <f>SUM(entr_carn24[Valor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IF(vend24[[#This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IF(vend24[[#This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>
        <v>987</v>
      </c>
      <c r="F35" s="23" t="s">
        <v>164</v>
      </c>
      <c r="G35" s="24" t="s">
        <v>7</v>
      </c>
      <c r="H35" s="7">
        <v>87.5</v>
      </c>
      <c r="I35" s="7" t="s">
        <v>44</v>
      </c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F14" sqref="F14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33.8554687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'24'!B1+1</f>
        <v>45682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2120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 ca="1">C16</f>
        <v>1467</v>
      </c>
      <c r="D6" s="2"/>
      <c r="E6" s="75">
        <v>1075</v>
      </c>
      <c r="F6" s="23" t="s">
        <v>166</v>
      </c>
      <c r="G6" s="24" t="s">
        <v>8</v>
      </c>
      <c r="H6" s="7">
        <v>673</v>
      </c>
      <c r="I6" s="7">
        <v>20</v>
      </c>
      <c r="J6" s="2"/>
      <c r="K6" s="23"/>
      <c r="L6" s="8"/>
      <c r="M6" s="15"/>
      <c r="R6" s="1">
        <f>IF(vend25[[#This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75">
        <v>1076</v>
      </c>
      <c r="F7" s="23" t="s">
        <v>165</v>
      </c>
      <c r="G7" s="24" t="s">
        <v>8</v>
      </c>
      <c r="H7" s="7">
        <v>1447</v>
      </c>
      <c r="I7" s="7">
        <v>1447</v>
      </c>
      <c r="J7" s="2"/>
      <c r="K7" s="23"/>
      <c r="L7" s="8"/>
      <c r="M7" s="15"/>
      <c r="R7" s="1">
        <f>IF(vend25[[#This Row],[Nº Venda]]&gt;1,1,0)</f>
        <v>1</v>
      </c>
    </row>
    <row r="8" spans="2:18" ht="15.75" x14ac:dyDescent="0.25">
      <c r="B8" s="26" t="s">
        <v>21</v>
      </c>
      <c r="C8" s="27">
        <f ca="1">SUM(C6:C7)</f>
        <v>1467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IF(vend25[[#This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IF(vend25[[#This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IF(vend25[[#This Row],[Nº Venda]]&gt;1,1,0)</f>
        <v>0</v>
      </c>
    </row>
    <row r="11" spans="2:18" ht="15" x14ac:dyDescent="0.25">
      <c r="B11" s="28" t="s">
        <v>6</v>
      </c>
      <c r="C11" s="29">
        <f ca="1">(SUMIF($G$2:$G$31,B11,$I$2:$I$31))+(SUMIF($G$35:$G$41,B11,$H$36:$H$41))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 ca="1">IF(C16=0,0,1)</f>
        <v>1</v>
      </c>
      <c r="R11" s="1">
        <f>IF(vend25[[#This Row],[Nº Venda]]&gt;1,1,0)</f>
        <v>0</v>
      </c>
    </row>
    <row r="12" spans="2:18" ht="15" x14ac:dyDescent="0.25">
      <c r="B12" s="28" t="s">
        <v>7</v>
      </c>
      <c r="C12" s="29">
        <f ca="1">(SUMIF($G$2:$G$31,B12,$I$2:$I$31))+(SUMIF($G$35:$G$41,B12,$H$36:$H$41))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IF(vend25[[#This Row],[Nº Venda]]&gt;1,1,0)</f>
        <v>0</v>
      </c>
    </row>
    <row r="13" spans="2:18" ht="15" x14ac:dyDescent="0.25">
      <c r="B13" s="28" t="s">
        <v>8</v>
      </c>
      <c r="C13" s="29">
        <f ca="1">(SUMIF($G$2:$G$31,B13,$I$2:$I$31))+(SUMIF($G$35:$G$41,B13,$H$36:$H$41))</f>
        <v>1467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IF(vend25[[#This Row],[Nº Venda]]&gt;1,1,0)</f>
        <v>0</v>
      </c>
    </row>
    <row r="14" spans="2:18" ht="15" x14ac:dyDescent="0.25">
      <c r="B14" s="28" t="s">
        <v>9</v>
      </c>
      <c r="C14" s="29">
        <f ca="1">(SUMIF($G$2:$G$31,B14,$I$2:$I$31))+(SUMIF($G$35:$G$41,B14,$H$36:$H$41))</f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IF(vend25[[#This Row],[Nº Venda]]&gt;1,1,0)</f>
        <v>0</v>
      </c>
    </row>
    <row r="15" spans="2:18" ht="15" x14ac:dyDescent="0.25">
      <c r="B15" s="28" t="s">
        <v>10</v>
      </c>
      <c r="C15" s="29">
        <f ca="1">(SUMIF($G$2:$G$31,B15,$I$2:$I$31))+(SUMIF($G$35:$G$41,B15,$H$36:$H$41))</f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IF(vend25[[#This Row],[Nº Venda]]&gt;1,1,0)</f>
        <v>0</v>
      </c>
    </row>
    <row r="16" spans="2:18" ht="15.75" x14ac:dyDescent="0.25">
      <c r="B16" s="26" t="s">
        <v>11</v>
      </c>
      <c r="C16" s="30">
        <f ca="1">SUM(C11:C15)</f>
        <v>1467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IF(vend25[[#This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IF(vend25[[#This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IF(vend25[[#This Row],[Nº Venda]]&gt;1,1,0)</f>
        <v>0</v>
      </c>
    </row>
    <row r="19" spans="2:18" ht="15" x14ac:dyDescent="0.25">
      <c r="B19" s="28">
        <f>COUNT(entr_carn25[OS])</f>
        <v>0</v>
      </c>
      <c r="C19" s="29">
        <f>SUM(entr_carn25[Valor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IF(vend25[[#This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IF(vend25[[#This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2120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52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2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K27" sqref="K27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'25'!B1+1</f>
        <v>45683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24"/>
      <c r="H6" s="7"/>
      <c r="I6" s="7"/>
      <c r="J6" s="2"/>
      <c r="K6" s="23"/>
      <c r="L6" s="8"/>
      <c r="M6" s="15"/>
      <c r="R6" s="1">
        <f>IF(vend26[[#This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IF(vend26[[#This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IF(vend26[[#This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IF(vend26[[#This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IF(vend26[[#This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IF(vend26[[#This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IF(vend26[[#This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IF(vend26[[#This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IF(vend26[[#This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IF(vend26[[#This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IF(vend26[[#This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IF(vend26[[#This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IF(vend26[[#This Row],[Nº Venda]]&gt;1,1,0)</f>
        <v>0</v>
      </c>
    </row>
    <row r="19" spans="2:18" ht="15" x14ac:dyDescent="0.25">
      <c r="B19" s="28">
        <f>COUNT(entr_carn26[OS])</f>
        <v>0</v>
      </c>
      <c r="C19" s="29">
        <f>SUM(entr_carn26[Valor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IF(vend26[[#This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IF(vend26[[#This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H8" sqref="H8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'26'!B1+1</f>
        <v>45684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233.33</v>
      </c>
      <c r="D6" s="2"/>
      <c r="E6" s="75">
        <v>1077</v>
      </c>
      <c r="F6" s="23" t="s">
        <v>168</v>
      </c>
      <c r="G6" s="24" t="s">
        <v>50</v>
      </c>
      <c r="H6" s="7">
        <v>1000</v>
      </c>
      <c r="I6" s="7">
        <v>0</v>
      </c>
      <c r="J6" s="2"/>
      <c r="K6" s="23"/>
      <c r="L6" s="8"/>
      <c r="M6" s="15"/>
      <c r="R6" s="1">
        <f>IF(vend27[[#This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IF(vend27[[#This Row],[Nº Venda]]&gt;1,1,0)</f>
        <v>0</v>
      </c>
    </row>
    <row r="8" spans="2:18" ht="15.75" x14ac:dyDescent="0.25">
      <c r="B8" s="26" t="s">
        <v>21</v>
      </c>
      <c r="C8" s="27">
        <f>SUM(C6:C7)</f>
        <v>233.33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IF(vend27[[#This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IF(vend27[[#This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IF(vend27[[#This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IF(vend27[[#This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IF(vend27[[#This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IF(vend27[[#This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IF(vend27[[#This Row],[Nº Venda]]&gt;1,1,0)</f>
        <v>0</v>
      </c>
    </row>
    <row r="15" spans="2:18" ht="15" x14ac:dyDescent="0.25">
      <c r="B15" s="28" t="s">
        <v>10</v>
      </c>
      <c r="C15" s="29">
        <f t="shared" si="0"/>
        <v>233.33</v>
      </c>
      <c r="D15" s="2"/>
      <c r="E15" s="75"/>
      <c r="F15" s="23"/>
      <c r="G15" s="24"/>
      <c r="H15" s="7"/>
      <c r="I15" s="7"/>
      <c r="J15" s="2"/>
      <c r="K15" s="67">
        <v>1072</v>
      </c>
      <c r="L15" s="8" t="s">
        <v>139</v>
      </c>
      <c r="M15" s="15" t="s">
        <v>145</v>
      </c>
      <c r="R15" s="1">
        <f>IF(vend27[[#This Row],[Nº Venda]]&gt;1,1,0)</f>
        <v>0</v>
      </c>
    </row>
    <row r="16" spans="2:18" ht="15.75" x14ac:dyDescent="0.25">
      <c r="B16" s="26" t="s">
        <v>11</v>
      </c>
      <c r="C16" s="30">
        <f>SUM(C11:C15)</f>
        <v>233.33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IF(vend27[[#This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IF(vend27[[#This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IF(vend27[[#This Row],[Nº Venda]]&gt;1,1,0)</f>
        <v>0</v>
      </c>
    </row>
    <row r="19" spans="2:18" ht="15" x14ac:dyDescent="0.25">
      <c r="B19" s="28">
        <f>COUNT(entr_carn27[OS])</f>
        <v>0</v>
      </c>
      <c r="C19" s="29">
        <f>SUM(entr_carn27[Valor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IF(vend27[[#This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IF(vend27[[#This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>
        <v>1001</v>
      </c>
      <c r="F35" s="23" t="s">
        <v>167</v>
      </c>
      <c r="G35" s="24" t="s">
        <v>10</v>
      </c>
      <c r="H35" s="7">
        <v>233.33</v>
      </c>
      <c r="I35" s="7" t="s">
        <v>73</v>
      </c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1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90" zoomScaleNormal="90" workbookViewId="0">
      <selection activeCell="M35" sqref="M35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'27'!B1+1</f>
        <v>45685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24"/>
      <c r="H6" s="7"/>
      <c r="I6" s="7"/>
      <c r="J6" s="2"/>
      <c r="K6" s="23"/>
      <c r="L6" s="8"/>
      <c r="M6" s="15"/>
      <c r="R6" s="1">
        <f>IF(vend28[[#This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IF(vend28[[#This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IF(vend28[[#This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IF(vend28[[#This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IF(vend28[[#This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IF(vend28[[#This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IF(vend28[[#This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IF(vend28[[#This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IF(vend28[[#This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>
        <v>1051</v>
      </c>
      <c r="L15" s="8" t="s">
        <v>139</v>
      </c>
      <c r="M15" s="15" t="s">
        <v>156</v>
      </c>
      <c r="R15" s="1">
        <f>IF(vend28[[#This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IF(vend28[[#This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IF(vend28[[#This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IF(vend28[[#This Row],[Nº Venda]]&gt;1,1,0)</f>
        <v>0</v>
      </c>
    </row>
    <row r="19" spans="2:18" ht="15" x14ac:dyDescent="0.25">
      <c r="B19" s="28">
        <f>COUNT(entr_carn28[OS])</f>
        <v>1</v>
      </c>
      <c r="C19" s="29">
        <f>SUM(entr_carn28[Valor Total])</f>
        <v>1089.96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IF(vend28[[#This Row],[Nº Venda]]&gt;1,1,0)</f>
        <v>0</v>
      </c>
    </row>
    <row r="20" spans="2:18" ht="15.75" x14ac:dyDescent="0.25">
      <c r="B20" s="26" t="s">
        <v>11</v>
      </c>
      <c r="C20" s="30">
        <f>SUM(C19:C19)</f>
        <v>1089.96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IF(vend28[[#This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>
        <v>1050</v>
      </c>
      <c r="L35" s="39">
        <v>6</v>
      </c>
      <c r="M35" s="15">
        <v>1089.96</v>
      </c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9" zoomScale="90" zoomScaleNormal="90" workbookViewId="0">
      <selection activeCell="E6" sqref="E6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1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'28'!B1+1</f>
        <v>45686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75"/>
      <c r="F6" s="23"/>
      <c r="G6" s="24"/>
      <c r="H6" s="7"/>
      <c r="I6" s="7"/>
      <c r="J6" s="2"/>
      <c r="K6" s="23" t="s">
        <v>153</v>
      </c>
      <c r="L6" s="8" t="s">
        <v>10</v>
      </c>
      <c r="M6" s="15">
        <v>15</v>
      </c>
      <c r="R6" s="1">
        <f>IF(vend29[[#This Row],[Nº Venda]]&gt;1,1,0)</f>
        <v>0</v>
      </c>
    </row>
    <row r="7" spans="2:18" ht="15" x14ac:dyDescent="0.25">
      <c r="B7" s="21" t="s">
        <v>3</v>
      </c>
      <c r="C7" s="22">
        <f>SUM(M6:M11)</f>
        <v>15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IF(vend29[[#This Row],[Nº Venda]]&gt;1,1,0)</f>
        <v>0</v>
      </c>
    </row>
    <row r="8" spans="2:18" ht="15.75" x14ac:dyDescent="0.25">
      <c r="B8" s="26" t="s">
        <v>21</v>
      </c>
      <c r="C8" s="27">
        <f>SUM(C6:C7)</f>
        <v>15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IF(vend29[[#This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47"/>
      <c r="I9" s="7"/>
      <c r="J9" s="2"/>
      <c r="K9" s="23"/>
      <c r="L9" s="8"/>
      <c r="M9" s="15"/>
      <c r="R9" s="1">
        <f>IF(vend29[[#This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IF(vend29[[#This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IF(vend29[[#This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IF(vend29[[#This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IF(vend29[[#This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IF(vend29[[#This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IF(vend29[[#This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IF(vend29[[#This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IF(vend29[[#This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IF(vend29[[#This Row],[Nº Venda]]&gt;1,1,0)</f>
        <v>0</v>
      </c>
    </row>
    <row r="19" spans="2:18" ht="15" x14ac:dyDescent="0.25">
      <c r="B19" s="28">
        <f>COUNT(entr_carn29[OS])</f>
        <v>0</v>
      </c>
      <c r="C19" s="29">
        <f>SUM(entr_carn29[Valor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IF(vend29[[#This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IF(vend29[[#This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90" zoomScaleNormal="90" workbookViewId="0">
      <selection activeCell="F12" sqref="F12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9.85546875" style="32" customWidth="1"/>
    <col min="7" max="7" width="14.140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13.28515625" style="3" customWidth="1"/>
    <col min="12" max="12" width="20.85546875" style="3" customWidth="1"/>
    <col min="13" max="13" width="11.42578125" style="3" customWidth="1"/>
    <col min="14" max="14" width="0.8554687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21" width="9.140625" style="1" hidden="1" customWidth="1"/>
    <col min="22" max="16384" width="9.140625" style="1"/>
  </cols>
  <sheetData>
    <row r="1" spans="2:18" ht="42" x14ac:dyDescent="0.8">
      <c r="B1" s="72">
        <f>'29'!B1+1</f>
        <v>45687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717</v>
      </c>
      <c r="D6" s="2"/>
      <c r="E6" s="94">
        <v>1078</v>
      </c>
      <c r="F6" s="95" t="s">
        <v>169</v>
      </c>
      <c r="G6" s="96" t="s">
        <v>50</v>
      </c>
      <c r="H6" s="97">
        <v>1070</v>
      </c>
      <c r="I6" s="97" t="s">
        <v>173</v>
      </c>
      <c r="J6" s="2"/>
      <c r="K6" s="23"/>
      <c r="L6" s="8"/>
      <c r="M6" s="15"/>
      <c r="R6" s="1">
        <f>IF(vend30[[#This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IF(vend30[[#This Row],[Nº Venda]]&gt;1,1,0)</f>
        <v>0</v>
      </c>
    </row>
    <row r="8" spans="2:18" ht="15.75" x14ac:dyDescent="0.25">
      <c r="B8" s="26" t="s">
        <v>21</v>
      </c>
      <c r="C8" s="27">
        <f>SUM(C6:C7)</f>
        <v>717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IF(vend30[[#This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IF(vend30[[#This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IF(vend30[[#This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IF(vend30[[#This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IF(vend30[[#This Row],[Nº Venda]]&gt;1,1,0)</f>
        <v>0</v>
      </c>
    </row>
    <row r="13" spans="2:18" ht="15" x14ac:dyDescent="0.25">
      <c r="B13" s="28" t="s">
        <v>8</v>
      </c>
      <c r="C13" s="29">
        <f t="shared" si="0"/>
        <v>717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IF(vend30[[#This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IF(vend30[[#This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75"/>
      <c r="F15" s="23"/>
      <c r="G15" s="24"/>
      <c r="H15" s="7"/>
      <c r="I15" s="7"/>
      <c r="J15" s="2"/>
      <c r="K15" s="67">
        <v>1074</v>
      </c>
      <c r="L15" s="8" t="s">
        <v>139</v>
      </c>
      <c r="M15" s="15" t="s">
        <v>145</v>
      </c>
      <c r="R15" s="1">
        <f>IF(vend30[[#This Row],[Nº Venda]]&gt;1,1,0)</f>
        <v>0</v>
      </c>
    </row>
    <row r="16" spans="2:18" ht="15.75" x14ac:dyDescent="0.25">
      <c r="B16" s="26" t="s">
        <v>11</v>
      </c>
      <c r="C16" s="30">
        <f>SUM(C11:C15)</f>
        <v>717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IF(vend30[[#This Row],[Nº Venda]]&gt;1,1,0)</f>
        <v>0</v>
      </c>
    </row>
    <row r="17" spans="2:22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IF(vend30[[#This Row],[Nº Venda]]&gt;1,1,0)</f>
        <v>0</v>
      </c>
    </row>
    <row r="18" spans="2:22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IF(vend30[[#This Row],[Nº Venda]]&gt;1,1,0)</f>
        <v>0</v>
      </c>
    </row>
    <row r="19" spans="2:22" ht="15" x14ac:dyDescent="0.25">
      <c r="B19" s="28">
        <f>COUNT(entr_carn30[OS])</f>
        <v>0</v>
      </c>
      <c r="C19" s="29">
        <f>SUM(entr_carn30[Valor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IF(vend30[[#This Row],[Nº Venda]]&gt;1,1,0)</f>
        <v>0</v>
      </c>
    </row>
    <row r="20" spans="2:22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IF(vend30[[#This Row],[Nº Venda]]&gt;1,1,0)</f>
        <v>0</v>
      </c>
    </row>
    <row r="21" spans="2:22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  <c r="V21" s="1" t="s">
        <v>126</v>
      </c>
    </row>
    <row r="22" spans="2:22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22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22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22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22" ht="15" x14ac:dyDescent="0.25">
      <c r="B26" s="2"/>
      <c r="C26" s="2"/>
      <c r="D26" s="2"/>
      <c r="E26" s="75">
        <v>1074</v>
      </c>
      <c r="F26" s="23" t="s">
        <v>163</v>
      </c>
      <c r="G26" s="24" t="s">
        <v>8</v>
      </c>
      <c r="H26" s="7"/>
      <c r="I26" s="7">
        <v>717</v>
      </c>
      <c r="J26" s="2"/>
      <c r="K26" s="67"/>
      <c r="L26" s="8"/>
      <c r="M26" s="15"/>
    </row>
    <row r="27" spans="2:22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22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22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22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22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22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/>
      <c r="F35" s="23"/>
      <c r="G35" s="24"/>
      <c r="H35" s="7"/>
      <c r="I35" s="7"/>
      <c r="K35" s="67"/>
      <c r="L35" s="39"/>
      <c r="M35" s="15"/>
    </row>
    <row r="36" spans="2:18" ht="15" x14ac:dyDescent="0.25">
      <c r="E36" s="90"/>
      <c r="F36" s="23"/>
      <c r="G36" s="24"/>
      <c r="H36" s="7"/>
      <c r="I36" s="7"/>
      <c r="K36" s="67"/>
      <c r="L36" s="39"/>
      <c r="M36" s="15"/>
    </row>
    <row r="37" spans="2:18" ht="15" x14ac:dyDescent="0.25">
      <c r="E37" s="75"/>
      <c r="F37" s="23"/>
      <c r="G37" s="24"/>
      <c r="H37" s="7"/>
      <c r="I37" s="7"/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1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18" zoomScale="90" zoomScaleNormal="90" workbookViewId="0">
      <selection activeCell="F37" sqref="F37"/>
    </sheetView>
  </sheetViews>
  <sheetFormatPr defaultColWidth="9.140625" defaultRowHeight="12.75" x14ac:dyDescent="0.2"/>
  <cols>
    <col min="1" max="1" width="0.42578125" style="1" customWidth="1"/>
    <col min="2" max="2" width="33.140625" style="1" bestFit="1" customWidth="1"/>
    <col min="3" max="3" width="14" style="1" customWidth="1"/>
    <col min="4" max="4" width="0.2851562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72">
        <f>'30'!B1+1</f>
        <v>45688</v>
      </c>
      <c r="L1" s="71" t="s">
        <v>141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9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6" t="s">
        <v>1</v>
      </c>
      <c r="F4" s="106"/>
      <c r="G4" s="106"/>
      <c r="H4" s="106"/>
      <c r="I4" s="106"/>
      <c r="J4" s="20"/>
      <c r="K4" s="100" t="s">
        <v>3</v>
      </c>
      <c r="L4" s="101"/>
      <c r="M4" s="102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466.28999999999996</v>
      </c>
      <c r="D6" s="2"/>
      <c r="E6" s="75"/>
      <c r="F6" s="23"/>
      <c r="G6" s="24"/>
      <c r="H6" s="7"/>
      <c r="I6" s="7"/>
      <c r="J6" s="2"/>
      <c r="K6" s="23"/>
      <c r="L6" s="8"/>
      <c r="M6" s="15"/>
      <c r="R6" s="1">
        <f>IF(vend31[[#This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75"/>
      <c r="F7" s="23"/>
      <c r="G7" s="24"/>
      <c r="H7" s="7"/>
      <c r="I7" s="7"/>
      <c r="J7" s="2"/>
      <c r="K7" s="23"/>
      <c r="L7" s="8"/>
      <c r="M7" s="15"/>
      <c r="R7" s="1">
        <f>IF(vend31[[#This Row],[Nº Venda]]&gt;1,1,0)</f>
        <v>0</v>
      </c>
    </row>
    <row r="8" spans="2:18" ht="15.75" x14ac:dyDescent="0.25">
      <c r="B8" s="26" t="s">
        <v>21</v>
      </c>
      <c r="C8" s="27">
        <f>SUM(C6:C7)</f>
        <v>466.28999999999996</v>
      </c>
      <c r="D8" s="2"/>
      <c r="E8" s="75"/>
      <c r="F8" s="23"/>
      <c r="G8" s="24"/>
      <c r="H8" s="7"/>
      <c r="I8" s="7"/>
      <c r="J8" s="2"/>
      <c r="K8" s="23"/>
      <c r="L8" s="8"/>
      <c r="M8" s="15"/>
      <c r="R8" s="1">
        <f>IF(vend31[[#This Row],[Nº Venda]]&gt;1,1,0)</f>
        <v>0</v>
      </c>
    </row>
    <row r="9" spans="2:18" ht="15" x14ac:dyDescent="0.25">
      <c r="B9" s="2"/>
      <c r="C9" s="2"/>
      <c r="D9" s="2"/>
      <c r="E9" s="75"/>
      <c r="F9" s="23"/>
      <c r="G9" s="24"/>
      <c r="H9" s="7"/>
      <c r="I9" s="7"/>
      <c r="J9" s="2"/>
      <c r="K9" s="23"/>
      <c r="L9" s="8"/>
      <c r="M9" s="15"/>
      <c r="R9" s="1">
        <f>IF(vend31[[#This Row],[Nº Venda]]&gt;1,1,0)</f>
        <v>0</v>
      </c>
    </row>
    <row r="10" spans="2:18" ht="15" x14ac:dyDescent="0.25">
      <c r="B10" s="98" t="s">
        <v>5</v>
      </c>
      <c r="C10" s="98"/>
      <c r="D10" s="2"/>
      <c r="E10" s="75"/>
      <c r="F10" s="23"/>
      <c r="G10" s="24"/>
      <c r="H10" s="7"/>
      <c r="I10" s="7"/>
      <c r="J10" s="2"/>
      <c r="K10" s="23"/>
      <c r="L10" s="8"/>
      <c r="M10" s="15"/>
      <c r="R10" s="1">
        <f>IF(vend31[[#This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212.25</v>
      </c>
      <c r="D11" s="2"/>
      <c r="E11" s="75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IF(vend31[[#This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75"/>
      <c r="F12" s="23"/>
      <c r="G12" s="24"/>
      <c r="H12" s="7"/>
      <c r="I12" s="7"/>
      <c r="J12" s="2"/>
      <c r="K12" s="84"/>
      <c r="L12" s="84"/>
      <c r="M12" s="84"/>
      <c r="R12" s="1">
        <f>IF(vend31[[#This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75"/>
      <c r="F13" s="23"/>
      <c r="G13" s="24"/>
      <c r="H13" s="7"/>
      <c r="I13" s="7"/>
      <c r="J13" s="2"/>
      <c r="K13" s="100" t="s">
        <v>22</v>
      </c>
      <c r="L13" s="101"/>
      <c r="M13" s="102"/>
      <c r="R13" s="1">
        <f>IF(vend31[[#This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7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IF(vend31[[#This Row],[Nº Venda]]&gt;1,1,0)</f>
        <v>0</v>
      </c>
    </row>
    <row r="15" spans="2:18" ht="15" x14ac:dyDescent="0.25">
      <c r="B15" s="28" t="s">
        <v>10</v>
      </c>
      <c r="C15" s="29">
        <f t="shared" si="0"/>
        <v>254.04</v>
      </c>
      <c r="D15" s="2"/>
      <c r="E15" s="75"/>
      <c r="F15" s="23"/>
      <c r="G15" s="24"/>
      <c r="H15" s="7"/>
      <c r="I15" s="7"/>
      <c r="J15" s="2"/>
      <c r="K15" s="67"/>
      <c r="L15" s="8"/>
      <c r="M15" s="15"/>
      <c r="R15" s="1">
        <f>IF(vend31[[#This Row],[Nº Venda]]&gt;1,1,0)</f>
        <v>0</v>
      </c>
    </row>
    <row r="16" spans="2:18" ht="15.75" x14ac:dyDescent="0.25">
      <c r="B16" s="26" t="s">
        <v>11</v>
      </c>
      <c r="C16" s="30">
        <f>SUM(C11:C15)</f>
        <v>466.28999999999996</v>
      </c>
      <c r="D16" s="2"/>
      <c r="E16" s="75"/>
      <c r="F16" s="23"/>
      <c r="G16" s="24"/>
      <c r="H16" s="7"/>
      <c r="I16" s="7"/>
      <c r="J16" s="2"/>
      <c r="K16" s="67"/>
      <c r="L16" s="8"/>
      <c r="M16" s="15"/>
      <c r="R16" s="1">
        <f>IF(vend31[[#This Row],[Nº Venda]]&gt;1,1,0)</f>
        <v>0</v>
      </c>
    </row>
    <row r="17" spans="2:18" ht="15" x14ac:dyDescent="0.25">
      <c r="B17" s="2"/>
      <c r="C17" s="2"/>
      <c r="D17" s="2"/>
      <c r="E17" s="75"/>
      <c r="F17" s="23"/>
      <c r="G17" s="24"/>
      <c r="H17" s="7"/>
      <c r="I17" s="7"/>
      <c r="J17" s="2"/>
      <c r="K17" s="67"/>
      <c r="L17" s="8"/>
      <c r="M17" s="15"/>
      <c r="R17" s="1">
        <f>IF(vend31[[#This Row],[Nº Venda]]&gt;1,1,0)</f>
        <v>0</v>
      </c>
    </row>
    <row r="18" spans="2:18" ht="15" x14ac:dyDescent="0.25">
      <c r="B18" s="98" t="s">
        <v>12</v>
      </c>
      <c r="C18" s="98"/>
      <c r="D18" s="2"/>
      <c r="E18" s="75"/>
      <c r="F18" s="23"/>
      <c r="G18" s="24"/>
      <c r="H18" s="7"/>
      <c r="I18" s="7"/>
      <c r="J18" s="2"/>
      <c r="K18" s="67"/>
      <c r="L18" s="8"/>
      <c r="M18" s="15"/>
      <c r="R18" s="1">
        <f>IF(vend31[[#This Row],[Nº Venda]]&gt;1,1,0)</f>
        <v>0</v>
      </c>
    </row>
    <row r="19" spans="2:18" ht="15" x14ac:dyDescent="0.25">
      <c r="B19" s="28">
        <f>COUNT(entr_carn31[OS])</f>
        <v>0</v>
      </c>
      <c r="C19" s="29">
        <f>SUM(entr_carn31[Valor Total])</f>
        <v>0</v>
      </c>
      <c r="D19" s="2"/>
      <c r="E19" s="75"/>
      <c r="F19" s="23"/>
      <c r="G19" s="24"/>
      <c r="H19" s="7"/>
      <c r="I19" s="7"/>
      <c r="J19" s="2"/>
      <c r="K19" s="67"/>
      <c r="L19" s="8"/>
      <c r="M19" s="15"/>
      <c r="R19" s="1">
        <f>IF(vend31[[#This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75"/>
      <c r="F20" s="24"/>
      <c r="G20" s="24"/>
      <c r="H20" s="7"/>
      <c r="I20" s="7"/>
      <c r="J20" s="2"/>
      <c r="K20" s="67"/>
      <c r="L20" s="8"/>
      <c r="M20" s="15"/>
      <c r="R20" s="1">
        <f>IF(vend31[[#This Row],[Nº Venda]]&gt;1,1,0)</f>
        <v>0</v>
      </c>
    </row>
    <row r="21" spans="2:18" ht="15" x14ac:dyDescent="0.25">
      <c r="B21" s="2"/>
      <c r="C21" s="2"/>
      <c r="D21" s="2"/>
      <c r="E21" s="75"/>
      <c r="F21" s="23"/>
      <c r="G21" s="24"/>
      <c r="H21" s="7"/>
      <c r="I21" s="7"/>
      <c r="J21" s="2"/>
      <c r="K21" s="67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75"/>
      <c r="F22" s="23"/>
      <c r="G22" s="24"/>
      <c r="H22" s="7"/>
      <c r="I22" s="7"/>
      <c r="J22" s="2"/>
      <c r="K22" s="67"/>
      <c r="L22" s="8"/>
      <c r="M22" s="15"/>
    </row>
    <row r="23" spans="2:18" ht="15" x14ac:dyDescent="0.25">
      <c r="B23" s="2"/>
      <c r="C23" s="2"/>
      <c r="D23" s="2"/>
      <c r="E23" s="76"/>
      <c r="F23" s="77"/>
      <c r="G23" s="77"/>
      <c r="H23" s="78"/>
      <c r="I23" s="79"/>
      <c r="J23" s="2"/>
      <c r="K23" s="67"/>
      <c r="L23" s="8"/>
      <c r="M23" s="15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67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7"/>
      <c r="L25" s="8"/>
      <c r="M25" s="15"/>
    </row>
    <row r="26" spans="2:18" ht="15" x14ac:dyDescent="0.25">
      <c r="B26" s="2"/>
      <c r="C26" s="2"/>
      <c r="D26" s="2"/>
      <c r="E26" s="75"/>
      <c r="F26" s="23"/>
      <c r="G26" s="24"/>
      <c r="H26" s="7"/>
      <c r="I26" s="7"/>
      <c r="J26" s="2"/>
      <c r="K26" s="67"/>
      <c r="L26" s="8"/>
      <c r="M26" s="15"/>
    </row>
    <row r="27" spans="2:18" ht="15" x14ac:dyDescent="0.25">
      <c r="B27" s="2"/>
      <c r="C27" s="2"/>
      <c r="D27" s="2"/>
      <c r="E27" s="75"/>
      <c r="F27" s="23"/>
      <c r="G27" s="24"/>
      <c r="H27" s="7"/>
      <c r="I27" s="7"/>
      <c r="J27" s="2"/>
      <c r="K27" s="67"/>
      <c r="L27" s="8"/>
      <c r="M27" s="15"/>
    </row>
    <row r="28" spans="2:18" ht="15" x14ac:dyDescent="0.25">
      <c r="B28" s="2"/>
      <c r="C28" s="2"/>
      <c r="D28" s="2"/>
      <c r="E28" s="75"/>
      <c r="F28" s="23"/>
      <c r="G28" s="24"/>
      <c r="H28" s="7"/>
      <c r="I28" s="7"/>
      <c r="J28" s="2"/>
      <c r="K28" s="67"/>
      <c r="L28" s="8"/>
      <c r="M28" s="15"/>
    </row>
    <row r="29" spans="2:18" ht="15" x14ac:dyDescent="0.25">
      <c r="B29" s="2"/>
      <c r="C29" s="2"/>
      <c r="D29" s="2"/>
      <c r="E29" s="75"/>
      <c r="F29" s="23"/>
      <c r="G29" s="24"/>
      <c r="H29" s="7"/>
      <c r="I29" s="7"/>
      <c r="J29" s="2"/>
      <c r="K29" s="67"/>
      <c r="L29" s="8"/>
      <c r="M29" s="15"/>
    </row>
    <row r="30" spans="2:18" ht="15" x14ac:dyDescent="0.25">
      <c r="B30" s="2"/>
      <c r="C30" s="2"/>
      <c r="D30" s="2"/>
      <c r="E30" s="75"/>
      <c r="F30" s="37"/>
      <c r="G30" s="24"/>
      <c r="H30" s="7"/>
      <c r="I30" s="7"/>
      <c r="J30" s="2"/>
      <c r="K30" s="67"/>
      <c r="L30" s="8"/>
      <c r="M30" s="15"/>
    </row>
    <row r="31" spans="2:18" ht="15" x14ac:dyDescent="0.25">
      <c r="B31" s="2"/>
      <c r="C31" s="2"/>
      <c r="D31" s="2"/>
      <c r="E31" s="88"/>
      <c r="F31" s="34"/>
      <c r="G31" s="35"/>
      <c r="H31" s="16"/>
      <c r="I31" s="16"/>
      <c r="J31" s="2"/>
      <c r="K31" s="67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75">
        <v>953</v>
      </c>
      <c r="F35" s="23" t="s">
        <v>170</v>
      </c>
      <c r="G35" s="24" t="s">
        <v>6</v>
      </c>
      <c r="H35" s="7">
        <v>212.25</v>
      </c>
      <c r="I35" s="7" t="s">
        <v>43</v>
      </c>
      <c r="K35" s="67"/>
      <c r="L35" s="39"/>
      <c r="M35" s="15"/>
    </row>
    <row r="36" spans="2:18" ht="15" x14ac:dyDescent="0.25">
      <c r="E36" s="90">
        <v>1059</v>
      </c>
      <c r="F36" s="23" t="s">
        <v>171</v>
      </c>
      <c r="G36" s="24" t="s">
        <v>10</v>
      </c>
      <c r="H36" s="7">
        <v>72.38</v>
      </c>
      <c r="I36" s="7" t="s">
        <v>82</v>
      </c>
      <c r="K36" s="67"/>
      <c r="L36" s="39"/>
      <c r="M36" s="15"/>
    </row>
    <row r="37" spans="2:18" ht="15" x14ac:dyDescent="0.25">
      <c r="E37" s="75">
        <v>1050</v>
      </c>
      <c r="F37" s="23" t="s">
        <v>172</v>
      </c>
      <c r="G37" s="24" t="s">
        <v>10</v>
      </c>
      <c r="H37" s="7">
        <v>181.66</v>
      </c>
      <c r="I37" s="7" t="s">
        <v>42</v>
      </c>
      <c r="K37" s="67"/>
      <c r="L37" s="39"/>
      <c r="M37" s="15"/>
    </row>
    <row r="38" spans="2:18" ht="15" x14ac:dyDescent="0.25">
      <c r="E38" s="75"/>
      <c r="F38" s="23"/>
      <c r="G38" s="24"/>
      <c r="H38" s="7"/>
      <c r="I38" s="7"/>
      <c r="K38" s="67"/>
      <c r="L38" s="39"/>
      <c r="M38" s="15"/>
    </row>
    <row r="39" spans="2:18" ht="15" x14ac:dyDescent="0.25">
      <c r="E39" s="75"/>
      <c r="F39" s="37"/>
      <c r="G39" s="24"/>
      <c r="H39" s="7"/>
      <c r="I39" s="7"/>
      <c r="K39" s="67"/>
      <c r="L39" s="39"/>
      <c r="M39" s="15"/>
    </row>
    <row r="40" spans="2:18" ht="15" x14ac:dyDescent="0.25">
      <c r="E40" s="88"/>
      <c r="F40" s="34"/>
      <c r="G40" s="35"/>
      <c r="H40" s="16"/>
      <c r="I40" s="7"/>
      <c r="K40" s="68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89"/>
      <c r="F41" s="37"/>
      <c r="G41" s="24"/>
      <c r="H41" s="7"/>
      <c r="I41" s="7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1A71-65A7-4993-BA0E-6417D9A7E5F9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6" t="s">
        <v>62</v>
      </c>
      <c r="B1" s="36" t="s">
        <v>63</v>
      </c>
      <c r="E1" s="36" t="s">
        <v>64</v>
      </c>
    </row>
    <row r="2" spans="1:5" x14ac:dyDescent="0.2">
      <c r="A2" s="36" t="s">
        <v>6</v>
      </c>
      <c r="B2" s="36" t="s">
        <v>65</v>
      </c>
      <c r="E2" t="s">
        <v>46</v>
      </c>
    </row>
    <row r="3" spans="1:5" x14ac:dyDescent="0.2">
      <c r="A3" s="36" t="s">
        <v>7</v>
      </c>
      <c r="B3" s="36" t="s">
        <v>66</v>
      </c>
      <c r="E3" t="s">
        <v>67</v>
      </c>
    </row>
    <row r="4" spans="1:5" x14ac:dyDescent="0.2">
      <c r="A4" s="36" t="s">
        <v>8</v>
      </c>
      <c r="B4" s="36" t="s">
        <v>68</v>
      </c>
      <c r="E4" t="s">
        <v>69</v>
      </c>
    </row>
    <row r="5" spans="1:5" x14ac:dyDescent="0.2">
      <c r="A5" s="36" t="s">
        <v>9</v>
      </c>
      <c r="B5" s="36" t="s">
        <v>70</v>
      </c>
      <c r="E5" t="s">
        <v>71</v>
      </c>
    </row>
    <row r="6" spans="1:5" x14ac:dyDescent="0.2">
      <c r="A6" s="36" t="s">
        <v>10</v>
      </c>
      <c r="B6" s="36" t="s">
        <v>10</v>
      </c>
      <c r="E6" t="s">
        <v>33</v>
      </c>
    </row>
    <row r="7" spans="1:5" x14ac:dyDescent="0.2">
      <c r="A7" s="36" t="s">
        <v>50</v>
      </c>
      <c r="B7" s="36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6" t="s">
        <v>40</v>
      </c>
      <c r="B9" s="36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35</vt:i4>
      </vt:variant>
      <vt:variant>
        <vt:lpstr>Intervalos Nomeados</vt:lpstr>
      </vt:variant>
      <vt:variant>
        <vt:i4>5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Planilha1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2025-01-30T20:15:12Z</cp:lastPrinted>
  <dcterms:created xsi:type="dcterms:W3CDTF">2004-04-07T20:43:43Z</dcterms:created>
  <dcterms:modified xsi:type="dcterms:W3CDTF">2025-10-15T15:43:09Z</dcterms:modified>
  <cp:category/>
  <cp:contentStatus/>
</cp:coreProperties>
</file>