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800" documentId="8_{A8EC729E-B486-4075-9BB3-C7666ACF8709}" xr6:coauthVersionLast="47" xr6:coauthVersionMax="47" xr10:uidLastSave="{EF9CB43F-1087-4A63-A75A-BDE5DF232523}"/>
  <bookViews>
    <workbookView xWindow="-120" yWindow="330" windowWidth="20730" windowHeight="11310" tabRatio="895" firstSheet="1" activeTab="1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92" l="1"/>
  <c r="C6" i="189"/>
  <c r="C6" i="186"/>
  <c r="C6" i="185"/>
  <c r="C6" i="184"/>
  <c r="C6" i="179"/>
  <c r="C6" i="181"/>
  <c r="C6" i="183"/>
  <c r="C6" i="182"/>
  <c r="C6" i="180"/>
  <c r="C6" i="176"/>
  <c r="C6" i="177"/>
  <c r="C6" i="178"/>
  <c r="C6" i="103"/>
  <c r="C6" i="170"/>
  <c r="C6" i="171"/>
  <c r="C6" i="173"/>
  <c r="C6" i="172"/>
  <c r="C6" i="175"/>
  <c r="C6" i="198"/>
  <c r="C6" i="196"/>
  <c r="C6" i="197"/>
  <c r="C6" i="193"/>
  <c r="C6" i="188"/>
  <c r="C6" i="191"/>
  <c r="C6" i="190"/>
  <c r="B1" i="178"/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2"/>
  <c r="C8" i="171"/>
  <c r="C8" i="179"/>
  <c r="C8" i="189"/>
  <c r="C8" i="190"/>
  <c r="C8" i="197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4" l="1"/>
  <c r="C8" i="180"/>
  <c r="C8" i="186"/>
  <c r="C8" i="173"/>
  <c r="C8" i="176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3"/>
  <c r="C8" i="178"/>
  <c r="C8" i="185"/>
  <c r="C8" i="181"/>
  <c r="C8" i="170"/>
  <c r="C8" i="177"/>
  <c r="C8" i="182"/>
  <c r="C16" i="198"/>
  <c r="O11" i="198" s="1"/>
  <c r="C16" i="199"/>
  <c r="C16" i="192"/>
  <c r="C16" i="197"/>
  <c r="O11" i="197" s="1"/>
  <c r="C16" i="194"/>
  <c r="C16" i="195"/>
  <c r="C16" i="193"/>
  <c r="O11" i="193" s="1"/>
  <c r="C16" i="191"/>
  <c r="O11" i="191" s="1"/>
  <c r="C16" i="190"/>
  <c r="O11" i="190" s="1"/>
  <c r="C16" i="187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87"/>
  <c r="C6" i="187"/>
  <c r="C8" i="187" s="1"/>
  <c r="O11" i="194"/>
  <c r="C6" i="194"/>
  <c r="C8" i="194" s="1"/>
  <c r="O11" i="195"/>
  <c r="C6" i="195"/>
  <c r="B14" i="200"/>
  <c r="C16" i="103"/>
  <c r="O11" i="103" s="1"/>
  <c r="C8" i="103"/>
  <c r="R40" i="103"/>
  <c r="C8" i="195" l="1"/>
  <c r="B1" i="174"/>
  <c r="B1" i="173" s="1"/>
  <c r="B1" i="172" s="1"/>
  <c r="B1" i="171" s="1"/>
  <c r="B1" i="170" s="1"/>
  <c r="B1" i="103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B4" i="200" l="1"/>
  <c r="B6" i="200" s="1"/>
  <c r="C8" i="198"/>
</calcChain>
</file>

<file path=xl/sharedStrings.xml><?xml version="1.0" encoding="utf-8"?>
<sst xmlns="http://schemas.openxmlformats.org/spreadsheetml/2006/main" count="1728" uniqueCount="189">
  <si>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</si>
  <si>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</si>
  <si>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</si>
  <si>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</si>
  <si>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</si>
  <si>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</si>
  <si>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</si>
  <si>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</si>
  <si>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</si>
  <si>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</si>
  <si>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</si>
  <si>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</si>
  <si>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</si>
  <si>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</si>
  <si>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</si>
  <si>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</si>
  <si>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</si>
  <si>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</si>
  <si>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</si>
  <si>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</si>
  <si>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</si>
  <si>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</si>
  <si>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</si>
  <si>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</si>
  <si>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</si>
  <si>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</si>
  <si>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</si>
  <si>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</si>
  <si>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</si>
  <si>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</si>
  <si>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</si>
  <si>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</si>
  <si>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</si>
  <si>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</si>
  <si>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</si>
  <si>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</si>
  <si>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</si>
  <si>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</si>
  <si>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</si>
  <si>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</si>
  <si>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</si>
  <si>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</si>
  <si>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</si>
  <si>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</si>
  <si>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</si>
  <si>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</si>
  <si>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</si>
  <si>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</si>
  <si>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</si>
  <si>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</si>
  <si>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</si>
  <si>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</si>
  <si>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</si>
  <si>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</si>
  <si>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</si>
  <si>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</si>
  <si>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</si>
  <si>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</si>
  <si>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</si>
  <si>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</si>
  <si>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</si>
  <si>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</si>
  <si>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</si>
  <si>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</si>
  <si>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</si>
  <si>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</si>
  <si>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</si>
  <si>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</si>
  <si>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</si>
  <si>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</si>
  <si>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</si>
  <si>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</si>
  <si>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</si>
  <si>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</si>
  <si>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</si>
  <si>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</si>
  <si>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</si>
  <si>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</si>
  <si>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</si>
  <si>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</si>
  <si>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</si>
  <si>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</si>
  <si>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</si>
  <si>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</si>
  <si>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</si>
  <si>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</si>
  <si>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</si>
  <si>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</si>
  <si>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</si>
  <si>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</si>
  <si>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</si>
  <si>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</si>
  <si>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</si>
  <si>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</si>
  <si>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</si>
  <si>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</si>
  <si>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</si>
  <si>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</si>
  <si>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</si>
  <si>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</si>
  <si>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</si>
  <si>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</si>
  <si>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</si>
  <si>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</si>
  <si>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</si>
  <si>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</si>
  <si>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</si>
  <si>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</si>
  <si>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</si>
  <si>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</si>
  <si>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</si>
  <si>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</si>
  <si>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</si>
  <si>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</si>
  <si>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</si>
  <si>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</si>
  <si>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</si>
  <si>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</si>
  <si>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</si>
  <si>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</si>
  <si>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</si>
  <si>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</si>
  <si>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</si>
  <si>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</si>
  <si>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</si>
  <si>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</si>
  <si>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</si>
  <si>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</si>
  <si>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</si>
  <si>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</si>
  <si>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</si>
  <si>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</si>
  <si>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</si>
  <si>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</si>
  <si>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</si>
  <si>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</si>
  <si>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</si>
  <si>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</si>
  <si>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</si>
  <si>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</si>
  <si>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</si>
  <si>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</si>
  <si>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ANDRE LUIZ MARIANO</t>
  </si>
  <si>
    <t>HERMENEGILDO LEME DE ALMEIDA</t>
  </si>
  <si>
    <t xml:space="preserve">JOSE NILTON GOMES VIEIRA </t>
  </si>
  <si>
    <t>MICHAELLA DA SILVA OLIVEIRA</t>
  </si>
  <si>
    <t>AGUA</t>
  </si>
  <si>
    <t>LUANA STHEFANI DE OLIVEIRA</t>
  </si>
  <si>
    <t>Eliel Izidio Gonçalves</t>
  </si>
  <si>
    <t>BENEDITA AP CALDOMANIS DE MELLO</t>
  </si>
  <si>
    <t>AMANDA BARBOSA LIBANIO DE SIQUEIRA</t>
  </si>
  <si>
    <t>JOSÉ AÍRTON NUNES VIEIRA</t>
  </si>
  <si>
    <t>ELOISA EDUARDA MARQUES DA SILVA</t>
  </si>
  <si>
    <t>Não</t>
  </si>
  <si>
    <t>Sim</t>
  </si>
  <si>
    <t>MARCIA SILVA DE SOUZA</t>
  </si>
  <si>
    <t>LIVIA DE SOUZA SANTANA</t>
  </si>
  <si>
    <t xml:space="preserve">LUCIANA MARTINS DA COSTA </t>
  </si>
  <si>
    <t>ANDRE  LUIZ MARIANO</t>
  </si>
  <si>
    <t>SARA PATROCINIO GONCAVEL</t>
  </si>
  <si>
    <t>HELIO FERREIRA DA COSTA</t>
  </si>
  <si>
    <t>LUCIANAMARTINS DA COSTA</t>
  </si>
  <si>
    <t xml:space="preserve">MARIA JOSE BORGES DOS SANTOS </t>
  </si>
  <si>
    <t>ANTONIO TROGUILHO</t>
  </si>
  <si>
    <t>ALZAIR DE BARROS SOUZA</t>
  </si>
  <si>
    <t>PAULO R PEIXOTO DO NASCIMENTO</t>
  </si>
  <si>
    <t xml:space="preserve">DONIZETE RIBEIRO DE OLIVEIRA </t>
  </si>
  <si>
    <t>TALITHA CECILIA LAU COSTA SOUZA</t>
  </si>
  <si>
    <t>FERNANDO DE ALMEIDA AMADEU</t>
  </si>
  <si>
    <t>AMANDA B LIBANIO DE SIQUEIRA</t>
  </si>
  <si>
    <t>ALINE DE SANTANA MORAES</t>
  </si>
  <si>
    <t>KETELLIN GOMES JUVENCIO</t>
  </si>
  <si>
    <t>MICHELE PAIXÃO DOS SANTOS</t>
  </si>
  <si>
    <t>Paula Vitoria Oliveira Ramos</t>
  </si>
  <si>
    <t>SAMUEL APARECIDO DE ARAUJO</t>
  </si>
  <si>
    <t>INDAIARA CELIA DOS SANTOS CAVALCANTE</t>
  </si>
  <si>
    <t>2K CONCERTOS</t>
  </si>
  <si>
    <t>Aline de Santana Moraes</t>
  </si>
  <si>
    <t>Marcia Silva de Souza</t>
  </si>
  <si>
    <t>Michaela da Silva Oliveira</t>
  </si>
  <si>
    <t>Elizabete Silva Rodrigues</t>
  </si>
  <si>
    <t>José Maria Silva</t>
  </si>
  <si>
    <t>Solange Maria Procopio Nunes</t>
  </si>
  <si>
    <t>Camila de Faria Messias</t>
  </si>
  <si>
    <t>Georgina Machado</t>
  </si>
  <si>
    <t>Jorge Luiz Oliveira de Santana</t>
  </si>
  <si>
    <t>Eliane França de Oliveira</t>
  </si>
  <si>
    <t>Giovanna Cristina França de Oliveira</t>
  </si>
  <si>
    <t>Edina Ferreira 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</si>
</sst>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1"/>
      <name val="Arial Black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Castellar"/>
      <family val="1"/>
    </font>
    <font>
      <b/>
      <sz val="24"/>
      <name val="Castellar"/>
      <family val="1"/>
    </font>
    <font>
      <b/>
      <sz val="27"/>
      <name val="Castellar"/>
      <family val="1"/>
    </font>
    <font>
      <sz val="27"/>
      <name val="Arial Black"/>
      <family val="2"/>
    </font>
    <font>
      <b/>
      <sz val="23"/>
      <name val="Arial Black"/>
      <family val="2"/>
    </font>
    <font>
      <b/>
      <sz val="27"/>
      <name val="Arial Black"/>
      <family val="2"/>
    </font>
    <font>
      <b/>
      <u/>
      <sz val="27"/>
      <name val="Castellar"/>
      <family val="1"/>
    </font>
    <font>
      <sz val="11"/>
      <name val="Arial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0" fontId="33" fillId="0" borderId="17" xfId="0" applyFont="1" applyBorder="1" applyAlignment="1">
      <alignment horizontal="center"/>
    </xf>
    <xf numFmtId="14" fontId="34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4" fontId="37" fillId="0" borderId="0" xfId="0" applyNumberFormat="1" applyFont="1" applyAlignment="1">
      <alignment horizontal="center"/>
    </xf>
    <xf numFmtId="164" fontId="33" fillId="0" borderId="13" xfId="2" applyFont="1" applyFill="1" applyBorder="1" applyAlignment="1">
      <alignment horizontal="center"/>
    </xf>
    <xf numFmtId="164" fontId="35" fillId="0" borderId="13" xfId="2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164" fontId="12" fillId="5" borderId="10" xfId="2" applyFont="1" applyFill="1" applyBorder="1" applyAlignment="1">
      <alignment horizontal="center"/>
    </xf>
    <xf numFmtId="164" fontId="12" fillId="5" borderId="13" xfId="2" applyFont="1" applyFill="1" applyBorder="1" applyAlignment="1">
      <alignment horizontal="center"/>
    </xf>
    <xf numFmtId="165" fontId="12" fillId="5" borderId="13" xfId="4" applyNumberFormat="1" applyFont="1" applyFill="1" applyBorder="1" applyAlignment="1">
      <alignment horizontal="center"/>
    </xf>
    <xf numFmtId="165" fontId="12" fillId="5" borderId="9" xfId="4" applyNumberFormat="1" applyFont="1" applyFill="1" applyBorder="1" applyAlignment="1">
      <alignment horizontal="center"/>
    </xf>
    <xf numFmtId="165" fontId="12" fillId="5" borderId="10" xfId="0" applyNumberFormat="1" applyFont="1" applyFill="1" applyBorder="1" applyAlignment="1">
      <alignment horizontal="center"/>
    </xf>
    <xf numFmtId="165" fontId="12" fillId="5" borderId="13" xfId="0" applyNumberFormat="1" applyFont="1" applyFill="1" applyBorder="1" applyAlignment="1">
      <alignment horizontal="center"/>
    </xf>
    <xf numFmtId="165" fontId="12" fillId="5" borderId="9" xfId="0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0" fontId="39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5" fontId="41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" fontId="41" fillId="0" borderId="17" xfId="0" applyNumberFormat="1" applyFont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165" fontId="10" fillId="7" borderId="8" xfId="0" applyNumberFormat="1" applyFont="1" applyFill="1" applyBorder="1" applyAlignment="1">
      <alignment horizontal="center"/>
    </xf>
    <xf numFmtId="164" fontId="10" fillId="7" borderId="6" xfId="2" applyFont="1" applyFill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5" fontId="41" fillId="0" borderId="11" xfId="4" applyNumberFormat="1" applyFont="1" applyFill="1" applyBorder="1" applyAlignment="1">
      <alignment horizontal="center"/>
    </xf>
    <xf numFmtId="1" fontId="41" fillId="0" borderId="3" xfId="0" applyNumberFormat="1" applyFont="1" applyBorder="1" applyAlignment="1">
      <alignment horizontal="center"/>
    </xf>
    <xf numFmtId="1" fontId="41" fillId="0" borderId="17" xfId="2" applyNumberFormat="1" applyFont="1" applyFill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44" fontId="12" fillId="0" borderId="17" xfId="39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165" fontId="41" fillId="0" borderId="9" xfId="0" applyNumberFormat="1" applyFont="1" applyBorder="1" applyAlignment="1">
      <alignment horizontal="center"/>
    </xf>
    <xf numFmtId="165" fontId="41" fillId="0" borderId="6" xfId="0" applyNumberFormat="1" applyFont="1" applyBorder="1" applyAlignment="1">
      <alignment horizontal="center"/>
    </xf>
    <xf numFmtId="1" fontId="41" fillId="0" borderId="3" xfId="2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4" fontId="41" fillId="0" borderId="0" xfId="2" applyFont="1" applyFill="1" applyBorder="1" applyAlignment="1">
      <alignment horizontal="center" vertical="center"/>
    </xf>
    <xf numFmtId="165" fontId="41" fillId="0" borderId="0" xfId="4" applyNumberFormat="1" applyFont="1" applyFill="1" applyBorder="1" applyAlignment="1">
      <alignment horizontal="center" vertical="center"/>
    </xf>
    <xf numFmtId="165" fontId="41" fillId="0" borderId="0" xfId="0" applyNumberFormat="1" applyFont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165" fontId="12" fillId="5" borderId="11" xfId="0" applyNumberFormat="1" applyFont="1" applyFill="1" applyBorder="1" applyAlignment="1">
      <alignment horizontal="center" vertical="center"/>
    </xf>
    <xf numFmtId="164" fontId="12" fillId="5" borderId="10" xfId="2" applyFont="1" applyFill="1" applyBorder="1" applyAlignment="1">
      <alignment horizontal="center" vertical="center"/>
    </xf>
    <xf numFmtId="164" fontId="12" fillId="5" borderId="13" xfId="2" applyFont="1" applyFill="1" applyBorder="1" applyAlignment="1">
      <alignment horizontal="center" vertical="center"/>
    </xf>
    <xf numFmtId="165" fontId="12" fillId="5" borderId="13" xfId="4" applyNumberFormat="1" applyFont="1" applyFill="1" applyBorder="1" applyAlignment="1">
      <alignment horizontal="center" vertical="center"/>
    </xf>
    <xf numFmtId="165" fontId="12" fillId="5" borderId="9" xfId="4" applyNumberFormat="1" applyFont="1" applyFill="1" applyBorder="1" applyAlignment="1">
      <alignment horizontal="center" vertical="center"/>
    </xf>
    <xf numFmtId="165" fontId="12" fillId="5" borderId="10" xfId="0" applyNumberFormat="1" applyFont="1" applyFill="1" applyBorder="1" applyAlignment="1">
      <alignment horizontal="center" vertical="center"/>
    </xf>
    <xf numFmtId="165" fontId="12" fillId="5" borderId="13" xfId="0" applyNumberFormat="1" applyFont="1" applyFill="1" applyBorder="1" applyAlignment="1">
      <alignment horizontal="center" vertical="center"/>
    </xf>
    <xf numFmtId="165" fontId="12" fillId="5" borderId="9" xfId="0" applyNumberFormat="1" applyFont="1" applyFill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164" fontId="12" fillId="0" borderId="17" xfId="2" applyFont="1" applyFill="1" applyBorder="1" applyAlignment="1">
      <alignment horizontal="center" vertical="center"/>
    </xf>
    <xf numFmtId="165" fontId="12" fillId="0" borderId="17" xfId="4" applyNumberFormat="1" applyFont="1" applyFill="1" applyBorder="1" applyAlignment="1">
      <alignment horizontal="center" vertical="center"/>
    </xf>
    <xf numFmtId="165" fontId="12" fillId="0" borderId="17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10" fillId="7" borderId="8" xfId="0" applyNumberFormat="1" applyFont="1" applyFill="1" applyBorder="1" applyAlignment="1">
      <alignment horizontal="center" vertical="center"/>
    </xf>
    <xf numFmtId="164" fontId="41" fillId="0" borderId="17" xfId="2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64" fontId="41" fillId="5" borderId="0" xfId="2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" fontId="42" fillId="0" borderId="17" xfId="0" applyNumberFormat="1" applyFont="1" applyBorder="1" applyAlignment="1">
      <alignment horizontal="center" vertical="center"/>
    </xf>
    <xf numFmtId="1" fontId="39" fillId="0" borderId="17" xfId="0" applyNumberFormat="1" applyFont="1" applyBorder="1" applyAlignment="1">
      <alignment horizontal="center" vertical="center"/>
    </xf>
    <xf numFmtId="164" fontId="10" fillId="7" borderId="6" xfId="2" applyFont="1" applyFill="1" applyBorder="1" applyAlignment="1">
      <alignment horizontal="center" vertical="center"/>
    </xf>
    <xf numFmtId="164" fontId="12" fillId="5" borderId="0" xfId="2" applyFont="1" applyFill="1" applyBorder="1" applyAlignment="1">
      <alignment horizontal="center" vertical="center"/>
    </xf>
    <xf numFmtId="164" fontId="41" fillId="0" borderId="2" xfId="2" applyFont="1" applyFill="1" applyBorder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 vertical="center"/>
    </xf>
    <xf numFmtId="164" fontId="39" fillId="0" borderId="17" xfId="2" applyFont="1" applyFill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164" fontId="12" fillId="0" borderId="3" xfId="2" applyFont="1" applyFill="1" applyBorder="1" applyAlignment="1">
      <alignment horizontal="center" vertical="center"/>
    </xf>
    <xf numFmtId="165" fontId="12" fillId="0" borderId="3" xfId="4" applyNumberFormat="1" applyFont="1" applyFill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41" fillId="0" borderId="3" xfId="2" applyNumberFormat="1" applyFont="1" applyBorder="1" applyAlignment="1">
      <alignment horizontal="center" vertical="center"/>
    </xf>
    <xf numFmtId="1" fontId="39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" fontId="41" fillId="0" borderId="17" xfId="2" applyNumberFormat="1" applyFont="1" applyBorder="1" applyAlignment="1">
      <alignment horizontal="center" vertical="center"/>
    </xf>
    <xf numFmtId="164" fontId="41" fillId="0" borderId="0" xfId="2" applyFont="1" applyAlignment="1">
      <alignment horizontal="center" vertical="center"/>
    </xf>
    <xf numFmtId="165" fontId="41" fillId="0" borderId="0" xfId="4" applyNumberFormat="1" applyFont="1" applyAlignment="1">
      <alignment horizontal="center" vertic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44" fontId="41" fillId="0" borderId="17" xfId="39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1" fontId="41" fillId="0" borderId="3" xfId="2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/>
    </xf>
    <xf numFmtId="164" fontId="41" fillId="5" borderId="0" xfId="2" applyFont="1" applyFill="1" applyBorder="1" applyAlignment="1">
      <alignment horizontal="center"/>
    </xf>
    <xf numFmtId="1" fontId="41" fillId="0" borderId="17" xfId="2" applyNumberFormat="1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4" fontId="45" fillId="0" borderId="0" xfId="0" applyNumberFormat="1" applyFont="1" applyAlignment="1">
      <alignment horizontal="center"/>
    </xf>
    <xf numFmtId="14" fontId="46" fillId="0" borderId="0" xfId="0" applyNumberFormat="1" applyFont="1" applyAlignment="1">
      <alignment horizontal="center"/>
    </xf>
    <xf numFmtId="14" fontId="47" fillId="0" borderId="0" xfId="0" applyNumberFormat="1" applyFont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44" fontId="39" fillId="0" borderId="17" xfId="39" applyFont="1" applyFill="1" applyBorder="1" applyAlignment="1">
      <alignment horizontal="center"/>
    </xf>
    <xf numFmtId="14" fontId="48" fillId="0" borderId="0" xfId="0" applyNumberFormat="1" applyFont="1" applyAlignment="1">
      <alignment horizontal="center"/>
    </xf>
    <xf numFmtId="165" fontId="41" fillId="0" borderId="13" xfId="0" applyNumberFormat="1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4" fontId="49" fillId="0" borderId="0" xfId="0" applyNumberFormat="1" applyFont="1" applyAlignment="1">
      <alignment horizontal="center"/>
    </xf>
    <xf numFmtId="1" fontId="50" fillId="0" borderId="17" xfId="0" applyNumberFormat="1" applyFont="1" applyBorder="1" applyAlignment="1">
      <alignment horizontal="center"/>
    </xf>
    <xf numFmtId="1" fontId="50" fillId="0" borderId="3" xfId="2" applyNumberFormat="1" applyFont="1" applyBorder="1" applyAlignment="1">
      <alignment horizontal="center"/>
    </xf>
    <xf numFmtId="1" fontId="50" fillId="0" borderId="3" xfId="0" applyNumberFormat="1" applyFont="1" applyBorder="1" applyAlignment="1">
      <alignment horizontal="center"/>
    </xf>
    <xf numFmtId="1" fontId="50" fillId="0" borderId="17" xfId="2" applyNumberFormat="1" applyFont="1" applyFill="1" applyBorder="1" applyAlignment="1">
      <alignment horizontal="center"/>
    </xf>
    <xf numFmtId="0" fontId="51" fillId="0" borderId="17" xfId="0" applyFont="1" applyBorder="1" applyAlignment="1">
      <alignment horizontal="center"/>
    </xf>
    <xf numFmtId="164" fontId="52" fillId="0" borderId="17" xfId="2" applyFont="1" applyFill="1" applyBorder="1" applyAlignment="1">
      <alignment horizontal="center"/>
    </xf>
    <xf numFmtId="165" fontId="52" fillId="0" borderId="17" xfId="4" applyNumberFormat="1" applyFont="1" applyFill="1" applyBorder="1" applyAlignment="1">
      <alignment horizontal="center"/>
    </xf>
    <xf numFmtId="165" fontId="50" fillId="0" borderId="0" xfId="0" applyNumberFormat="1" applyFont="1" applyAlignment="1">
      <alignment horizontal="center"/>
    </xf>
    <xf numFmtId="1" fontId="53" fillId="0" borderId="17" xfId="0" applyNumberFormat="1" applyFont="1" applyBorder="1" applyAlignment="1">
      <alignment horizontal="center"/>
    </xf>
    <xf numFmtId="164" fontId="50" fillId="0" borderId="2" xfId="2" applyFont="1" applyFill="1" applyBorder="1" applyAlignment="1">
      <alignment horizontal="center"/>
    </xf>
    <xf numFmtId="164" fontId="50" fillId="0" borderId="0" xfId="2" applyFont="1" applyFill="1" applyBorder="1" applyAlignment="1">
      <alignment horizontal="center"/>
    </xf>
    <xf numFmtId="165" fontId="50" fillId="0" borderId="11" xfId="4" applyNumberFormat="1" applyFont="1" applyFill="1" applyBorder="1" applyAlignment="1">
      <alignment horizontal="center"/>
    </xf>
    <xf numFmtId="165" fontId="50" fillId="0" borderId="0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65" fontId="10" fillId="7" borderId="5" xfId="0" applyNumberFormat="1" applyFont="1" applyFill="1" applyBorder="1" applyAlignment="1">
      <alignment horizontal="center" vertical="center"/>
    </xf>
    <xf numFmtId="165" fontId="10" fillId="7" borderId="4" xfId="0" applyNumberFormat="1" applyFont="1" applyFill="1" applyBorder="1" applyAlignment="1">
      <alignment horizontal="center" vertical="center"/>
    </xf>
    <xf numFmtId="165" fontId="10" fillId="7" borderId="12" xfId="0" applyNumberFormat="1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/>
    </xf>
    <xf numFmtId="165" fontId="18" fillId="7" borderId="5" xfId="0" applyNumberFormat="1" applyFont="1" applyFill="1" applyBorder="1" applyAlignment="1">
      <alignment horizontal="center"/>
    </xf>
    <xf numFmtId="165" fontId="18" fillId="7" borderId="4" xfId="0" applyNumberFormat="1" applyFont="1" applyFill="1" applyBorder="1" applyAlignment="1">
      <alignment horizontal="center"/>
    </xf>
    <xf numFmtId="165" fontId="18" fillId="7" borderId="12" xfId="0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11" dataDxfId="1609" headerRowBorderDxfId="1610" tableBorderDxfId="1608" totalsRowBorderDxfId="160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06" dataCellStyle="Moeda"/>
    <tableColumn id="5" xr3:uid="{45BECD08-8ABE-4A34-BD78-E2D3AFB8C62A}" name="Cliente" dataDxfId="1605" dataCellStyle="Moeda"/>
    <tableColumn id="2" xr3:uid="{A0D6666C-9CF7-4343-AF6B-BDFE62F94469}" name="Forma de Pgto" dataDxfId="1604" dataCellStyle="Moeda"/>
    <tableColumn id="3" xr3:uid="{988F127F-9D83-4428-BB94-C16FBBB1BD89}" name="Valor Venda" dataDxfId="1603" dataCellStyle="Porcentagem"/>
    <tableColumn id="4" xr3:uid="{6A2928C3-17B0-4FA3-B60C-9E1A2C0324E1}" name="Entrada" dataDxfId="160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01" dataDxfId="1599" headerRowBorderDxfId="1600" tableBorderDxfId="1598" totalsRowBorderDxfId="1597">
  <autoFilter ref="K5:M11" xr:uid="{DD403130-B35C-452C-92F9-290622D77A3D}"/>
  <tableColumns count="3">
    <tableColumn id="1" xr3:uid="{FAD87634-3375-4B41-BEC0-5B072F6B52CE}" name="Descrição" dataDxfId="1596"/>
    <tableColumn id="2" xr3:uid="{7688071E-9548-4552-8BB1-3BA5128DF645}" name="Tipo de Pagto" dataDxfId="1595"/>
    <tableColumn id="3" xr3:uid="{2B260C33-79A5-4C5D-9195-15780C53A861}" name="Valor" dataDxfId="159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593" dataDxfId="1591" headerRowBorderDxfId="1592" tableBorderDxfId="1590" totalsRowBorderDxfId="1589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588"/>
    <tableColumn id="2" xr3:uid="{606BE417-6802-4580-90D2-86F95EFAAEB7}" name="Cliente" dataDxfId="1587"/>
    <tableColumn id="3" xr3:uid="{2F522A54-F708-4DA3-97E3-CE7C29912E04}" name="Forma de Pgto" dataDxfId="1586" dataCellStyle="Moeda"/>
    <tableColumn id="4" xr3:uid="{7B46EE64-F7F1-4449-A783-67286A94A7C4}" name="Valor Venda" dataDxfId="1585" dataCellStyle="Porcentagem"/>
    <tableColumn id="5" xr3:uid="{389A7D1A-3C35-485E-9958-8A78EF77BE9B}" name="Entrada" dataDxfId="1584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583" dataDxfId="1581" headerRowBorderDxfId="1582" tableBorderDxfId="1580" totalsRowBorderDxfId="1579">
  <autoFilter ref="K14:M31" xr:uid="{F07D43AD-1A4D-4B31-96B8-824F8623E518}"/>
  <tableColumns count="3">
    <tableColumn id="1" xr3:uid="{3AF01421-A7B6-4D23-9DA8-C20FAFAFDD9C}" name="OS" dataDxfId="1578"/>
    <tableColumn id="2" xr3:uid="{55DCC30E-EB52-427E-A16A-B2C93A41F1CE}" name="Vendedor" dataDxfId="1577"/>
    <tableColumn id="3" xr3:uid="{23EDA46C-42B4-4F6C-97D9-7040D6B9797C}" name="CARNE" dataDxfId="15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575" dataDxfId="1573" headerRowBorderDxfId="1574" tableBorderDxfId="1572" totalsRowBorderDxfId="1571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70"/>
    <tableColumn id="2" xr3:uid="{FBA6EA78-F44B-4D22-A27A-92A91C10551F}" name="Cliente" dataDxfId="1569"/>
    <tableColumn id="3" xr3:uid="{749B4D89-29B3-4987-91D3-6BA3C44D9B96}" name="Forma de Pgto" dataDxfId="1568" dataCellStyle="Moeda"/>
    <tableColumn id="4" xr3:uid="{A84A6598-B291-4809-A78D-AB810461733D}" name="Valor Parcela" dataDxfId="1567" dataCellStyle="Porcentagem"/>
    <tableColumn id="5" xr3:uid="{3C45FEEC-5E06-4ED7-87CD-0097DB6BC817}" name="Nº Parcela" dataDxfId="1566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65" dataDxfId="1563" headerRowBorderDxfId="1564" tableBorderDxfId="1562" totalsRowBorderDxfId="1561">
  <autoFilter ref="K34:M41" xr:uid="{42BA126A-AECD-4CD6-8583-BD2352D82FB9}"/>
  <tableColumns count="3">
    <tableColumn id="1" xr3:uid="{0989D88A-7CB7-4008-94FC-B7FFB3CAE582}" name="OS" dataDxfId="1560"/>
    <tableColumn id="2" xr3:uid="{AC9D76CC-A537-4210-9893-E8C57DA30B4D}" name="Parcelas" dataDxfId="1559"/>
    <tableColumn id="3" xr3:uid="{D4D72E6E-DAE0-4860-8606-BFD8E469AE3D}" name="Valor Total" dataDxfId="15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65" dataDxfId="1663" headerRowBorderDxfId="1664" tableBorderDxfId="1662" totalsRowBorderDxfId="16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60" dataCellStyle="Moeda"/>
    <tableColumn id="5" xr3:uid="{62DCD49D-7CD9-4268-A2D5-B3A594E461BB}" name="Cliente" dataDxfId="1659" dataCellStyle="Moeda"/>
    <tableColumn id="2" xr3:uid="{50D45495-B1A2-4885-996A-3E6DD92E280E}" name="Forma de Pgto" dataDxfId="1658" dataCellStyle="Moeda"/>
    <tableColumn id="3" xr3:uid="{DE57E226-692B-42B0-911E-ACCF59BC6D86}" name="Valor Venda" dataDxfId="1657" dataCellStyle="Porcentagem"/>
    <tableColumn id="4" xr3:uid="{CE230B3B-D2C9-4A92-A5F3-A5EE4A74409A}" name="Entrada" dataDxfId="1656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55" dataDxfId="1653" headerRowBorderDxfId="1654" tableBorderDxfId="1652" totalsRowBorderDxfId="1651">
  <autoFilter ref="K5:M11" xr:uid="{00000000-0009-0000-0100-000015000000}"/>
  <tableColumns count="3">
    <tableColumn id="1" xr3:uid="{58E2E66D-9AC0-4A69-BF19-1AB9AD59BA2F}" name="Descrição" dataDxfId="1650"/>
    <tableColumn id="2" xr3:uid="{FE1E3124-46C3-49A6-AE83-7C14B341DF59}" name="Tipo de Pagto" dataDxfId="1649"/>
    <tableColumn id="3" xr3:uid="{D8FBF474-04EE-46ED-9B9E-791D937CF715}" name="Valor" dataDxfId="16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47" dataDxfId="1645" headerRowBorderDxfId="1646" tableBorderDxfId="1644" totalsRowBorderDxfId="16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642"/>
    <tableColumn id="2" xr3:uid="{595EF087-A3B2-4C2B-AEEA-F930A6C2F5F4}" name="Cliente" dataDxfId="1641"/>
    <tableColumn id="3" xr3:uid="{C5C2BC75-6E8D-4808-A5EE-A5F9251ECE6C}" name="Forma de Pgto" dataDxfId="1640" dataCellStyle="Moeda"/>
    <tableColumn id="4" xr3:uid="{20CF776B-B9F4-48DD-9379-961689B40B71}" name="Valor Venda" dataDxfId="1639" dataCellStyle="Porcentagem"/>
    <tableColumn id="5" xr3:uid="{65177CB6-6D07-42E6-8EFE-435282A2F5BA}" name="Entrada" dataDxfId="1638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637" dataDxfId="1635" headerRowBorderDxfId="1636" tableBorderDxfId="1634" totalsRowBorderDxfId="16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632"/>
    <tableColumn id="2" xr3:uid="{D1AEFC99-FF9D-4A0D-BE93-D866BDC7A817}" name="Vendedor" dataDxfId="1631"/>
    <tableColumn id="3" xr3:uid="{CA30546E-8A3F-45D5-BE2B-24DCF738F1F2}" name="CARNE" dataDxfId="163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629" dataDxfId="1627" headerRowBorderDxfId="1628" tableBorderDxfId="1626" totalsRowBorderDxfId="16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624"/>
    <tableColumn id="2" xr3:uid="{7D38F106-0145-4B73-951B-86BF22EC7FAB}" name="Cliente" dataDxfId="1623"/>
    <tableColumn id="3" xr3:uid="{11A4EEBE-D35C-4719-B2B9-16486260EF79}" name="Forma de Pgto" dataDxfId="1622" dataCellStyle="Moeda"/>
    <tableColumn id="4" xr3:uid="{1BAB2FC5-9F2C-41DD-994A-6BA83A984883}" name="Valor Parcela" dataDxfId="1621" dataCellStyle="Porcentagem"/>
    <tableColumn id="5" xr3:uid="{8C539F89-5F96-4DB9-B7A4-784EA1B5350C}" name="Nº Parcela" dataDxfId="1620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619" dataDxfId="1617" headerRowBorderDxfId="1618" tableBorderDxfId="1616" totalsRowBorderDxfId="1615">
  <autoFilter ref="K34:M41" xr:uid="{1B8643D4-6AC3-4029-882A-C62E9D7CB225}"/>
  <tableColumns count="3">
    <tableColumn id="1" xr3:uid="{0B93901B-D681-410F-8B28-E186D9A3CAC3}" name="OS" dataDxfId="1614"/>
    <tableColumn id="2" xr3:uid="{A57C0E02-6258-48F0-9407-2095CD96B2D4}" name="Parcelas" dataDxfId="1613"/>
    <tableColumn id="3" xr3:uid="{1EA087CF-658D-4951-89BB-508667E3BBBE}" name="Valor Total" dataDxfId="161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03" dataDxfId="1501" headerRowBorderDxfId="1502" tableBorderDxfId="1500" totalsRowBorderDxfId="14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98" dataCellStyle="Moeda"/>
    <tableColumn id="5" xr3:uid="{98DC42E5-632F-4288-9CC5-1F032859A7E7}" name="Cliente" dataDxfId="1497" dataCellStyle="Moeda"/>
    <tableColumn id="2" xr3:uid="{4AE32B81-9EBD-470B-9ABE-A82D6658F3FE}" name="Forma de Pgto" dataDxfId="1496" dataCellStyle="Moeda"/>
    <tableColumn id="3" xr3:uid="{6E5BAEC1-2689-4ABB-93EC-298595B5C82E}" name="Valor Venda" dataDxfId="1495" dataCellStyle="Porcentagem"/>
    <tableColumn id="4" xr3:uid="{24493E7B-FE77-4A85-8810-0F0A4A84D997}" name="Entrada" dataDxfId="1494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93" dataDxfId="1491" headerRowBorderDxfId="1492" tableBorderDxfId="1490" totalsRowBorderDxfId="1489">
  <autoFilter ref="K5:M11" xr:uid="{00000000-0009-0000-0100-000015000000}"/>
  <tableColumns count="3">
    <tableColumn id="1" xr3:uid="{DA50BBFB-ECA9-45DE-9949-F3F90EEC3BA7}" name="Descrição" dataDxfId="1488"/>
    <tableColumn id="2" xr3:uid="{A64D4F88-B62D-440B-BA71-6D7BB28D542E}" name="Tipo de Pagto" dataDxfId="1487"/>
    <tableColumn id="3" xr3:uid="{0406A209-0652-47F9-9AB4-3256B26876D2}" name="Valor" dataDxfId="148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85" dataDxfId="1483" headerRowBorderDxfId="1484" tableBorderDxfId="1482" totalsRowBorderDxfId="14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80"/>
    <tableColumn id="2" xr3:uid="{8B8D24E4-1123-478B-838C-FCF56EABBDFD}" name="Cliente" dataDxfId="1479"/>
    <tableColumn id="3" xr3:uid="{8B7DE8DF-8D5D-4245-A63D-EF550AE347E3}" name="Forma de Pgto" dataDxfId="1478" dataCellStyle="Moeda"/>
    <tableColumn id="4" xr3:uid="{95A77C0C-49D0-45A2-8B99-A765C4741CE7}" name="Valor Venda" dataDxfId="1477" dataCellStyle="Porcentagem"/>
    <tableColumn id="5" xr3:uid="{FF4FDD32-DA70-4723-A8FB-07B3FB04B5CD}" name="Entrada" dataDxfId="1476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75" dataDxfId="1473" headerRowBorderDxfId="1474" tableBorderDxfId="1472" totalsRowBorderDxfId="1471">
  <autoFilter ref="K14:M31" xr:uid="{C83FE64B-E221-4DAA-89EA-5307A7BC98B3}"/>
  <tableColumns count="3">
    <tableColumn id="1" xr3:uid="{A31E67F7-E266-4220-8D3F-09556FCE20B1}" name="OS" dataDxfId="1470"/>
    <tableColumn id="2" xr3:uid="{2ED39269-8DA5-4157-9E82-8C8ED0C828A3}" name="Vendedor" dataDxfId="1469"/>
    <tableColumn id="3" xr3:uid="{F550B35D-6F70-4E2E-9037-3A7DF5BB4D86}" name="CARNE" dataDxfId="146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67" dataDxfId="1465" headerRowBorderDxfId="1466" tableBorderDxfId="1464" totalsRowBorderDxfId="14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62"/>
    <tableColumn id="2" xr3:uid="{58D563AD-1DCA-4768-9170-A0079A20A1DF}" name="Cliente" dataDxfId="1461"/>
    <tableColumn id="3" xr3:uid="{FE883FCE-942C-4DE5-904D-B12FE6C4992D}" name="Forma de Pgto" dataDxfId="1460" dataCellStyle="Moeda"/>
    <tableColumn id="4" xr3:uid="{21451B08-4DF0-4C35-AC45-94C183AA6A59}" name="Valor Parcela" dataDxfId="1459" dataCellStyle="Porcentagem"/>
    <tableColumn id="5" xr3:uid="{8F93C3AE-47D0-4E55-A038-445341804CE9}" name="Nº Parcela" dataDxfId="1458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57" headerRowBorderDxfId="1456" tableBorderDxfId="1455" totalsRowBorderDxfId="1454">
  <autoFilter ref="K34:M41" xr:uid="{1B8643D4-6AC3-4029-882A-C62E9D7CB225}"/>
  <tableColumns count="3">
    <tableColumn id="1" xr3:uid="{2687574F-C0F9-4AD1-A54B-286C1AE50D97}" name="OS" dataDxfId="1453"/>
    <tableColumn id="2" xr3:uid="{AE623FF4-38C1-45D9-B220-1CD4A553B7C1}" name="Parcelas" dataDxfId="1452"/>
    <tableColumn id="3" xr3:uid="{EEBFC521-3084-43FF-A36B-C25CE198B817}" name="Valor Total" dataDxfId="145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57" dataDxfId="1555" headerRowBorderDxfId="1556" tableBorderDxfId="1554" totalsRowBorderDxfId="15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52" dataCellStyle="Moeda"/>
    <tableColumn id="5" xr3:uid="{F5DA840E-A051-4AE4-AE1A-9DAFAF8FFC3B}" name="Cliente" dataDxfId="1551" dataCellStyle="Moeda"/>
    <tableColumn id="2" xr3:uid="{DF65CD3D-444A-4025-B98B-F38F11610432}" name="Forma de Pgto" dataDxfId="1550" dataCellStyle="Moeda"/>
    <tableColumn id="3" xr3:uid="{9A4839DC-9153-466A-B0AF-456FAEF79174}" name="Valor Venda" dataDxfId="1549" dataCellStyle="Porcentagem"/>
    <tableColumn id="4" xr3:uid="{EF410A7C-DBD1-4367-A43B-616826FFEB4F}" name="Entrada" dataDxfId="1548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47" dataDxfId="1545" headerRowBorderDxfId="1546" tableBorderDxfId="1544" totalsRowBorderDxfId="1543">
  <autoFilter ref="K5:M11" xr:uid="{00000000-0009-0000-0100-000015000000}"/>
  <tableColumns count="3">
    <tableColumn id="1" xr3:uid="{F1C90853-2F5A-4C32-8AC3-18ECE1FDDF43}" name="Descrição" dataDxfId="1542"/>
    <tableColumn id="2" xr3:uid="{DEB32F17-2D52-4FBB-90C4-1C3AE9C104E6}" name="Tipo de Pagto" dataDxfId="1541"/>
    <tableColumn id="3" xr3:uid="{089B3650-C090-496F-BF9A-6E8466DBF76A}" name="Valor" dataDxfId="154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539" dataDxfId="1537" headerRowBorderDxfId="1538" tableBorderDxfId="1536" totalsRowBorderDxfId="15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534"/>
    <tableColumn id="2" xr3:uid="{73AEC7DD-005C-4428-9D1D-1A3761F2192B}" name="Cliente" dataDxfId="1533"/>
    <tableColumn id="3" xr3:uid="{FA28017F-3137-49BD-B826-2E261901E543}" name="Forma de Pgto" dataDxfId="1532" dataCellStyle="Moeda"/>
    <tableColumn id="4" xr3:uid="{6030418B-B1EC-4D4D-96DF-0EB78B87F6F9}" name="Valor Venda" dataDxfId="1531" dataCellStyle="Porcentagem"/>
    <tableColumn id="5" xr3:uid="{0576A975-F40D-4463-85C0-76AB6FCD63AC}" name="Entrada" dataDxfId="1530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529" dataDxfId="1527" headerRowBorderDxfId="1528" tableBorderDxfId="1526" totalsRowBorderDxfId="1525">
  <autoFilter ref="K14:M31" xr:uid="{C83FE64B-E221-4DAA-89EA-5307A7BC98B3}"/>
  <tableColumns count="3">
    <tableColumn id="1" xr3:uid="{830E23BA-DE90-49EF-B4EA-89C3276575B2}" name="OS" dataDxfId="1524"/>
    <tableColumn id="2" xr3:uid="{679AF5A0-4545-4316-AD6C-E4B7A7BA099A}" name="Vendedor" dataDxfId="1523"/>
    <tableColumn id="3" xr3:uid="{6B801D58-D05B-4A78-A6FE-BC9EF408DC10}" name="CARNE" dataDxfId="152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521" dataDxfId="1519" headerRowBorderDxfId="1520" tableBorderDxfId="1518" totalsRowBorderDxfId="15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516"/>
    <tableColumn id="2" xr3:uid="{953837B7-D16A-40C2-9C83-CD7E7171C88F}" name="Cliente" dataDxfId="1515"/>
    <tableColumn id="3" xr3:uid="{63860264-C651-4A12-8F01-E9F622A843C0}" name="Forma de Pgto" dataDxfId="1514" dataCellStyle="Moeda"/>
    <tableColumn id="4" xr3:uid="{584373BD-23BA-4A1E-A4FC-3D4A594F4148}" name="Valor Parcela" dataDxfId="1513" dataCellStyle="Porcentagem"/>
    <tableColumn id="5" xr3:uid="{7CBAF04B-D82E-4180-A8EA-98461BE41F4A}" name="Nº Parcela" dataDxfId="1512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511" dataDxfId="1509" headerRowBorderDxfId="1510" tableBorderDxfId="1508" totalsRowBorderDxfId="1507">
  <autoFilter ref="K34:M41" xr:uid="{1B8643D4-6AC3-4029-882A-C62E9D7CB225}"/>
  <tableColumns count="3">
    <tableColumn id="1" xr3:uid="{F555359C-BC20-4C24-A948-500BDD3B5763}" name="OS" dataDxfId="1506"/>
    <tableColumn id="2" xr3:uid="{B72B4820-B8B5-4F80-83B5-9EC54EF78025}" name="Parcelas" dataDxfId="1505"/>
    <tableColumn id="3" xr3:uid="{893DDBC4-5663-4D63-80CB-4E7482811983}" name="Valor Total" dataDxfId="150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0" dataDxfId="1448" headerRowBorderDxfId="1449" tableBorderDxfId="1447" totalsRowBorderDxfId="14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45" dataCellStyle="Moeda"/>
    <tableColumn id="5" xr3:uid="{4F9ED826-A0E1-4FB0-83C6-A561EA7B6750}" name="Cliente" dataDxfId="1444" dataCellStyle="Moeda"/>
    <tableColumn id="2" xr3:uid="{C2B928FE-CB2E-4271-AE3D-2FE26117248E}" name="Forma de Pgto" dataDxfId="1443" dataCellStyle="Moeda"/>
    <tableColumn id="3" xr3:uid="{CE23E3D0-4056-4DCB-83C4-5B94BD49CAAC}" name="Valor Venda" dataDxfId="1442" dataCellStyle="Porcentagem"/>
    <tableColumn id="4" xr3:uid="{1F426340-BFB9-4B9E-B988-7A195156D2F2}" name="Entrada" dataDxfId="1441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0" dataDxfId="1438" headerRowBorderDxfId="1439" tableBorderDxfId="1437" totalsRowBorderDxfId="1436">
  <autoFilter ref="K5:M11" xr:uid="{00000000-0009-0000-0100-000015000000}"/>
  <tableColumns count="3">
    <tableColumn id="1" xr3:uid="{F4C840DC-E06E-4A51-B1BF-E769E4EC9ACB}" name="Descrição" dataDxfId="1435"/>
    <tableColumn id="2" xr3:uid="{E6DE1F07-CE97-421A-A22A-4B4270DDF46D}" name="Tipo de Pagto" dataDxfId="1434"/>
    <tableColumn id="3" xr3:uid="{D84FBA92-07C5-41FD-BBA2-2AADF245D1D6}" name="Valor" dataDxfId="143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2" dataDxfId="1430" headerRowBorderDxfId="1431" tableBorderDxfId="1429" totalsRowBorderDxfId="14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27"/>
    <tableColumn id="2" xr3:uid="{CD77FB12-1DAA-4DAF-B42A-0357959803DD}" name="Cliente" dataDxfId="1426"/>
    <tableColumn id="3" xr3:uid="{5F4C4F5C-C920-452A-B2BA-592AD2C18723}" name="Forma de Pgto" dataDxfId="1425" dataCellStyle="Moeda"/>
    <tableColumn id="4" xr3:uid="{3930B2F0-6049-4E02-92B1-EC55A5330B2C}" name="Valor Venda" dataDxfId="1424" dataCellStyle="Porcentagem"/>
    <tableColumn id="5" xr3:uid="{82EBAE08-64CA-459E-9015-FA8F61210D87}" name="Entrada" dataDxfId="1423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2" dataDxfId="1420" headerRowBorderDxfId="1421" tableBorderDxfId="1419" totalsRowBorderDxfId="1418">
  <autoFilter ref="K14:M31" xr:uid="{C83FE64B-E221-4DAA-89EA-5307A7BC98B3}"/>
  <tableColumns count="3">
    <tableColumn id="1" xr3:uid="{E0565617-EB8C-486F-838C-B370E84BC8A2}" name="OS" dataDxfId="1417"/>
    <tableColumn id="2" xr3:uid="{EA20833B-67D8-48B8-B6E4-54A10D0969E8}" name="Vendedor" dataDxfId="1416"/>
    <tableColumn id="3" xr3:uid="{8B1F8993-74A4-499F-AD5E-91A6051BA219}" name="CARNE" dataDxfId="141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4" dataDxfId="1412" headerRowBorderDxfId="1413" tableBorderDxfId="1411" totalsRowBorderDxfId="14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09"/>
    <tableColumn id="2" xr3:uid="{FB461660-91D6-4E31-81FF-113A17320EED}" name="Cliente" dataDxfId="1408"/>
    <tableColumn id="3" xr3:uid="{0A47D0C3-375B-4E2D-B5E9-2048252BC0D3}" name="Forma de Pgto" dataDxfId="1407" dataCellStyle="Moeda"/>
    <tableColumn id="4" xr3:uid="{F9C62ED5-C18D-465D-B7E4-0729BD7B3A10}" name="Valor Parcela" dataDxfId="1406" dataCellStyle="Porcentagem"/>
    <tableColumn id="5" xr3:uid="{DD9D513B-1645-445F-83E9-DC54C163BD4E}" name="Nº Parcela" dataDxfId="1405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4" dataDxfId="1402" headerRowBorderDxfId="1403" tableBorderDxfId="1401" totalsRowBorderDxfId="1400">
  <autoFilter ref="K34:M41" xr:uid="{1B8643D4-6AC3-4029-882A-C62E9D7CB225}"/>
  <tableColumns count="3">
    <tableColumn id="1" xr3:uid="{D65B195F-C059-40E5-A4CA-FE91C5DB43DB}" name="OS" dataDxfId="1399"/>
    <tableColumn id="2" xr3:uid="{A2A023CF-C61D-419E-ABB0-2F9CEE35150B}" name="Parcelas" dataDxfId="1398"/>
    <tableColumn id="3" xr3:uid="{F7D650A1-7C3D-42D0-B133-EB49D396C64F}" name="Valor Total" dataDxfId="139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96" dataDxfId="1394" headerRowBorderDxfId="1395" tableBorderDxfId="1393" totalsRowBorderDxfId="13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1" dataCellStyle="Moeda"/>
    <tableColumn id="5" xr3:uid="{FF96847D-D5C5-4F73-905C-E549112972E1}" name="Cliente" dataDxfId="1390" dataCellStyle="Moeda"/>
    <tableColumn id="2" xr3:uid="{1B47815A-C2E2-4886-9A6F-B2A7307F901E}" name="Forma de Pgto" dataDxfId="1389" dataCellStyle="Moeda"/>
    <tableColumn id="3" xr3:uid="{FD86C99A-4E69-452A-8D71-B939B84F2B55}" name="Valor Venda" dataDxfId="1388" dataCellStyle="Porcentagem"/>
    <tableColumn id="4" xr3:uid="{49ECBAAC-14EE-43F3-BE6F-974EF5F3E156}" name="Entrada" dataDxfId="1387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86" dataDxfId="1384" headerRowBorderDxfId="1385" tableBorderDxfId="1383" totalsRowBorderDxfId="1382">
  <autoFilter ref="K5:M11" xr:uid="{00000000-0009-0000-0100-000015000000}"/>
  <tableColumns count="3">
    <tableColumn id="1" xr3:uid="{5236D397-E61A-4AA1-B99C-AD40093239F9}" name="Descrição" dataDxfId="1381"/>
    <tableColumn id="2" xr3:uid="{3341FC2A-819A-41AF-B8A9-B5A195B8D597}" name="Tipo de Pagto" dataDxfId="1380"/>
    <tableColumn id="3" xr3:uid="{D568CA16-B32B-4F86-9DE5-B8B3E9825745}" name="Valor" dataDxfId="137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78" dataDxfId="1376" headerRowBorderDxfId="1377" tableBorderDxfId="1375" totalsRowBorderDxfId="13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3"/>
    <tableColumn id="2" xr3:uid="{DEEB020C-2BC4-4E77-9557-B0FDBCF683E9}" name="Cliente" dataDxfId="1372"/>
    <tableColumn id="3" xr3:uid="{FC27FDBE-5194-4E32-AFD1-DB754ECCEF38}" name="Forma de Pgto" dataDxfId="1371" dataCellStyle="Moeda"/>
    <tableColumn id="4" xr3:uid="{489A4CE9-C3F1-4322-9639-D01F0935FB0E}" name="Valor Venda" dataDxfId="1370" dataCellStyle="Porcentagem"/>
    <tableColumn id="5" xr3:uid="{07E5F22F-7782-466E-98DB-48416B35B9C4}" name="Entrada" dataDxfId="1369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68" dataDxfId="1366" headerRowBorderDxfId="1367" tableBorderDxfId="1365" totalsRowBorderDxfId="1364">
  <autoFilter ref="K14:M31" xr:uid="{C83FE64B-E221-4DAA-89EA-5307A7BC98B3}"/>
  <tableColumns count="3">
    <tableColumn id="1" xr3:uid="{E4926A1A-00A9-4844-90B1-E36D53050FAD}" name="OS" dataDxfId="1363"/>
    <tableColumn id="2" xr3:uid="{CFC62C38-9887-48E6-A3B8-42586D1EC066}" name="Vendedor" dataDxfId="1362"/>
    <tableColumn id="3" xr3:uid="{32577275-2002-496E-8AD4-5FE489DBC179}" name="CARNE" dataDxfId="136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0" dataDxfId="1358" headerRowBorderDxfId="1359" tableBorderDxfId="1357" totalsRowBorderDxfId="13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55"/>
    <tableColumn id="2" xr3:uid="{19438CD0-86D0-4CC4-9B41-5D756AC61E4D}" name="Cliente" dataDxfId="1354"/>
    <tableColumn id="3" xr3:uid="{59621200-4821-4583-9D35-A2EA6C27B52D}" name="Forma de Pgto" dataDxfId="1353" dataCellStyle="Moeda"/>
    <tableColumn id="4" xr3:uid="{35A817E7-6B21-48A7-863E-225DFEDD8B2A}" name="Valor Parcela" dataDxfId="1352" dataCellStyle="Porcentagem"/>
    <tableColumn id="5" xr3:uid="{77D80430-C5F8-4582-B3DF-9A9A9350F565}" name="Nº Parcela" dataDxfId="1351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0" dataDxfId="1348" headerRowBorderDxfId="1349" tableBorderDxfId="1347" totalsRowBorderDxfId="1346">
  <autoFilter ref="K34:M41" xr:uid="{1B8643D4-6AC3-4029-882A-C62E9D7CB225}"/>
  <tableColumns count="3">
    <tableColumn id="1" xr3:uid="{503F9F70-E540-4505-B65D-D233FCB88D5F}" name="OS" dataDxfId="1345"/>
    <tableColumn id="2" xr3:uid="{6A2B4927-D830-4C18-8831-6FE23BFAD877}" name="Parcelas" dataDxfId="1344"/>
    <tableColumn id="3" xr3:uid="{8E06E94A-FF62-4D13-8B11-C6CE2990FCDF}" name="Valor Total" dataDxfId="1343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2" dataDxfId="1340" headerRowBorderDxfId="1341" tableBorderDxfId="1339" totalsRowBorderDxfId="133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37" dataCellStyle="Moeda"/>
    <tableColumn id="5" xr3:uid="{00000000-0010-0000-0900-000005000000}" name="Cliente" dataDxfId="1336" dataCellStyle="Moeda"/>
    <tableColumn id="2" xr3:uid="{00000000-0010-0000-0900-000002000000}" name="Forma de Pgto" dataDxfId="1335" dataCellStyle="Moeda"/>
    <tableColumn id="3" xr3:uid="{00000000-0010-0000-0900-000003000000}" name="Valor Venda" dataDxfId="1334" dataCellStyle="Porcentagem"/>
    <tableColumn id="4" xr3:uid="{00000000-0010-0000-0900-000004000000}" name="Entrada" dataDxfId="1333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2" dataDxfId="1330" headerRowBorderDxfId="1331" tableBorderDxfId="1329" totalsRowBorderDxfId="1328">
  <autoFilter ref="K5:M11" xr:uid="{00000000-0009-0000-0100-000015000000}"/>
  <tableColumns count="3">
    <tableColumn id="1" xr3:uid="{00000000-0010-0000-0A00-000001000000}" name="Descrição" dataDxfId="1327"/>
    <tableColumn id="2" xr3:uid="{00000000-0010-0000-0A00-000002000000}" name="Tipo de Pagto" dataDxfId="1326"/>
    <tableColumn id="3" xr3:uid="{00000000-0010-0000-0A00-000003000000}" name="Valor" dataDxfId="1325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24" dataDxfId="1322" headerRowBorderDxfId="1323" tableBorderDxfId="1321" totalsRowBorderDxfId="132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19"/>
    <tableColumn id="2" xr3:uid="{00000000-0010-0000-0B00-000002000000}" name="Cliente" dataDxfId="1318"/>
    <tableColumn id="3" xr3:uid="{00000000-0010-0000-0B00-000003000000}" name="Forma de Pgto" dataDxfId="1317" dataCellStyle="Moeda"/>
    <tableColumn id="4" xr3:uid="{00000000-0010-0000-0B00-000004000000}" name="Valor Venda" dataDxfId="1316" dataCellStyle="Porcentagem"/>
    <tableColumn id="5" xr3:uid="{00000000-0010-0000-0B00-000005000000}" name="Entrada" dataDxfId="1315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14" dataDxfId="1312" headerRowBorderDxfId="1313" tableBorderDxfId="1311" totalsRowBorderDxfId="1310">
  <autoFilter ref="K14:M31" xr:uid="{C83FE64B-E221-4DAA-89EA-5307A7BC98B3}"/>
  <tableColumns count="3">
    <tableColumn id="1" xr3:uid="{E5EB8AC8-7F8E-49D1-A903-14124A5BA1B1}" name="OS" dataDxfId="1309"/>
    <tableColumn id="2" xr3:uid="{E1794679-294A-42ED-9D8F-4C0874170BFA}" name="Vendedor" dataDxfId="1308"/>
    <tableColumn id="3" xr3:uid="{CB411C23-941D-4548-984D-68460932D683}" name="CARNE" dataDxfId="130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06" dataDxfId="1304" headerRowBorderDxfId="1305" tableBorderDxfId="1303" totalsRowBorderDxfId="130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1"/>
    <tableColumn id="2" xr3:uid="{430FE27E-32BC-43B0-BB6E-CCBAB36B2A5A}" name="Cliente" dataDxfId="1300"/>
    <tableColumn id="3" xr3:uid="{568CECCF-BE0A-4266-A7C7-9359F722EA0F}" name="Forma de Pgto" dataDxfId="1299" dataCellStyle="Moeda"/>
    <tableColumn id="4" xr3:uid="{9CF4291A-8808-43DB-9F83-A7EB463C5F4A}" name="Valor Parcela" dataDxfId="1298" dataCellStyle="Porcentagem"/>
    <tableColumn id="5" xr3:uid="{736EA743-97FA-4800-BEDD-5C07EEB144A8}" name="Nº Parcela" dataDxfId="1297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96" dataDxfId="1294" headerRowBorderDxfId="1295" tableBorderDxfId="1293" totalsRowBorderDxfId="1292">
  <autoFilter ref="K34:M41" xr:uid="{1B8643D4-6AC3-4029-882A-C62E9D7CB225}"/>
  <tableColumns count="3">
    <tableColumn id="1" xr3:uid="{132FEC50-51B3-4AAA-BF48-63FA39ED861C}" name="OS" dataDxfId="1291"/>
    <tableColumn id="2" xr3:uid="{11276640-1C63-48D7-BE0B-1FE7C736A1A8}" name="Parcelas" dataDxfId="1290"/>
    <tableColumn id="3" xr3:uid="{96591591-9F74-40A6-B0B9-BA6D2106107F}" name="Valor Total" dataDxfId="128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88" dataDxfId="1286" headerRowBorderDxfId="1287" tableBorderDxfId="1285" totalsRowBorderDxfId="128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83" dataCellStyle="Moeda"/>
    <tableColumn id="5" xr3:uid="{795F9F6D-AAE5-4C61-A646-82BF506C503E}" name="Cliente" dataDxfId="1282" dataCellStyle="Moeda"/>
    <tableColumn id="2" xr3:uid="{DD13626B-6361-410E-BFB7-9E75436163A4}" name="Forma de Pgto" dataDxfId="1281" dataCellStyle="Moeda"/>
    <tableColumn id="3" xr3:uid="{8939280F-F6DC-4F66-ADDF-59F6A387460C}" name="Valor Venda" dataDxfId="1280" dataCellStyle="Porcentagem"/>
    <tableColumn id="4" xr3:uid="{FFC83B9E-825A-4058-BFEA-DA64D7159065}" name="Entrada" dataDxfId="1279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78" dataDxfId="1276" headerRowBorderDxfId="1277" tableBorderDxfId="1275" totalsRowBorderDxfId="1274">
  <autoFilter ref="K5:M11" xr:uid="{00000000-0009-0000-0100-000015000000}"/>
  <tableColumns count="3">
    <tableColumn id="1" xr3:uid="{9309A091-2326-4B68-B8C9-B31CF2D72EAF}" name="Descrição" dataDxfId="1273"/>
    <tableColumn id="2" xr3:uid="{910D89CE-506B-440F-8EB2-31633D7CAD51}" name="Tipo de Pagto" dataDxfId="1272"/>
    <tableColumn id="3" xr3:uid="{7155C391-52F1-4F4A-84B1-7BBC44A35A99}" name="Valor" dataDxfId="127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0" dataDxfId="1268" headerRowBorderDxfId="1269" tableBorderDxfId="1267" totalsRowBorderDxfId="126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65"/>
    <tableColumn id="2" xr3:uid="{75B601B3-9668-4B1A-ADF2-17DA487A3413}" name="Cliente" dataDxfId="1264"/>
    <tableColumn id="3" xr3:uid="{64F47935-52AF-4AE3-9262-06D7472567D7}" name="Forma de Pgto" dataDxfId="1263" dataCellStyle="Moeda"/>
    <tableColumn id="4" xr3:uid="{9257AA0D-34DE-4B38-8406-BC1F561A53B3}" name="Valor Venda" dataDxfId="1262" dataCellStyle="Porcentagem"/>
    <tableColumn id="5" xr3:uid="{4C98958F-FB27-4968-81B6-D7CC6BBD2DAE}" name="Entrada" dataDxfId="1261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0" dataDxfId="1258" headerRowBorderDxfId="1259" tableBorderDxfId="1257" totalsRowBorderDxfId="125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55"/>
    <tableColumn id="2" xr3:uid="{AEB024E2-EB15-40A6-B65B-468339937BD0}" name="Vendedor" dataDxfId="1254"/>
    <tableColumn id="3" xr3:uid="{ACDDDA2A-4116-4E25-B799-0071372A8FAA}" name="CARNE" dataDxfId="1253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2" dataDxfId="1250" headerRowBorderDxfId="1251" tableBorderDxfId="1249" totalsRowBorderDxfId="1248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47"/>
    <tableColumn id="2" xr3:uid="{A06C5B3A-A28C-4563-87C4-B63635D6E7B9}" name="Cliente" dataDxfId="1246"/>
    <tableColumn id="3" xr3:uid="{4AC120F2-6F4A-41F2-87D2-680E8D6F8D96}" name="Forma de Pgto" dataDxfId="1245" dataCellStyle="Moeda"/>
    <tableColumn id="4" xr3:uid="{17DB2EA9-C13D-4AEB-AB97-B4C907D16420}" name="Valor Parcela" dataDxfId="1244" dataCellStyle="Porcentagem"/>
    <tableColumn id="5" xr3:uid="{F6E09F06-2F23-4822-A9B4-D8898604A1E0}" name="Nº Parcela" dataDxfId="1243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2" dataDxfId="1240" headerRowBorderDxfId="1241" tableBorderDxfId="1239" totalsRowBorderDxfId="1238">
  <autoFilter ref="K34:M41" xr:uid="{1B8643D4-6AC3-4029-882A-C62E9D7CB225}"/>
  <tableColumns count="3">
    <tableColumn id="1" xr3:uid="{D0DE8F47-9BDA-4E4F-92E6-E2404F920F1B}" name="OS" dataDxfId="1237"/>
    <tableColumn id="2" xr3:uid="{43AD47D8-F738-4D39-8B0B-E0AC217D9D32}" name="Parcelas" dataDxfId="1236"/>
    <tableColumn id="3" xr3:uid="{024ED2FF-C4EC-44DC-9129-9BE8032DC4A5}" name="Valor Total" dataDxfId="1235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34" dataDxfId="1232" headerRowBorderDxfId="1233" tableBorderDxfId="1231" totalsRowBorderDxfId="123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29" dataCellStyle="Moeda"/>
    <tableColumn id="5" xr3:uid="{C13AA79A-76C7-4954-B055-3EC7A6A9008A}" name="Cliente" dataDxfId="1228" dataCellStyle="Moeda"/>
    <tableColumn id="2" xr3:uid="{56D92948-0431-4E11-AC7A-A6D6B6D3D15E}" name="Forma de Pgto" dataDxfId="1227" dataCellStyle="Moeda"/>
    <tableColumn id="3" xr3:uid="{3348DA9C-6AA9-49E4-8450-E8BC22BC5F6C}" name="Valor Venda" dataDxfId="1226" dataCellStyle="Porcentagem"/>
    <tableColumn id="4" xr3:uid="{A03B4BE2-2B4F-4512-98ED-45C3754F4D2A}" name="Entrada" dataDxfId="1225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24" dataDxfId="1222" headerRowBorderDxfId="1223" tableBorderDxfId="1221" totalsRowBorderDxfId="1220">
  <autoFilter ref="K5:M11" xr:uid="{00000000-0009-0000-0100-000015000000}"/>
  <tableColumns count="3">
    <tableColumn id="1" xr3:uid="{2700D0CD-8906-41BB-B51F-AAECD67A05FE}" name="Descrição" dataDxfId="1219"/>
    <tableColumn id="2" xr3:uid="{00E5FAC2-C7E2-44A6-AA64-460782F41E47}" name="Tipo de Pagto" dataDxfId="1218"/>
    <tableColumn id="3" xr3:uid="{70D30678-03EC-4DC1-BB28-EBD756D1976D}" name="Valor" dataDxfId="1217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16" dataDxfId="1214" headerRowBorderDxfId="1215" tableBorderDxfId="1213" totalsRowBorderDxfId="121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1"/>
    <tableColumn id="2" xr3:uid="{59310BF7-C6CA-49AF-8D7C-32023868A553}" name="Cliente" dataDxfId="1210"/>
    <tableColumn id="3" xr3:uid="{C13BE163-BA03-41E0-A121-27164C58ABA3}" name="Forma de Pgto" dataDxfId="1209" dataCellStyle="Moeda"/>
    <tableColumn id="4" xr3:uid="{E9797482-8A01-4C8B-8B66-47DE3D38D78F}" name="Valor Venda" dataDxfId="1208" dataCellStyle="Porcentagem"/>
    <tableColumn id="5" xr3:uid="{864D3F67-D199-48BA-8E16-3EFBAC4AF8A2}" name="Entrada" dataDxfId="1207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06" dataDxfId="1204" headerRowBorderDxfId="1205" tableBorderDxfId="1203" totalsRowBorderDxfId="1202">
  <autoFilter ref="K14:M31" xr:uid="{C83FE64B-E221-4DAA-89EA-5307A7BC98B3}"/>
  <tableColumns count="3">
    <tableColumn id="1" xr3:uid="{92200504-6651-4517-B155-4C75687BBC1E}" name="OS" dataDxfId="1201"/>
    <tableColumn id="2" xr3:uid="{BE1934F5-5D06-41D6-9394-C4D383C8CD33}" name="Vendedor" dataDxfId="1200"/>
    <tableColumn id="3" xr3:uid="{F504E9B2-856C-4C10-AA72-D7A7B035B330}" name="CARNE" dataDxfId="119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98" dataDxfId="1196" headerRowBorderDxfId="1197" tableBorderDxfId="1195" totalsRowBorderDxfId="119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93"/>
    <tableColumn id="2" xr3:uid="{95B09C40-3752-47D7-9085-F5B42BC487DA}" name="Cliente" dataDxfId="1192"/>
    <tableColumn id="3" xr3:uid="{1A0B311C-327A-4C44-9D04-81730B41B9A2}" name="Forma de Pgto" dataDxfId="1191" dataCellStyle="Moeda"/>
    <tableColumn id="4" xr3:uid="{9A802666-F9A1-4EB6-824C-ECF60066044F}" name="Valor Parcela" dataDxfId="1190" dataCellStyle="Porcentagem"/>
    <tableColumn id="5" xr3:uid="{1CC0AF26-B599-4D4F-8BD5-BBE76DBCE085}" name="Nº Parcela" dataDxfId="1189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88" dataDxfId="1186" headerRowBorderDxfId="1187" tableBorderDxfId="1185" totalsRowBorderDxfId="1184">
  <autoFilter ref="K34:M41" xr:uid="{1B8643D4-6AC3-4029-882A-C62E9D7CB225}"/>
  <tableColumns count="3">
    <tableColumn id="1" xr3:uid="{D712257D-E310-4A34-972E-E8E3502C0E07}" name="OS" dataDxfId="1183"/>
    <tableColumn id="2" xr3:uid="{DE78D123-6817-4646-8C08-920B2F11524F}" name="Parcelas" dataDxfId="1182"/>
    <tableColumn id="3" xr3:uid="{5BFF5A3E-02FE-410E-B1DB-45BB5A31FC42}" name="Valor Total" dataDxfId="1181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0" dataDxfId="1178" headerRowBorderDxfId="1179" tableBorderDxfId="1177" totalsRowBorderDxfId="11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75" dataCellStyle="Moeda"/>
    <tableColumn id="5" xr3:uid="{A57F8BDB-02F9-493C-AD6D-F47611C369D5}" name="Cliente" dataDxfId="1174" dataCellStyle="Moeda"/>
    <tableColumn id="2" xr3:uid="{3BF4EA26-026F-42E1-9B28-3FCC68B54E9F}" name="Forma de Pgto" dataDxfId="1173" dataCellStyle="Moeda"/>
    <tableColumn id="3" xr3:uid="{FD063076-8462-4774-B716-34AAD1738449}" name="Valor Venda" dataDxfId="1172" dataCellStyle="Porcentagem"/>
    <tableColumn id="4" xr3:uid="{690445E0-65B1-450A-A6D3-179070107086}" name="Entrada" dataDxfId="1171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0" dataDxfId="1168" headerRowBorderDxfId="1169" tableBorderDxfId="1167" totalsRowBorderDxfId="1166">
  <autoFilter ref="K5:M11" xr:uid="{00000000-0009-0000-0100-000015000000}"/>
  <tableColumns count="3">
    <tableColumn id="1" xr3:uid="{5D510C76-887A-4F0A-A2F3-BD55732E9E85}" name="Descrição" dataDxfId="1165"/>
    <tableColumn id="2" xr3:uid="{F6C1F4A7-28F4-48F8-905E-708FA62EB574}" name="Tipo de Pagto" dataDxfId="1164"/>
    <tableColumn id="3" xr3:uid="{E62B0002-F6CD-4351-A9EA-673FC7C97B03}" name="Valor" dataDxfId="1163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62" dataDxfId="1160" headerRowBorderDxfId="1161" tableBorderDxfId="1159" totalsRowBorderDxfId="1158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57"/>
    <tableColumn id="2" xr3:uid="{822B50C3-46B7-46F0-8829-5293CCAFB21E}" name="Cliente" dataDxfId="1156"/>
    <tableColumn id="3" xr3:uid="{F2A36AB3-30D6-4C43-A466-18FF147EE075}" name="Forma de Pgto" dataDxfId="1155" dataCellStyle="Moeda"/>
    <tableColumn id="4" xr3:uid="{AD829CF8-2271-44F1-A1F1-4928D83ED658}" name="Valor Venda" dataDxfId="1154" dataCellStyle="Porcentagem"/>
    <tableColumn id="5" xr3:uid="{7973C843-3740-4AE2-931D-89DE845BA145}" name="Entrada" dataDxfId="1153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52" dataDxfId="1150" headerRowBorderDxfId="1151" tableBorderDxfId="1149" totalsRowBorderDxfId="1148">
  <autoFilter ref="K14:M31" xr:uid="{C83FE64B-E221-4DAA-89EA-5307A7BC98B3}"/>
  <tableColumns count="3">
    <tableColumn id="1" xr3:uid="{404BEA27-9F48-40AC-AF84-177E7CA2ADEC}" name="OS" dataDxfId="1147"/>
    <tableColumn id="2" xr3:uid="{BC07784A-25E9-4C57-B0FF-1E3D183BCD37}" name="Vendedor" dataDxfId="1146"/>
    <tableColumn id="3" xr3:uid="{EFFF7860-5B35-466B-BA53-4485DC02FB15}" name="CARNE" dataDxfId="1145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44" dataDxfId="1142" headerRowBorderDxfId="1143" tableBorderDxfId="1141" totalsRowBorderDxfId="1140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39"/>
    <tableColumn id="2" xr3:uid="{A8D4686B-F05E-4D96-BDB9-FD354C9E28B8}" name="Cliente" dataDxfId="1138"/>
    <tableColumn id="3" xr3:uid="{0FB871EC-4505-4E7C-A162-0EFDB16AB8E5}" name="Forma de Pgto" dataDxfId="1137" dataCellStyle="Moeda"/>
    <tableColumn id="4" xr3:uid="{41436228-3E61-4F7F-80EF-627B1794150B}" name="Valor Parcela" dataDxfId="1136" dataCellStyle="Porcentagem"/>
    <tableColumn id="5" xr3:uid="{9C580DC7-08E3-4AD7-B73C-C1AA4298633B}" name="Nº Parcela" dataDxfId="1135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4" headerRowBorderDxfId="1133" tableBorderDxfId="1132" totalsRowBorderDxfId="1131">
  <autoFilter ref="K34:M41" xr:uid="{1B8643D4-6AC3-4029-882A-C62E9D7CB225}"/>
  <tableColumns count="3">
    <tableColumn id="1" xr3:uid="{6E774D52-7DFE-4ED1-9F2F-47B5899CBAC1}" name="OS" dataDxfId="1130"/>
    <tableColumn id="2" xr3:uid="{39CE62CA-537C-4DF4-B8D5-281ED0EE57C3}" name="Parcelas" dataDxfId="1129"/>
    <tableColumn id="3" xr3:uid="{830AFF05-9BCF-488F-97F3-8D4378DE4DCB}" name="Valor Total" dataDxfId="1128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27" dataDxfId="1125" headerRowBorderDxfId="1126" tableBorderDxfId="1124" totalsRowBorderDxfId="11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22" dataCellStyle="Moeda"/>
    <tableColumn id="5" xr3:uid="{CE0B3E90-9420-4A96-9195-72088311874E}" name="Cliente" dataDxfId="1121" dataCellStyle="Moeda"/>
    <tableColumn id="2" xr3:uid="{3EF1B45D-588D-4066-8ACF-697863B5F984}" name="Forma de Pgto" dataDxfId="1120" dataCellStyle="Moeda"/>
    <tableColumn id="3" xr3:uid="{9ADBAC7B-B04C-4E2B-9C83-E18200698CCE}" name="Valor Venda" dataDxfId="1119" dataCellStyle="Porcentagem"/>
    <tableColumn id="4" xr3:uid="{16823673-1F5B-4F46-A676-8665CF4D02BA}" name="Entrada" dataDxfId="1118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17" dataDxfId="1115" headerRowBorderDxfId="1116" tableBorderDxfId="1114" totalsRowBorderDxfId="1113">
  <autoFilter ref="K5:M11" xr:uid="{00000000-0009-0000-0100-000015000000}"/>
  <tableColumns count="3">
    <tableColumn id="1" xr3:uid="{A02811B4-F6FA-4EDA-94FE-5EDFE6293B48}" name="Descrição" dataDxfId="1112"/>
    <tableColumn id="2" xr3:uid="{39EAD4CE-DDFA-4948-8B1E-10589BABDD84}" name="Tipo de Pagto" dataDxfId="1111"/>
    <tableColumn id="3" xr3:uid="{30C3BD81-38C9-4C67-BF45-044DFDDD7A0B}" name="Valor" dataDxfId="1110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09" dataDxfId="1107" headerRowBorderDxfId="1108" tableBorderDxfId="1106" totalsRowBorderDxfId="11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4"/>
    <tableColumn id="2" xr3:uid="{BE6E3444-490A-4F75-BE63-234EB84D04F7}" name="Cliente" dataDxfId="1103"/>
    <tableColumn id="3" xr3:uid="{868472E6-6C45-4AEC-9672-E559CFA15EA7}" name="Forma de Pgto" dataDxfId="1102" dataCellStyle="Moeda"/>
    <tableColumn id="4" xr3:uid="{DB2D0AA9-9B1E-4A35-B9B2-8B1052EAD782}" name="Valor Venda" dataDxfId="1101" dataCellStyle="Porcentagem"/>
    <tableColumn id="5" xr3:uid="{C23CEEDF-415E-4EFC-ACF7-2661157A84C3}" name="Entrada" dataDxfId="1100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99" dataDxfId="1097" headerRowBorderDxfId="1098" tableBorderDxfId="1096" totalsRowBorderDxfId="109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94"/>
    <tableColumn id="2" xr3:uid="{13D709D4-8F81-4D58-95F2-22F1C686CB18}" name="Vendedor" dataDxfId="1093"/>
    <tableColumn id="3" xr3:uid="{92130A71-CEC8-4371-B6C9-DA29C0189A09}" name="CARNE" dataDxfId="1092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1" dataDxfId="1089" headerRowBorderDxfId="1090" tableBorderDxfId="1088" totalsRowBorderDxfId="10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86"/>
    <tableColumn id="2" xr3:uid="{7652DD36-D535-400C-856B-02CB62C18176}" name="Cliente" dataDxfId="1085"/>
    <tableColumn id="3" xr3:uid="{129618E1-FDB4-497A-9DB0-29AC7143AF10}" name="Forma de Pgto" dataDxfId="1084" dataCellStyle="Moeda"/>
    <tableColumn id="4" xr3:uid="{EC69F906-8001-4D12-8ED6-D597AE23E936}" name="Valor Parcela" dataDxfId="1083" dataCellStyle="Porcentagem"/>
    <tableColumn id="5" xr3:uid="{65040BF1-55E0-4DD6-926F-3F0324D47077}" name="Nº Parcela" dataDxfId="1082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1" dataDxfId="1079" headerRowBorderDxfId="1080" tableBorderDxfId="1078" totalsRowBorderDxfId="1077">
  <autoFilter ref="K34:M41" xr:uid="{1B8643D4-6AC3-4029-882A-C62E9D7CB225}"/>
  <tableColumns count="3">
    <tableColumn id="1" xr3:uid="{710179D9-1888-45A0-96B5-C6E1151FFFF0}" name="OS" dataDxfId="1076"/>
    <tableColumn id="2" xr3:uid="{D9D130F4-6D87-4655-90D8-AF3976107C2A}" name="Parcelas" dataDxfId="1075"/>
    <tableColumn id="3" xr3:uid="{07DCBA20-7E86-4F99-AED4-2BDCD854B71C}" name="Valor Total" dataDxfId="1074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3" dataDxfId="1071" headerRowBorderDxfId="1072" tableBorderDxfId="1070" totalsRowBorderDxfId="10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68" dataCellStyle="Moeda"/>
    <tableColumn id="5" xr3:uid="{C388448A-992D-4C2D-8BB2-14D587C7E260}" name="Cliente" dataDxfId="1067" dataCellStyle="Moeda"/>
    <tableColumn id="2" xr3:uid="{C66BE185-63F5-4991-91CC-2661F40F891F}" name="Forma de Pgto" dataDxfId="1066" dataCellStyle="Moeda"/>
    <tableColumn id="3" xr3:uid="{C86C165C-F04B-4F8A-9769-AE38C03F025E}" name="Valor Venda" dataDxfId="1065" dataCellStyle="Porcentagem"/>
    <tableColumn id="4" xr3:uid="{C11C99C9-E646-4417-8698-61AFF55AB567}" name="Entrada" dataDxfId="1064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3" dataDxfId="1061" headerRowBorderDxfId="1062" tableBorderDxfId="1060" totalsRowBorderDxfId="1059">
  <autoFilter ref="K5:M11" xr:uid="{00000000-0009-0000-0100-000015000000}"/>
  <tableColumns count="3">
    <tableColumn id="1" xr3:uid="{696BC9EF-69BB-4D0D-96DF-B836B5771C08}" name="Descrição" dataDxfId="1058"/>
    <tableColumn id="2" xr3:uid="{4F12E940-09E4-4E51-A2A0-CEF5523233E2}" name="Tipo de Pagto" dataDxfId="1057"/>
    <tableColumn id="3" xr3:uid="{329E2ABB-99D4-47D1-8CEB-C3F4DE69A1C8}" name="Valor" dataDxfId="1056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55" dataDxfId="1053" headerRowBorderDxfId="1054" tableBorderDxfId="1052" totalsRowBorderDxfId="10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0"/>
    <tableColumn id="2" xr3:uid="{4745164B-5E29-4C65-87CA-C8C1B31B8272}" name="Cliente" dataDxfId="1049"/>
    <tableColumn id="3" xr3:uid="{69D7D490-36CA-4F69-BF76-2ADB810B4F37}" name="Forma de Pgto" dataDxfId="1048" dataCellStyle="Moeda"/>
    <tableColumn id="4" xr3:uid="{9B6B365B-42F7-499F-B705-B8F5196F8192}" name="Valor Venda" dataDxfId="1047" dataCellStyle="Porcentagem"/>
    <tableColumn id="5" xr3:uid="{7C88B9A2-2920-4AD8-AC1F-7417F3FA8282}" name="Entrada" dataDxfId="1046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45" dataDxfId="1043" headerRowBorderDxfId="1044" tableBorderDxfId="1042" totalsRowBorderDxfId="1041">
  <autoFilter ref="K14:M31" xr:uid="{C83FE64B-E221-4DAA-89EA-5307A7BC98B3}"/>
  <tableColumns count="3">
    <tableColumn id="1" xr3:uid="{5740FA63-223C-47B7-8842-178B003DB4BC}" name="OS" dataDxfId="1040"/>
    <tableColumn id="2" xr3:uid="{5CCC3C75-C80E-44BB-BC37-80F487481DDA}" name="Vendedor" dataDxfId="1039"/>
    <tableColumn id="3" xr3:uid="{585175B8-B982-429E-9344-163CE2687302}" name="CARNE" dataDxfId="1038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37" dataDxfId="1035" headerRowBorderDxfId="1036" tableBorderDxfId="1034" totalsRowBorderDxfId="10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32"/>
    <tableColumn id="2" xr3:uid="{2540FF22-68AB-4A04-B72D-DDBC8B064A8D}" name="Cliente" dataDxfId="1031"/>
    <tableColumn id="3" xr3:uid="{A7CB1680-9636-42C6-8AD9-F68C54BBCE0A}" name="Forma de Pgto" dataDxfId="1030" dataCellStyle="Moeda"/>
    <tableColumn id="4" xr3:uid="{727C37A8-450C-4D57-A2C9-396F29733C0A}" name="Valor Parcela" dataDxfId="1029" dataCellStyle="Porcentagem"/>
    <tableColumn id="5" xr3:uid="{4B27DCBF-BD8C-46A2-BC12-DE369C458E8A}" name="Nº Parcela" dataDxfId="1028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27" dataDxfId="1025" headerRowBorderDxfId="1026" tableBorderDxfId="1024" totalsRowBorderDxfId="1023">
  <autoFilter ref="K34:M41" xr:uid="{1B8643D4-6AC3-4029-882A-C62E9D7CB225}"/>
  <tableColumns count="3">
    <tableColumn id="1" xr3:uid="{60FAE849-4EC1-49E6-990F-8A43377EE6C3}" name="OS" dataDxfId="1022"/>
    <tableColumn id="2" xr3:uid="{B3127003-34D7-49FE-AFFC-7FA256F8BC3F}" name="Parcelas" dataDxfId="1021"/>
    <tableColumn id="3" xr3:uid="{412AC98E-5FB9-4C3C-9FBF-2EBE1631A397}" name="Valor Total" dataDxfId="102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19" dataDxfId="1017" headerRowBorderDxfId="1018" tableBorderDxfId="1016" totalsRowBorderDxfId="10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4" dataCellStyle="Moeda"/>
    <tableColumn id="5" xr3:uid="{A1AF61B3-EFAB-450A-92B2-38E357233CD5}" name="Cliente" dataDxfId="1013" dataCellStyle="Moeda"/>
    <tableColumn id="2" xr3:uid="{DF277353-579D-439F-85C3-76DEACDE7A39}" name="Forma de Pgto" dataDxfId="1012" dataCellStyle="Moeda"/>
    <tableColumn id="3" xr3:uid="{7164D8F5-C0CB-47F7-BD16-B590E7D85EDB}" name="Valor Venda" dataDxfId="1011" dataCellStyle="Porcentagem"/>
    <tableColumn id="4" xr3:uid="{065B051D-7958-4E7D-972D-DDB0E8E7D052}" name="Entrada" dataDxfId="101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09" dataDxfId="1007" headerRowBorderDxfId="1008" tableBorderDxfId="1006" totalsRowBorderDxfId="1005">
  <autoFilter ref="K5:M11" xr:uid="{00000000-0009-0000-0100-000015000000}"/>
  <tableColumns count="3">
    <tableColumn id="1" xr3:uid="{865498B1-F05E-46C9-B6C1-CCD85D9306C6}" name="Descrição" dataDxfId="1004"/>
    <tableColumn id="2" xr3:uid="{37F7AC6A-A7CD-43FB-89B1-5E904BAC1EBD}" name="Tipo de Pagto" dataDxfId="1003"/>
    <tableColumn id="3" xr3:uid="{A014E45A-B38A-47C2-A582-411CA2B495EE}" name="Valor" dataDxfId="100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1" dataDxfId="999" headerRowBorderDxfId="1000" tableBorderDxfId="998" totalsRowBorderDxfId="9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96"/>
    <tableColumn id="2" xr3:uid="{BC7B7FC1-CF4C-42C2-ABD3-DFEEA234B02B}" name="Cliente" dataDxfId="995"/>
    <tableColumn id="3" xr3:uid="{67F17557-E38E-4865-93F5-DCEF4A7ED2C6}" name="Forma de Pgto" dataDxfId="994" dataCellStyle="Moeda"/>
    <tableColumn id="4" xr3:uid="{D2C10329-9C1A-4D0D-BC74-3A320E9B6593}" name="Valor Venda" dataDxfId="993" dataCellStyle="Porcentagem"/>
    <tableColumn id="5" xr3:uid="{82810E21-D152-4A22-94D5-0A28C60F4849}" name="Entrada" dataDxfId="99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1" dataDxfId="989" headerRowBorderDxfId="990" tableBorderDxfId="988" totalsRowBorderDxfId="987">
  <autoFilter ref="K14:M31" xr:uid="{C83FE64B-E221-4DAA-89EA-5307A7BC98B3}"/>
  <tableColumns count="3">
    <tableColumn id="1" xr3:uid="{7A4CC637-3546-4D1B-9D86-75C6034079BF}" name="OS" dataDxfId="986"/>
    <tableColumn id="2" xr3:uid="{CEB52B1C-2642-45A1-A1EB-26029A9B5402}" name="Vendedor" dataDxfId="985"/>
    <tableColumn id="3" xr3:uid="{8C88CFEB-7155-49BD-9D63-1FCC9096735E}" name="CARNE" dataDxfId="98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3" dataDxfId="981" headerRowBorderDxfId="982" tableBorderDxfId="980" totalsRowBorderDxfId="9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78"/>
    <tableColumn id="2" xr3:uid="{7C3577CA-FC44-4DC9-9002-D4EA74DFF73F}" name="Cliente" dataDxfId="977"/>
    <tableColumn id="3" xr3:uid="{77D25058-5D06-4E37-8746-BF184DDEEA81}" name="Forma de Pgto" dataDxfId="976" dataCellStyle="Moeda"/>
    <tableColumn id="4" xr3:uid="{5EDAFC3F-F478-449C-990C-45300A2C66DF}" name="Valor Parcela" dataDxfId="975" dataCellStyle="Porcentagem"/>
    <tableColumn id="5" xr3:uid="{5DBCC805-C046-4526-8886-13334D431CB2}" name="Nº Parcela" dataDxfId="97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3" dataDxfId="971" headerRowBorderDxfId="972" tableBorderDxfId="970" totalsRowBorderDxfId="969">
  <autoFilter ref="K34:M41" xr:uid="{1B8643D4-6AC3-4029-882A-C62E9D7CB225}"/>
  <tableColumns count="3">
    <tableColumn id="1" xr3:uid="{FDFEB034-D746-488E-9611-5C5421DF9812}" name="OS" dataDxfId="968"/>
    <tableColumn id="2" xr3:uid="{AD1C8A9C-91DA-4D2C-A438-9B8648A5521B}" name="Parcelas" dataDxfId="967"/>
    <tableColumn id="3" xr3:uid="{577D3B3F-3A18-4FE3-8E0F-E82C9012821F}" name="Valor Total" dataDxfId="96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65" dataDxfId="963" headerRowBorderDxfId="964" tableBorderDxfId="962" totalsRowBorderDxfId="9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0" dataCellStyle="Moeda"/>
    <tableColumn id="5" xr3:uid="{53B9FE46-E769-466F-9757-A5C752203582}" name="Cliente" dataDxfId="959" dataCellStyle="Moeda"/>
    <tableColumn id="2" xr3:uid="{9AFD5C78-132A-4E21-96EC-75882307A334}" name="Forma de Pgto" dataDxfId="958" dataCellStyle="Moeda"/>
    <tableColumn id="3" xr3:uid="{0B7791DE-BC7F-4EA7-87CC-E8588E2F6D00}" name="Valor Venda" dataDxfId="957" dataCellStyle="Porcentagem"/>
    <tableColumn id="4" xr3:uid="{EDACC2B7-28DE-40D1-BC9D-356B5D64934D}" name="Entrada" dataDxfId="95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55" dataDxfId="953" headerRowBorderDxfId="954" tableBorderDxfId="952" totalsRowBorderDxfId="951">
  <autoFilter ref="K5:M11" xr:uid="{00000000-0009-0000-0100-000015000000}"/>
  <tableColumns count="3">
    <tableColumn id="1" xr3:uid="{F638F61A-E4B9-4300-BD8D-C0A6A3D7A8E2}" name="Descrição" dataDxfId="950"/>
    <tableColumn id="2" xr3:uid="{9DC04330-37E5-4813-8F2D-4BAA554527A5}" name="Tipo de Pagto" dataDxfId="949"/>
    <tableColumn id="3" xr3:uid="{799A991A-3D2C-4EC1-A2D8-A1F3023DD9AF}" name="Valor" dataDxfId="94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47" dataDxfId="945" headerRowBorderDxfId="946" tableBorderDxfId="944" totalsRowBorderDxfId="9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2"/>
    <tableColumn id="2" xr3:uid="{2FD43CA2-90CA-449B-821F-205F1748177C}" name="Cliente" dataDxfId="941"/>
    <tableColumn id="3" xr3:uid="{A5640B64-FD50-49A5-B305-E61D9280F57A}" name="Forma de Pgto" dataDxfId="940" dataCellStyle="Moeda"/>
    <tableColumn id="4" xr3:uid="{26AD2EE8-2400-4B07-A340-99B1BA546B01}" name="Valor Venda" dataDxfId="939" dataCellStyle="Porcentagem"/>
    <tableColumn id="5" xr3:uid="{DF786930-B464-48C0-92C5-A18D129572D3}" name="Entrada" dataDxfId="93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37" dataDxfId="935" headerRowBorderDxfId="936" tableBorderDxfId="934" totalsRowBorderDxfId="933">
  <autoFilter ref="K14:M31" xr:uid="{C83FE64B-E221-4DAA-89EA-5307A7BC98B3}"/>
  <tableColumns count="3">
    <tableColumn id="1" xr3:uid="{686E8A3B-2CC1-443E-B3F0-07F1D6AF8C19}" name="OS" dataDxfId="932"/>
    <tableColumn id="2" xr3:uid="{1250D1EA-82EB-4EB4-AEDB-99799165C996}" name="Vendedor" dataDxfId="931"/>
    <tableColumn id="3" xr3:uid="{F6A6C0FE-3106-4929-AC63-C2A418BAD9A1}" name="CARNE" dataDxfId="93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9" dataDxfId="927" headerRowBorderDxfId="928" tableBorderDxfId="926" totalsRowBorderDxfId="9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4"/>
    <tableColumn id="2" xr3:uid="{6946C657-632E-4A47-A04C-EBD987018798}" name="Cliente" dataDxfId="923"/>
    <tableColumn id="3" xr3:uid="{11747110-E63B-4D92-AE0D-F744DD494204}" name="Forma de Pgto" dataDxfId="922" dataCellStyle="Moeda"/>
    <tableColumn id="4" xr3:uid="{7637A14A-3C11-482C-A77B-09489718F039}" name="Valor Parcela" dataDxfId="921" dataCellStyle="Porcentagem"/>
    <tableColumn id="5" xr3:uid="{E03E863B-EAD4-4137-9B26-2CA0EAC2F09E}" name="Nº Parcela" dataDxfId="92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9" dataDxfId="917" headerRowBorderDxfId="918" tableBorderDxfId="916" totalsRowBorderDxfId="915">
  <autoFilter ref="K34:M41" xr:uid="{1B8643D4-6AC3-4029-882A-C62E9D7CB225}"/>
  <tableColumns count="3">
    <tableColumn id="1" xr3:uid="{6F6F5FBA-037D-4F8B-8355-AC821A55F803}" name="OS" dataDxfId="914"/>
    <tableColumn id="2" xr3:uid="{BEED8472-6636-42D9-A60A-E43C842B7D8F}" name="Parcelas" dataDxfId="913"/>
    <tableColumn id="3" xr3:uid="{0CE64280-F6A9-46AC-8696-F227912F6552}" name="Valor Total" dataDxfId="912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1" dataDxfId="909" headerRowBorderDxfId="910" tableBorderDxfId="908" totalsRowBorderDxfId="9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06" dataCellStyle="Moeda"/>
    <tableColumn id="5" xr3:uid="{864A4F89-382F-4099-9D59-467A7AB12940}" name="Cliente" dataDxfId="905" dataCellStyle="Moeda"/>
    <tableColumn id="2" xr3:uid="{529253EE-0917-4E7A-AA5F-14D2DCAD4080}" name="Forma de Pgto" dataDxfId="904" dataCellStyle="Moeda"/>
    <tableColumn id="3" xr3:uid="{7A07E6EC-5721-4AB5-B7BB-F8D16153B615}" name="Valor Venda" dataDxfId="903" dataCellStyle="Porcentagem"/>
    <tableColumn id="4" xr3:uid="{E3569DCA-7BA5-47A8-9C20-6FB2B553052E}" name="Entrada" dataDxfId="902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1" dataDxfId="899" headerRowBorderDxfId="900" tableBorderDxfId="898" totalsRowBorderDxfId="897">
  <autoFilter ref="K5:M11" xr:uid="{00000000-0009-0000-0100-000015000000}"/>
  <tableColumns count="3">
    <tableColumn id="1" xr3:uid="{95CF041F-F7B4-4974-9B76-66A5C7C3CF1E}" name="Descrição" dataDxfId="896"/>
    <tableColumn id="2" xr3:uid="{010F2147-2B02-4E80-9D4E-E9E6110BD535}" name="Tipo de Pagto" dataDxfId="895"/>
    <tableColumn id="3" xr3:uid="{667C80AD-481C-4689-8F6A-2426991759A7}" name="Valor" dataDxfId="894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93" dataDxfId="891" headerRowBorderDxfId="892" tableBorderDxfId="890" totalsRowBorderDxfId="8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8"/>
    <tableColumn id="2" xr3:uid="{A401C727-3942-4BDF-BC32-5D789E1F6979}" name="Cliente" dataDxfId="887"/>
    <tableColumn id="3" xr3:uid="{29237CE2-AC3D-477F-ABA7-60B5DA6F8120}" name="Forma de Pgto" dataDxfId="886" dataCellStyle="Moeda"/>
    <tableColumn id="4" xr3:uid="{A39B1F5A-49E3-45B8-BCA8-E3252A43E2CC}" name="Valor Venda" dataDxfId="885" dataCellStyle="Porcentagem"/>
    <tableColumn id="5" xr3:uid="{A1809E96-D43C-48CA-B4B0-F8952BB21709}" name="Entrada" dataDxfId="884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3" dataDxfId="881" headerRowBorderDxfId="882" tableBorderDxfId="880" totalsRowBorderDxfId="8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78"/>
    <tableColumn id="2" xr3:uid="{61C3945B-58EB-4D02-A420-14D13F69B1FD}" name="Vendedor" dataDxfId="877"/>
    <tableColumn id="3" xr3:uid="{310A696D-E474-4609-8CAC-92E3BC19A517}" name="CARNE" dataDxfId="876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75" dataDxfId="873" headerRowBorderDxfId="874" tableBorderDxfId="872" totalsRowBorderDxfId="8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0"/>
    <tableColumn id="2" xr3:uid="{A7114117-5F41-4611-B14C-A3B2F7C35961}" name="Cliente" dataDxfId="869"/>
    <tableColumn id="3" xr3:uid="{3B2F2924-60FC-459E-BAAE-2D26D316360F}" name="Forma de Pgto" dataDxfId="868" dataCellStyle="Moeda"/>
    <tableColumn id="4" xr3:uid="{8C86BF8B-36B7-46FA-B050-2F1437A14710}" name="Valor Parcela" dataDxfId="867" dataCellStyle="Porcentagem"/>
    <tableColumn id="5" xr3:uid="{C429DF1A-E6B0-43DD-A949-A1EBA6DBEC04}" name="Nº Parcela" dataDxfId="866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65" headerRowBorderDxfId="864" tableBorderDxfId="863" totalsRowBorderDxfId="862">
  <autoFilter ref="K34:M41" xr:uid="{1B8643D4-6AC3-4029-882A-C62E9D7CB225}"/>
  <tableColumns count="3">
    <tableColumn id="1" xr3:uid="{182484ED-66B8-43D1-B168-BDEB5996673F}" name="OS" dataDxfId="861"/>
    <tableColumn id="2" xr3:uid="{FC47BB11-B6D3-4928-BFCD-BDAC4B2BDD2F}" name="Parcelas" dataDxfId="860"/>
    <tableColumn id="3" xr3:uid="{F7E0E4E8-A2A1-4513-B1F5-B98008299FD0}" name="Valor Total" dataDxfId="859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8" dataDxfId="856" headerRowBorderDxfId="857" tableBorderDxfId="855" totalsRowBorderDxfId="85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3" dataCellStyle="Moeda"/>
    <tableColumn id="5" xr3:uid="{2B9E675C-5EB2-4EBC-8FDE-19F93E6E7B08}" name="Cliente" dataDxfId="852" dataCellStyle="Moeda"/>
    <tableColumn id="2" xr3:uid="{04A3548D-E88B-4096-85CB-E08243412A85}" name="Forma de Pgto" dataDxfId="851" dataCellStyle="Moeda"/>
    <tableColumn id="3" xr3:uid="{977F794D-E094-4347-935B-1202B7138C52}" name="Valor Venda" dataDxfId="850" dataCellStyle="Porcentagem"/>
    <tableColumn id="4" xr3:uid="{908F3845-FF06-4899-A550-28B1BE92D1A9}" name="Entrada" dataDxfId="849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8" dataDxfId="846" headerRowBorderDxfId="847" tableBorderDxfId="845" totalsRowBorderDxfId="844">
  <autoFilter ref="K5:M11" xr:uid="{00000000-0009-0000-0100-000015000000}"/>
  <tableColumns count="3">
    <tableColumn id="1" xr3:uid="{F9AC75BC-BCF6-4B22-9F75-0F3CC507495B}" name="Descrição" dataDxfId="843"/>
    <tableColumn id="2" xr3:uid="{61D86D1A-7892-4923-9684-5D9A01F0BD5D}" name="Tipo de Pagto" dataDxfId="842"/>
    <tableColumn id="3" xr3:uid="{3F8C718F-C7FE-423F-9F48-66FB2201CFE2}" name="Valor" dataDxfId="841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0" dataDxfId="838" headerRowBorderDxfId="839" tableBorderDxfId="837" totalsRowBorderDxfId="83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5"/>
    <tableColumn id="2" xr3:uid="{994EFF98-DD95-4B94-B1C7-D068C1D5212C}" name="Cliente" dataDxfId="834"/>
    <tableColumn id="3" xr3:uid="{7D4E72E0-4CFA-46C9-B3AF-A1654CF194A1}" name="Forma de Pgto" dataDxfId="833" dataCellStyle="Moeda"/>
    <tableColumn id="4" xr3:uid="{EE367263-F1E4-4631-A484-2013B6BA1F27}" name="Valor Venda" dataDxfId="832" dataCellStyle="Porcentagem"/>
    <tableColumn id="5" xr3:uid="{9DA475CB-BD5A-4734-A11F-3BB7DD0D9D7E}" name="Entrada" dataDxfId="831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0" dataDxfId="828" headerRowBorderDxfId="829" tableBorderDxfId="827" totalsRowBorderDxfId="82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25"/>
    <tableColumn id="2" xr3:uid="{9ED68045-86C7-4BE0-8AE0-0417F1DD76FD}" name="Vendedor" dataDxfId="824"/>
    <tableColumn id="3" xr3:uid="{F4076139-8BF9-457D-ADE6-1BCD435E31BB}" name="CARNE" dataDxfId="823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2" dataDxfId="820" headerRowBorderDxfId="821" tableBorderDxfId="819" totalsRowBorderDxfId="81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17"/>
    <tableColumn id="2" xr3:uid="{E89F59BF-5F0B-4E4E-B2BE-7B739967886D}" name="Cliente" dataDxfId="816"/>
    <tableColumn id="3" xr3:uid="{B348335B-A485-46BE-AECB-0672679F4468}" name="Forma de Pgto" dataDxfId="815" dataCellStyle="Moeda"/>
    <tableColumn id="4" xr3:uid="{73B13E6E-5431-4E90-9A6E-E15737DDA887}" name="Valor Parcela" dataDxfId="814" dataCellStyle="Porcentagem"/>
    <tableColumn id="5" xr3:uid="{C738A843-A8FD-4CB7-B2C8-59810BA17BF2}" name="Nº Parcela" dataDxfId="813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2" dataDxfId="810" headerRowBorderDxfId="811" tableBorderDxfId="809" totalsRowBorderDxfId="808">
  <autoFilter ref="K34:M41" xr:uid="{1B8643D4-6AC3-4029-882A-C62E9D7CB225}"/>
  <tableColumns count="3">
    <tableColumn id="1" xr3:uid="{3F5F54B7-8999-4296-A374-3780F172D2B8}" name="OS" dataDxfId="807"/>
    <tableColumn id="2" xr3:uid="{5F252D86-495C-4A65-B391-3FF46311DE83}" name="Parcelas" dataDxfId="806"/>
    <tableColumn id="3" xr3:uid="{50E905DA-42A9-43E1-8D51-FD4BDEAB81C8}" name="Valor Total" dataDxfId="805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4" dataDxfId="802" headerRowBorderDxfId="803" tableBorderDxfId="801" totalsRowBorderDxfId="80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9" dataCellStyle="Moeda"/>
    <tableColumn id="5" xr3:uid="{08C272CC-0220-47BB-9263-1AA910D9829C}" name="Cliente" dataDxfId="798" dataCellStyle="Moeda"/>
    <tableColumn id="2" xr3:uid="{DF276F1F-7FCA-4CE9-AD90-5340B6E688D4}" name="Forma de Pgto" dataDxfId="797" dataCellStyle="Moeda"/>
    <tableColumn id="3" xr3:uid="{CF6FE509-8C51-4621-87DF-AAD8645E20D4}" name="Valor Venda" dataDxfId="796" dataCellStyle="Porcentagem"/>
    <tableColumn id="4" xr3:uid="{5AB6BADB-DBB7-45C0-89E8-2C836C831FCF}" name="Entrada" dataDxfId="795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4" dataDxfId="792" headerRowBorderDxfId="793" tableBorderDxfId="791" totalsRowBorderDxfId="790">
  <autoFilter ref="K5:M11" xr:uid="{00000000-0009-0000-0100-000015000000}"/>
  <tableColumns count="3">
    <tableColumn id="1" xr3:uid="{8CE76670-7409-454F-9B3A-4BD739F5C5E3}" name="Descrição" dataDxfId="789"/>
    <tableColumn id="2" xr3:uid="{B2BAF2DB-A6EF-41C6-8A5D-66027E15C8F8}" name="Tipo de Pagto" dataDxfId="788"/>
    <tableColumn id="3" xr3:uid="{99CFD3BD-FC58-49DA-AC21-ACD3EE40336E}" name="Valor" dataDxfId="787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86" dataDxfId="784" headerRowBorderDxfId="785" tableBorderDxfId="783" totalsRowBorderDxfId="78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1"/>
    <tableColumn id="2" xr3:uid="{B886F79B-BD9C-476A-88F8-CB3F80E42FD0}" name="Cliente" dataDxfId="780"/>
    <tableColumn id="3" xr3:uid="{78D9CA4E-E9E8-4359-8144-996DE0EE7A64}" name="Forma de Pgto" dataDxfId="779" dataCellStyle="Moeda"/>
    <tableColumn id="4" xr3:uid="{F327BA72-0013-44A1-B3CE-07FACF46CAC8}" name="Valor Venda" dataDxfId="778" dataCellStyle="Porcentagem"/>
    <tableColumn id="5" xr3:uid="{20494810-9085-4087-A73E-D3FE8DC5C40D}" name="Entrada" dataDxfId="777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76" dataDxfId="774" headerRowBorderDxfId="775" tableBorderDxfId="773" totalsRowBorderDxfId="772">
  <autoFilter ref="K14:M31" xr:uid="{C83FE64B-E221-4DAA-89EA-5307A7BC98B3}"/>
  <tableColumns count="3">
    <tableColumn id="1" xr3:uid="{40D1E49B-6CB3-409E-AFC1-7315BAF42BBF}" name="OS" dataDxfId="771"/>
    <tableColumn id="2" xr3:uid="{4C8709E7-DDF3-475B-9A19-42E8B9FC587D}" name="Vendedor" dataDxfId="770"/>
    <tableColumn id="3" xr3:uid="{185D4DF1-07D8-4494-B6E4-5B4CFC4E2B4E}" name="CARNE" dataDxfId="769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8" dataDxfId="766" headerRowBorderDxfId="767" tableBorderDxfId="765" totalsRowBorderDxfId="76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3"/>
    <tableColumn id="2" xr3:uid="{CA06119C-2085-4F7F-B293-65E2AF15EEE5}" name="Cliente" dataDxfId="762"/>
    <tableColumn id="3" xr3:uid="{BF529E56-33D1-40B5-8E7B-EFBAB59D2A71}" name="Forma de Pgto" dataDxfId="761" dataCellStyle="Moeda"/>
    <tableColumn id="4" xr3:uid="{66CAC967-C216-41AB-BBFE-D7EC8E60B5DB}" name="Valor Parcela" dataDxfId="760" dataCellStyle="Porcentagem"/>
    <tableColumn id="5" xr3:uid="{684E478E-5460-400B-8F1B-2956E3BF42E8}" name="Nº Parcela" dataDxfId="759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8" headerRowBorderDxfId="757" tableBorderDxfId="756" totalsRowBorderDxfId="755">
  <autoFilter ref="K34:M41" xr:uid="{1B8643D4-6AC3-4029-882A-C62E9D7CB225}"/>
  <tableColumns count="3">
    <tableColumn id="1" xr3:uid="{3DD44433-DB26-4FDD-8D11-D1C35C6FECEB}" name="OS" dataDxfId="754"/>
    <tableColumn id="2" xr3:uid="{A9DC5AE8-407E-40E2-8AD6-B02FE1A5CF20}" name="Parcelas" dataDxfId="753"/>
    <tableColumn id="3" xr3:uid="{6A850C65-FE9A-4796-B920-651ED5594439}" name="Valor Total" dataDxfId="752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1" dataDxfId="749" headerRowBorderDxfId="750" tableBorderDxfId="748" totalsRowBorderDxfId="747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6" dataCellStyle="Moeda"/>
    <tableColumn id="5" xr3:uid="{60E6A65C-186D-4764-A3E8-74F5C0B0AFC1}" name="Cliente" dataDxfId="745" dataCellStyle="Moeda"/>
    <tableColumn id="2" xr3:uid="{22FA520F-5DA7-46FD-9861-DF942B6D91AB}" name="Forma de Pgto" dataDxfId="744" dataCellStyle="Moeda"/>
    <tableColumn id="3" xr3:uid="{7DEE868C-EA7D-401A-A3DF-4CC64A44467F}" name="Valor Venda" dataDxfId="743" dataCellStyle="Porcentagem"/>
    <tableColumn id="4" xr3:uid="{720D25ED-5FF4-421F-94C6-24275CF94733}" name="Entrada" dataDxfId="742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1" dataDxfId="739" headerRowBorderDxfId="740" tableBorderDxfId="738" totalsRowBorderDxfId="737">
  <autoFilter ref="K5:M11" xr:uid="{00000000-0009-0000-0100-000015000000}"/>
  <tableColumns count="3">
    <tableColumn id="1" xr3:uid="{2FBA0522-04E5-4ED5-94F6-52B232AF2373}" name="Descrição" dataDxfId="736"/>
    <tableColumn id="2" xr3:uid="{DB3FC5DE-C5F6-4B07-A662-D19BD76E91F6}" name="Tipo de Pagto" dataDxfId="735"/>
    <tableColumn id="3" xr3:uid="{A2799F30-0033-4E72-9108-ABF645A8DCD3}" name="Valor" dataDxfId="734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3" dataDxfId="731" headerRowBorderDxfId="732" tableBorderDxfId="730" totalsRowBorderDxfId="7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8"/>
    <tableColumn id="2" xr3:uid="{6DECDDC0-CF3A-4677-94C4-62618488FE89}" name="Cliente" dataDxfId="727"/>
    <tableColumn id="3" xr3:uid="{D40EA3F2-0782-4C3D-A060-4DCC1DCF2881}" name="Forma de Pgto" dataDxfId="726" dataCellStyle="Moeda"/>
    <tableColumn id="4" xr3:uid="{A527DD67-780C-4EE1-A7AE-0831114EA80A}" name="Valor Venda" dataDxfId="725" dataCellStyle="Porcentagem"/>
    <tableColumn id="5" xr3:uid="{4082F19A-5570-4E9D-B250-BCD24B16165E}" name="Entrada" dataDxfId="724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3" dataDxfId="721" headerRowBorderDxfId="722" tableBorderDxfId="720" totalsRowBorderDxfId="719">
  <autoFilter ref="K14:M31" xr:uid="{C83FE64B-E221-4DAA-89EA-5307A7BC98B3}"/>
  <tableColumns count="3">
    <tableColumn id="1" xr3:uid="{CF4CC083-8415-4A42-9102-69414AAB96C8}" name="OS" dataDxfId="718"/>
    <tableColumn id="2" xr3:uid="{AFF5A585-6EEA-427D-B49B-A553763AA94C}" name="Vendedor" dataDxfId="717"/>
    <tableColumn id="3" xr3:uid="{2D8D088A-4AB0-487F-929A-89D197884938}" name="CARNE" dataDxfId="716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5" dataDxfId="713" headerRowBorderDxfId="714" tableBorderDxfId="712" totalsRowBorderDxfId="7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0"/>
    <tableColumn id="2" xr3:uid="{71667114-B8E0-4FEE-B3C4-B23C231E71C9}" name="Cliente" dataDxfId="709"/>
    <tableColumn id="3" xr3:uid="{413E4F46-D41F-4D0A-8403-3244651C22ED}" name="Forma de Pgto" dataDxfId="708" dataCellStyle="Moeda"/>
    <tableColumn id="4" xr3:uid="{695A7396-BEC7-498E-8F8D-5C11C17422D0}" name="Valor Parcela" dataDxfId="707" dataCellStyle="Porcentagem"/>
    <tableColumn id="5" xr3:uid="{7D0562F5-5DF1-49C0-BE96-CBD4632BD577}" name="Nº Parcela" dataDxfId="706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5" dataDxfId="703" headerRowBorderDxfId="704" tableBorderDxfId="702" totalsRowBorderDxfId="701">
  <autoFilter ref="K34:M41" xr:uid="{1B8643D4-6AC3-4029-882A-C62E9D7CB225}"/>
  <tableColumns count="3">
    <tableColumn id="1" xr3:uid="{468A4151-2B13-428F-B7B3-DD7850FB056D}" name="OS" dataDxfId="700"/>
    <tableColumn id="2" xr3:uid="{0E5A1628-3806-4E80-9B5C-6CCB43ED7A95}" name="Parcelas" dataDxfId="699"/>
    <tableColumn id="3" xr3:uid="{94527026-C4E7-48B1-ADEC-FAE98EDE2DF7}" name="Valor Total" dataDxfId="698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7" dataDxfId="695" headerRowBorderDxfId="696" tableBorderDxfId="694" totalsRowBorderDxfId="6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2" dataCellStyle="Moeda"/>
    <tableColumn id="5" xr3:uid="{B476382F-8FC0-4C4B-904B-9CEC2FD1737F}" name="Cliente" dataDxfId="691" dataCellStyle="Moeda"/>
    <tableColumn id="2" xr3:uid="{9347CB1E-8ECB-4789-B3B3-F0676BCEF308}" name="Forma de Pgto" dataDxfId="690" dataCellStyle="Moeda"/>
    <tableColumn id="3" xr3:uid="{95E7B651-F8E7-4260-A9CD-31524C1AF920}" name="Valor Venda" dataDxfId="689" dataCellStyle="Porcentagem"/>
    <tableColumn id="4" xr3:uid="{E1F36979-874B-46CF-A70F-6769CE2B4972}" name="Entrada" dataDxfId="688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7" dataDxfId="685" headerRowBorderDxfId="686" tableBorderDxfId="684" totalsRowBorderDxfId="683">
  <autoFilter ref="K5:M11" xr:uid="{00000000-0009-0000-0100-000015000000}"/>
  <tableColumns count="3">
    <tableColumn id="1" xr3:uid="{5DAF9728-D097-46AC-AFA1-2A7D5A636197}" name="Descrição" dataDxfId="682"/>
    <tableColumn id="2" xr3:uid="{7E14BBAB-F602-43F7-BA75-66182DDDFB5A}" name="Tipo de Pagto" dataDxfId="681"/>
    <tableColumn id="3" xr3:uid="{807C6654-E3F5-4B45-B712-93A22255EE13}" name="Valor" dataDxfId="680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9" dataDxfId="677" headerRowBorderDxfId="678" tableBorderDxfId="676" totalsRowBorderDxfId="6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4"/>
    <tableColumn id="2" xr3:uid="{DA2D4CE2-3235-4592-824A-D21C9FEE1324}" name="Cliente" dataDxfId="673"/>
    <tableColumn id="3" xr3:uid="{78436E8E-423C-4634-A0AC-78283D9649B2}" name="Forma de Pgto" dataDxfId="672" dataCellStyle="Moeda"/>
    <tableColumn id="4" xr3:uid="{9B5C140A-AEF6-451D-B599-1B3C00239BF3}" name="Valor Venda" dataDxfId="671" dataCellStyle="Porcentagem"/>
    <tableColumn id="5" xr3:uid="{91C4587E-3C3A-4A8E-B0CF-84D9FBCB29D6}" name="Entrada" dataDxfId="670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9" dataDxfId="667" headerRowBorderDxfId="668" tableBorderDxfId="666" totalsRowBorderDxfId="6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64"/>
    <tableColumn id="2" xr3:uid="{8A5D657B-8F60-4746-999B-0FA3393A39E9}" name="Vendedor" dataDxfId="663"/>
    <tableColumn id="3" xr3:uid="{496CB9CC-67BF-4541-A109-5F5FF565C716}" name="CARNE" dataDxfId="662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1" dataDxfId="659" headerRowBorderDxfId="660" tableBorderDxfId="658" totalsRowBorderDxfId="6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6"/>
    <tableColumn id="2" xr3:uid="{B3362A08-206B-41A8-970B-34C6B8B4C7AA}" name="Cliente" dataDxfId="655"/>
    <tableColumn id="3" xr3:uid="{718A6844-98C1-4F96-8966-19162734BEB9}" name="Forma de Pgto" dataDxfId="654" dataCellStyle="Moeda"/>
    <tableColumn id="4" xr3:uid="{DC15894A-49A7-435B-A661-5666005BEEC8}" name="Valor Parcela" dataDxfId="653" dataCellStyle="Porcentagem"/>
    <tableColumn id="5" xr3:uid="{DE080DD1-0F6B-485E-8515-CE624433C220}" name="Nº Parcela" dataDxfId="652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1" dataDxfId="649" headerRowBorderDxfId="650" tableBorderDxfId="648" totalsRowBorderDxfId="647">
  <autoFilter ref="K34:M41" xr:uid="{1B8643D4-6AC3-4029-882A-C62E9D7CB225}"/>
  <tableColumns count="3">
    <tableColumn id="1" xr3:uid="{DF952D1A-166D-4762-BD7E-3B8C91304310}" name="OS" dataDxfId="646"/>
    <tableColumn id="2" xr3:uid="{4F0F7384-D5B8-477E-9EC7-B82060EBBD78}" name="Parcelas" dataDxfId="645"/>
    <tableColumn id="3" xr3:uid="{8DD00EBF-D0FE-4903-8F44-7064A873609A}" name="Valor Total" dataDxfId="644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3" dataDxfId="641" headerRowBorderDxfId="642" tableBorderDxfId="640" totalsRowBorderDxfId="6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8" dataCellStyle="Moeda"/>
    <tableColumn id="5" xr3:uid="{F65697F3-20D0-4B41-BE55-C2885202D924}" name="Cliente" dataDxfId="637" dataCellStyle="Moeda"/>
    <tableColumn id="2" xr3:uid="{11E8E848-C035-46A3-B1AB-9BBD863CA30A}" name="Forma de Pgto" dataDxfId="636" dataCellStyle="Moeda"/>
    <tableColumn id="3" xr3:uid="{CE50BBF0-66D9-4ABB-AD66-D300C740ED4C}" name="Valor Venda" dataDxfId="635" dataCellStyle="Porcentagem"/>
    <tableColumn id="4" xr3:uid="{A6700982-093E-4E60-A8B4-C0EB11A78A03}" name="Entrada" dataDxfId="634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3" dataDxfId="631" headerRowBorderDxfId="632" tableBorderDxfId="630" totalsRowBorderDxfId="629">
  <autoFilter ref="K5:M11" xr:uid="{00000000-0009-0000-0100-000015000000}"/>
  <tableColumns count="3">
    <tableColumn id="1" xr3:uid="{53B1873C-545D-4906-B601-0C81EDA7CFE1}" name="Descrição" dataDxfId="628"/>
    <tableColumn id="2" xr3:uid="{76E6DB40-F96B-4A9C-8632-7103030C72DC}" name="Tipo de Pagto" dataDxfId="627"/>
    <tableColumn id="3" xr3:uid="{C62F93B6-2A0A-47C6-8FF1-E604490619BC}" name="Valor" dataDxfId="626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5" dataDxfId="623" headerRowBorderDxfId="624" tableBorderDxfId="622" totalsRowBorderDxfId="6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0"/>
    <tableColumn id="2" xr3:uid="{B806E92F-CE0E-4D07-A956-20D8F2029057}" name="Cliente" dataDxfId="619"/>
    <tableColumn id="3" xr3:uid="{36BDBAFD-E01B-4EEA-BEB0-2FB5914B315B}" name="Forma de Pgto" dataDxfId="618" dataCellStyle="Moeda"/>
    <tableColumn id="4" xr3:uid="{56605023-01AD-4E35-8794-2FCCF14CCA1F}" name="Valor Venda" dataDxfId="617" dataCellStyle="Porcentagem"/>
    <tableColumn id="5" xr3:uid="{C1960D0E-D625-415E-9C4E-608948FC535D}" name="Entrada" dataDxfId="616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5" dataDxfId="613" headerRowBorderDxfId="614" tableBorderDxfId="612" totalsRowBorderDxfId="611">
  <autoFilter ref="K14:M31" xr:uid="{C83FE64B-E221-4DAA-89EA-5307A7BC98B3}"/>
  <tableColumns count="3">
    <tableColumn id="1" xr3:uid="{6A036C59-7D03-43F7-84CF-EE3CB14BE67B}" name="OS" dataDxfId="610"/>
    <tableColumn id="2" xr3:uid="{C5A126A9-9B7F-4F06-ADC7-ACCED0396BF3}" name="Vendedor" dataDxfId="609"/>
    <tableColumn id="3" xr3:uid="{BA1C7B45-A00B-472E-A02F-25A3DC58D90D}" name="CARNE" dataDxfId="608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7" dataDxfId="605" headerRowBorderDxfId="606" tableBorderDxfId="604" totalsRowBorderDxfId="6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2"/>
    <tableColumn id="2" xr3:uid="{2C145274-4831-4FAC-9C72-4EE6C56B54AE}" name="Cliente" dataDxfId="601"/>
    <tableColumn id="3" xr3:uid="{DE981E69-6CF2-49CA-A2F4-E16E28E648B8}" name="Forma de Pgto" dataDxfId="600" dataCellStyle="Moeda"/>
    <tableColumn id="4" xr3:uid="{6444B2E2-EBBD-4AD1-8C9A-93047C0686E8}" name="Valor Parcela" dataDxfId="599" dataCellStyle="Porcentagem"/>
    <tableColumn id="5" xr3:uid="{04528C7F-DC52-411C-A2BF-BF90292C4224}" name="Nº Parcela" dataDxfId="598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7" headerRowBorderDxfId="596" tableBorderDxfId="595" totalsRowBorderDxfId="594">
  <autoFilter ref="K34:M41" xr:uid="{1B8643D4-6AC3-4029-882A-C62E9D7CB225}"/>
  <tableColumns count="3">
    <tableColumn id="1" xr3:uid="{B8F19651-A782-44BC-8BA0-FFD090973F4B}" name="OS" dataDxfId="593"/>
    <tableColumn id="2" xr3:uid="{47E2F01C-C7E6-4997-80A0-4C35FA7B082A}" name="Parcelas" dataDxfId="592"/>
    <tableColumn id="3" xr3:uid="{BBBC80DF-0D25-47A9-9C8A-B68DAC85549A}" name="Valor Total" dataDxfId="591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0" dataDxfId="588" headerRowBorderDxfId="589" tableBorderDxfId="587" totalsRowBorderDxfId="5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5" dataCellStyle="Moeda"/>
    <tableColumn id="5" xr3:uid="{63E5AEF6-80DE-4801-B1C2-914D1F185217}" name="Cliente" dataDxfId="584" dataCellStyle="Moeda"/>
    <tableColumn id="2" xr3:uid="{1109E74A-578C-491B-B35C-C22544718F14}" name="Forma de Pgto" dataDxfId="583" dataCellStyle="Moeda"/>
    <tableColumn id="3" xr3:uid="{5C59392A-0568-4E84-9867-F9DCD09B25B6}" name="Valor Venda" dataDxfId="582" dataCellStyle="Porcentagem"/>
    <tableColumn id="4" xr3:uid="{D2C3A378-8143-432B-A8C6-A6193ABD7662}" name="Entrada" dataDxfId="581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0" dataDxfId="578" headerRowBorderDxfId="579" tableBorderDxfId="577" totalsRowBorderDxfId="576">
  <autoFilter ref="K5:M11" xr:uid="{00000000-0009-0000-0100-000015000000}"/>
  <tableColumns count="3">
    <tableColumn id="1" xr3:uid="{E6962685-66B9-4B52-AFC6-82E1DC5ABF13}" name="Descrição" dataDxfId="575"/>
    <tableColumn id="2" xr3:uid="{632111FE-E109-4AB8-89E6-0435B85BD131}" name="Tipo de Pagto" dataDxfId="574"/>
    <tableColumn id="3" xr3:uid="{E8C5B365-8D2D-4605-8A16-1AB9150BCC44}" name="Valor" dataDxfId="573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2" dataDxfId="570" headerRowBorderDxfId="571" tableBorderDxfId="569" totalsRowBorderDxfId="5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7"/>
    <tableColumn id="2" xr3:uid="{C0E81097-83C4-4524-8E34-CEF9787F8A7E}" name="Cliente" dataDxfId="566"/>
    <tableColumn id="3" xr3:uid="{8D59E67E-B452-4F9A-AAE0-36EA95BB6E19}" name="Forma de Pgto" dataDxfId="565" dataCellStyle="Moeda"/>
    <tableColumn id="4" xr3:uid="{F7466880-2D96-46D0-97F5-A0F3057F4B83}" name="Valor Venda" dataDxfId="564" dataCellStyle="Porcentagem"/>
    <tableColumn id="5" xr3:uid="{1C9ACBF3-A8FA-4869-9459-B9FD6EE7CC98}" name="Entrada" dataDxfId="563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2" dataDxfId="560" headerRowBorderDxfId="561" tableBorderDxfId="559" totalsRowBorderDxfId="558">
  <autoFilter ref="K14:M31" xr:uid="{C83FE64B-E221-4DAA-89EA-5307A7BC98B3}"/>
  <tableColumns count="3">
    <tableColumn id="1" xr3:uid="{B00D0221-B7E2-4319-872F-39A5F278179B}" name="OS" dataDxfId="557"/>
    <tableColumn id="2" xr3:uid="{EB50C8BC-2DB9-4F7B-B612-681BB547926A}" name="Vendedor" dataDxfId="556"/>
    <tableColumn id="3" xr3:uid="{35270191-CAC7-406B-B916-370E9194FBD0}" name="CARNE" dataDxfId="555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4" dataDxfId="552" headerRowBorderDxfId="553" tableBorderDxfId="551" totalsRowBorderDxfId="5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9"/>
    <tableColumn id="2" xr3:uid="{D650DC73-190F-4D20-A432-5DFA05B32EBB}" name="Cliente" dataDxfId="548"/>
    <tableColumn id="3" xr3:uid="{B232D3BA-4291-4772-8FA1-966DFC2F6BAD}" name="Forma de Pgto" dataDxfId="547" dataCellStyle="Moeda"/>
    <tableColumn id="4" xr3:uid="{27933DC4-0B14-4F8A-9424-CDECA8B0BE13}" name="Valor Parcela" dataDxfId="546" dataCellStyle="Porcentagem"/>
    <tableColumn id="5" xr3:uid="{812A2DA5-D78D-454A-BF37-5BC7C8B486FB}" name="Nº Parcela" dataDxfId="545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4" dataDxfId="542" headerRowBorderDxfId="543" tableBorderDxfId="541" totalsRowBorderDxfId="540">
  <autoFilter ref="K34:M41" xr:uid="{1B8643D4-6AC3-4029-882A-C62E9D7CB225}"/>
  <tableColumns count="3">
    <tableColumn id="1" xr3:uid="{F3E7E89B-8196-4CDC-A23E-947DB3CEA07C}" name="OS" dataDxfId="539"/>
    <tableColumn id="2" xr3:uid="{D705822D-AFE1-401D-A8C8-7D7BB7A4C86C}" name="Parcelas" dataDxfId="538"/>
    <tableColumn id="3" xr3:uid="{C528E7A1-6466-4E27-8A7C-A46F4678792C}" name="Valor Total" dataDxfId="537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6" dataDxfId="534" headerRowBorderDxfId="535" tableBorderDxfId="533" totalsRowBorderDxfId="53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1" dataCellStyle="Moeda"/>
    <tableColumn id="5" xr3:uid="{935EFB73-C7DF-4DB2-A9CA-2CCBA3650F22}" name="Cliente" dataDxfId="530" dataCellStyle="Moeda"/>
    <tableColumn id="2" xr3:uid="{869122A0-3CC2-4E92-8EFB-746E8E8CB311}" name="Forma de Pgto" dataDxfId="529" dataCellStyle="Moeda"/>
    <tableColumn id="3" xr3:uid="{6DA3B9FE-BCC2-4503-9E60-EA0ED444B7A6}" name="Valor Venda" dataDxfId="528" dataCellStyle="Porcentagem"/>
    <tableColumn id="4" xr3:uid="{A8A1A79C-5DE2-48A0-9D24-1DA382BBF42E}" name="Entrada" dataDxfId="527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6" dataDxfId="524" headerRowBorderDxfId="525" tableBorderDxfId="523" totalsRowBorderDxfId="522">
  <autoFilter ref="K5:M11" xr:uid="{00000000-0009-0000-0100-000015000000}"/>
  <tableColumns count="3">
    <tableColumn id="1" xr3:uid="{3E8535D4-7B2A-41EF-B25F-D96FCA746C77}" name="Descrição" dataDxfId="521"/>
    <tableColumn id="2" xr3:uid="{29FD7EBB-FAB4-46A7-8D0C-8DEF811BE03C}" name="Tipo de Pagto" dataDxfId="520"/>
    <tableColumn id="3" xr3:uid="{42A84199-904C-48CF-9EA1-668D5693A5E1}" name="Valor" dataDxfId="519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8" dataDxfId="516" headerRowBorderDxfId="517" tableBorderDxfId="515" totalsRowBorderDxfId="51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3"/>
    <tableColumn id="2" xr3:uid="{06FD4E8A-ECFC-46A5-9546-F18D5C7CCF46}" name="Cliente" dataDxfId="512"/>
    <tableColumn id="3" xr3:uid="{393434A3-085F-407B-B651-4C537A1C4DCA}" name="Forma de Pgto" dataDxfId="511" dataCellStyle="Moeda"/>
    <tableColumn id="4" xr3:uid="{D08FA6C2-56D1-4A76-94C1-132618C070F2}" name="Valor Venda" dataDxfId="510" dataCellStyle="Porcentagem"/>
    <tableColumn id="5" xr3:uid="{A94780A1-5426-454F-8950-AFE4D356071F}" name="Entrada" dataDxfId="509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8" dataDxfId="506" headerRowBorderDxfId="507" tableBorderDxfId="505" totalsRowBorderDxfId="504">
  <autoFilter ref="K14:M31" xr:uid="{C83FE64B-E221-4DAA-89EA-5307A7BC98B3}"/>
  <tableColumns count="3">
    <tableColumn id="1" xr3:uid="{5F81F202-5A63-416E-B66A-BC7A70C51944}" name="OS" dataDxfId="503"/>
    <tableColumn id="2" xr3:uid="{74527326-0E45-44AC-976A-01AD354EEF97}" name="Vendedor" dataDxfId="502"/>
    <tableColumn id="3" xr3:uid="{7E368C39-6290-45A4-8C60-3E0B6BEC860E}" name="CARNE" dataDxfId="501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0" dataDxfId="498" headerRowBorderDxfId="499" tableBorderDxfId="497" totalsRowBorderDxfId="49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5"/>
    <tableColumn id="2" xr3:uid="{5FB18F19-64B5-46AA-955B-A301C651C0F2}" name="Cliente" dataDxfId="494"/>
    <tableColumn id="3" xr3:uid="{51F731CD-986B-4FF6-A861-83997E66998E}" name="Forma de Pgto" dataDxfId="493" dataCellStyle="Moeda"/>
    <tableColumn id="4" xr3:uid="{BD861052-26CD-48E9-91C6-0A6DF7C6A099}" name="Valor Parcela" dataDxfId="492" dataCellStyle="Porcentagem"/>
    <tableColumn id="5" xr3:uid="{8A5D6765-7637-45A4-9660-09EDBB031EC1}" name="Nº Parcela" dataDxfId="491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0" dataDxfId="488" headerRowBorderDxfId="489" tableBorderDxfId="487" totalsRowBorderDxfId="486">
  <autoFilter ref="K34:M41" xr:uid="{1B8643D4-6AC3-4029-882A-C62E9D7CB225}"/>
  <tableColumns count="3">
    <tableColumn id="1" xr3:uid="{96F2F5A7-6005-4604-8B24-0E2838B4DD29}" name="OS" dataDxfId="485"/>
    <tableColumn id="2" xr3:uid="{ED904B68-5D9C-4B50-96BA-96CAD5E34CF1}" name="Parcelas" dataDxfId="484"/>
    <tableColumn id="3" xr3:uid="{317680F4-80F7-44BC-B3EF-4EFC6A803CAC}" name="Valor Total" dataDxfId="483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2" dataDxfId="480" headerRowBorderDxfId="481" tableBorderDxfId="479" totalsRowBorderDxfId="47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7" dataCellStyle="Moeda"/>
    <tableColumn id="5" xr3:uid="{8C950723-3D74-47BB-96EF-8D7D6A2189F6}" name="Cliente" dataDxfId="476" dataCellStyle="Moeda"/>
    <tableColumn id="2" xr3:uid="{891A7678-229E-4FF4-AD78-C00F149C7AB3}" name="Forma de Pgto" dataDxfId="475" dataCellStyle="Moeda"/>
    <tableColumn id="3" xr3:uid="{C1AD64CF-D636-4D0B-90AF-998E65C41E3B}" name="Valor Venda" dataDxfId="474" dataCellStyle="Porcentagem"/>
    <tableColumn id="4" xr3:uid="{4674130B-789D-479A-9F01-407FB3322D27}" name="Entrada" dataDxfId="473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2" dataDxfId="470" headerRowBorderDxfId="471" tableBorderDxfId="469" totalsRowBorderDxfId="468">
  <autoFilter ref="K5:M11" xr:uid="{00000000-0009-0000-0100-000015000000}"/>
  <tableColumns count="3">
    <tableColumn id="1" xr3:uid="{558DC85F-C627-4F48-82AA-C24727E75A42}" name="Descrição" dataDxfId="467"/>
    <tableColumn id="2" xr3:uid="{8346B0E0-FB0D-4ED3-ABBC-3816B7CB40C9}" name="Tipo de Pagto" dataDxfId="466"/>
    <tableColumn id="3" xr3:uid="{362F9934-CC54-4E70-A26F-6CDF66DEB838}" name="Valor" dataDxfId="465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4" dataDxfId="462" headerRowBorderDxfId="463" tableBorderDxfId="461" totalsRowBorderDxfId="46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9"/>
    <tableColumn id="2" xr3:uid="{B711E4E6-0AE5-42C8-8015-A72C2855CDFB}" name="Cliente" dataDxfId="458"/>
    <tableColumn id="3" xr3:uid="{016D3713-BA29-48F8-8683-6E42C1C8BDFE}" name="Forma de Pgto" dataDxfId="457" dataCellStyle="Moeda"/>
    <tableColumn id="4" xr3:uid="{66F30211-F047-40DA-B134-05B87A798574}" name="Valor Venda" dataDxfId="456" dataCellStyle="Porcentagem"/>
    <tableColumn id="5" xr3:uid="{2FB6AB3C-AA9E-4034-AF4B-12D9A3ECBBCA}" name="Entrada" dataDxfId="455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4" dataDxfId="452" headerRowBorderDxfId="453" tableBorderDxfId="451" totalsRowBorderDxfId="450">
  <autoFilter ref="K14:M31" xr:uid="{C83FE64B-E221-4DAA-89EA-5307A7BC98B3}"/>
  <tableColumns count="3">
    <tableColumn id="1" xr3:uid="{D6DF1477-46D1-47E2-A070-9A33886E6137}" name="OS" dataDxfId="449"/>
    <tableColumn id="2" xr3:uid="{C4215FA6-4F2C-444A-8E0B-4F99AEEE9430}" name="Vendedor" dataDxfId="448"/>
    <tableColumn id="3" xr3:uid="{7B8AD675-F389-4803-BFFB-8166F703E829}" name="CARNE" dataDxfId="447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6" dataDxfId="444" headerRowBorderDxfId="445" tableBorderDxfId="443" totalsRowBorderDxfId="442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1"/>
    <tableColumn id="2" xr3:uid="{45674E96-72EC-433B-9141-E40A07A72A19}" name="Cliente" dataDxfId="440"/>
    <tableColumn id="3" xr3:uid="{22102B96-8607-4584-B5A3-C1EE639E0F4C}" name="Forma de Pgto" dataDxfId="439" dataCellStyle="Moeda"/>
    <tableColumn id="4" xr3:uid="{DC2E9D15-91B3-4478-AA38-B98773D1B0DA}" name="Valor Parcela" dataDxfId="438" dataCellStyle="Porcentagem"/>
    <tableColumn id="5" xr3:uid="{ABCCDEDB-69A0-4492-A24A-12A60E76A2F8}" name="Nº Parcela" dataDxfId="437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6" dataDxfId="434" headerRowBorderDxfId="435" tableBorderDxfId="433" totalsRowBorderDxfId="432">
  <autoFilter ref="K34:M41" xr:uid="{1B8643D4-6AC3-4029-882A-C62E9D7CB225}"/>
  <tableColumns count="3">
    <tableColumn id="1" xr3:uid="{96E4A694-A16C-4FAB-8484-5D1DCD513FF1}" name="OS" dataDxfId="431"/>
    <tableColumn id="2" xr3:uid="{CEC7F98C-5986-47BB-824E-5616D5A150E4}" name="Parcelas" dataDxfId="430"/>
    <tableColumn id="3" xr3:uid="{A82CBD0B-203D-4ED5-BDE4-3B77ECED5860}" name="Valor Total" dataDxfId="429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8" dataDxfId="426" headerRowBorderDxfId="427" tableBorderDxfId="425" totalsRowBorderDxfId="42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3" dataCellStyle="Moeda"/>
    <tableColumn id="5" xr3:uid="{28960474-C27A-4147-BD99-7BB60462B8B0}" name="Cliente" dataDxfId="422" dataCellStyle="Moeda"/>
    <tableColumn id="2" xr3:uid="{67D37C1F-FE45-48AD-BED8-2CFECE89FEA0}" name="Forma de Pgto" dataDxfId="421" dataCellStyle="Moeda"/>
    <tableColumn id="3" xr3:uid="{9D53CA59-8DC0-45C1-B948-0BC9CE105A46}" name="Valor Venda" dataDxfId="420" dataCellStyle="Porcentagem"/>
    <tableColumn id="4" xr3:uid="{63C5EED9-C4FA-4177-B2B7-18053322A958}" name="Entrada" dataDxfId="419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8" dataDxfId="416" headerRowBorderDxfId="417" tableBorderDxfId="415" totalsRowBorderDxfId="414">
  <autoFilter ref="K5:M11" xr:uid="{00000000-0009-0000-0100-000015000000}"/>
  <tableColumns count="3">
    <tableColumn id="1" xr3:uid="{EA5469B7-1D8E-40E9-95A2-35DAC9D5EC13}" name="Descrição" dataDxfId="413"/>
    <tableColumn id="2" xr3:uid="{6149AE8A-4EBC-4D73-8258-5E25710E3A30}" name="Tipo de Pagto" dataDxfId="412"/>
    <tableColumn id="3" xr3:uid="{6872D867-5B80-4E69-B012-87CC7B75B649}" name="Valor" dataDxfId="411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0" dataDxfId="408" headerRowBorderDxfId="409" tableBorderDxfId="407" totalsRowBorderDxfId="40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5"/>
    <tableColumn id="2" xr3:uid="{83BEE3E3-D5E6-4B4E-B0F3-B7D166EBC951}" name="Cliente" dataDxfId="404"/>
    <tableColumn id="3" xr3:uid="{D56D36FF-3364-4C9B-95E8-FF48852EB70B}" name="Forma de Pgto" dataDxfId="403" dataCellStyle="Moeda"/>
    <tableColumn id="4" xr3:uid="{E2E76570-BF3A-47F8-A702-0FE2FE405B33}" name="Valor Venda" dataDxfId="402" dataCellStyle="Porcentagem"/>
    <tableColumn id="5" xr3:uid="{19FD5054-F0CE-4B30-BF14-7D86B666A44E}" name="Entrada" dataDxfId="401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0" dataDxfId="398" headerRowBorderDxfId="399" tableBorderDxfId="397" totalsRowBorderDxfId="396">
  <autoFilter ref="K14:M31" xr:uid="{C83FE64B-E221-4DAA-89EA-5307A7BC98B3}"/>
  <tableColumns count="3">
    <tableColumn id="1" xr3:uid="{2A900AC2-CDD6-4655-B7AF-13F9A8DDD9FF}" name="OS" dataDxfId="395"/>
    <tableColumn id="2" xr3:uid="{D566D654-CC7D-40A6-874D-6CD6342DEC3B}" name="Vendedor" dataDxfId="394"/>
    <tableColumn id="3" xr3:uid="{E8D97BA9-0913-40AD-B2A5-0F60E6A0BE95}" name="CARNE" dataDxfId="393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2" dataDxfId="390" headerRowBorderDxfId="391" tableBorderDxfId="389" totalsRowBorderDxfId="38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7"/>
    <tableColumn id="2" xr3:uid="{CDAD5229-EE1B-4727-8C27-8A17FEDA1C5C}" name="Cliente" dataDxfId="386"/>
    <tableColumn id="3" xr3:uid="{93224419-805E-4D8C-A296-80DA02CCC413}" name="Forma de Pgto" dataDxfId="385" dataCellStyle="Moeda"/>
    <tableColumn id="4" xr3:uid="{40C77CE6-762C-49C9-94EB-7D5AFC9A73A4}" name="Valor Parcela" dataDxfId="384" dataCellStyle="Porcentagem"/>
    <tableColumn id="5" xr3:uid="{8A7914AB-189B-4928-860C-9AB79BAA232D}" name="Nº Parcela" dataDxfId="383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2" headerRowBorderDxfId="381" tableBorderDxfId="380" totalsRowBorderDxfId="379">
  <autoFilter ref="K34:M41" xr:uid="{1B8643D4-6AC3-4029-882A-C62E9D7CB225}"/>
  <tableColumns count="3">
    <tableColumn id="1" xr3:uid="{C92D7BD7-E114-41CE-802D-B41EFFA721F2}" name="OS" dataDxfId="378"/>
    <tableColumn id="2" xr3:uid="{C67ABBBE-4637-4653-928F-36D0678D64F6}" name="Parcelas" dataDxfId="377"/>
    <tableColumn id="3" xr3:uid="{2217F874-8724-4CC1-9542-1585CC1817E3}" name="Valor Total" dataDxfId="376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5" dataDxfId="373" headerRowBorderDxfId="374" tableBorderDxfId="372" totalsRowBorderDxfId="37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0" dataCellStyle="Moeda"/>
    <tableColumn id="5" xr3:uid="{EA7582FE-FEFF-4011-BD42-218C3664E6AB}" name="Cliente" dataDxfId="369" dataCellStyle="Moeda"/>
    <tableColumn id="2" xr3:uid="{F90F407A-44F2-4B25-95B2-7FFF747C7AA1}" name="Forma de Pgto" dataDxfId="368" dataCellStyle="Moeda"/>
    <tableColumn id="3" xr3:uid="{3ED51D07-27C8-4437-A49E-867C7274BC65}" name="Valor Venda" dataDxfId="367" dataCellStyle="Porcentagem"/>
    <tableColumn id="4" xr3:uid="{42C92817-5DF0-4DE7-B430-03840EF6E852}" name="Entrada" dataDxfId="366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5" dataDxfId="363" headerRowBorderDxfId="364" tableBorderDxfId="362" totalsRowBorderDxfId="361">
  <autoFilter ref="K5:M11" xr:uid="{00000000-0009-0000-0100-000015000000}"/>
  <tableColumns count="3">
    <tableColumn id="1" xr3:uid="{BCDA9109-FE1B-43D0-A775-F187BA433103}" name="Descrição" dataDxfId="360"/>
    <tableColumn id="2" xr3:uid="{6200DB38-1340-49E2-8DB4-68F203C169F1}" name="Tipo de Pagto" dataDxfId="359"/>
    <tableColumn id="3" xr3:uid="{27595B27-AB97-40C9-BECE-DEB4EF2576B7}" name="Valor" dataDxfId="358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7" dataDxfId="355" headerRowBorderDxfId="356" tableBorderDxfId="354" totalsRowBorderDxfId="35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2"/>
    <tableColumn id="2" xr3:uid="{2547CEAB-188F-4407-8B89-F3536432D0FA}" name="Cliente" dataDxfId="351"/>
    <tableColumn id="3" xr3:uid="{54CBD340-AB1A-4F98-A129-037389C3E236}" name="Forma de Pgto" dataDxfId="350" dataCellStyle="Moeda"/>
    <tableColumn id="4" xr3:uid="{CB0BC571-5837-4C35-AFDD-D5873CE23AE9}" name="Valor Venda" dataDxfId="349" dataCellStyle="Porcentagem"/>
    <tableColumn id="5" xr3:uid="{517A77AC-A76A-4CE7-B5D1-3FEFDF7B8722}" name="Entrada" dataDxfId="348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7" dataDxfId="345" headerRowBorderDxfId="346" tableBorderDxfId="344" totalsRowBorderDxfId="343">
  <autoFilter ref="K14:M31" xr:uid="{C83FE64B-E221-4DAA-89EA-5307A7BC98B3}"/>
  <tableColumns count="3">
    <tableColumn id="1" xr3:uid="{71C4392B-8887-40B1-9A7B-C600C91C0A9F}" name="OS" dataDxfId="342"/>
    <tableColumn id="2" xr3:uid="{EAC02F14-380C-4B61-8944-E4F1EC6C2572}" name="Vendedor" dataDxfId="341"/>
    <tableColumn id="3" xr3:uid="{04750BAB-2533-45E4-AD1A-4273DBA80CF4}" name="CARNE" dataDxfId="340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9" dataDxfId="337" headerRowBorderDxfId="338" tableBorderDxfId="336" totalsRowBorderDxfId="33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4"/>
    <tableColumn id="2" xr3:uid="{C78ED1A0-4ABC-4C46-9011-9E7D40E53828}" name="Cliente" dataDxfId="333"/>
    <tableColumn id="3" xr3:uid="{5CDE3049-7EDA-4337-9E8E-58F0DB4CFDD5}" name="Forma de Pgto" dataDxfId="332" dataCellStyle="Moeda"/>
    <tableColumn id="4" xr3:uid="{7ACCAB16-AFFF-4B9D-A25F-B45F3BBA93B9}" name="Valor Parcela" dataDxfId="331" dataCellStyle="Porcentagem"/>
    <tableColumn id="5" xr3:uid="{15EC4276-5957-4146-877A-2D9AF52832DE}" name="Nº Parcela" dataDxfId="330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9" dataDxfId="327" headerRowBorderDxfId="328" tableBorderDxfId="326" totalsRowBorderDxfId="325">
  <autoFilter ref="K34:M41" xr:uid="{1B8643D4-6AC3-4029-882A-C62E9D7CB225}"/>
  <tableColumns count="3">
    <tableColumn id="1" xr3:uid="{509FE920-B0D4-48CC-8AFC-C231084014ED}" name="OS" dataDxfId="324"/>
    <tableColumn id="2" xr3:uid="{648797DA-323D-4F7C-95F3-3223D3A08821}" name="Parcelas" dataDxfId="323"/>
    <tableColumn id="3" xr3:uid="{0684A7C0-4163-4297-B332-DFFBB65E266D}" name="Valor Total" dataDxfId="322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1" dataDxfId="319" headerRowBorderDxfId="320" tableBorderDxfId="318" totalsRowBorderDxfId="3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6" dataCellStyle="Moeda"/>
    <tableColumn id="5" xr3:uid="{FA1FA1DC-5352-4524-9AB2-369222C4BDD1}" name="Cliente" dataDxfId="315" dataCellStyle="Moeda"/>
    <tableColumn id="2" xr3:uid="{A73B5E06-AB1F-48ED-B61C-8853446A4F5E}" name="Forma de Pgto" dataDxfId="314" dataCellStyle="Moeda"/>
    <tableColumn id="3" xr3:uid="{E5231A7F-7D20-4503-A786-BF9FC0E23F42}" name="Valor Venda" dataDxfId="313" dataCellStyle="Porcentagem"/>
    <tableColumn id="4" xr3:uid="{86DAF072-A11E-464D-A335-9A5F5FF09F8D}" name="Entrada" dataDxfId="312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1" dataDxfId="309" headerRowBorderDxfId="310" tableBorderDxfId="308" totalsRowBorderDxfId="307">
  <autoFilter ref="K5:M11" xr:uid="{00000000-0009-0000-0100-000015000000}"/>
  <tableColumns count="3">
    <tableColumn id="1" xr3:uid="{0C299E65-9391-4336-8CF7-2EC1702B221E}" name="Descrição" dataDxfId="306"/>
    <tableColumn id="2" xr3:uid="{45EA8371-50DD-4161-8CE6-AE739B48843A}" name="Tipo de Pagto" dataDxfId="305"/>
    <tableColumn id="3" xr3:uid="{4D98764C-873C-4A32-9ABD-121372723463}" name="Valor" dataDxfId="304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3" dataDxfId="301" headerRowBorderDxfId="302" tableBorderDxfId="300" totalsRowBorderDxfId="2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8"/>
    <tableColumn id="2" xr3:uid="{212BE65F-3FA5-419B-B9A4-58240EFDEBFA}" name="Cliente" dataDxfId="297"/>
    <tableColumn id="3" xr3:uid="{1EE1E2AC-25F1-4013-8D38-A0638CF454DB}" name="Forma de Pgto" dataDxfId="296" dataCellStyle="Moeda"/>
    <tableColumn id="4" xr3:uid="{38D98562-880F-4C00-A26B-F40D7F6C9E67}" name="Valor Venda" dataDxfId="295" dataCellStyle="Porcentagem"/>
    <tableColumn id="5" xr3:uid="{183B778F-EB01-4FDA-BD28-D4D361F688C4}" name="Entrada" dataDxfId="294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3" dataDxfId="291" headerRowBorderDxfId="292" tableBorderDxfId="290" totalsRowBorderDxfId="289">
  <autoFilter ref="K14:M31" xr:uid="{C83FE64B-E221-4DAA-89EA-5307A7BC98B3}"/>
  <tableColumns count="3">
    <tableColumn id="1" xr3:uid="{21BA2342-0EF4-4D12-8CEB-D5F98AF1E43D}" name="OS" dataDxfId="288"/>
    <tableColumn id="2" xr3:uid="{8EC3F5A2-9325-43BD-A364-C3D24B7F492B}" name="Vendedor" dataDxfId="287"/>
    <tableColumn id="3" xr3:uid="{60B7BB21-2E30-4BF0-9109-7C61A6F8023E}" name="CARNE" dataDxfId="286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5" dataDxfId="283" headerRowBorderDxfId="284" tableBorderDxfId="282" totalsRowBorderDxfId="2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0"/>
    <tableColumn id="2" xr3:uid="{FEC021D0-C21F-4087-AA46-92F79B0BD15C}" name="Cliente" dataDxfId="279"/>
    <tableColumn id="3" xr3:uid="{B057DFD4-3A13-40AD-95B0-7A4A6D2F12EA}" name="Forma de Pgto" dataDxfId="278" dataCellStyle="Moeda"/>
    <tableColumn id="4" xr3:uid="{8571FA4F-3615-40B7-87DD-4A3572C756ED}" name="Valor Parcela" dataDxfId="277" dataCellStyle="Porcentagem"/>
    <tableColumn id="5" xr3:uid="{32F42922-7FF4-44E6-8FE1-CF1D84ED2607}" name="Nº Parcela" dataDxfId="276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5" dataDxfId="273" headerRowBorderDxfId="274" tableBorderDxfId="272" totalsRowBorderDxfId="271">
  <autoFilter ref="K34:M41" xr:uid="{1B8643D4-6AC3-4029-882A-C62E9D7CB225}"/>
  <tableColumns count="3">
    <tableColumn id="1" xr3:uid="{239C8B86-39AD-48DE-8CD4-9E298F831595}" name="OS" dataDxfId="270"/>
    <tableColumn id="2" xr3:uid="{52A4913C-562E-40FD-8422-19A5A2E9F3E9}" name="Parcelas" dataDxfId="269"/>
    <tableColumn id="3" xr3:uid="{A2980378-BECE-4786-B65D-94F14F69AE6B}" name="Valor Total" dataDxfId="268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7" dataDxfId="265" headerRowBorderDxfId="266" tableBorderDxfId="264" totalsRowBorderDxfId="2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2" dataCellStyle="Moeda"/>
    <tableColumn id="5" xr3:uid="{570F0DA8-D686-4E48-AB43-770DB49D735A}" name="Cliente" dataDxfId="261" dataCellStyle="Moeda"/>
    <tableColumn id="2" xr3:uid="{80EB692B-CEF9-4384-93C3-D0C2D659D8B9}" name="Forma de Pgto" dataDxfId="260" dataCellStyle="Moeda"/>
    <tableColumn id="3" xr3:uid="{C072FA33-E65C-46A1-9619-122C55ADB543}" name="Valor Venda" dataDxfId="259" dataCellStyle="Porcentagem"/>
    <tableColumn id="4" xr3:uid="{A6AD7AE2-A356-40B6-8551-4661FBEB3F51}" name="Entrada" dataDxfId="258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7" dataDxfId="255" headerRowBorderDxfId="256" tableBorderDxfId="254" totalsRowBorderDxfId="253">
  <autoFilter ref="K5:M11" xr:uid="{00000000-0009-0000-0100-000015000000}"/>
  <tableColumns count="3">
    <tableColumn id="1" xr3:uid="{B332CB19-9163-40A3-A95C-B96A1582E073}" name="Descrição" dataDxfId="252"/>
    <tableColumn id="2" xr3:uid="{61F5EE7F-73F4-42E2-A9DC-23449B0C3C01}" name="Tipo de Pagto" dataDxfId="251"/>
    <tableColumn id="3" xr3:uid="{DA89D608-9609-4843-A5C1-DE0E1200E4A8}" name="Valor" dataDxfId="250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9" dataDxfId="247" headerRowBorderDxfId="248" tableBorderDxfId="246" totalsRowBorderDxfId="2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4"/>
    <tableColumn id="2" xr3:uid="{AC5BDFCE-FCF6-4AAB-9202-5F41FD623E7A}" name="Cliente" dataDxfId="243"/>
    <tableColumn id="3" xr3:uid="{60B29A82-92C4-41E9-85E9-1CB47FDC0F48}" name="Forma de Pgto" dataDxfId="242" dataCellStyle="Moeda"/>
    <tableColumn id="4" xr3:uid="{77AEFEA3-2B2A-45D9-B420-2C503790CB98}" name="Valor Venda" dataDxfId="241" dataCellStyle="Porcentagem"/>
    <tableColumn id="5" xr3:uid="{ADAFB771-5146-4657-B325-26E81CB97F70}" name="Entrada" dataDxfId="240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9" dataDxfId="237" headerRowBorderDxfId="238" tableBorderDxfId="236" totalsRowBorderDxfId="235">
  <autoFilter ref="K14:M31" xr:uid="{C83FE64B-E221-4DAA-89EA-5307A7BC98B3}"/>
  <tableColumns count="3">
    <tableColumn id="1" xr3:uid="{A681CC1B-EF00-4702-9240-49A1F9CD0ED9}" name="OS" dataDxfId="234"/>
    <tableColumn id="2" xr3:uid="{CACBAC13-6FB8-41CD-B9DA-E0BF6545625A}" name="Vendedor" dataDxfId="233"/>
    <tableColumn id="3" xr3:uid="{62DBFAEA-33ED-481B-88FE-D480C79BD70A}" name="CARNE" dataDxfId="232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1" dataDxfId="229" headerRowBorderDxfId="230" tableBorderDxfId="228" totalsRowBorderDxfId="2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6"/>
    <tableColumn id="2" xr3:uid="{84774BA8-817B-4BB4-B330-18FC2D74BEBD}" name="Cliente" dataDxfId="225"/>
    <tableColumn id="3" xr3:uid="{B445E0F1-2EE3-48E4-A8D9-FA43238816EF}" name="Forma de Pgto" dataDxfId="224" dataCellStyle="Moeda"/>
    <tableColumn id="4" xr3:uid="{ABB960AB-65AE-4F15-BF53-C9D07E2FDA8B}" name="Valor Parcela" dataDxfId="223" dataCellStyle="Porcentagem"/>
    <tableColumn id="5" xr3:uid="{89825584-3833-4995-A86E-D7E4080CB9BB}" name="Nº Parcela" dataDxfId="222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1" dataDxfId="219" headerRowBorderDxfId="220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>
      <calculatedColumnFormula>349-I27</calculatedColumnFormula>
    </tableColumn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53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15776</v>
      </c>
      <c r="P3" t="s">
        <v>130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12172.7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39</v>
      </c>
      <c r="P5" t="s">
        <v>132</v>
      </c>
    </row>
    <row r="6" spans="1:16" ht="15.75" x14ac:dyDescent="0.25">
      <c r="A6" s="27" t="s">
        <v>4</v>
      </c>
      <c r="B6" s="28">
        <f ca="1">SUM(B4:B5)</f>
        <v>12211.7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98" t="s">
        <v>5</v>
      </c>
      <c r="B8" s="198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1357.13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2684.1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3364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4767.47</v>
      </c>
      <c r="P13" t="s">
        <v>140</v>
      </c>
    </row>
    <row r="14" spans="1:16" ht="15.75" x14ac:dyDescent="0.25">
      <c r="A14" s="27" t="s">
        <v>11</v>
      </c>
      <c r="B14" s="54">
        <f ca="1">SUM(B9:B13)</f>
        <v>12172.7</v>
      </c>
    </row>
    <row r="15" spans="1:16" ht="15" x14ac:dyDescent="0.25">
      <c r="A15" s="2"/>
      <c r="B15" s="2"/>
    </row>
    <row r="16" spans="1:16" ht="15" x14ac:dyDescent="0.2">
      <c r="A16" s="198" t="s">
        <v>12</v>
      </c>
      <c r="B16" s="198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1163.4000000000001</v>
      </c>
    </row>
    <row r="18" spans="1:2" ht="15.75" x14ac:dyDescent="0.25">
      <c r="A18" s="27" t="s">
        <v>11</v>
      </c>
      <c r="B18" s="54">
        <f>SUM(B17:B17)</f>
        <v>1163.4000000000001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79" zoomScaleNormal="79" workbookViewId="0">
      <selection activeCell="C7" sqref="C7"/>
    </sheetView>
  </sheetViews>
  <sheetFormatPr defaultColWidth="9.140625" defaultRowHeight="15" x14ac:dyDescent="0.25"/>
  <cols>
    <col min="1" max="1" width="0.85546875" style="95" customWidth="1"/>
    <col min="2" max="2" width="23.28515625" style="95" bestFit="1" customWidth="1"/>
    <col min="3" max="3" width="14" style="95" customWidth="1"/>
    <col min="4" max="4" width="1.28515625" style="95" customWidth="1"/>
    <col min="5" max="5" width="15.5703125" style="96" customWidth="1"/>
    <col min="6" max="6" width="34.28515625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1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18.75" x14ac:dyDescent="0.4">
      <c r="B1" s="94">
        <v>45597</v>
      </c>
    </row>
    <row r="2" spans="2:18" x14ac:dyDescent="0.25">
      <c r="B2" s="203" t="s">
        <v>127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263.99</v>
      </c>
      <c r="D6" s="21"/>
      <c r="E6" s="100">
        <v>1020</v>
      </c>
      <c r="F6" s="59" t="s">
        <v>143</v>
      </c>
      <c r="G6" s="60" t="s">
        <v>40</v>
      </c>
      <c r="H6" s="61">
        <v>0</v>
      </c>
      <c r="I6" s="61">
        <v>0</v>
      </c>
      <c r="J6" s="21"/>
      <c r="K6" s="59"/>
      <c r="L6" s="80"/>
      <c r="M6" s="81"/>
      <c r="R6" s="95">
        <f>IF(vend1[[#This Row],[Nº Venda]]&gt;1,1,0)</f>
        <v>1</v>
      </c>
    </row>
    <row r="7" spans="2:18" x14ac:dyDescent="0.25">
      <c r="B7" s="71" t="s">
        <v>3</v>
      </c>
      <c r="C7" s="72">
        <f>SUM(M6:M11)</f>
        <v>0</v>
      </c>
      <c r="D7" s="21"/>
      <c r="E7" s="100">
        <v>1021</v>
      </c>
      <c r="F7" s="59" t="s">
        <v>148</v>
      </c>
      <c r="G7" s="60" t="s">
        <v>50</v>
      </c>
      <c r="H7" s="61">
        <v>0</v>
      </c>
      <c r="I7" s="61">
        <v>0</v>
      </c>
      <c r="J7" s="21"/>
      <c r="K7" s="59"/>
      <c r="L7" s="80"/>
      <c r="M7" s="81"/>
      <c r="R7" s="95">
        <f>IF(vend1[[#This Row],[Nº Venda]]&gt;1,1,0)</f>
        <v>1</v>
      </c>
    </row>
    <row r="8" spans="2:18" x14ac:dyDescent="0.25">
      <c r="B8" s="101" t="s">
        <v>21</v>
      </c>
      <c r="C8" s="102">
        <f>SUM(C6:C7)</f>
        <v>263.99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IF(vend1[[#This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IF(vend1[[#This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99.85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IF(vend1[[#This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0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0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IF(vend1[[#This Row],[Nº Venda]]&gt;1,1,0)</f>
        <v>0</v>
      </c>
    </row>
    <row r="15" spans="2:18" x14ac:dyDescent="0.25">
      <c r="B15" s="82" t="s">
        <v>10</v>
      </c>
      <c r="C15" s="83">
        <f t="shared" si="0"/>
        <v>164.14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IF(vend1[[#This Row],[Nº Venda]]&gt;1,1,0)</f>
        <v>0</v>
      </c>
    </row>
    <row r="16" spans="2:18" x14ac:dyDescent="0.25">
      <c r="B16" s="101" t="s">
        <v>11</v>
      </c>
      <c r="C16" s="103">
        <f>SUM(C11:C15)</f>
        <v>263.99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IF(vend1[[#This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IF(vend1[[#This Row],[Nº Venda]]&gt;1,1,0)</f>
        <v>0</v>
      </c>
    </row>
    <row r="19" spans="2:18" x14ac:dyDescent="0.25">
      <c r="B19" s="82">
        <f>COUNT(entr_carn1[OS])</f>
        <v>0</v>
      </c>
      <c r="C19" s="83">
        <f>SUM(entr_carn1[Valor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>
        <v>998</v>
      </c>
      <c r="F26" s="59" t="s">
        <v>142</v>
      </c>
      <c r="G26" s="60" t="s">
        <v>10</v>
      </c>
      <c r="H26" s="61"/>
      <c r="I26" s="61">
        <v>100</v>
      </c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>
        <v>972</v>
      </c>
      <c r="F35" s="59" t="s">
        <v>144</v>
      </c>
      <c r="G35" s="60" t="s">
        <v>6</v>
      </c>
      <c r="H35" s="61">
        <v>99.85</v>
      </c>
      <c r="I35" s="61" t="s">
        <v>49</v>
      </c>
      <c r="K35" s="85"/>
      <c r="L35" s="90"/>
      <c r="M35" s="81"/>
    </row>
    <row r="36" spans="2:18" x14ac:dyDescent="0.25">
      <c r="E36" s="100">
        <v>934</v>
      </c>
      <c r="F36" s="59" t="s">
        <v>145</v>
      </c>
      <c r="G36" s="60" t="s">
        <v>10</v>
      </c>
      <c r="H36" s="61">
        <v>64.14</v>
      </c>
      <c r="I36" s="61" t="s">
        <v>44</v>
      </c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2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3" zoomScale="90" zoomScaleNormal="90" workbookViewId="0">
      <selection activeCell="G15" sqref="G15"/>
    </sheetView>
  </sheetViews>
  <sheetFormatPr defaultColWidth="9.140625" defaultRowHeight="15" x14ac:dyDescent="0.25"/>
  <cols>
    <col min="1" max="1" width="1" style="95" customWidth="1"/>
    <col min="2" max="2" width="29.42578125" style="95" bestFit="1" customWidth="1"/>
    <col min="3" max="3" width="14" style="95" customWidth="1"/>
    <col min="4" max="4" width="1.2851562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1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x14ac:dyDescent="0.25">
      <c r="B1" s="109">
        <f>'01'!B1+1</f>
        <v>45598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SUM(I6:I41)</f>
        <v>46</v>
      </c>
      <c r="D6" s="21"/>
      <c r="E6" s="100"/>
      <c r="F6" s="59"/>
      <c r="G6" s="110"/>
      <c r="H6" s="61"/>
      <c r="I6" s="61"/>
      <c r="J6" s="21"/>
      <c r="K6" s="59" t="s">
        <v>146</v>
      </c>
      <c r="L6" s="80" t="s">
        <v>10</v>
      </c>
      <c r="M6" s="81">
        <v>13</v>
      </c>
      <c r="R6" s="95">
        <f>IF(vend2[[#This Row],[Nº Venda]]&gt;1,1,0)</f>
        <v>0</v>
      </c>
    </row>
    <row r="7" spans="2:18" x14ac:dyDescent="0.25">
      <c r="B7" s="71" t="s">
        <v>3</v>
      </c>
      <c r="C7" s="72">
        <f>SUM(M6:M11)</f>
        <v>13</v>
      </c>
      <c r="D7" s="21"/>
      <c r="E7" s="100"/>
      <c r="F7" s="59"/>
      <c r="G7" s="110"/>
      <c r="H7" s="61"/>
      <c r="I7" s="61"/>
      <c r="J7" s="21"/>
      <c r="K7" s="59"/>
      <c r="L7" s="80"/>
      <c r="M7" s="81"/>
      <c r="R7" s="95">
        <f>IF(vend2[[#This Row],[Nº Venda]]&gt;1,1,0)</f>
        <v>0</v>
      </c>
    </row>
    <row r="8" spans="2:18" x14ac:dyDescent="0.25">
      <c r="B8" s="101" t="s">
        <v>21</v>
      </c>
      <c r="C8" s="102">
        <f>SUM(C6:C7)</f>
        <v>59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IF(vend2[[#This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IF(vend2[[#This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IF(vend2[[#This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IF(vend2[[#This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IF(vend2[[#This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46"/>
      <c r="G13" s="62"/>
      <c r="H13" s="52"/>
      <c r="I13" s="52"/>
      <c r="J13" s="21"/>
      <c r="K13" s="200" t="s">
        <v>22</v>
      </c>
      <c r="L13" s="201"/>
      <c r="M13" s="202"/>
      <c r="R13" s="95">
        <f>IF(vend2[[#This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46"/>
      <c r="G14" s="62"/>
      <c r="H14" s="52"/>
      <c r="I14" s="52"/>
      <c r="J14" s="21"/>
      <c r="K14" s="77" t="s">
        <v>23</v>
      </c>
      <c r="L14" s="78" t="s">
        <v>24</v>
      </c>
      <c r="M14" s="79" t="s">
        <v>25</v>
      </c>
      <c r="R14" s="95">
        <f>IF(vend2[[#This Row],[Nº Venda]]&gt;1,1,0)</f>
        <v>0</v>
      </c>
    </row>
    <row r="15" spans="2:18" x14ac:dyDescent="0.25">
      <c r="B15" s="82" t="s">
        <v>10</v>
      </c>
      <c r="C15" s="83">
        <f t="shared" si="0"/>
        <v>46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IF(vend2[[#This Row],[Nº Venda]]&gt;1,1,0)</f>
        <v>0</v>
      </c>
    </row>
    <row r="16" spans="2:18" x14ac:dyDescent="0.25">
      <c r="B16" s="101" t="s">
        <v>11</v>
      </c>
      <c r="C16" s="103">
        <f>SUM(C11:C15)</f>
        <v>46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IF(vend2[[#This Row],[Nº Venda]]&gt;1,1,0)</f>
        <v>0</v>
      </c>
    </row>
    <row r="19" spans="2:18" x14ac:dyDescent="0.25">
      <c r="B19" s="82">
        <f>COUNT(entr_carn2[OS])</f>
        <v>0</v>
      </c>
      <c r="C19" s="83">
        <f>SUM(entr_carn2[Valor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>
        <v>998</v>
      </c>
      <c r="F26" s="59" t="s">
        <v>142</v>
      </c>
      <c r="G26" s="60" t="s">
        <v>10</v>
      </c>
      <c r="H26" s="61"/>
      <c r="I26" s="61">
        <v>46</v>
      </c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21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21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  <c r="U34" s="95" t="s">
        <v>37</v>
      </c>
    </row>
    <row r="35" spans="2:21" x14ac:dyDescent="0.25">
      <c r="E35" s="100"/>
      <c r="F35" s="59"/>
      <c r="G35" s="60"/>
      <c r="H35" s="61"/>
      <c r="I35" s="61"/>
      <c r="K35" s="85"/>
      <c r="L35" s="90"/>
      <c r="M35" s="81"/>
    </row>
    <row r="36" spans="2:21" x14ac:dyDescent="0.25">
      <c r="E36" s="100"/>
      <c r="F36" s="59"/>
      <c r="G36" s="60"/>
      <c r="H36" s="61"/>
      <c r="I36" s="61"/>
      <c r="K36" s="85"/>
      <c r="L36" s="90"/>
      <c r="M36" s="81"/>
    </row>
    <row r="37" spans="2:21" x14ac:dyDescent="0.25">
      <c r="E37" s="100"/>
      <c r="F37" s="59"/>
      <c r="G37" s="60"/>
      <c r="H37" s="61"/>
      <c r="I37" s="61"/>
      <c r="K37" s="85"/>
      <c r="L37" s="90"/>
      <c r="M37" s="81"/>
    </row>
    <row r="38" spans="2:21" x14ac:dyDescent="0.25">
      <c r="E38" s="100"/>
      <c r="F38" s="59"/>
      <c r="G38" s="60"/>
      <c r="H38" s="61"/>
      <c r="I38" s="61"/>
      <c r="K38" s="85"/>
      <c r="L38" s="90"/>
      <c r="M38" s="81"/>
    </row>
    <row r="39" spans="2:21" x14ac:dyDescent="0.25">
      <c r="E39" s="100"/>
      <c r="F39" s="86"/>
      <c r="G39" s="60"/>
      <c r="H39" s="61"/>
      <c r="I39" s="61"/>
      <c r="K39" s="85"/>
      <c r="L39" s="90"/>
      <c r="M39" s="81"/>
    </row>
    <row r="40" spans="2:21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21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1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5">
        <f>'02'!B1+1</f>
        <v>45599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IF(vend3[[#This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43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16"/>
    </row>
    <row r="36" spans="2:18" ht="15.75" x14ac:dyDescent="0.25">
      <c r="E36" s="63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2" zoomScale="90" zoomScaleNormal="90" workbookViewId="0">
      <selection activeCell="C7" sqref="C7"/>
    </sheetView>
  </sheetViews>
  <sheetFormatPr defaultColWidth="9.140625" defaultRowHeight="15" x14ac:dyDescent="0.25"/>
  <cols>
    <col min="1" max="1" width="1.140625" style="95" customWidth="1"/>
    <col min="2" max="2" width="23.28515625" style="95" bestFit="1" customWidth="1"/>
    <col min="3" max="3" width="14" style="95" customWidth="1"/>
    <col min="4" max="4" width="2.7109375" style="95" customWidth="1"/>
    <col min="5" max="5" width="15.5703125" style="96" customWidth="1"/>
    <col min="6" max="6" width="35.85546875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2.710937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18.75" x14ac:dyDescent="0.4">
      <c r="B1" s="94">
        <f>'03'!B1+1</f>
        <v>45600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60</v>
      </c>
      <c r="D6" s="21"/>
      <c r="E6" s="100"/>
      <c r="F6" s="59"/>
      <c r="G6" s="110"/>
      <c r="H6" s="61"/>
      <c r="I6" s="61"/>
      <c r="J6" s="21"/>
      <c r="K6" s="59"/>
      <c r="L6" s="80"/>
      <c r="M6" s="81"/>
      <c r="R6" s="95">
        <f>IF(vend4[[#This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110"/>
      <c r="H7" s="61"/>
      <c r="I7" s="61"/>
      <c r="J7" s="21"/>
      <c r="K7" s="59"/>
      <c r="L7" s="80"/>
      <c r="M7" s="81"/>
      <c r="R7" s="95">
        <f>IF(vend4[[#This Row],[Nº Venda]]&gt;1,1,0)</f>
        <v>0</v>
      </c>
    </row>
    <row r="8" spans="2:18" x14ac:dyDescent="0.25">
      <c r="B8" s="101" t="s">
        <v>21</v>
      </c>
      <c r="C8" s="102">
        <f>SUM(C6:C7)</f>
        <v>60</v>
      </c>
      <c r="D8" s="21"/>
      <c r="E8" s="100"/>
      <c r="F8" s="59"/>
      <c r="G8" s="110"/>
      <c r="H8" s="61"/>
      <c r="I8" s="61"/>
      <c r="J8" s="21"/>
      <c r="K8" s="59"/>
      <c r="L8" s="80"/>
      <c r="M8" s="81"/>
      <c r="R8" s="95">
        <f>IF(vend4[[#This Row],[Nº Venda]]&gt;1,1,0)</f>
        <v>0</v>
      </c>
    </row>
    <row r="9" spans="2:18" x14ac:dyDescent="0.25">
      <c r="B9" s="21"/>
      <c r="C9" s="21"/>
      <c r="D9" s="21"/>
      <c r="E9" s="100"/>
      <c r="F9" s="59"/>
      <c r="G9" s="110"/>
      <c r="H9" s="61"/>
      <c r="I9" s="61"/>
      <c r="J9" s="21"/>
      <c r="K9" s="59"/>
      <c r="L9" s="80"/>
      <c r="M9" s="81"/>
      <c r="R9" s="95">
        <f>IF(vend4[[#This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IF(vend4[[#This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IF(vend4[[#This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IF(vend4[[#This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IF(vend4[[#This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IF(vend4[[#This Row],[Nº Venda]]&gt;1,1,0)</f>
        <v>0</v>
      </c>
    </row>
    <row r="15" spans="2:18" ht="18.75" x14ac:dyDescent="0.4">
      <c r="B15" s="82" t="s">
        <v>10</v>
      </c>
      <c r="C15" s="83">
        <f t="shared" si="0"/>
        <v>60</v>
      </c>
      <c r="D15" s="21"/>
      <c r="E15" s="100"/>
      <c r="F15" s="59"/>
      <c r="G15" s="60"/>
      <c r="H15" s="61"/>
      <c r="I15" s="61"/>
      <c r="J15" s="21"/>
      <c r="K15" s="85"/>
      <c r="L15" s="80"/>
      <c r="M15" s="111"/>
      <c r="R15" s="95">
        <f>IF(vend4[[#This Row],[Nº Venda]]&gt;1,1,0)</f>
        <v>0</v>
      </c>
    </row>
    <row r="16" spans="2:18" ht="18.75" x14ac:dyDescent="0.4">
      <c r="B16" s="101" t="s">
        <v>11</v>
      </c>
      <c r="C16" s="103">
        <f>SUM(C11:C15)</f>
        <v>60</v>
      </c>
      <c r="D16" s="21"/>
      <c r="E16" s="100"/>
      <c r="F16" s="59"/>
      <c r="G16" s="60"/>
      <c r="H16" s="61"/>
      <c r="I16" s="61"/>
      <c r="J16" s="21"/>
      <c r="K16" s="85"/>
      <c r="L16" s="80"/>
      <c r="M16" s="111"/>
      <c r="R16" s="95">
        <f>IF(vend4[[#This Row],[Nº Venda]]&gt;1,1,0)</f>
        <v>0</v>
      </c>
    </row>
    <row r="17" spans="2:18" ht="18.75" x14ac:dyDescent="0.4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111"/>
      <c r="R17" s="95">
        <f>IF(vend4[[#This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IF(vend4[[#This Row],[Nº Venda]]&gt;1,1,0)</f>
        <v>0</v>
      </c>
    </row>
    <row r="19" spans="2:18" x14ac:dyDescent="0.25">
      <c r="B19" s="82">
        <f>COUNT(entr_carn4[OS])</f>
        <v>0</v>
      </c>
      <c r="C19" s="83">
        <f>SUM(entr_carn4[Valor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IF(vend4[[#This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IF(vend4[[#This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11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11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11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>
        <v>967</v>
      </c>
      <c r="F35" s="59" t="s">
        <v>147</v>
      </c>
      <c r="G35" s="60" t="s">
        <v>10</v>
      </c>
      <c r="H35" s="61">
        <v>60</v>
      </c>
      <c r="I35" s="61" t="s">
        <v>53</v>
      </c>
      <c r="K35" s="85"/>
      <c r="L35" s="90"/>
      <c r="M35" s="81"/>
    </row>
    <row r="36" spans="2:18" x14ac:dyDescent="0.25">
      <c r="E36" s="100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3" zoomScale="80" zoomScaleNormal="80" workbookViewId="0">
      <selection activeCell="C7" sqref="C7"/>
    </sheetView>
  </sheetViews>
  <sheetFormatPr defaultColWidth="9.140625" defaultRowHeight="15" x14ac:dyDescent="0.25"/>
  <cols>
    <col min="1" max="1" width="1.140625" style="95" customWidth="1"/>
    <col min="2" max="2" width="29.140625" style="95" bestFit="1" customWidth="1"/>
    <col min="3" max="3" width="14" style="95" customWidth="1"/>
    <col min="4" max="4" width="1.28515625" style="95" customWidth="1"/>
    <col min="5" max="5" width="15.5703125" style="96" customWidth="1"/>
    <col min="6" max="6" width="32.140625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1.42578125" style="95" customWidth="1"/>
    <col min="11" max="11" width="21.7109375" style="98" customWidth="1"/>
    <col min="12" max="12" width="21" style="98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x14ac:dyDescent="0.25">
      <c r="B1" s="109">
        <f>'04'!B1+1</f>
        <v>45601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575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 xml:space="preserve"> C16</f>
        <v>225.5</v>
      </c>
      <c r="D6" s="21"/>
      <c r="E6" s="100">
        <v>1022</v>
      </c>
      <c r="F6" s="59" t="s">
        <v>150</v>
      </c>
      <c r="G6" s="110" t="s">
        <v>7</v>
      </c>
      <c r="H6" s="61">
        <v>575</v>
      </c>
      <c r="I6" s="61">
        <v>50</v>
      </c>
      <c r="J6" s="21"/>
      <c r="K6" s="59"/>
      <c r="L6" s="80"/>
      <c r="M6" s="81"/>
      <c r="R6" s="95">
        <f>IF(vend5[[#This Row],[Nº Venda]]&gt;1,1,0)</f>
        <v>1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110"/>
      <c r="H7" s="61"/>
      <c r="I7" s="61"/>
      <c r="J7" s="21"/>
      <c r="K7" s="59"/>
      <c r="L7" s="80"/>
      <c r="M7" s="81"/>
      <c r="R7" s="95">
        <f>IF(vend5[[#This Row],[Nº Venda]]&gt;1,1,0)</f>
        <v>0</v>
      </c>
    </row>
    <row r="8" spans="2:18" x14ac:dyDescent="0.25">
      <c r="B8" s="101" t="s">
        <v>21</v>
      </c>
      <c r="C8" s="102">
        <f>SUM(C6:C7)</f>
        <v>225.5</v>
      </c>
      <c r="D8" s="21"/>
      <c r="E8" s="100"/>
      <c r="F8" s="59"/>
      <c r="G8" s="110"/>
      <c r="H8" s="61"/>
      <c r="I8" s="61"/>
      <c r="J8" s="21"/>
      <c r="K8" s="59"/>
      <c r="L8" s="80"/>
      <c r="M8" s="81"/>
      <c r="R8" s="95">
        <f>IF(vend5[[#This Row],[Nº Venda]]&gt;1,1,0)</f>
        <v>0</v>
      </c>
    </row>
    <row r="9" spans="2:18" x14ac:dyDescent="0.25">
      <c r="B9" s="21"/>
      <c r="C9" s="21"/>
      <c r="D9" s="21"/>
      <c r="E9" s="100"/>
      <c r="F9" s="59"/>
      <c r="G9" s="110"/>
      <c r="H9" s="61"/>
      <c r="I9" s="61"/>
      <c r="J9" s="21"/>
      <c r="K9" s="59"/>
      <c r="L9" s="80"/>
      <c r="M9" s="81"/>
      <c r="R9" s="95">
        <f>IF(vend5[[#This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110"/>
      <c r="H10" s="61"/>
      <c r="I10" s="61"/>
      <c r="J10" s="21"/>
      <c r="K10" s="59"/>
      <c r="L10" s="80"/>
      <c r="M10" s="81"/>
      <c r="R10" s="95">
        <f>IF(vend5[[#This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175.5</v>
      </c>
      <c r="D11" s="21"/>
      <c r="E11" s="100"/>
      <c r="F11" s="59"/>
      <c r="G11" s="11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IF(vend5[[#This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50</v>
      </c>
      <c r="D12" s="21"/>
      <c r="E12" s="100"/>
      <c r="F12" s="59"/>
      <c r="G12" s="60"/>
      <c r="H12" s="61"/>
      <c r="I12" s="61"/>
      <c r="J12" s="21"/>
      <c r="R12" s="95">
        <f>IF(vend5[[#This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IF(vend5[[#This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IF(vend5[[#This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113"/>
      <c r="N15" s="81"/>
      <c r="R15" s="95">
        <f>IF(vend5[[#This Row],[Nº Venda]]&gt;1,1,0)</f>
        <v>0</v>
      </c>
    </row>
    <row r="16" spans="2:18" x14ac:dyDescent="0.25">
      <c r="B16" s="101" t="s">
        <v>11</v>
      </c>
      <c r="C16" s="103">
        <f>SUM(C11:C15)</f>
        <v>225.5</v>
      </c>
      <c r="D16" s="21"/>
      <c r="E16" s="100"/>
      <c r="F16" s="59"/>
      <c r="G16" s="60"/>
      <c r="H16" s="61"/>
      <c r="I16" s="61"/>
      <c r="J16" s="21"/>
      <c r="K16" s="85"/>
      <c r="L16" s="80"/>
      <c r="M16" s="114"/>
      <c r="N16" s="81"/>
      <c r="R16" s="95">
        <f>IF(vend5[[#This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IF(vend5[[#This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IF(vend5[[#This Row],[Nº Venda]]&gt;1,1,0)</f>
        <v>0</v>
      </c>
    </row>
    <row r="19" spans="2:18" x14ac:dyDescent="0.25">
      <c r="B19" s="82">
        <f>COUNT(entr_carn5[OS])</f>
        <v>0</v>
      </c>
      <c r="C19" s="83">
        <f>SUM(entr_carn5[Valor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IF(vend5[[#This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IF(vend5[[#This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575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11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11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11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>
        <v>946</v>
      </c>
      <c r="F35" s="59" t="s">
        <v>149</v>
      </c>
      <c r="G35" s="60" t="s">
        <v>6</v>
      </c>
      <c r="H35" s="61">
        <v>175.5</v>
      </c>
      <c r="I35" s="61" t="s">
        <v>97</v>
      </c>
      <c r="K35" s="85"/>
      <c r="L35" s="90"/>
      <c r="M35" s="81"/>
    </row>
    <row r="36" spans="2:18" x14ac:dyDescent="0.25">
      <c r="E36" s="115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1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9" zoomScale="90" zoomScaleNormal="90" workbookViewId="0">
      <selection activeCell="C7" sqref="C7"/>
    </sheetView>
  </sheetViews>
  <sheetFormatPr defaultColWidth="9.140625" defaultRowHeight="15" x14ac:dyDescent="0.2"/>
  <cols>
    <col min="1" max="1" width="0.85546875" style="117" customWidth="1"/>
    <col min="2" max="2" width="23.28515625" style="117" bestFit="1" customWidth="1"/>
    <col min="3" max="3" width="14" style="117" customWidth="1"/>
    <col min="4" max="4" width="0.42578125" style="117" customWidth="1"/>
    <col min="5" max="5" width="15.5703125" style="118" customWidth="1"/>
    <col min="6" max="6" width="34.28515625" style="118" bestFit="1" customWidth="1"/>
    <col min="7" max="7" width="17.28515625" style="118" customWidth="1"/>
    <col min="8" max="8" width="19.140625" style="119" customWidth="1"/>
    <col min="9" max="9" width="15.5703125" style="119" customWidth="1"/>
    <col min="10" max="10" width="0.7109375" style="117" customWidth="1"/>
    <col min="11" max="11" width="21.7109375" style="120" customWidth="1"/>
    <col min="12" max="12" width="27.7109375" style="120" bestFit="1" customWidth="1"/>
    <col min="13" max="13" width="15.7109375" style="120" customWidth="1"/>
    <col min="14" max="14" width="4.28515625" style="117" customWidth="1"/>
    <col min="15" max="15" width="2.140625" style="117" hidden="1" customWidth="1"/>
    <col min="16" max="16" width="9.140625" style="117" hidden="1" customWidth="1"/>
    <col min="17" max="17" width="11.42578125" style="117" hidden="1" customWidth="1"/>
    <col min="18" max="18" width="2.42578125" style="117" hidden="1" customWidth="1"/>
    <col min="19" max="20" width="0" style="117" hidden="1" customWidth="1"/>
    <col min="21" max="16384" width="9.140625" style="117"/>
  </cols>
  <sheetData>
    <row r="1" spans="2:18" ht="18.75" x14ac:dyDescent="0.2">
      <c r="B1" s="116">
        <f>'05'!B1+1</f>
        <v>45602</v>
      </c>
    </row>
    <row r="2" spans="2:18" x14ac:dyDescent="0.2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">
      <c r="B4" s="18" t="s">
        <v>0</v>
      </c>
      <c r="C4" s="19">
        <v>0</v>
      </c>
      <c r="D4" s="20"/>
      <c r="E4" s="214" t="s">
        <v>1</v>
      </c>
      <c r="F4" s="214"/>
      <c r="G4" s="214"/>
      <c r="H4" s="214"/>
      <c r="I4" s="214"/>
      <c r="J4" s="20"/>
      <c r="K4" s="211" t="s">
        <v>3</v>
      </c>
      <c r="L4" s="212"/>
      <c r="M4" s="213"/>
    </row>
    <row r="5" spans="2:18" x14ac:dyDescent="0.2">
      <c r="B5" s="121" t="s">
        <v>1</v>
      </c>
      <c r="C5" s="122">
        <f>SUMIF(I6:I31,"&gt;0",H6:H31)</f>
        <v>153</v>
      </c>
      <c r="D5" s="20"/>
      <c r="E5" s="123" t="s">
        <v>14</v>
      </c>
      <c r="F5" s="123" t="s">
        <v>15</v>
      </c>
      <c r="G5" s="124" t="s">
        <v>16</v>
      </c>
      <c r="H5" s="125" t="s">
        <v>17</v>
      </c>
      <c r="I5" s="126" t="s">
        <v>2</v>
      </c>
      <c r="J5" s="20"/>
      <c r="K5" s="127" t="s">
        <v>18</v>
      </c>
      <c r="L5" s="128" t="s">
        <v>19</v>
      </c>
      <c r="M5" s="129" t="s">
        <v>20</v>
      </c>
    </row>
    <row r="6" spans="2:18" x14ac:dyDescent="0.2">
      <c r="B6" s="121" t="s">
        <v>2</v>
      </c>
      <c r="C6" s="122">
        <f>C16</f>
        <v>233</v>
      </c>
      <c r="D6" s="20"/>
      <c r="E6" s="130">
        <v>1023</v>
      </c>
      <c r="F6" s="131" t="s">
        <v>151</v>
      </c>
      <c r="G6" s="132" t="s">
        <v>7</v>
      </c>
      <c r="H6" s="133">
        <v>153</v>
      </c>
      <c r="I6" s="133">
        <v>153</v>
      </c>
      <c r="J6" s="20"/>
      <c r="K6" s="131"/>
      <c r="L6" s="134"/>
      <c r="M6" s="135"/>
      <c r="R6" s="117">
        <f>IF(vend[[#This Row],[Nº Venda]]&gt;1,1,0)</f>
        <v>1</v>
      </c>
    </row>
    <row r="7" spans="2:18" x14ac:dyDescent="0.2">
      <c r="B7" s="121" t="s">
        <v>3</v>
      </c>
      <c r="C7" s="122">
        <f>SUM(M6:M11)</f>
        <v>0</v>
      </c>
      <c r="D7" s="20"/>
      <c r="E7" s="130"/>
      <c r="F7" s="131"/>
      <c r="G7" s="132"/>
      <c r="H7" s="133"/>
      <c r="I7" s="133"/>
      <c r="J7" s="20"/>
      <c r="K7" s="131"/>
      <c r="L7" s="134"/>
      <c r="M7" s="135"/>
      <c r="R7" s="117">
        <f>IF(vend[[#This Row],[Nº Venda]]&gt;1,1,0)</f>
        <v>0</v>
      </c>
    </row>
    <row r="8" spans="2:18" x14ac:dyDescent="0.2">
      <c r="B8" s="112" t="s">
        <v>21</v>
      </c>
      <c r="C8" s="136">
        <f>SUM(C6:C7)</f>
        <v>233</v>
      </c>
      <c r="D8" s="20"/>
      <c r="E8" s="130"/>
      <c r="F8" s="131"/>
      <c r="G8" s="132"/>
      <c r="H8" s="133"/>
      <c r="I8" s="133"/>
      <c r="J8" s="20"/>
      <c r="K8" s="131"/>
      <c r="L8" s="134"/>
      <c r="M8" s="135"/>
      <c r="R8" s="117">
        <f>IF(vend[[#This Row],[Nº Venda]]&gt;1,1,0)</f>
        <v>0</v>
      </c>
    </row>
    <row r="9" spans="2:18" x14ac:dyDescent="0.2">
      <c r="B9" s="20"/>
      <c r="C9" s="20"/>
      <c r="D9" s="20"/>
      <c r="E9" s="130"/>
      <c r="F9" s="131"/>
      <c r="G9" s="132"/>
      <c r="H9" s="133"/>
      <c r="I9" s="133"/>
      <c r="J9" s="20"/>
      <c r="K9" s="131"/>
      <c r="L9" s="134"/>
      <c r="M9" s="135"/>
      <c r="R9" s="117">
        <f>IF(vend[[#This Row],[Nº Venda]]&gt;1,1,0)</f>
        <v>0</v>
      </c>
    </row>
    <row r="10" spans="2:18" x14ac:dyDescent="0.2">
      <c r="B10" s="198" t="s">
        <v>5</v>
      </c>
      <c r="C10" s="198"/>
      <c r="D10" s="20"/>
      <c r="E10" s="130"/>
      <c r="F10" s="137"/>
      <c r="G10" s="132"/>
      <c r="H10" s="133"/>
      <c r="I10" s="133"/>
      <c r="J10" s="20"/>
      <c r="K10" s="131"/>
      <c r="L10" s="134"/>
      <c r="M10" s="135"/>
      <c r="R10" s="117">
        <f>IF(vend[[#This Row],[Nº Venda]]&gt;1,1,0)</f>
        <v>0</v>
      </c>
    </row>
    <row r="11" spans="2:18" x14ac:dyDescent="0.2">
      <c r="B11" s="138" t="s">
        <v>6</v>
      </c>
      <c r="C11" s="139">
        <f>(SUMIF($G$2:$G$31,B11,$I$2:$I$31))+(SUMIF($G$35:$G$41,B11,$H$35:$H$41))</f>
        <v>0</v>
      </c>
      <c r="D11" s="20"/>
      <c r="E11" s="130"/>
      <c r="F11" s="131"/>
      <c r="G11" s="132"/>
      <c r="H11" s="133"/>
      <c r="I11" s="133"/>
      <c r="J11" s="20"/>
      <c r="K11" s="140"/>
      <c r="L11" s="134"/>
      <c r="M11" s="135"/>
      <c r="O11" s="117">
        <f>IF(C16=0,0,1)</f>
        <v>1</v>
      </c>
      <c r="R11" s="117">
        <f>IF(vend[[#This Row],[Nº Venda]]&gt;1,1,0)</f>
        <v>0</v>
      </c>
    </row>
    <row r="12" spans="2:18" x14ac:dyDescent="0.2">
      <c r="B12" s="138" t="s">
        <v>7</v>
      </c>
      <c r="C12" s="139">
        <f>(SUMIF($G$2:$G$31,B12,$I$2:$I$31))+(SUMIF($G$35:$G$41,B12,$H$35:$H$41))</f>
        <v>233</v>
      </c>
      <c r="D12" s="20"/>
      <c r="E12" s="130"/>
      <c r="F12" s="131"/>
      <c r="G12" s="132"/>
      <c r="H12" s="133"/>
      <c r="I12" s="133"/>
      <c r="J12" s="20"/>
      <c r="R12" s="117">
        <f>IF(vend[[#This Row],[Nº Venda]]&gt;1,1,0)</f>
        <v>0</v>
      </c>
    </row>
    <row r="13" spans="2:18" x14ac:dyDescent="0.2">
      <c r="B13" s="138" t="s">
        <v>8</v>
      </c>
      <c r="C13" s="139">
        <f>(SUMIF($G$2:$G$31,B13,$I$2:$I$31))+(SUMIF($G$35:$G$41,B13,$H$35:$H$41))</f>
        <v>0</v>
      </c>
      <c r="D13" s="20"/>
      <c r="E13" s="141"/>
      <c r="F13" s="131"/>
      <c r="G13" s="132"/>
      <c r="H13" s="133"/>
      <c r="I13" s="133"/>
      <c r="J13" s="20"/>
      <c r="K13" s="211" t="s">
        <v>22</v>
      </c>
      <c r="L13" s="212"/>
      <c r="M13" s="213"/>
      <c r="R13" s="117">
        <f>IF(vend[[#This Row],[Nº Venda]]&gt;1,1,0)</f>
        <v>0</v>
      </c>
    </row>
    <row r="14" spans="2:18" x14ac:dyDescent="0.2">
      <c r="B14" s="138" t="s">
        <v>9</v>
      </c>
      <c r="C14" s="139">
        <f>(SUMIF($G$2:$G$31,B14,$I$2:$I$31))+(SUMIF($G$35:$G$41,B14,$H$35:$H$41))</f>
        <v>0</v>
      </c>
      <c r="D14" s="20"/>
      <c r="E14" s="141"/>
      <c r="F14" s="131"/>
      <c r="G14" s="132"/>
      <c r="H14" s="133"/>
      <c r="I14" s="133"/>
      <c r="J14" s="20"/>
      <c r="K14" s="127" t="s">
        <v>23</v>
      </c>
      <c r="L14" s="128" t="s">
        <v>24</v>
      </c>
      <c r="M14" s="129" t="s">
        <v>25</v>
      </c>
      <c r="R14" s="117">
        <f>IF(vend[[#This Row],[Nº Venda]]&gt;1,1,0)</f>
        <v>0</v>
      </c>
    </row>
    <row r="15" spans="2:18" x14ac:dyDescent="0.2">
      <c r="B15" s="138" t="s">
        <v>10</v>
      </c>
      <c r="C15" s="139">
        <f>(SUMIF($G$2:$G$31,B15,$I$2:$I$31))+(SUMIF($G$35:$G$41,B15,$H$35:$H$41))</f>
        <v>0</v>
      </c>
      <c r="D15" s="20"/>
      <c r="E15" s="130"/>
      <c r="F15" s="131"/>
      <c r="G15" s="132"/>
      <c r="H15" s="133"/>
      <c r="I15" s="133"/>
      <c r="J15" s="20"/>
      <c r="K15" s="142">
        <v>1023</v>
      </c>
      <c r="L15" s="134" t="s">
        <v>140</v>
      </c>
      <c r="M15" s="135" t="s">
        <v>153</v>
      </c>
      <c r="R15" s="117">
        <f>IF(vend[[#This Row],[Nº Venda]]&gt;1,1,0)</f>
        <v>0</v>
      </c>
    </row>
    <row r="16" spans="2:18" x14ac:dyDescent="0.2">
      <c r="B16" s="112" t="s">
        <v>11</v>
      </c>
      <c r="C16" s="143">
        <f>SUM(C11:C15)</f>
        <v>233</v>
      </c>
      <c r="D16" s="20"/>
      <c r="E16" s="130"/>
      <c r="F16" s="131"/>
      <c r="G16" s="132"/>
      <c r="H16" s="133"/>
      <c r="I16" s="133"/>
      <c r="J16" s="20"/>
      <c r="K16" s="142"/>
      <c r="L16" s="134"/>
      <c r="M16" s="135"/>
      <c r="R16" s="117">
        <f>IF(vend[[#This Row],[Nº Venda]]&gt;1,1,0)</f>
        <v>0</v>
      </c>
    </row>
    <row r="17" spans="2:18" x14ac:dyDescent="0.2">
      <c r="B17" s="20"/>
      <c r="C17" s="20"/>
      <c r="D17" s="20"/>
      <c r="E17" s="130"/>
      <c r="F17" s="131"/>
      <c r="G17" s="132"/>
      <c r="H17" s="133"/>
      <c r="I17" s="133"/>
      <c r="J17" s="20"/>
      <c r="K17" s="142"/>
      <c r="L17" s="134"/>
      <c r="M17" s="135"/>
      <c r="R17" s="117">
        <f>IF(vend[[#This Row],[Nº Venda]]&gt;1,1,0)</f>
        <v>0</v>
      </c>
    </row>
    <row r="18" spans="2:18" x14ac:dyDescent="0.2">
      <c r="B18" s="198" t="s">
        <v>12</v>
      </c>
      <c r="C18" s="198"/>
      <c r="D18" s="20"/>
      <c r="E18" s="130"/>
      <c r="F18" s="131"/>
      <c r="G18" s="132"/>
      <c r="H18" s="133"/>
      <c r="I18" s="133"/>
      <c r="J18" s="20"/>
      <c r="K18" s="142"/>
      <c r="L18" s="134"/>
      <c r="M18" s="135"/>
      <c r="R18" s="117">
        <f>IF(vend[[#This Row],[Nº Venda]]&gt;1,1,0)</f>
        <v>0</v>
      </c>
    </row>
    <row r="19" spans="2:18" x14ac:dyDescent="0.2">
      <c r="B19" s="138">
        <f>COUNT(entr_carn6[OS])</f>
        <v>0</v>
      </c>
      <c r="C19" s="144">
        <f>SUM(entr_carn6[Valor Total])</f>
        <v>0</v>
      </c>
      <c r="D19" s="20"/>
      <c r="E19" s="130"/>
      <c r="F19" s="131"/>
      <c r="G19" s="132"/>
      <c r="H19" s="133"/>
      <c r="I19" s="133"/>
      <c r="J19" s="20"/>
      <c r="K19" s="142"/>
      <c r="L19" s="134"/>
      <c r="M19" s="135"/>
      <c r="R19" s="117">
        <f>IF(vend[[#This Row],[Nº Venda]]&gt;1,1,0)</f>
        <v>0</v>
      </c>
    </row>
    <row r="20" spans="2:18" x14ac:dyDescent="0.2">
      <c r="B20" s="112" t="s">
        <v>11</v>
      </c>
      <c r="C20" s="143">
        <f>SUM(C19:C19)</f>
        <v>0</v>
      </c>
      <c r="D20" s="20"/>
      <c r="E20" s="130"/>
      <c r="F20" s="132"/>
      <c r="G20" s="132"/>
      <c r="H20" s="133"/>
      <c r="I20" s="133"/>
      <c r="J20" s="20"/>
      <c r="K20" s="142"/>
      <c r="L20" s="134"/>
      <c r="M20" s="135"/>
      <c r="R20" s="117">
        <f>IF(vend[[#This Row],[Nº Venda]]&gt;1,1,0)</f>
        <v>0</v>
      </c>
    </row>
    <row r="21" spans="2:18" x14ac:dyDescent="0.2">
      <c r="B21" s="20"/>
      <c r="C21" s="20"/>
      <c r="D21" s="20"/>
      <c r="E21" s="130"/>
      <c r="F21" s="131"/>
      <c r="G21" s="132"/>
      <c r="H21" s="133"/>
      <c r="I21" s="133"/>
      <c r="J21" s="20"/>
      <c r="K21" s="142"/>
      <c r="L21" s="134"/>
      <c r="M21" s="135"/>
    </row>
    <row r="22" spans="2:18" x14ac:dyDescent="0.2">
      <c r="B22" s="112" t="s">
        <v>26</v>
      </c>
      <c r="C22" s="143">
        <f>C5</f>
        <v>153</v>
      </c>
      <c r="D22" s="20"/>
      <c r="E22" s="130"/>
      <c r="F22" s="131"/>
      <c r="G22" s="132"/>
      <c r="H22" s="133"/>
      <c r="I22" s="133"/>
      <c r="J22" s="20"/>
      <c r="K22" s="142"/>
      <c r="L22" s="134"/>
      <c r="M22" s="135"/>
    </row>
    <row r="23" spans="2:18" x14ac:dyDescent="0.2">
      <c r="B23" s="20"/>
      <c r="C23" s="20"/>
      <c r="D23" s="20"/>
      <c r="E23" s="145"/>
      <c r="H23" s="146"/>
      <c r="J23" s="20"/>
      <c r="K23" s="142"/>
      <c r="L23" s="134"/>
      <c r="M23" s="135"/>
    </row>
    <row r="24" spans="2:18" x14ac:dyDescent="0.2">
      <c r="B24" s="20"/>
      <c r="C24" s="20"/>
      <c r="D24" s="20"/>
      <c r="E24" s="210" t="s">
        <v>27</v>
      </c>
      <c r="F24" s="210"/>
      <c r="G24" s="210"/>
      <c r="H24" s="210"/>
      <c r="I24" s="210"/>
      <c r="J24" s="20"/>
      <c r="K24" s="142"/>
      <c r="L24" s="134"/>
      <c r="M24" s="135"/>
    </row>
    <row r="25" spans="2:18" x14ac:dyDescent="0.2">
      <c r="B25" s="20"/>
      <c r="C25" s="20"/>
      <c r="D25" s="20"/>
      <c r="E25" s="123" t="s">
        <v>14</v>
      </c>
      <c r="F25" s="123" t="s">
        <v>15</v>
      </c>
      <c r="G25" s="124" t="s">
        <v>16</v>
      </c>
      <c r="H25" s="125" t="s">
        <v>17</v>
      </c>
      <c r="I25" s="126" t="s">
        <v>2</v>
      </c>
      <c r="J25" s="20"/>
      <c r="K25" s="142"/>
      <c r="L25" s="134"/>
      <c r="M25" s="135"/>
    </row>
    <row r="26" spans="2:18" x14ac:dyDescent="0.2">
      <c r="B26" s="20"/>
      <c r="C26" s="20"/>
      <c r="D26" s="20"/>
      <c r="E26" s="130"/>
      <c r="F26" s="131"/>
      <c r="G26" s="132"/>
      <c r="H26" s="133"/>
      <c r="I26" s="133"/>
      <c r="J26" s="20"/>
      <c r="K26" s="142"/>
      <c r="L26" s="134"/>
      <c r="M26" s="135"/>
    </row>
    <row r="27" spans="2:18" x14ac:dyDescent="0.2">
      <c r="B27" s="20"/>
      <c r="C27" s="20"/>
      <c r="D27" s="20"/>
      <c r="E27" s="130"/>
      <c r="F27" s="131"/>
      <c r="G27" s="132"/>
      <c r="H27" s="133"/>
      <c r="I27" s="133"/>
      <c r="J27" s="20"/>
      <c r="K27" s="142"/>
      <c r="L27" s="134"/>
      <c r="M27" s="135"/>
    </row>
    <row r="28" spans="2:18" x14ac:dyDescent="0.2">
      <c r="B28" s="20"/>
      <c r="C28" s="20"/>
      <c r="D28" s="20"/>
      <c r="E28" s="130"/>
      <c r="F28" s="131"/>
      <c r="G28" s="132"/>
      <c r="H28" s="133"/>
      <c r="I28" s="133"/>
      <c r="J28" s="20"/>
      <c r="K28" s="142"/>
      <c r="L28" s="134"/>
      <c r="M28" s="135"/>
    </row>
    <row r="29" spans="2:18" x14ac:dyDescent="0.2">
      <c r="B29" s="20"/>
      <c r="C29" s="20"/>
      <c r="D29" s="20"/>
      <c r="E29" s="130"/>
      <c r="F29" s="131"/>
      <c r="G29" s="132"/>
      <c r="H29" s="133"/>
      <c r="I29" s="133"/>
      <c r="J29" s="20"/>
      <c r="K29" s="142"/>
      <c r="L29" s="134"/>
      <c r="M29" s="135"/>
    </row>
    <row r="30" spans="2:18" x14ac:dyDescent="0.2">
      <c r="B30" s="20"/>
      <c r="C30" s="20"/>
      <c r="D30" s="20"/>
      <c r="E30" s="130"/>
      <c r="F30" s="147"/>
      <c r="G30" s="132"/>
      <c r="H30" s="133"/>
      <c r="I30" s="133"/>
      <c r="J30" s="20"/>
      <c r="K30" s="142"/>
      <c r="L30" s="134"/>
      <c r="M30" s="135"/>
    </row>
    <row r="31" spans="2:18" x14ac:dyDescent="0.2">
      <c r="B31" s="20"/>
      <c r="C31" s="20"/>
      <c r="D31" s="20"/>
      <c r="E31" s="148"/>
      <c r="F31" s="149"/>
      <c r="G31" s="150"/>
      <c r="H31" s="151"/>
      <c r="I31" s="151"/>
      <c r="J31" s="20"/>
      <c r="K31" s="142"/>
      <c r="L31" s="134"/>
      <c r="M31" s="135"/>
    </row>
    <row r="32" spans="2:18" x14ac:dyDescent="0.2">
      <c r="B32" s="20"/>
      <c r="C32" s="20"/>
      <c r="E32" s="145"/>
    </row>
    <row r="33" spans="2:18" x14ac:dyDescent="0.2">
      <c r="B33" s="20"/>
      <c r="C33" s="20"/>
      <c r="E33" s="210" t="s">
        <v>28</v>
      </c>
      <c r="F33" s="210"/>
      <c r="G33" s="210"/>
      <c r="H33" s="210"/>
      <c r="I33" s="210"/>
      <c r="K33" s="211" t="s">
        <v>12</v>
      </c>
      <c r="L33" s="212"/>
      <c r="M33" s="213"/>
    </row>
    <row r="34" spans="2:18" x14ac:dyDescent="0.2">
      <c r="E34" s="123" t="s">
        <v>23</v>
      </c>
      <c r="F34" s="123" t="s">
        <v>15</v>
      </c>
      <c r="G34" s="124" t="s">
        <v>16</v>
      </c>
      <c r="H34" s="125" t="s">
        <v>29</v>
      </c>
      <c r="I34" s="126" t="s">
        <v>30</v>
      </c>
      <c r="K34" s="127" t="s">
        <v>23</v>
      </c>
      <c r="L34" s="128" t="s">
        <v>31</v>
      </c>
      <c r="M34" s="129" t="s">
        <v>32</v>
      </c>
    </row>
    <row r="35" spans="2:18" x14ac:dyDescent="0.2">
      <c r="E35" s="130">
        <v>988</v>
      </c>
      <c r="F35" s="131" t="s">
        <v>152</v>
      </c>
      <c r="G35" s="132" t="s">
        <v>7</v>
      </c>
      <c r="H35" s="133">
        <v>80</v>
      </c>
      <c r="I35" s="133" t="s">
        <v>53</v>
      </c>
      <c r="K35" s="142"/>
      <c r="L35" s="152"/>
      <c r="M35" s="135"/>
    </row>
    <row r="36" spans="2:18" x14ac:dyDescent="0.2">
      <c r="E36" s="153"/>
      <c r="F36" s="131"/>
      <c r="G36" s="132"/>
      <c r="H36" s="133"/>
      <c r="I36" s="133"/>
      <c r="K36" s="142"/>
      <c r="L36" s="152"/>
      <c r="M36" s="135"/>
    </row>
    <row r="37" spans="2:18" x14ac:dyDescent="0.2">
      <c r="E37" s="130"/>
      <c r="F37" s="131"/>
      <c r="G37" s="132"/>
      <c r="H37" s="133"/>
      <c r="I37" s="133"/>
      <c r="K37" s="142"/>
      <c r="L37" s="152"/>
      <c r="M37" s="135"/>
    </row>
    <row r="38" spans="2:18" x14ac:dyDescent="0.2">
      <c r="E38" s="130"/>
      <c r="F38" s="131"/>
      <c r="G38" s="132"/>
      <c r="H38" s="133"/>
      <c r="I38" s="133"/>
      <c r="K38" s="142"/>
      <c r="L38" s="152"/>
      <c r="M38" s="135"/>
    </row>
    <row r="39" spans="2:18" x14ac:dyDescent="0.2">
      <c r="E39" s="130"/>
      <c r="F39" s="147"/>
      <c r="G39" s="132"/>
      <c r="H39" s="133"/>
      <c r="I39" s="133"/>
      <c r="K39" s="142"/>
      <c r="L39" s="152"/>
      <c r="M39" s="135"/>
    </row>
    <row r="40" spans="2:18" x14ac:dyDescent="0.2">
      <c r="E40" s="148"/>
      <c r="F40" s="149"/>
      <c r="G40" s="150"/>
      <c r="H40" s="151"/>
      <c r="I40" s="133"/>
      <c r="K40" s="154"/>
      <c r="L40" s="155"/>
      <c r="M40" s="156"/>
      <c r="Q40" s="117" t="s">
        <v>36</v>
      </c>
      <c r="R40" s="117">
        <f>SUM(R6:R21)</f>
        <v>1</v>
      </c>
    </row>
    <row r="41" spans="2:18" x14ac:dyDescent="0.2">
      <c r="E41" s="157"/>
      <c r="F41" s="147"/>
      <c r="G41" s="132"/>
      <c r="H41" s="133"/>
      <c r="I41" s="133"/>
      <c r="K41" s="142"/>
      <c r="L41" s="152"/>
      <c r="M41" s="156"/>
    </row>
    <row r="42" spans="2:18" x14ac:dyDescent="0.2">
      <c r="F42" s="158"/>
      <c r="G42" s="158"/>
      <c r="H42" s="159"/>
      <c r="I42" s="15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4" zoomScale="90" zoomScaleNormal="90" workbookViewId="0">
      <selection activeCell="C7" sqref="C7"/>
    </sheetView>
  </sheetViews>
  <sheetFormatPr defaultColWidth="9.140625" defaultRowHeight="15" x14ac:dyDescent="0.25"/>
  <cols>
    <col min="1" max="1" width="0.7109375" style="95" customWidth="1"/>
    <col min="2" max="2" width="29.42578125" style="95" bestFit="1" customWidth="1"/>
    <col min="3" max="3" width="14" style="95" customWidth="1"/>
    <col min="4" max="4" width="0.4257812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425781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21" ht="31.5" x14ac:dyDescent="0.5">
      <c r="B1" s="169">
        <f>'06'!B1+1</f>
        <v>45603</v>
      </c>
    </row>
    <row r="2" spans="2:21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21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21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  <c r="U4" s="95">
        <v>0</v>
      </c>
    </row>
    <row r="5" spans="2:21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21" x14ac:dyDescent="0.25">
      <c r="B6" s="71" t="s">
        <v>2</v>
      </c>
      <c r="C6" s="72">
        <f>C16</f>
        <v>0</v>
      </c>
      <c r="D6" s="21"/>
      <c r="E6" s="100"/>
      <c r="F6" s="160"/>
      <c r="G6" s="160"/>
      <c r="H6" s="161"/>
      <c r="I6" s="161"/>
      <c r="J6" s="21"/>
      <c r="K6" s="59"/>
      <c r="L6" s="80"/>
      <c r="M6" s="81"/>
      <c r="R6" s="95">
        <f>IF(vend7[[#This Row],[Nº Venda]]&gt;1,1,0)</f>
        <v>0</v>
      </c>
    </row>
    <row r="7" spans="2:21" x14ac:dyDescent="0.25">
      <c r="B7" s="71" t="s">
        <v>3</v>
      </c>
      <c r="C7" s="72">
        <f>SUM(M6:M11)</f>
        <v>0</v>
      </c>
      <c r="D7" s="21"/>
      <c r="E7" s="100"/>
      <c r="F7" s="162"/>
      <c r="G7" s="162"/>
      <c r="H7" s="163"/>
      <c r="I7" s="163"/>
      <c r="J7" s="21"/>
      <c r="K7" s="59"/>
      <c r="L7" s="80"/>
      <c r="M7" s="81"/>
      <c r="R7" s="95">
        <f>IF(vend7[[#This Row],[Nº Venda]]&gt;1,1,0)</f>
        <v>0</v>
      </c>
    </row>
    <row r="8" spans="2:21" x14ac:dyDescent="0.25">
      <c r="B8" s="101" t="s">
        <v>21</v>
      </c>
      <c r="C8" s="102">
        <f>SUM(C6:C7)</f>
        <v>0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IF(vend7[[#This Row],[Nº Venda]]&gt;1,1,0)</f>
        <v>0</v>
      </c>
    </row>
    <row r="9" spans="2:21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IF(vend7[[#This Row],[Nº Venda]]&gt;1,1,0)</f>
        <v>0</v>
      </c>
    </row>
    <row r="10" spans="2:21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IF(vend7[[#This Row],[Nº Venda]]&gt;1,1,0)</f>
        <v>0</v>
      </c>
    </row>
    <row r="11" spans="2:21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0</v>
      </c>
      <c r="R11" s="95">
        <f>IF(vend7[[#This Row],[Nº Venda]]&gt;1,1,0)</f>
        <v>0</v>
      </c>
    </row>
    <row r="12" spans="2:21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IF(vend7[[#This Row],[Nº Venda]]&gt;1,1,0)</f>
        <v>0</v>
      </c>
    </row>
    <row r="13" spans="2:21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IF(vend7[[#This Row],[Nº Venda]]&gt;1,1,0)</f>
        <v>0</v>
      </c>
    </row>
    <row r="14" spans="2:21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IF(vend7[[#This Row],[Nº Venda]]&gt;1,1,0)</f>
        <v>0</v>
      </c>
    </row>
    <row r="15" spans="2:21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>
        <v>988</v>
      </c>
      <c r="L15" s="80" t="s">
        <v>140</v>
      </c>
      <c r="M15" s="164" t="s">
        <v>154</v>
      </c>
      <c r="R15" s="95">
        <f>IF(vend7[[#This Row],[Nº Venda]]&gt;1,1,0)</f>
        <v>0</v>
      </c>
    </row>
    <row r="16" spans="2:21" x14ac:dyDescent="0.25">
      <c r="B16" s="101" t="s">
        <v>11</v>
      </c>
      <c r="C16" s="103">
        <f>SUM(C11:C15)</f>
        <v>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IF(vend7[[#This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IF(vend7[[#This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IF(vend7[[#This Row],[Nº Venda]]&gt;1,1,0)</f>
        <v>0</v>
      </c>
    </row>
    <row r="19" spans="2:18" x14ac:dyDescent="0.25">
      <c r="B19" s="82">
        <f>COUNT(entr_carn7[OS])</f>
        <v>1</v>
      </c>
      <c r="C19" s="83">
        <f>SUM(entr_carn7[Valor Total])</f>
        <v>924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IF(vend7[[#This Row],[Nº Venda]]&gt;1,1,0)</f>
        <v>0</v>
      </c>
    </row>
    <row r="20" spans="2:18" x14ac:dyDescent="0.25">
      <c r="B20" s="101" t="s">
        <v>11</v>
      </c>
      <c r="C20" s="103">
        <f>SUM(C19:C19)</f>
        <v>924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IF(vend7[[#This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165"/>
      <c r="G26" s="166"/>
      <c r="H26" s="167"/>
      <c r="I26" s="167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>
        <v>988</v>
      </c>
      <c r="L35" s="90">
        <v>8</v>
      </c>
      <c r="M35" s="81">
        <v>924</v>
      </c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1" zoomScale="90" zoomScaleNormal="90" workbookViewId="0">
      <selection activeCell="C7" sqref="C7"/>
    </sheetView>
  </sheetViews>
  <sheetFormatPr defaultColWidth="9.140625" defaultRowHeight="15" x14ac:dyDescent="0.25"/>
  <cols>
    <col min="1" max="1" width="0.7109375" style="95" customWidth="1"/>
    <col min="2" max="2" width="31.710937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30.7109375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0.85546875" style="95" customWidth="1"/>
    <col min="11" max="11" width="21.7109375" style="98" customWidth="1"/>
    <col min="12" max="12" width="24.28515625" style="98" bestFit="1" customWidth="1"/>
    <col min="13" max="13" width="13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35.25" x14ac:dyDescent="0.55000000000000004">
      <c r="B1" s="174">
        <f>'07'!B1+1</f>
        <v>45604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0</v>
      </c>
      <c r="D6" s="21"/>
      <c r="E6" s="100"/>
      <c r="F6" s="61"/>
      <c r="G6" s="61"/>
      <c r="H6" s="61"/>
      <c r="I6" s="61"/>
      <c r="J6" s="21"/>
      <c r="K6" s="59"/>
      <c r="L6" s="80"/>
      <c r="M6" s="81"/>
      <c r="R6" s="95">
        <f>IF(vend8[[#This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61"/>
      <c r="G7" s="61"/>
      <c r="H7" s="61"/>
      <c r="I7" s="61"/>
      <c r="J7" s="21"/>
      <c r="K7" s="59"/>
      <c r="L7" s="80"/>
      <c r="M7" s="81"/>
      <c r="R7" s="95">
        <f>IF(vend8[[#This Row],[Nº Venda]]&gt;1,1,0)</f>
        <v>0</v>
      </c>
    </row>
    <row r="8" spans="2:18" x14ac:dyDescent="0.25">
      <c r="B8" s="101" t="s">
        <v>21</v>
      </c>
      <c r="C8" s="102">
        <f>SUM(C6:C7)</f>
        <v>0</v>
      </c>
      <c r="D8" s="21"/>
      <c r="E8" s="100"/>
      <c r="F8" s="61"/>
      <c r="G8" s="61"/>
      <c r="H8" s="61"/>
      <c r="I8" s="61"/>
      <c r="J8" s="21"/>
      <c r="K8" s="59"/>
      <c r="L8" s="80"/>
      <c r="M8" s="81"/>
      <c r="R8" s="95">
        <f>IF(vend8[[#This Row],[Nº Venda]]&gt;1,1,0)</f>
        <v>0</v>
      </c>
    </row>
    <row r="9" spans="2:18" x14ac:dyDescent="0.25">
      <c r="B9" s="21"/>
      <c r="C9" s="21"/>
      <c r="D9" s="21"/>
      <c r="E9" s="100"/>
      <c r="F9" s="61"/>
      <c r="G9" s="61"/>
      <c r="H9" s="61"/>
      <c r="I9" s="61"/>
      <c r="J9" s="21"/>
      <c r="K9" s="59"/>
      <c r="L9" s="80"/>
      <c r="M9" s="81"/>
      <c r="R9" s="95">
        <f>IF(vend8[[#This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IF(vend8[[#This Row],[Nº Venda]]&gt;1,1,0)</f>
        <v>0</v>
      </c>
    </row>
    <row r="11" spans="2:18" x14ac:dyDescent="0.25">
      <c r="B11" s="82" t="s">
        <v>6</v>
      </c>
      <c r="C11" s="170">
        <f>(SUMIF($G$2:$G$31,B11,$I$2:$I$31))+(SUMIF($G$35:$G$42,B11,$H$35:$H$42))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0</v>
      </c>
      <c r="R11" s="95">
        <f>IF(vend8[[#This Row],[Nº Venda]]&gt;1,1,0)</f>
        <v>0</v>
      </c>
    </row>
    <row r="12" spans="2:18" x14ac:dyDescent="0.25">
      <c r="B12" s="82" t="s">
        <v>7</v>
      </c>
      <c r="C12" s="170">
        <f>(SUMIF($G$2:$G$31,B12,$I$2:$I$31))+(SUMIF($G$35:$G$42,B12,$H$35:$H$42))</f>
        <v>0</v>
      </c>
      <c r="D12" s="21"/>
      <c r="E12" s="100"/>
      <c r="F12" s="59"/>
      <c r="G12" s="60"/>
      <c r="H12" s="61"/>
      <c r="I12" s="61"/>
      <c r="J12" s="21"/>
      <c r="R12" s="95">
        <f>IF(vend8[[#This Row],[Nº Venda]]&gt;1,1,0)</f>
        <v>0</v>
      </c>
    </row>
    <row r="13" spans="2:18" x14ac:dyDescent="0.25">
      <c r="B13" s="82" t="s">
        <v>8</v>
      </c>
      <c r="C13" s="170">
        <f>(SUMIF($G$2:$G$31,B13,$I$2:$I$31))+(SUMIF($G$35:$G$42,B13,$H$35:$H$42))</f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IF(vend8[[#This Row],[Nº Venda]]&gt;1,1,0)</f>
        <v>0</v>
      </c>
    </row>
    <row r="14" spans="2:18" x14ac:dyDescent="0.25">
      <c r="B14" s="82" t="s">
        <v>9</v>
      </c>
      <c r="C14" s="170">
        <f>(SUMIF($G$2:$G$31,B14,$I$2:$I$31))+(SUMIF($G$35:$G$42,B14,$H$35:$H$42))</f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IF(vend8[[#This Row],[Nº Venda]]&gt;1,1,0)</f>
        <v>0</v>
      </c>
    </row>
    <row r="15" spans="2:18" x14ac:dyDescent="0.25">
      <c r="B15" s="82" t="s">
        <v>10</v>
      </c>
      <c r="C15" s="170">
        <f>(SUMIF($G$2:$G$31,B15,$I$2:$I$31))+(SUMIF($G$35:$G$42,B15,$H$35:$H$42))</f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IF(vend8[[#This Row],[Nº Venda]]&gt;1,1,0)</f>
        <v>0</v>
      </c>
    </row>
    <row r="16" spans="2:18" x14ac:dyDescent="0.25">
      <c r="B16" s="101" t="s">
        <v>11</v>
      </c>
      <c r="C16" s="103">
        <f>SUM(C11:C15)</f>
        <v>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IF(vend8[[#This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IF(vend8[[#This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IF(vend8[[#This Row],[Nº Venda]]&gt;1,1,0)</f>
        <v>0</v>
      </c>
    </row>
    <row r="19" spans="2:18" x14ac:dyDescent="0.25">
      <c r="B19" s="82">
        <f>COUNT(entr_carn8[OS])</f>
        <v>0</v>
      </c>
      <c r="C19" s="83">
        <f>SUM(entr_carn8[Valor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IF(vend8[[#This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IF(vend8[[#This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6"/>
      <c r="G26" s="57"/>
      <c r="H26" s="58"/>
      <c r="I26" s="58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11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11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11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59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71"/>
      <c r="F41" s="86"/>
      <c r="G41" s="60"/>
      <c r="H41" s="61"/>
      <c r="I41" s="61"/>
      <c r="K41" s="85"/>
      <c r="L41" s="90"/>
      <c r="M41" s="93"/>
    </row>
    <row r="42" spans="2:18" x14ac:dyDescent="0.25">
      <c r="E42" s="172"/>
      <c r="F42" s="173"/>
      <c r="G42" s="88"/>
      <c r="H42" s="89"/>
      <c r="I42" s="8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1" zoomScale="90" zoomScaleNormal="90" workbookViewId="0">
      <selection activeCell="C7" sqref="C7"/>
    </sheetView>
  </sheetViews>
  <sheetFormatPr defaultColWidth="9.140625" defaultRowHeight="15" x14ac:dyDescent="0.25"/>
  <cols>
    <col min="1" max="1" width="0.5703125" style="95" customWidth="1"/>
    <col min="2" max="2" width="33.140625" style="95" bestFit="1" customWidth="1"/>
    <col min="3" max="3" width="13.7109375" style="95" customWidth="1"/>
    <col min="4" max="4" width="0.85546875" style="95" customWidth="1"/>
    <col min="5" max="5" width="10.5703125" style="96" customWidth="1"/>
    <col min="6" max="6" width="25.7109375" style="96" customWidth="1"/>
    <col min="7" max="7" width="11.85546875" style="96" customWidth="1"/>
    <col min="8" max="8" width="19.140625" style="97" customWidth="1"/>
    <col min="9" max="9" width="15.5703125" style="97" customWidth="1"/>
    <col min="10" max="10" width="0.85546875" style="95" customWidth="1"/>
    <col min="11" max="11" width="16.140625" style="98" customWidth="1"/>
    <col min="12" max="12" width="24.28515625" style="98" bestFit="1" customWidth="1"/>
    <col min="13" max="13" width="10.4257812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22" ht="36" x14ac:dyDescent="0.7">
      <c r="B1" s="176">
        <f>'08'!B1+1</f>
        <v>45605</v>
      </c>
    </row>
    <row r="2" spans="2:22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22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22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22" x14ac:dyDescent="0.25">
      <c r="B5" s="71" t="s">
        <v>1</v>
      </c>
      <c r="C5" s="72">
        <f>SUMIF(I6:I31,"&gt;0",H6:H31)</f>
        <v>1975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22" x14ac:dyDescent="0.25">
      <c r="B6" s="71" t="s">
        <v>2</v>
      </c>
      <c r="C6" s="72">
        <f>C16</f>
        <v>350</v>
      </c>
      <c r="D6" s="21"/>
      <c r="E6" s="100">
        <v>1024</v>
      </c>
      <c r="F6" s="59" t="s">
        <v>155</v>
      </c>
      <c r="G6" s="110" t="s">
        <v>7</v>
      </c>
      <c r="H6" s="61">
        <v>677</v>
      </c>
      <c r="I6" s="61">
        <v>150</v>
      </c>
      <c r="J6" s="21"/>
      <c r="K6" s="59"/>
      <c r="L6" s="80"/>
      <c r="M6" s="81"/>
      <c r="R6" s="95">
        <f>IF(vend9[[#This Row],[Nº Venda]]&gt;1,1,0)</f>
        <v>1</v>
      </c>
    </row>
    <row r="7" spans="2:22" x14ac:dyDescent="0.25">
      <c r="B7" s="71" t="s">
        <v>3</v>
      </c>
      <c r="C7" s="72">
        <f>SUM(M6:M11)</f>
        <v>0</v>
      </c>
      <c r="D7" s="21"/>
      <c r="E7" s="100">
        <v>1025</v>
      </c>
      <c r="F7" s="59" t="s">
        <v>156</v>
      </c>
      <c r="G7" s="110" t="s">
        <v>7</v>
      </c>
      <c r="H7" s="61">
        <v>399</v>
      </c>
      <c r="I7" s="61">
        <v>150</v>
      </c>
      <c r="J7" s="21"/>
      <c r="K7" s="59"/>
      <c r="L7" s="80"/>
      <c r="M7" s="81"/>
      <c r="R7" s="95">
        <f>IF(vend9[[#This Row],[Nº Venda]]&gt;1,1,0)</f>
        <v>1</v>
      </c>
    </row>
    <row r="8" spans="2:22" x14ac:dyDescent="0.25">
      <c r="B8" s="101" t="s">
        <v>21</v>
      </c>
      <c r="C8" s="102">
        <f>SUM(C6:C7)</f>
        <v>350</v>
      </c>
      <c r="D8" s="21"/>
      <c r="E8" s="100">
        <v>1026</v>
      </c>
      <c r="F8" s="59" t="s">
        <v>157</v>
      </c>
      <c r="G8" s="60" t="s">
        <v>6</v>
      </c>
      <c r="H8" s="61">
        <v>899</v>
      </c>
      <c r="I8" s="61">
        <v>50</v>
      </c>
      <c r="J8" s="21"/>
      <c r="K8" s="59"/>
      <c r="L8" s="80"/>
      <c r="M8" s="81"/>
      <c r="R8" s="95">
        <f>IF(vend9[[#This Row],[Nº Venda]]&gt;1,1,0)</f>
        <v>1</v>
      </c>
    </row>
    <row r="9" spans="2:22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IF(vend9[[#This Row],[Nº Venda]]&gt;1,1,0)</f>
        <v>0</v>
      </c>
    </row>
    <row r="10" spans="2:22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IF(vend9[[#This Row],[Nº Venda]]&gt;1,1,0)</f>
        <v>0</v>
      </c>
    </row>
    <row r="11" spans="2:22" x14ac:dyDescent="0.25">
      <c r="B11" s="82" t="s">
        <v>6</v>
      </c>
      <c r="C11" s="83">
        <f>(SUMIF($G$2:$G$31,B11,$I$2:$I$31))+(SUMIF($G$35:$G$41,B11,$H$35:$H$41))</f>
        <v>50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IF(vend9[[#This Row],[Nº Venda]]&gt;1,1,0)</f>
        <v>0</v>
      </c>
    </row>
    <row r="12" spans="2:22" x14ac:dyDescent="0.25">
      <c r="B12" s="82" t="s">
        <v>7</v>
      </c>
      <c r="C12" s="83">
        <f t="shared" ref="C12:C15" si="0">(SUMIF($G$2:$G$31,B12,$I$2:$I$31))+(SUMIF($G$35:$G$41,B12,$H$35:$H$41))</f>
        <v>300</v>
      </c>
      <c r="D12" s="21"/>
      <c r="E12" s="100"/>
      <c r="F12" s="59"/>
      <c r="G12" s="60"/>
      <c r="H12" s="61"/>
      <c r="I12" s="61"/>
      <c r="J12" s="21"/>
      <c r="R12" s="95">
        <f>IF(vend9[[#This Row],[Nº Venda]]&gt;1,1,0)</f>
        <v>0</v>
      </c>
      <c r="V12" s="95">
        <v>0</v>
      </c>
    </row>
    <row r="13" spans="2:22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IF(vend9[[#This Row],[Nº Venda]]&gt;1,1,0)</f>
        <v>0</v>
      </c>
    </row>
    <row r="14" spans="2:22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IF(vend9[[#This Row],[Nº Venda]]&gt;1,1,0)</f>
        <v>0</v>
      </c>
    </row>
    <row r="15" spans="2:22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>
        <v>1017</v>
      </c>
      <c r="L15" s="80" t="s">
        <v>140</v>
      </c>
      <c r="M15" s="81" t="s">
        <v>153</v>
      </c>
      <c r="R15" s="95">
        <f>IF(vend9[[#This Row],[Nº Venda]]&gt;1,1,0)</f>
        <v>0</v>
      </c>
    </row>
    <row r="16" spans="2:22" x14ac:dyDescent="0.25">
      <c r="B16" s="101" t="s">
        <v>11</v>
      </c>
      <c r="C16" s="103">
        <f>SUM(C11:C15)</f>
        <v>350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IF(vend9[[#This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IF(vend9[[#This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IF(vend9[[#This Row],[Nº Venda]]&gt;1,1,0)</f>
        <v>0</v>
      </c>
    </row>
    <row r="19" spans="2:18" x14ac:dyDescent="0.25">
      <c r="B19" s="82">
        <f>COUNT(entr_carn9[OS])</f>
        <v>0</v>
      </c>
      <c r="C19" s="83">
        <f>SUM(entr_carn9[Valor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IF(vend9[[#This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59"/>
      <c r="G20" s="60"/>
      <c r="H20" s="61"/>
      <c r="I20" s="61"/>
      <c r="J20" s="21"/>
      <c r="K20" s="85"/>
      <c r="L20" s="80"/>
      <c r="M20" s="81"/>
      <c r="R20" s="95">
        <f>IF(vend9[[#This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1975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11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3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5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33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" x14ac:dyDescent="0.8">
      <c r="B1" s="175">
        <f>'09'!B1+1</f>
        <v>45606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63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4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IF(vend10[[#This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43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43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43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200" t="s">
        <v>12</v>
      </c>
      <c r="L33" s="201"/>
      <c r="M33" s="202"/>
    </row>
    <row r="34" spans="2:18" ht="15" x14ac:dyDescent="0.25">
      <c r="E34" s="199" t="s">
        <v>28</v>
      </c>
      <c r="F34" s="199"/>
      <c r="G34" s="199"/>
      <c r="H34" s="199"/>
      <c r="I34" s="199"/>
      <c r="K34" s="14" t="s">
        <v>23</v>
      </c>
      <c r="L34" s="6" t="s">
        <v>31</v>
      </c>
      <c r="M34" s="15" t="s">
        <v>32</v>
      </c>
    </row>
    <row r="35" spans="2:18" ht="15" x14ac:dyDescent="0.25">
      <c r="E35" s="68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69"/>
      <c r="L35" s="40"/>
      <c r="M35" s="16"/>
    </row>
    <row r="36" spans="2:18" ht="15.75" x14ac:dyDescent="0.25">
      <c r="E36" s="63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7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24"/>
      <c r="G39" s="25"/>
      <c r="H39" s="8"/>
      <c r="I39" s="8"/>
      <c r="K39" s="69"/>
      <c r="L39" s="40"/>
      <c r="M39" s="16"/>
    </row>
    <row r="40" spans="2:18" ht="15.75" x14ac:dyDescent="0.25">
      <c r="E40" s="63"/>
      <c r="F40" s="38"/>
      <c r="G40" s="25"/>
      <c r="H40" s="8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5"/>
      <c r="F41" s="35"/>
      <c r="G41" s="36"/>
      <c r="H41" s="17"/>
      <c r="I41" s="8"/>
      <c r="K41" s="69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1" zoomScale="80" zoomScaleNormal="80" workbookViewId="0">
      <selection activeCell="C7" sqref="C7"/>
    </sheetView>
  </sheetViews>
  <sheetFormatPr defaultColWidth="9.140625" defaultRowHeight="15" x14ac:dyDescent="0.25"/>
  <cols>
    <col min="1" max="1" width="0.7109375" style="95" customWidth="1"/>
    <col min="2" max="2" width="28.5703125" style="95" bestFit="1" customWidth="1"/>
    <col min="3" max="3" width="14" style="95" customWidth="1"/>
    <col min="4" max="4" width="2.710937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2.710937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35.25" x14ac:dyDescent="0.55000000000000004">
      <c r="B1" s="174">
        <f>'10'!B1+1</f>
        <v>45607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115.5</v>
      </c>
      <c r="D6" s="21"/>
      <c r="E6" s="100"/>
      <c r="F6" s="59"/>
      <c r="G6" s="60"/>
      <c r="H6" s="61"/>
      <c r="I6" s="61"/>
      <c r="J6" s="21"/>
      <c r="K6" s="59"/>
      <c r="L6" s="80"/>
      <c r="M6" s="81"/>
      <c r="R6" s="95">
        <f>IF(vend11[[#This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60"/>
      <c r="H7" s="61"/>
      <c r="I7" s="61"/>
      <c r="J7" s="21"/>
      <c r="K7" s="59"/>
      <c r="L7" s="80"/>
      <c r="M7" s="81"/>
      <c r="R7" s="95">
        <f>IF(vend11[[#This Row],[Nº Venda]]&gt;1,1,0)</f>
        <v>0</v>
      </c>
    </row>
    <row r="8" spans="2:18" x14ac:dyDescent="0.25">
      <c r="B8" s="101" t="s">
        <v>21</v>
      </c>
      <c r="C8" s="102">
        <f>SUM(C6:C7)</f>
        <v>115.5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IF(vend11[[#This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IF(vend11[[#This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IF(vend11[[#This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0.5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IF(vend11[[#This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IF(vend11[[#This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IF(vend11[[#This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IF(vend11[[#This Row],[Nº Venda]]&gt;1,1,0)</f>
        <v>0</v>
      </c>
    </row>
    <row r="15" spans="2:18" x14ac:dyDescent="0.25">
      <c r="B15" s="82" t="s">
        <v>10</v>
      </c>
      <c r="C15" s="83">
        <f t="shared" si="0"/>
        <v>115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IF(vend11[[#This Row],[Nº Venda]]&gt;1,1,0)</f>
        <v>0</v>
      </c>
    </row>
    <row r="16" spans="2:18" x14ac:dyDescent="0.25">
      <c r="B16" s="101" t="s">
        <v>11</v>
      </c>
      <c r="C16" s="103">
        <f>SUM(C11:C15)</f>
        <v>115.5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IF(vend11[[#This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IF(vend11[[#This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IF(vend11[[#This Row],[Nº Venda]]&gt;1,1,0)</f>
        <v>0</v>
      </c>
    </row>
    <row r="19" spans="2:18" x14ac:dyDescent="0.25">
      <c r="B19" s="82">
        <f>COUNT(entr_carn11[OS])</f>
        <v>0</v>
      </c>
      <c r="C19" s="83">
        <f>SUM(entr_carn11[Valor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IF(vend11[[#This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IF(vend11[[#This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11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>
        <v>998</v>
      </c>
      <c r="F35" s="59" t="s">
        <v>158</v>
      </c>
      <c r="G35" s="60" t="s">
        <v>10</v>
      </c>
      <c r="H35" s="61">
        <v>115</v>
      </c>
      <c r="I35" s="61" t="s">
        <v>82</v>
      </c>
      <c r="K35" s="85"/>
      <c r="L35" s="90"/>
      <c r="M35" s="81"/>
    </row>
    <row r="36" spans="2:18" x14ac:dyDescent="0.25">
      <c r="E36" s="168">
        <v>998</v>
      </c>
      <c r="F36" s="59" t="s">
        <v>158</v>
      </c>
      <c r="G36" s="60" t="s">
        <v>6</v>
      </c>
      <c r="H36" s="61">
        <v>0.5</v>
      </c>
      <c r="I36" s="61" t="s">
        <v>82</v>
      </c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2" zoomScale="90" zoomScaleNormal="90" workbookViewId="0">
      <selection activeCell="C7" sqref="C7"/>
    </sheetView>
  </sheetViews>
  <sheetFormatPr defaultColWidth="9.140625" defaultRowHeight="15" x14ac:dyDescent="0.25"/>
  <cols>
    <col min="1" max="1" width="0.85546875" style="95" customWidth="1"/>
    <col min="2" max="2" width="33.140625" style="95" bestFit="1" customWidth="1"/>
    <col min="3" max="3" width="14" style="95" customWidth="1"/>
    <col min="4" max="4" width="0.4257812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57031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18.75" x14ac:dyDescent="0.4">
      <c r="B1" s="94">
        <f>'11'!B1+1</f>
        <v>45608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0</v>
      </c>
      <c r="D6" s="21"/>
      <c r="E6" s="100"/>
      <c r="F6" s="177"/>
      <c r="G6" s="177"/>
      <c r="H6" s="178"/>
      <c r="I6" s="178"/>
      <c r="J6" s="21"/>
      <c r="K6" s="59"/>
      <c r="L6" s="80"/>
      <c r="M6" s="81"/>
      <c r="R6" s="95">
        <f>IF(vend12[[#This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162"/>
      <c r="G7" s="162"/>
      <c r="H7" s="163"/>
      <c r="I7" s="163"/>
      <c r="J7" s="21"/>
      <c r="K7" s="59"/>
      <c r="L7" s="80"/>
      <c r="M7" s="81"/>
      <c r="R7" s="95">
        <f>IF(vend12[[#This Row],[Nº Venda]]&gt;1,1,0)</f>
        <v>0</v>
      </c>
    </row>
    <row r="8" spans="2:18" x14ac:dyDescent="0.25">
      <c r="B8" s="101" t="s">
        <v>21</v>
      </c>
      <c r="C8" s="102">
        <f>SUM(C6:C7)</f>
        <v>0</v>
      </c>
      <c r="D8" s="21"/>
      <c r="E8" s="100"/>
      <c r="F8" s="162"/>
      <c r="G8" s="162"/>
      <c r="H8" s="163"/>
      <c r="I8" s="163"/>
      <c r="J8" s="21"/>
      <c r="K8" s="59"/>
      <c r="L8" s="80"/>
      <c r="M8" s="81"/>
      <c r="R8" s="95">
        <f>IF(vend12[[#This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IF(vend12[[#This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IF(vend12[[#This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0</v>
      </c>
      <c r="R11" s="95">
        <f>IF(vend12[[#This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IF(vend12[[#This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IF(vend12[[#This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IF(vend12[[#This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IF(vend12[[#This Row],[Nº Venda]]&gt;1,1,0)</f>
        <v>0</v>
      </c>
    </row>
    <row r="16" spans="2:18" x14ac:dyDescent="0.25">
      <c r="B16" s="101" t="s">
        <v>11</v>
      </c>
      <c r="C16" s="103">
        <f>SUM(C11:C15)</f>
        <v>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IF(vend12[[#This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IF(vend12[[#This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IF(vend12[[#This Row],[Nº Venda]]&gt;1,1,0)</f>
        <v>0</v>
      </c>
    </row>
    <row r="19" spans="2:18" x14ac:dyDescent="0.25">
      <c r="B19" s="82">
        <f>COUNT(entr_carn12[OS])</f>
        <v>0</v>
      </c>
      <c r="C19" s="83">
        <f>SUM(entr_carn12[Valor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IF(vend12[[#This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IF(vend12[[#This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179"/>
      <c r="G26" s="11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4" zoomScale="90" zoomScaleNormal="90" workbookViewId="0">
      <selection activeCell="C7" sqref="C7"/>
    </sheetView>
  </sheetViews>
  <sheetFormatPr defaultColWidth="9.140625" defaultRowHeight="15" x14ac:dyDescent="0.25"/>
  <cols>
    <col min="1" max="1" width="1" style="95" customWidth="1"/>
    <col min="2" max="2" width="33.14062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1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'12'!B1+1</f>
        <v>45609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0</v>
      </c>
      <c r="D6" s="21"/>
      <c r="E6" s="100"/>
      <c r="F6" s="59"/>
      <c r="G6" s="60"/>
      <c r="H6" s="61"/>
      <c r="I6" s="61"/>
      <c r="J6" s="21"/>
      <c r="K6" s="59"/>
      <c r="L6" s="80"/>
      <c r="M6" s="81"/>
      <c r="R6" s="95">
        <f>IF(vend13[[#This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60"/>
      <c r="H7" s="61"/>
      <c r="I7" s="61"/>
      <c r="J7" s="21"/>
      <c r="K7" s="59"/>
      <c r="L7" s="80"/>
      <c r="M7" s="81"/>
      <c r="R7" s="95">
        <f>IF(vend13[[#This Row],[Nº Venda]]&gt;1,1,0)</f>
        <v>0</v>
      </c>
    </row>
    <row r="8" spans="2:18" x14ac:dyDescent="0.25">
      <c r="B8" s="101" t="s">
        <v>21</v>
      </c>
      <c r="C8" s="102">
        <f>SUM(C6:C7)</f>
        <v>0</v>
      </c>
      <c r="D8" s="21"/>
      <c r="E8" s="107"/>
      <c r="F8" s="59"/>
      <c r="G8" s="60"/>
      <c r="H8" s="61"/>
      <c r="I8" s="61"/>
      <c r="J8" s="21"/>
      <c r="K8" s="59"/>
      <c r="L8" s="80"/>
      <c r="M8" s="81"/>
      <c r="R8" s="95">
        <f>IF(vend13[[#This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IF(vend13[[#This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IF(vend13[[#This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0</v>
      </c>
      <c r="R11" s="95">
        <f>IF(vend13[[#This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IF(vend13[[#This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IF(vend13[[#This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IF(vend13[[#This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IF(vend13[[#This Row],[Nº Venda]]&gt;1,1,0)</f>
        <v>0</v>
      </c>
    </row>
    <row r="16" spans="2:18" x14ac:dyDescent="0.25">
      <c r="B16" s="101" t="s">
        <v>11</v>
      </c>
      <c r="C16" s="103">
        <f>SUM(C11:C15)</f>
        <v>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IF(vend13[[#This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IF(vend13[[#This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IF(vend13[[#This Row],[Nº Venda]]&gt;1,1,0)</f>
        <v>0</v>
      </c>
    </row>
    <row r="19" spans="2:18" x14ac:dyDescent="0.25">
      <c r="B19" s="82">
        <f>COUNT(entr_carn13[OS])</f>
        <v>0</v>
      </c>
      <c r="C19" s="83">
        <f>SUM(entr_carn13[Valor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IF(vend13[[#This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IF(vend13[[#This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E26:E31 E35:E41 K35:K41 K15:K31 E6:E7 E9:E22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7" zoomScale="90" zoomScaleNormal="90" workbookViewId="0">
      <selection activeCell="C7" sqref="C7"/>
    </sheetView>
  </sheetViews>
  <sheetFormatPr defaultColWidth="9.140625" defaultRowHeight="15" x14ac:dyDescent="0.25"/>
  <cols>
    <col min="1" max="1" width="0.85546875" style="95" customWidth="1"/>
    <col min="2" max="2" width="33.140625" style="95" bestFit="1" customWidth="1"/>
    <col min="3" max="3" width="14" style="95" customWidth="1"/>
    <col min="4" max="4" width="1" style="95" customWidth="1"/>
    <col min="5" max="5" width="15.5703125" style="96" customWidth="1"/>
    <col min="6" max="6" width="29.425781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7109375" style="95" customWidth="1"/>
    <col min="11" max="11" width="21.7109375" style="98" customWidth="1"/>
    <col min="12" max="12" width="24.28515625" style="98" bestFit="1" customWidth="1"/>
    <col min="13" max="13" width="12.2851562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'13'!B1+1</f>
        <v>45610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0</v>
      </c>
      <c r="D6" s="21"/>
      <c r="E6" s="100"/>
      <c r="F6" s="59"/>
      <c r="G6" s="110"/>
      <c r="H6" s="61"/>
      <c r="I6" s="61"/>
      <c r="J6" s="21"/>
      <c r="K6" s="59"/>
      <c r="L6" s="80"/>
      <c r="M6" s="81"/>
      <c r="R6" s="95">
        <f>IF(vend14[[#This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110"/>
      <c r="H7" s="61"/>
      <c r="I7" s="61"/>
      <c r="J7" s="21"/>
      <c r="K7" s="59"/>
      <c r="L7" s="80"/>
      <c r="M7" s="81"/>
      <c r="R7" s="95">
        <f>IF(vend14[[#This Row],[Nº Venda]]&gt;1,1,0)</f>
        <v>0</v>
      </c>
    </row>
    <row r="8" spans="2:18" x14ac:dyDescent="0.25">
      <c r="B8" s="101" t="s">
        <v>21</v>
      </c>
      <c r="C8" s="102">
        <f>SUM(C6:C7)</f>
        <v>0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IF(vend14[[#This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IF(vend14[[#This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IF(vend14[[#This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0</v>
      </c>
      <c r="R11" s="95">
        <f>IF(vend14[[#This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IF(vend14[[#This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IF(vend14[[#This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IF(vend14[[#This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>
        <v>1013</v>
      </c>
      <c r="L15" s="80" t="s">
        <v>140</v>
      </c>
      <c r="M15" s="81" t="s">
        <v>153</v>
      </c>
      <c r="R15" s="95">
        <f>IF(vend14[[#This Row],[Nº Venda]]&gt;1,1,0)</f>
        <v>0</v>
      </c>
    </row>
    <row r="16" spans="2:18" x14ac:dyDescent="0.25">
      <c r="B16" s="101" t="s">
        <v>11</v>
      </c>
      <c r="C16" s="103">
        <f>SUM(C11:C15)</f>
        <v>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IF(vend14[[#This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IF(vend14[[#This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IF(vend14[[#This Row],[Nº Venda]]&gt;1,1,0)</f>
        <v>0</v>
      </c>
    </row>
    <row r="19" spans="2:18" x14ac:dyDescent="0.25">
      <c r="B19" s="82">
        <f>COUNT(entr_carn14[OS])</f>
        <v>0</v>
      </c>
      <c r="C19" s="83">
        <f>SUM(entr_carn14[Valor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IF(vend14[[#This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IF(vend14[[#This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3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'14'!B1+1</f>
        <v>45611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49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IF(vend15[[#This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49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43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16"/>
    </row>
    <row r="36" spans="2:18" ht="15.75" x14ac:dyDescent="0.25">
      <c r="E36" s="67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4" zoomScale="90" zoomScaleNormal="90" workbookViewId="0">
      <selection activeCell="C7" sqref="C7"/>
    </sheetView>
  </sheetViews>
  <sheetFormatPr defaultColWidth="9.140625" defaultRowHeight="15" x14ac:dyDescent="0.25"/>
  <cols>
    <col min="1" max="1" width="0.42578125" style="95" customWidth="1"/>
    <col min="2" max="2" width="29.5703125" style="95" bestFit="1" customWidth="1"/>
    <col min="3" max="3" width="14" style="95" customWidth="1"/>
    <col min="4" max="4" width="1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7109375" style="95" customWidth="1"/>
    <col min="11" max="11" width="21.7109375" style="98" customWidth="1"/>
    <col min="12" max="12" width="24.28515625" style="98" bestFit="1" customWidth="1"/>
    <col min="13" max="13" width="13.14062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35.25" x14ac:dyDescent="0.55000000000000004">
      <c r="B1" s="174">
        <f>'15'!B1+1</f>
        <v>45612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2398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1188</v>
      </c>
      <c r="D6" s="21"/>
      <c r="E6" s="100">
        <v>1027</v>
      </c>
      <c r="F6" s="59" t="s">
        <v>159</v>
      </c>
      <c r="G6" s="110" t="s">
        <v>10</v>
      </c>
      <c r="H6" s="61">
        <v>899</v>
      </c>
      <c r="I6" s="61">
        <v>89</v>
      </c>
      <c r="J6" s="21"/>
      <c r="K6" s="59"/>
      <c r="L6" s="80"/>
      <c r="M6" s="81"/>
      <c r="R6" s="95">
        <f>IF(vend16[[#This Row],[Nº Venda]]&gt;1,1,0)</f>
        <v>1</v>
      </c>
    </row>
    <row r="7" spans="2:18" x14ac:dyDescent="0.25">
      <c r="B7" s="71" t="s">
        <v>3</v>
      </c>
      <c r="C7" s="72">
        <f>SUM(M6:M11)</f>
        <v>0</v>
      </c>
      <c r="D7" s="21"/>
      <c r="E7" s="100">
        <v>1028</v>
      </c>
      <c r="F7" s="59" t="s">
        <v>160</v>
      </c>
      <c r="G7" s="110" t="s">
        <v>6</v>
      </c>
      <c r="H7" s="61">
        <v>1499</v>
      </c>
      <c r="I7" s="61">
        <v>250</v>
      </c>
      <c r="J7" s="21"/>
      <c r="K7" s="59"/>
      <c r="L7" s="80"/>
      <c r="M7" s="81"/>
      <c r="R7" s="95">
        <f>IF(vend16[[#This Row],[Nº Venda]]&gt;1,1,0)</f>
        <v>1</v>
      </c>
    </row>
    <row r="8" spans="2:18" x14ac:dyDescent="0.25">
      <c r="B8" s="101" t="s">
        <v>21</v>
      </c>
      <c r="C8" s="102">
        <f>SUM(C6:C7)</f>
        <v>1188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IF(vend16[[#This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IF(vend16[[#This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IF(vend16[[#This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250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IF(vend16[[#This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IF(vend16[[#This Row],[Nº Venda]]&gt;1,1,0)</f>
        <v>0</v>
      </c>
    </row>
    <row r="13" spans="2:18" x14ac:dyDescent="0.25">
      <c r="B13" s="82" t="s">
        <v>8</v>
      </c>
      <c r="C13" s="83">
        <f t="shared" si="0"/>
        <v>849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IF(vend16[[#This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IF(vend16[[#This Row],[Nº Venda]]&gt;1,1,0)</f>
        <v>0</v>
      </c>
    </row>
    <row r="15" spans="2:18" x14ac:dyDescent="0.25">
      <c r="B15" s="82" t="s">
        <v>10</v>
      </c>
      <c r="C15" s="83">
        <f t="shared" si="0"/>
        <v>89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IF(vend16[[#This Row],[Nº Venda]]&gt;1,1,0)</f>
        <v>0</v>
      </c>
    </row>
    <row r="16" spans="2:18" x14ac:dyDescent="0.25">
      <c r="B16" s="101" t="s">
        <v>11</v>
      </c>
      <c r="C16" s="103">
        <f>SUM(C11:C15)</f>
        <v>1188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IF(vend16[[#This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49"/>
      <c r="R17" s="95">
        <f>IF(vend16[[#This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IF(vend16[[#This Row],[Nº Venda]]&gt;1,1,0)</f>
        <v>0</v>
      </c>
    </row>
    <row r="19" spans="2:18" x14ac:dyDescent="0.25">
      <c r="B19" s="82">
        <f>COUNT(entr_carn16[OS])</f>
        <v>0</v>
      </c>
      <c r="C19" s="83">
        <f>SUM(entr_carn16[Valor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IF(vend16[[#This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IF(vend16[[#This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2398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>
        <v>1026</v>
      </c>
      <c r="F26" s="59" t="s">
        <v>161</v>
      </c>
      <c r="G26" s="110" t="s">
        <v>8</v>
      </c>
      <c r="H26" s="61"/>
      <c r="I26" s="61">
        <v>849</v>
      </c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2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5">
        <f>'16'!B1+1</f>
        <v>45613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IF(vend17[[#This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25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16"/>
    </row>
    <row r="36" spans="2:18" ht="15.75" x14ac:dyDescent="0.25">
      <c r="E36" s="67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abSelected="1" topLeftCell="A14" zoomScale="90" zoomScaleNormal="90" workbookViewId="0">
      <selection activeCell="C7" sqref="C7"/>
    </sheetView>
  </sheetViews>
  <sheetFormatPr defaultColWidth="9.140625" defaultRowHeight="15" x14ac:dyDescent="0.25"/>
  <cols>
    <col min="1" max="1" width="0.5703125" style="95" customWidth="1"/>
    <col min="2" max="2" width="29.8554687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425781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35.25" x14ac:dyDescent="0.55000000000000004">
      <c r="B1" s="184">
        <f>'17'!B1+1</f>
        <v>45614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1700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1700</v>
      </c>
      <c r="D6" s="21"/>
      <c r="E6" s="100">
        <v>1029</v>
      </c>
      <c r="F6" s="59" t="s">
        <v>162</v>
      </c>
      <c r="G6" s="60" t="s">
        <v>8</v>
      </c>
      <c r="H6" s="61">
        <v>700</v>
      </c>
      <c r="I6" s="61">
        <v>700</v>
      </c>
      <c r="J6" s="21"/>
      <c r="K6" s="59" t="s">
        <v>146</v>
      </c>
      <c r="L6" s="181" t="s">
        <v>10</v>
      </c>
      <c r="M6" s="81">
        <v>13</v>
      </c>
      <c r="R6" s="95">
        <f>IF(vend18[[#This Row],[Nº Venda]]&gt;1,1,0)</f>
        <v>1</v>
      </c>
    </row>
    <row r="7" spans="2:18" x14ac:dyDescent="0.25">
      <c r="B7" s="71" t="s">
        <v>3</v>
      </c>
      <c r="C7" s="72">
        <f>SUM(M6:M11)</f>
        <v>13</v>
      </c>
      <c r="D7" s="21"/>
      <c r="E7" s="100">
        <v>1030</v>
      </c>
      <c r="F7" s="59" t="s">
        <v>162</v>
      </c>
      <c r="G7" s="60" t="s">
        <v>8</v>
      </c>
      <c r="H7" s="61">
        <v>150</v>
      </c>
      <c r="I7" s="61">
        <v>150</v>
      </c>
      <c r="J7" s="21"/>
      <c r="K7" s="59"/>
      <c r="L7" s="80"/>
      <c r="M7" s="81"/>
      <c r="R7" s="95">
        <f>IF(vend18[[#This Row],[Nº Venda]]&gt;1,1,0)</f>
        <v>1</v>
      </c>
    </row>
    <row r="8" spans="2:18" x14ac:dyDescent="0.25">
      <c r="B8" s="101" t="s">
        <v>21</v>
      </c>
      <c r="C8" s="102">
        <f>SUM(C6:C7)</f>
        <v>1713</v>
      </c>
      <c r="D8" s="21"/>
      <c r="E8" s="100">
        <v>1031</v>
      </c>
      <c r="F8" s="59" t="s">
        <v>163</v>
      </c>
      <c r="G8" s="60" t="s">
        <v>8</v>
      </c>
      <c r="H8" s="61">
        <v>700</v>
      </c>
      <c r="I8" s="61">
        <v>700</v>
      </c>
      <c r="J8" s="21"/>
      <c r="K8" s="59"/>
      <c r="L8" s="80"/>
      <c r="M8" s="81"/>
      <c r="R8" s="95">
        <f>IF(vend18[[#This Row],[Nº Venda]]&gt;1,1,0)</f>
        <v>1</v>
      </c>
    </row>
    <row r="9" spans="2:18" x14ac:dyDescent="0.25">
      <c r="B9" s="21"/>
      <c r="C9" s="21"/>
      <c r="D9" s="21"/>
      <c r="E9" s="100">
        <v>1032</v>
      </c>
      <c r="F9" s="59" t="s">
        <v>163</v>
      </c>
      <c r="G9" s="60" t="s">
        <v>8</v>
      </c>
      <c r="H9" s="61">
        <v>150</v>
      </c>
      <c r="I9" s="61">
        <v>150</v>
      </c>
      <c r="J9" s="21"/>
      <c r="K9" s="59"/>
      <c r="L9" s="80"/>
      <c r="M9" s="81"/>
      <c r="R9" s="95">
        <f>IF(vend18[[#This Row],[Nº Venda]]&gt;1,1,0)</f>
        <v>1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IF(vend18[[#This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IF(vend18[[#This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IF(vend18[[#This Row],[Nº Venda]]&gt;1,1,0)</f>
        <v>0</v>
      </c>
    </row>
    <row r="13" spans="2:18" x14ac:dyDescent="0.25">
      <c r="B13" s="82" t="s">
        <v>8</v>
      </c>
      <c r="C13" s="83">
        <f t="shared" si="0"/>
        <v>1700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IF(vend18[[#This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IF(vend18[[#This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IF(vend18[[#This Row],[Nº Venda]]&gt;1,1,0)</f>
        <v>0</v>
      </c>
    </row>
    <row r="16" spans="2:18" x14ac:dyDescent="0.25">
      <c r="B16" s="101" t="s">
        <v>11</v>
      </c>
      <c r="C16" s="103">
        <f>SUM(C11:C15)</f>
        <v>1700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IF(vend18[[#This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IF(vend18[[#This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IF(vend18[[#This Row],[Nº Venda]]&gt;1,1,0)</f>
        <v>0</v>
      </c>
    </row>
    <row r="19" spans="2:18" x14ac:dyDescent="0.25">
      <c r="B19" s="82">
        <f>COUNT(entr_carn18[OS])</f>
        <v>0</v>
      </c>
      <c r="C19" s="83">
        <f>SUM(entr_carn18[Valor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IF(vend18[[#This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IF(vend18[[#This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1700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82"/>
      <c r="F23" s="182"/>
      <c r="G23" s="182"/>
      <c r="H23" s="183"/>
      <c r="I23" s="183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4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0" zoomScale="90" zoomScaleNormal="90" zoomScaleSheetLayoutView="70" workbookViewId="0">
      <selection activeCell="F28" sqref="F28"/>
    </sheetView>
  </sheetViews>
  <sheetFormatPr defaultColWidth="9.140625" defaultRowHeight="15" x14ac:dyDescent="0.25"/>
  <cols>
    <col min="1" max="1" width="1" style="95" customWidth="1"/>
    <col min="2" max="2" width="29.570312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33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1.1406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35.25" x14ac:dyDescent="0.55000000000000004">
      <c r="B1" s="174">
        <f>'18'!B1+1</f>
        <v>45615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448.75</v>
      </c>
      <c r="D6" s="21"/>
      <c r="E6" s="100"/>
      <c r="F6" s="59"/>
      <c r="G6" s="60"/>
      <c r="H6" s="61"/>
      <c r="I6" s="61"/>
      <c r="J6" s="21"/>
      <c r="K6" s="59"/>
      <c r="L6" s="80"/>
      <c r="M6" s="81"/>
      <c r="R6" s="95">
        <f>IF(vend19[[#This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60"/>
      <c r="H7" s="163"/>
      <c r="I7" s="61"/>
      <c r="J7" s="21"/>
      <c r="K7" s="59"/>
      <c r="L7" s="80"/>
      <c r="M7" s="81"/>
      <c r="R7" s="95">
        <f>IF(vend19[[#This Row],[Nº Venda]]&gt;1,1,0)</f>
        <v>0</v>
      </c>
    </row>
    <row r="8" spans="2:18" x14ac:dyDescent="0.25">
      <c r="B8" s="101" t="s">
        <v>21</v>
      </c>
      <c r="C8" s="102">
        <f>SUM(C6:C7)</f>
        <v>448.75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IF(vend19[[#This Row],[Nº Venda]]&gt;1,1,0)</f>
        <v>0</v>
      </c>
    </row>
    <row r="9" spans="2:18" x14ac:dyDescent="0.25">
      <c r="B9" s="21"/>
      <c r="C9" s="21"/>
      <c r="D9" s="21"/>
      <c r="E9" s="185"/>
      <c r="F9" s="189"/>
      <c r="G9" s="190"/>
      <c r="H9" s="191"/>
      <c r="I9" s="191"/>
      <c r="J9" s="2"/>
      <c r="K9" s="24"/>
      <c r="L9" s="9"/>
      <c r="M9" s="16"/>
      <c r="R9" s="95">
        <f>IF(vend19[[#This Row],[Nº Venda]]&gt;1,1,0)</f>
        <v>0</v>
      </c>
    </row>
    <row r="10" spans="2:18" x14ac:dyDescent="0.25">
      <c r="B10" s="198" t="s">
        <v>5</v>
      </c>
      <c r="C10" s="198"/>
      <c r="D10" s="21"/>
      <c r="E10" s="185"/>
      <c r="F10" s="24"/>
      <c r="G10" s="25"/>
      <c r="H10" s="8"/>
      <c r="I10" s="8"/>
      <c r="J10" s="2"/>
      <c r="K10" s="24"/>
      <c r="L10" s="9"/>
      <c r="M10" s="16"/>
      <c r="R10" s="95">
        <f>IF(vend19[[#This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112.25</v>
      </c>
      <c r="D11" s="21"/>
      <c r="E11" s="185"/>
      <c r="F11" s="24"/>
      <c r="G11" s="25"/>
      <c r="H11" s="8"/>
      <c r="I11" s="8"/>
      <c r="J11" s="2"/>
      <c r="K11" s="26"/>
      <c r="L11" s="9"/>
      <c r="M11" s="16"/>
      <c r="O11" s="95">
        <f>IF(C16=0,0,1)</f>
        <v>1</v>
      </c>
      <c r="R11" s="95">
        <f>IF(vend19[[#This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336.5</v>
      </c>
      <c r="D12" s="21"/>
      <c r="E12" s="185"/>
      <c r="F12" s="24"/>
      <c r="G12" s="25"/>
      <c r="H12" s="8"/>
      <c r="I12" s="8"/>
      <c r="J12" s="2"/>
      <c r="K12" s="192"/>
      <c r="L12" s="192"/>
      <c r="M12" s="192"/>
      <c r="R12" s="95">
        <f>IF(vend19[[#This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93"/>
      <c r="F13" s="24"/>
      <c r="G13" s="25"/>
      <c r="H13" s="8"/>
      <c r="I13" s="8"/>
      <c r="J13" s="2"/>
      <c r="K13" s="216" t="s">
        <v>22</v>
      </c>
      <c r="L13" s="217"/>
      <c r="M13" s="218"/>
      <c r="R13" s="95">
        <f>IF(vend19[[#This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95">
        <f>IF(vend19[[#This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85"/>
      <c r="F15" s="24"/>
      <c r="G15" s="25"/>
      <c r="H15" s="8"/>
      <c r="I15" s="8"/>
      <c r="J15" s="2"/>
      <c r="K15" s="69">
        <v>1025</v>
      </c>
      <c r="L15" s="9" t="s">
        <v>140</v>
      </c>
      <c r="M15" s="16" t="s">
        <v>153</v>
      </c>
      <c r="R15" s="95">
        <f>IF(vend19[[#This Row],[Nº Venda]]&gt;1,1,0)</f>
        <v>0</v>
      </c>
    </row>
    <row r="16" spans="2:18" x14ac:dyDescent="0.25">
      <c r="B16" s="101" t="s">
        <v>11</v>
      </c>
      <c r="C16" s="103">
        <f>SUM(C11:C15)</f>
        <v>448.75</v>
      </c>
      <c r="D16" s="21"/>
      <c r="E16" s="185"/>
      <c r="F16" s="24"/>
      <c r="G16" s="25"/>
      <c r="H16" s="8"/>
      <c r="I16" s="8"/>
      <c r="J16" s="2"/>
      <c r="K16" s="69"/>
      <c r="L16" s="9"/>
      <c r="M16" s="16"/>
      <c r="R16" s="95">
        <f>IF(vend19[[#This Row],[Nº Venda]]&gt;1,1,0)</f>
        <v>0</v>
      </c>
    </row>
    <row r="17" spans="2:22" x14ac:dyDescent="0.25">
      <c r="B17" s="21"/>
      <c r="C17" s="21"/>
      <c r="D17" s="21"/>
      <c r="E17" s="185"/>
      <c r="F17" s="24"/>
      <c r="G17" s="25"/>
      <c r="H17" s="8"/>
      <c r="I17" s="8"/>
      <c r="J17" s="2"/>
      <c r="K17" s="69"/>
      <c r="L17" s="9"/>
      <c r="M17" s="16"/>
      <c r="R17" s="95">
        <f>IF(vend19[[#This Row],[Nº Venda]]&gt;1,1,0)</f>
        <v>0</v>
      </c>
    </row>
    <row r="18" spans="2:22" x14ac:dyDescent="0.25">
      <c r="B18" s="198" t="s">
        <v>12</v>
      </c>
      <c r="C18" s="198"/>
      <c r="D18" s="21"/>
      <c r="E18" s="185"/>
      <c r="F18" s="24"/>
      <c r="G18" s="25"/>
      <c r="H18" s="8"/>
      <c r="I18" s="8"/>
      <c r="J18" s="2"/>
      <c r="K18" s="69"/>
      <c r="L18" s="9"/>
      <c r="M18" s="16"/>
      <c r="R18" s="95">
        <f>IF(vend19[[#This Row],[Nº Venda]]&gt;1,1,0)</f>
        <v>0</v>
      </c>
    </row>
    <row r="19" spans="2:22" x14ac:dyDescent="0.25">
      <c r="B19" s="82">
        <f>COUNT(entr_carn19[OS])</f>
        <v>0</v>
      </c>
      <c r="C19" s="83">
        <f>SUM(entr_carn19[Valor Total])</f>
        <v>0</v>
      </c>
      <c r="D19" s="21"/>
      <c r="E19" s="185"/>
      <c r="F19" s="24"/>
      <c r="G19" s="25"/>
      <c r="H19" s="8"/>
      <c r="I19" s="8"/>
      <c r="J19" s="2"/>
      <c r="K19" s="69"/>
      <c r="L19" s="9"/>
      <c r="M19" s="16"/>
      <c r="R19" s="95">
        <f>IF(vend19[[#This Row],[Nº Venda]]&gt;1,1,0)</f>
        <v>0</v>
      </c>
    </row>
    <row r="20" spans="2:22" x14ac:dyDescent="0.25">
      <c r="B20" s="101" t="s">
        <v>11</v>
      </c>
      <c r="C20" s="103">
        <f>SUM(C19:C19)</f>
        <v>0</v>
      </c>
      <c r="D20" s="21"/>
      <c r="E20" s="185"/>
      <c r="F20" s="25"/>
      <c r="G20" s="25"/>
      <c r="H20" s="8"/>
      <c r="I20" s="8"/>
      <c r="J20" s="2"/>
      <c r="K20" s="69"/>
      <c r="L20" s="9"/>
      <c r="M20" s="16"/>
      <c r="R20" s="95">
        <f>IF(vend19[[#This Row],[Nº Venda]]&gt;1,1,0)</f>
        <v>0</v>
      </c>
      <c r="V20" s="95" t="s">
        <v>58</v>
      </c>
    </row>
    <row r="21" spans="2:22" x14ac:dyDescent="0.25">
      <c r="B21" s="21"/>
      <c r="C21" s="21"/>
      <c r="D21" s="21"/>
      <c r="E21" s="185"/>
      <c r="F21" s="24"/>
      <c r="G21" s="25"/>
      <c r="H21" s="8"/>
      <c r="I21" s="8"/>
      <c r="J21" s="2"/>
      <c r="K21" s="69"/>
      <c r="L21" s="9"/>
      <c r="M21" s="16"/>
    </row>
    <row r="22" spans="2:22" x14ac:dyDescent="0.25">
      <c r="B22" s="101" t="s">
        <v>26</v>
      </c>
      <c r="C22" s="103">
        <f>C5</f>
        <v>0</v>
      </c>
      <c r="D22" s="21"/>
      <c r="E22" s="185"/>
      <c r="F22" s="24"/>
      <c r="G22" s="25"/>
      <c r="H22" s="8"/>
      <c r="I22" s="8"/>
      <c r="J22" s="2"/>
      <c r="K22" s="69"/>
      <c r="L22" s="9"/>
      <c r="M22" s="16"/>
    </row>
    <row r="23" spans="2:22" x14ac:dyDescent="0.25">
      <c r="B23" s="21"/>
      <c r="C23" s="21"/>
      <c r="D23" s="21"/>
      <c r="E23" s="194"/>
      <c r="F23" s="195"/>
      <c r="G23" s="195"/>
      <c r="H23" s="196"/>
      <c r="I23" s="197"/>
      <c r="J23" s="2"/>
      <c r="K23" s="69"/>
      <c r="L23" s="9"/>
      <c r="M23" s="16"/>
    </row>
    <row r="24" spans="2:22" x14ac:dyDescent="0.25">
      <c r="B24" s="21"/>
      <c r="C24" s="21"/>
      <c r="D24" s="21"/>
      <c r="E24" s="215" t="s">
        <v>27</v>
      </c>
      <c r="F24" s="215"/>
      <c r="G24" s="215"/>
      <c r="H24" s="215"/>
      <c r="I24" s="215"/>
      <c r="J24" s="2"/>
      <c r="K24" s="69"/>
      <c r="L24" s="9"/>
      <c r="M24" s="16"/>
    </row>
    <row r="25" spans="2:22" x14ac:dyDescent="0.25">
      <c r="B25" s="21"/>
      <c r="C25" s="21"/>
      <c r="D25" s="21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22" x14ac:dyDescent="0.25">
      <c r="B26" s="21"/>
      <c r="C26" s="21"/>
      <c r="D26" s="21"/>
      <c r="E26" s="185">
        <v>1025</v>
      </c>
      <c r="F26" s="38" t="s">
        <v>156</v>
      </c>
      <c r="G26" s="25" t="s">
        <v>7</v>
      </c>
      <c r="H26" s="8"/>
      <c r="I26" s="8">
        <v>249</v>
      </c>
      <c r="J26" s="2"/>
      <c r="K26" s="69"/>
      <c r="L26" s="9"/>
      <c r="M26" s="16"/>
    </row>
    <row r="27" spans="2:22" x14ac:dyDescent="0.25">
      <c r="B27" s="21"/>
      <c r="C27" s="21"/>
      <c r="D27" s="21"/>
      <c r="E27" s="185"/>
      <c r="F27" s="24"/>
      <c r="G27" s="25"/>
      <c r="H27" s="8"/>
      <c r="I27" s="8"/>
      <c r="J27" s="2"/>
      <c r="K27" s="69"/>
      <c r="L27" s="9"/>
      <c r="M27" s="16"/>
    </row>
    <row r="28" spans="2:22" x14ac:dyDescent="0.25">
      <c r="B28" s="21"/>
      <c r="C28" s="21"/>
      <c r="D28" s="21"/>
      <c r="E28" s="185"/>
      <c r="F28" s="24"/>
      <c r="G28" s="25"/>
      <c r="H28" s="8"/>
      <c r="I28" s="8"/>
      <c r="J28" s="2"/>
      <c r="K28" s="69"/>
      <c r="L28" s="9"/>
      <c r="M28" s="16"/>
    </row>
    <row r="29" spans="2:22" x14ac:dyDescent="0.25">
      <c r="B29" s="21"/>
      <c r="C29" s="21"/>
      <c r="D29" s="21"/>
      <c r="E29" s="185"/>
      <c r="F29" s="24"/>
      <c r="G29" s="25"/>
      <c r="H29" s="25"/>
      <c r="I29" s="8"/>
      <c r="J29" s="2"/>
      <c r="K29" s="69"/>
      <c r="L29" s="9"/>
      <c r="M29" s="16"/>
    </row>
    <row r="30" spans="2:22" x14ac:dyDescent="0.25">
      <c r="B30" s="21"/>
      <c r="C30" s="21"/>
      <c r="D30" s="21"/>
      <c r="E30" s="100"/>
      <c r="F30" s="59"/>
      <c r="G30" s="60"/>
      <c r="H30" s="61"/>
      <c r="I30" s="61"/>
      <c r="J30" s="21"/>
      <c r="K30" s="85"/>
      <c r="L30" s="80"/>
      <c r="M30" s="81"/>
    </row>
    <row r="31" spans="2:22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22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85">
        <v>987</v>
      </c>
      <c r="F35" s="24" t="s">
        <v>164</v>
      </c>
      <c r="G35" s="25" t="s">
        <v>7</v>
      </c>
      <c r="H35" s="8">
        <v>87.5</v>
      </c>
      <c r="I35" s="8" t="s">
        <v>49</v>
      </c>
      <c r="K35" s="85"/>
      <c r="L35" s="90"/>
      <c r="M35" s="81"/>
    </row>
    <row r="36" spans="2:18" x14ac:dyDescent="0.25">
      <c r="E36" s="186">
        <v>966</v>
      </c>
      <c r="F36" s="24" t="s">
        <v>165</v>
      </c>
      <c r="G36" s="25" t="s">
        <v>6</v>
      </c>
      <c r="H36" s="8">
        <v>112.25</v>
      </c>
      <c r="I36" s="8" t="s">
        <v>83</v>
      </c>
      <c r="K36" s="85"/>
      <c r="L36" s="90"/>
      <c r="M36" s="81"/>
    </row>
    <row r="37" spans="2:18" x14ac:dyDescent="0.25">
      <c r="E37" s="185"/>
      <c r="F37" s="24"/>
      <c r="G37" s="25"/>
      <c r="H37" s="8"/>
      <c r="I37" s="8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6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1">
        <f>'19'!B1+1</f>
        <v>45616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49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IF(vend20[[#This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25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49"/>
    </row>
    <row r="36" spans="2:18" ht="15.75" x14ac:dyDescent="0.25">
      <c r="E36" s="67"/>
      <c r="F36" s="24"/>
      <c r="G36" s="25"/>
      <c r="H36" s="8"/>
      <c r="I36" s="8"/>
      <c r="K36" s="69"/>
      <c r="L36" s="50"/>
      <c r="M36" s="49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topLeftCell="A9" zoomScale="60" zoomScaleNormal="90" workbookViewId="0">
      <selection activeCell="F36" sqref="F36"/>
    </sheetView>
  </sheetViews>
  <sheetFormatPr defaultColWidth="9.140625" defaultRowHeight="15" x14ac:dyDescent="0.25"/>
  <cols>
    <col min="1" max="1" width="1.140625" style="95" customWidth="1"/>
    <col min="2" max="2" width="33.140625" style="95" bestFit="1" customWidth="1"/>
    <col min="3" max="3" width="14" style="95" customWidth="1"/>
    <col min="4" max="4" width="0.42578125" style="95" customWidth="1"/>
    <col min="5" max="5" width="15.5703125" style="96" customWidth="1"/>
    <col min="6" max="6" width="32.5703125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0.710937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'20'!B1+1</f>
        <v>45617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178.2</v>
      </c>
      <c r="D6" s="21"/>
      <c r="E6" s="100"/>
      <c r="F6" s="59"/>
      <c r="G6" s="60"/>
      <c r="H6" s="61"/>
      <c r="I6" s="61"/>
      <c r="J6" s="21"/>
      <c r="K6" s="59"/>
      <c r="L6" s="80"/>
      <c r="M6" s="81"/>
      <c r="R6" s="95">
        <f>IF(vend21[[#This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60"/>
      <c r="H7" s="61"/>
      <c r="I7" s="61"/>
      <c r="J7" s="21"/>
      <c r="K7" s="59"/>
      <c r="L7" s="80"/>
      <c r="M7" s="81"/>
      <c r="R7" s="95">
        <f>IF(vend21[[#This Row],[Nº Venda]]&gt;1,1,0)</f>
        <v>0</v>
      </c>
    </row>
    <row r="8" spans="2:18" x14ac:dyDescent="0.25">
      <c r="B8" s="101" t="s">
        <v>21</v>
      </c>
      <c r="C8" s="102">
        <f>SUM(C6:C7)</f>
        <v>178.2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IF(vend21[[#This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IF(vend21[[#This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IF(vend21[[#This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78.2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IF(vend21[[#This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100</v>
      </c>
      <c r="D12" s="21"/>
      <c r="E12" s="100"/>
      <c r="F12" s="59"/>
      <c r="G12" s="60"/>
      <c r="H12" s="61"/>
      <c r="I12" s="61"/>
      <c r="J12" s="21"/>
      <c r="R12" s="95">
        <f>IF(vend21[[#This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IF(vend21[[#This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IF(vend21[[#This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IF(vend21[[#This Row],[Nº Venda]]&gt;1,1,0)</f>
        <v>0</v>
      </c>
    </row>
    <row r="16" spans="2:18" x14ac:dyDescent="0.25">
      <c r="B16" s="101" t="s">
        <v>11</v>
      </c>
      <c r="C16" s="103">
        <f>SUM(C11:C15)</f>
        <v>178.2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IF(vend21[[#This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IF(vend21[[#This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IF(vend21[[#This Row],[Nº Venda]]&gt;1,1,0)</f>
        <v>0</v>
      </c>
    </row>
    <row r="19" spans="2:18" x14ac:dyDescent="0.25">
      <c r="B19" s="82">
        <f>COUNT(entr_carn21[OS])</f>
        <v>0</v>
      </c>
      <c r="C19" s="83">
        <f>SUM(entr_carn21[Valor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IF(vend21[[#This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IF(vend21[[#This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85">
        <v>859</v>
      </c>
      <c r="F35" s="24" t="s">
        <v>166</v>
      </c>
      <c r="G35" s="25" t="s">
        <v>6</v>
      </c>
      <c r="H35" s="8">
        <v>78.2</v>
      </c>
      <c r="I35" s="8" t="s">
        <v>101</v>
      </c>
      <c r="K35" s="85"/>
      <c r="L35" s="90"/>
      <c r="M35" s="81"/>
    </row>
    <row r="36" spans="2:18" x14ac:dyDescent="0.25">
      <c r="E36" s="186">
        <v>921</v>
      </c>
      <c r="F36" s="24" t="s">
        <v>167</v>
      </c>
      <c r="G36" s="25" t="s">
        <v>7</v>
      </c>
      <c r="H36" s="8">
        <v>100</v>
      </c>
      <c r="I36" s="8" t="s">
        <v>81</v>
      </c>
      <c r="K36" s="85"/>
      <c r="L36" s="90"/>
      <c r="M36" s="81"/>
    </row>
    <row r="37" spans="2:18" x14ac:dyDescent="0.25">
      <c r="E37" s="185"/>
      <c r="F37" s="24"/>
      <c r="G37" s="25"/>
      <c r="H37" s="8"/>
      <c r="I37" s="8"/>
      <c r="K37" s="85"/>
      <c r="L37" s="90"/>
      <c r="M37" s="81"/>
    </row>
    <row r="38" spans="2:18" x14ac:dyDescent="0.25">
      <c r="E38" s="185"/>
      <c r="F38" s="24"/>
      <c r="G38" s="25"/>
      <c r="H38" s="8"/>
      <c r="I38" s="8"/>
      <c r="K38" s="85"/>
      <c r="L38" s="90"/>
      <c r="M38" s="81"/>
    </row>
    <row r="39" spans="2:18" x14ac:dyDescent="0.25">
      <c r="E39" s="185"/>
      <c r="F39" s="38"/>
      <c r="G39" s="25"/>
      <c r="H39" s="8"/>
      <c r="I39" s="8"/>
      <c r="K39" s="85"/>
      <c r="L39" s="90"/>
      <c r="M39" s="81"/>
    </row>
    <row r="40" spans="2:18" x14ac:dyDescent="0.25">
      <c r="E40" s="187"/>
      <c r="F40" s="35"/>
      <c r="G40" s="36"/>
      <c r="H40" s="17"/>
      <c r="I40" s="8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88"/>
      <c r="F41" s="38"/>
      <c r="G41" s="25"/>
      <c r="H41" s="8"/>
      <c r="I41" s="8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view="pageBreakPreview" zoomScale="60" zoomScaleNormal="90" workbookViewId="0">
      <selection activeCell="G31" sqref="G30:G31"/>
    </sheetView>
  </sheetViews>
  <sheetFormatPr defaultColWidth="9.140625" defaultRowHeight="15" x14ac:dyDescent="0.25"/>
  <cols>
    <col min="1" max="1" width="0.7109375" style="95" customWidth="1"/>
    <col min="2" max="2" width="33.14062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40.42578125" style="96" bestFit="1" customWidth="1"/>
    <col min="7" max="7" width="17.28515625" style="96" customWidth="1"/>
    <col min="8" max="8" width="19.140625" style="97" customWidth="1"/>
    <col min="9" max="9" width="15.5703125" style="97" customWidth="1"/>
    <col min="10" max="10" width="0.710937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'21'!B1+1</f>
        <v>45618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399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649.33000000000004</v>
      </c>
      <c r="D6" s="21"/>
      <c r="E6" s="185">
        <v>1033</v>
      </c>
      <c r="F6" s="24" t="s">
        <v>170</v>
      </c>
      <c r="G6" s="25" t="s">
        <v>7</v>
      </c>
      <c r="H6" s="8">
        <v>399</v>
      </c>
      <c r="I6" s="8">
        <v>50</v>
      </c>
      <c r="J6" s="21"/>
      <c r="K6" s="59"/>
      <c r="L6" s="80"/>
      <c r="M6" s="81"/>
      <c r="R6" s="95">
        <f>IF(vend22[[#This Row],[Nº Venda]]&gt;1,1,0)</f>
        <v>1</v>
      </c>
    </row>
    <row r="7" spans="2:18" x14ac:dyDescent="0.25">
      <c r="B7" s="71" t="s">
        <v>3</v>
      </c>
      <c r="C7" s="72">
        <f>SUM(M6:M11)</f>
        <v>0</v>
      </c>
      <c r="D7" s="21"/>
      <c r="E7" s="185"/>
      <c r="F7" s="24"/>
      <c r="G7" s="25"/>
      <c r="H7" s="8"/>
      <c r="I7" s="8"/>
      <c r="J7" s="21"/>
      <c r="K7" s="59"/>
      <c r="L7" s="80"/>
      <c r="M7" s="81"/>
      <c r="R7" s="95">
        <f>IF(vend22[[#This Row],[Nº Venda]]&gt;1,1,0)</f>
        <v>0</v>
      </c>
    </row>
    <row r="8" spans="2:18" x14ac:dyDescent="0.25">
      <c r="B8" s="101" t="s">
        <v>21</v>
      </c>
      <c r="C8" s="102">
        <f>SUM(C6:C7)</f>
        <v>649.33000000000004</v>
      </c>
      <c r="D8" s="21"/>
      <c r="E8" s="185"/>
      <c r="F8" s="24"/>
      <c r="G8" s="25"/>
      <c r="H8" s="8"/>
      <c r="I8" s="8"/>
      <c r="J8" s="21"/>
      <c r="K8" s="59"/>
      <c r="L8" s="80"/>
      <c r="M8" s="81"/>
      <c r="R8" s="95">
        <f>IF(vend22[[#This Row],[Nº Venda]]&gt;1,1,0)</f>
        <v>0</v>
      </c>
    </row>
    <row r="9" spans="2:18" x14ac:dyDescent="0.25">
      <c r="B9" s="21"/>
      <c r="C9" s="21"/>
      <c r="D9" s="21"/>
      <c r="E9" s="185"/>
      <c r="F9" s="24"/>
      <c r="G9" s="25"/>
      <c r="H9" s="8"/>
      <c r="I9" s="8"/>
      <c r="J9" s="21"/>
      <c r="K9" s="59"/>
      <c r="L9" s="80"/>
      <c r="M9" s="81"/>
      <c r="R9" s="95">
        <f>IF(vend22[[#This Row],[Nº Venda]]&gt;1,1,0)</f>
        <v>0</v>
      </c>
    </row>
    <row r="10" spans="2:18" x14ac:dyDescent="0.25">
      <c r="B10" s="198" t="s">
        <v>5</v>
      </c>
      <c r="C10" s="198"/>
      <c r="D10" s="21"/>
      <c r="E10" s="185"/>
      <c r="F10" s="24"/>
      <c r="G10" s="25"/>
      <c r="H10" s="8"/>
      <c r="I10" s="8"/>
      <c r="J10" s="21"/>
      <c r="K10" s="59"/>
      <c r="L10" s="80"/>
      <c r="M10" s="81"/>
      <c r="R10" s="95">
        <f>IF(vend22[[#This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85"/>
      <c r="F11" s="24"/>
      <c r="G11" s="25"/>
      <c r="H11" s="8"/>
      <c r="I11" s="8"/>
      <c r="J11" s="21"/>
      <c r="K11" s="84"/>
      <c r="L11" s="80"/>
      <c r="M11" s="81"/>
      <c r="O11" s="95">
        <f>IF(C16=0,0,1)</f>
        <v>1</v>
      </c>
      <c r="R11" s="95">
        <f>IF(vend22[[#This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150</v>
      </c>
      <c r="D12" s="21"/>
      <c r="E12" s="100"/>
      <c r="F12" s="59"/>
      <c r="G12" s="60"/>
      <c r="H12" s="61"/>
      <c r="I12" s="61"/>
      <c r="J12" s="21"/>
      <c r="R12" s="95">
        <f>IF(vend22[[#This Row],[Nº Venda]]&gt;1,1,0)</f>
        <v>0</v>
      </c>
    </row>
    <row r="13" spans="2:18" x14ac:dyDescent="0.25">
      <c r="B13" s="82" t="s">
        <v>8</v>
      </c>
      <c r="C13" s="83">
        <f t="shared" si="0"/>
        <v>266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IF(vend22[[#This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IF(vend22[[#This Row],[Nº Venda]]&gt;1,1,0)</f>
        <v>0</v>
      </c>
    </row>
    <row r="15" spans="2:18" x14ac:dyDescent="0.25">
      <c r="B15" s="82" t="s">
        <v>10</v>
      </c>
      <c r="C15" s="83">
        <f t="shared" si="0"/>
        <v>233.33</v>
      </c>
      <c r="D15" s="21"/>
      <c r="E15" s="100"/>
      <c r="F15" s="59"/>
      <c r="G15" s="60"/>
      <c r="H15" s="61"/>
      <c r="I15" s="61"/>
      <c r="J15" s="21"/>
      <c r="K15" s="69">
        <v>1022</v>
      </c>
      <c r="L15" s="9" t="s">
        <v>140</v>
      </c>
      <c r="M15" s="16" t="s">
        <v>153</v>
      </c>
      <c r="R15" s="95">
        <f>IF(vend22[[#This Row],[Nº Venda]]&gt;1,1,0)</f>
        <v>0</v>
      </c>
    </row>
    <row r="16" spans="2:18" x14ac:dyDescent="0.25">
      <c r="B16" s="101" t="s">
        <v>11</v>
      </c>
      <c r="C16" s="103">
        <f>SUM(C11:C15)</f>
        <v>649.33000000000004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IF(vend22[[#This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IF(vend22[[#This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IF(vend22[[#This Row],[Nº Venda]]&gt;1,1,0)</f>
        <v>0</v>
      </c>
    </row>
    <row r="19" spans="2:18" x14ac:dyDescent="0.25">
      <c r="B19" s="82">
        <f>COUNT(entr_carn22[OS])</f>
        <v>0</v>
      </c>
      <c r="C19" s="83">
        <f>SUM(entr_carn22[Valor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IF(vend22[[#This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IF(vend22[[#This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399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85">
        <v>1022</v>
      </c>
      <c r="F26" s="24" t="s">
        <v>169</v>
      </c>
      <c r="G26" s="25" t="s">
        <v>8</v>
      </c>
      <c r="H26" s="8"/>
      <c r="I26" s="8">
        <v>266</v>
      </c>
      <c r="J26" s="21"/>
      <c r="K26" s="85"/>
      <c r="L26" s="80"/>
      <c r="M26" s="81"/>
    </row>
    <row r="27" spans="2:18" x14ac:dyDescent="0.25">
      <c r="B27" s="21"/>
      <c r="C27" s="21"/>
      <c r="D27" s="21"/>
      <c r="E27" s="185">
        <v>1022</v>
      </c>
      <c r="F27" s="24" t="s">
        <v>169</v>
      </c>
      <c r="G27" s="25" t="s">
        <v>7</v>
      </c>
      <c r="H27" s="8"/>
      <c r="I27" s="8">
        <v>100</v>
      </c>
      <c r="J27" s="21"/>
      <c r="K27" s="85"/>
      <c r="L27" s="80"/>
      <c r="M27" s="81"/>
    </row>
    <row r="28" spans="2:18" x14ac:dyDescent="0.25">
      <c r="B28" s="21"/>
      <c r="C28" s="21"/>
      <c r="D28" s="21"/>
      <c r="E28" s="185"/>
      <c r="F28" s="24"/>
      <c r="G28" s="25"/>
      <c r="H28" s="8"/>
      <c r="I28" s="8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85">
        <v>1001</v>
      </c>
      <c r="F35" s="24" t="s">
        <v>168</v>
      </c>
      <c r="G35" s="25" t="s">
        <v>10</v>
      </c>
      <c r="H35" s="8">
        <v>233.33</v>
      </c>
      <c r="I35" s="8" t="s">
        <v>71</v>
      </c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1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7" zoomScale="90" zoomScaleNormal="90" workbookViewId="0">
      <selection activeCell="C7" sqref="C7"/>
    </sheetView>
  </sheetViews>
  <sheetFormatPr defaultColWidth="9.140625" defaultRowHeight="15" x14ac:dyDescent="0.25"/>
  <cols>
    <col min="1" max="1" width="0.7109375" style="95" customWidth="1"/>
    <col min="2" max="2" width="33.140625" style="95" bestFit="1" customWidth="1"/>
    <col min="3" max="3" width="14" style="95" customWidth="1"/>
    <col min="4" max="4" width="0.710937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1.1406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'22'!B1+1</f>
        <v>45619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569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220</v>
      </c>
      <c r="D6" s="21"/>
      <c r="E6" s="100">
        <v>1034</v>
      </c>
      <c r="F6" s="59" t="s">
        <v>171</v>
      </c>
      <c r="G6" s="60" t="s">
        <v>10</v>
      </c>
      <c r="H6" s="61">
        <v>399</v>
      </c>
      <c r="I6" s="61">
        <v>50</v>
      </c>
      <c r="J6" s="21"/>
      <c r="K6" s="59"/>
      <c r="L6" s="80"/>
      <c r="M6" s="81"/>
      <c r="R6" s="95">
        <f>IF(vend23[[#This Row],[Nº Venda]]&gt;1,1,0)</f>
        <v>1</v>
      </c>
    </row>
    <row r="7" spans="2:18" x14ac:dyDescent="0.25">
      <c r="B7" s="71" t="s">
        <v>3</v>
      </c>
      <c r="C7" s="72">
        <f>SUM(M6:M11)</f>
        <v>0</v>
      </c>
      <c r="D7" s="21"/>
      <c r="E7" s="100">
        <v>1035</v>
      </c>
      <c r="F7" s="59" t="s">
        <v>172</v>
      </c>
      <c r="G7" s="60" t="s">
        <v>7</v>
      </c>
      <c r="H7" s="61">
        <v>170</v>
      </c>
      <c r="I7" s="61">
        <v>170</v>
      </c>
      <c r="J7" s="21"/>
      <c r="K7" s="59"/>
      <c r="L7" s="80"/>
      <c r="M7" s="81"/>
      <c r="R7" s="95">
        <f>IF(vend23[[#This Row],[Nº Venda]]&gt;1,1,0)</f>
        <v>1</v>
      </c>
    </row>
    <row r="8" spans="2:18" x14ac:dyDescent="0.25">
      <c r="B8" s="101" t="s">
        <v>21</v>
      </c>
      <c r="C8" s="102">
        <f>SUM(C6:C7)</f>
        <v>220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IF(vend23[[#This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IF(vend23[[#This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IF(vend23[[#This Row],[Nº Venda]]&gt;1,1,0)</f>
        <v>0</v>
      </c>
    </row>
    <row r="11" spans="2:18" x14ac:dyDescent="0.25">
      <c r="B11" s="82" t="s">
        <v>6</v>
      </c>
      <c r="C11" s="170">
        <f>(SUMIF($G$2:$G$31,B11,$I$2:$I$31))+(SUMIF($G$35:$G$44,B11,$H$35:$H$44))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IF(vend23[[#This Row],[Nº Venda]]&gt;1,1,0)</f>
        <v>0</v>
      </c>
    </row>
    <row r="12" spans="2:18" x14ac:dyDescent="0.25">
      <c r="B12" s="82" t="s">
        <v>7</v>
      </c>
      <c r="C12" s="170">
        <f>(SUMIF($G$2:$G$31,B12,$I$2:$I$31))+(SUMIF($G$35:$G$44,B12,$H$35:$H$44))</f>
        <v>170</v>
      </c>
      <c r="D12" s="21"/>
      <c r="E12" s="100"/>
      <c r="F12" s="59"/>
      <c r="G12" s="60"/>
      <c r="H12" s="61"/>
      <c r="I12" s="61"/>
      <c r="J12" s="21"/>
      <c r="R12" s="95">
        <f>IF(vend23[[#This Row],[Nº Venda]]&gt;1,1,0)</f>
        <v>0</v>
      </c>
    </row>
    <row r="13" spans="2:18" x14ac:dyDescent="0.25">
      <c r="B13" s="82" t="s">
        <v>8</v>
      </c>
      <c r="C13" s="170">
        <f>(SUMIF($G$2:$G$31,B13,$I$2:$I$31))+(SUMIF($G$35:$G$44,B13,$H$35:$H$44))</f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IF(vend23[[#This Row],[Nº Venda]]&gt;1,1,0)</f>
        <v>0</v>
      </c>
    </row>
    <row r="14" spans="2:18" x14ac:dyDescent="0.25">
      <c r="B14" s="82" t="s">
        <v>9</v>
      </c>
      <c r="C14" s="170">
        <f>(SUMIF($G$2:$G$31,B14,$I$2:$I$31))+(SUMIF($G$35:$G$44,B14,$H$35:$H$44))</f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IF(vend23[[#This Row],[Nº Venda]]&gt;1,1,0)</f>
        <v>0</v>
      </c>
    </row>
    <row r="15" spans="2:18" x14ac:dyDescent="0.25">
      <c r="B15" s="82" t="s">
        <v>10</v>
      </c>
      <c r="C15" s="170">
        <f>(SUMIF($G$2:$G$31,B15,$I$2:$I$31))+(SUMIF($G$35:$G$44,B15,$H$35:$H$44))</f>
        <v>50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IF(vend23[[#This Row],[Nº Venda]]&gt;1,1,0)</f>
        <v>0</v>
      </c>
    </row>
    <row r="16" spans="2:18" x14ac:dyDescent="0.25">
      <c r="B16" s="101" t="s">
        <v>11</v>
      </c>
      <c r="C16" s="103">
        <f>SUM(C11:C15)</f>
        <v>220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IF(vend23[[#This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IF(vend23[[#This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IF(vend23[[#This Row],[Nº Venda]]&gt;1,1,0)</f>
        <v>0</v>
      </c>
    </row>
    <row r="19" spans="2:18" x14ac:dyDescent="0.25">
      <c r="B19" s="82">
        <f>COUNT(entr_carn23[OS])</f>
        <v>0</v>
      </c>
      <c r="C19" s="83">
        <f>SUM(entr_carn23[Valor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IF(vend23[[#This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IF(vend23[[#This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569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2</v>
      </c>
    </row>
    <row r="41" spans="2:18" x14ac:dyDescent="0.25">
      <c r="E41" s="171"/>
      <c r="F41" s="86"/>
      <c r="G41" s="60"/>
      <c r="H41" s="61"/>
      <c r="I41" s="61"/>
      <c r="K41" s="85"/>
      <c r="L41" s="90"/>
      <c r="M41" s="93"/>
    </row>
    <row r="42" spans="2:18" x14ac:dyDescent="0.25">
      <c r="E42" s="172"/>
      <c r="F42" s="173"/>
      <c r="G42" s="88"/>
      <c r="H42" s="89"/>
      <c r="I42" s="89"/>
    </row>
    <row r="43" spans="2:18" x14ac:dyDescent="0.25">
      <c r="E43" s="172"/>
      <c r="F43" s="86"/>
      <c r="G43" s="60"/>
      <c r="H43" s="61"/>
      <c r="I43" s="61"/>
    </row>
    <row r="44" spans="2:18" x14ac:dyDescent="0.25">
      <c r="E44" s="182"/>
      <c r="F44" s="173"/>
      <c r="G44" s="88"/>
      <c r="H44" s="89"/>
      <c r="I44" s="8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8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5">
        <f>'23'!B1+1</f>
        <v>45620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IF(vend24[[#This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25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16"/>
    </row>
    <row r="36" spans="2:18" ht="15.75" x14ac:dyDescent="0.25">
      <c r="E36" s="67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4" zoomScale="90" zoomScaleNormal="90" workbookViewId="0">
      <selection activeCell="C7" sqref="C7"/>
    </sheetView>
  </sheetViews>
  <sheetFormatPr defaultColWidth="9.140625" defaultRowHeight="15" x14ac:dyDescent="0.25"/>
  <cols>
    <col min="1" max="1" width="0.42578125" style="95" customWidth="1"/>
    <col min="2" max="2" width="33.140625" style="95" bestFit="1" customWidth="1"/>
    <col min="3" max="3" width="14" style="95" customWidth="1"/>
    <col min="4" max="4" width="1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425781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'24'!B1+1</f>
        <v>45621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25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 ca="1">C16</f>
        <v>25</v>
      </c>
      <c r="D6" s="21"/>
      <c r="E6" s="100">
        <v>1036</v>
      </c>
      <c r="F6" s="59" t="s">
        <v>173</v>
      </c>
      <c r="G6" s="60" t="s">
        <v>10</v>
      </c>
      <c r="H6" s="61">
        <v>25</v>
      </c>
      <c r="I6" s="61">
        <v>25</v>
      </c>
      <c r="J6" s="21"/>
      <c r="K6" s="59"/>
      <c r="L6" s="80"/>
      <c r="M6" s="81"/>
      <c r="R6" s="95">
        <f>IF(vend25[[#This Row],[Nº Venda]]&gt;1,1,0)</f>
        <v>1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60"/>
      <c r="H7" s="61"/>
      <c r="I7" s="61"/>
      <c r="J7" s="21"/>
      <c r="K7" s="59"/>
      <c r="L7" s="80"/>
      <c r="M7" s="81"/>
      <c r="R7" s="95">
        <f>IF(vend25[[#This Row],[Nº Venda]]&gt;1,1,0)</f>
        <v>0</v>
      </c>
    </row>
    <row r="8" spans="2:18" x14ac:dyDescent="0.25">
      <c r="B8" s="101" t="s">
        <v>21</v>
      </c>
      <c r="C8" s="102">
        <f ca="1">SUM(C6:C7)</f>
        <v>25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IF(vend25[[#This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IF(vend25[[#This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IF(vend25[[#This Row],[Nº Venda]]&gt;1,1,0)</f>
        <v>0</v>
      </c>
    </row>
    <row r="11" spans="2:18" x14ac:dyDescent="0.25">
      <c r="B11" s="82" t="s">
        <v>6</v>
      </c>
      <c r="C11" s="83">
        <f ca="1">(SUMIF($G$2:$G$31,B11,$I$2:$I$31))+(SUMIF($G$35:$G$41,B11,$H$36:$H$41))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 ca="1">IF(C16=0,0,1)</f>
        <v>1</v>
      </c>
      <c r="R11" s="95">
        <f>IF(vend25[[#This Row],[Nº Venda]]&gt;1,1,0)</f>
        <v>0</v>
      </c>
    </row>
    <row r="12" spans="2:18" x14ac:dyDescent="0.25">
      <c r="B12" s="82" t="s">
        <v>7</v>
      </c>
      <c r="C12" s="83">
        <f ca="1">(SUMIF($G$2:$G$31,B12,$I$2:$I$31))+(SUMIF($G$35:$G$41,B12,$H$36:$H$41))</f>
        <v>0</v>
      </c>
      <c r="D12" s="21"/>
      <c r="E12" s="100"/>
      <c r="F12" s="59"/>
      <c r="G12" s="60"/>
      <c r="H12" s="61"/>
      <c r="I12" s="61"/>
      <c r="J12" s="21"/>
      <c r="R12" s="95">
        <f>IF(vend25[[#This Row],[Nº Venda]]&gt;1,1,0)</f>
        <v>0</v>
      </c>
    </row>
    <row r="13" spans="2:18" x14ac:dyDescent="0.25">
      <c r="B13" s="82" t="s">
        <v>8</v>
      </c>
      <c r="C13" s="83">
        <f ca="1">(SUMIF($G$2:$G$31,B13,$I$2:$I$31))+(SUMIF($G$35:$G$41,B13,$H$36:$H$41))</f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IF(vend25[[#This Row],[Nº Venda]]&gt;1,1,0)</f>
        <v>0</v>
      </c>
    </row>
    <row r="14" spans="2:18" x14ac:dyDescent="0.25">
      <c r="B14" s="82" t="s">
        <v>9</v>
      </c>
      <c r="C14" s="83">
        <f ca="1">(SUMIF($G$2:$G$31,B14,$I$2:$I$31))+(SUMIF($G$35:$G$41,B14,$H$36:$H$41))</f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IF(vend25[[#This Row],[Nº Venda]]&gt;1,1,0)</f>
        <v>0</v>
      </c>
    </row>
    <row r="15" spans="2:18" x14ac:dyDescent="0.25">
      <c r="B15" s="82" t="s">
        <v>10</v>
      </c>
      <c r="C15" s="83">
        <f ca="1">(SUMIF($G$2:$G$31,B15,$I$2:$I$31))+(SUMIF($G$35:$G$41,B15,$H$36:$H$41))</f>
        <v>25</v>
      </c>
      <c r="D15" s="21"/>
      <c r="E15" s="100"/>
      <c r="F15" s="59"/>
      <c r="G15" s="60"/>
      <c r="H15" s="61"/>
      <c r="I15" s="61"/>
      <c r="J15" s="21"/>
      <c r="K15" s="85">
        <v>1035</v>
      </c>
      <c r="L15" s="80" t="s">
        <v>140</v>
      </c>
      <c r="M15" s="81" t="s">
        <v>153</v>
      </c>
      <c r="R15" s="95">
        <f>IF(vend25[[#This Row],[Nº Venda]]&gt;1,1,0)</f>
        <v>0</v>
      </c>
    </row>
    <row r="16" spans="2:18" x14ac:dyDescent="0.25">
      <c r="B16" s="101" t="s">
        <v>11</v>
      </c>
      <c r="C16" s="103">
        <f ca="1">SUM(C11:C15)</f>
        <v>25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IF(vend25[[#This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IF(vend25[[#This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IF(vend25[[#This Row],[Nº Venda]]&gt;1,1,0)</f>
        <v>0</v>
      </c>
    </row>
    <row r="19" spans="2:18" x14ac:dyDescent="0.25">
      <c r="B19" s="82">
        <f>COUNT(entr_carn25[OS])</f>
        <v>0</v>
      </c>
      <c r="C19" s="83">
        <f>SUM(entr_carn25[Valor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IF(vend25[[#This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IF(vend25[[#This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25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167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1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7" zoomScale="90" zoomScaleNormal="90" workbookViewId="0">
      <selection activeCell="I7" sqref="I7"/>
    </sheetView>
  </sheetViews>
  <sheetFormatPr defaultColWidth="9.140625" defaultRowHeight="15" x14ac:dyDescent="0.25"/>
  <cols>
    <col min="1" max="1" width="0.85546875" style="95" customWidth="1"/>
    <col min="2" max="2" width="33.14062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8554687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'25'!B1+1</f>
        <v>45622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698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220</v>
      </c>
      <c r="D6" s="21"/>
      <c r="E6" s="100">
        <v>1037</v>
      </c>
      <c r="F6" s="59" t="s">
        <v>174</v>
      </c>
      <c r="G6" s="60" t="s">
        <v>10</v>
      </c>
      <c r="H6" s="61">
        <v>399</v>
      </c>
      <c r="I6" s="61">
        <v>150</v>
      </c>
      <c r="J6" s="21"/>
      <c r="K6" s="59" t="s">
        <v>176</v>
      </c>
      <c r="L6" s="80" t="s">
        <v>10</v>
      </c>
      <c r="M6" s="81">
        <v>13</v>
      </c>
      <c r="R6" s="95">
        <f>IF(vend26[[#This Row],[Nº Venda]]&gt;1,1,0)</f>
        <v>1</v>
      </c>
    </row>
    <row r="7" spans="2:18" x14ac:dyDescent="0.25">
      <c r="B7" s="71" t="s">
        <v>3</v>
      </c>
      <c r="C7" s="72">
        <f>SUM(M6:M11)</f>
        <v>13</v>
      </c>
      <c r="D7" s="21"/>
      <c r="E7" s="100">
        <v>1038</v>
      </c>
      <c r="F7" s="59" t="s">
        <v>175</v>
      </c>
      <c r="G7" s="60" t="s">
        <v>10</v>
      </c>
      <c r="H7" s="61">
        <v>299</v>
      </c>
      <c r="I7" s="61">
        <v>70</v>
      </c>
      <c r="J7" s="21"/>
      <c r="K7" s="59"/>
      <c r="L7" s="80"/>
      <c r="M7" s="81"/>
      <c r="R7" s="95">
        <f>IF(vend26[[#This Row],[Nº Venda]]&gt;1,1,0)</f>
        <v>1</v>
      </c>
    </row>
    <row r="8" spans="2:18" x14ac:dyDescent="0.25">
      <c r="B8" s="101" t="s">
        <v>21</v>
      </c>
      <c r="C8" s="102">
        <f>SUM(C6:C7)</f>
        <v>233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IF(vend26[[#This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IF(vend26[[#This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IF(vend26[[#This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1</v>
      </c>
      <c r="R11" s="95">
        <f>IF(vend26[[#This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IF(vend26[[#This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IF(vend26[[#This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IF(vend26[[#This Row],[Nº Venda]]&gt;1,1,0)</f>
        <v>0</v>
      </c>
    </row>
    <row r="15" spans="2:18" x14ac:dyDescent="0.25">
      <c r="B15" s="82" t="s">
        <v>10</v>
      </c>
      <c r="C15" s="83">
        <f t="shared" si="0"/>
        <v>220</v>
      </c>
      <c r="D15" s="21"/>
      <c r="E15" s="100"/>
      <c r="F15" s="59"/>
      <c r="G15" s="60"/>
      <c r="H15" s="61"/>
      <c r="I15" s="61"/>
      <c r="J15" s="21"/>
      <c r="K15" s="85">
        <v>1036</v>
      </c>
      <c r="L15" s="80" t="s">
        <v>140</v>
      </c>
      <c r="M15" s="81" t="s">
        <v>153</v>
      </c>
      <c r="R15" s="95">
        <f>IF(vend26[[#This Row],[Nº Venda]]&gt;1,1,0)</f>
        <v>0</v>
      </c>
    </row>
    <row r="16" spans="2:18" x14ac:dyDescent="0.25">
      <c r="B16" s="101" t="s">
        <v>11</v>
      </c>
      <c r="C16" s="103">
        <f>SUM(C11:C15)</f>
        <v>220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IF(vend26[[#This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IF(vend26[[#This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IF(vend26[[#This Row],[Nº Venda]]&gt;1,1,0)</f>
        <v>0</v>
      </c>
    </row>
    <row r="19" spans="2:18" x14ac:dyDescent="0.25">
      <c r="B19" s="82">
        <f>COUNT(entr_carn26[OS])</f>
        <v>0</v>
      </c>
      <c r="C19" s="83">
        <f>SUM(entr_carn26[Valor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IF(vend26[[#This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IF(vend26[[#This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698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2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7" zoomScale="90" zoomScaleNormal="90" workbookViewId="0">
      <selection activeCell="E6" sqref="E6"/>
    </sheetView>
  </sheetViews>
  <sheetFormatPr defaultColWidth="9.140625" defaultRowHeight="15" x14ac:dyDescent="0.25"/>
  <cols>
    <col min="1" max="1" width="0.7109375" style="95" customWidth="1"/>
    <col min="2" max="2" width="33.140625" style="95" bestFit="1" customWidth="1"/>
    <col min="3" max="3" width="14" style="95" customWidth="1"/>
    <col min="4" max="4" width="0.85546875" style="95" customWidth="1"/>
    <col min="5" max="5" width="15.5703125" style="96" customWidth="1"/>
    <col min="6" max="6" width="26.28515625" style="96" customWidth="1"/>
    <col min="7" max="7" width="17.28515625" style="96" customWidth="1"/>
    <col min="8" max="8" width="19.140625" style="97" customWidth="1"/>
    <col min="9" max="9" width="15.5703125" style="97" customWidth="1"/>
    <col min="10" max="10" width="0.42578125" style="95" customWidth="1"/>
    <col min="11" max="11" width="21.7109375" style="98" customWidth="1"/>
    <col min="12" max="12" width="24.28515625" style="98" bestFit="1" customWidth="1"/>
    <col min="13" max="13" width="15.7109375" style="98" customWidth="1"/>
    <col min="14" max="14" width="4.28515625" style="95" customWidth="1"/>
    <col min="15" max="15" width="2.140625" style="95" hidden="1" customWidth="1"/>
    <col min="16" max="16" width="9.140625" style="95" hidden="1" customWidth="1"/>
    <col min="17" max="17" width="11.42578125" style="95" hidden="1" customWidth="1"/>
    <col min="18" max="18" width="2.42578125" style="95" hidden="1" customWidth="1"/>
    <col min="19" max="20" width="0" style="95" hidden="1" customWidth="1"/>
    <col min="21" max="16384" width="9.140625" style="95"/>
  </cols>
  <sheetData>
    <row r="1" spans="2:18" ht="42" x14ac:dyDescent="0.8">
      <c r="B1" s="180">
        <f>'26'!B1+1</f>
        <v>45623</v>
      </c>
    </row>
    <row r="2" spans="2:18" x14ac:dyDescent="0.25">
      <c r="B2" s="203" t="s">
        <v>13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</row>
    <row r="3" spans="2:18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2:18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x14ac:dyDescent="0.25">
      <c r="B5" s="71" t="s">
        <v>1</v>
      </c>
      <c r="C5" s="72">
        <f>SUMIF(I6:I31,"&gt;0",H6:H31)</f>
        <v>0</v>
      </c>
      <c r="D5" s="21"/>
      <c r="E5" s="73" t="s">
        <v>14</v>
      </c>
      <c r="F5" s="73" t="s">
        <v>15</v>
      </c>
      <c r="G5" s="74" t="s">
        <v>16</v>
      </c>
      <c r="H5" s="75" t="s">
        <v>17</v>
      </c>
      <c r="I5" s="76" t="s">
        <v>2</v>
      </c>
      <c r="J5" s="21"/>
      <c r="K5" s="77" t="s">
        <v>18</v>
      </c>
      <c r="L5" s="78" t="s">
        <v>19</v>
      </c>
      <c r="M5" s="79" t="s">
        <v>20</v>
      </c>
    </row>
    <row r="6" spans="2:18" x14ac:dyDescent="0.25">
      <c r="B6" s="71" t="s">
        <v>2</v>
      </c>
      <c r="C6" s="72">
        <f>C16</f>
        <v>0</v>
      </c>
      <c r="D6" s="21"/>
      <c r="E6" s="100"/>
      <c r="F6" s="59"/>
      <c r="G6" s="60"/>
      <c r="H6" s="61"/>
      <c r="I6" s="61"/>
      <c r="J6" s="21"/>
      <c r="K6" s="59"/>
      <c r="L6" s="80"/>
      <c r="M6" s="81"/>
      <c r="R6" s="95">
        <f>IF(vend27[[#This Row],[Nº Venda]]&gt;1,1,0)</f>
        <v>0</v>
      </c>
    </row>
    <row r="7" spans="2:18" x14ac:dyDescent="0.25">
      <c r="B7" s="71" t="s">
        <v>3</v>
      </c>
      <c r="C7" s="72">
        <f>SUM(M6:M11)</f>
        <v>0</v>
      </c>
      <c r="D7" s="21"/>
      <c r="E7" s="100"/>
      <c r="F7" s="59"/>
      <c r="G7" s="60"/>
      <c r="H7" s="61"/>
      <c r="I7" s="61"/>
      <c r="J7" s="21"/>
      <c r="K7" s="59"/>
      <c r="L7" s="80"/>
      <c r="M7" s="81"/>
      <c r="R7" s="95">
        <f>IF(vend27[[#This Row],[Nº Venda]]&gt;1,1,0)</f>
        <v>0</v>
      </c>
    </row>
    <row r="8" spans="2:18" x14ac:dyDescent="0.25">
      <c r="B8" s="101" t="s">
        <v>21</v>
      </c>
      <c r="C8" s="102">
        <f>SUM(C6:C7)</f>
        <v>0</v>
      </c>
      <c r="D8" s="21"/>
      <c r="E8" s="100"/>
      <c r="F8" s="59"/>
      <c r="G8" s="60"/>
      <c r="H8" s="61"/>
      <c r="I8" s="61"/>
      <c r="J8" s="21"/>
      <c r="K8" s="59"/>
      <c r="L8" s="80"/>
      <c r="M8" s="81"/>
      <c r="R8" s="95">
        <f>IF(vend27[[#This Row],[Nº Venda]]&gt;1,1,0)</f>
        <v>0</v>
      </c>
    </row>
    <row r="9" spans="2:18" x14ac:dyDescent="0.25">
      <c r="B9" s="21"/>
      <c r="C9" s="21"/>
      <c r="D9" s="21"/>
      <c r="E9" s="100"/>
      <c r="F9" s="59"/>
      <c r="G9" s="60"/>
      <c r="H9" s="61"/>
      <c r="I9" s="61"/>
      <c r="J9" s="21"/>
      <c r="K9" s="59"/>
      <c r="L9" s="80"/>
      <c r="M9" s="81"/>
      <c r="R9" s="95">
        <f>IF(vend27[[#This Row],[Nº Venda]]&gt;1,1,0)</f>
        <v>0</v>
      </c>
    </row>
    <row r="10" spans="2:18" x14ac:dyDescent="0.25">
      <c r="B10" s="198" t="s">
        <v>5</v>
      </c>
      <c r="C10" s="198"/>
      <c r="D10" s="21"/>
      <c r="E10" s="100"/>
      <c r="F10" s="59"/>
      <c r="G10" s="60"/>
      <c r="H10" s="61"/>
      <c r="I10" s="61"/>
      <c r="J10" s="21"/>
      <c r="K10" s="59"/>
      <c r="L10" s="80"/>
      <c r="M10" s="81"/>
      <c r="R10" s="95">
        <f>IF(vend27[[#This Row],[Nº Venda]]&gt;1,1,0)</f>
        <v>0</v>
      </c>
    </row>
    <row r="11" spans="2:18" x14ac:dyDescent="0.25">
      <c r="B11" s="82" t="s">
        <v>6</v>
      </c>
      <c r="C11" s="83">
        <f>(SUMIF($G$2:$G$31,B11,$I$2:$I$31))+(SUMIF($G$35:$G$41,B11,$H$35:$H$41))</f>
        <v>0</v>
      </c>
      <c r="D11" s="21"/>
      <c r="E11" s="100"/>
      <c r="F11" s="59"/>
      <c r="G11" s="60"/>
      <c r="H11" s="61"/>
      <c r="I11" s="61"/>
      <c r="J11" s="21"/>
      <c r="K11" s="84"/>
      <c r="L11" s="80"/>
      <c r="M11" s="81"/>
      <c r="O11" s="95">
        <f>IF(C16=0,0,1)</f>
        <v>0</v>
      </c>
      <c r="R11" s="95">
        <f>IF(vend27[[#This Row],[Nº Venda]]&gt;1,1,0)</f>
        <v>0</v>
      </c>
    </row>
    <row r="12" spans="2:18" x14ac:dyDescent="0.25">
      <c r="B12" s="82" t="s">
        <v>7</v>
      </c>
      <c r="C12" s="83">
        <f t="shared" ref="C12:C15" si="0">(SUMIF($G$2:$G$31,B12,$I$2:$I$31))+(SUMIF($G$35:$G$41,B12,$H$35:$H$41))</f>
        <v>0</v>
      </c>
      <c r="D12" s="21"/>
      <c r="E12" s="100"/>
      <c r="F12" s="59"/>
      <c r="G12" s="60"/>
      <c r="H12" s="61"/>
      <c r="I12" s="61"/>
      <c r="J12" s="21"/>
      <c r="R12" s="95">
        <f>IF(vend27[[#This Row],[Nº Venda]]&gt;1,1,0)</f>
        <v>0</v>
      </c>
    </row>
    <row r="13" spans="2:18" x14ac:dyDescent="0.25">
      <c r="B13" s="82" t="s">
        <v>8</v>
      </c>
      <c r="C13" s="83">
        <f t="shared" si="0"/>
        <v>0</v>
      </c>
      <c r="D13" s="21"/>
      <c r="E13" s="108"/>
      <c r="F13" s="59"/>
      <c r="G13" s="60"/>
      <c r="H13" s="61"/>
      <c r="I13" s="61"/>
      <c r="J13" s="21"/>
      <c r="K13" s="200" t="s">
        <v>22</v>
      </c>
      <c r="L13" s="201"/>
      <c r="M13" s="202"/>
      <c r="R13" s="95">
        <f>IF(vend27[[#This Row],[Nº Venda]]&gt;1,1,0)</f>
        <v>0</v>
      </c>
    </row>
    <row r="14" spans="2:18" x14ac:dyDescent="0.25">
      <c r="B14" s="82" t="s">
        <v>9</v>
      </c>
      <c r="C14" s="83">
        <f t="shared" si="0"/>
        <v>0</v>
      </c>
      <c r="D14" s="21"/>
      <c r="E14" s="108"/>
      <c r="F14" s="59"/>
      <c r="G14" s="60"/>
      <c r="H14" s="61"/>
      <c r="I14" s="61"/>
      <c r="J14" s="21"/>
      <c r="K14" s="77" t="s">
        <v>23</v>
      </c>
      <c r="L14" s="78" t="s">
        <v>24</v>
      </c>
      <c r="M14" s="79" t="s">
        <v>25</v>
      </c>
      <c r="R14" s="95">
        <f>IF(vend27[[#This Row],[Nº Venda]]&gt;1,1,0)</f>
        <v>0</v>
      </c>
    </row>
    <row r="15" spans="2:18" x14ac:dyDescent="0.25">
      <c r="B15" s="82" t="s">
        <v>10</v>
      </c>
      <c r="C15" s="83">
        <f t="shared" si="0"/>
        <v>0</v>
      </c>
      <c r="D15" s="21"/>
      <c r="E15" s="100"/>
      <c r="F15" s="59"/>
      <c r="G15" s="60"/>
      <c r="H15" s="61"/>
      <c r="I15" s="61"/>
      <c r="J15" s="21"/>
      <c r="K15" s="85"/>
      <c r="L15" s="80"/>
      <c r="M15" s="81"/>
      <c r="R15" s="95">
        <f>IF(vend27[[#This Row],[Nº Venda]]&gt;1,1,0)</f>
        <v>0</v>
      </c>
    </row>
    <row r="16" spans="2:18" x14ac:dyDescent="0.25">
      <c r="B16" s="101" t="s">
        <v>11</v>
      </c>
      <c r="C16" s="103">
        <f>SUM(C11:C15)</f>
        <v>0</v>
      </c>
      <c r="D16" s="21"/>
      <c r="E16" s="100"/>
      <c r="F16" s="59"/>
      <c r="G16" s="60"/>
      <c r="H16" s="61"/>
      <c r="I16" s="61"/>
      <c r="J16" s="21"/>
      <c r="K16" s="85"/>
      <c r="L16" s="80"/>
      <c r="M16" s="81"/>
      <c r="R16" s="95">
        <f>IF(vend27[[#This Row],[Nº Venda]]&gt;1,1,0)</f>
        <v>0</v>
      </c>
    </row>
    <row r="17" spans="2:18" x14ac:dyDescent="0.25">
      <c r="B17" s="21"/>
      <c r="C17" s="21"/>
      <c r="D17" s="21"/>
      <c r="E17" s="100"/>
      <c r="F17" s="59"/>
      <c r="G17" s="60"/>
      <c r="H17" s="61"/>
      <c r="I17" s="61"/>
      <c r="J17" s="21"/>
      <c r="K17" s="85"/>
      <c r="L17" s="80"/>
      <c r="M17" s="81"/>
      <c r="R17" s="95">
        <f>IF(vend27[[#This Row],[Nº Venda]]&gt;1,1,0)</f>
        <v>0</v>
      </c>
    </row>
    <row r="18" spans="2:18" x14ac:dyDescent="0.25">
      <c r="B18" s="198" t="s">
        <v>12</v>
      </c>
      <c r="C18" s="198"/>
      <c r="D18" s="21"/>
      <c r="E18" s="100"/>
      <c r="F18" s="59"/>
      <c r="G18" s="60"/>
      <c r="H18" s="61"/>
      <c r="I18" s="61"/>
      <c r="J18" s="21"/>
      <c r="K18" s="85"/>
      <c r="L18" s="80"/>
      <c r="M18" s="81"/>
      <c r="R18" s="95">
        <f>IF(vend27[[#This Row],[Nº Venda]]&gt;1,1,0)</f>
        <v>0</v>
      </c>
    </row>
    <row r="19" spans="2:18" x14ac:dyDescent="0.25">
      <c r="B19" s="82">
        <f>COUNT(entr_carn27[OS])</f>
        <v>0</v>
      </c>
      <c r="C19" s="83">
        <f>SUM(entr_carn27[Valor Total])</f>
        <v>0</v>
      </c>
      <c r="D19" s="21"/>
      <c r="E19" s="100"/>
      <c r="F19" s="59"/>
      <c r="G19" s="60"/>
      <c r="H19" s="61"/>
      <c r="I19" s="61"/>
      <c r="J19" s="21"/>
      <c r="K19" s="85"/>
      <c r="L19" s="80"/>
      <c r="M19" s="81"/>
      <c r="R19" s="95">
        <f>IF(vend27[[#This Row],[Nº Venda]]&gt;1,1,0)</f>
        <v>0</v>
      </c>
    </row>
    <row r="20" spans="2:18" x14ac:dyDescent="0.25">
      <c r="B20" s="101" t="s">
        <v>11</v>
      </c>
      <c r="C20" s="103">
        <f>SUM(C19:C19)</f>
        <v>0</v>
      </c>
      <c r="D20" s="21"/>
      <c r="E20" s="100"/>
      <c r="F20" s="60"/>
      <c r="G20" s="60"/>
      <c r="H20" s="61"/>
      <c r="I20" s="61"/>
      <c r="J20" s="21"/>
      <c r="K20" s="85"/>
      <c r="L20" s="80"/>
      <c r="M20" s="81"/>
      <c r="R20" s="95">
        <f>IF(vend27[[#This Row],[Nº Venda]]&gt;1,1,0)</f>
        <v>0</v>
      </c>
    </row>
    <row r="21" spans="2:18" x14ac:dyDescent="0.25">
      <c r="B21" s="21"/>
      <c r="C21" s="21"/>
      <c r="D21" s="21"/>
      <c r="E21" s="100"/>
      <c r="F21" s="59"/>
      <c r="G21" s="60"/>
      <c r="H21" s="61"/>
      <c r="I21" s="61"/>
      <c r="J21" s="21"/>
      <c r="K21" s="85"/>
      <c r="L21" s="80"/>
      <c r="M21" s="81"/>
    </row>
    <row r="22" spans="2:18" x14ac:dyDescent="0.25">
      <c r="B22" s="101" t="s">
        <v>26</v>
      </c>
      <c r="C22" s="103">
        <f>C5</f>
        <v>0</v>
      </c>
      <c r="D22" s="21"/>
      <c r="E22" s="100"/>
      <c r="F22" s="59"/>
      <c r="G22" s="60"/>
      <c r="H22" s="61"/>
      <c r="I22" s="61"/>
      <c r="J22" s="21"/>
      <c r="K22" s="85"/>
      <c r="L22" s="80"/>
      <c r="M22" s="81"/>
    </row>
    <row r="23" spans="2:18" x14ac:dyDescent="0.25">
      <c r="B23" s="21"/>
      <c r="C23" s="21"/>
      <c r="D23" s="21"/>
      <c r="E23" s="104"/>
      <c r="H23" s="105"/>
      <c r="J23" s="21"/>
      <c r="K23" s="85"/>
      <c r="L23" s="80"/>
      <c r="M23" s="81"/>
    </row>
    <row r="24" spans="2:18" x14ac:dyDescent="0.25">
      <c r="B24" s="21"/>
      <c r="C24" s="21"/>
      <c r="D24" s="21"/>
      <c r="E24" s="199" t="s">
        <v>27</v>
      </c>
      <c r="F24" s="199"/>
      <c r="G24" s="199"/>
      <c r="H24" s="199"/>
      <c r="I24" s="199"/>
      <c r="J24" s="21"/>
      <c r="K24" s="85"/>
      <c r="L24" s="80"/>
      <c r="M24" s="81"/>
    </row>
    <row r="25" spans="2:18" x14ac:dyDescent="0.25">
      <c r="B25" s="21"/>
      <c r="C25" s="21"/>
      <c r="D25" s="21"/>
      <c r="E25" s="73" t="s">
        <v>14</v>
      </c>
      <c r="F25" s="73" t="s">
        <v>15</v>
      </c>
      <c r="G25" s="74" t="s">
        <v>16</v>
      </c>
      <c r="H25" s="75" t="s">
        <v>17</v>
      </c>
      <c r="I25" s="76" t="s">
        <v>2</v>
      </c>
      <c r="J25" s="21"/>
      <c r="K25" s="85"/>
      <c r="L25" s="80"/>
      <c r="M25" s="81"/>
    </row>
    <row r="26" spans="2:18" x14ac:dyDescent="0.25">
      <c r="B26" s="21"/>
      <c r="C26" s="21"/>
      <c r="D26" s="21"/>
      <c r="E26" s="100"/>
      <c r="F26" s="59"/>
      <c r="G26" s="60"/>
      <c r="H26" s="61"/>
      <c r="I26" s="61"/>
      <c r="J26" s="21"/>
      <c r="K26" s="85"/>
      <c r="L26" s="80"/>
      <c r="M26" s="81"/>
    </row>
    <row r="27" spans="2:18" x14ac:dyDescent="0.25">
      <c r="B27" s="21"/>
      <c r="C27" s="21"/>
      <c r="D27" s="21"/>
      <c r="E27" s="100"/>
      <c r="F27" s="59"/>
      <c r="G27" s="60"/>
      <c r="H27" s="61"/>
      <c r="I27" s="61"/>
      <c r="J27" s="21"/>
      <c r="K27" s="85"/>
      <c r="L27" s="80"/>
      <c r="M27" s="81"/>
    </row>
    <row r="28" spans="2:18" x14ac:dyDescent="0.25">
      <c r="B28" s="21"/>
      <c r="C28" s="21"/>
      <c r="D28" s="21"/>
      <c r="E28" s="100"/>
      <c r="F28" s="59"/>
      <c r="G28" s="60"/>
      <c r="H28" s="61"/>
      <c r="I28" s="61"/>
      <c r="J28" s="21"/>
      <c r="K28" s="85"/>
      <c r="L28" s="80"/>
      <c r="M28" s="81"/>
    </row>
    <row r="29" spans="2:18" x14ac:dyDescent="0.25">
      <c r="B29" s="21"/>
      <c r="C29" s="21"/>
      <c r="D29" s="21"/>
      <c r="E29" s="100"/>
      <c r="F29" s="59"/>
      <c r="G29" s="60"/>
      <c r="H29" s="61"/>
      <c r="I29" s="61"/>
      <c r="J29" s="21"/>
      <c r="K29" s="85"/>
      <c r="L29" s="80"/>
      <c r="M29" s="81"/>
    </row>
    <row r="30" spans="2:18" x14ac:dyDescent="0.25">
      <c r="B30" s="21"/>
      <c r="C30" s="21"/>
      <c r="D30" s="21"/>
      <c r="E30" s="100"/>
      <c r="F30" s="86"/>
      <c r="G30" s="60"/>
      <c r="H30" s="61"/>
      <c r="I30" s="61"/>
      <c r="J30" s="21"/>
      <c r="K30" s="85"/>
      <c r="L30" s="80"/>
      <c r="M30" s="81"/>
    </row>
    <row r="31" spans="2:18" x14ac:dyDescent="0.25">
      <c r="B31" s="21"/>
      <c r="C31" s="21"/>
      <c r="D31" s="21"/>
      <c r="E31" s="106"/>
      <c r="F31" s="87"/>
      <c r="G31" s="88"/>
      <c r="H31" s="89"/>
      <c r="I31" s="89"/>
      <c r="J31" s="21"/>
      <c r="K31" s="85"/>
      <c r="L31" s="80"/>
      <c r="M31" s="81"/>
    </row>
    <row r="32" spans="2:18" x14ac:dyDescent="0.25">
      <c r="B32" s="21"/>
      <c r="C32" s="21"/>
      <c r="E32" s="104"/>
    </row>
    <row r="33" spans="2:18" x14ac:dyDescent="0.25">
      <c r="B33" s="21"/>
      <c r="C33" s="21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x14ac:dyDescent="0.25">
      <c r="E34" s="73" t="s">
        <v>23</v>
      </c>
      <c r="F34" s="73" t="s">
        <v>15</v>
      </c>
      <c r="G34" s="74" t="s">
        <v>16</v>
      </c>
      <c r="H34" s="75" t="s">
        <v>29</v>
      </c>
      <c r="I34" s="76" t="s">
        <v>30</v>
      </c>
      <c r="K34" s="77" t="s">
        <v>23</v>
      </c>
      <c r="L34" s="78" t="s">
        <v>31</v>
      </c>
      <c r="M34" s="79" t="s">
        <v>32</v>
      </c>
    </row>
    <row r="35" spans="2:18" x14ac:dyDescent="0.25">
      <c r="E35" s="100"/>
      <c r="F35" s="59"/>
      <c r="G35" s="60"/>
      <c r="H35" s="61"/>
      <c r="I35" s="61"/>
      <c r="K35" s="85"/>
      <c r="L35" s="90"/>
      <c r="M35" s="81"/>
    </row>
    <row r="36" spans="2:18" x14ac:dyDescent="0.25">
      <c r="E36" s="168"/>
      <c r="F36" s="59"/>
      <c r="G36" s="60"/>
      <c r="H36" s="61"/>
      <c r="I36" s="61"/>
      <c r="K36" s="85"/>
      <c r="L36" s="90"/>
      <c r="M36" s="81"/>
    </row>
    <row r="37" spans="2:18" x14ac:dyDescent="0.25">
      <c r="E37" s="100"/>
      <c r="F37" s="59"/>
      <c r="G37" s="60"/>
      <c r="H37" s="61"/>
      <c r="I37" s="61"/>
      <c r="K37" s="85"/>
      <c r="L37" s="90"/>
      <c r="M37" s="81"/>
    </row>
    <row r="38" spans="2:18" x14ac:dyDescent="0.25">
      <c r="E38" s="100"/>
      <c r="F38" s="59"/>
      <c r="G38" s="60"/>
      <c r="H38" s="61"/>
      <c r="I38" s="61"/>
      <c r="K38" s="85"/>
      <c r="L38" s="90"/>
      <c r="M38" s="81"/>
    </row>
    <row r="39" spans="2:18" x14ac:dyDescent="0.25">
      <c r="E39" s="100"/>
      <c r="F39" s="86"/>
      <c r="G39" s="60"/>
      <c r="H39" s="61"/>
      <c r="I39" s="61"/>
      <c r="K39" s="85"/>
      <c r="L39" s="90"/>
      <c r="M39" s="81"/>
    </row>
    <row r="40" spans="2:18" x14ac:dyDescent="0.25">
      <c r="E40" s="106"/>
      <c r="F40" s="87"/>
      <c r="G40" s="88"/>
      <c r="H40" s="89"/>
      <c r="I40" s="61"/>
      <c r="K40" s="91"/>
      <c r="L40" s="92"/>
      <c r="M40" s="93"/>
      <c r="Q40" s="95" t="s">
        <v>36</v>
      </c>
      <c r="R40" s="95">
        <f>SUM(R6:R21)</f>
        <v>0</v>
      </c>
    </row>
    <row r="41" spans="2:18" x14ac:dyDescent="0.25">
      <c r="E41" s="107"/>
      <c r="F41" s="86"/>
      <c r="G41" s="60"/>
      <c r="H41" s="61"/>
      <c r="I41" s="61"/>
      <c r="K41" s="85"/>
      <c r="L41" s="90"/>
      <c r="M41" s="9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6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5">
        <f>'27'!B1+1</f>
        <v>45624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IF(vend28[[#This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25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16"/>
    </row>
    <row r="36" spans="2:18" ht="15.75" x14ac:dyDescent="0.25">
      <c r="E36" s="67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view="pageBreakPreview" zoomScale="60" zoomScaleNormal="9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47">
        <f>'28'!B1+1</f>
        <v>45625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913.72</v>
      </c>
      <c r="D6" s="2"/>
      <c r="E6" s="63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913.72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212.12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636.6</v>
      </c>
      <c r="D12" s="2"/>
      <c r="E12" s="6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65</v>
      </c>
      <c r="D15" s="2"/>
      <c r="E15" s="63"/>
      <c r="F15" s="24"/>
      <c r="G15" s="25"/>
      <c r="H15" s="8"/>
      <c r="I15" s="8"/>
      <c r="J15" s="2"/>
      <c r="K15" s="69">
        <v>1033</v>
      </c>
      <c r="L15" s="9" t="s">
        <v>140</v>
      </c>
      <c r="M15" s="16" t="s">
        <v>154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913.72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IF(vend29[[#This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1</v>
      </c>
      <c r="C19" s="30">
        <f>SUM(entr_carn29[Valor Total])</f>
        <v>239.4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239.4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>
        <v>1024</v>
      </c>
      <c r="F26" s="24" t="s">
        <v>178</v>
      </c>
      <c r="G26" s="25" t="s">
        <v>7</v>
      </c>
      <c r="H26" s="8">
        <v>0</v>
      </c>
      <c r="I26" s="8">
        <v>527</v>
      </c>
      <c r="J26" s="2"/>
      <c r="K26" s="69"/>
      <c r="L26" s="9"/>
      <c r="M26" s="16"/>
    </row>
    <row r="27" spans="2:18" ht="15.75" x14ac:dyDescent="0.25">
      <c r="B27" s="2"/>
      <c r="C27" s="2"/>
      <c r="D27" s="2"/>
      <c r="E27" s="63">
        <v>1033</v>
      </c>
      <c r="F27" s="24" t="s">
        <v>177</v>
      </c>
      <c r="G27" s="25" t="s">
        <v>7</v>
      </c>
      <c r="H27" s="8">
        <v>0</v>
      </c>
      <c r="I27" s="8">
        <v>109.6</v>
      </c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>
        <v>934</v>
      </c>
      <c r="F35" s="24" t="s">
        <v>179</v>
      </c>
      <c r="G35" s="25" t="s">
        <v>10</v>
      </c>
      <c r="H35" s="8">
        <v>65</v>
      </c>
      <c r="I35" s="8" t="s">
        <v>60</v>
      </c>
      <c r="K35" s="69">
        <v>1033</v>
      </c>
      <c r="L35" s="40">
        <v>5</v>
      </c>
      <c r="M35" s="16">
        <f t="shared" ref="M35" si="1">349-I27</f>
        <v>239.4</v>
      </c>
    </row>
    <row r="36" spans="2:18" ht="15.75" x14ac:dyDescent="0.25">
      <c r="E36" s="67">
        <v>953</v>
      </c>
      <c r="F36" s="24" t="s">
        <v>180</v>
      </c>
      <c r="G36" s="25" t="s">
        <v>6</v>
      </c>
      <c r="H36" s="8">
        <v>212.12</v>
      </c>
      <c r="I36" s="8" t="s">
        <v>38</v>
      </c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zoomScale="60" zoomScaleNormal="9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5">
        <f>'29'!B1+1</f>
        <v>45626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7284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5335.71</v>
      </c>
      <c r="D6" s="2"/>
      <c r="E6" s="63">
        <v>1041</v>
      </c>
      <c r="F6" s="24" t="s">
        <v>181</v>
      </c>
      <c r="G6" s="25" t="s">
        <v>6</v>
      </c>
      <c r="H6" s="8">
        <v>699</v>
      </c>
      <c r="I6" s="8">
        <v>200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3">
        <v>1042</v>
      </c>
      <c r="F7" s="24" t="s">
        <v>182</v>
      </c>
      <c r="G7" s="25" t="s">
        <v>7</v>
      </c>
      <c r="H7" s="8">
        <v>379</v>
      </c>
      <c r="I7" s="8">
        <v>379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21</v>
      </c>
      <c r="C8" s="28">
        <f>SUM(C6:C7)</f>
        <v>5335.71</v>
      </c>
      <c r="D8" s="2"/>
      <c r="E8" s="63">
        <v>1043</v>
      </c>
      <c r="F8" s="24" t="s">
        <v>183</v>
      </c>
      <c r="G8" s="25" t="s">
        <v>7</v>
      </c>
      <c r="H8" s="8">
        <v>250</v>
      </c>
      <c r="I8" s="8">
        <v>250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63">
        <v>1044</v>
      </c>
      <c r="F9" s="24" t="s">
        <v>183</v>
      </c>
      <c r="G9" s="25" t="s">
        <v>7</v>
      </c>
      <c r="H9" s="8">
        <v>29</v>
      </c>
      <c r="I9" s="8">
        <v>29</v>
      </c>
      <c r="J9" s="2"/>
      <c r="K9" s="24"/>
      <c r="L9" s="9"/>
      <c r="M9" s="16"/>
      <c r="R9" s="1">
        <f>IF(vend30[[#This Row],[Nº Venda]]&gt;1,1,0)</f>
        <v>1</v>
      </c>
    </row>
    <row r="10" spans="2:18" ht="15.75" x14ac:dyDescent="0.25">
      <c r="B10" s="198" t="s">
        <v>5</v>
      </c>
      <c r="C10" s="198"/>
      <c r="D10" s="2"/>
      <c r="E10" s="63">
        <v>1045</v>
      </c>
      <c r="F10" s="24" t="s">
        <v>184</v>
      </c>
      <c r="G10" s="25" t="s">
        <v>7</v>
      </c>
      <c r="H10" s="8">
        <v>590</v>
      </c>
      <c r="I10" s="8">
        <v>50</v>
      </c>
      <c r="J10" s="2"/>
      <c r="K10" s="24"/>
      <c r="L10" s="9"/>
      <c r="M10" s="16"/>
      <c r="R10" s="1">
        <f>IF(vend30[[#This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378.71000000000004</v>
      </c>
      <c r="D11" s="2"/>
      <c r="E11" s="63">
        <v>1045</v>
      </c>
      <c r="F11" s="24" t="s">
        <v>184</v>
      </c>
      <c r="G11" s="25" t="s">
        <v>8</v>
      </c>
      <c r="H11" s="8">
        <v>0</v>
      </c>
      <c r="I11" s="8">
        <v>540</v>
      </c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708</v>
      </c>
      <c r="D12" s="2"/>
      <c r="E12" s="63">
        <v>1046</v>
      </c>
      <c r="F12" s="24" t="s">
        <v>184</v>
      </c>
      <c r="G12" s="25" t="s">
        <v>8</v>
      </c>
      <c r="H12" s="8">
        <v>89</v>
      </c>
      <c r="I12" s="8">
        <v>9</v>
      </c>
      <c r="J12" s="2"/>
      <c r="R12" s="1">
        <f>IF(vend30[[#This Row],[Nº Venda]]&gt;1,1,0)</f>
        <v>1</v>
      </c>
    </row>
    <row r="13" spans="2:18" ht="15.75" x14ac:dyDescent="0.25">
      <c r="B13" s="29" t="s">
        <v>8</v>
      </c>
      <c r="C13" s="30">
        <f t="shared" si="0"/>
        <v>549</v>
      </c>
      <c r="D13" s="2"/>
      <c r="E13" s="63">
        <v>1047</v>
      </c>
      <c r="F13" s="24" t="s">
        <v>185</v>
      </c>
      <c r="G13" s="25" t="s">
        <v>10</v>
      </c>
      <c r="H13" s="8">
        <v>3690</v>
      </c>
      <c r="I13" s="8">
        <v>3690</v>
      </c>
      <c r="J13" s="2"/>
      <c r="K13" s="200" t="s">
        <v>22</v>
      </c>
      <c r="L13" s="201"/>
      <c r="M13" s="202"/>
      <c r="R13" s="1">
        <f>IF(vend30[[#This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3">
        <v>1048</v>
      </c>
      <c r="F14" s="24" t="s">
        <v>186</v>
      </c>
      <c r="G14" s="25" t="s">
        <v>10</v>
      </c>
      <c r="H14" s="8">
        <v>904</v>
      </c>
      <c r="I14" s="8">
        <v>5</v>
      </c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1</v>
      </c>
    </row>
    <row r="15" spans="2:18" ht="15.75" x14ac:dyDescent="0.25">
      <c r="B15" s="29" t="s">
        <v>10</v>
      </c>
      <c r="C15" s="30">
        <f t="shared" si="0"/>
        <v>3700</v>
      </c>
      <c r="D15" s="2"/>
      <c r="E15" s="63">
        <v>1049</v>
      </c>
      <c r="F15" s="24" t="s">
        <v>187</v>
      </c>
      <c r="G15" s="25" t="s">
        <v>10</v>
      </c>
      <c r="H15" s="8">
        <v>654</v>
      </c>
      <c r="I15" s="8">
        <v>5</v>
      </c>
      <c r="J15" s="2"/>
      <c r="K15" s="69"/>
      <c r="L15" s="9"/>
      <c r="M15" s="16"/>
      <c r="R15" s="1">
        <f>IF(vend30[[#This Row],[Nº Venda]]&gt;1,1,0)</f>
        <v>1</v>
      </c>
    </row>
    <row r="16" spans="2:18" ht="15.75" x14ac:dyDescent="0.25">
      <c r="B16" s="27" t="s">
        <v>11</v>
      </c>
      <c r="C16" s="31">
        <f>SUM(C11:C15)</f>
        <v>5335.71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IF(vend30[[#This Row],[Nº Venda]]&gt;1,1,0)</f>
        <v>0</v>
      </c>
    </row>
    <row r="18" spans="2:22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7284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22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22" ht="15.75" x14ac:dyDescent="0.25">
      <c r="B26" s="2"/>
      <c r="C26" s="2"/>
      <c r="D26" s="2"/>
      <c r="E26" s="63"/>
      <c r="F26" s="24"/>
      <c r="G26" s="25"/>
      <c r="H26" s="8"/>
      <c r="I26" s="8"/>
      <c r="J26" s="2"/>
      <c r="K26" s="69"/>
      <c r="L26" s="9"/>
      <c r="M26" s="16"/>
    </row>
    <row r="27" spans="2:22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22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22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22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22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>
        <v>926</v>
      </c>
      <c r="F35" s="24" t="s">
        <v>188</v>
      </c>
      <c r="G35" s="25" t="s">
        <v>6</v>
      </c>
      <c r="H35" s="8">
        <v>178.71</v>
      </c>
      <c r="I35" s="8" t="s">
        <v>60</v>
      </c>
      <c r="K35" s="69"/>
      <c r="L35" s="40"/>
      <c r="M35" s="16"/>
    </row>
    <row r="36" spans="2:18" ht="15.75" x14ac:dyDescent="0.25">
      <c r="E36" s="67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10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5">
        <f>'30'!B1+1</f>
        <v>45627</v>
      </c>
    </row>
    <row r="2" spans="2:18" ht="18.75" x14ac:dyDescent="0.2">
      <c r="B2" s="207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206" t="s">
        <v>1</v>
      </c>
      <c r="F4" s="206"/>
      <c r="G4" s="206"/>
      <c r="H4" s="206"/>
      <c r="I4" s="206"/>
      <c r="J4" s="21"/>
      <c r="K4" s="200" t="s">
        <v>3</v>
      </c>
      <c r="L4" s="201"/>
      <c r="M4" s="2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3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3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3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6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98" t="s">
        <v>5</v>
      </c>
      <c r="C10" s="198"/>
      <c r="D10" s="2"/>
      <c r="E10" s="6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3"/>
      <c r="F13" s="24"/>
      <c r="G13" s="25"/>
      <c r="H13" s="8"/>
      <c r="I13" s="8"/>
      <c r="J13" s="2"/>
      <c r="K13" s="200" t="s">
        <v>22</v>
      </c>
      <c r="L13" s="201"/>
      <c r="M13" s="202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3"/>
      <c r="F15" s="24"/>
      <c r="G15" s="25"/>
      <c r="H15" s="8"/>
      <c r="I15" s="8"/>
      <c r="J15" s="2"/>
      <c r="K15" s="69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3"/>
      <c r="F16" s="24"/>
      <c r="G16" s="25"/>
      <c r="H16" s="8"/>
      <c r="I16" s="8"/>
      <c r="J16" s="2"/>
      <c r="K16" s="69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63"/>
      <c r="F17" s="24"/>
      <c r="G17" s="25"/>
      <c r="H17" s="8"/>
      <c r="I17" s="8"/>
      <c r="J17" s="2"/>
      <c r="K17" s="69"/>
      <c r="L17" s="9"/>
      <c r="M17" s="16"/>
      <c r="R17" s="1">
        <f>IF(vend31[[#This Row],[Nº Venda]]&gt;1,1,0)</f>
        <v>0</v>
      </c>
    </row>
    <row r="18" spans="2:18" ht="15.75" x14ac:dyDescent="0.25">
      <c r="B18" s="198" t="s">
        <v>12</v>
      </c>
      <c r="C18" s="198"/>
      <c r="D18" s="2"/>
      <c r="E18" s="63"/>
      <c r="F18" s="24"/>
      <c r="G18" s="25"/>
      <c r="H18" s="8"/>
      <c r="I18" s="8"/>
      <c r="J18" s="2"/>
      <c r="K18" s="69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63"/>
      <c r="F19" s="24"/>
      <c r="G19" s="25"/>
      <c r="H19" s="8"/>
      <c r="I19" s="8"/>
      <c r="J19" s="2"/>
      <c r="K19" s="69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3"/>
      <c r="F20" s="25"/>
      <c r="G20" s="25"/>
      <c r="H20" s="8"/>
      <c r="I20" s="8"/>
      <c r="J20" s="2"/>
      <c r="K20" s="69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63"/>
      <c r="F21" s="24"/>
      <c r="G21" s="25"/>
      <c r="H21" s="8"/>
      <c r="I21" s="8"/>
      <c r="J21" s="2"/>
      <c r="K21" s="69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3"/>
      <c r="F22" s="24"/>
      <c r="G22" s="25"/>
      <c r="H22" s="8"/>
      <c r="I22" s="8"/>
      <c r="J22" s="2"/>
      <c r="K22" s="69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9"/>
      <c r="L23" s="9"/>
      <c r="M23" s="16"/>
    </row>
    <row r="24" spans="2:18" ht="15" x14ac:dyDescent="0.25">
      <c r="B24" s="2"/>
      <c r="C24" s="2"/>
      <c r="D24" s="2"/>
      <c r="E24" s="199" t="s">
        <v>27</v>
      </c>
      <c r="F24" s="199"/>
      <c r="G24" s="199"/>
      <c r="H24" s="199"/>
      <c r="I24" s="199"/>
      <c r="J24" s="2"/>
      <c r="K24" s="69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9"/>
      <c r="L25" s="9"/>
      <c r="M25" s="16"/>
    </row>
    <row r="26" spans="2:18" ht="15.75" x14ac:dyDescent="0.25">
      <c r="B26" s="2"/>
      <c r="C26" s="2"/>
      <c r="D26" s="2"/>
      <c r="E26" s="63"/>
      <c r="F26" s="24"/>
      <c r="G26" s="25"/>
      <c r="H26" s="8"/>
      <c r="I26" s="8"/>
      <c r="J26" s="2"/>
      <c r="K26" s="69"/>
      <c r="L26" s="9"/>
      <c r="M26" s="16"/>
    </row>
    <row r="27" spans="2:18" ht="15.75" x14ac:dyDescent="0.25">
      <c r="B27" s="2"/>
      <c r="C27" s="2"/>
      <c r="D27" s="2"/>
      <c r="E27" s="63"/>
      <c r="F27" s="24"/>
      <c r="G27" s="25"/>
      <c r="H27" s="8"/>
      <c r="I27" s="8"/>
      <c r="J27" s="2"/>
      <c r="K27" s="69"/>
      <c r="L27" s="9"/>
      <c r="M27" s="16"/>
    </row>
    <row r="28" spans="2:18" ht="15.75" x14ac:dyDescent="0.25">
      <c r="B28" s="2"/>
      <c r="C28" s="2"/>
      <c r="D28" s="2"/>
      <c r="E28" s="63"/>
      <c r="F28" s="24"/>
      <c r="G28" s="25"/>
      <c r="H28" s="8"/>
      <c r="I28" s="8"/>
      <c r="J28" s="2"/>
      <c r="K28" s="69"/>
      <c r="L28" s="9"/>
      <c r="M28" s="16"/>
    </row>
    <row r="29" spans="2:18" ht="15.75" x14ac:dyDescent="0.25">
      <c r="B29" s="2"/>
      <c r="C29" s="2"/>
      <c r="D29" s="2"/>
      <c r="E29" s="63"/>
      <c r="F29" s="24"/>
      <c r="G29" s="25"/>
      <c r="H29" s="8"/>
      <c r="I29" s="8"/>
      <c r="J29" s="2"/>
      <c r="K29" s="69"/>
      <c r="L29" s="9"/>
      <c r="M29" s="16"/>
    </row>
    <row r="30" spans="2:18" ht="15.75" x14ac:dyDescent="0.25">
      <c r="B30" s="2"/>
      <c r="C30" s="2"/>
      <c r="D30" s="2"/>
      <c r="E30" s="63"/>
      <c r="F30" s="38"/>
      <c r="G30" s="25"/>
      <c r="H30" s="8"/>
      <c r="I30" s="8"/>
      <c r="J30" s="2"/>
      <c r="K30" s="69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69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99" t="s">
        <v>28</v>
      </c>
      <c r="F33" s="199"/>
      <c r="G33" s="199"/>
      <c r="H33" s="199"/>
      <c r="I33" s="199"/>
      <c r="K33" s="200" t="s">
        <v>12</v>
      </c>
      <c r="L33" s="201"/>
      <c r="M33" s="2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3"/>
      <c r="F35" s="24"/>
      <c r="G35" s="25"/>
      <c r="H35" s="8"/>
      <c r="I35" s="8"/>
      <c r="K35" s="69"/>
      <c r="L35" s="40"/>
      <c r="M35" s="16"/>
    </row>
    <row r="36" spans="2:18" ht="15.75" x14ac:dyDescent="0.25">
      <c r="E36" s="67"/>
      <c r="F36" s="24"/>
      <c r="G36" s="25"/>
      <c r="H36" s="8"/>
      <c r="I36" s="8"/>
      <c r="K36" s="69"/>
      <c r="L36" s="40"/>
      <c r="M36" s="16"/>
    </row>
    <row r="37" spans="2:18" ht="15.75" x14ac:dyDescent="0.25">
      <c r="E37" s="63"/>
      <c r="F37" s="24"/>
      <c r="G37" s="25"/>
      <c r="H37" s="8"/>
      <c r="I37" s="8"/>
      <c r="K37" s="69"/>
      <c r="L37" s="40"/>
      <c r="M37" s="16"/>
    </row>
    <row r="38" spans="2:18" ht="15.75" x14ac:dyDescent="0.25">
      <c r="E38" s="63"/>
      <c r="F38" s="24"/>
      <c r="G38" s="25"/>
      <c r="H38" s="8"/>
      <c r="I38" s="8"/>
      <c r="K38" s="69"/>
      <c r="L38" s="40"/>
      <c r="M38" s="16"/>
    </row>
    <row r="39" spans="2:18" ht="15.75" x14ac:dyDescent="0.25">
      <c r="E39" s="63"/>
      <c r="F39" s="38"/>
      <c r="G39" s="25"/>
      <c r="H39" s="8"/>
      <c r="I39" s="8"/>
      <c r="K39" s="69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0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69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2024-12-12T20:04:25Z</cp:lastPrinted>
  <dcterms:created xsi:type="dcterms:W3CDTF">2004-04-07T20:43:43Z</dcterms:created>
  <dcterms:modified xsi:type="dcterms:W3CDTF">2025-02-07T14:55:47Z</dcterms:modified>
  <cp:category/>
  <cp:contentStatus/>
</cp:coreProperties>
</file>