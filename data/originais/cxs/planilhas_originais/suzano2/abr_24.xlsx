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424" documentId="13_ncr:1_{5DE0D95C-0FEF-47E6-8821-4172D488E2E8}" xr6:coauthVersionLast="47" xr6:coauthVersionMax="47" xr10:uidLastSave="{61023172-CE44-4F52-B857-87C94C2B8AA6}"/>
  <bookViews>
    <workbookView xWindow="-120" yWindow="330" windowWidth="29040" windowHeight="15990" tabRatio="895" firstSheet="5" activeTab="1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5"/>
  <c r="C13" i="195"/>
  <c r="C14" i="195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2" i="198"/>
  <c r="C13" i="198"/>
  <c r="C14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5" i="198"/>
  <c r="C21" i="198" s="1"/>
  <c r="C6" i="174"/>
  <c r="C8" i="174" s="1"/>
  <c r="C6" i="173"/>
  <c r="C6" i="172"/>
  <c r="C8" i="172" s="1"/>
  <c r="C6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8" i="198"/>
  <c r="C19" i="198" s="1"/>
  <c r="B18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1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5" i="200"/>
  <c r="B11" i="200"/>
  <c r="B10" i="200"/>
  <c r="B9" i="200"/>
  <c r="B3" i="200"/>
  <c r="B4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98"/>
  <c r="C8" i="185"/>
  <c r="C8" i="181"/>
  <c r="C8" i="170"/>
  <c r="C8" i="177"/>
  <c r="C8" i="182"/>
  <c r="C15" i="198"/>
  <c r="O11" i="198" s="1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<sst xmlns="http://schemas.openxmlformats.org/spreadsheetml/2006/main" count="1729" uniqueCount="184">
  <si>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</si>
  <si>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</si>
  <si>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</si>
  <si>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</si>
  <si>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</si>
  <si>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</si>
  <si>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</si>
  <si>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</si>
  <si>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</si>
  <si>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</si>
  <si>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</si>
  <si>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</si>
  <si>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</si>
  <si>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</si>
  <si>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</si>
  <si>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</si>
  <si>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</si>
  <si>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</si>
  <si>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</si>
  <si>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</si>
  <si>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</si>
  <si>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</si>
  <si>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</si>
  <si>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</si>
  <si>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</si>
  <si>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</si>
  <si>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</si>
  <si>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</si>
  <si>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</si>
  <si>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</si>
  <si>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</si>
  <si>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</si>
  <si>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</si>
  <si>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</si>
  <si>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</si>
  <si>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</si>
  <si>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</si>
  <si>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</si>
  <si>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</si>
  <si>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</si>
  <si>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</si>
  <si>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</si>
  <si>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</si>
  <si>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</si>
  <si>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</si>
  <si>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</si>
  <si>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</si>
  <si>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</si>
  <si>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</si>
  <si>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</si>
  <si>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</si>
  <si>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</si>
  <si>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</si>
  <si>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</si>
  <si>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</si>
  <si>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</si>
  <si>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</si>
  <si>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</si>
  <si>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</si>
  <si>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</si>
  <si>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</si>
  <si>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</si>
  <si>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</si>
  <si>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</si>
  <si>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</si>
  <si>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</si>
  <si>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</si>
  <si>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</si>
  <si>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</si>
  <si>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</si>
  <si>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</si>
  <si>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</si>
  <si>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</si>
  <si>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</si>
  <si>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</si>
  <si>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</si>
  <si>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</si>
  <si>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</si>
  <si>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</si>
  <si>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</si>
  <si>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</si>
  <si>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</si>
  <si>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</si>
  <si>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</si>
  <si>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</si>
  <si>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</si>
  <si>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</si>
  <si>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</si>
  <si>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</si>
  <si>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</si>
  <si>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</si>
  <si>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</si>
  <si>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</si>
  <si>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</si>
  <si>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</si>
  <si>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</si>
  <si>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</si>
  <si>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</si>
  <si>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</si>
  <si>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</si>
  <si>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</si>
  <si>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</si>
  <si>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</si>
  <si>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</si>
  <si>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</si>
  <si>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</si>
  <si>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</si>
  <si>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</si>
  <si>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</si>
  <si>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</si>
  <si>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</si>
  <si>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</si>
  <si>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</si>
  <si>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</si>
  <si>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</si>
  <si>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</si>
  <si>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</si>
  <si>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</si>
  <si>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</si>
  <si>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</si>
  <si>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</si>
  <si>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</si>
  <si>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</si>
  <si>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</si>
  <si>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</si>
  <si>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</si>
  <si>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</si>
  <si>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</si>
  <si>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ROSELI FELIX RAPOSO</t>
  </si>
  <si>
    <t xml:space="preserve">JOSE ANTONIO DA SILVA </t>
  </si>
  <si>
    <t>SILVANA MENDES CARDOSO</t>
  </si>
  <si>
    <t>AGUA</t>
  </si>
  <si>
    <t>ADRIANA SOUZA SILVA</t>
  </si>
  <si>
    <t>VALERIA DA SILVA PINTO</t>
  </si>
  <si>
    <t xml:space="preserve">DONIZETE JOSE BARCELOS </t>
  </si>
  <si>
    <t xml:space="preserve">EDILEUZA RESENDE DA SILVA MOREIRA </t>
  </si>
  <si>
    <t xml:space="preserve">ADRIANA SOUZA SILVA </t>
  </si>
  <si>
    <t>NÃO</t>
  </si>
  <si>
    <t>CLAUDETE ZAPATER TEODORO</t>
  </si>
  <si>
    <t>DEBORA MARIA DE SANTANA</t>
  </si>
  <si>
    <t>ANGELITA ROBERTA RODRIGUES</t>
  </si>
  <si>
    <t>ANDREIA BELMIRO</t>
  </si>
  <si>
    <t>MARIA SANTOS SILVA</t>
  </si>
  <si>
    <t xml:space="preserve">DONIZETE RIBEIRO DE OLIVEIRA </t>
  </si>
  <si>
    <t>VALÉRIA ANASTACIO MARTINS</t>
  </si>
  <si>
    <t>THAYMARA CRISTIANE</t>
  </si>
  <si>
    <t>ALEXANDRER DE OLIVEIRA SOARES</t>
  </si>
  <si>
    <t>ANA CRISTINA PEREIRA</t>
  </si>
  <si>
    <t>ARTHUR PORTELA</t>
  </si>
  <si>
    <t>CLEONICE FAGUNDES</t>
  </si>
  <si>
    <t>ELISABETE MOREIRA DE OLIVEIRA</t>
  </si>
  <si>
    <t>MARIA DA PENHA ALVES SOUZA DE MEDEIROS</t>
  </si>
  <si>
    <t>CARMEN LUCIA RODRIGUES DE OLIVEIRA</t>
  </si>
  <si>
    <t>LUIZ DA PENHA MEDEIROS</t>
  </si>
  <si>
    <t>CAMPANHA</t>
  </si>
  <si>
    <t xml:space="preserve">AGUA </t>
  </si>
  <si>
    <t>ANGELINA ROBERTA RODRIGUES</t>
  </si>
  <si>
    <t>GUSTAVO GABRIEL SOUZA DA SILVA PEREIRA</t>
  </si>
  <si>
    <t xml:space="preserve">   </t>
  </si>
  <si>
    <t>EDER APARECIDO ANANIAS</t>
  </si>
  <si>
    <t>IVANI DIAS OLIVEIRA</t>
  </si>
  <si>
    <t>GERRALDO CONRADO DOS SANTOS</t>
  </si>
  <si>
    <t>TATY</t>
  </si>
  <si>
    <t>FERNADA SILVA DE OLIVEIRA</t>
  </si>
  <si>
    <t>FRANCINETO NUNES VIERA</t>
  </si>
  <si>
    <t>GABRIELA BARBOSA FERREIRA</t>
  </si>
  <si>
    <t>FLAVIA BARBOSA FERRREIRA</t>
  </si>
  <si>
    <t>EVERALDO PEREIRA</t>
  </si>
  <si>
    <t>GISELE LIMA DO NASCIMENTO</t>
  </si>
  <si>
    <t>MARTA DIAS DOS SANTOS</t>
  </si>
  <si>
    <t>ALVES DIAS DOS SANTOS</t>
  </si>
  <si>
    <t>MARIO ROSA LIMA</t>
  </si>
  <si>
    <t>GERALDO CONRADO SANTOS</t>
  </si>
  <si>
    <t>VIVIANE OLIVEIRA SILVA FERNANDES</t>
  </si>
  <si>
    <t>EMILLY MYKI MINAKAWA TARASHIMA</t>
  </si>
  <si>
    <t>ADRIANA SOUZA SANTOS</t>
  </si>
  <si>
    <t>VERALUCIA SANTOS DA SILVA</t>
  </si>
  <si>
    <t>BEATRIZ SANTOS LEAO</t>
  </si>
  <si>
    <t>GIOVANA NASCIMENTO SILVA</t>
  </si>
  <si>
    <t>2K CONSERTOS</t>
  </si>
  <si>
    <t>SETO FINACEIRO</t>
  </si>
  <si>
    <t>FELIPE</t>
  </si>
  <si>
    <t>WEVILLY</t>
  </si>
  <si>
    <t xml:space="preserve">VALDECIR SOUZA 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</si>
</sst>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 Black"/>
      <family val="2"/>
    </font>
    <font>
      <b/>
      <sz val="10"/>
      <name val="Arial"/>
      <family val="2"/>
    </font>
    <font>
      <b/>
      <sz val="12"/>
      <name val="Arial Black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5" fontId="36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46" fillId="0" borderId="17" xfId="0" applyNumberFormat="1" applyFont="1" applyBorder="1" applyAlignment="1">
      <alignment horizontal="center"/>
    </xf>
    <xf numFmtId="164" fontId="47" fillId="0" borderId="2" xfId="2" applyFont="1" applyFill="1" applyBorder="1" applyAlignment="1">
      <alignment horizontal="center"/>
    </xf>
    <xf numFmtId="164" fontId="47" fillId="0" borderId="0" xfId="2" applyFont="1" applyFill="1" applyBorder="1" applyAlignment="1">
      <alignment horizontal="center"/>
    </xf>
    <xf numFmtId="165" fontId="47" fillId="0" borderId="11" xfId="4" applyNumberFormat="1" applyFont="1" applyFill="1" applyBorder="1" applyAlignment="1">
      <alignment horizontal="center"/>
    </xf>
    <xf numFmtId="165" fontId="47" fillId="0" borderId="0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6" fillId="0" borderId="17" xfId="0" applyFont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0" fontId="48" fillId="0" borderId="17" xfId="0" applyFont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65" fontId="47" fillId="0" borderId="9" xfId="0" applyNumberFormat="1" applyFont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5" fontId="47" fillId="0" borderId="17" xfId="4" applyNumberFormat="1" applyFont="1" applyFill="1" applyBorder="1" applyAlignment="1">
      <alignment horizontal="center"/>
    </xf>
    <xf numFmtId="0" fontId="47" fillId="0" borderId="0" xfId="0" applyFont="1"/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0" fontId="49" fillId="0" borderId="17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64" fontId="49" fillId="0" borderId="17" xfId="2" applyFont="1" applyFill="1" applyBorder="1" applyAlignment="1">
      <alignment horizontal="center"/>
    </xf>
    <xf numFmtId="164" fontId="49" fillId="0" borderId="2" xfId="2" applyFont="1" applyFill="1" applyBorder="1" applyAlignment="1">
      <alignment horizontal="center"/>
    </xf>
    <xf numFmtId="164" fontId="49" fillId="0" borderId="0" xfId="2" applyFont="1" applyFill="1" applyBorder="1" applyAlignment="1">
      <alignment horizontal="center"/>
    </xf>
    <xf numFmtId="165" fontId="49" fillId="0" borderId="11" xfId="4" applyNumberFormat="1" applyFont="1" applyFill="1" applyBorder="1" applyAlignment="1">
      <alignment horizontal="center"/>
    </xf>
    <xf numFmtId="165" fontId="49" fillId="0" borderId="0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2" totalsRowShown="0" headerRowDxfId="619" dataDxfId="617" headerRowBorderDxfId="618" tableBorderDxfId="616" totalsRowBorderDxfId="61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B24" sqref="B24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16774.79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12418.99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48</v>
      </c>
    </row>
    <row r="6" spans="1:2" ht="15.75" x14ac:dyDescent="0.25">
      <c r="A6" s="28" t="s">
        <v>4</v>
      </c>
      <c r="B6" s="29">
        <f>SUM(B4:B5)</f>
        <v>12466.99</v>
      </c>
    </row>
    <row r="7" spans="1:2" ht="15" x14ac:dyDescent="0.25">
      <c r="A7" s="2"/>
      <c r="B7" s="2"/>
    </row>
    <row r="8" spans="1:2" ht="15" x14ac:dyDescent="0.2">
      <c r="A8" s="137" t="s">
        <v>5</v>
      </c>
      <c r="B8" s="137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3688.5899999999997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2466.1999999999998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6160.99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'31'!#REF!)</f>
        <v>#REF!</v>
      </c>
    </row>
    <row r="13" spans="1:2" ht="15" x14ac:dyDescent="0.25">
      <c r="A13" s="30" t="s">
        <v>10</v>
      </c>
      <c r="B13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2594.2399999999998</v>
      </c>
    </row>
    <row r="14" spans="1:2" ht="15.75" x14ac:dyDescent="0.25">
      <c r="A14" s="28" t="s">
        <v>11</v>
      </c>
      <c r="B14" s="76" t="e">
        <f ca="1">SUM(B9:B13)</f>
        <v>#REF!</v>
      </c>
    </row>
    <row r="15" spans="1:2" ht="15" x14ac:dyDescent="0.25">
      <c r="A15" s="2"/>
      <c r="B15" s="2"/>
    </row>
    <row r="16" spans="1:2" ht="15" x14ac:dyDescent="0.2">
      <c r="A16" s="137" t="s">
        <v>12</v>
      </c>
      <c r="B16" s="137"/>
    </row>
    <row r="17" spans="1:2" ht="15" x14ac:dyDescent="0.25">
      <c r="A17" s="30">
        <f>COUNT(#REF!)</f>
        <v>0</v>
      </c>
      <c r="B17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0</v>
      </c>
    </row>
    <row r="18" spans="1:2" ht="15.75" x14ac:dyDescent="0.25">
      <c r="A18" s="28" t="s">
        <v>11</v>
      </c>
      <c r="B18" s="76">
        <f>SUM(B17:B17)</f>
        <v>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8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v>45383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93">
        <v>886</v>
      </c>
      <c r="F6" s="61" t="s">
        <v>128</v>
      </c>
      <c r="G6" s="94" t="s">
        <v>8</v>
      </c>
      <c r="H6" s="71">
        <v>250</v>
      </c>
      <c r="I6" s="71">
        <v>250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399.99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IF(vend1[[#This Row],[Nº Venda]]&gt;1,1,0)</f>
        <v>0</v>
      </c>
    </row>
    <row r="14" spans="2:18" ht="15.75" x14ac:dyDescent="0.25">
      <c r="B14" s="30" t="s">
        <v>10</v>
      </c>
      <c r="C14" s="31">
        <f t="shared" si="0"/>
        <v>117.85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8" t="s">
        <v>11</v>
      </c>
      <c r="C15" s="32">
        <f>SUM(C11:C14)</f>
        <v>767.84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27</v>
      </c>
      <c r="C21" s="32">
        <f>C5</f>
        <v>250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>
        <v>801</v>
      </c>
      <c r="F35" s="25" t="s">
        <v>129</v>
      </c>
      <c r="G35" s="26" t="s">
        <v>6</v>
      </c>
      <c r="H35" s="8">
        <v>133.33000000000001</v>
      </c>
      <c r="I35" s="8" t="s">
        <v>72</v>
      </c>
      <c r="K35" s="25"/>
      <c r="L35" s="41"/>
      <c r="M35" s="16"/>
    </row>
    <row r="36" spans="5:18" ht="15.75" x14ac:dyDescent="0.25">
      <c r="E36" s="18">
        <v>801</v>
      </c>
      <c r="F36" s="25" t="s">
        <v>129</v>
      </c>
      <c r="G36" s="26" t="s">
        <v>6</v>
      </c>
      <c r="H36" s="8">
        <v>133.33000000000001</v>
      </c>
      <c r="I36" s="8" t="s">
        <v>34</v>
      </c>
      <c r="K36" s="25"/>
      <c r="L36" s="41"/>
      <c r="M36" s="16"/>
    </row>
    <row r="37" spans="5:18" ht="15.75" x14ac:dyDescent="0.25">
      <c r="E37" s="18">
        <v>801</v>
      </c>
      <c r="F37" s="25" t="s">
        <v>129</v>
      </c>
      <c r="G37" s="26" t="s">
        <v>6</v>
      </c>
      <c r="H37" s="8">
        <v>133.33000000000001</v>
      </c>
      <c r="I37" s="8" t="s">
        <v>74</v>
      </c>
      <c r="K37" s="25"/>
      <c r="L37" s="41"/>
      <c r="M37" s="16"/>
    </row>
    <row r="38" spans="5:18" ht="15.75" x14ac:dyDescent="0.25">
      <c r="E38" s="18">
        <v>873</v>
      </c>
      <c r="F38" s="1" t="s">
        <v>130</v>
      </c>
      <c r="G38" s="26" t="s">
        <v>10</v>
      </c>
      <c r="H38" s="8">
        <v>117.85</v>
      </c>
      <c r="I38" s="8" t="s">
        <v>36</v>
      </c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45384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 t="s">
        <v>131</v>
      </c>
      <c r="L6" s="9" t="s">
        <v>10</v>
      </c>
      <c r="M6" s="16">
        <v>12</v>
      </c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12</v>
      </c>
      <c r="D8" s="2"/>
      <c r="E8" s="18"/>
      <c r="F8" s="25"/>
      <c r="G8" s="26"/>
      <c r="H8" s="8"/>
      <c r="I8" s="8"/>
      <c r="J8" s="2"/>
      <c r="K8" s="25"/>
      <c r="L8" s="9"/>
      <c r="M8" s="16" t="s">
        <v>59</v>
      </c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3"/>
      <c r="F13" s="61"/>
      <c r="G13" s="94"/>
      <c r="H13" s="71"/>
      <c r="I13" s="71"/>
      <c r="J13" s="2"/>
      <c r="K13" s="139" t="s">
        <v>22</v>
      </c>
      <c r="L13" s="140"/>
      <c r="M13" s="141"/>
      <c r="R13" s="1">
        <f>IF(vend2[[#This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93"/>
      <c r="F14" s="61"/>
      <c r="G14" s="94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21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21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  <c r="U34" s="1" t="s">
        <v>38</v>
      </c>
    </row>
    <row r="35" spans="5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5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5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5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5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5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45385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1500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IF(vend3[[#This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8" t="s">
        <v>11</v>
      </c>
      <c r="C15" s="32">
        <f>SUM(C11:C14)</f>
        <v>1500</v>
      </c>
      <c r="D15" s="2"/>
      <c r="E15" s="18"/>
      <c r="F15" s="25"/>
      <c r="G15" s="26"/>
      <c r="H15" s="8"/>
      <c r="I15" s="8"/>
      <c r="J15" s="2"/>
      <c r="K15" s="25">
        <v>875</v>
      </c>
      <c r="L15" s="9" t="s">
        <v>181</v>
      </c>
      <c r="M15" s="16" t="s">
        <v>26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875</v>
      </c>
      <c r="F26" s="25" t="s">
        <v>133</v>
      </c>
      <c r="G26" s="46" t="s">
        <v>6</v>
      </c>
      <c r="H26" s="8"/>
      <c r="I26" s="8">
        <v>587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879</v>
      </c>
      <c r="F27" s="25" t="s">
        <v>132</v>
      </c>
      <c r="G27" s="26" t="s">
        <v>6</v>
      </c>
      <c r="H27" s="8"/>
      <c r="I27" s="8">
        <v>913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45386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370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784</v>
      </c>
      <c r="D6" s="2"/>
      <c r="E6" s="90">
        <v>887</v>
      </c>
      <c r="F6" s="89" t="s">
        <v>134</v>
      </c>
      <c r="G6" s="101" t="s">
        <v>7</v>
      </c>
      <c r="H6" s="92">
        <v>220</v>
      </c>
      <c r="I6" s="92">
        <v>220</v>
      </c>
      <c r="J6" s="2"/>
      <c r="K6" s="89"/>
      <c r="L6" s="107"/>
      <c r="M6" s="108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888</v>
      </c>
      <c r="F7" s="89" t="s">
        <v>135</v>
      </c>
      <c r="G7" s="101" t="s">
        <v>6</v>
      </c>
      <c r="H7" s="92">
        <v>150</v>
      </c>
      <c r="I7" s="92">
        <v>150</v>
      </c>
      <c r="J7" s="2"/>
      <c r="K7" s="89"/>
      <c r="L7" s="107"/>
      <c r="M7" s="108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784</v>
      </c>
      <c r="D8" s="2"/>
      <c r="E8" s="90"/>
      <c r="F8" s="89"/>
      <c r="G8" s="101"/>
      <c r="H8" s="92"/>
      <c r="I8" s="92"/>
      <c r="J8" s="2"/>
      <c r="K8" s="89"/>
      <c r="L8" s="107"/>
      <c r="M8" s="108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0"/>
      <c r="F9" s="89"/>
      <c r="G9" s="101"/>
      <c r="H9" s="92"/>
      <c r="I9" s="92"/>
      <c r="J9" s="2"/>
      <c r="K9" s="89"/>
      <c r="L9" s="107"/>
      <c r="M9" s="108"/>
      <c r="R9" s="1">
        <f>IF(vend4[[#This Row],[Nº Venda]]&gt;1,1,0)</f>
        <v>0</v>
      </c>
    </row>
    <row r="10" spans="2:18" ht="15.75" x14ac:dyDescent="0.25">
      <c r="B10" s="137" t="s">
        <v>5</v>
      </c>
      <c r="C10" s="137"/>
      <c r="D10" s="2"/>
      <c r="E10" s="90"/>
      <c r="F10" s="89"/>
      <c r="G10" s="91"/>
      <c r="H10" s="92"/>
      <c r="I10" s="92"/>
      <c r="J10" s="2"/>
      <c r="K10" s="89"/>
      <c r="L10" s="107"/>
      <c r="M10" s="108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90"/>
      <c r="F11" s="89"/>
      <c r="G11" s="91"/>
      <c r="H11" s="92"/>
      <c r="I11" s="92"/>
      <c r="J11" s="2"/>
      <c r="K11" s="109"/>
      <c r="L11" s="107"/>
      <c r="M11" s="108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220</v>
      </c>
      <c r="D12" s="2"/>
      <c r="E12" s="90"/>
      <c r="F12" s="89"/>
      <c r="G12" s="91"/>
      <c r="H12" s="92"/>
      <c r="I12" s="92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0"/>
      <c r="F13" s="89"/>
      <c r="G13" s="91"/>
      <c r="H13" s="92"/>
      <c r="I13" s="92"/>
      <c r="J13" s="2"/>
      <c r="K13" s="139" t="s">
        <v>22</v>
      </c>
      <c r="L13" s="140"/>
      <c r="M13" s="141"/>
      <c r="R13" s="1">
        <f>IF(vend4[[#This Row],[Nº Venda]]&gt;1,1,0)</f>
        <v>0</v>
      </c>
    </row>
    <row r="14" spans="2:18" ht="15.75" x14ac:dyDescent="0.25">
      <c r="B14" s="30" t="s">
        <v>10</v>
      </c>
      <c r="C14" s="31">
        <f t="shared" si="0"/>
        <v>414</v>
      </c>
      <c r="D14" s="2"/>
      <c r="E14" s="90"/>
      <c r="F14" s="89"/>
      <c r="G14" s="91"/>
      <c r="H14" s="92"/>
      <c r="I14" s="92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8" t="s">
        <v>11</v>
      </c>
      <c r="C15" s="32">
        <f>SUM(C11:C14)</f>
        <v>784</v>
      </c>
      <c r="D15" s="2"/>
      <c r="E15" s="90"/>
      <c r="F15" s="89"/>
      <c r="G15" s="91"/>
      <c r="H15" s="92"/>
      <c r="I15" s="92"/>
      <c r="J15" s="2"/>
      <c r="K15" s="110">
        <v>887</v>
      </c>
      <c r="L15" s="102" t="s">
        <v>181</v>
      </c>
      <c r="M15" s="111" t="s">
        <v>26</v>
      </c>
      <c r="R15" s="1">
        <f>IF(vend4[[#This Row],[Nº Venda]]&gt;1,1,0)</f>
        <v>0</v>
      </c>
    </row>
    <row r="16" spans="2:18" ht="19.5" x14ac:dyDescent="0.4">
      <c r="B16" s="2"/>
      <c r="C16" s="2"/>
      <c r="D16" s="2"/>
      <c r="E16" s="90"/>
      <c r="F16" s="89"/>
      <c r="G16" s="91"/>
      <c r="H16" s="92"/>
      <c r="I16" s="92"/>
      <c r="J16" s="2"/>
      <c r="K16" s="112">
        <v>879</v>
      </c>
      <c r="L16" s="110" t="s">
        <v>181</v>
      </c>
      <c r="M16" s="111" t="s">
        <v>26</v>
      </c>
      <c r="R16" s="1">
        <f>IF(vend4[[#This Row],[Nº Venda]]&gt;1,1,0)</f>
        <v>0</v>
      </c>
    </row>
    <row r="17" spans="2:18" ht="18.75" x14ac:dyDescent="0.4">
      <c r="B17" s="137" t="s">
        <v>12</v>
      </c>
      <c r="C17" s="137"/>
      <c r="D17" s="2"/>
      <c r="E17" s="90"/>
      <c r="F17" s="89"/>
      <c r="G17" s="91"/>
      <c r="H17" s="92"/>
      <c r="I17" s="92"/>
      <c r="J17" s="2"/>
      <c r="K17" s="110"/>
      <c r="L17" s="102"/>
      <c r="M17" s="111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90"/>
      <c r="F18" s="89"/>
      <c r="G18" s="91"/>
      <c r="H18" s="92"/>
      <c r="I18" s="92"/>
      <c r="J18" s="2"/>
      <c r="K18" s="89"/>
      <c r="L18" s="107"/>
      <c r="M18" s="108"/>
      <c r="R18" s="1">
        <f>IF(vend4[[#This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90"/>
      <c r="F19" s="89"/>
      <c r="G19" s="91"/>
      <c r="H19" s="92"/>
      <c r="I19" s="92"/>
      <c r="J19" s="2"/>
      <c r="K19" s="89"/>
      <c r="L19" s="107"/>
      <c r="M19" s="108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90"/>
      <c r="F20" s="91"/>
      <c r="G20" s="91"/>
      <c r="H20" s="92"/>
      <c r="I20" s="92"/>
      <c r="J20" s="2"/>
      <c r="K20" s="89"/>
      <c r="L20" s="107"/>
      <c r="M20" s="108"/>
      <c r="R20" s="1">
        <f>IF(vend4[[#This Row],[Nº Venda]]&gt;1,1,0)</f>
        <v>0</v>
      </c>
    </row>
    <row r="21" spans="2:18" ht="15.75" x14ac:dyDescent="0.25">
      <c r="B21" s="28" t="s">
        <v>27</v>
      </c>
      <c r="C21" s="32">
        <f>C5</f>
        <v>370</v>
      </c>
      <c r="D21" s="2"/>
      <c r="E21" s="90"/>
      <c r="F21" s="89"/>
      <c r="G21" s="91"/>
      <c r="H21" s="92"/>
      <c r="I21" s="92"/>
      <c r="J21" s="2"/>
      <c r="K21" s="89"/>
      <c r="L21" s="107"/>
      <c r="M21" s="108"/>
    </row>
    <row r="22" spans="2:18" ht="15.75" x14ac:dyDescent="0.25">
      <c r="B22" s="2"/>
      <c r="C22" s="2"/>
      <c r="D22" s="2"/>
      <c r="E22" s="90"/>
      <c r="F22" s="89"/>
      <c r="G22" s="91"/>
      <c r="H22" s="92"/>
      <c r="I22" s="92"/>
      <c r="J22" s="2"/>
      <c r="K22" s="89"/>
      <c r="L22" s="107"/>
      <c r="M22" s="108"/>
    </row>
    <row r="23" spans="2:18" ht="15" x14ac:dyDescent="0.25">
      <c r="B23" s="2"/>
      <c r="C23" s="2"/>
      <c r="D23" s="2"/>
      <c r="E23" s="103"/>
      <c r="F23" s="104"/>
      <c r="G23" s="104"/>
      <c r="H23" s="105"/>
      <c r="I23" s="106"/>
      <c r="J23" s="2"/>
      <c r="K23" s="89"/>
      <c r="L23" s="107"/>
      <c r="M23" s="108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89"/>
      <c r="L24" s="107"/>
      <c r="M24" s="10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89"/>
      <c r="L25" s="107"/>
      <c r="M25" s="108"/>
    </row>
    <row r="26" spans="2:18" ht="15.75" x14ac:dyDescent="0.25">
      <c r="B26" s="2"/>
      <c r="C26" s="2"/>
      <c r="D26" s="2"/>
      <c r="E26" s="90">
        <v>879</v>
      </c>
      <c r="F26" s="89" t="s">
        <v>136</v>
      </c>
      <c r="G26" s="101" t="s">
        <v>10</v>
      </c>
      <c r="H26" s="92"/>
      <c r="I26" s="92">
        <v>414</v>
      </c>
      <c r="J26" s="2"/>
      <c r="K26" s="89"/>
      <c r="L26" s="107"/>
      <c r="M26" s="108"/>
    </row>
    <row r="27" spans="2:18" ht="15.75" x14ac:dyDescent="0.25">
      <c r="B27" s="2"/>
      <c r="C27" s="2"/>
      <c r="D27" s="2"/>
      <c r="E27" s="90"/>
      <c r="F27" s="89"/>
      <c r="G27" s="101"/>
      <c r="H27" s="92"/>
      <c r="I27" s="92"/>
      <c r="J27" s="2"/>
      <c r="K27" s="89"/>
      <c r="L27" s="107"/>
      <c r="M27" s="108"/>
    </row>
    <row r="28" spans="2:18" ht="15.75" x14ac:dyDescent="0.25">
      <c r="B28" s="2"/>
      <c r="C28" s="2"/>
      <c r="D28" s="2"/>
      <c r="E28" s="90"/>
      <c r="F28" s="89"/>
      <c r="G28" s="101"/>
      <c r="H28" s="92"/>
      <c r="I28" s="92"/>
      <c r="J28" s="2"/>
      <c r="K28" s="89"/>
      <c r="L28" s="107"/>
      <c r="M28" s="108"/>
    </row>
    <row r="29" spans="2:18" ht="15.75" x14ac:dyDescent="0.25">
      <c r="B29" s="2"/>
      <c r="C29" s="2"/>
      <c r="D29" s="2"/>
      <c r="E29" s="90"/>
      <c r="F29" s="89"/>
      <c r="G29" s="91"/>
      <c r="H29" s="92"/>
      <c r="I29" s="92"/>
      <c r="J29" s="2"/>
      <c r="K29" s="89"/>
      <c r="L29" s="107"/>
      <c r="M29" s="108"/>
    </row>
    <row r="30" spans="2:18" ht="15.75" x14ac:dyDescent="0.25">
      <c r="B30" s="2"/>
      <c r="C30" s="2"/>
      <c r="D30" s="2"/>
      <c r="E30" s="90"/>
      <c r="F30" s="113"/>
      <c r="G30" s="91"/>
      <c r="H30" s="92"/>
      <c r="I30" s="92"/>
      <c r="J30" s="2"/>
      <c r="K30" s="89"/>
      <c r="L30" s="107"/>
      <c r="M30" s="108"/>
    </row>
    <row r="31" spans="2:18" ht="15.75" x14ac:dyDescent="0.25">
      <c r="B31" s="2"/>
      <c r="C31" s="2"/>
      <c r="D31" s="2"/>
      <c r="E31" s="114"/>
      <c r="F31" s="115"/>
      <c r="G31" s="116"/>
      <c r="H31" s="117"/>
      <c r="I31" s="117"/>
      <c r="J31" s="2"/>
      <c r="K31" s="89"/>
      <c r="L31" s="107"/>
      <c r="M31" s="108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2.85546875" style="1" customWidth="1"/>
    <col min="4" max="4" width="1.2851562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4.28515625" style="4" customWidth="1"/>
    <col min="10" max="10" width="1.85546875" style="1" customWidth="1"/>
    <col min="11" max="11" width="21.7109375" style="3" customWidth="1"/>
    <col min="12" max="12" width="22.28515625" style="3" customWidth="1"/>
    <col min="13" max="13" width="12.140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45387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IF(vend5[[#This Row],[Nº Venda]]&gt;1,1,0)</f>
        <v>0</v>
      </c>
    </row>
    <row r="14" spans="2:18" ht="15.75" x14ac:dyDescent="0.25">
      <c r="B14" s="30" t="s">
        <v>10</v>
      </c>
      <c r="C14" s="31">
        <f t="shared" si="0"/>
        <v>203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8" t="s">
        <v>11</v>
      </c>
      <c r="C15" s="32">
        <f>SUM(C11:C14)</f>
        <v>203</v>
      </c>
      <c r="D15" s="2"/>
      <c r="E15" s="18"/>
      <c r="F15" s="25"/>
      <c r="G15" s="26"/>
      <c r="H15" s="8"/>
      <c r="I15" s="8"/>
      <c r="J15" s="2"/>
      <c r="K15" s="89">
        <v>888</v>
      </c>
      <c r="L15" s="107" t="s">
        <v>181</v>
      </c>
      <c r="M15" s="118" t="s">
        <v>137</v>
      </c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3"/>
      <c r="N16" s="16"/>
      <c r="R16" s="1">
        <f>IF(vend5[[#This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 t="s">
        <v>59</v>
      </c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768</v>
      </c>
      <c r="F35" s="89" t="s">
        <v>139</v>
      </c>
      <c r="G35" s="91" t="s">
        <v>10</v>
      </c>
      <c r="H35" s="92">
        <v>90</v>
      </c>
      <c r="I35" s="92" t="s">
        <v>79</v>
      </c>
      <c r="K35" s="25"/>
      <c r="L35" s="41"/>
      <c r="M35" s="16"/>
    </row>
    <row r="36" spans="5:18" ht="15.75" x14ac:dyDescent="0.25">
      <c r="E36" s="90">
        <v>811</v>
      </c>
      <c r="F36" s="89" t="s">
        <v>138</v>
      </c>
      <c r="G36" s="91" t="s">
        <v>10</v>
      </c>
      <c r="H36" s="92">
        <v>113</v>
      </c>
      <c r="I36" s="92" t="s">
        <v>81</v>
      </c>
      <c r="K36" s="25"/>
      <c r="L36" s="41"/>
      <c r="M36" s="16"/>
    </row>
    <row r="37" spans="5:18" ht="15.75" x14ac:dyDescent="0.25">
      <c r="E37" s="90"/>
      <c r="F37" s="89"/>
      <c r="G37" s="91"/>
      <c r="H37" s="92"/>
      <c r="I37" s="92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3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2.85546875" style="1" customWidth="1"/>
    <col min="4" max="4" width="1.4257812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1.2851562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45388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597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90">
        <v>889</v>
      </c>
      <c r="F6" s="89" t="s">
        <v>140</v>
      </c>
      <c r="G6" s="91" t="s">
        <v>10</v>
      </c>
      <c r="H6" s="92">
        <v>597</v>
      </c>
      <c r="I6" s="92">
        <v>150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IF(vend[[#This Row],[Nº Venda]]&gt;1,1,0)</f>
        <v>0</v>
      </c>
    </row>
    <row r="14" spans="2:18" ht="15.75" x14ac:dyDescent="0.25">
      <c r="B14" s="30" t="s">
        <v>10</v>
      </c>
      <c r="C14" s="31">
        <f t="shared" si="0"/>
        <v>388.5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8" t="s">
        <v>11</v>
      </c>
      <c r="C15" s="32">
        <f>SUM(C11:C14)</f>
        <v>388.5</v>
      </c>
      <c r="D15" s="2"/>
      <c r="E15" s="18"/>
      <c r="F15" s="25"/>
      <c r="G15" s="26"/>
      <c r="H15" s="8"/>
      <c r="I15" s="8"/>
      <c r="J15" s="2"/>
      <c r="K15" s="90">
        <v>883</v>
      </c>
      <c r="L15" s="89" t="s">
        <v>181</v>
      </c>
      <c r="M15" s="108" t="s">
        <v>26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27</v>
      </c>
      <c r="C21" s="32">
        <f>C5</f>
        <v>597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874</v>
      </c>
      <c r="F35" s="89" t="s">
        <v>168</v>
      </c>
      <c r="G35" s="91" t="s">
        <v>10</v>
      </c>
      <c r="H35" s="92">
        <v>238.5</v>
      </c>
      <c r="I35" s="92" t="s">
        <v>68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45389</v>
      </c>
    </row>
    <row r="2" spans="2:21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1"/>
      <c r="G6" s="81"/>
      <c r="H6" s="82"/>
      <c r="I6" s="82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IF(vend7[[#This Row],[Nº Venda]]&gt;1,1,0)</f>
        <v>0</v>
      </c>
    </row>
    <row r="14" spans="2:21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2"/>
      <c r="F26" s="60"/>
      <c r="G26" s="73"/>
      <c r="H26" s="74"/>
      <c r="I26" s="74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1.28515625" style="1" customWidth="1"/>
    <col min="2" max="2" width="29.85546875" style="1" bestFit="1" customWidth="1"/>
    <col min="3" max="3" width="13.140625" style="1" customWidth="1"/>
    <col min="4" max="4" width="0.855468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2.85546875" style="3" customWidth="1"/>
    <col min="13" max="13" width="1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45390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84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4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4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IF(vend8[[#This Row],[Nº Venda]]&gt;1,1,0)</f>
        <v>0</v>
      </c>
    </row>
    <row r="14" spans="2:18" ht="15.75" x14ac:dyDescent="0.25">
      <c r="B14" s="30" t="s">
        <v>10</v>
      </c>
      <c r="C14" s="80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89">
        <v>884</v>
      </c>
      <c r="L15" s="107" t="s">
        <v>181</v>
      </c>
      <c r="M15" s="108" t="s">
        <v>26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89">
        <v>885</v>
      </c>
      <c r="L16" s="107" t="s">
        <v>181</v>
      </c>
      <c r="M16" s="108" t="s">
        <v>26</v>
      </c>
      <c r="R16" s="1">
        <f>IF(vend8[[#This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/>
      <c r="F26" s="86"/>
      <c r="G26" s="87"/>
      <c r="H26" s="88"/>
      <c r="I26" s="8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2" zoomScale="8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3.42578125" style="1" customWidth="1"/>
    <col min="4" max="4" width="1.140625" style="1" customWidth="1"/>
    <col min="5" max="5" width="11.42578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2" width="20.7109375" style="3" customWidth="1"/>
    <col min="13" max="13" width="11" style="3" customWidth="1"/>
    <col min="14" max="14" width="0.710937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45391</v>
      </c>
    </row>
    <row r="2" spans="2:22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IF(vend9[[#This Row],[Nº Venda]]&gt;1,1,0)</f>
        <v>0</v>
      </c>
    </row>
    <row r="14" spans="2:22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7" zoomScale="8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2.5703125" style="1" customWidth="1"/>
    <col min="4" max="4" width="0.85546875" style="1" customWidth="1"/>
    <col min="5" max="5" width="11.42578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19.5703125" style="3" customWidth="1"/>
    <col min="12" max="12" width="18.140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45392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101.7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IF(vend10[[#This Row],[Nº Venda]]&gt;1,1,0)</f>
        <v>0</v>
      </c>
    </row>
    <row r="14" spans="2:18" ht="15.75" x14ac:dyDescent="0.25">
      <c r="B14" s="30" t="s">
        <v>10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8" t="s">
        <v>11</v>
      </c>
      <c r="C15" s="32">
        <f>SUM(C11:C14)</f>
        <v>101.7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3"/>
      <c r="R16" s="1">
        <f>IF(vend10[[#This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39" t="s">
        <v>12</v>
      </c>
      <c r="L33" s="140"/>
      <c r="M33" s="141"/>
    </row>
    <row r="34" spans="5:18" ht="15" x14ac:dyDescent="0.25">
      <c r="E34" s="138" t="s">
        <v>29</v>
      </c>
      <c r="F34" s="138"/>
      <c r="G34" s="138"/>
      <c r="H34" s="138"/>
      <c r="I34" s="138"/>
      <c r="K34" s="14" t="s">
        <v>23</v>
      </c>
      <c r="L34" s="6" t="s">
        <v>32</v>
      </c>
      <c r="M34" s="15" t="s">
        <v>33</v>
      </c>
    </row>
    <row r="35" spans="5:18" ht="15" x14ac:dyDescent="0.25">
      <c r="E35" s="10" t="s">
        <v>23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1"/>
      <c r="M35" s="16"/>
    </row>
    <row r="36" spans="5:18" ht="15.75" x14ac:dyDescent="0.25">
      <c r="E36" s="90">
        <v>871</v>
      </c>
      <c r="F36" s="89" t="s">
        <v>141</v>
      </c>
      <c r="G36" s="91" t="s">
        <v>7</v>
      </c>
      <c r="H36" s="92">
        <v>101.7</v>
      </c>
      <c r="I36" s="92" t="s">
        <v>43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6" sqref="E6:I2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45393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500</v>
      </c>
      <c r="D6" s="2"/>
      <c r="E6" s="129">
        <v>890</v>
      </c>
      <c r="F6" s="89" t="s">
        <v>142</v>
      </c>
      <c r="G6" s="91" t="s">
        <v>7</v>
      </c>
      <c r="H6" s="92">
        <v>1000</v>
      </c>
      <c r="I6" s="92">
        <v>300</v>
      </c>
      <c r="J6" s="2"/>
      <c r="K6" s="25"/>
      <c r="L6" s="9"/>
      <c r="M6" s="16"/>
      <c r="R6" s="1">
        <f>IF(vend11[[#This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29"/>
      <c r="F7" s="89"/>
      <c r="G7" s="91" t="s">
        <v>6</v>
      </c>
      <c r="H7" s="92">
        <v>0</v>
      </c>
      <c r="I7" s="92">
        <v>200</v>
      </c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29"/>
      <c r="F8" s="89"/>
      <c r="G8" s="91"/>
      <c r="H8" s="92"/>
      <c r="I8" s="92"/>
      <c r="J8" s="2"/>
      <c r="K8" s="25"/>
      <c r="L8" s="9"/>
      <c r="M8" s="16"/>
      <c r="R8" s="1">
        <f>IF(vend11[[#This Row],[Nº Venda]]&gt;1,1,0)</f>
        <v>0</v>
      </c>
    </row>
    <row r="9" spans="2:18" ht="15" x14ac:dyDescent="0.25">
      <c r="B9" s="2"/>
      <c r="C9" s="2"/>
      <c r="D9" s="2"/>
      <c r="E9" s="129"/>
      <c r="F9" s="89"/>
      <c r="G9" s="91"/>
      <c r="H9" s="92"/>
      <c r="I9" s="92"/>
      <c r="J9" s="2"/>
      <c r="K9" s="25"/>
      <c r="L9" s="9"/>
      <c r="M9" s="16"/>
      <c r="R9" s="1">
        <f>IF(vend11[[#This Row],[Nº Venda]]&gt;1,1,0)</f>
        <v>0</v>
      </c>
    </row>
    <row r="10" spans="2:18" ht="15" x14ac:dyDescent="0.25">
      <c r="B10" s="137" t="s">
        <v>5</v>
      </c>
      <c r="C10" s="137"/>
      <c r="D10" s="2"/>
      <c r="E10" s="129"/>
      <c r="F10" s="89"/>
      <c r="G10" s="91"/>
      <c r="H10" s="92"/>
      <c r="I10" s="92"/>
      <c r="J10" s="2"/>
      <c r="K10" s="25"/>
      <c r="L10" s="9"/>
      <c r="M10" s="16"/>
      <c r="R10" s="1">
        <f>IF(vend11[[#This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200</v>
      </c>
      <c r="D11" s="2"/>
      <c r="E11" s="129"/>
      <c r="F11" s="89"/>
      <c r="G11" s="91"/>
      <c r="H11" s="92"/>
      <c r="I11" s="92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300</v>
      </c>
      <c r="D12" s="2"/>
      <c r="E12" s="129"/>
      <c r="F12" s="89"/>
      <c r="G12" s="91"/>
      <c r="H12" s="92"/>
      <c r="I12" s="92"/>
      <c r="J12" s="2"/>
      <c r="R12" s="1">
        <f>IF(vend11[[#This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29"/>
      <c r="F13" s="89"/>
      <c r="G13" s="91"/>
      <c r="H13" s="92"/>
      <c r="I13" s="92"/>
      <c r="J13" s="2"/>
      <c r="K13" s="139" t="s">
        <v>22</v>
      </c>
      <c r="L13" s="140"/>
      <c r="M13" s="141"/>
      <c r="R13" s="1">
        <f>IF(vend11[[#This Row],[Nº Venda]]&gt;1,1,0)</f>
        <v>0</v>
      </c>
    </row>
    <row r="14" spans="2:18" ht="15" x14ac:dyDescent="0.25">
      <c r="B14" s="30" t="s">
        <v>10</v>
      </c>
      <c r="C14" s="31">
        <f t="shared" si="0"/>
        <v>0</v>
      </c>
      <c r="D14" s="2"/>
      <c r="E14" s="129"/>
      <c r="F14" s="89"/>
      <c r="G14" s="91"/>
      <c r="H14" s="92"/>
      <c r="I14" s="92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8" t="s">
        <v>11</v>
      </c>
      <c r="C15" s="32">
        <f>SUM(C11:C14)</f>
        <v>500</v>
      </c>
      <c r="D15" s="2"/>
      <c r="E15" s="129"/>
      <c r="F15" s="89"/>
      <c r="G15" s="91"/>
      <c r="H15" s="92"/>
      <c r="I15" s="92"/>
      <c r="J15" s="2"/>
      <c r="K15" s="25"/>
      <c r="L15" s="9"/>
      <c r="M15" s="16"/>
      <c r="R15" s="1">
        <f>IF(vend11[[#This Row],[Nº Venda]]&gt;1,1,0)</f>
        <v>0</v>
      </c>
    </row>
    <row r="16" spans="2:18" ht="15" x14ac:dyDescent="0.25">
      <c r="B16" s="2"/>
      <c r="C16" s="2"/>
      <c r="D16" s="2"/>
      <c r="E16" s="129"/>
      <c r="F16" s="89"/>
      <c r="G16" s="91"/>
      <c r="H16" s="92"/>
      <c r="I16" s="92"/>
      <c r="J16" s="2"/>
      <c r="K16" s="25"/>
      <c r="L16" s="9"/>
      <c r="M16" s="16"/>
      <c r="R16" s="1">
        <f>IF(vend11[[#This Row],[Nº Venda]]&gt;1,1,0)</f>
        <v>0</v>
      </c>
    </row>
    <row r="17" spans="2:18" ht="15" x14ac:dyDescent="0.25">
      <c r="B17" s="137" t="s">
        <v>12</v>
      </c>
      <c r="C17" s="137"/>
      <c r="D17" s="2"/>
      <c r="E17" s="129"/>
      <c r="F17" s="89"/>
      <c r="G17" s="91"/>
      <c r="H17" s="92"/>
      <c r="I17" s="92"/>
      <c r="J17" s="2"/>
      <c r="K17" s="25"/>
      <c r="L17" s="9"/>
      <c r="M17" s="16"/>
      <c r="R17" s="1">
        <f>IF(vend11[[#This Row],[Nº Venda]]&gt;1,1,0)</f>
        <v>0</v>
      </c>
    </row>
    <row r="18" spans="2:18" ht="15" x14ac:dyDescent="0.25">
      <c r="B18" s="30">
        <f>COUNT(entr_carn11[OS])</f>
        <v>0</v>
      </c>
      <c r="C18" s="31">
        <f>SUM(entr_carn11[Valor Total])</f>
        <v>0</v>
      </c>
      <c r="D18" s="2"/>
      <c r="E18" s="129"/>
      <c r="F18" s="89"/>
      <c r="G18" s="91"/>
      <c r="H18" s="92"/>
      <c r="I18" s="92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29"/>
      <c r="F19" s="89"/>
      <c r="G19" s="91"/>
      <c r="H19" s="92"/>
      <c r="I19" s="92"/>
      <c r="J19" s="2"/>
      <c r="K19" s="25"/>
      <c r="L19" s="9"/>
      <c r="M19" s="16"/>
      <c r="R19" s="1">
        <f>IF(vend11[[#This Row],[Nº Venda]]&gt;1,1,0)</f>
        <v>0</v>
      </c>
    </row>
    <row r="20" spans="2:18" ht="15" x14ac:dyDescent="0.25">
      <c r="B20" s="2"/>
      <c r="C20" s="2"/>
      <c r="D20" s="2"/>
      <c r="E20" s="129"/>
      <c r="F20" s="91"/>
      <c r="G20" s="91"/>
      <c r="H20" s="92"/>
      <c r="I20" s="92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27</v>
      </c>
      <c r="C21" s="32">
        <f>C5</f>
        <v>1000</v>
      </c>
      <c r="D21" s="2"/>
      <c r="E21" s="129"/>
      <c r="F21" s="89"/>
      <c r="G21" s="91"/>
      <c r="H21" s="92"/>
      <c r="I21" s="92"/>
      <c r="J21" s="2"/>
      <c r="K21" s="25"/>
      <c r="L21" s="9"/>
      <c r="M21" s="16"/>
    </row>
    <row r="22" spans="2:18" ht="15" x14ac:dyDescent="0.25">
      <c r="B22" s="2"/>
      <c r="C22" s="2"/>
      <c r="D22" s="2"/>
      <c r="E22" s="129"/>
      <c r="F22" s="89"/>
      <c r="G22" s="91"/>
      <c r="H22" s="92"/>
      <c r="I22" s="92"/>
      <c r="J22" s="2"/>
      <c r="K22" s="25"/>
      <c r="L22" s="9"/>
      <c r="M22" s="16"/>
    </row>
    <row r="23" spans="2:18" ht="15" x14ac:dyDescent="0.25">
      <c r="B23" s="2"/>
      <c r="C23" s="2"/>
      <c r="D23" s="2"/>
      <c r="E23" s="133"/>
      <c r="F23" s="134"/>
      <c r="G23" s="134"/>
      <c r="H23" s="135"/>
      <c r="I23" s="136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C12" zoomScale="80" zoomScaleNormal="80" workbookViewId="0">
      <selection activeCell="H35" sqref="H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45394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100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78.2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IF(vend12[[#This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8" t="s">
        <v>11</v>
      </c>
      <c r="C15" s="32">
        <f>SUM(C11:C14)</f>
        <v>78.2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859</v>
      </c>
      <c r="F35" s="89" t="s">
        <v>143</v>
      </c>
      <c r="G35" s="91" t="s">
        <v>6</v>
      </c>
      <c r="H35" s="92">
        <v>78.2</v>
      </c>
      <c r="I35" s="92" t="s">
        <v>95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Y41"/>
  <sheetViews>
    <sheetView showGridLines="0" tabSelected="1" zoomScale="70" zoomScaleNormal="7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4" customWidth="1"/>
    <col min="6" max="6" width="39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17.7109375" style="3" customWidth="1"/>
    <col min="12" max="12" width="21" style="3" customWidth="1"/>
    <col min="13" max="13" width="14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45395</v>
      </c>
      <c r="I1" s="119" t="s">
        <v>154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5659.8899999999994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3009.99</v>
      </c>
      <c r="D6" s="2"/>
      <c r="E6" s="18">
        <v>891</v>
      </c>
      <c r="F6" s="25" t="s">
        <v>146</v>
      </c>
      <c r="G6" s="26" t="s">
        <v>51</v>
      </c>
      <c r="H6" s="8">
        <v>249.9</v>
      </c>
      <c r="I6" s="8">
        <v>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892</v>
      </c>
      <c r="F7" s="25" t="s">
        <v>147</v>
      </c>
      <c r="G7" s="26" t="s">
        <v>51</v>
      </c>
      <c r="H7" s="8">
        <v>350</v>
      </c>
      <c r="I7" s="8">
        <v>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3009.99</v>
      </c>
      <c r="D8" s="2"/>
      <c r="E8" s="18">
        <v>893</v>
      </c>
      <c r="F8" s="25" t="s">
        <v>148</v>
      </c>
      <c r="G8" s="26" t="s">
        <v>6</v>
      </c>
      <c r="H8" s="8">
        <v>399.9</v>
      </c>
      <c r="I8" s="8">
        <v>50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894</v>
      </c>
      <c r="F9" s="25" t="s">
        <v>149</v>
      </c>
      <c r="G9" s="26" t="s">
        <v>51</v>
      </c>
      <c r="H9" s="8">
        <v>399.9</v>
      </c>
      <c r="I9" s="8">
        <v>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37" t="s">
        <v>5</v>
      </c>
      <c r="C10" s="137"/>
      <c r="D10" s="2"/>
      <c r="E10" s="18">
        <v>895</v>
      </c>
      <c r="F10" s="25" t="s">
        <v>150</v>
      </c>
      <c r="G10" s="26" t="s">
        <v>8</v>
      </c>
      <c r="H10" s="8">
        <v>750</v>
      </c>
      <c r="I10" s="8">
        <v>750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750</v>
      </c>
      <c r="D11" s="2"/>
      <c r="E11" s="18">
        <v>896</v>
      </c>
      <c r="F11" s="25" t="s">
        <v>150</v>
      </c>
      <c r="G11" s="26" t="s">
        <v>8</v>
      </c>
      <c r="H11" s="8">
        <v>350</v>
      </c>
      <c r="I11" s="8">
        <v>350</v>
      </c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>
        <v>897</v>
      </c>
      <c r="F12" s="25" t="s">
        <v>145</v>
      </c>
      <c r="G12" s="26" t="s">
        <v>6</v>
      </c>
      <c r="H12" s="8">
        <v>550</v>
      </c>
      <c r="I12" s="8">
        <v>210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2259.9899999999998</v>
      </c>
      <c r="D13" s="2"/>
      <c r="E13" s="18">
        <v>898</v>
      </c>
      <c r="F13" s="25" t="s">
        <v>145</v>
      </c>
      <c r="G13" s="26" t="s">
        <v>6</v>
      </c>
      <c r="H13" s="8">
        <v>35</v>
      </c>
      <c r="I13" s="8">
        <v>35</v>
      </c>
      <c r="J13" s="2"/>
      <c r="K13" s="139" t="s">
        <v>22</v>
      </c>
      <c r="L13" s="140"/>
      <c r="M13" s="141"/>
      <c r="R13" s="1">
        <f>IF(vend13[[#This Row],[Nº Venda]]&gt;1,1,0)</f>
        <v>1</v>
      </c>
    </row>
    <row r="14" spans="2:18" ht="15.75" x14ac:dyDescent="0.25">
      <c r="B14" s="30" t="s">
        <v>10</v>
      </c>
      <c r="C14" s="31">
        <f t="shared" si="0"/>
        <v>112.5</v>
      </c>
      <c r="D14" s="2"/>
      <c r="E14" s="18">
        <v>899</v>
      </c>
      <c r="F14" s="25" t="s">
        <v>145</v>
      </c>
      <c r="G14" s="26" t="s">
        <v>6</v>
      </c>
      <c r="H14" s="8">
        <v>35</v>
      </c>
      <c r="I14" s="8">
        <v>35</v>
      </c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28" t="s">
        <v>11</v>
      </c>
      <c r="C15" s="32">
        <f>SUM(C11:C14)</f>
        <v>3122.49</v>
      </c>
      <c r="D15" s="2"/>
      <c r="E15" s="18">
        <v>900</v>
      </c>
      <c r="F15" s="25" t="s">
        <v>145</v>
      </c>
      <c r="G15" s="26" t="s">
        <v>6</v>
      </c>
      <c r="H15" s="8">
        <v>970</v>
      </c>
      <c r="I15" s="8">
        <v>210</v>
      </c>
      <c r="J15" s="2"/>
      <c r="K15" s="25"/>
      <c r="L15" s="9"/>
      <c r="M15" s="16"/>
      <c r="R15" s="1">
        <f>IF(vend13[[#This Row],[Nº Venda]]&gt;1,1,0)</f>
        <v>1</v>
      </c>
    </row>
    <row r="16" spans="2:18" ht="15.75" x14ac:dyDescent="0.25">
      <c r="B16" s="2"/>
      <c r="C16" s="2"/>
      <c r="D16" s="2"/>
      <c r="E16" s="18">
        <v>901</v>
      </c>
      <c r="F16" s="25" t="s">
        <v>145</v>
      </c>
      <c r="G16" s="26" t="s">
        <v>6</v>
      </c>
      <c r="H16" s="8">
        <v>1410</v>
      </c>
      <c r="I16" s="8">
        <v>210</v>
      </c>
      <c r="J16" s="2"/>
      <c r="K16" s="25"/>
      <c r="L16" s="9"/>
      <c r="M16" s="16"/>
      <c r="R16" s="1">
        <f>IF(vend13[[#This Row],[Nº Venda]]&gt;1,1,0)</f>
        <v>1</v>
      </c>
    </row>
    <row r="17" spans="2:25" ht="15.75" x14ac:dyDescent="0.25">
      <c r="B17" s="137" t="s">
        <v>12</v>
      </c>
      <c r="C17" s="137"/>
      <c r="D17" s="2"/>
      <c r="E17" s="18">
        <v>902</v>
      </c>
      <c r="F17" s="25" t="s">
        <v>151</v>
      </c>
      <c r="G17" s="26" t="s">
        <v>51</v>
      </c>
      <c r="H17" s="8">
        <v>0</v>
      </c>
      <c r="I17" s="8">
        <v>0</v>
      </c>
      <c r="J17" s="2"/>
      <c r="K17" s="25"/>
      <c r="L17" s="9"/>
      <c r="M17" s="16"/>
      <c r="R17" s="1">
        <f>IF(vend13[[#This Row],[Nº Venda]]&gt;1,1,0)</f>
        <v>1</v>
      </c>
    </row>
    <row r="18" spans="2:25" ht="15.75" x14ac:dyDescent="0.25">
      <c r="B18" s="30">
        <f>COUNT(entr_carn13[OS])</f>
        <v>0</v>
      </c>
      <c r="C18" s="31">
        <f>SUM(entr_carn13[Valor Total])</f>
        <v>0</v>
      </c>
      <c r="D18" s="2"/>
      <c r="E18" s="18">
        <v>903</v>
      </c>
      <c r="F18" s="25" t="s">
        <v>152</v>
      </c>
      <c r="G18" s="26" t="s">
        <v>8</v>
      </c>
      <c r="H18" s="8">
        <v>599.99</v>
      </c>
      <c r="I18" s="8">
        <v>599.99</v>
      </c>
      <c r="J18" s="2"/>
      <c r="K18" s="25"/>
      <c r="L18" s="9"/>
      <c r="M18" s="16"/>
      <c r="R18" s="1">
        <f>IF(vend13[[#This Row],[Nº Venda]]&gt;1,1,0)</f>
        <v>1</v>
      </c>
    </row>
    <row r="19" spans="2:25" ht="15.75" x14ac:dyDescent="0.25">
      <c r="B19" s="28" t="s">
        <v>11</v>
      </c>
      <c r="C19" s="32">
        <f>SUM(C18:C18)</f>
        <v>0</v>
      </c>
      <c r="D19" s="2"/>
      <c r="E19" s="18">
        <v>904</v>
      </c>
      <c r="F19" s="25" t="s">
        <v>153</v>
      </c>
      <c r="G19" s="26" t="s">
        <v>8</v>
      </c>
      <c r="H19" s="8">
        <v>560</v>
      </c>
      <c r="I19" s="8">
        <v>560</v>
      </c>
      <c r="J19" s="2"/>
      <c r="K19" s="25"/>
      <c r="L19" s="9"/>
      <c r="M19" s="16"/>
      <c r="R19" s="1">
        <f>IF(vend13[[#This Row],[Nº Venda]]&gt;1,1,0)</f>
        <v>1</v>
      </c>
    </row>
    <row r="20" spans="2:25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25" ht="15.75" x14ac:dyDescent="0.25">
      <c r="B21" s="28" t="s">
        <v>27</v>
      </c>
      <c r="C21" s="32">
        <f>C5</f>
        <v>5659.8899999999994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5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5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5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25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5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  <c r="Y26" s="1" t="s">
        <v>158</v>
      </c>
    </row>
    <row r="27" spans="2:25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5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5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5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5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5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>
        <v>757</v>
      </c>
      <c r="F35" s="25" t="s">
        <v>144</v>
      </c>
      <c r="G35" s="26" t="s">
        <v>10</v>
      </c>
      <c r="H35" s="8">
        <v>112.5</v>
      </c>
      <c r="I35" s="8" t="s">
        <v>44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15" zoomScale="60" zoomScaleNormal="80" workbookViewId="0">
      <selection activeCell="Y26" sqref="Y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45396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IF(vend14[[#This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Z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0.7109375" style="1" customWidth="1"/>
    <col min="4" max="4" width="1.140625" style="1" customWidth="1"/>
    <col min="5" max="5" width="13" style="34" customWidth="1"/>
    <col min="6" max="6" width="24.710937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18.5703125" style="3" customWidth="1"/>
    <col min="12" max="12" width="16.140625" style="3" customWidth="1"/>
    <col min="13" max="13" width="12.5703125" style="3" customWidth="1"/>
    <col min="14" max="14" width="0.57031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22" width="9.140625" style="1" hidden="1" customWidth="1"/>
    <col min="23" max="23" width="2.140625" style="1" customWidth="1"/>
    <col min="24" max="24" width="9.140625" style="1" hidden="1" customWidth="1"/>
    <col min="25" max="25" width="4.85546875" style="1" customWidth="1"/>
    <col min="26" max="26" width="9.140625" style="1" hidden="1" customWidth="1"/>
    <col min="27" max="27" width="3" style="1" customWidth="1"/>
    <col min="28" max="16384" width="9.140625" style="1"/>
  </cols>
  <sheetData>
    <row r="1" spans="2:18" ht="31.5" x14ac:dyDescent="0.5">
      <c r="B1" s="83">
        <f>'14'!B1+1</f>
        <v>45397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 t="s">
        <v>59</v>
      </c>
      <c r="F6" s="25"/>
      <c r="G6" s="46"/>
      <c r="H6" s="8"/>
      <c r="I6" s="8"/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IF(vend15[[#This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61"/>
      <c r="L15" s="67"/>
      <c r="M15" s="68"/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61"/>
      <c r="L19" s="67"/>
      <c r="M19" s="68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V23" sqref="N23:V2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'15'!B1+1</f>
        <v>45398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723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1170</v>
      </c>
      <c r="D6" s="2"/>
      <c r="E6" s="129">
        <v>905</v>
      </c>
      <c r="F6" s="89" t="s">
        <v>157</v>
      </c>
      <c r="G6" s="101" t="s">
        <v>8</v>
      </c>
      <c r="H6" s="92">
        <v>723</v>
      </c>
      <c r="I6" s="92">
        <v>723</v>
      </c>
      <c r="J6" s="2"/>
      <c r="K6" s="89" t="s">
        <v>155</v>
      </c>
      <c r="L6" s="107" t="s">
        <v>10</v>
      </c>
      <c r="M6" s="108">
        <v>12</v>
      </c>
      <c r="R6" s="1">
        <f>IF(vend16[[#This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129"/>
      <c r="F7" s="89"/>
      <c r="G7" s="101"/>
      <c r="H7" s="92"/>
      <c r="I7" s="92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1182</v>
      </c>
      <c r="D8" s="2"/>
      <c r="E8" s="129"/>
      <c r="F8" s="89"/>
      <c r="G8" s="91"/>
      <c r="H8" s="92"/>
      <c r="I8" s="92"/>
      <c r="J8" s="2"/>
      <c r="K8" s="25"/>
      <c r="L8" s="9"/>
      <c r="M8" s="16"/>
      <c r="R8" s="1">
        <f>IF(vend16[[#This Row],[Nº Venda]]&gt;1,1,0)</f>
        <v>0</v>
      </c>
    </row>
    <row r="9" spans="2:18" ht="15" x14ac:dyDescent="0.25">
      <c r="B9" s="2"/>
      <c r="C9" s="2"/>
      <c r="D9" s="2"/>
      <c r="E9" s="129"/>
      <c r="F9" s="89"/>
      <c r="G9" s="91"/>
      <c r="H9" s="92"/>
      <c r="I9" s="92"/>
      <c r="J9" s="2"/>
      <c r="K9" s="25"/>
      <c r="L9" s="9"/>
      <c r="M9" s="16"/>
      <c r="R9" s="1">
        <f>IF(vend16[[#This Row],[Nº Venda]]&gt;1,1,0)</f>
        <v>0</v>
      </c>
    </row>
    <row r="10" spans="2:18" ht="15" x14ac:dyDescent="0.25">
      <c r="B10" s="137" t="s">
        <v>5</v>
      </c>
      <c r="C10" s="137"/>
      <c r="D10" s="2"/>
      <c r="E10" s="129"/>
      <c r="F10" s="89"/>
      <c r="G10" s="91"/>
      <c r="H10" s="92"/>
      <c r="I10" s="92"/>
      <c r="J10" s="2"/>
      <c r="K10" s="25"/>
      <c r="L10" s="9"/>
      <c r="M10" s="16"/>
      <c r="R10" s="1">
        <f>IF(vend16[[#This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</v>
      </c>
      <c r="D11" s="2"/>
      <c r="E11" s="129"/>
      <c r="F11" s="89"/>
      <c r="G11" s="91"/>
      <c r="H11" s="92"/>
      <c r="I11" s="92"/>
      <c r="J11" s="2"/>
      <c r="K11" s="27"/>
      <c r="L11" s="9"/>
      <c r="M11" s="16"/>
      <c r="O11" s="1">
        <f>IF(C15=0,0,1)</f>
        <v>1</v>
      </c>
      <c r="R11" s="1">
        <f>IF(vend16[[#This Row],[Nº Venda]]&gt;1,1,0)</f>
        <v>0</v>
      </c>
    </row>
    <row r="12" spans="2:18" ht="1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29"/>
      <c r="F12" s="89"/>
      <c r="G12" s="91"/>
      <c r="H12" s="92"/>
      <c r="I12" s="92"/>
      <c r="J12" s="2"/>
      <c r="R12" s="1">
        <f>IF(vend16[[#This Row],[Nº Venda]]&gt;1,1,0)</f>
        <v>0</v>
      </c>
    </row>
    <row r="13" spans="2:18" ht="15" x14ac:dyDescent="0.25">
      <c r="B13" s="30" t="s">
        <v>8</v>
      </c>
      <c r="C13" s="31">
        <f t="shared" si="0"/>
        <v>1169</v>
      </c>
      <c r="D13" s="2"/>
      <c r="E13" s="129"/>
      <c r="F13" s="89"/>
      <c r="G13" s="91"/>
      <c r="H13" s="92"/>
      <c r="I13" s="92"/>
      <c r="J13" s="2"/>
      <c r="K13" s="139" t="s">
        <v>22</v>
      </c>
      <c r="L13" s="140"/>
      <c r="M13" s="141"/>
      <c r="R13" s="1">
        <f>IF(vend16[[#This Row],[Nº Venda]]&gt;1,1,0)</f>
        <v>0</v>
      </c>
    </row>
    <row r="14" spans="2:18" ht="15" x14ac:dyDescent="0.25">
      <c r="B14" s="30" t="s">
        <v>10</v>
      </c>
      <c r="C14" s="31">
        <f t="shared" si="0"/>
        <v>0</v>
      </c>
      <c r="D14" s="2"/>
      <c r="E14" s="129"/>
      <c r="F14" s="89"/>
      <c r="G14" s="91"/>
      <c r="H14" s="92"/>
      <c r="I14" s="92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8" t="s">
        <v>11</v>
      </c>
      <c r="C15" s="32">
        <f>SUM(C11:C14)</f>
        <v>1170</v>
      </c>
      <c r="D15" s="2"/>
      <c r="E15" s="129"/>
      <c r="F15" s="89"/>
      <c r="G15" s="91"/>
      <c r="H15" s="92"/>
      <c r="I15" s="92"/>
      <c r="J15" s="2"/>
      <c r="K15" s="18">
        <v>889</v>
      </c>
      <c r="L15" s="9" t="s">
        <v>181</v>
      </c>
      <c r="M15" s="16" t="s">
        <v>26</v>
      </c>
      <c r="R15" s="1">
        <f>IF(vend16[[#This Row],[Nº Venda]]&gt;1,1,0)</f>
        <v>0</v>
      </c>
    </row>
    <row r="16" spans="2:18" ht="15" x14ac:dyDescent="0.25">
      <c r="B16" s="2"/>
      <c r="C16" s="2"/>
      <c r="D16" s="2"/>
      <c r="E16" s="129"/>
      <c r="F16" s="89"/>
      <c r="G16" s="91"/>
      <c r="H16" s="92"/>
      <c r="I16" s="92"/>
      <c r="J16" s="2"/>
      <c r="K16" s="25"/>
      <c r="L16" s="9"/>
      <c r="M16" s="16"/>
      <c r="R16" s="1">
        <f>IF(vend16[[#This Row],[Nº Venda]]&gt;1,1,0)</f>
        <v>0</v>
      </c>
    </row>
    <row r="17" spans="2:18" ht="15" x14ac:dyDescent="0.25">
      <c r="B17" s="137" t="s">
        <v>12</v>
      </c>
      <c r="C17" s="137"/>
      <c r="D17" s="2"/>
      <c r="E17" s="129"/>
      <c r="F17" s="89"/>
      <c r="G17" s="91"/>
      <c r="H17" s="92"/>
      <c r="I17" s="92"/>
      <c r="J17" s="2"/>
      <c r="K17" s="61"/>
      <c r="L17" s="67"/>
      <c r="M17" s="68"/>
      <c r="R17" s="1">
        <f>IF(vend16[[#This Row],[Nº Venda]]&gt;1,1,0)</f>
        <v>0</v>
      </c>
    </row>
    <row r="18" spans="2:18" ht="15" x14ac:dyDescent="0.25">
      <c r="B18" s="30">
        <f>COUNT(entr_carn16[OS])</f>
        <v>0</v>
      </c>
      <c r="C18" s="31">
        <f>SUM(entr_carn16[Valor Total])</f>
        <v>0</v>
      </c>
      <c r="D18" s="2"/>
      <c r="E18" s="129"/>
      <c r="F18" s="89"/>
      <c r="G18" s="91"/>
      <c r="H18" s="92"/>
      <c r="I18" s="92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29"/>
      <c r="F19" s="89"/>
      <c r="G19" s="91"/>
      <c r="H19" s="92"/>
      <c r="I19" s="92"/>
      <c r="J19" s="2"/>
      <c r="K19" s="25"/>
      <c r="L19" s="9"/>
      <c r="M19" s="16"/>
      <c r="R19" s="1">
        <f>IF(vend16[[#This Row],[Nº Venda]]&gt;1,1,0)</f>
        <v>0</v>
      </c>
    </row>
    <row r="20" spans="2:18" ht="15" x14ac:dyDescent="0.25">
      <c r="B20" s="2"/>
      <c r="C20" s="2"/>
      <c r="D20" s="2"/>
      <c r="E20" s="129"/>
      <c r="F20" s="91"/>
      <c r="G20" s="91"/>
      <c r="H20" s="92"/>
      <c r="I20" s="92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8" t="s">
        <v>27</v>
      </c>
      <c r="C21" s="32">
        <f>C5</f>
        <v>723</v>
      </c>
      <c r="D21" s="2"/>
      <c r="E21" s="129"/>
      <c r="F21" s="89"/>
      <c r="G21" s="91"/>
      <c r="H21" s="92"/>
      <c r="I21" s="92"/>
      <c r="J21" s="2"/>
      <c r="K21" s="25"/>
      <c r="L21" s="9"/>
      <c r="M21" s="16"/>
    </row>
    <row r="22" spans="2:18" ht="15" x14ac:dyDescent="0.25">
      <c r="B22" s="2"/>
      <c r="C22" s="2"/>
      <c r="D22" s="2"/>
      <c r="E22" s="129"/>
      <c r="F22" s="89"/>
      <c r="G22" s="91"/>
      <c r="H22" s="92"/>
      <c r="I22" s="92"/>
      <c r="J22" s="2"/>
      <c r="K22" s="25"/>
      <c r="L22" s="9"/>
      <c r="M22" s="16"/>
    </row>
    <row r="23" spans="2:18" ht="15" x14ac:dyDescent="0.25">
      <c r="B23" s="2"/>
      <c r="C23" s="2"/>
      <c r="D23" s="2"/>
      <c r="E23" s="133"/>
      <c r="F23" s="134"/>
      <c r="G23" s="134"/>
      <c r="H23" s="135"/>
      <c r="I23" s="136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889</v>
      </c>
      <c r="F26" s="25" t="s">
        <v>156</v>
      </c>
      <c r="G26" s="46" t="s">
        <v>8</v>
      </c>
      <c r="H26" s="8"/>
      <c r="I26" s="8">
        <v>446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 t="s">
        <v>6</v>
      </c>
      <c r="H27" s="8"/>
      <c r="I27" s="8">
        <v>1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6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45399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IF(vend17[[#This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4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'17'!B1+1</f>
        <v>45400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3"/>
      <c r="F6" s="61"/>
      <c r="G6" s="94"/>
      <c r="H6" s="71"/>
      <c r="I6" s="71"/>
      <c r="J6" s="2"/>
      <c r="K6" s="25"/>
      <c r="L6" s="66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IF(vend18[[#This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4"/>
      <c r="F23" s="64"/>
      <c r="G23" s="64"/>
      <c r="H23" s="65"/>
      <c r="I23" s="65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1" zoomScale="80" zoomScaleNormal="80" zoomScaleSheetLayoutView="7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'18'!B1+1</f>
        <v>45401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439.9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240</v>
      </c>
      <c r="D6" s="2"/>
      <c r="E6" s="90">
        <v>907</v>
      </c>
      <c r="F6" s="89" t="s">
        <v>165</v>
      </c>
      <c r="G6" s="91" t="s">
        <v>10</v>
      </c>
      <c r="H6" s="92">
        <v>20</v>
      </c>
      <c r="I6" s="92">
        <v>20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908</v>
      </c>
      <c r="F7" s="89" t="s">
        <v>166</v>
      </c>
      <c r="G7" s="91" t="s">
        <v>10</v>
      </c>
      <c r="H7" s="122">
        <v>20</v>
      </c>
      <c r="I7" s="92">
        <v>20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240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61"/>
      <c r="G9" s="94"/>
      <c r="H9" s="71"/>
      <c r="I9" s="71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IF(vend19[[#This Row],[Nº Venda]]&gt;1,1,0)</f>
        <v>0</v>
      </c>
    </row>
    <row r="14" spans="2:18" ht="15.75" x14ac:dyDescent="0.25">
      <c r="B14" s="30" t="s">
        <v>10</v>
      </c>
      <c r="C14" s="31">
        <f t="shared" si="0"/>
        <v>40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8" t="s">
        <v>11</v>
      </c>
      <c r="C15" s="32">
        <f>SUM(C11:C14)</f>
        <v>240</v>
      </c>
      <c r="D15" s="2"/>
      <c r="E15" s="18"/>
      <c r="F15" s="25"/>
      <c r="G15" s="26"/>
      <c r="H15" s="8"/>
      <c r="I15" s="8"/>
      <c r="J15" s="2"/>
      <c r="K15" s="89">
        <v>886</v>
      </c>
      <c r="L15" s="107" t="s">
        <v>181</v>
      </c>
      <c r="M15" s="108" t="s">
        <v>26</v>
      </c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89">
        <v>896</v>
      </c>
      <c r="L16" s="107" t="s">
        <v>162</v>
      </c>
      <c r="M16" s="108" t="s">
        <v>26</v>
      </c>
      <c r="R16" s="1">
        <f>IF(vend19[[#This Row],[Nº Venda]]&gt;1,1,0)</f>
        <v>0</v>
      </c>
    </row>
    <row r="17" spans="2:22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89">
        <v>902</v>
      </c>
      <c r="L17" s="107" t="s">
        <v>162</v>
      </c>
      <c r="M17" s="108" t="s">
        <v>26</v>
      </c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18"/>
      <c r="F18" s="25"/>
      <c r="G18" s="26"/>
      <c r="H18" s="8"/>
      <c r="I18" s="8"/>
      <c r="J18" s="2"/>
      <c r="K18" s="25">
        <v>907</v>
      </c>
      <c r="L18" s="9" t="s">
        <v>181</v>
      </c>
      <c r="M18" s="16" t="s">
        <v>26</v>
      </c>
      <c r="R18" s="1">
        <f>IF(vend19[[#This Row],[Nº Venda]]&gt;1,1,0)</f>
        <v>0</v>
      </c>
    </row>
    <row r="19" spans="2:22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908</v>
      </c>
      <c r="L19" s="9" t="s">
        <v>181</v>
      </c>
      <c r="M19" s="16" t="s">
        <v>26</v>
      </c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59</v>
      </c>
    </row>
    <row r="21" spans="2:22" ht="15.75" x14ac:dyDescent="0.25">
      <c r="B21" s="28" t="s">
        <v>27</v>
      </c>
      <c r="C21" s="32">
        <f>C5</f>
        <v>439.9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90">
        <v>894</v>
      </c>
      <c r="F26" s="113" t="s">
        <v>149</v>
      </c>
      <c r="G26" s="91" t="s">
        <v>7</v>
      </c>
      <c r="H26" s="8">
        <v>399.9</v>
      </c>
      <c r="I26" s="92">
        <v>200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5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7" zoomScale="80" zoomScaleNormal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0">
        <f>'19'!B1+1</f>
        <v>45402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4239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3602</v>
      </c>
      <c r="D6" s="2"/>
      <c r="E6" s="90">
        <v>906</v>
      </c>
      <c r="F6" s="89" t="s">
        <v>160</v>
      </c>
      <c r="G6" s="91" t="s">
        <v>6</v>
      </c>
      <c r="H6" s="92">
        <v>1187</v>
      </c>
      <c r="I6" s="92">
        <v>200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909</v>
      </c>
      <c r="F7" s="89" t="s">
        <v>167</v>
      </c>
      <c r="G7" s="91" t="s">
        <v>8</v>
      </c>
      <c r="H7" s="92">
        <v>2352</v>
      </c>
      <c r="I7" s="92">
        <v>1200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3602</v>
      </c>
      <c r="D8" s="2"/>
      <c r="E8" s="90">
        <v>909</v>
      </c>
      <c r="F8" s="89" t="s">
        <v>167</v>
      </c>
      <c r="G8" s="91" t="s">
        <v>8</v>
      </c>
      <c r="H8" s="92"/>
      <c r="I8" s="92">
        <v>1152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90">
        <v>910</v>
      </c>
      <c r="F9" s="89" t="s">
        <v>167</v>
      </c>
      <c r="G9" s="91" t="s">
        <v>7</v>
      </c>
      <c r="H9" s="92">
        <v>700</v>
      </c>
      <c r="I9" s="92">
        <v>700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509.4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901.5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2352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IF(vend20[[#This Row],[Nº Venda]]&gt;1,1,0)</f>
        <v>0</v>
      </c>
    </row>
    <row r="14" spans="2:18" ht="15.75" x14ac:dyDescent="0.25">
      <c r="B14" s="30" t="s">
        <v>10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8" t="s">
        <v>11</v>
      </c>
      <c r="C15" s="32">
        <f>SUM(C11:C14)</f>
        <v>4112.8999999999996</v>
      </c>
      <c r="D15" s="2"/>
      <c r="E15" s="18"/>
      <c r="F15" s="25"/>
      <c r="G15" s="26"/>
      <c r="H15" s="8"/>
      <c r="I15" s="8"/>
      <c r="J15" s="2"/>
      <c r="K15" s="89">
        <v>893</v>
      </c>
      <c r="L15" s="107" t="s">
        <v>182</v>
      </c>
      <c r="M15" s="108" t="s">
        <v>26</v>
      </c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1"/>
      <c r="L16" s="67"/>
      <c r="M16" s="68"/>
      <c r="R16" s="1">
        <f>IF(vend20[[#This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8" t="s">
        <v>27</v>
      </c>
      <c r="C21" s="32">
        <f>C5</f>
        <v>4239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0">
        <v>893</v>
      </c>
      <c r="F26" s="89" t="s">
        <v>148</v>
      </c>
      <c r="G26" s="91" t="s">
        <v>10</v>
      </c>
      <c r="H26" s="92"/>
      <c r="I26" s="92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20"/>
      <c r="F32" s="121"/>
      <c r="G32" s="37"/>
      <c r="H32" s="17">
        <v>214</v>
      </c>
      <c r="I32" s="17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797</v>
      </c>
      <c r="F35" s="89" t="s">
        <v>159</v>
      </c>
      <c r="G35" s="91" t="s">
        <v>7</v>
      </c>
      <c r="H35" s="92">
        <v>112.5</v>
      </c>
      <c r="I35" s="92" t="s">
        <v>79</v>
      </c>
      <c r="K35" s="25"/>
      <c r="L35" s="41"/>
      <c r="M35" s="68"/>
    </row>
    <row r="36" spans="5:18" ht="15.75" x14ac:dyDescent="0.25">
      <c r="E36" s="90">
        <v>865</v>
      </c>
      <c r="F36" s="89" t="s">
        <v>161</v>
      </c>
      <c r="G36" s="91" t="s">
        <v>6</v>
      </c>
      <c r="H36" s="92">
        <v>214</v>
      </c>
      <c r="I36" s="92" t="s">
        <v>36</v>
      </c>
      <c r="K36" s="61"/>
      <c r="L36" s="69"/>
      <c r="M36" s="68"/>
    </row>
    <row r="37" spans="5:18" ht="15.75" x14ac:dyDescent="0.25">
      <c r="E37" s="90">
        <v>820</v>
      </c>
      <c r="F37" s="89" t="s">
        <v>163</v>
      </c>
      <c r="G37" s="91" t="s">
        <v>7</v>
      </c>
      <c r="H37" s="92">
        <v>89</v>
      </c>
      <c r="I37" s="92" t="s">
        <v>80</v>
      </c>
      <c r="K37" s="25"/>
      <c r="L37" s="41"/>
      <c r="M37" s="16"/>
    </row>
    <row r="38" spans="5:18" ht="15.75" x14ac:dyDescent="0.25">
      <c r="E38" s="90">
        <v>881</v>
      </c>
      <c r="F38" s="89" t="s">
        <v>164</v>
      </c>
      <c r="G38" s="91" t="s">
        <v>6</v>
      </c>
      <c r="H38" s="92">
        <v>95.4</v>
      </c>
      <c r="I38" s="92" t="s">
        <v>40</v>
      </c>
      <c r="K38" s="25"/>
      <c r="L38" s="41"/>
      <c r="M38" s="16"/>
    </row>
    <row r="39" spans="5:18" ht="15.75" x14ac:dyDescent="0.25">
      <c r="E39" s="43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G26:G32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9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45403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IF(vend21[[#This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2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45404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IF(vend22[[#This Row],[Nº Venda]]&gt;1,1,0)</f>
        <v>0</v>
      </c>
    </row>
    <row r="14" spans="2:18" ht="15.75" x14ac:dyDescent="0.25">
      <c r="B14" s="30" t="s">
        <v>10</v>
      </c>
      <c r="C14" s="31">
        <f t="shared" si="0"/>
        <v>238.5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8" t="s">
        <v>11</v>
      </c>
      <c r="C15" s="32">
        <f>SUM(C11:C14)</f>
        <v>238.5</v>
      </c>
      <c r="D15" s="2"/>
      <c r="E15" s="18"/>
      <c r="F15" s="25"/>
      <c r="G15" s="26"/>
      <c r="H15" s="8"/>
      <c r="I15" s="8"/>
      <c r="J15" s="2"/>
      <c r="K15" s="89">
        <v>896</v>
      </c>
      <c r="L15" s="107" t="s">
        <v>162</v>
      </c>
      <c r="M15" s="108" t="s">
        <v>26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874</v>
      </c>
      <c r="F35" s="123" t="s">
        <v>168</v>
      </c>
      <c r="G35" s="91" t="s">
        <v>10</v>
      </c>
      <c r="H35" s="92">
        <v>238.5</v>
      </c>
      <c r="I35" s="92" t="s">
        <v>68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45405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</v>
      </c>
      <c r="D6" s="2"/>
      <c r="E6" s="90">
        <v>911</v>
      </c>
      <c r="F6" s="89" t="s">
        <v>169</v>
      </c>
      <c r="G6" s="91" t="s">
        <v>7</v>
      </c>
      <c r="H6" s="92">
        <v>60</v>
      </c>
      <c r="I6" s="92">
        <v>60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912</v>
      </c>
      <c r="F7" s="89" t="s">
        <v>170</v>
      </c>
      <c r="G7" s="91" t="s">
        <v>8</v>
      </c>
      <c r="H7" s="92">
        <v>130</v>
      </c>
      <c r="I7" s="92">
        <v>130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(SUMIF($G$2:$G$31,B12,$I$2:$I$31))+(SUMIF($G$35:$G$44,B12,$H$35:$H$44))</f>
        <v>60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(SUMIF($G$2:$G$31,B13,$I$2:$I$31))+(SUMIF($G$35:$G$44,B13,$H$35:$H$44))</f>
        <v>130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IF(vend23[[#This Row],[Nº Venda]]&gt;1,1,0)</f>
        <v>0</v>
      </c>
    </row>
    <row r="14" spans="2:18" ht="15.75" x14ac:dyDescent="0.25">
      <c r="B14" s="30" t="s">
        <v>10</v>
      </c>
      <c r="C14" s="80">
        <f>(SUMIF($G$2:$G$31,B14,$I$2:$I$31))+(SUMIF($G$35:$G$44,B14,$H$35:$H$44))</f>
        <v>193.14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8" t="s">
        <v>11</v>
      </c>
      <c r="C15" s="32">
        <f>SUM(C11:C14)</f>
        <v>383.14</v>
      </c>
      <c r="D15" s="2"/>
      <c r="E15" s="18"/>
      <c r="F15" s="25"/>
      <c r="G15" s="26"/>
      <c r="H15" s="8"/>
      <c r="I15" s="8"/>
      <c r="J15" s="2"/>
      <c r="K15" s="89">
        <v>911</v>
      </c>
      <c r="L15" s="107" t="s">
        <v>181</v>
      </c>
      <c r="M15" s="108" t="s">
        <v>26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8" t="s">
        <v>27</v>
      </c>
      <c r="C21" s="32">
        <f>C5</f>
        <v>190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861</v>
      </c>
      <c r="F35" s="89" t="s">
        <v>171</v>
      </c>
      <c r="G35" s="91" t="s">
        <v>10</v>
      </c>
      <c r="H35" s="92">
        <v>193.14</v>
      </c>
      <c r="I35" s="92" t="s">
        <v>56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98"/>
      <c r="F42" s="77"/>
      <c r="G42" s="78"/>
      <c r="H42" s="79"/>
      <c r="I42" s="17"/>
    </row>
    <row r="43" spans="5:18" ht="15.75" x14ac:dyDescent="0.25">
      <c r="E43" s="98"/>
      <c r="F43" s="96"/>
      <c r="G43" s="95"/>
      <c r="H43" s="97"/>
      <c r="I43" s="8"/>
    </row>
    <row r="44" spans="5:18" ht="15.75" x14ac:dyDescent="0.25">
      <c r="E44" s="99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2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45406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IF(vend24[[#This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 t="s">
        <v>59</v>
      </c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9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45407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0">
        <v>913</v>
      </c>
      <c r="F6" s="89" t="s">
        <v>175</v>
      </c>
      <c r="G6" s="91" t="s">
        <v>41</v>
      </c>
      <c r="H6" s="92"/>
      <c r="I6" s="8"/>
      <c r="J6" s="2"/>
      <c r="K6" s="89" t="s">
        <v>131</v>
      </c>
      <c r="L6" s="107" t="s">
        <v>10</v>
      </c>
      <c r="M6" s="108">
        <v>12</v>
      </c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12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IF(C15=0,0,1)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IF(vend25[[#This Row],[Nº Venda]]&gt;1,1,0)</f>
        <v>0</v>
      </c>
    </row>
    <row r="14" spans="2:18" ht="15.75" x14ac:dyDescent="0.25">
      <c r="B14" s="30" t="s">
        <v>10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8" t="s">
        <v>11</v>
      </c>
      <c r="C15" s="32">
        <f ca="1"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24" t="s">
        <v>23</v>
      </c>
      <c r="F34" s="124" t="s">
        <v>15</v>
      </c>
      <c r="G34" s="125" t="s">
        <v>16</v>
      </c>
      <c r="H34" s="126" t="s">
        <v>30</v>
      </c>
      <c r="I34" s="127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864</v>
      </c>
      <c r="F35" s="89" t="s">
        <v>172</v>
      </c>
      <c r="G35" s="91" t="s">
        <v>6</v>
      </c>
      <c r="H35" s="128">
        <v>71</v>
      </c>
      <c r="I35" s="92" t="s">
        <v>36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7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45408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90">
        <v>914</v>
      </c>
      <c r="F6" s="89" t="s">
        <v>173</v>
      </c>
      <c r="G6" s="91" t="s">
        <v>6</v>
      </c>
      <c r="H6" s="92">
        <v>850</v>
      </c>
      <c r="I6" s="92">
        <v>100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IF(vend26[[#This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8" t="s">
        <v>11</v>
      </c>
      <c r="C15" s="32">
        <f>SUM(C11:C14)</f>
        <v>100</v>
      </c>
      <c r="D15" s="2"/>
      <c r="E15" s="18"/>
      <c r="F15" s="25"/>
      <c r="G15" s="26"/>
      <c r="H15" s="8"/>
      <c r="I15" s="8"/>
      <c r="J15" s="2"/>
      <c r="K15" s="89">
        <v>903</v>
      </c>
      <c r="L15" s="107" t="s">
        <v>162</v>
      </c>
      <c r="M15" s="108" t="s">
        <v>26</v>
      </c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8" t="s">
        <v>27</v>
      </c>
      <c r="C21" s="32">
        <f>C5</f>
        <v>850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7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45409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1733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90">
        <v>915</v>
      </c>
      <c r="F6" s="89" t="s">
        <v>174</v>
      </c>
      <c r="G6" s="91" t="s">
        <v>10</v>
      </c>
      <c r="H6" s="92">
        <v>793</v>
      </c>
      <c r="I6" s="92">
        <v>100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916</v>
      </c>
      <c r="F7" s="89" t="s">
        <v>174</v>
      </c>
      <c r="G7" s="91" t="s">
        <v>10</v>
      </c>
      <c r="H7" s="92">
        <v>940</v>
      </c>
      <c r="I7" s="92">
        <v>100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91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IF(vend27[[#This Row],[Nº Venda]]&gt;1,1,0)</f>
        <v>0</v>
      </c>
    </row>
    <row r="14" spans="2:18" ht="15.75" x14ac:dyDescent="0.25">
      <c r="B14" s="30" t="s">
        <v>10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8" t="s">
        <v>11</v>
      </c>
      <c r="C15" s="32">
        <f>SUM(C11:C14)</f>
        <v>200</v>
      </c>
      <c r="D15" s="2"/>
      <c r="E15" s="18"/>
      <c r="F15" s="25"/>
      <c r="G15" s="26"/>
      <c r="H15" s="8"/>
      <c r="I15" s="8"/>
      <c r="J15" s="2"/>
      <c r="K15" s="89">
        <v>912</v>
      </c>
      <c r="L15" s="107" t="s">
        <v>181</v>
      </c>
      <c r="M15" s="108" t="s">
        <v>26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8" t="s">
        <v>27</v>
      </c>
      <c r="C21" s="32">
        <f>C5</f>
        <v>1733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45410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IF(vend28[[#This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" x14ac:dyDescent="0.25">
      <c r="E35" s="129"/>
      <c r="F35" s="89"/>
      <c r="G35" s="91"/>
      <c r="H35" s="92"/>
      <c r="I35" s="92"/>
      <c r="K35" s="25"/>
      <c r="L35" s="41"/>
      <c r="M35" s="16"/>
    </row>
    <row r="36" spans="5:18" ht="15" x14ac:dyDescent="0.25">
      <c r="E36" s="129"/>
      <c r="F36" s="89"/>
      <c r="G36" s="91"/>
      <c r="H36" s="92"/>
      <c r="I36" s="92"/>
      <c r="K36" s="25"/>
      <c r="L36" s="41"/>
      <c r="M36" s="16"/>
    </row>
    <row r="37" spans="5:18" ht="15" x14ac:dyDescent="0.25">
      <c r="E37" s="129"/>
      <c r="F37" s="89"/>
      <c r="G37" s="91"/>
      <c r="H37" s="92"/>
      <c r="I37" s="92"/>
      <c r="K37" s="25"/>
      <c r="L37" s="41"/>
      <c r="M37" s="16"/>
    </row>
    <row r="38" spans="5:18" ht="15" x14ac:dyDescent="0.25">
      <c r="E38" s="129"/>
      <c r="F38" s="89"/>
      <c r="G38" s="91"/>
      <c r="H38" s="92"/>
      <c r="I38" s="92"/>
      <c r="K38" s="25"/>
      <c r="L38" s="41"/>
      <c r="M38" s="16"/>
    </row>
    <row r="39" spans="5:18" ht="15" x14ac:dyDescent="0.25">
      <c r="E39" s="129"/>
      <c r="F39" s="113"/>
      <c r="G39" s="91"/>
      <c r="H39" s="92"/>
      <c r="I39" s="92"/>
      <c r="K39" s="25"/>
      <c r="L39" s="41"/>
      <c r="M39" s="16"/>
    </row>
    <row r="40" spans="5:18" ht="15" x14ac:dyDescent="0.25">
      <c r="E40" s="130"/>
      <c r="F40" s="115"/>
      <c r="G40" s="116"/>
      <c r="H40" s="117"/>
      <c r="I40" s="92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131"/>
      <c r="F41" s="113"/>
      <c r="G41" s="91"/>
      <c r="H41" s="92"/>
      <c r="I41" s="92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U6" sqref="U5:U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2">
        <f>'28'!B1+1</f>
        <v>45411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723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723</v>
      </c>
      <c r="D6" s="2"/>
      <c r="E6" s="90">
        <v>917</v>
      </c>
      <c r="F6" s="89" t="s">
        <v>176</v>
      </c>
      <c r="G6" s="91" t="s">
        <v>10</v>
      </c>
      <c r="H6" s="92">
        <v>40</v>
      </c>
      <c r="I6" s="92">
        <v>40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918</v>
      </c>
      <c r="F7" s="89" t="s">
        <v>177</v>
      </c>
      <c r="G7" s="91" t="s">
        <v>7</v>
      </c>
      <c r="H7" s="92">
        <v>683</v>
      </c>
      <c r="I7" s="92">
        <v>683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723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683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IF(vend29[[#This Row],[Nº Venda]]&gt;1,1,0)</f>
        <v>0</v>
      </c>
    </row>
    <row r="14" spans="2:18" ht="15.75" x14ac:dyDescent="0.25">
      <c r="B14" s="30" t="s">
        <v>10</v>
      </c>
      <c r="C14" s="31">
        <f t="shared" si="0"/>
        <v>252.5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8" t="s">
        <v>11</v>
      </c>
      <c r="C15" s="32">
        <f>SUM(C11:C14)</f>
        <v>935.5</v>
      </c>
      <c r="D15" s="2"/>
      <c r="E15" s="18"/>
      <c r="F15" s="25"/>
      <c r="G15" s="26"/>
      <c r="H15" s="8"/>
      <c r="I15" s="8"/>
      <c r="J15" s="2"/>
      <c r="K15" s="61"/>
      <c r="L15" s="9"/>
      <c r="M15" s="16"/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1"/>
      <c r="L16" s="9"/>
      <c r="M16" s="16"/>
      <c r="R16" s="1">
        <f>IF(vend29[[#This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61"/>
      <c r="L17" s="9"/>
      <c r="M17" s="16"/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8" t="s">
        <v>27</v>
      </c>
      <c r="C21" s="32">
        <f>C5</f>
        <v>723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" x14ac:dyDescent="0.25">
      <c r="E35" s="129">
        <v>785</v>
      </c>
      <c r="F35" s="89" t="s">
        <v>183</v>
      </c>
      <c r="G35" s="91" t="s">
        <v>10</v>
      </c>
      <c r="H35" s="92">
        <v>212.5</v>
      </c>
      <c r="I35" s="92" t="s">
        <v>57</v>
      </c>
      <c r="K35" s="25"/>
      <c r="L35" s="41"/>
      <c r="M35" s="16"/>
    </row>
    <row r="36" spans="5:18" ht="15" x14ac:dyDescent="0.25">
      <c r="E36" s="129"/>
      <c r="F36" s="89"/>
      <c r="G36" s="91"/>
      <c r="H36" s="92"/>
      <c r="I36" s="92"/>
      <c r="K36" s="25"/>
      <c r="L36" s="41"/>
      <c r="M36" s="16"/>
    </row>
    <row r="37" spans="5:18" ht="15" x14ac:dyDescent="0.25">
      <c r="E37" s="129"/>
      <c r="F37" s="89"/>
      <c r="G37" s="91"/>
      <c r="H37" s="92"/>
      <c r="I37" s="92"/>
      <c r="K37" s="25"/>
      <c r="L37" s="41"/>
      <c r="M37" s="16"/>
    </row>
    <row r="38" spans="5:18" ht="15" x14ac:dyDescent="0.25">
      <c r="E38" s="129"/>
      <c r="F38" s="89"/>
      <c r="G38" s="91"/>
      <c r="H38" s="92"/>
      <c r="I38" s="92"/>
      <c r="K38" s="25"/>
      <c r="L38" s="41"/>
      <c r="M38" s="16"/>
    </row>
    <row r="39" spans="5:18" ht="15" x14ac:dyDescent="0.25">
      <c r="E39" s="129"/>
      <c r="F39" s="113"/>
      <c r="G39" s="91"/>
      <c r="H39" s="92"/>
      <c r="I39" s="92"/>
      <c r="K39" s="25"/>
      <c r="L39" s="41"/>
      <c r="M39" s="16"/>
    </row>
    <row r="40" spans="5:18" ht="15" x14ac:dyDescent="0.25">
      <c r="E40" s="130"/>
      <c r="F40" s="115"/>
      <c r="G40" s="116"/>
      <c r="H40" s="117"/>
      <c r="I40" s="92"/>
      <c r="K40" s="36"/>
      <c r="L40" s="42"/>
      <c r="M40" s="40"/>
      <c r="Q40" s="1" t="s">
        <v>37</v>
      </c>
      <c r="R40" s="1">
        <f>SUM(R6:R21)</f>
        <v>2</v>
      </c>
    </row>
    <row r="41" spans="5:18" ht="15" x14ac:dyDescent="0.25">
      <c r="E41" s="132"/>
      <c r="F41" s="113"/>
      <c r="G41" s="91"/>
      <c r="H41" s="92"/>
      <c r="I41" s="92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B1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45412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89" t="s">
        <v>179</v>
      </c>
      <c r="L6" s="107" t="s">
        <v>180</v>
      </c>
      <c r="M6" s="108">
        <v>12</v>
      </c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12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IF(vend30[[#This Row],[Nº Venda]]&gt;1,1,0)</f>
        <v>0</v>
      </c>
    </row>
    <row r="14" spans="2:18" ht="15.75" x14ac:dyDescent="0.25">
      <c r="B14" s="30" t="s">
        <v>10</v>
      </c>
      <c r="C14" s="31">
        <f t="shared" si="0"/>
        <v>84.25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8" t="s">
        <v>11</v>
      </c>
      <c r="C15" s="32">
        <f>SUM(C11:C14)</f>
        <v>84.25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127</v>
      </c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90">
        <v>876</v>
      </c>
      <c r="F35" s="89" t="s">
        <v>178</v>
      </c>
      <c r="G35" s="91" t="s">
        <v>10</v>
      </c>
      <c r="H35" s="92">
        <v>84.25</v>
      </c>
      <c r="I35" s="92" t="s">
        <v>77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9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45413</v>
      </c>
    </row>
    <row r="2" spans="2:18" ht="18.75" x14ac:dyDescent="0.2">
      <c r="B2" s="142" t="s">
        <v>13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5" t="s">
        <v>1</v>
      </c>
      <c r="F4" s="145"/>
      <c r="G4" s="145"/>
      <c r="H4" s="145"/>
      <c r="I4" s="145"/>
      <c r="J4" s="22"/>
      <c r="K4" s="139" t="s">
        <v>3</v>
      </c>
      <c r="L4" s="140"/>
      <c r="M4" s="14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37" t="s">
        <v>5</v>
      </c>
      <c r="C10" s="13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9" t="s">
        <v>22</v>
      </c>
      <c r="L13" s="140"/>
      <c r="M13" s="141"/>
      <c r="R13" s="1">
        <f>IF(vend31[[#This Row],[Nº Venda]]&gt;1,1,0)</f>
        <v>0</v>
      </c>
    </row>
    <row r="14" spans="2:18" ht="15.75" x14ac:dyDescent="0.25">
      <c r="B14" s="30" t="s">
        <v>10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8" t="s">
        <v>11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137" t="s">
        <v>12</v>
      </c>
      <c r="C17" s="13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30">
        <f>COUNT(entr_carn31[OS])</f>
        <v>0</v>
      </c>
      <c r="C18" s="31">
        <f>SUM(entr_carn31[Valor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28" t="s">
        <v>11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8" t="s">
        <v>27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38" t="s">
        <v>28</v>
      </c>
      <c r="F24" s="138"/>
      <c r="G24" s="138"/>
      <c r="H24" s="138"/>
      <c r="I24" s="13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38" t="s">
        <v>29</v>
      </c>
      <c r="F33" s="138"/>
      <c r="G33" s="138"/>
      <c r="H33" s="138"/>
      <c r="I33" s="138"/>
      <c r="K33" s="139" t="s">
        <v>12</v>
      </c>
      <c r="L33" s="140"/>
      <c r="M33" s="141"/>
    </row>
    <row r="34" spans="5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63</v>
      </c>
      <c r="B1" s="38" t="s">
        <v>64</v>
      </c>
      <c r="E1" s="38" t="s">
        <v>65</v>
      </c>
    </row>
    <row r="2" spans="1:5" x14ac:dyDescent="0.2">
      <c r="A2" s="38" t="s">
        <v>6</v>
      </c>
      <c r="B2" s="38" t="s">
        <v>66</v>
      </c>
      <c r="E2" t="s">
        <v>47</v>
      </c>
    </row>
    <row r="3" spans="1:5" x14ac:dyDescent="0.2">
      <c r="A3" s="38" t="s">
        <v>7</v>
      </c>
      <c r="B3" s="38" t="s">
        <v>67</v>
      </c>
      <c r="E3" t="s">
        <v>68</v>
      </c>
    </row>
    <row r="4" spans="1:5" x14ac:dyDescent="0.2">
      <c r="A4" s="38" t="s">
        <v>8</v>
      </c>
      <c r="B4" s="38" t="s">
        <v>69</v>
      </c>
      <c r="E4" t="s">
        <v>70</v>
      </c>
    </row>
    <row r="5" spans="1:5" x14ac:dyDescent="0.2">
      <c r="A5" s="38" t="s">
        <v>9</v>
      </c>
      <c r="B5" s="38" t="s">
        <v>71</v>
      </c>
      <c r="E5" t="s">
        <v>72</v>
      </c>
    </row>
    <row r="6" spans="1:5" x14ac:dyDescent="0.2">
      <c r="A6" s="38" t="s">
        <v>10</v>
      </c>
      <c r="B6" s="38" t="s">
        <v>10</v>
      </c>
      <c r="E6" t="s">
        <v>34</v>
      </c>
    </row>
    <row r="7" spans="1:5" x14ac:dyDescent="0.2">
      <c r="A7" s="38" t="s">
        <v>51</v>
      </c>
      <c r="B7" s="38" t="s">
        <v>73</v>
      </c>
      <c r="E7" t="s">
        <v>74</v>
      </c>
    </row>
    <row r="8" spans="1:5" x14ac:dyDescent="0.2">
      <c r="A8" t="s">
        <v>25</v>
      </c>
      <c r="B8" t="s">
        <v>75</v>
      </c>
      <c r="E8" t="s">
        <v>53</v>
      </c>
    </row>
    <row r="9" spans="1:5" x14ac:dyDescent="0.2">
      <c r="A9" s="38" t="s">
        <v>41</v>
      </c>
      <c r="B9" s="38" t="s">
        <v>76</v>
      </c>
      <c r="E9" t="s">
        <v>77</v>
      </c>
    </row>
    <row r="10" spans="1:5" x14ac:dyDescent="0.2">
      <c r="E10" t="s">
        <v>78</v>
      </c>
    </row>
    <row r="11" spans="1:5" x14ac:dyDescent="0.2">
      <c r="E11" t="s">
        <v>79</v>
      </c>
    </row>
    <row r="12" spans="1:5" x14ac:dyDescent="0.2">
      <c r="E12" t="s">
        <v>40</v>
      </c>
    </row>
    <row r="13" spans="1:5" x14ac:dyDescent="0.2">
      <c r="E13" t="s">
        <v>54</v>
      </c>
    </row>
    <row r="14" spans="1:5" x14ac:dyDescent="0.2">
      <c r="E14" t="s">
        <v>48</v>
      </c>
    </row>
    <row r="15" spans="1:5" x14ac:dyDescent="0.2">
      <c r="E15" t="s">
        <v>80</v>
      </c>
    </row>
    <row r="16" spans="1:5" x14ac:dyDescent="0.2">
      <c r="E16" t="s">
        <v>49</v>
      </c>
    </row>
    <row r="17" spans="5:5" x14ac:dyDescent="0.2">
      <c r="E17" t="s">
        <v>43</v>
      </c>
    </row>
    <row r="18" spans="5:5" x14ac:dyDescent="0.2">
      <c r="E18" t="s">
        <v>55</v>
      </c>
    </row>
    <row r="19" spans="5:5" x14ac:dyDescent="0.2">
      <c r="E19" t="s">
        <v>46</v>
      </c>
    </row>
    <row r="20" spans="5:5" x14ac:dyDescent="0.2">
      <c r="E20" t="s">
        <v>81</v>
      </c>
    </row>
    <row r="21" spans="5:5" x14ac:dyDescent="0.2">
      <c r="E21" t="s">
        <v>82</v>
      </c>
    </row>
    <row r="22" spans="5:5" x14ac:dyDescent="0.2">
      <c r="E22" t="s">
        <v>60</v>
      </c>
    </row>
    <row r="23" spans="5:5" x14ac:dyDescent="0.2">
      <c r="E23" t="s">
        <v>36</v>
      </c>
    </row>
    <row r="24" spans="5:5" x14ac:dyDescent="0.2">
      <c r="E24" t="s">
        <v>56</v>
      </c>
    </row>
    <row r="25" spans="5:5" x14ac:dyDescent="0.2">
      <c r="E25" t="s">
        <v>50</v>
      </c>
    </row>
    <row r="26" spans="5:5" x14ac:dyDescent="0.2">
      <c r="E26" t="s">
        <v>42</v>
      </c>
    </row>
    <row r="27" spans="5:5" x14ac:dyDescent="0.2">
      <c r="E27" t="s">
        <v>45</v>
      </c>
    </row>
    <row r="28" spans="5:5" x14ac:dyDescent="0.2">
      <c r="E28" t="s">
        <v>61</v>
      </c>
    </row>
    <row r="29" spans="5:5" x14ac:dyDescent="0.2">
      <c r="E29" t="s">
        <v>62</v>
      </c>
    </row>
    <row r="30" spans="5:5" x14ac:dyDescent="0.2">
      <c r="E30" t="s">
        <v>83</v>
      </c>
    </row>
    <row r="31" spans="5:5" x14ac:dyDescent="0.2">
      <c r="E31" t="s">
        <v>35</v>
      </c>
    </row>
    <row r="32" spans="5:5" x14ac:dyDescent="0.2">
      <c r="E32" t="s">
        <v>84</v>
      </c>
    </row>
    <row r="33" spans="5:5" x14ac:dyDescent="0.2">
      <c r="E33" t="s">
        <v>58</v>
      </c>
    </row>
    <row r="34" spans="5:5" x14ac:dyDescent="0.2">
      <c r="E34" t="s">
        <v>39</v>
      </c>
    </row>
    <row r="35" spans="5:5" x14ac:dyDescent="0.2">
      <c r="E35" t="s">
        <v>57</v>
      </c>
    </row>
    <row r="36" spans="5:5" x14ac:dyDescent="0.2">
      <c r="E36" t="s">
        <v>44</v>
      </c>
    </row>
    <row r="37" spans="5:5" x14ac:dyDescent="0.2">
      <c r="E37" t="s">
        <v>52</v>
      </c>
    </row>
    <row r="38" spans="5:5" x14ac:dyDescent="0.2">
      <c r="E38" t="s">
        <v>85</v>
      </c>
    </row>
    <row r="39" spans="5:5" x14ac:dyDescent="0.2">
      <c r="E39" t="s">
        <v>86</v>
      </c>
    </row>
    <row r="40" spans="5:5" x14ac:dyDescent="0.2">
      <c r="E40" t="s">
        <v>87</v>
      </c>
    </row>
    <row r="41" spans="5:5" x14ac:dyDescent="0.2">
      <c r="E41" t="s">
        <v>88</v>
      </c>
    </row>
    <row r="42" spans="5:5" x14ac:dyDescent="0.2">
      <c r="E42" t="s">
        <v>89</v>
      </c>
    </row>
    <row r="43" spans="5:5" x14ac:dyDescent="0.2">
      <c r="E43" t="s">
        <v>90</v>
      </c>
    </row>
    <row r="44" spans="5:5" x14ac:dyDescent="0.2">
      <c r="E44" t="s">
        <v>91</v>
      </c>
    </row>
    <row r="45" spans="5:5" x14ac:dyDescent="0.2">
      <c r="E45" t="s">
        <v>92</v>
      </c>
    </row>
    <row r="46" spans="5:5" x14ac:dyDescent="0.2">
      <c r="E46" t="s">
        <v>93</v>
      </c>
    </row>
    <row r="47" spans="5:5" x14ac:dyDescent="0.2">
      <c r="E47" t="s">
        <v>94</v>
      </c>
    </row>
    <row r="48" spans="5:5" x14ac:dyDescent="0.2">
      <c r="E48" t="s">
        <v>95</v>
      </c>
    </row>
    <row r="49" spans="5:5" x14ac:dyDescent="0.2">
      <c r="E49" t="s">
        <v>96</v>
      </c>
    </row>
    <row r="50" spans="5:5" x14ac:dyDescent="0.2">
      <c r="E50" t="s">
        <v>97</v>
      </c>
    </row>
    <row r="51" spans="5:5" x14ac:dyDescent="0.2">
      <c r="E51" t="s">
        <v>98</v>
      </c>
    </row>
    <row r="52" spans="5:5" x14ac:dyDescent="0.2">
      <c r="E52" t="s">
        <v>99</v>
      </c>
    </row>
    <row r="53" spans="5:5" x14ac:dyDescent="0.2">
      <c r="E53" t="s">
        <v>100</v>
      </c>
    </row>
    <row r="54" spans="5:5" x14ac:dyDescent="0.2">
      <c r="E54" t="s">
        <v>101</v>
      </c>
    </row>
    <row r="55" spans="5:5" x14ac:dyDescent="0.2">
      <c r="E55" t="s">
        <v>102</v>
      </c>
    </row>
    <row r="56" spans="5:5" x14ac:dyDescent="0.2">
      <c r="E56" t="s">
        <v>103</v>
      </c>
    </row>
    <row r="57" spans="5:5" x14ac:dyDescent="0.2">
      <c r="E57" t="s">
        <v>104</v>
      </c>
    </row>
    <row r="58" spans="5:5" x14ac:dyDescent="0.2">
      <c r="E58" t="s">
        <v>105</v>
      </c>
    </row>
    <row r="59" spans="5:5" x14ac:dyDescent="0.2">
      <c r="E59" t="s">
        <v>106</v>
      </c>
    </row>
    <row r="60" spans="5:5" x14ac:dyDescent="0.2">
      <c r="E60" t="s">
        <v>107</v>
      </c>
    </row>
    <row r="61" spans="5:5" x14ac:dyDescent="0.2">
      <c r="E61" t="s">
        <v>108</v>
      </c>
    </row>
    <row r="62" spans="5:5" x14ac:dyDescent="0.2">
      <c r="E62" t="s">
        <v>109</v>
      </c>
    </row>
    <row r="63" spans="5:5" x14ac:dyDescent="0.2">
      <c r="E63" t="s">
        <v>110</v>
      </c>
    </row>
    <row r="64" spans="5:5" x14ac:dyDescent="0.2">
      <c r="E64" t="s">
        <v>111</v>
      </c>
    </row>
    <row r="65" spans="5:5" x14ac:dyDescent="0.2">
      <c r="E65" t="s">
        <v>112</v>
      </c>
    </row>
    <row r="66" spans="5:5" x14ac:dyDescent="0.2">
      <c r="E66" t="s">
        <v>113</v>
      </c>
    </row>
    <row r="67" spans="5:5" x14ac:dyDescent="0.2">
      <c r="E67" t="s">
        <v>114</v>
      </c>
    </row>
    <row r="68" spans="5:5" x14ac:dyDescent="0.2">
      <c r="E68" t="s">
        <v>115</v>
      </c>
    </row>
    <row r="69" spans="5:5" x14ac:dyDescent="0.2">
      <c r="E69" t="s">
        <v>116</v>
      </c>
    </row>
    <row r="70" spans="5:5" x14ac:dyDescent="0.2">
      <c r="E70" t="s">
        <v>117</v>
      </c>
    </row>
    <row r="71" spans="5:5" x14ac:dyDescent="0.2">
      <c r="E71" t="s">
        <v>118</v>
      </c>
    </row>
    <row r="72" spans="5:5" x14ac:dyDescent="0.2">
      <c r="E72" t="s">
        <v>119</v>
      </c>
    </row>
    <row r="73" spans="5:5" x14ac:dyDescent="0.2">
      <c r="E73" t="s">
        <v>120</v>
      </c>
    </row>
    <row r="74" spans="5:5" x14ac:dyDescent="0.2">
      <c r="E74" t="s">
        <v>121</v>
      </c>
    </row>
    <row r="75" spans="5:5" x14ac:dyDescent="0.2">
      <c r="E75" t="s">
        <v>122</v>
      </c>
    </row>
    <row r="76" spans="5:5" x14ac:dyDescent="0.2">
      <c r="E76" t="s">
        <v>123</v>
      </c>
    </row>
    <row r="77" spans="5:5" x14ac:dyDescent="0.2">
      <c r="E77" t="s">
        <v>124</v>
      </c>
    </row>
    <row r="78" spans="5:5" x14ac:dyDescent="0.2">
      <c r="E78" t="s">
        <v>125</v>
      </c>
    </row>
    <row r="79" spans="5:5" x14ac:dyDescent="0.2">
      <c r="E79" t="s">
        <v>126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2024-05-28T15:13:24Z</cp:lastPrinted>
  <dcterms:created xsi:type="dcterms:W3CDTF">2004-04-07T20:43:43Z</dcterms:created>
  <dcterms:modified xsi:type="dcterms:W3CDTF">2025-10-14T16:00:08Z</dcterms:modified>
  <cp:category/>
  <cp:contentStatus/>
</cp:coreProperties>
</file>