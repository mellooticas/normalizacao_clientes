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1.xml" ContentType="application/vnd.openxmlformats-officedocument.spreadsheetml.comments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2/CAIXA/"/>
    </mc:Choice>
  </mc:AlternateContent>
  <xr:revisionPtr revIDLastSave="376" documentId="13_ncr:1_{2A5F9645-3DF9-4D7D-B867-F4D6F7D8A203}" xr6:coauthVersionLast="47" xr6:coauthVersionMax="47" xr10:uidLastSave="{FF0A4580-A35A-4073-8446-FC02C12E87FA}"/>
  <bookViews>
    <workbookView xWindow="-120" yWindow="-120" windowWidth="20730" windowHeight="11310" tabRatio="895" firstSheet="4" activeTab="28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Planilha1" sheetId="201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95" l="1"/>
  <c r="C15" i="195"/>
  <c r="C14" i="195"/>
  <c r="C12" i="195"/>
  <c r="C11" i="197"/>
  <c r="C11" i="194"/>
  <c r="C11" i="193"/>
  <c r="C11" i="195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8" i="174" s="1"/>
  <c r="C6" i="173"/>
  <c r="C6" i="172"/>
  <c r="C8" i="172" s="1"/>
  <c r="C6" i="171"/>
  <c r="C8" i="171" s="1"/>
  <c r="C6" i="170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8" i="187" s="1"/>
  <c r="C6" i="189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9" l="1"/>
  <c r="C8" i="180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H37" authorId="0" shapeId="0" xr:uid="{122B2125-D9C1-4FF3-B6F7-E9A59DA265E8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03/07/2024: cliente fez o pagamento do carnê parc. 1/10 - R$ 176,60 dando R$ 3,50 a mais, tendo então o desconto de R$ 3,50 nessa parc. 2/10, totalizando o valor de R$ 173,10.</t>
        </r>
      </text>
    </comment>
  </commentList>
</comments>
</file>

<file path=xl/sharedStrings.xml><?xml version="1.0" encoding="utf-8"?>
<sst xmlns="http://schemas.openxmlformats.org/spreadsheetml/2006/main" count="1726" uniqueCount="182">
  <si>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</si>
  <si>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</si>
  <si>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</si>
  <si>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</si>
  <si>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</si>
  <si>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</si>
  <si>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</si>
  <si>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</si>
  <si>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</si>
  <si>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</si>
  <si>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</si>
  <si>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</si>
  <si>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</si>
  <si>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</si>
  <si>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</si>
  <si>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</si>
  <si>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</si>
  <si>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</si>
  <si>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</si>
  <si>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</si>
  <si>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</si>
  <si>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</si>
  <si>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</si>
  <si>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</si>
  <si>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</si>
  <si>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</si>
  <si>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</si>
  <si>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</si>
  <si>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</si>
  <si>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</si>
  <si>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</si>
  <si>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</si>
  <si>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</si>
  <si>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</si>
  <si>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</si>
  <si>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</si>
  <si>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</si>
  <si>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</si>
  <si>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</si>
  <si>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</si>
  <si>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</si>
  <si>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</si>
  <si>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</si>
  <si>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</si>
  <si>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</si>
  <si>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</si>
  <si>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</si>
  <si>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</si>
  <si>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</si>
  <si>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</si>
  <si>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</si>
  <si>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</si>
  <si>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</si>
  <si>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</si>
  <si>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</si>
  <si>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</si>
  <si>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</si>
  <si>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</si>
  <si>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</si>
  <si>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</si>
  <si>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</si>
  <si>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</si>
  <si>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</si>
  <si>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</si>
  <si>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</si>
  <si>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</si>
  <si>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</si>
  <si>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</si>
  <si>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</si>
  <si>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</si>
  <si>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</si>
  <si>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</si>
  <si>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</si>
  <si>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</si>
  <si>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</si>
  <si>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</si>
  <si>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</si>
  <si>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</si>
  <si>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</si>
  <si>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</si>
  <si>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</si>
  <si>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</si>
  <si>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</si>
  <si>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</si>
  <si>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</si>
  <si>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</si>
  <si>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</si>
  <si>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</si>
  <si>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</si>
  <si>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</si>
  <si>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</si>
  <si>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</si>
  <si>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</si>
  <si>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</si>
  <si>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</si>
  <si>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</si>
  <si>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</si>
  <si>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</si>
  <si>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</si>
  <si>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</si>
  <si>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</si>
  <si>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</si>
  <si>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</si>
  <si>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</si>
  <si>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</si>
  <si>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</si>
  <si>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</si>
  <si>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</si>
  <si>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</si>
  <si>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</si>
  <si>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</si>
  <si>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</si>
  <si>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</si>
  <si>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</si>
  <si>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</si>
  <si>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</si>
  <si>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</si>
  <si>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</si>
  <si>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</si>
  <si>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</si>
  <si>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</si>
  <si>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</si>
  <si>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</si>
  <si>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</si>
  <si>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</si>
  <si>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</si>
  <si>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</si>
  <si>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</si>
  <si>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</si>
  <si>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</si>
  <si>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</si>
  <si>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</si>
  <si>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</si>
  <si>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</si>
  <si>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</si>
  <si>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</si>
  <si>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</si>
  <si>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</si>
  <si>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</si>
  <si>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</si>
  <si>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</si>
  <si>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IVANI DIAS DE OLIVEIRA</t>
  </si>
  <si>
    <t>MARIA DO SOCORRO AMANCIO</t>
  </si>
  <si>
    <t>MAURO SERGIO DA SILVA</t>
  </si>
  <si>
    <t>BENEDITA APARECIDA CALDOMANIS DE MELLO</t>
  </si>
  <si>
    <t>LAMPADA</t>
  </si>
  <si>
    <t>Não</t>
  </si>
  <si>
    <t xml:space="preserve">       </t>
  </si>
  <si>
    <t>CRISTIANO VICENTE</t>
  </si>
  <si>
    <t>MICHAELLA DA SILVA OLIVEIRA</t>
  </si>
  <si>
    <t>YUDY KATARINNE B MARULANDA</t>
  </si>
  <si>
    <t>Sim</t>
  </si>
  <si>
    <t>LUANA STHEFANI DE OLIVEIRA</t>
  </si>
  <si>
    <t>PAULO ROBERTO PEIXOTO DO NASCIMENTO</t>
  </si>
  <si>
    <t>SILVANA MENDES CARDOSO</t>
  </si>
  <si>
    <t>EMERSON JOSÉ FERREIRA</t>
  </si>
  <si>
    <t>AGUA</t>
  </si>
  <si>
    <t>DENIS SILVA SANTOS</t>
  </si>
  <si>
    <t>MARIA ZULEIDE BARBOSA</t>
  </si>
  <si>
    <t>GENI MARIA DE SOUZA SILVA</t>
  </si>
  <si>
    <t xml:space="preserve">  </t>
  </si>
  <si>
    <t/>
  </si>
  <si>
    <t>SILVA FERREIRA ARMILATO</t>
  </si>
  <si>
    <t>YUDY KATARINNE BEJARANO MARULANDA</t>
  </si>
  <si>
    <t>MARIO ROSA LIMA JUNIOR</t>
  </si>
  <si>
    <t>JORGE MAYCON AMARAL DE MIRANDA</t>
  </si>
  <si>
    <t>LUIZ SIPOSITO</t>
  </si>
  <si>
    <t>QUITERIA DE LAZARA NOGUEIRA SANTOS</t>
  </si>
  <si>
    <t>ELIZABETE SILVA RODRIGUES</t>
  </si>
  <si>
    <t>DONIZETE RIBEIRO DE OLIVEIRA</t>
  </si>
  <si>
    <t>NORMA APARECIDA lima</t>
  </si>
  <si>
    <t>FRANCISCA GOMES DA SILVA</t>
  </si>
  <si>
    <t>2K CONSERTO</t>
  </si>
  <si>
    <t xml:space="preserve">AGUA </t>
  </si>
  <si>
    <t xml:space="preserve">    </t>
  </si>
  <si>
    <t>AMANDA NOGUEIRA DA SILVA</t>
  </si>
  <si>
    <t>ALZIR DE BARROS SOUZA</t>
  </si>
  <si>
    <t>ELOISA EDUARDA MARQUES DA SILVA</t>
  </si>
  <si>
    <t xml:space="preserve">RAHYANE FREITAS VIEIRAS </t>
  </si>
  <si>
    <t>ROBERTO RODRIGES MORATO</t>
  </si>
  <si>
    <t xml:space="preserve">JOANA LUCIA DA COSTA </t>
  </si>
  <si>
    <t>EDNA FERREIRA PIRES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</si>
</sst>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b/>
      <sz val="11"/>
      <name val="Arial"/>
      <family val="2"/>
    </font>
    <font>
      <b/>
      <sz val="10"/>
      <name val="Arial"/>
      <family val="2"/>
    </font>
    <font>
      <b/>
      <i/>
      <sz val="1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35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0" fontId="33" fillId="0" borderId="17" xfId="0" applyFont="1" applyBorder="1" applyAlignment="1">
      <alignment horizontal="center"/>
    </xf>
    <xf numFmtId="165" fontId="33" fillId="0" borderId="6" xfId="0" applyNumberFormat="1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37" fillId="0" borderId="6" xfId="0" applyNumberFormat="1" applyFont="1" applyBorder="1" applyAlignment="1">
      <alignment horizontal="center"/>
    </xf>
    <xf numFmtId="1" fontId="37" fillId="0" borderId="17" xfId="0" applyNumberFormat="1" applyFont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165" fontId="37" fillId="0" borderId="17" xfId="4" applyNumberFormat="1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0" fillId="5" borderId="0" xfId="2" applyFont="1" applyFill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0" fontId="41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0" fontId="40" fillId="0" borderId="17" xfId="0" applyFont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0" fontId="42" fillId="0" borderId="17" xfId="0" applyFont="1" applyBorder="1" applyAlignment="1">
      <alignment horizontal="center"/>
    </xf>
    <xf numFmtId="164" fontId="42" fillId="0" borderId="2" xfId="2" applyFont="1" applyFill="1" applyBorder="1" applyAlignment="1">
      <alignment horizontal="center"/>
    </xf>
    <xf numFmtId="164" fontId="42" fillId="0" borderId="0" xfId="2" applyFont="1" applyFill="1" applyBorder="1" applyAlignment="1">
      <alignment horizontal="center"/>
    </xf>
    <xf numFmtId="165" fontId="42" fillId="0" borderId="11" xfId="4" applyNumberFormat="1" applyFont="1" applyFill="1" applyBorder="1" applyAlignment="1">
      <alignment horizontal="center"/>
    </xf>
    <xf numFmtId="165" fontId="42" fillId="0" borderId="0" xfId="4" applyNumberFormat="1" applyFont="1" applyFill="1" applyBorder="1" applyAlignment="1">
      <alignment horizontal="center"/>
    </xf>
    <xf numFmtId="165" fontId="12" fillId="0" borderId="17" xfId="0" applyNumberFormat="1" applyFont="1" applyBorder="1" applyAlignment="1">
      <alignment horizontal="center"/>
    </xf>
    <xf numFmtId="165" fontId="12" fillId="0" borderId="6" xfId="0" applyNumberFormat="1" applyFont="1" applyBorder="1" applyAlignment="1">
      <alignment horizontal="center"/>
    </xf>
    <xf numFmtId="0" fontId="41" fillId="0" borderId="0" xfId="0" applyFont="1" applyAlignment="1">
      <alignment horizontal="center"/>
    </xf>
    <xf numFmtId="165" fontId="43" fillId="0" borderId="0" xfId="0" applyNumberFormat="1" applyFont="1" applyAlignment="1">
      <alignment horizontal="center"/>
    </xf>
    <xf numFmtId="164" fontId="41" fillId="0" borderId="17" xfId="2" applyFont="1" applyFill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164" fontId="12" fillId="0" borderId="3" xfId="2" applyFont="1" applyFill="1" applyBorder="1" applyAlignment="1">
      <alignment horizontal="center"/>
    </xf>
    <xf numFmtId="165" fontId="12" fillId="0" borderId="3" xfId="4" applyNumberFormat="1" applyFont="1" applyFill="1" applyBorder="1" applyAlignment="1">
      <alignment horizontal="center"/>
    </xf>
    <xf numFmtId="164" fontId="42" fillId="0" borderId="17" xfId="2" applyFont="1" applyFill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165" fontId="12" fillId="0" borderId="5" xfId="0" applyNumberFormat="1" applyFont="1" applyBorder="1" applyAlignment="1">
      <alignment horizontal="center"/>
    </xf>
    <xf numFmtId="165" fontId="41" fillId="0" borderId="17" xfId="0" applyNumberFormat="1" applyFont="1" applyBorder="1" applyAlignment="1">
      <alignment horizontal="center"/>
    </xf>
    <xf numFmtId="0" fontId="44" fillId="0" borderId="17" xfId="0" applyFont="1" applyBorder="1" applyAlignment="1">
      <alignment horizontal="center"/>
    </xf>
    <xf numFmtId="44" fontId="12" fillId="0" borderId="17" xfId="39" applyFont="1" applyFill="1" applyBorder="1" applyAlignment="1">
      <alignment horizontal="center"/>
    </xf>
    <xf numFmtId="165" fontId="43" fillId="0" borderId="9" xfId="0" applyNumberFormat="1" applyFont="1" applyBorder="1" applyAlignment="1">
      <alignment horizontal="center"/>
    </xf>
    <xf numFmtId="165" fontId="43" fillId="0" borderId="6" xfId="0" applyNumberFormat="1" applyFont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31" fillId="0" borderId="0" xfId="0" applyNumberFormat="1" applyFont="1" applyAlignment="1">
      <alignment horizontal="left"/>
    </xf>
    <xf numFmtId="44" fontId="42" fillId="0" borderId="17" xfId="39" applyFont="1" applyFill="1" applyBorder="1" applyAlignment="1">
      <alignment horizontal="center"/>
    </xf>
    <xf numFmtId="165" fontId="42" fillId="0" borderId="17" xfId="4" applyNumberFormat="1" applyFont="1" applyFill="1" applyBorder="1" applyAlignment="1">
      <alignment horizontal="center"/>
    </xf>
    <xf numFmtId="1" fontId="41" fillId="0" borderId="10" xfId="0" applyNumberFormat="1" applyFont="1" applyBorder="1" applyAlignment="1">
      <alignment horizontal="center"/>
    </xf>
    <xf numFmtId="165" fontId="12" fillId="0" borderId="9" xfId="0" applyNumberFormat="1" applyFont="1" applyBorder="1" applyAlignment="1">
      <alignment horizontal="center"/>
    </xf>
    <xf numFmtId="1" fontId="41" fillId="0" borderId="17" xfId="0" applyNumberFormat="1" applyFont="1" applyBorder="1" applyAlignment="1">
      <alignment horizontal="center"/>
    </xf>
    <xf numFmtId="0" fontId="42" fillId="0" borderId="13" xfId="0" applyFont="1" applyBorder="1" applyAlignment="1">
      <alignment horizontal="center"/>
    </xf>
    <xf numFmtId="0" fontId="41" fillId="0" borderId="13" xfId="0" applyFont="1" applyBorder="1" applyAlignment="1">
      <alignment horizontal="center"/>
    </xf>
    <xf numFmtId="44" fontId="12" fillId="0" borderId="13" xfId="39" applyFont="1" applyFill="1" applyBorder="1" applyAlignment="1">
      <alignment horizontal="center"/>
    </xf>
    <xf numFmtId="165" fontId="12" fillId="0" borderId="13" xfId="4" applyNumberFormat="1" applyFont="1" applyFill="1" applyBorder="1" applyAlignment="1">
      <alignment horizontal="center"/>
    </xf>
    <xf numFmtId="44" fontId="42" fillId="0" borderId="13" xfId="39" applyFont="1" applyFill="1" applyBorder="1" applyAlignment="1">
      <alignment horizontal="center"/>
    </xf>
    <xf numFmtId="165" fontId="42" fillId="0" borderId="13" xfId="4" applyNumberFormat="1" applyFont="1" applyFill="1" applyBorder="1" applyAlignment="1">
      <alignment horizontal="center"/>
    </xf>
    <xf numFmtId="0" fontId="42" fillId="0" borderId="17" xfId="4" applyNumberFormat="1" applyFont="1" applyFill="1" applyBorder="1" applyAlignment="1">
      <alignment horizontal="center"/>
    </xf>
    <xf numFmtId="164" fontId="41" fillId="0" borderId="13" xfId="2" applyFont="1" applyFill="1" applyBorder="1" applyAlignment="1">
      <alignment horizontal="center"/>
    </xf>
    <xf numFmtId="164" fontId="12" fillId="0" borderId="13" xfId="2" applyFont="1" applyFill="1" applyBorder="1" applyAlignment="1">
      <alignment horizontal="center"/>
    </xf>
    <xf numFmtId="164" fontId="41" fillId="0" borderId="3" xfId="2" applyFont="1" applyFill="1" applyBorder="1" applyAlignment="1">
      <alignment horizontal="center"/>
    </xf>
    <xf numFmtId="164" fontId="12" fillId="5" borderId="10" xfId="2" applyFont="1" applyFill="1" applyBorder="1" applyAlignment="1">
      <alignment horizontal="center"/>
    </xf>
    <xf numFmtId="164" fontId="12" fillId="5" borderId="13" xfId="2" applyFont="1" applyFill="1" applyBorder="1" applyAlignment="1">
      <alignment horizontal="center"/>
    </xf>
    <xf numFmtId="165" fontId="12" fillId="5" borderId="13" xfId="4" applyNumberFormat="1" applyFont="1" applyFill="1" applyBorder="1" applyAlignment="1">
      <alignment horizontal="center"/>
    </xf>
    <xf numFmtId="165" fontId="12" fillId="5" borderId="9" xfId="4" applyNumberFormat="1" applyFont="1" applyFill="1" applyBorder="1" applyAlignment="1">
      <alignment horizontal="center"/>
    </xf>
    <xf numFmtId="0" fontId="47" fillId="0" borderId="17" xfId="0" applyFont="1" applyBorder="1" applyAlignment="1">
      <alignment horizontal="center"/>
    </xf>
    <xf numFmtId="0" fontId="47" fillId="0" borderId="3" xfId="0" applyFont="1" applyBorder="1" applyAlignment="1">
      <alignment horizontal="center"/>
    </xf>
    <xf numFmtId="164" fontId="47" fillId="0" borderId="17" xfId="2" applyFont="1" applyFill="1" applyBorder="1" applyAlignment="1">
      <alignment horizontal="center"/>
    </xf>
    <xf numFmtId="0" fontId="42" fillId="0" borderId="13" xfId="39" applyNumberFormat="1" applyFont="1" applyFill="1" applyBorder="1" applyAlignment="1">
      <alignment horizontal="center"/>
    </xf>
    <xf numFmtId="0" fontId="42" fillId="0" borderId="17" xfId="39" applyNumberFormat="1" applyFont="1" applyFill="1" applyBorder="1" applyAlignment="1">
      <alignment horizontal="center"/>
    </xf>
    <xf numFmtId="164" fontId="43" fillId="0" borderId="2" xfId="2" applyFont="1" applyFill="1" applyBorder="1" applyAlignment="1">
      <alignment horizontal="center"/>
    </xf>
    <xf numFmtId="164" fontId="43" fillId="0" borderId="0" xfId="2" applyFont="1" applyFill="1" applyBorder="1" applyAlignment="1">
      <alignment horizontal="center"/>
    </xf>
    <xf numFmtId="165" fontId="43" fillId="0" borderId="11" xfId="4" applyNumberFormat="1" applyFont="1" applyFill="1" applyBorder="1" applyAlignment="1">
      <alignment horizontal="center"/>
    </xf>
    <xf numFmtId="165" fontId="43" fillId="0" borderId="0" xfId="4" applyNumberFormat="1" applyFont="1" applyFill="1" applyBorder="1" applyAlignment="1">
      <alignment horizontal="center"/>
    </xf>
    <xf numFmtId="44" fontId="41" fillId="0" borderId="17" xfId="39" applyFont="1" applyFill="1" applyBorder="1" applyAlignment="1">
      <alignment horizontal="center"/>
    </xf>
    <xf numFmtId="0" fontId="41" fillId="0" borderId="17" xfId="0" quotePrefix="1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4" fontId="42" fillId="0" borderId="3" xfId="2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70" dataDxfId="1668" headerRowBorderDxfId="1669" tableBorderDxfId="1667" totalsRowBorderDxfId="1666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65" dataCellStyle="Moeda"/>
    <tableColumn id="5" xr3:uid="{45BECD08-8ABE-4A34-BD78-E2D3AFB8C62A}" name="Cliente" dataDxfId="1664" dataCellStyle="Moeda"/>
    <tableColumn id="2" xr3:uid="{A0D6666C-9CF7-4343-AF6B-BDFE62F94469}" name="Forma de Pgto" dataDxfId="1663" dataCellStyle="Moeda"/>
    <tableColumn id="3" xr3:uid="{988F127F-9D83-4428-BB94-C16FBBB1BD89}" name="Valor Venda" dataDxfId="1662" dataCellStyle="Porcentagem"/>
    <tableColumn id="4" xr3:uid="{6A2928C3-17B0-4FA3-B60C-9E1A2C0324E1}" name="Entrada" dataDxfId="1661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60" dataDxfId="1658" headerRowBorderDxfId="1659" tableBorderDxfId="1657" totalsRowBorderDxfId="1656">
  <autoFilter ref="K5:M11" xr:uid="{DD403130-B35C-452C-92F9-290622D77A3D}"/>
  <tableColumns count="3">
    <tableColumn id="1" xr3:uid="{FAD87634-3375-4B41-BEC0-5B072F6B52CE}" name="Descrição" dataDxfId="1655"/>
    <tableColumn id="2" xr3:uid="{7688071E-9548-4552-8BB1-3BA5128DF645}" name="Tipo de Pagto" dataDxfId="1654"/>
    <tableColumn id="3" xr3:uid="{2B260C33-79A5-4C5D-9195-15780C53A861}" name="Valor" dataDxfId="165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2" dataDxfId="1650" headerRowBorderDxfId="1651" tableBorderDxfId="1649" totalsRowBorderDxfId="1648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47"/>
    <tableColumn id="2" xr3:uid="{606BE417-6802-4580-90D2-86F95EFAAEB7}" name="Cliente" dataDxfId="1646"/>
    <tableColumn id="3" xr3:uid="{2F522A54-F708-4DA3-97E3-CE7C29912E04}" name="Forma de Pgto" dataDxfId="1645" dataCellStyle="Moeda"/>
    <tableColumn id="4" xr3:uid="{7B46EE64-F7F1-4449-A783-67286A94A7C4}" name="Valor Venda" dataDxfId="1644" dataCellStyle="Porcentagem"/>
    <tableColumn id="5" xr3:uid="{389A7D1A-3C35-485E-9958-8A78EF77BE9B}" name="Entrada" dataDxfId="1643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42" dataDxfId="1640" headerRowBorderDxfId="1641" tableBorderDxfId="1639" totalsRowBorderDxfId="1638">
  <autoFilter ref="K14:M31" xr:uid="{F07D43AD-1A4D-4B31-96B8-824F8623E518}"/>
  <tableColumns count="3">
    <tableColumn id="1" xr3:uid="{3AF01421-A7B6-4D23-9DA8-C20FAFAFDD9C}" name="OS" dataDxfId="1637"/>
    <tableColumn id="2" xr3:uid="{55DCC30E-EB52-427E-A16A-B2C93A41F1CE}" name="Vendedor" dataDxfId="1636"/>
    <tableColumn id="3" xr3:uid="{23EDA46C-42B4-4F6C-97D9-7040D6B9797C}" name="CARNE" dataDxfId="163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34" dataDxfId="1632" headerRowBorderDxfId="1633" tableBorderDxfId="1631" totalsRowBorderDxfId="1630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29"/>
    <tableColumn id="2" xr3:uid="{FBA6EA78-F44B-4D22-A27A-92A91C10551F}" name="Cliente" dataDxfId="1628"/>
    <tableColumn id="3" xr3:uid="{749B4D89-29B3-4987-91D3-6BA3C44D9B96}" name="Forma de Pgto" dataDxfId="1627" dataCellStyle="Moeda"/>
    <tableColumn id="4" xr3:uid="{A84A6598-B291-4809-A78D-AB810461733D}" name="Valor Parcela" dataDxfId="1626" dataCellStyle="Porcentagem"/>
    <tableColumn id="5" xr3:uid="{3C45FEEC-5E06-4ED7-87CD-0097DB6BC817}" name="Nº Parcela" dataDxfId="1625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624" dataDxfId="1622" headerRowBorderDxfId="1623" tableBorderDxfId="1621" totalsRowBorderDxfId="1620">
  <autoFilter ref="K34:M41" xr:uid="{42BA126A-AECD-4CD6-8583-BD2352D82FB9}"/>
  <tableColumns count="3">
    <tableColumn id="1" xr3:uid="{0989D88A-7CB7-4008-94FC-B7FFB3CAE582}" name="OS" dataDxfId="1619"/>
    <tableColumn id="2" xr3:uid="{AC9D76CC-A537-4210-9893-E8C57DA30B4D}" name="Parcelas" dataDxfId="1618"/>
    <tableColumn id="3" xr3:uid="{D4D72E6E-DAE0-4860-8606-BFD8E469AE3D}" name="Valor Total" dataDxfId="161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3" totalsRowShown="0" headerRowDxfId="1616" dataDxfId="1614" headerRowBorderDxfId="1615" tableBorderDxfId="1613" totalsRowBorderDxfId="1612">
  <autoFilter ref="E5:I23" xr:uid="{00000000-0009-0000-0100-000014000000}"/>
  <sortState xmlns:xlrd2="http://schemas.microsoft.com/office/spreadsheetml/2017/richdata2" ref="E6:I23">
    <sortCondition ref="E5:E23"/>
  </sortState>
  <tableColumns count="5">
    <tableColumn id="1" xr3:uid="{29375F81-FDC7-41E7-9EE2-321F943D9DB0}" name="Nº Venda" dataDxfId="1611" dataCellStyle="Moeda"/>
    <tableColumn id="5" xr3:uid="{62DCD49D-7CD9-4268-A2D5-B3A594E461BB}" name="Cliente" dataDxfId="1610" dataCellStyle="Moeda"/>
    <tableColumn id="2" xr3:uid="{50D45495-B1A2-4885-996A-3E6DD92E280E}" name="Forma de Pgto" dataDxfId="1609" dataCellStyle="Moeda"/>
    <tableColumn id="3" xr3:uid="{DE57E226-692B-42B0-911E-ACCF59BC6D86}" name="Valor Venda" dataDxfId="1608" dataCellStyle="Porcentagem"/>
    <tableColumn id="4" xr3:uid="{CE230B3B-D2C9-4A92-A5F3-A5EE4A74409A}" name="Entrada" dataDxfId="1607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06" dataDxfId="1604" headerRowBorderDxfId="1605" tableBorderDxfId="1603" totalsRowBorderDxfId="1602">
  <autoFilter ref="K5:M11" xr:uid="{00000000-0009-0000-0100-000015000000}"/>
  <tableColumns count="3">
    <tableColumn id="1" xr3:uid="{58E2E66D-9AC0-4A69-BF19-1AB9AD59BA2F}" name="Descrição" dataDxfId="1601"/>
    <tableColumn id="2" xr3:uid="{FE1E3124-46C3-49A6-AE83-7C14B341DF59}" name="Tipo de Pagto" dataDxfId="1600"/>
    <tableColumn id="3" xr3:uid="{D8FBF474-04EE-46ED-9B9E-791D937CF715}" name="Valor" dataDxfId="159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6:I32" totalsRowShown="0" headerRowDxfId="1598" dataDxfId="1596" headerRowBorderDxfId="1597" tableBorderDxfId="1595" totalsRowBorderDxfId="1594">
  <autoFilter ref="E26:I32" xr:uid="{00000000-0009-0000-0100-000016000000}"/>
  <sortState xmlns:xlrd2="http://schemas.microsoft.com/office/spreadsheetml/2017/richdata2" ref="E27:I32">
    <sortCondition ref="E26:E32"/>
  </sortState>
  <tableColumns count="5">
    <tableColumn id="1" xr3:uid="{004012A3-88A7-49FD-9D1F-E53F527E4EDD}" name="Nº Venda" dataDxfId="1593"/>
    <tableColumn id="2" xr3:uid="{595EF087-A3B2-4C2B-AEEA-F930A6C2F5F4}" name="Cliente" dataDxfId="1592"/>
    <tableColumn id="3" xr3:uid="{C5C2BC75-6E8D-4808-A5EE-A5F9251ECE6C}" name="Forma de Pgto" dataDxfId="1591" dataCellStyle="Moeda"/>
    <tableColumn id="4" xr3:uid="{20CF776B-B9F4-48DD-9379-961689B40B71}" name="Valor Venda" dataDxfId="1590" dataCellStyle="Porcentagem"/>
    <tableColumn id="5" xr3:uid="{65177CB6-6D07-42E6-8EFE-435282A2F5BA}" name="Entrada" dataDxfId="1589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88" dataDxfId="1586" headerRowBorderDxfId="1587" tableBorderDxfId="1585" totalsRowBorderDxfId="1584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3"/>
    <tableColumn id="2" xr3:uid="{D1AEFC99-FF9D-4A0D-BE93-D866BDC7A817}" name="Vendedor" dataDxfId="1582"/>
    <tableColumn id="3" xr3:uid="{CA30546E-8A3F-45D5-BE2B-24DCF738F1F2}" name="CARNE" dataDxfId="158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5:I42" totalsRowShown="0" headerRowDxfId="1580" dataDxfId="1578" headerRowBorderDxfId="1579" tableBorderDxfId="1577" totalsRowBorderDxfId="1576">
  <autoFilter ref="E35:I42" xr:uid="{B9E2F984-8588-4F2C-9FB9-680284154679}"/>
  <sortState xmlns:xlrd2="http://schemas.microsoft.com/office/spreadsheetml/2017/richdata2" ref="E36:I41">
    <sortCondition ref="E26:E32"/>
  </sortState>
  <tableColumns count="5">
    <tableColumn id="1" xr3:uid="{07E4FA26-C4CE-4094-A8B1-84A0D1090D09}" name="OS" dataDxfId="1575"/>
    <tableColumn id="2" xr3:uid="{7D38F106-0145-4B73-951B-86BF22EC7FAB}" name="Cliente" dataDxfId="1574"/>
    <tableColumn id="3" xr3:uid="{11A4EEBE-D35C-4719-B2B9-16486260EF79}" name="Forma de Pgto" dataDxfId="1573" dataCellStyle="Moeda"/>
    <tableColumn id="4" xr3:uid="{1BAB2FC5-9F2C-41DD-994A-6BA83A984883}" name="Valor Parcela" dataDxfId="1572" dataCellStyle="Porcentagem"/>
    <tableColumn id="5" xr3:uid="{8C539F89-5F96-4DB9-B7A4-784EA1B5350C}" name="Nº Parcela" dataDxfId="1571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0" dataDxfId="1568" headerRowBorderDxfId="1569" tableBorderDxfId="1567" totalsRowBorderDxfId="1566">
  <autoFilter ref="K34:M41" xr:uid="{1B8643D4-6AC3-4029-882A-C62E9D7CB225}"/>
  <tableColumns count="3">
    <tableColumn id="1" xr3:uid="{0B93901B-D681-410F-8B28-E186D9A3CAC3}" name="OS" dataDxfId="1565"/>
    <tableColumn id="2" xr3:uid="{A57C0E02-6258-48F0-9407-2095CD96B2D4}" name="Parcelas" dataDxfId="1564"/>
    <tableColumn id="3" xr3:uid="{1EA087CF-658D-4951-89BB-508667E3BBBE}" name="Valor Total" dataDxfId="156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2" dataDxfId="1560" headerRowBorderDxfId="1561" tableBorderDxfId="1559" totalsRowBorderDxfId="155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57" dataCellStyle="Moeda"/>
    <tableColumn id="5" xr3:uid="{98DC42E5-632F-4288-9CC5-1F032859A7E7}" name="       " dataDxfId="1556" dataCellStyle="Moeda"/>
    <tableColumn id="2" xr3:uid="{4AE32B81-9EBD-470B-9ABE-A82D6658F3FE}" name="Forma de Pgto" dataDxfId="1555" dataCellStyle="Moeda"/>
    <tableColumn id="3" xr3:uid="{6E5BAEC1-2689-4ABB-93EC-298595B5C82E}" name="Valor Venda" dataDxfId="1554" dataCellStyle="Porcentagem"/>
    <tableColumn id="4" xr3:uid="{24493E7B-FE77-4A85-8810-0F0A4A84D997}" name="Entrada" dataDxfId="1553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2" dataDxfId="1550" headerRowBorderDxfId="1551" tableBorderDxfId="1549" totalsRowBorderDxfId="1548">
  <autoFilter ref="K5:M11" xr:uid="{00000000-0009-0000-0100-000015000000}"/>
  <tableColumns count="3">
    <tableColumn id="1" xr3:uid="{DA50BBFB-ECA9-45DE-9949-F3F90EEC3BA7}" name="Descrição" dataDxfId="1547"/>
    <tableColumn id="2" xr3:uid="{A64D4F88-B62D-440B-BA71-6D7BB28D542E}" name="Tipo de Pagto" dataDxfId="1546"/>
    <tableColumn id="3" xr3:uid="{0406A209-0652-47F9-9AB4-3256B26876D2}" name="Valor" dataDxfId="154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44" dataDxfId="1542" headerRowBorderDxfId="1543" tableBorderDxfId="1541" totalsRowBorderDxfId="154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39"/>
    <tableColumn id="2" xr3:uid="{8B8D24E4-1123-478B-838C-FCF56EABBDFD}" name="Cliente" dataDxfId="1538"/>
    <tableColumn id="3" xr3:uid="{8B7DE8DF-8D5D-4245-A63D-EF550AE347E3}" name="Forma de Pgto" dataDxfId="1537" dataCellStyle="Moeda"/>
    <tableColumn id="4" xr3:uid="{95A77C0C-49D0-45A2-8B99-A765C4741CE7}" name="Valor Venda" dataDxfId="1536" dataCellStyle="Porcentagem"/>
    <tableColumn id="5" xr3:uid="{FF4FDD32-DA70-4723-A8FB-07B3FB04B5CD}" name="Entrada" dataDxfId="1535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4" dataDxfId="1532" headerRowBorderDxfId="1533" tableBorderDxfId="1531" totalsRowBorderDxfId="1530">
  <autoFilter ref="K14:M31" xr:uid="{C83FE64B-E221-4DAA-89EA-5307A7BC98B3}"/>
  <tableColumns count="3">
    <tableColumn id="1" xr3:uid="{A31E67F7-E266-4220-8D3F-09556FCE20B1}" name="OS" dataDxfId="1529"/>
    <tableColumn id="2" xr3:uid="{2ED39269-8DA5-4157-9E82-8C8ED0C828A3}" name="Vendedor" dataDxfId="1528"/>
    <tableColumn id="3" xr3:uid="{F550B35D-6F70-4E2E-9037-3A7DF5BB4D86}" name="CARNE" dataDxfId="1527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26" dataDxfId="1524" headerRowBorderDxfId="1525" tableBorderDxfId="1523" totalsRowBorderDxfId="152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21"/>
    <tableColumn id="2" xr3:uid="{58D563AD-1DCA-4768-9170-A0079A20A1DF}" name="Cliente" dataDxfId="1520"/>
    <tableColumn id="3" xr3:uid="{FE883FCE-942C-4DE5-904D-B12FE6C4992D}" name="Forma de Pgto" dataDxfId="1519" dataCellStyle="Moeda"/>
    <tableColumn id="4" xr3:uid="{21451B08-4DF0-4C35-AC45-94C183AA6A59}" name="Valor Parcela" dataDxfId="1518" dataCellStyle="Porcentagem"/>
    <tableColumn id="5" xr3:uid="{8F93C3AE-47D0-4E55-A038-445341804CE9}" name="Nº Parcela" dataDxfId="1517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16" dataDxfId="1514" headerRowBorderDxfId="1515" tableBorderDxfId="1513" totalsRowBorderDxfId="1512">
  <autoFilter ref="K34:M41" xr:uid="{1B8643D4-6AC3-4029-882A-C62E9D7CB225}"/>
  <tableColumns count="3">
    <tableColumn id="1" xr3:uid="{2687574F-C0F9-4AD1-A54B-286C1AE50D97}" name="OS" dataDxfId="1511"/>
    <tableColumn id="2" xr3:uid="{AE623FF4-38C1-45D9-B220-1CD4A553B7C1}" name="Parcelas" dataDxfId="1510"/>
    <tableColumn id="3" xr3:uid="{EEBFC521-3084-43FF-A36B-C25CE198B817}" name="Valor Total" dataDxfId="1509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08" dataDxfId="1506" headerRowBorderDxfId="1507" tableBorderDxfId="1505" totalsRowBorderDxfId="15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3" dataCellStyle="Moeda"/>
    <tableColumn id="5" xr3:uid="{F5DA840E-A051-4AE4-AE1A-9DAFAF8FFC3B}" name="Cliente" dataDxfId="1502" dataCellStyle="Moeda"/>
    <tableColumn id="2" xr3:uid="{DF65CD3D-444A-4025-B98B-F38F11610432}" name="Forma de Pgto" dataDxfId="1501" dataCellStyle="Moeda"/>
    <tableColumn id="3" xr3:uid="{9A4839DC-9153-466A-B0AF-456FAEF79174}" name="Valor Venda" dataDxfId="1500" dataCellStyle="Porcentagem"/>
    <tableColumn id="4" xr3:uid="{EF410A7C-DBD1-4367-A43B-616826FFEB4F}" name="Entrada" dataDxfId="1499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98" dataDxfId="1496" headerRowBorderDxfId="1497" tableBorderDxfId="1495" totalsRowBorderDxfId="1494">
  <autoFilter ref="K5:M11" xr:uid="{00000000-0009-0000-0100-000015000000}"/>
  <tableColumns count="3">
    <tableColumn id="1" xr3:uid="{F1C90853-2F5A-4C32-8AC3-18ECE1FDDF43}" name="Descrição" dataDxfId="1493"/>
    <tableColumn id="2" xr3:uid="{DEB32F17-2D52-4FBB-90C4-1C3AE9C104E6}" name="Tipo de Pagto" dataDxfId="1492"/>
    <tableColumn id="3" xr3:uid="{089B3650-C090-496F-BF9A-6E8466DBF76A}" name="Valor" dataDxfId="149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90" dataDxfId="1488" headerRowBorderDxfId="1489" tableBorderDxfId="1487" totalsRowBorderDxfId="14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85"/>
    <tableColumn id="2" xr3:uid="{73AEC7DD-005C-4428-9D1D-1A3761F2192B}" name="Cliente" dataDxfId="1484"/>
    <tableColumn id="3" xr3:uid="{FA28017F-3137-49BD-B826-2E261901E543}" name="Forma de Pgto" dataDxfId="1483" dataCellStyle="Moeda"/>
    <tableColumn id="4" xr3:uid="{6030418B-B1EC-4D4D-96DF-0EB78B87F6F9}" name="Valor Venda" dataDxfId="1482" dataCellStyle="Porcentagem"/>
    <tableColumn id="5" xr3:uid="{0576A975-F40D-4463-85C0-76AB6FCD63AC}" name="Entrada" dataDxfId="1481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80" dataDxfId="1478" headerRowBorderDxfId="1479" tableBorderDxfId="1477" totalsRowBorderDxfId="1476">
  <autoFilter ref="K14:M31" xr:uid="{C83FE64B-E221-4DAA-89EA-5307A7BC98B3}"/>
  <tableColumns count="3">
    <tableColumn id="1" xr3:uid="{830E23BA-DE90-49EF-B4EA-89C3276575B2}" name="OS" dataDxfId="1475"/>
    <tableColumn id="2" xr3:uid="{679AF5A0-4545-4316-AD6C-E4B7A7BA099A}" name="Vendedor" dataDxfId="1474"/>
    <tableColumn id="3" xr3:uid="{6B801D58-D05B-4A78-A6FE-BC9EF408DC10}" name="CARNE" dataDxfId="1473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2" dataDxfId="1470" headerRowBorderDxfId="1471" tableBorderDxfId="1469" totalsRowBorderDxfId="14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67"/>
    <tableColumn id="2" xr3:uid="{953837B7-D16A-40C2-9C83-CD7E7171C88F}" name="Cliente" dataDxfId="1466"/>
    <tableColumn id="3" xr3:uid="{63860264-C651-4A12-8F01-E9F622A843C0}" name="Forma de Pgto" dataDxfId="1465" dataCellStyle="Moeda"/>
    <tableColumn id="4" xr3:uid="{584373BD-23BA-4A1E-A4FC-3D4A594F4148}" name="Valor Parcela" dataDxfId="1464" dataCellStyle="Porcentagem"/>
    <tableColumn id="5" xr3:uid="{7CBAF04B-D82E-4180-A8EA-98461BE41F4A}" name="Nº Parcela" dataDxfId="1463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2" headerRowBorderDxfId="1461" tableBorderDxfId="1460" totalsRowBorderDxfId="1459">
  <autoFilter ref="K34:M41" xr:uid="{1B8643D4-6AC3-4029-882A-C62E9D7CB225}"/>
  <tableColumns count="3">
    <tableColumn id="1" xr3:uid="{F555359C-BC20-4C24-A948-500BDD3B5763}" name="OS" dataDxfId="1458"/>
    <tableColumn id="2" xr3:uid="{B72B4820-B8B5-4F80-83B5-9EC54EF78025}" name="Parcelas" dataDxfId="1457"/>
    <tableColumn id="3" xr3:uid="{893DDBC4-5663-4D63-80CB-4E7482811983}" name="Valor Total" dataDxfId="1456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5" dataDxfId="1453" headerRowBorderDxfId="1454" tableBorderDxfId="1452" totalsRowBorderDxfId="14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50" dataCellStyle="Moeda"/>
    <tableColumn id="5" xr3:uid="{4F9ED826-A0E1-4FB0-83C6-A561EA7B6750}" name="Cliente" dataDxfId="1449" dataCellStyle="Moeda"/>
    <tableColumn id="2" xr3:uid="{C2B928FE-CB2E-4271-AE3D-2FE26117248E}" name="Forma de Pgto" dataDxfId="1448" dataCellStyle="Moeda"/>
    <tableColumn id="3" xr3:uid="{CE23E3D0-4056-4DCB-83C4-5B94BD49CAAC}" name="Valor Venda" dataDxfId="1447" dataCellStyle="Porcentagem"/>
    <tableColumn id="4" xr3:uid="{1F426340-BFB9-4B9E-B988-7A195156D2F2}" name="Entrada" dataDxfId="1446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5" dataDxfId="1443" headerRowBorderDxfId="1444" tableBorderDxfId="1442" totalsRowBorderDxfId="1441">
  <autoFilter ref="K5:M11" xr:uid="{00000000-0009-0000-0100-000015000000}"/>
  <tableColumns count="3">
    <tableColumn id="1" xr3:uid="{F4C840DC-E06E-4A51-B1BF-E769E4EC9ACB}" name="Descrição" dataDxfId="1440"/>
    <tableColumn id="2" xr3:uid="{E6DE1F07-CE97-421A-A22A-4B4270DDF46D}" name="Tipo de Pagto" dataDxfId="1439"/>
    <tableColumn id="3" xr3:uid="{D84FBA92-07C5-41FD-BBA2-2AADF245D1D6}" name="Valor" dataDxfId="1438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37" dataDxfId="1435" headerRowBorderDxfId="1436" tableBorderDxfId="1434" totalsRowBorderDxfId="14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32"/>
    <tableColumn id="2" xr3:uid="{CD77FB12-1DAA-4DAF-B42A-0357959803DD}" name="Cliente" dataDxfId="1431"/>
    <tableColumn id="3" xr3:uid="{5F4C4F5C-C920-452A-B2BA-592AD2C18723}" name="Forma de Pgto" dataDxfId="1430" dataCellStyle="Moeda"/>
    <tableColumn id="4" xr3:uid="{3930B2F0-6049-4E02-92B1-EC55A5330B2C}" name="Valor Venda" dataDxfId="1429" dataCellStyle="Porcentagem"/>
    <tableColumn id="5" xr3:uid="{82EBAE08-64CA-459E-9015-FA8F61210D87}" name="Entrada" dataDxfId="1428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27" dataDxfId="1425" headerRowBorderDxfId="1426" tableBorderDxfId="1424" totalsRowBorderDxfId="1423">
  <autoFilter ref="K14:M31" xr:uid="{C83FE64B-E221-4DAA-89EA-5307A7BC98B3}"/>
  <tableColumns count="3">
    <tableColumn id="1" xr3:uid="{E0565617-EB8C-486F-838C-B370E84BC8A2}" name="OS" dataDxfId="1422"/>
    <tableColumn id="2" xr3:uid="{EA20833B-67D8-48B8-B6E4-54A10D0969E8}" name="Vendedor" dataDxfId="1421"/>
    <tableColumn id="3" xr3:uid="{8B1F8993-74A4-499F-AD5E-91A6051BA219}" name="CARNE" dataDxfId="1420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19" dataDxfId="1417" headerRowBorderDxfId="1418" tableBorderDxfId="1416" totalsRowBorderDxfId="14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4"/>
    <tableColumn id="2" xr3:uid="{FB461660-91D6-4E31-81FF-113A17320EED}" name="Cliente" dataDxfId="1413"/>
    <tableColumn id="3" xr3:uid="{0A47D0C3-375B-4E2D-B5E9-2048252BC0D3}" name="Forma de Pgto" dataDxfId="1412" dataCellStyle="Moeda"/>
    <tableColumn id="4" xr3:uid="{F9C62ED5-C18D-465D-B7E4-0729BD7B3A10}" name="Valor Parcela" dataDxfId="1411" dataCellStyle="Porcentagem"/>
    <tableColumn id="5" xr3:uid="{DD9D513B-1645-445F-83E9-DC54C163BD4E}" name="Nº Parcela" dataDxfId="1410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09" dataDxfId="1407" headerRowBorderDxfId="1408" tableBorderDxfId="1406" totalsRowBorderDxfId="1405">
  <autoFilter ref="K34:M41" xr:uid="{1B8643D4-6AC3-4029-882A-C62E9D7CB225}"/>
  <tableColumns count="3">
    <tableColumn id="1" xr3:uid="{D65B195F-C059-40E5-A4CA-FE91C5DB43DB}" name="OS" dataDxfId="1404"/>
    <tableColumn id="2" xr3:uid="{A2A023CF-C61D-419E-ABB0-2F9CEE35150B}" name="Parcelas" dataDxfId="1403"/>
    <tableColumn id="3" xr3:uid="{F7D650A1-7C3D-42D0-B133-EB49D396C64F}" name="Valor Total" dataDxfId="1402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1" dataDxfId="1399" headerRowBorderDxfId="1400" tableBorderDxfId="1398" totalsRowBorderDxfId="139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96" dataCellStyle="Moeda"/>
    <tableColumn id="5" xr3:uid="{FF96847D-D5C5-4F73-905C-E549112972E1}" name="Cliente" dataDxfId="1395" dataCellStyle="Moeda"/>
    <tableColumn id="2" xr3:uid="{1B47815A-C2E2-4886-9A6F-B2A7307F901E}" name="Forma de Pgto" dataDxfId="1394" dataCellStyle="Moeda"/>
    <tableColumn id="3" xr3:uid="{FD86C99A-4E69-452A-8D71-B939B84F2B55}" name="Valor Venda" dataDxfId="1393" dataCellStyle="Porcentagem"/>
    <tableColumn id="4" xr3:uid="{49ECBAAC-14EE-43F3-BE6F-974EF5F3E156}" name="Entrada" dataDxfId="1392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1" dataDxfId="1389" headerRowBorderDxfId="1390" tableBorderDxfId="1388" totalsRowBorderDxfId="1387">
  <autoFilter ref="K5:M11" xr:uid="{00000000-0009-0000-0100-000015000000}"/>
  <tableColumns count="3">
    <tableColumn id="1" xr3:uid="{5236D397-E61A-4AA1-B99C-AD40093239F9}" name="Descrição" dataDxfId="1386"/>
    <tableColumn id="2" xr3:uid="{3341FC2A-819A-41AF-B8A9-B5A195B8D597}" name="Tipo de Pagto" dataDxfId="1385"/>
    <tableColumn id="3" xr3:uid="{D568CA16-B32B-4F86-9DE5-B8B3E9825745}" name="Valor" dataDxfId="1384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3" dataDxfId="1381" headerRowBorderDxfId="1382" tableBorderDxfId="1380" totalsRowBorderDxfId="137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78"/>
    <tableColumn id="2" xr3:uid="{DEEB020C-2BC4-4E77-9557-B0FDBCF683E9}" name="Cliente" dataDxfId="1377"/>
    <tableColumn id="3" xr3:uid="{FC27FDBE-5194-4E32-AFD1-DB754ECCEF38}" name="Forma de Pgto" dataDxfId="1376" dataCellStyle="Moeda"/>
    <tableColumn id="4" xr3:uid="{489A4CE9-C3F1-4322-9639-D01F0935FB0E}" name="Valor Venda" dataDxfId="1375" dataCellStyle="Porcentagem"/>
    <tableColumn id="5" xr3:uid="{07E5F22F-7782-466E-98DB-48416B35B9C4}" name="Entrada" dataDxfId="1374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3" dataDxfId="1371" headerRowBorderDxfId="1372" tableBorderDxfId="1370" totalsRowBorderDxfId="1369">
  <autoFilter ref="K14:M31" xr:uid="{C83FE64B-E221-4DAA-89EA-5307A7BC98B3}"/>
  <tableColumns count="3">
    <tableColumn id="1" xr3:uid="{E4926A1A-00A9-4844-90B1-E36D53050FAD}" name="OS" dataDxfId="1368"/>
    <tableColumn id="2" xr3:uid="{CFC62C38-9887-48E6-A3B8-42586D1EC066}" name="Vendedor" dataDxfId="1367"/>
    <tableColumn id="3" xr3:uid="{32577275-2002-496E-8AD4-5FE489DBC179}" name="CARNE" dataDxfId="1366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5" dataDxfId="1363" headerRowBorderDxfId="1364" tableBorderDxfId="1362" totalsRowBorderDxfId="136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0"/>
    <tableColumn id="2" xr3:uid="{19438CD0-86D0-4CC4-9B41-5D756AC61E4D}" name="Cliente" dataDxfId="1359"/>
    <tableColumn id="3" xr3:uid="{59621200-4821-4583-9D35-A2EA6C27B52D}" name="Forma de Pgto" dataDxfId="1358" dataCellStyle="Moeda"/>
    <tableColumn id="4" xr3:uid="{35A817E7-6B21-48A7-863E-225DFEDD8B2A}" name="Valor Parcela" dataDxfId="1357" dataCellStyle="Porcentagem"/>
    <tableColumn id="5" xr3:uid="{77D80430-C5F8-4582-B3DF-9A9A9350F565}" name="Nº Parcela" dataDxfId="1356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5" dataDxfId="1353" headerRowBorderDxfId="1354" tableBorderDxfId="1352" totalsRowBorderDxfId="1351">
  <autoFilter ref="K34:M41" xr:uid="{1B8643D4-6AC3-4029-882A-C62E9D7CB225}"/>
  <tableColumns count="3">
    <tableColumn id="1" xr3:uid="{503F9F70-E540-4505-B65D-D233FCB88D5F}" name="OS" dataDxfId="1350"/>
    <tableColumn id="2" xr3:uid="{6A2B4927-D830-4C18-8831-6FE23BFAD877}" name="Parcelas" dataDxfId="1349"/>
    <tableColumn id="3" xr3:uid="{8E06E94A-FF62-4D13-8B11-C6CE2990FCDF}" name="Valor Total" dataDxfId="1348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47" dataDxfId="1345" headerRowBorderDxfId="1346" tableBorderDxfId="1344" totalsRowBorderDxfId="134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2" dataCellStyle="Moeda"/>
    <tableColumn id="5" xr3:uid="{00000000-0010-0000-0900-000005000000}" name="Cliente" dataDxfId="1341" dataCellStyle="Moeda"/>
    <tableColumn id="2" xr3:uid="{00000000-0010-0000-0900-000002000000}" name="Forma de Pgto" dataDxfId="1340" dataCellStyle="Moeda"/>
    <tableColumn id="3" xr3:uid="{00000000-0010-0000-0900-000003000000}" name="Valor Venda" dataDxfId="1339" dataCellStyle="Porcentagem"/>
    <tableColumn id="4" xr3:uid="{00000000-0010-0000-0900-000004000000}" name="Entrada" dataDxfId="1338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37" dataDxfId="1335" headerRowBorderDxfId="1336" tableBorderDxfId="1334" totalsRowBorderDxfId="1333">
  <autoFilter ref="K5:M11" xr:uid="{00000000-0009-0000-0100-000015000000}"/>
  <tableColumns count="3">
    <tableColumn id="1" xr3:uid="{00000000-0010-0000-0A00-000001000000}" name="Descrição" dataDxfId="1332"/>
    <tableColumn id="2" xr3:uid="{00000000-0010-0000-0A00-000002000000}" name="Tipo de Pagto" dataDxfId="1331"/>
    <tableColumn id="3" xr3:uid="{00000000-0010-0000-0A00-000003000000}" name="Valor" dataDxfId="1330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29" dataDxfId="1327" headerRowBorderDxfId="1328" tableBorderDxfId="1326" totalsRowBorderDxfId="132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4"/>
    <tableColumn id="2" xr3:uid="{00000000-0010-0000-0B00-000002000000}" name="Cliente" dataDxfId="1323"/>
    <tableColumn id="3" xr3:uid="{00000000-0010-0000-0B00-000003000000}" name="Forma de Pgto" dataDxfId="1322" dataCellStyle="Moeda"/>
    <tableColumn id="4" xr3:uid="{00000000-0010-0000-0B00-000004000000}" name="Valor Venda" dataDxfId="1321" dataCellStyle="Porcentagem"/>
    <tableColumn id="5" xr3:uid="{00000000-0010-0000-0B00-000005000000}" name="Entrada" dataDxfId="1320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19" dataDxfId="1317" headerRowBorderDxfId="1318" tableBorderDxfId="1316" totalsRowBorderDxfId="1315">
  <autoFilter ref="K14:M31" xr:uid="{C83FE64B-E221-4DAA-89EA-5307A7BC98B3}"/>
  <tableColumns count="3">
    <tableColumn id="1" xr3:uid="{E5EB8AC8-7F8E-49D1-A903-14124A5BA1B1}" name="OS" dataDxfId="1314"/>
    <tableColumn id="2" xr3:uid="{E1794679-294A-42ED-9D8F-4C0874170BFA}" name="Vendedor" dataDxfId="1313"/>
    <tableColumn id="3" xr3:uid="{CB411C23-941D-4548-984D-68460932D683}" name="CARNE" dataDxfId="1312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11" dataDxfId="1309" headerRowBorderDxfId="1310" tableBorderDxfId="1308" totalsRowBorderDxfId="130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306"/>
    <tableColumn id="2" xr3:uid="{430FE27E-32BC-43B0-BB6E-CCBAB36B2A5A}" name="Cliente" dataDxfId="1305"/>
    <tableColumn id="3" xr3:uid="{568CECCF-BE0A-4266-A7C7-9359F722EA0F}" name="Forma de Pgto" dataDxfId="1304" dataCellStyle="Moeda"/>
    <tableColumn id="4" xr3:uid="{9CF4291A-8808-43DB-9F83-A7EB463C5F4A}" name="Valor Parcela" dataDxfId="1303" dataCellStyle="Porcentagem"/>
    <tableColumn id="5" xr3:uid="{736EA743-97FA-4800-BEDD-5C07EEB144A8}" name="Nº Parcela" dataDxfId="1302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1" dataDxfId="1299" headerRowBorderDxfId="1300" tableBorderDxfId="1298" totalsRowBorderDxfId="1297">
  <autoFilter ref="K34:M41" xr:uid="{1B8643D4-6AC3-4029-882A-C62E9D7CB225}"/>
  <tableColumns count="3">
    <tableColumn id="1" xr3:uid="{132FEC50-51B3-4AAA-BF48-63FA39ED861C}" name="OS" dataDxfId="1296"/>
    <tableColumn id="2" xr3:uid="{11276640-1C63-48D7-BE0B-1FE7C736A1A8}" name="Parcelas" dataDxfId="1295"/>
    <tableColumn id="3" xr3:uid="{96591591-9F74-40A6-B0B9-BA6D2106107F}" name="Valor Total" dataDxfId="129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3" dataDxfId="1291" headerRowBorderDxfId="1292" tableBorderDxfId="1290" totalsRowBorderDxfId="128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88" dataCellStyle="Moeda"/>
    <tableColumn id="5" xr3:uid="{795F9F6D-AAE5-4C61-A646-82BF506C503E}" name="Cliente" dataDxfId="1287" dataCellStyle="Moeda"/>
    <tableColumn id="2" xr3:uid="{DD13626B-6361-410E-BFB7-9E75436163A4}" name="Forma de Pgto" dataDxfId="1286" dataCellStyle="Moeda"/>
    <tableColumn id="3" xr3:uid="{8939280F-F6DC-4F66-ADDF-59F6A387460C}" name="Valor Venda" dataDxfId="1285" dataCellStyle="Porcentagem"/>
    <tableColumn id="4" xr3:uid="{FFC83B9E-825A-4058-BFEA-DA64D7159065}" name="Entrada" dataDxfId="128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3" dataDxfId="1281" headerRowBorderDxfId="1282" tableBorderDxfId="1280" totalsRowBorderDxfId="1279">
  <autoFilter ref="K5:M11" xr:uid="{00000000-0009-0000-0100-000015000000}"/>
  <tableColumns count="3">
    <tableColumn id="1" xr3:uid="{9309A091-2326-4B68-B8C9-B31CF2D72EAF}" name="Descrição" dataDxfId="1278"/>
    <tableColumn id="2" xr3:uid="{910D89CE-506B-440F-8EB2-31633D7CAD51}" name="Tipo de Pagto" dataDxfId="1277"/>
    <tableColumn id="3" xr3:uid="{7155C391-52F1-4F4A-84B1-7BBC44A35A99}" name="Valor" dataDxfId="127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5" dataDxfId="1273" headerRowBorderDxfId="1274" tableBorderDxfId="1272" totalsRowBorderDxfId="127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0"/>
    <tableColumn id="2" xr3:uid="{75B601B3-9668-4B1A-ADF2-17DA487A3413}" name="Cliente" dataDxfId="1269"/>
    <tableColumn id="3" xr3:uid="{64F47935-52AF-4AE3-9262-06D7472567D7}" name="Forma de Pgto" dataDxfId="1268" dataCellStyle="Moeda"/>
    <tableColumn id="4" xr3:uid="{9257AA0D-34DE-4B38-8406-BC1F561A53B3}" name="Valor Venda" dataDxfId="1267" dataCellStyle="Porcentagem"/>
    <tableColumn id="5" xr3:uid="{4C98958F-FB27-4968-81B6-D7CC6BBD2DAE}" name="Entrada" dataDxfId="126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5" dataDxfId="1263" headerRowBorderDxfId="1264" tableBorderDxfId="1262" totalsRowBorderDxfId="126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0"/>
    <tableColumn id="2" xr3:uid="{AEB024E2-EB15-40A6-B65B-468339937BD0}" name="Vendedor" dataDxfId="1259"/>
    <tableColumn id="3" xr3:uid="{ACDDDA2A-4116-4E25-B799-0071372A8FAA}" name="CARNE" dataDxfId="125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57" dataDxfId="1255" headerRowBorderDxfId="1256" tableBorderDxfId="1254" totalsRowBorderDxfId="125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52"/>
    <tableColumn id="2" xr3:uid="{A06C5B3A-A28C-4563-87C4-B63635D6E7B9}" name="Cliente" dataDxfId="1251"/>
    <tableColumn id="3" xr3:uid="{4AC120F2-6F4A-41F2-87D2-680E8D6F8D96}" name="Forma de Pgto" dataDxfId="1250" dataCellStyle="Moeda"/>
    <tableColumn id="4" xr3:uid="{17DB2EA9-C13D-4AEB-AB97-B4C907D16420}" name="Valor Parcela" dataDxfId="1249" dataCellStyle="Porcentagem"/>
    <tableColumn id="5" xr3:uid="{F6E09F06-2F23-4822-A9B4-D8898604A1E0}" name="Nº Parcela" dataDxfId="124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47" dataDxfId="1245" headerRowBorderDxfId="1246" tableBorderDxfId="1244" totalsRowBorderDxfId="1243">
  <autoFilter ref="K34:M41" xr:uid="{1B8643D4-6AC3-4029-882A-C62E9D7CB225}"/>
  <tableColumns count="3">
    <tableColumn id="1" xr3:uid="{D0DE8F47-9BDA-4E4F-92E6-E2404F920F1B}" name="OS" dataDxfId="1242"/>
    <tableColumn id="2" xr3:uid="{43AD47D8-F738-4D39-8B0B-E0AC217D9D32}" name="Parcelas" dataDxfId="1241"/>
    <tableColumn id="3" xr3:uid="{024ED2FF-C4EC-44DC-9129-9BE8032DC4A5}" name="Valor Total" dataDxfId="1240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39" dataDxfId="1237" headerRowBorderDxfId="1238" tableBorderDxfId="1236" totalsRowBorderDxfId="123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4" dataCellStyle="Moeda"/>
    <tableColumn id="5" xr3:uid="{C13AA79A-76C7-4954-B055-3EC7A6A9008A}" name="Cliente" dataDxfId="1233" dataCellStyle="Moeda"/>
    <tableColumn id="2" xr3:uid="{56D92948-0431-4E11-AC7A-A6D6B6D3D15E}" name="Forma de Pgto" dataDxfId="1232" dataCellStyle="Moeda"/>
    <tableColumn id="3" xr3:uid="{3348DA9C-6AA9-49E4-8450-E8BC22BC5F6C}" name="Valor Venda" dataDxfId="1231" dataCellStyle="Porcentagem"/>
    <tableColumn id="4" xr3:uid="{A03B4BE2-2B4F-4512-98ED-45C3754F4D2A}" name="Entrada" dataDxfId="1230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29" dataDxfId="1227" headerRowBorderDxfId="1228" tableBorderDxfId="1226" totalsRowBorderDxfId="1225">
  <autoFilter ref="K5:M11" xr:uid="{00000000-0009-0000-0100-000015000000}"/>
  <tableColumns count="3">
    <tableColumn id="1" xr3:uid="{2700D0CD-8906-41BB-B51F-AAECD67A05FE}" name="Descrição" dataDxfId="1224"/>
    <tableColumn id="2" xr3:uid="{00E5FAC2-C7E2-44A6-AA64-460782F41E47}" name="Tipo de Pagto" dataDxfId="1223"/>
    <tableColumn id="3" xr3:uid="{70D30678-03EC-4DC1-BB28-EBD756D1976D}" name="Valor" dataDxfId="1222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21" dataDxfId="1219" headerRowBorderDxfId="1220" tableBorderDxfId="1218" totalsRowBorderDxfId="121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16"/>
    <tableColumn id="2" xr3:uid="{59310BF7-C6CA-49AF-8D7C-32023868A553}" name="Cliente" dataDxfId="1215"/>
    <tableColumn id="3" xr3:uid="{C13BE163-BA03-41E0-A121-27164C58ABA3}" name="Forma de Pgto" dataDxfId="1214" dataCellStyle="Moeda"/>
    <tableColumn id="4" xr3:uid="{E9797482-8A01-4C8B-8B66-47DE3D38D78F}" name="Valor Venda" dataDxfId="1213" dataCellStyle="Porcentagem"/>
    <tableColumn id="5" xr3:uid="{864D3F67-D199-48BA-8E16-3EFBAC4AF8A2}" name="Entrada" dataDxfId="1212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1" dataDxfId="1209" headerRowBorderDxfId="1210" tableBorderDxfId="1208" totalsRowBorderDxfId="1207">
  <autoFilter ref="K14:M31" xr:uid="{C83FE64B-E221-4DAA-89EA-5307A7BC98B3}"/>
  <tableColumns count="3">
    <tableColumn id="1" xr3:uid="{92200504-6651-4517-B155-4C75687BBC1E}" name="OS" dataDxfId="1206"/>
    <tableColumn id="2" xr3:uid="{BE1934F5-5D06-41D6-9394-C4D383C8CD33}" name="Vendedor" dataDxfId="1205"/>
    <tableColumn id="3" xr3:uid="{F504E9B2-856C-4C10-AA72-D7A7B035B330}" name="CARNE" dataDxfId="1204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03" dataDxfId="1201" headerRowBorderDxfId="1202" tableBorderDxfId="1200" totalsRowBorderDxfId="119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98"/>
    <tableColumn id="2" xr3:uid="{95B09C40-3752-47D7-9085-F5B42BC487DA}" name="Cliente" dataDxfId="1197"/>
    <tableColumn id="3" xr3:uid="{1A0B311C-327A-4C44-9D04-81730B41B9A2}" name="Forma de Pgto" dataDxfId="1196" dataCellStyle="Moeda"/>
    <tableColumn id="4" xr3:uid="{9A802666-F9A1-4EB6-824C-ECF60066044F}" name="Valor Parcela" dataDxfId="1195" dataCellStyle="Porcentagem"/>
    <tableColumn id="5" xr3:uid="{1CC0AF26-B599-4D4F-8BD5-BBE76DBCE085}" name="Nº Parcela" dataDxfId="1194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3" dataDxfId="1191" headerRowBorderDxfId="1192" tableBorderDxfId="1190" totalsRowBorderDxfId="1189">
  <autoFilter ref="K34:M41" xr:uid="{1B8643D4-6AC3-4029-882A-C62E9D7CB225}"/>
  <tableColumns count="3">
    <tableColumn id="1" xr3:uid="{D712257D-E310-4A34-972E-E8E3502C0E07}" name="OS" dataDxfId="1188"/>
    <tableColumn id="2" xr3:uid="{DE78D123-6817-4646-8C08-920B2F11524F}" name="Parcelas" dataDxfId="1187"/>
    <tableColumn id="3" xr3:uid="{5BFF5A3E-02FE-410E-B1DB-45BB5A31FC42}" name="Valor Total" dataDxfId="1186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5" dataDxfId="1183" headerRowBorderDxfId="1184" tableBorderDxfId="1182" totalsRowBorderDxfId="11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80" dataCellStyle="Moeda"/>
    <tableColumn id="5" xr3:uid="{A57F8BDB-02F9-493C-AD6D-F47611C369D5}" name="Cliente" dataDxfId="1179" dataCellStyle="Moeda"/>
    <tableColumn id="2" xr3:uid="{3BF4EA26-026F-42E1-9B28-3FCC68B54E9F}" name="Forma de Pgto" dataDxfId="1178" dataCellStyle="Moeda"/>
    <tableColumn id="3" xr3:uid="{FD063076-8462-4774-B716-34AAD1738449}" name="Valor Venda" dataDxfId="1177" dataCellStyle="Porcentagem"/>
    <tableColumn id="4" xr3:uid="{690445E0-65B1-450A-A6D3-179070107086}" name="Entrada" dataDxfId="1176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5" dataDxfId="1173" headerRowBorderDxfId="1174" tableBorderDxfId="1172" totalsRowBorderDxfId="1171">
  <autoFilter ref="K5:M11" xr:uid="{00000000-0009-0000-0100-000015000000}"/>
  <tableColumns count="3">
    <tableColumn id="1" xr3:uid="{5D510C76-887A-4F0A-A2F3-BD55732E9E85}" name="Descrição" dataDxfId="1170"/>
    <tableColumn id="2" xr3:uid="{F6C1F4A7-28F4-48F8-905E-708FA62EB574}" name="Tipo de Pagto" dataDxfId="1169"/>
    <tableColumn id="3" xr3:uid="{E62B0002-F6CD-4351-A9EA-673FC7C97B03}" name="Valor" dataDxfId="1168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67" dataDxfId="1165" headerRowBorderDxfId="1166" tableBorderDxfId="1164" totalsRowBorderDxfId="1163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62"/>
    <tableColumn id="2" xr3:uid="{822B50C3-46B7-46F0-8829-5293CCAFB21E}" name="Cliente" dataDxfId="1161"/>
    <tableColumn id="3" xr3:uid="{F2A36AB3-30D6-4C43-A466-18FF147EE075}" name="Forma de Pgto" dataDxfId="1160" dataCellStyle="Moeda"/>
    <tableColumn id="4" xr3:uid="{AD829CF8-2271-44F1-A1F1-4928D83ED658}" name="Valor Venda" dataDxfId="1159" dataCellStyle="Porcentagem"/>
    <tableColumn id="5" xr3:uid="{7973C843-3740-4AE2-931D-89DE845BA145}" name="Entrada" dataDxfId="1158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57" dataDxfId="1155" headerRowBorderDxfId="1156" tableBorderDxfId="1154" totalsRowBorderDxfId="1153">
  <autoFilter ref="K14:M31" xr:uid="{C83FE64B-E221-4DAA-89EA-5307A7BC98B3}"/>
  <tableColumns count="3">
    <tableColumn id="1" xr3:uid="{404BEA27-9F48-40AC-AF84-177E7CA2ADEC}" name="OS" dataDxfId="1152"/>
    <tableColumn id="2" xr3:uid="{BC07784A-25E9-4C57-B0FF-1E3D183BCD37}" name="Vendedor" dataDxfId="1151"/>
    <tableColumn id="3" xr3:uid="{EFFF7860-5B35-466B-BA53-4485DC02FB15}" name="CARNE" dataDxfId="1150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49" dataDxfId="1147" headerRowBorderDxfId="1148" tableBorderDxfId="1146" totalsRowBorderDxfId="1145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44"/>
    <tableColumn id="2" xr3:uid="{A8D4686B-F05E-4D96-BDB9-FD354C9E28B8}" name="Cliente" dataDxfId="1143"/>
    <tableColumn id="3" xr3:uid="{0FB871EC-4505-4E7C-A162-0EFDB16AB8E5}" name="Forma de Pgto" dataDxfId="1142" dataCellStyle="Moeda"/>
    <tableColumn id="4" xr3:uid="{41436228-3E61-4F7F-80EF-627B1794150B}" name="Valor Parcela" dataDxfId="1141" dataCellStyle="Porcentagem"/>
    <tableColumn id="5" xr3:uid="{9C580DC7-08E3-4AD7-B73C-C1AA4298633B}" name="Nº Parcela" dataDxfId="1140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39" dataDxfId="1137" headerRowBorderDxfId="1138" tableBorderDxfId="1136" totalsRowBorderDxfId="1135">
  <autoFilter ref="K34:M41" xr:uid="{1B8643D4-6AC3-4029-882A-C62E9D7CB225}"/>
  <tableColumns count="3">
    <tableColumn id="1" xr3:uid="{6E774D52-7DFE-4ED1-9F2F-47B5899CBAC1}" name="OS" dataDxfId="1134"/>
    <tableColumn id="2" xr3:uid="{39CE62CA-537C-4DF4-B8D5-281ED0EE57C3}" name="Parcelas" dataDxfId="1133"/>
    <tableColumn id="3" xr3:uid="{830AFF05-9BCF-488F-97F3-8D4378DE4DCB}" name="Valor Total" dataDxfId="1132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1" dataDxfId="1129" headerRowBorderDxfId="1130" tableBorderDxfId="1128" totalsRowBorderDxfId="11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26" dataCellStyle="Moeda"/>
    <tableColumn id="5" xr3:uid="{CE0B3E90-9420-4A96-9195-72088311874E}" name="Cliente" dataDxfId="1125" dataCellStyle="Moeda"/>
    <tableColumn id="2" xr3:uid="{3EF1B45D-588D-4066-8ACF-697863B5F984}" name="Forma de Pgto" dataDxfId="1124" dataCellStyle="Moeda"/>
    <tableColumn id="3" xr3:uid="{9ADBAC7B-B04C-4E2B-9C83-E18200698CCE}" name="Valor Venda" dataDxfId="1123" dataCellStyle="Porcentagem"/>
    <tableColumn id="4" xr3:uid="{16823673-1F5B-4F46-A676-8665CF4D02BA}" name="Entrada" dataDxfId="1122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1" dataDxfId="1119" headerRowBorderDxfId="1120" tableBorderDxfId="1118" totalsRowBorderDxfId="1117">
  <autoFilter ref="K5:M11" xr:uid="{00000000-0009-0000-0100-000015000000}"/>
  <tableColumns count="3">
    <tableColumn id="1" xr3:uid="{A02811B4-F6FA-4EDA-94FE-5EDFE6293B48}" name="Descrição" dataDxfId="1116"/>
    <tableColumn id="2" xr3:uid="{39EAD4CE-DDFA-4948-8B1E-10589BABDD84}" name="Tipo de Pagto" dataDxfId="1115"/>
    <tableColumn id="3" xr3:uid="{30C3BD81-38C9-4C67-BF45-044DFDDD7A0B}" name="Valor" dataDxfId="1114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3" dataDxfId="1111" headerRowBorderDxfId="1112" tableBorderDxfId="1110" totalsRowBorderDxfId="11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08"/>
    <tableColumn id="2" xr3:uid="{BE6E3444-490A-4F75-BE63-234EB84D04F7}" name="Cliente" dataDxfId="1107"/>
    <tableColumn id="3" xr3:uid="{868472E6-6C45-4AEC-9672-E559CFA15EA7}" name="Forma de Pgto" dataDxfId="1106" dataCellStyle="Moeda"/>
    <tableColumn id="4" xr3:uid="{DB2D0AA9-9B1E-4A35-B9B2-8B1052EAD782}" name="Valor Venda" dataDxfId="1105" dataCellStyle="Porcentagem"/>
    <tableColumn id="5" xr3:uid="{C23CEEDF-415E-4EFC-ACF7-2661157A84C3}" name="Entrada" dataDxfId="1104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3" dataDxfId="1101" headerRowBorderDxfId="1102" tableBorderDxfId="1100" totalsRowBorderDxfId="109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98"/>
    <tableColumn id="2" xr3:uid="{13D709D4-8F81-4D58-95F2-22F1C686CB18}" name="Vendedor" dataDxfId="1097"/>
    <tableColumn id="3" xr3:uid="{92130A71-CEC8-4371-B6C9-DA29C0189A09}" name="CARNE" dataDxfId="1096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5" dataDxfId="1093" headerRowBorderDxfId="1094" tableBorderDxfId="1092" totalsRowBorderDxfId="10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0"/>
    <tableColumn id="2" xr3:uid="{7652DD36-D535-400C-856B-02CB62C18176}" name="Cliente" dataDxfId="1089"/>
    <tableColumn id="3" xr3:uid="{129618E1-FDB4-497A-9DB0-29AC7143AF10}" name="Forma de Pgto" dataDxfId="1088" dataCellStyle="Moeda"/>
    <tableColumn id="4" xr3:uid="{EC69F906-8001-4D12-8ED6-D597AE23E936}" name="Valor Parcela" dataDxfId="1087" dataCellStyle="Porcentagem"/>
    <tableColumn id="5" xr3:uid="{65040BF1-55E0-4DD6-926F-3F0324D47077}" name="Nº Parcela" dataDxfId="1086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5" headerRowBorderDxfId="1084" tableBorderDxfId="1083" totalsRowBorderDxfId="1082">
  <autoFilter ref="K34:M41" xr:uid="{1B8643D4-6AC3-4029-882A-C62E9D7CB225}"/>
  <tableColumns count="3">
    <tableColumn id="1" xr3:uid="{710179D9-1888-45A0-96B5-C6E1151FFFF0}" name="OS" dataDxfId="1081"/>
    <tableColumn id="2" xr3:uid="{D9D130F4-6D87-4655-90D8-AF3976107C2A}" name="Parcelas" dataDxfId="1080"/>
    <tableColumn id="3" xr3:uid="{07DCBA20-7E86-4F99-AED4-2BDCD854B71C}" name="Valor Total" dataDxfId="1079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78" dataDxfId="1076" headerRowBorderDxfId="1077" tableBorderDxfId="1075" totalsRowBorderDxfId="10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3" dataCellStyle="Moeda"/>
    <tableColumn id="5" xr3:uid="{C388448A-992D-4C2D-8BB2-14D587C7E260}" name="Cliente" dataDxfId="1072" dataCellStyle="Moeda"/>
    <tableColumn id="2" xr3:uid="{C66BE185-63F5-4991-91CC-2661F40F891F}" name="Forma de Pgto" dataDxfId="1071" dataCellStyle="Moeda"/>
    <tableColumn id="3" xr3:uid="{C86C165C-F04B-4F8A-9769-AE38C03F025E}" name="Valor Venda" dataDxfId="1070" dataCellStyle="Porcentagem"/>
    <tableColumn id="4" xr3:uid="{C11C99C9-E646-4417-8698-61AFF55AB567}" name="Entrada" dataDxfId="1069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68" dataDxfId="1066" headerRowBorderDxfId="1067" tableBorderDxfId="1065" totalsRowBorderDxfId="1064">
  <autoFilter ref="K5:M11" xr:uid="{00000000-0009-0000-0100-000015000000}"/>
  <tableColumns count="3">
    <tableColumn id="1" xr3:uid="{696BC9EF-69BB-4D0D-96DF-B836B5771C08}" name="Descrição" dataDxfId="1063"/>
    <tableColumn id="2" xr3:uid="{4F12E940-09E4-4E51-A2A0-CEF5523233E2}" name="Tipo de Pagto" dataDxfId="1062"/>
    <tableColumn id="3" xr3:uid="{329E2ABB-99D4-47D1-8CEB-C3F4DE69A1C8}" name="Valor" dataDxfId="1061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0" dataDxfId="1058" headerRowBorderDxfId="1059" tableBorderDxfId="1057" totalsRowBorderDxfId="10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5"/>
    <tableColumn id="2" xr3:uid="{4745164B-5E29-4C65-87CA-C8C1B31B8272}" name="Cliente" dataDxfId="1054"/>
    <tableColumn id="3" xr3:uid="{69D7D490-36CA-4F69-BF76-2ADB810B4F37}" name="Forma de Pgto" dataDxfId="1053" dataCellStyle="Moeda"/>
    <tableColumn id="4" xr3:uid="{9B6B365B-42F7-499F-B705-B8F5196F8192}" name="Valor Venda" dataDxfId="1052" dataCellStyle="Porcentagem"/>
    <tableColumn id="5" xr3:uid="{7C88B9A2-2920-4AD8-AC1F-7417F3FA8282}" name="Entrada" dataDxfId="1051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0" dataDxfId="1048" headerRowBorderDxfId="1049" tableBorderDxfId="1047" totalsRowBorderDxfId="1046">
  <autoFilter ref="K14:M31" xr:uid="{C83FE64B-E221-4DAA-89EA-5307A7BC98B3}"/>
  <tableColumns count="3">
    <tableColumn id="1" xr3:uid="{5740FA63-223C-47B7-8842-178B003DB4BC}" name="OS" dataDxfId="1045"/>
    <tableColumn id="2" xr3:uid="{5CCC3C75-C80E-44BB-BC37-80F487481DDA}" name="Vendedor" dataDxfId="1044"/>
    <tableColumn id="3" xr3:uid="{585175B8-B982-429E-9344-163CE2687302}" name="CARNE" dataDxfId="1043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2" dataDxfId="1040" headerRowBorderDxfId="1041" tableBorderDxfId="1039" totalsRowBorderDxfId="10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37"/>
    <tableColumn id="2" xr3:uid="{2540FF22-68AB-4A04-B72D-DDBC8B064A8D}" name="Cliente" dataDxfId="1036"/>
    <tableColumn id="3" xr3:uid="{A7CB1680-9636-42C6-8AD9-F68C54BBCE0A}" name="Forma de Pgto" dataDxfId="1035" dataCellStyle="Moeda"/>
    <tableColumn id="4" xr3:uid="{727C37A8-450C-4D57-A2C9-396F29733C0A}" name="Valor Parcela" dataDxfId="1034" dataCellStyle="Porcentagem"/>
    <tableColumn id="5" xr3:uid="{4B27DCBF-BD8C-46A2-BC12-DE369C458E8A}" name="Nº Parcela" dataDxfId="1033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2" dataDxfId="1030" headerRowBorderDxfId="1031" tableBorderDxfId="1029" totalsRowBorderDxfId="1028">
  <autoFilter ref="K34:M41" xr:uid="{1B8643D4-6AC3-4029-882A-C62E9D7CB225}"/>
  <tableColumns count="3">
    <tableColumn id="1" xr3:uid="{60FAE849-4EC1-49E6-990F-8A43377EE6C3}" name="OS" dataDxfId="1027"/>
    <tableColumn id="2" xr3:uid="{B3127003-34D7-49FE-AFFC-7FA256F8BC3F}" name="Parcelas" dataDxfId="1026"/>
    <tableColumn id="3" xr3:uid="{412AC98E-5FB9-4C3C-9FBF-2EBE1631A397}" name="Valor Total" dataDxfId="1025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4" dataDxfId="1022" headerRowBorderDxfId="1023" tableBorderDxfId="1021" totalsRowBorderDxfId="102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19" dataCellStyle="Moeda"/>
    <tableColumn id="5" xr3:uid="{A1AF61B3-EFAB-450A-92B2-38E357233CD5}" name="Cliente" dataDxfId="1018" dataCellStyle="Moeda"/>
    <tableColumn id="2" xr3:uid="{DF277353-579D-439F-85C3-76DEACDE7A39}" name="Forma de Pgto" dataDxfId="1017" dataCellStyle="Moeda"/>
    <tableColumn id="3" xr3:uid="{7164D8F5-C0CB-47F7-BD16-B590E7D85EDB}" name="Valor Venda" dataDxfId="1016" dataCellStyle="Porcentagem"/>
    <tableColumn id="4" xr3:uid="{065B051D-7958-4E7D-972D-DDB0E8E7D052}" name="Entrada" dataDxfId="1015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4" dataDxfId="1012" headerRowBorderDxfId="1013" tableBorderDxfId="1011" totalsRowBorderDxfId="1010">
  <autoFilter ref="K5:M11" xr:uid="{00000000-0009-0000-0100-000015000000}"/>
  <tableColumns count="3">
    <tableColumn id="1" xr3:uid="{865498B1-F05E-46C9-B6C1-CCD85D9306C6}" name="Descrição" dataDxfId="1009"/>
    <tableColumn id="2" xr3:uid="{37F7AC6A-A7CD-43FB-89B1-5E904BAC1EBD}" name="Tipo de Pagto" dataDxfId="1008"/>
    <tableColumn id="3" xr3:uid="{A014E45A-B38A-47C2-A582-411CA2B495EE}" name="Valor" dataDxfId="1007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6" dataDxfId="1004" headerRowBorderDxfId="1005" tableBorderDxfId="1003" totalsRowBorderDxfId="100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1001"/>
    <tableColumn id="2" xr3:uid="{BC7B7FC1-CF4C-42C2-ABD3-DFEEA234B02B}" name="Cliente" dataDxfId="1000"/>
    <tableColumn id="3" xr3:uid="{67F17557-E38E-4865-93F5-DCEF4A7ED2C6}" name="Forma de Pgto" dataDxfId="999" dataCellStyle="Moeda"/>
    <tableColumn id="4" xr3:uid="{D2C10329-9C1A-4D0D-BC74-3A320E9B6593}" name="Valor Venda" dataDxfId="998" dataCellStyle="Porcentagem"/>
    <tableColumn id="5" xr3:uid="{82810E21-D152-4A22-94D5-0A28C60F4849}" name="Entrada" dataDxfId="997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6" dataDxfId="994" headerRowBorderDxfId="995" tableBorderDxfId="993" totalsRowBorderDxfId="992">
  <autoFilter ref="K14:M31" xr:uid="{C83FE64B-E221-4DAA-89EA-5307A7BC98B3}"/>
  <tableColumns count="3">
    <tableColumn id="1" xr3:uid="{7A4CC637-3546-4D1B-9D86-75C6034079BF}" name="OS" dataDxfId="991"/>
    <tableColumn id="2" xr3:uid="{CEB52B1C-2642-45A1-A1EB-26029A9B5402}" name="Vendedor" dataDxfId="990"/>
    <tableColumn id="3" xr3:uid="{8C88CFEB-7155-49BD-9D63-1FCC9096735E}" name="CARNE" dataDxfId="989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88" dataDxfId="986" headerRowBorderDxfId="987" tableBorderDxfId="985" totalsRowBorderDxfId="98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83"/>
    <tableColumn id="2" xr3:uid="{7C3577CA-FC44-4DC9-9002-D4EA74DFF73F}" name="Cliente" dataDxfId="982"/>
    <tableColumn id="3" xr3:uid="{77D25058-5D06-4E37-8746-BF184DDEEA81}" name="Forma de Pgto" dataDxfId="981" dataCellStyle="Moeda"/>
    <tableColumn id="4" xr3:uid="{5EDAFC3F-F478-449C-990C-45300A2C66DF}" name="Valor Parcela" dataDxfId="980" dataCellStyle="Porcentagem"/>
    <tableColumn id="5" xr3:uid="{5DBCC805-C046-4526-8886-13334D431CB2}" name="Nº Parcela" dataDxfId="979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78" dataDxfId="976" headerRowBorderDxfId="977" tableBorderDxfId="975" totalsRowBorderDxfId="974">
  <autoFilter ref="K34:M41" xr:uid="{1B8643D4-6AC3-4029-882A-C62E9D7CB225}"/>
  <tableColumns count="3">
    <tableColumn id="1" xr3:uid="{FDFEB034-D746-488E-9611-5C5421DF9812}" name="OS" dataDxfId="973"/>
    <tableColumn id="2" xr3:uid="{AD1C8A9C-91DA-4D2C-A438-9B8648A5521B}" name="Parcelas" dataDxfId="972"/>
    <tableColumn id="3" xr3:uid="{577D3B3F-3A18-4FE3-8E0F-E82C9012821F}" name="Valor Total" dataDxfId="971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0" dataDxfId="968" headerRowBorderDxfId="969" tableBorderDxfId="967" totalsRowBorderDxfId="96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5" dataCellStyle="Moeda"/>
    <tableColumn id="5" xr3:uid="{53B9FE46-E769-466F-9757-A5C752203582}" name="Cliente" dataDxfId="964" dataCellStyle="Moeda"/>
    <tableColumn id="2" xr3:uid="{9AFD5C78-132A-4E21-96EC-75882307A334}" name="Forma de Pgto" dataDxfId="963" dataCellStyle="Moeda"/>
    <tableColumn id="3" xr3:uid="{0B7791DE-BC7F-4EA7-87CC-E8588E2F6D00}" name="Valor Venda" dataDxfId="962" dataCellStyle="Porcentagem"/>
    <tableColumn id="4" xr3:uid="{EDACC2B7-28DE-40D1-BC9D-356B5D64934D}" name="Entrada" dataDxfId="961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0" dataDxfId="958" headerRowBorderDxfId="959" tableBorderDxfId="957" totalsRowBorderDxfId="956">
  <autoFilter ref="K5:M11" xr:uid="{00000000-0009-0000-0100-000015000000}"/>
  <tableColumns count="3">
    <tableColumn id="1" xr3:uid="{F638F61A-E4B9-4300-BD8D-C0A6A3D7A8E2}" name="Descrição" dataDxfId="955"/>
    <tableColumn id="2" xr3:uid="{9DC04330-37E5-4813-8F2D-4BAA554527A5}" name="Tipo de Pagto" dataDxfId="954"/>
    <tableColumn id="3" xr3:uid="{799A991A-3D2C-4EC1-A2D8-A1F3023DD9AF}" name="Valor" dataDxfId="953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2" dataDxfId="950" headerRowBorderDxfId="951" tableBorderDxfId="949" totalsRowBorderDxfId="94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47"/>
    <tableColumn id="2" xr3:uid="{2FD43CA2-90CA-449B-821F-205F1748177C}" name="Cliente" dataDxfId="946"/>
    <tableColumn id="3" xr3:uid="{A5640B64-FD50-49A5-B305-E61D9280F57A}" name="Forma de Pgto" dataDxfId="945" dataCellStyle="Moeda"/>
    <tableColumn id="4" xr3:uid="{26AD2EE8-2400-4B07-A340-99B1BA546B01}" name="Valor Venda" dataDxfId="944" dataCellStyle="Porcentagem"/>
    <tableColumn id="5" xr3:uid="{DF786930-B464-48C0-92C5-A18D129572D3}" name="Entrada" dataDxfId="943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2" dataDxfId="940" headerRowBorderDxfId="941" tableBorderDxfId="939" totalsRowBorderDxfId="938">
  <autoFilter ref="K14:M31" xr:uid="{C83FE64B-E221-4DAA-89EA-5307A7BC98B3}"/>
  <tableColumns count="3">
    <tableColumn id="1" xr3:uid="{686E8A3B-2CC1-443E-B3F0-07F1D6AF8C19}" name="OS" dataDxfId="937"/>
    <tableColumn id="2" xr3:uid="{1250D1EA-82EB-4EB4-AEDB-99799165C996}" name="Vendedor" dataDxfId="936"/>
    <tableColumn id="3" xr3:uid="{F6A6C0FE-3106-4929-AC63-C2A418BAD9A1}" name="CARNE" dataDxfId="935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4" dataDxfId="932" headerRowBorderDxfId="933" tableBorderDxfId="931" totalsRowBorderDxfId="93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29"/>
    <tableColumn id="2" xr3:uid="{6946C657-632E-4A47-A04C-EBD987018798}" name="Cliente" dataDxfId="928"/>
    <tableColumn id="3" xr3:uid="{11747110-E63B-4D92-AE0D-F744DD494204}" name="Forma de Pgto" dataDxfId="927" dataCellStyle="Moeda"/>
    <tableColumn id="4" xr3:uid="{7637A14A-3C11-482C-A77B-09489718F039}" name="Valor Parcela" dataDxfId="926" dataCellStyle="Porcentagem"/>
    <tableColumn id="5" xr3:uid="{E03E863B-EAD4-4137-9B26-2CA0EAC2F09E}" name="Nº Parcela" dataDxfId="925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4" dataDxfId="922" headerRowBorderDxfId="923" tableBorderDxfId="921" totalsRowBorderDxfId="920">
  <autoFilter ref="K34:M41" xr:uid="{1B8643D4-6AC3-4029-882A-C62E9D7CB225}"/>
  <tableColumns count="3">
    <tableColumn id="1" xr3:uid="{6F6F5FBA-037D-4F8B-8355-AC821A55F803}" name="OS" dataDxfId="919"/>
    <tableColumn id="2" xr3:uid="{BEED8472-6636-42D9-A60A-E43C842B7D8F}" name="Parcelas" dataDxfId="918"/>
    <tableColumn id="3" xr3:uid="{0CE64280-F6A9-46AC-8696-F227912F6552}" name="Valor Total" dataDxfId="917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6" dataDxfId="914" headerRowBorderDxfId="915" tableBorderDxfId="913" totalsRowBorderDxfId="91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1" dataCellStyle="Moeda"/>
    <tableColumn id="5" xr3:uid="{864A4F89-382F-4099-9D59-467A7AB12940}" name="Cliente" dataDxfId="910" dataCellStyle="Moeda"/>
    <tableColumn id="2" xr3:uid="{529253EE-0917-4E7A-AA5F-14D2DCAD4080}" name="Forma de Pgto" dataDxfId="909" dataCellStyle="Moeda"/>
    <tableColumn id="3" xr3:uid="{7A07E6EC-5721-4AB5-B7BB-F8D16153B615}" name="Valor Venda" dataDxfId="908" dataCellStyle="Porcentagem"/>
    <tableColumn id="4" xr3:uid="{E3569DCA-7BA5-47A8-9C20-6FB2B553052E}" name="Entrada" dataDxfId="907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6" dataDxfId="904" headerRowBorderDxfId="905" tableBorderDxfId="903" totalsRowBorderDxfId="902">
  <autoFilter ref="K5:M11" xr:uid="{00000000-0009-0000-0100-000015000000}"/>
  <tableColumns count="3">
    <tableColumn id="1" xr3:uid="{95CF041F-F7B4-4974-9B76-66A5C7C3CF1E}" name="Descrição" dataDxfId="901"/>
    <tableColumn id="2" xr3:uid="{010F2147-2B02-4E80-9D4E-E9E6110BD535}" name="Tipo de Pagto" dataDxfId="900"/>
    <tableColumn id="3" xr3:uid="{667C80AD-481C-4689-8F6A-2426991759A7}" name="Valor" dataDxfId="899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98" dataDxfId="896" headerRowBorderDxfId="897" tableBorderDxfId="895" totalsRowBorderDxfId="89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3"/>
    <tableColumn id="2" xr3:uid="{A401C727-3942-4BDF-BC32-5D789E1F6979}" name="Cliente" dataDxfId="892"/>
    <tableColumn id="3" xr3:uid="{29237CE2-AC3D-477F-ABA7-60B5DA6F8120}" name="Forma de Pgto" dataDxfId="891" dataCellStyle="Moeda"/>
    <tableColumn id="4" xr3:uid="{A39B1F5A-49E3-45B8-BCA8-E3252A43E2CC}" name="Valor Venda" dataDxfId="890" dataCellStyle="Porcentagem"/>
    <tableColumn id="5" xr3:uid="{A1809E96-D43C-48CA-B4B0-F8952BB21709}" name="Entrada" dataDxfId="889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88" dataDxfId="886" headerRowBorderDxfId="887" tableBorderDxfId="885" totalsRowBorderDxfId="884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3"/>
    <tableColumn id="2" xr3:uid="{61C3945B-58EB-4D02-A420-14D13F69B1FD}" name="Vendedor" dataDxfId="882"/>
    <tableColumn id="3" xr3:uid="{310A696D-E474-4609-8CAC-92E3BC19A517}" name="CARNE" dataDxfId="881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0" dataDxfId="878" headerRowBorderDxfId="879" tableBorderDxfId="877" totalsRowBorderDxfId="87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5"/>
    <tableColumn id="2" xr3:uid="{A7114117-5F41-4611-B14C-A3B2F7C35961}" name="Cliente" dataDxfId="874"/>
    <tableColumn id="3" xr3:uid="{3B2F2924-60FC-459E-BAAE-2D26D316360F}" name="Forma de Pgto" dataDxfId="873" dataCellStyle="Moeda"/>
    <tableColumn id="4" xr3:uid="{8C86BF8B-36B7-46FA-B050-2F1437A14710}" name="Valor Parcela" dataDxfId="872" dataCellStyle="Porcentagem"/>
    <tableColumn id="5" xr3:uid="{C429DF1A-E6B0-43DD-A949-A1EBA6DBEC04}" name="Nº Parcela" dataDxfId="871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0" dataDxfId="868" headerRowBorderDxfId="869" tableBorderDxfId="867" totalsRowBorderDxfId="866">
  <autoFilter ref="K34:M41" xr:uid="{1B8643D4-6AC3-4029-882A-C62E9D7CB225}"/>
  <tableColumns count="3">
    <tableColumn id="1" xr3:uid="{182484ED-66B8-43D1-B168-BDEB5996673F}" name="OS" dataDxfId="865"/>
    <tableColumn id="2" xr3:uid="{FC47BB11-B6D3-4928-BFCD-BDAC4B2BDD2F}" name="Parcelas" dataDxfId="864"/>
    <tableColumn id="3" xr3:uid="{F7E0E4E8-A2A1-4513-B1F5-B98008299FD0}" name="Valor Total" dataDxfId="863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2" dataDxfId="860" headerRowBorderDxfId="861" tableBorderDxfId="859" totalsRowBorderDxfId="85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57" dataCellStyle="Moeda"/>
    <tableColumn id="5" xr3:uid="{2B9E675C-5EB2-4EBC-8FDE-19F93E6E7B08}" name="Cliente" dataDxfId="856" dataCellStyle="Moeda"/>
    <tableColumn id="2" xr3:uid="{04A3548D-E88B-4096-85CB-E08243412A85}" name="Forma de Pgto" dataDxfId="855" dataCellStyle="Moeda"/>
    <tableColumn id="3" xr3:uid="{977F794D-E094-4347-935B-1202B7138C52}" name="Valor Venda" dataDxfId="854" dataCellStyle="Porcentagem"/>
    <tableColumn id="4" xr3:uid="{908F3845-FF06-4899-A550-28B1BE92D1A9}" name="Entrada" dataDxfId="853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2" dataDxfId="850" headerRowBorderDxfId="851" tableBorderDxfId="849" totalsRowBorderDxfId="848">
  <autoFilter ref="K5:M11" xr:uid="{00000000-0009-0000-0100-000015000000}"/>
  <tableColumns count="3">
    <tableColumn id="1" xr3:uid="{F9AC75BC-BCF6-4B22-9F75-0F3CC507495B}" name="Descrição" dataDxfId="847"/>
    <tableColumn id="2" xr3:uid="{61D86D1A-7892-4923-9684-5D9A01F0BD5D}" name="Tipo de Pagto" dataDxfId="846"/>
    <tableColumn id="3" xr3:uid="{3F8C718F-C7FE-423F-9F48-66FB2201CFE2}" name="Valor" dataDxfId="845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4" dataDxfId="842" headerRowBorderDxfId="843" tableBorderDxfId="841" totalsRowBorderDxfId="84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39"/>
    <tableColumn id="2" xr3:uid="{994EFF98-DD95-4B94-B1C7-D068C1D5212C}" name="Cliente" dataDxfId="838"/>
    <tableColumn id="3" xr3:uid="{7D4E72E0-4CFA-46C9-B3AF-A1654CF194A1}" name="Forma de Pgto" dataDxfId="837" dataCellStyle="Moeda"/>
    <tableColumn id="4" xr3:uid="{EE367263-F1E4-4631-A484-2013B6BA1F27}" name="Valor Venda" dataDxfId="836" dataCellStyle="Porcentagem"/>
    <tableColumn id="5" xr3:uid="{9DA475CB-BD5A-4734-A11F-3BB7DD0D9D7E}" name="Entrada" dataDxfId="835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4" dataDxfId="832" headerRowBorderDxfId="833" tableBorderDxfId="831" totalsRowBorderDxfId="83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29"/>
    <tableColumn id="2" xr3:uid="{9ED68045-86C7-4BE0-8AE0-0417F1DD76FD}" name="Vendedor" dataDxfId="828"/>
    <tableColumn id="3" xr3:uid="{F4076139-8BF9-457D-ADE6-1BCD435E31BB}" name="CARNE" dataDxfId="827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6" dataDxfId="824" headerRowBorderDxfId="825" tableBorderDxfId="823" totalsRowBorderDxfId="82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1"/>
    <tableColumn id="2" xr3:uid="{E89F59BF-5F0B-4E4E-B2BE-7B739967886D}" name="Cliente" dataDxfId="820"/>
    <tableColumn id="3" xr3:uid="{B348335B-A485-46BE-AECB-0672679F4468}" name="Forma de Pgto" dataDxfId="819" dataCellStyle="Moeda"/>
    <tableColumn id="4" xr3:uid="{73B13E6E-5431-4E90-9A6E-E15737DDA887}" name="Valor Parcela" dataDxfId="818" dataCellStyle="Porcentagem"/>
    <tableColumn id="5" xr3:uid="{C738A843-A8FD-4CB7-B2C8-59810BA17BF2}" name="Nº Parcela" dataDxfId="817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6" dataDxfId="814" headerRowBorderDxfId="815" tableBorderDxfId="813" totalsRowBorderDxfId="812">
  <autoFilter ref="K34:M41" xr:uid="{1B8643D4-6AC3-4029-882A-C62E9D7CB225}"/>
  <tableColumns count="3">
    <tableColumn id="1" xr3:uid="{3F5F54B7-8999-4296-A374-3780F172D2B8}" name="OS" dataDxfId="811"/>
    <tableColumn id="2" xr3:uid="{5F252D86-495C-4A65-B391-3FF46311DE83}" name="Parcelas" dataDxfId="810"/>
    <tableColumn id="3" xr3:uid="{50E905DA-42A9-43E1-8D51-FD4BDEAB81C8}" name="Valor Total" dataDxfId="809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08" dataDxfId="806" headerRowBorderDxfId="807" tableBorderDxfId="805" totalsRowBorderDxfId="8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3" dataCellStyle="Moeda"/>
    <tableColumn id="5" xr3:uid="{08C272CC-0220-47BB-9263-1AA910D9829C}" name="Cliente" dataDxfId="802" dataCellStyle="Moeda"/>
    <tableColumn id="2" xr3:uid="{DF276F1F-7FCA-4CE9-AD90-5340B6E688D4}" name="Forma de Pgto" dataDxfId="801" dataCellStyle="Moeda"/>
    <tableColumn id="3" xr3:uid="{CF6FE509-8C51-4621-87DF-AAD8645E20D4}" name="Valor Venda" dataDxfId="800" dataCellStyle="Porcentagem"/>
    <tableColumn id="4" xr3:uid="{5AB6BADB-DBB7-45C0-89E8-2C836C831FCF}" name="Entrada" dataDxfId="799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98" dataDxfId="796" headerRowBorderDxfId="797" tableBorderDxfId="795" totalsRowBorderDxfId="794">
  <autoFilter ref="K5:M11" xr:uid="{00000000-0009-0000-0100-000015000000}"/>
  <tableColumns count="3">
    <tableColumn id="1" xr3:uid="{8CE76670-7409-454F-9B3A-4BD739F5C5E3}" name="Descrição" dataDxfId="793"/>
    <tableColumn id="2" xr3:uid="{B2BAF2DB-A6EF-41C6-8A5D-66027E15C8F8}" name="Tipo de Pagto" dataDxfId="792"/>
    <tableColumn id="3" xr3:uid="{99CFD3BD-FC58-49DA-AC21-ACD3EE40336E}" name="Valor" dataDxfId="791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0" dataDxfId="788" headerRowBorderDxfId="789" tableBorderDxfId="787" totalsRowBorderDxfId="7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5"/>
    <tableColumn id="2" xr3:uid="{B886F79B-BD9C-476A-88F8-CB3F80E42FD0}" name="Cliente" dataDxfId="784"/>
    <tableColumn id="3" xr3:uid="{78D9CA4E-E9E8-4359-8144-996DE0EE7A64}" name="Forma de Pgto" dataDxfId="783" dataCellStyle="Moeda"/>
    <tableColumn id="4" xr3:uid="{F327BA72-0013-44A1-B3CE-07FACF46CAC8}" name="Valor Venda" dataDxfId="782" dataCellStyle="Porcentagem"/>
    <tableColumn id="5" xr3:uid="{20494810-9085-4087-A73E-D3FE8DC5C40D}" name="Entrada" dataDxfId="781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0" dataDxfId="778" headerRowBorderDxfId="779" tableBorderDxfId="777" totalsRowBorderDxfId="776">
  <autoFilter ref="K14:M31" xr:uid="{C83FE64B-E221-4DAA-89EA-5307A7BC98B3}"/>
  <tableColumns count="3">
    <tableColumn id="1" xr3:uid="{40D1E49B-6CB3-409E-AFC1-7315BAF42BBF}" name="OS" dataDxfId="775"/>
    <tableColumn id="2" xr3:uid="{4C8709E7-DDF3-475B-9A19-42E8B9FC587D}" name="Vendedor" dataDxfId="774"/>
    <tableColumn id="3" xr3:uid="{185D4DF1-07D8-4494-B6E4-5B4CFC4E2B4E}" name="CARNE" dataDxfId="773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2" dataDxfId="770" headerRowBorderDxfId="771" tableBorderDxfId="769" totalsRowBorderDxfId="7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67"/>
    <tableColumn id="2" xr3:uid="{CA06119C-2085-4F7F-B293-65E2AF15EEE5}" name="Cliente" dataDxfId="766"/>
    <tableColumn id="3" xr3:uid="{BF529E56-33D1-40B5-8E7B-EFBAB59D2A71}" name="Forma de Pgto" dataDxfId="765" dataCellStyle="Moeda"/>
    <tableColumn id="4" xr3:uid="{66CAC967-C216-41AB-BBFE-D7EC8E60B5DB}" name="Valor Parcela" dataDxfId="764" dataCellStyle="Porcentagem"/>
    <tableColumn id="5" xr3:uid="{684E478E-5460-400B-8F1B-2956E3BF42E8}" name="Nº Parcela" dataDxfId="763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2" dataDxfId="760" headerRowBorderDxfId="761" tableBorderDxfId="759" totalsRowBorderDxfId="758">
  <autoFilter ref="K34:M41" xr:uid="{1B8643D4-6AC3-4029-882A-C62E9D7CB225}"/>
  <tableColumns count="3">
    <tableColumn id="1" xr3:uid="{3DD44433-DB26-4FDD-8D11-D1C35C6FECEB}" name="OS" dataDxfId="757"/>
    <tableColumn id="2" xr3:uid="{A9DC5AE8-407E-40E2-8AD6-B02FE1A5CF20}" name="Parcelas" dataDxfId="756"/>
    <tableColumn id="3" xr3:uid="{6A850C65-FE9A-4796-B920-651ED5594439}" name="Valor Total" dataDxfId="755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4" dataDxfId="752" headerRowBorderDxfId="753" tableBorderDxfId="751" totalsRowBorderDxfId="750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49" dataCellStyle="Moeda"/>
    <tableColumn id="5" xr3:uid="{60E6A65C-186D-4764-A3E8-74F5C0B0AFC1}" name="Cliente" dataDxfId="748" dataCellStyle="Moeda"/>
    <tableColumn id="2" xr3:uid="{22FA520F-5DA7-46FD-9861-DF942B6D91AB}" name="Forma de Pgto" dataDxfId="747" dataCellStyle="Moeda"/>
    <tableColumn id="3" xr3:uid="{7DEE868C-EA7D-401A-A3DF-4CC64A44467F}" name="Valor Venda" dataDxfId="746" dataCellStyle="Porcentagem"/>
    <tableColumn id="4" xr3:uid="{720D25ED-5FF4-421F-94C6-24275CF94733}" name="Entrada" dataDxfId="745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4" dataDxfId="742" headerRowBorderDxfId="743" tableBorderDxfId="741" totalsRowBorderDxfId="740">
  <autoFilter ref="K5:M11" xr:uid="{00000000-0009-0000-0100-000015000000}"/>
  <tableColumns count="3">
    <tableColumn id="1" xr3:uid="{2FBA0522-04E5-4ED5-94F6-52B232AF2373}" name="Descrição" dataDxfId="739"/>
    <tableColumn id="2" xr3:uid="{DB3FC5DE-C5F6-4B07-A662-D19BD76E91F6}" name="Tipo de Pagto" dataDxfId="738"/>
    <tableColumn id="3" xr3:uid="{A2799F30-0033-4E72-9108-ABF645A8DCD3}" name="Valor" dataDxfId="737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6" dataDxfId="734" headerRowBorderDxfId="735" tableBorderDxfId="733" totalsRowBorderDxfId="7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1"/>
    <tableColumn id="2" xr3:uid="{6DECDDC0-CF3A-4677-94C4-62618488FE89}" name="Cliente" dataDxfId="730"/>
    <tableColumn id="3" xr3:uid="{D40EA3F2-0782-4C3D-A060-4DCC1DCF2881}" name="Forma de Pgto" dataDxfId="729" dataCellStyle="Moeda"/>
    <tableColumn id="4" xr3:uid="{A527DD67-780C-4EE1-A7AE-0831114EA80A}" name="Valor Venda" dataDxfId="728" dataCellStyle="Porcentagem"/>
    <tableColumn id="5" xr3:uid="{4082F19A-5570-4E9D-B250-BCD24B16165E}" name="Entrada" dataDxfId="727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6" dataDxfId="724" headerRowBorderDxfId="725" tableBorderDxfId="723" totalsRowBorderDxfId="722">
  <autoFilter ref="K14:M31" xr:uid="{C83FE64B-E221-4DAA-89EA-5307A7BC98B3}"/>
  <tableColumns count="3">
    <tableColumn id="1" xr3:uid="{CF4CC083-8415-4A42-9102-69414AAB96C8}" name="OS" dataDxfId="721"/>
    <tableColumn id="2" xr3:uid="{AFF5A585-6EEA-427D-B49B-A553763AA94C}" name="Vendedor" dataDxfId="720"/>
    <tableColumn id="3" xr3:uid="{2D8D088A-4AB0-487F-929A-89D197884938}" name="CARNE" dataDxfId="719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18" dataDxfId="716" headerRowBorderDxfId="717" tableBorderDxfId="715" totalsRowBorderDxfId="7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3"/>
    <tableColumn id="2" xr3:uid="{71667114-B8E0-4FEE-B3C4-B23C231E71C9}" name="Cliente" dataDxfId="712"/>
    <tableColumn id="3" xr3:uid="{413E4F46-D41F-4D0A-8403-3244651C22ED}" name="Forma de Pgto" dataDxfId="711" dataCellStyle="Moeda"/>
    <tableColumn id="4" xr3:uid="{695A7396-BEC7-498E-8F8D-5C11C17422D0}" name="Valor Parcela" dataDxfId="710" dataCellStyle="Porcentagem"/>
    <tableColumn id="5" xr3:uid="{7D0562F5-5DF1-49C0-BE96-CBD4632BD577}" name="Nº Parcela" dataDxfId="709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08" headerRowBorderDxfId="707" tableBorderDxfId="706" totalsRowBorderDxfId="705">
  <autoFilter ref="K34:M41" xr:uid="{1B8643D4-6AC3-4029-882A-C62E9D7CB225}"/>
  <tableColumns count="3">
    <tableColumn id="1" xr3:uid="{468A4151-2B13-428F-B7B3-DD7850FB056D}" name="OS" dataDxfId="704"/>
    <tableColumn id="2" xr3:uid="{0E5A1628-3806-4E80-9B5C-6CCB43ED7A95}" name="Parcelas" dataDxfId="703"/>
    <tableColumn id="3" xr3:uid="{94527026-C4E7-48B1-ADEC-FAE98EDE2DF7}" name="Valor Total" dataDxfId="702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1" dataDxfId="699" headerRowBorderDxfId="700" tableBorderDxfId="698" totalsRowBorderDxfId="69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6" dataCellStyle="Moeda"/>
    <tableColumn id="5" xr3:uid="{B476382F-8FC0-4C4B-904B-9CEC2FD1737F}" name="Cliente" dataDxfId="695" dataCellStyle="Moeda"/>
    <tableColumn id="2" xr3:uid="{9347CB1E-8ECB-4789-B3B3-F0676BCEF308}" name="Forma de Pgto" dataDxfId="694" dataCellStyle="Moeda"/>
    <tableColumn id="3" xr3:uid="{95E7B651-F8E7-4260-A9CD-31524C1AF920}" name="Valor Venda" dataDxfId="693" dataCellStyle="Porcentagem"/>
    <tableColumn id="4" xr3:uid="{E1F36979-874B-46CF-A70F-6769CE2B4972}" name="Entrada" dataDxfId="692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1" dataDxfId="689" headerRowBorderDxfId="690" tableBorderDxfId="688" totalsRowBorderDxfId="687">
  <autoFilter ref="K5:M11" xr:uid="{00000000-0009-0000-0100-000015000000}"/>
  <tableColumns count="3">
    <tableColumn id="1" xr3:uid="{5DAF9728-D097-46AC-AFA1-2A7D5A636197}" name="Descrição" dataDxfId="686"/>
    <tableColumn id="2" xr3:uid="{7E14BBAB-F602-43F7-BA75-66182DDDFB5A}" name="Tipo de Pagto" dataDxfId="685"/>
    <tableColumn id="3" xr3:uid="{807C6654-E3F5-4B45-B712-93A22255EE13}" name="Valor" dataDxfId="684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3" dataDxfId="681" headerRowBorderDxfId="682" tableBorderDxfId="680" totalsRowBorderDxfId="67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78"/>
    <tableColumn id="2" xr3:uid="{DA2D4CE2-3235-4592-824A-D21C9FEE1324}" name="Cliente" dataDxfId="677"/>
    <tableColumn id="3" xr3:uid="{78436E8E-423C-4634-A0AC-78283D9649B2}" name="Forma de Pgto" dataDxfId="676" dataCellStyle="Moeda"/>
    <tableColumn id="4" xr3:uid="{9B5C140A-AEF6-451D-B599-1B3C00239BF3}" name="Valor Venda" dataDxfId="675" dataCellStyle="Porcentagem"/>
    <tableColumn id="5" xr3:uid="{91C4587E-3C3A-4A8E-B0CF-84D9FBCB29D6}" name="Entrada" dataDxfId="674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3" dataDxfId="671" headerRowBorderDxfId="672" tableBorderDxfId="670" totalsRowBorderDxfId="66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68"/>
    <tableColumn id="2" xr3:uid="{8A5D657B-8F60-4746-999B-0FA3393A39E9}" name="Vendedor" dataDxfId="667"/>
    <tableColumn id="3" xr3:uid="{496CB9CC-67BF-4541-A109-5F5FF565C716}" name="CARNE" dataDxfId="666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5" dataDxfId="663" headerRowBorderDxfId="664" tableBorderDxfId="662" totalsRowBorderDxfId="66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60"/>
    <tableColumn id="2" xr3:uid="{B3362A08-206B-41A8-970B-34C6B8B4C7AA}" name="Cliente" dataDxfId="659"/>
    <tableColumn id="3" xr3:uid="{718A6844-98C1-4F96-8966-19162734BEB9}" name="Forma de Pgto" dataDxfId="658" dataCellStyle="Moeda"/>
    <tableColumn id="4" xr3:uid="{DC15894A-49A7-435B-A661-5666005BEEC8}" name="Valor Parcela" dataDxfId="657" dataCellStyle="Porcentagem"/>
    <tableColumn id="5" xr3:uid="{DE080DD1-0F6B-485E-8515-CE624433C220}" name="Nº Parcela" dataDxfId="656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5" dataDxfId="653" headerRowBorderDxfId="654" tableBorderDxfId="652" totalsRowBorderDxfId="651">
  <autoFilter ref="K34:M41" xr:uid="{1B8643D4-6AC3-4029-882A-C62E9D7CB225}"/>
  <tableColumns count="3">
    <tableColumn id="1" xr3:uid="{DF952D1A-166D-4762-BD7E-3B8C91304310}" name="OS" dataDxfId="650"/>
    <tableColumn id="2" xr3:uid="{4F0F7384-D5B8-477E-9EC7-B82060EBBD78}" name="Parcelas" dataDxfId="649"/>
    <tableColumn id="3" xr3:uid="{8DD00EBF-D0FE-4903-8F44-7064A873609A}" name="Valor Total" dataDxfId="64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7" dataDxfId="645" headerRowBorderDxfId="646" tableBorderDxfId="644" totalsRowBorderDxfId="64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2" dataCellStyle="Moeda"/>
    <tableColumn id="5" xr3:uid="{F65697F3-20D0-4B41-BE55-C2885202D924}" name="Cliente" dataDxfId="641" dataCellStyle="Moeda"/>
    <tableColumn id="2" xr3:uid="{11E8E848-C035-46A3-B1AB-9BBD863CA30A}" name="Forma de Pgto" dataDxfId="640" dataCellStyle="Moeda"/>
    <tableColumn id="3" xr3:uid="{CE50BBF0-66D9-4ABB-AD66-D300C740ED4C}" name="Valor Venda" dataDxfId="639" dataCellStyle="Porcentagem"/>
    <tableColumn id="4" xr3:uid="{A6700982-093E-4E60-A8B4-C0EB11A78A03}" name="Entrada" dataDxfId="63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7" dataDxfId="635" headerRowBorderDxfId="636" tableBorderDxfId="634" totalsRowBorderDxfId="633">
  <autoFilter ref="K5:M11" xr:uid="{00000000-0009-0000-0100-000015000000}"/>
  <tableColumns count="3">
    <tableColumn id="1" xr3:uid="{53B1873C-545D-4906-B601-0C81EDA7CFE1}" name="Descrição" dataDxfId="632"/>
    <tableColumn id="2" xr3:uid="{76E6DB40-F96B-4A9C-8632-7103030C72DC}" name="Tipo de Pagto" dataDxfId="631"/>
    <tableColumn id="3" xr3:uid="{C62F93B6-2A0A-47C6-8FF1-E604490619BC}" name="Valor" dataDxfId="63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29" dataDxfId="627" headerRowBorderDxfId="628" tableBorderDxfId="626" totalsRowBorderDxfId="62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4"/>
    <tableColumn id="2" xr3:uid="{B806E92F-CE0E-4D07-A956-20D8F2029057}" name="Cliente" dataDxfId="623"/>
    <tableColumn id="3" xr3:uid="{36BDBAFD-E01B-4EEA-BEB0-2FB5914B315B}" name="Forma de Pgto" dataDxfId="622" dataCellStyle="Moeda"/>
    <tableColumn id="4" xr3:uid="{56605023-01AD-4E35-8794-2FCCF14CCA1F}" name="Valor Venda" dataDxfId="621" dataCellStyle="Porcentagem"/>
    <tableColumn id="5" xr3:uid="{C1960D0E-D625-415E-9C4E-608948FC535D}" name="Entrada" dataDxfId="62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19" dataDxfId="617" headerRowBorderDxfId="618" tableBorderDxfId="616" totalsRowBorderDxfId="615">
  <autoFilter ref="K14:M31" xr:uid="{C83FE64B-E221-4DAA-89EA-5307A7BC98B3}"/>
  <tableColumns count="3">
    <tableColumn id="1" xr3:uid="{6A036C59-7D03-43F7-84CF-EE3CB14BE67B}" name="OS" dataDxfId="614"/>
    <tableColumn id="2" xr3:uid="{C5A126A9-9B7F-4F06-ADC7-ACCED0396BF3}" name="Vendedor" dataDxfId="613"/>
    <tableColumn id="3" xr3:uid="{BA1C7B45-A00B-472E-A02F-25A3DC58D90D}" name="CARNE" dataDxfId="61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1" dataDxfId="609" headerRowBorderDxfId="610" tableBorderDxfId="608" totalsRowBorderDxfId="60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6"/>
    <tableColumn id="2" xr3:uid="{2C145274-4831-4FAC-9C72-4EE6C56B54AE}" name="Cliente" dataDxfId="605"/>
    <tableColumn id="3" xr3:uid="{DE981E69-6CF2-49CA-A2F4-E16E28E648B8}" name="Forma de Pgto" dataDxfId="604" dataCellStyle="Moeda"/>
    <tableColumn id="4" xr3:uid="{6444B2E2-EBBD-4AD1-8C9A-93047C0686E8}" name="Valor Parcela" dataDxfId="603" dataCellStyle="Porcentagem"/>
    <tableColumn id="5" xr3:uid="{04528C7F-DC52-411C-A2BF-BF90292C4224}" name="Nº Parcela" dataDxfId="60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1" dataDxfId="599" headerRowBorderDxfId="600" tableBorderDxfId="598" totalsRowBorderDxfId="597">
  <autoFilter ref="K34:M41" xr:uid="{1B8643D4-6AC3-4029-882A-C62E9D7CB225}"/>
  <tableColumns count="3">
    <tableColumn id="1" xr3:uid="{B8F19651-A782-44BC-8BA0-FFD090973F4B}" name="OS" dataDxfId="596"/>
    <tableColumn id="2" xr3:uid="{47E2F01C-C7E6-4997-80A0-4C35FA7B082A}" name="Parcelas" dataDxfId="595"/>
    <tableColumn id="3" xr3:uid="{BBBC80DF-0D25-47A9-9C8A-B68DAC85549A}" name="Valor Total" dataDxfId="594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3" dataDxfId="591" headerRowBorderDxfId="592" tableBorderDxfId="590" totalsRowBorderDxfId="58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88" dataCellStyle="Moeda"/>
    <tableColumn id="5" xr3:uid="{63E5AEF6-80DE-4801-B1C2-914D1F185217}" name="Cliente" dataDxfId="587" dataCellStyle="Moeda"/>
    <tableColumn id="2" xr3:uid="{1109E74A-578C-491B-B35C-C22544718F14}" name="Forma de Pgto" dataDxfId="586" dataCellStyle="Moeda"/>
    <tableColumn id="3" xr3:uid="{5C59392A-0568-4E84-9867-F9DCD09B25B6}" name="Valor Venda" dataDxfId="585" dataCellStyle="Porcentagem"/>
    <tableColumn id="4" xr3:uid="{D2C3A378-8143-432B-A8C6-A6193ABD7662}" name="Entrada" dataDxfId="584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3" dataDxfId="581" headerRowBorderDxfId="582" tableBorderDxfId="580" totalsRowBorderDxfId="579">
  <autoFilter ref="K5:M11" xr:uid="{00000000-0009-0000-0100-000015000000}"/>
  <tableColumns count="3">
    <tableColumn id="1" xr3:uid="{E6962685-66B9-4B52-AFC6-82E1DC5ABF13}" name="Descrição" dataDxfId="578"/>
    <tableColumn id="2" xr3:uid="{632111FE-E109-4AB8-89E6-0435B85BD131}" name="Tipo de Pagto" dataDxfId="577"/>
    <tableColumn id="3" xr3:uid="{E8C5B365-8D2D-4605-8A16-1AB9150BCC44}" name="Valor" dataDxfId="576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5" dataDxfId="573" headerRowBorderDxfId="574" tableBorderDxfId="572" totalsRowBorderDxfId="57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0"/>
    <tableColumn id="2" xr3:uid="{C0E81097-83C4-4524-8E34-CEF9787F8A7E}" name="Cliente" dataDxfId="569"/>
    <tableColumn id="3" xr3:uid="{8D59E67E-B452-4F9A-AAE0-36EA95BB6E19}" name="Forma de Pgto" dataDxfId="568" dataCellStyle="Moeda"/>
    <tableColumn id="4" xr3:uid="{F7466880-2D96-46D0-97F5-A0F3057F4B83}" name="Valor Venda" dataDxfId="567" dataCellStyle="Porcentagem"/>
    <tableColumn id="5" xr3:uid="{1C9ACBF3-A8FA-4869-9459-B9FD6EE7CC98}" name="Entrada" dataDxfId="566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5" dataDxfId="563" headerRowBorderDxfId="564" tableBorderDxfId="562" totalsRowBorderDxfId="561">
  <autoFilter ref="K14:M31" xr:uid="{C83FE64B-E221-4DAA-89EA-5307A7BC98B3}"/>
  <tableColumns count="3">
    <tableColumn id="1" xr3:uid="{B00D0221-B7E2-4319-872F-39A5F278179B}" name="OS" dataDxfId="560"/>
    <tableColumn id="2" xr3:uid="{EB50C8BC-2DB9-4F7B-B612-681BB547926A}" name="Vendedor" dataDxfId="559"/>
    <tableColumn id="3" xr3:uid="{35270191-CAC7-406B-B916-370E9194FBD0}" name="CARNE" dataDxfId="558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7" dataDxfId="555" headerRowBorderDxfId="556" tableBorderDxfId="554" totalsRowBorderDxfId="55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2"/>
    <tableColumn id="2" xr3:uid="{D650DC73-190F-4D20-A432-5DFA05B32EBB}" name="Cliente" dataDxfId="551"/>
    <tableColumn id="3" xr3:uid="{B232D3BA-4291-4772-8FA1-966DFC2F6BAD}" name="Forma de Pgto" dataDxfId="550" dataCellStyle="Moeda"/>
    <tableColumn id="4" xr3:uid="{27933DC4-0B14-4F8A-9424-CDECA8B0BE13}" name="Valor Parcela" dataDxfId="549" dataCellStyle="Porcentagem"/>
    <tableColumn id="5" xr3:uid="{812A2DA5-D78D-454A-BF37-5BC7C8B486FB}" name="Nº Parcela" dataDxfId="548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7" dataDxfId="545" headerRowBorderDxfId="546" tableBorderDxfId="544" totalsRowBorderDxfId="543">
  <autoFilter ref="K34:M41" xr:uid="{1B8643D4-6AC3-4029-882A-C62E9D7CB225}"/>
  <tableColumns count="3">
    <tableColumn id="1" xr3:uid="{F3E7E89B-8196-4CDC-A23E-947DB3CEA07C}" name="OS" dataDxfId="542"/>
    <tableColumn id="2" xr3:uid="{D705822D-AFE1-401D-A8C8-7D7BB7A4C86C}" name="Parcelas" dataDxfId="541"/>
    <tableColumn id="3" xr3:uid="{C528E7A1-6466-4E27-8A7C-A46F4678792C}" name="Valor Total" dataDxfId="540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9" dataDxfId="537" headerRowBorderDxfId="538" tableBorderDxfId="536" totalsRowBorderDxfId="53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4" dataCellStyle="Moeda"/>
    <tableColumn id="5" xr3:uid="{935EFB73-C7DF-4DB2-A9CA-2CCBA3650F22}" name="Cliente" dataDxfId="533" dataCellStyle="Moeda"/>
    <tableColumn id="2" xr3:uid="{869122A0-3CC2-4E92-8EFB-746E8E8CB311}" name="Forma de Pgto" dataDxfId="532" dataCellStyle="Moeda"/>
    <tableColumn id="3" xr3:uid="{6DA3B9FE-BCC2-4503-9E60-EA0ED444B7A6}" name="Valor Venda" dataDxfId="531" dataCellStyle="Porcentagem"/>
    <tableColumn id="4" xr3:uid="{A8A1A79C-5DE2-48A0-9D24-1DA382BBF42E}" name="Entrada" dataDxfId="530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9" dataDxfId="527" headerRowBorderDxfId="528" tableBorderDxfId="526" totalsRowBorderDxfId="525">
  <autoFilter ref="K5:M11" xr:uid="{00000000-0009-0000-0100-000015000000}"/>
  <tableColumns count="3">
    <tableColumn id="1" xr3:uid="{3E8535D4-7B2A-41EF-B25F-D96FCA746C77}" name="Descrição" dataDxfId="524"/>
    <tableColumn id="2" xr3:uid="{29FD7EBB-FAB4-46A7-8D0C-8DEF811BE03C}" name="Tipo de Pagto" dataDxfId="523"/>
    <tableColumn id="3" xr3:uid="{42A84199-904C-48CF-9EA1-668D5693A5E1}" name="Valor" dataDxfId="522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1" dataDxfId="519" headerRowBorderDxfId="520" tableBorderDxfId="518" totalsRowBorderDxfId="51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6"/>
    <tableColumn id="2" xr3:uid="{06FD4E8A-ECFC-46A5-9546-F18D5C7CCF46}" name="Cliente" dataDxfId="515"/>
    <tableColumn id="3" xr3:uid="{393434A3-085F-407B-B651-4C537A1C4DCA}" name="Forma de Pgto" dataDxfId="514" dataCellStyle="Moeda"/>
    <tableColumn id="4" xr3:uid="{D08FA6C2-56D1-4A76-94C1-132618C070F2}" name="Valor Venda" dataDxfId="513" dataCellStyle="Porcentagem"/>
    <tableColumn id="5" xr3:uid="{A94780A1-5426-454F-8950-AFE4D356071F}" name="Entrada" dataDxfId="512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1" dataDxfId="509" headerRowBorderDxfId="510" tableBorderDxfId="508" totalsRowBorderDxfId="507">
  <autoFilter ref="K14:M31" xr:uid="{C83FE64B-E221-4DAA-89EA-5307A7BC98B3}"/>
  <tableColumns count="3">
    <tableColumn id="1" xr3:uid="{5F81F202-5A63-416E-B66A-BC7A70C51944}" name="OS" dataDxfId="506"/>
    <tableColumn id="2" xr3:uid="{74527326-0E45-44AC-976A-01AD354EEF97}" name="Vendedor" dataDxfId="505"/>
    <tableColumn id="3" xr3:uid="{7E368C39-6290-45A4-8C60-3E0B6BEC860E}" name="CARNE" dataDxfId="504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3" dataDxfId="501" headerRowBorderDxfId="502" tableBorderDxfId="500" totalsRowBorderDxfId="49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8"/>
    <tableColumn id="2" xr3:uid="{5FB18F19-64B5-46AA-955B-A301C651C0F2}" name="Cliente" dataDxfId="497"/>
    <tableColumn id="3" xr3:uid="{51F731CD-986B-4FF6-A861-83997E66998E}" name="Forma de Pgto" dataDxfId="496" dataCellStyle="Moeda"/>
    <tableColumn id="4" xr3:uid="{BD861052-26CD-48E9-91C6-0A6DF7C6A099}" name="Valor Parcela" dataDxfId="495" dataCellStyle="Porcentagem"/>
    <tableColumn id="5" xr3:uid="{8A5D6765-7637-45A4-9660-09EDBB031EC1}" name="Nº Parcela" dataDxfId="494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3" dataDxfId="491" headerRowBorderDxfId="492" tableBorderDxfId="490" totalsRowBorderDxfId="489">
  <autoFilter ref="K34:M41" xr:uid="{1B8643D4-6AC3-4029-882A-C62E9D7CB225}"/>
  <tableColumns count="3">
    <tableColumn id="1" xr3:uid="{96F2F5A7-6005-4604-8B24-0E2838B4DD29}" name="OS" dataDxfId="488"/>
    <tableColumn id="2" xr3:uid="{ED904B68-5D9C-4B50-96BA-96CAD5E34CF1}" name="Parcelas" dataDxfId="487"/>
    <tableColumn id="3" xr3:uid="{317680F4-80F7-44BC-B3EF-4EFC6A803CAC}" name="Valor Total" dataDxfId="486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5" dataDxfId="483" headerRowBorderDxfId="484" tableBorderDxfId="482" totalsRowBorderDxfId="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0" dataCellStyle="Moeda"/>
    <tableColumn id="5" xr3:uid="{8C950723-3D74-47BB-96EF-8D7D6A2189F6}" name="Cliente" dataDxfId="479" dataCellStyle="Moeda"/>
    <tableColumn id="2" xr3:uid="{891A7678-229E-4FF4-AD78-C00F149C7AB3}" name="Forma de Pgto" dataDxfId="478" dataCellStyle="Moeda"/>
    <tableColumn id="3" xr3:uid="{C1AD64CF-D636-4D0B-90AF-998E65C41E3B}" name="Valor Venda" dataDxfId="477" dataCellStyle="Porcentagem"/>
    <tableColumn id="4" xr3:uid="{4674130B-789D-479A-9F01-407FB3322D27}" name="Entrada" dataDxfId="476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5" dataDxfId="473" headerRowBorderDxfId="474" tableBorderDxfId="472" totalsRowBorderDxfId="471">
  <autoFilter ref="K5:M11" xr:uid="{00000000-0009-0000-0100-000015000000}"/>
  <tableColumns count="3">
    <tableColumn id="1" xr3:uid="{558DC85F-C627-4F48-82AA-C24727E75A42}" name="Descrição" dataDxfId="470"/>
    <tableColumn id="2" xr3:uid="{8346B0E0-FB0D-4ED3-ABBC-3816B7CB40C9}" name="Tipo de Pagto" dataDxfId="469"/>
    <tableColumn id="3" xr3:uid="{362F9934-CC54-4E70-A26F-6CDF66DEB838}" name="Valor" dataDxfId="468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7" dataDxfId="465" headerRowBorderDxfId="466" tableBorderDxfId="464" totalsRowBorderDxfId="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2"/>
    <tableColumn id="2" xr3:uid="{B711E4E6-0AE5-42C8-8015-A72C2855CDFB}" name="Cliente" dataDxfId="461"/>
    <tableColumn id="3" xr3:uid="{016D3713-BA29-48F8-8683-6E42C1C8BDFE}" name="Forma de Pgto" dataDxfId="460" dataCellStyle="Moeda"/>
    <tableColumn id="4" xr3:uid="{66F30211-F047-40DA-B134-05B87A798574}" name="Valor Venda" dataDxfId="459" dataCellStyle="Porcentagem"/>
    <tableColumn id="5" xr3:uid="{2FB6AB3C-AA9E-4034-AF4B-12D9A3ECBBCA}" name="Entrada" dataDxfId="458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7" dataDxfId="455" headerRowBorderDxfId="456" tableBorderDxfId="454" totalsRowBorderDxfId="453">
  <autoFilter ref="K14:M31" xr:uid="{C83FE64B-E221-4DAA-89EA-5307A7BC98B3}"/>
  <tableColumns count="3">
    <tableColumn id="1" xr3:uid="{D6DF1477-46D1-47E2-A070-9A33886E6137}" name="OS" dataDxfId="452"/>
    <tableColumn id="2" xr3:uid="{C4215FA6-4F2C-444A-8E0B-4F99AEEE9430}" name="Vendedor" dataDxfId="451"/>
    <tableColumn id="3" xr3:uid="{7B8AD675-F389-4803-BFFB-8166F703E829}" name="CARNE" dataDxfId="450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9" dataDxfId="447" headerRowBorderDxfId="448" tableBorderDxfId="446" totalsRowBorderDxfId="445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4"/>
    <tableColumn id="2" xr3:uid="{45674E96-72EC-433B-9141-E40A07A72A19}" name="Cliente" dataDxfId="443"/>
    <tableColumn id="3" xr3:uid="{22102B96-8607-4584-B5A3-C1EE639E0F4C}" name="Forma de Pgto" dataDxfId="442" dataCellStyle="Moeda"/>
    <tableColumn id="4" xr3:uid="{DC2E9D15-91B3-4478-AA38-B98773D1B0DA}" name="Valor Parcela" dataDxfId="441" dataCellStyle="Porcentagem"/>
    <tableColumn id="5" xr3:uid="{ABCCDEDB-69A0-4492-A24A-12A60E76A2F8}" name="Nº Parcela" dataDxfId="440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9" dataDxfId="437" headerRowBorderDxfId="438" tableBorderDxfId="436" totalsRowBorderDxfId="435">
  <autoFilter ref="K34:M41" xr:uid="{1B8643D4-6AC3-4029-882A-C62E9D7CB225}"/>
  <tableColumns count="3">
    <tableColumn id="1" xr3:uid="{96E4A694-A16C-4FAB-8484-5D1DCD513FF1}" name="OS" dataDxfId="434"/>
    <tableColumn id="2" xr3:uid="{CEC7F98C-5986-47BB-824E-5616D5A150E4}" name="Parcelas" dataDxfId="433"/>
    <tableColumn id="3" xr3:uid="{A82CBD0B-203D-4ED5-BDE4-3B77ECED5860}" name="Valor Total" dataDxfId="432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1" dataDxfId="429" headerRowBorderDxfId="430" tableBorderDxfId="428" totalsRowBorderDxfId="4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6" dataCellStyle="Moeda"/>
    <tableColumn id="5" xr3:uid="{28960474-C27A-4147-BD99-7BB60462B8B0}" name="Cliente" dataDxfId="425" dataCellStyle="Moeda"/>
    <tableColumn id="2" xr3:uid="{67D37C1F-FE45-48AD-BED8-2CFECE89FEA0}" name="Forma de Pgto" dataDxfId="424" dataCellStyle="Moeda"/>
    <tableColumn id="3" xr3:uid="{9D53CA59-8DC0-45C1-B948-0BC9CE105A46}" name="Valor Venda" dataDxfId="423" dataCellStyle="Porcentagem"/>
    <tableColumn id="4" xr3:uid="{63C5EED9-C4FA-4177-B2B7-18053322A958}" name="Entrada" dataDxfId="422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1" dataDxfId="419" headerRowBorderDxfId="420" tableBorderDxfId="418" totalsRowBorderDxfId="417">
  <autoFilter ref="K5:M11" xr:uid="{00000000-0009-0000-0100-000015000000}"/>
  <tableColumns count="3">
    <tableColumn id="1" xr3:uid="{EA5469B7-1D8E-40E9-95A2-35DAC9D5EC13}" name="Descrição" dataDxfId="416"/>
    <tableColumn id="2" xr3:uid="{6149AE8A-4EBC-4D73-8258-5E25710E3A30}" name="Tipo de Pagto" dataDxfId="415"/>
    <tableColumn id="3" xr3:uid="{6872D867-5B80-4E69-B012-87CC7B75B649}" name="Valor" dataDxfId="414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3" dataDxfId="411" headerRowBorderDxfId="412" tableBorderDxfId="410" totalsRowBorderDxfId="4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8"/>
    <tableColumn id="2" xr3:uid="{83BEE3E3-D5E6-4B4E-B0F3-B7D166EBC951}" name="Cliente" dataDxfId="407"/>
    <tableColumn id="3" xr3:uid="{D56D36FF-3364-4C9B-95E8-FF48852EB70B}" name="Forma de Pgto" dataDxfId="406" dataCellStyle="Moeda"/>
    <tableColumn id="4" xr3:uid="{E2E76570-BF3A-47F8-A702-0FE2FE405B33}" name="Valor Venda" dataDxfId="405" dataCellStyle="Porcentagem"/>
    <tableColumn id="5" xr3:uid="{19FD5054-F0CE-4B30-BF14-7D86B666A44E}" name="Entrada" dataDxfId="404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3" dataDxfId="401" headerRowBorderDxfId="402" tableBorderDxfId="400" totalsRowBorderDxfId="399">
  <autoFilter ref="K14:M31" xr:uid="{C83FE64B-E221-4DAA-89EA-5307A7BC98B3}"/>
  <tableColumns count="3">
    <tableColumn id="1" xr3:uid="{2A900AC2-CDD6-4655-B7AF-13F9A8DDD9FF}" name="OS" dataDxfId="398"/>
    <tableColumn id="2" xr3:uid="{D566D654-CC7D-40A6-874D-6CD6342DEC3B}" name="Vendedor" dataDxfId="397"/>
    <tableColumn id="3" xr3:uid="{E8D97BA9-0913-40AD-B2A5-0F60E6A0BE95}" name="CARNE" dataDxfId="396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5" dataDxfId="393" headerRowBorderDxfId="394" tableBorderDxfId="392" totalsRowBorderDxfId="3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0"/>
    <tableColumn id="2" xr3:uid="{CDAD5229-EE1B-4727-8C27-8A17FEDA1C5C}" name="Cliente" dataDxfId="389"/>
    <tableColumn id="3" xr3:uid="{93224419-805E-4D8C-A296-80DA02CCC413}" name="Forma de Pgto" dataDxfId="388" dataCellStyle="Moeda"/>
    <tableColumn id="4" xr3:uid="{40C77CE6-762C-49C9-94EB-7D5AFC9A73A4}" name="Valor Parcela" dataDxfId="387" dataCellStyle="Porcentagem"/>
    <tableColumn id="5" xr3:uid="{8A7914AB-189B-4928-860C-9AB79BAA232D}" name="Nº Parcela" dataDxfId="386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5" dataDxfId="383" headerRowBorderDxfId="384" tableBorderDxfId="382" totalsRowBorderDxfId="381">
  <autoFilter ref="K34:M41" xr:uid="{1B8643D4-6AC3-4029-882A-C62E9D7CB225}"/>
  <tableColumns count="3">
    <tableColumn id="1" xr3:uid="{C92D7BD7-E114-41CE-802D-B41EFFA721F2}" name="OS" dataDxfId="380"/>
    <tableColumn id="2" xr3:uid="{C67ABBBE-4637-4653-928F-36D0678D64F6}" name="Parcelas" dataDxfId="379"/>
    <tableColumn id="3" xr3:uid="{2217F874-8724-4CC1-9542-1585CC1817E3}" name="Valor Total" dataDxfId="378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7" dataDxfId="375" headerRowBorderDxfId="376" tableBorderDxfId="374" totalsRowBorderDxfId="37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2" dataCellStyle="Moeda"/>
    <tableColumn id="5" xr3:uid="{EA7582FE-FEFF-4011-BD42-218C3664E6AB}" name="Cliente" dataDxfId="371" dataCellStyle="Moeda"/>
    <tableColumn id="2" xr3:uid="{F90F407A-44F2-4B25-95B2-7FFF747C7AA1}" name="Forma de Pgto" dataDxfId="370" dataCellStyle="Moeda"/>
    <tableColumn id="3" xr3:uid="{3ED51D07-27C8-4437-A49E-867C7274BC65}" name="Valor Venda" dataDxfId="369" dataCellStyle="Porcentagem"/>
    <tableColumn id="4" xr3:uid="{42C92817-5DF0-4DE7-B430-03840EF6E852}" name="Entrada" dataDxfId="368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7" dataDxfId="365" headerRowBorderDxfId="366" tableBorderDxfId="364" totalsRowBorderDxfId="363">
  <autoFilter ref="K5:M11" xr:uid="{00000000-0009-0000-0100-000015000000}"/>
  <tableColumns count="3">
    <tableColumn id="1" xr3:uid="{BCDA9109-FE1B-43D0-A775-F187BA433103}" name="Descrição" dataDxfId="362"/>
    <tableColumn id="2" xr3:uid="{6200DB38-1340-49E2-8DB4-68F203C169F1}" name="Tipo de Pagto" dataDxfId="361"/>
    <tableColumn id="3" xr3:uid="{27595B27-AB97-40C9-BECE-DEB4EF2576B7}" name="Valor" dataDxfId="360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9" dataDxfId="357" headerRowBorderDxfId="358" tableBorderDxfId="356" totalsRowBorderDxfId="35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4"/>
    <tableColumn id="2" xr3:uid="{2547CEAB-188F-4407-8B89-F3536432D0FA}" name="Cliente" dataDxfId="353"/>
    <tableColumn id="3" xr3:uid="{54CBD340-AB1A-4F98-A129-037389C3E236}" name="Forma de Pgto" dataDxfId="352" dataCellStyle="Moeda"/>
    <tableColumn id="4" xr3:uid="{CB0BC571-5837-4C35-AFDD-D5873CE23AE9}" name="Valor Venda" dataDxfId="351" dataCellStyle="Porcentagem"/>
    <tableColumn id="5" xr3:uid="{517A77AC-A76A-4CE7-B5D1-3FEFDF7B8722}" name="Entrada" dataDxfId="350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9" dataDxfId="347" headerRowBorderDxfId="348" tableBorderDxfId="346" totalsRowBorderDxfId="345">
  <autoFilter ref="K14:M31" xr:uid="{C83FE64B-E221-4DAA-89EA-5307A7BC98B3}"/>
  <tableColumns count="3">
    <tableColumn id="1" xr3:uid="{71C4392B-8887-40B1-9A7B-C600C91C0A9F}" name="OS" dataDxfId="344"/>
    <tableColumn id="2" xr3:uid="{EAC02F14-380C-4B61-8944-E4F1EC6C2572}" name="Vendedor" dataDxfId="343"/>
    <tableColumn id="3" xr3:uid="{04750BAB-2533-45E4-AD1A-4273DBA80CF4}" name="CARNE" dataDxfId="342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1" dataDxfId="339" headerRowBorderDxfId="340" tableBorderDxfId="338" totalsRowBorderDxfId="33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6"/>
    <tableColumn id="2" xr3:uid="{C78ED1A0-4ABC-4C46-9011-9E7D40E53828}" name="Cliente" dataDxfId="335"/>
    <tableColumn id="3" xr3:uid="{5CDE3049-7EDA-4337-9E8E-58F0DB4CFDD5}" name="Forma de Pgto" dataDxfId="334" dataCellStyle="Moeda"/>
    <tableColumn id="4" xr3:uid="{7ACCAB16-AFFF-4B9D-A25F-B45F3BBA93B9}" name="Valor Parcela" dataDxfId="333" dataCellStyle="Porcentagem"/>
    <tableColumn id="5" xr3:uid="{15EC4276-5957-4146-877A-2D9AF52832DE}" name="Nº Parcela" dataDxfId="332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1" headerRowBorderDxfId="330" tableBorderDxfId="329" totalsRowBorderDxfId="328">
  <autoFilter ref="K34:M41" xr:uid="{1B8643D4-6AC3-4029-882A-C62E9D7CB225}"/>
  <tableColumns count="3">
    <tableColumn id="1" xr3:uid="{509FE920-B0D4-48CC-8AFC-C231084014ED}" name="OS" dataDxfId="327"/>
    <tableColumn id="2" xr3:uid="{648797DA-323D-4F7C-95F3-3223D3A08821}" name="Parcelas" dataDxfId="326"/>
    <tableColumn id="3" xr3:uid="{0684A7C0-4163-4297-B332-DFFBB65E266D}" name="Valor Total" dataDxfId="325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4" dataDxfId="322" headerRowBorderDxfId="323" tableBorderDxfId="321" totalsRowBorderDxfId="32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9" dataCellStyle="Moeda"/>
    <tableColumn id="5" xr3:uid="{FA1FA1DC-5352-4524-9AB2-369222C4BDD1}" name="Cliente" dataDxfId="318" dataCellStyle="Moeda"/>
    <tableColumn id="2" xr3:uid="{A73B5E06-AB1F-48ED-B61C-8853446A4F5E}" name="Forma de Pgto" dataDxfId="317" dataCellStyle="Moeda"/>
    <tableColumn id="3" xr3:uid="{E5231A7F-7D20-4503-A786-BF9FC0E23F42}" name="Valor Venda" dataDxfId="316" dataCellStyle="Porcentagem"/>
    <tableColumn id="4" xr3:uid="{86DAF072-A11E-464D-A335-9A5F5FF09F8D}" name="Entrada" dataDxfId="315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4" dataDxfId="312" headerRowBorderDxfId="313" tableBorderDxfId="311" totalsRowBorderDxfId="310">
  <autoFilter ref="K5:M11" xr:uid="{00000000-0009-0000-0100-000015000000}"/>
  <tableColumns count="3">
    <tableColumn id="1" xr3:uid="{0C299E65-9391-4336-8CF7-2EC1702B221E}" name="Descrição" dataDxfId="309"/>
    <tableColumn id="2" xr3:uid="{45EA8371-50DD-4161-8CE6-AE739B48843A}" name="Tipo de Pagto" dataDxfId="308"/>
    <tableColumn id="3" xr3:uid="{4D98764C-873C-4A32-9ABD-121372723463}" name="Valor" dataDxfId="307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6" dataDxfId="304" headerRowBorderDxfId="305" tableBorderDxfId="303" totalsRowBorderDxfId="30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1"/>
    <tableColumn id="2" xr3:uid="{212BE65F-3FA5-419B-B9A4-58240EFDEBFA}" name="Cliente" dataDxfId="300"/>
    <tableColumn id="3" xr3:uid="{1EE1E2AC-25F1-4013-8D38-A0638CF454DB}" name="Forma de Pgto" dataDxfId="299" dataCellStyle="Moeda"/>
    <tableColumn id="4" xr3:uid="{38D98562-880F-4C00-A26B-F40D7F6C9E67}" name="Valor Venda" dataDxfId="298" dataCellStyle="Porcentagem"/>
    <tableColumn id="5" xr3:uid="{183B778F-EB01-4FDA-BD28-D4D361F688C4}" name="Entrada" dataDxfId="297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6" dataDxfId="294" headerRowBorderDxfId="295" tableBorderDxfId="293" totalsRowBorderDxfId="292">
  <autoFilter ref="K14:M31" xr:uid="{C83FE64B-E221-4DAA-89EA-5307A7BC98B3}"/>
  <tableColumns count="3">
    <tableColumn id="1" xr3:uid="{21BA2342-0EF4-4D12-8CEB-D5F98AF1E43D}" name="OS" dataDxfId="291"/>
    <tableColumn id="2" xr3:uid="{8EC3F5A2-9325-43BD-A364-C3D24B7F492B}" name="Vendedor" dataDxfId="290"/>
    <tableColumn id="3" xr3:uid="{60B7BB21-2E30-4BF0-9109-7C61A6F8023E}" name="CARNE" dataDxfId="289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8" dataDxfId="286" headerRowBorderDxfId="287" tableBorderDxfId="285" totalsRowBorderDxfId="28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3"/>
    <tableColumn id="2" xr3:uid="{FEC021D0-C21F-4087-AA46-92F79B0BD15C}" name="Cliente" dataDxfId="282"/>
    <tableColumn id="3" xr3:uid="{B057DFD4-3A13-40AD-95B0-7A4A6D2F12EA}" name="Forma de Pgto" dataDxfId="281" dataCellStyle="Moeda"/>
    <tableColumn id="4" xr3:uid="{8571FA4F-3615-40B7-87DD-4A3572C756ED}" name="Valor Parcela" dataDxfId="280" dataCellStyle="Porcentagem"/>
    <tableColumn id="5" xr3:uid="{32F42922-7FF4-44E6-8FE1-CF1D84ED2607}" name="Nº Parcela" dataDxfId="279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8" dataDxfId="276" headerRowBorderDxfId="277" tableBorderDxfId="275" totalsRowBorderDxfId="274">
  <autoFilter ref="K34:M41" xr:uid="{1B8643D4-6AC3-4029-882A-C62E9D7CB225}"/>
  <tableColumns count="3">
    <tableColumn id="1" xr3:uid="{239C8B86-39AD-48DE-8CD4-9E298F831595}" name="OS" dataDxfId="273"/>
    <tableColumn id="2" xr3:uid="{52A4913C-562E-40FD-8422-19A5A2E9F3E9}" name="Parcelas" dataDxfId="272"/>
    <tableColumn id="3" xr3:uid="{A2980378-BECE-4786-B65D-94F14F69AE6B}" name="Valor Total" dataDxfId="271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0" dataDxfId="268" headerRowBorderDxfId="269" tableBorderDxfId="267" totalsRowBorderDxfId="26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5" dataCellStyle="Moeda"/>
    <tableColumn id="5" xr3:uid="{570F0DA8-D686-4E48-AB43-770DB49D735A}" name="Cliente" dataDxfId="264" dataCellStyle="Moeda"/>
    <tableColumn id="2" xr3:uid="{80EB692B-CEF9-4384-93C3-D0C2D659D8B9}" name="Forma de Pgto" dataDxfId="263" dataCellStyle="Moeda"/>
    <tableColumn id="3" xr3:uid="{C072FA33-E65C-46A1-9619-122C55ADB543}" name="Valor Venda" dataDxfId="262" dataCellStyle="Porcentagem"/>
    <tableColumn id="4" xr3:uid="{A6AD7AE2-A356-40B6-8551-4661FBEB3F51}" name="Entrada" dataDxfId="261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0" dataDxfId="258" headerRowBorderDxfId="259" tableBorderDxfId="257" totalsRowBorderDxfId="256">
  <autoFilter ref="K5:M11" xr:uid="{00000000-0009-0000-0100-000015000000}"/>
  <tableColumns count="3">
    <tableColumn id="1" xr3:uid="{B332CB19-9163-40A3-A95C-B96A1582E073}" name="Descrição" dataDxfId="255"/>
    <tableColumn id="2" xr3:uid="{61F5EE7F-73F4-42E2-A9DC-23449B0C3C01}" name="Tipo de Pagto" dataDxfId="254"/>
    <tableColumn id="3" xr3:uid="{DA89D608-9609-4843-A5C1-DE0E1200E4A8}" name="Valor" dataDxfId="253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2" dataDxfId="250" headerRowBorderDxfId="251" tableBorderDxfId="249" totalsRowBorderDxfId="24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7"/>
    <tableColumn id="2" xr3:uid="{AC5BDFCE-FCF6-4AAB-9202-5F41FD623E7A}" name="Cliente" dataDxfId="246"/>
    <tableColumn id="3" xr3:uid="{60B29A82-92C4-41E9-85E9-1CB47FDC0F48}" name="Forma de Pgto" dataDxfId="245" dataCellStyle="Moeda"/>
    <tableColumn id="4" xr3:uid="{77AEFEA3-2B2A-45D9-B420-2C503790CB98}" name="Valor Venda" dataDxfId="244" dataCellStyle="Porcentagem"/>
    <tableColumn id="5" xr3:uid="{ADAFB771-5146-4657-B325-26E81CB97F70}" name="Entrada" dataDxfId="243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2" dataDxfId="240" headerRowBorderDxfId="241" tableBorderDxfId="239" totalsRowBorderDxfId="238">
  <autoFilter ref="K14:M31" xr:uid="{C83FE64B-E221-4DAA-89EA-5307A7BC98B3}"/>
  <tableColumns count="3">
    <tableColumn id="1" xr3:uid="{A681CC1B-EF00-4702-9240-49A1F9CD0ED9}" name="OS" dataDxfId="237"/>
    <tableColumn id="2" xr3:uid="{CACBAC13-6FB8-41CD-B9DA-E0BF6545625A}" name="Vendedor" dataDxfId="236"/>
    <tableColumn id="3" xr3:uid="{62DBFAEA-33ED-481B-88FE-D480C79BD70A}" name="CARNE" dataDxfId="235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4" dataDxfId="232" headerRowBorderDxfId="233" tableBorderDxfId="231" totalsRowBorderDxfId="23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9"/>
    <tableColumn id="2" xr3:uid="{84774BA8-817B-4BB4-B330-18FC2D74BEBD}" name="Cliente" dataDxfId="228"/>
    <tableColumn id="3" xr3:uid="{B445E0F1-2EE3-48E4-A8D9-FA43238816EF}" name="Forma de Pgto" dataDxfId="227" dataCellStyle="Moeda"/>
    <tableColumn id="4" xr3:uid="{ABB960AB-65AE-4F15-BF53-C9D07E2FDA8B}" name="Valor Parcela" dataDxfId="226" dataCellStyle="Porcentagem"/>
    <tableColumn id="5" xr3:uid="{89825584-3833-4995-A86E-D7E4080CB9BB}" name="Nº Parcela" dataDxfId="225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4" dataDxfId="222" headerRowBorderDxfId="223" tableBorderDxfId="221" totalsRowBorderDxfId="220">
  <autoFilter ref="K34:M41" xr:uid="{1B8643D4-6AC3-4029-882A-C62E9D7CB225}"/>
  <tableColumns count="3">
    <tableColumn id="1" xr3:uid="{EAA08E73-C7D6-46EB-8CB3-0B41DCC95916}" name="OS" dataDxfId="219"/>
    <tableColumn id="2" xr3:uid="{706D1FAA-0C88-4CDF-B8E1-15AD01A2E582}" name="Parcelas" dataDxfId="218"/>
    <tableColumn id="3" xr3:uid="{98D05923-385E-4F7C-ADF4-C1FB7F5B5CC5}" name="Valor Total" dataDxfId="217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6" dataDxfId="214" headerRowBorderDxfId="215" tableBorderDxfId="213" totalsRowBorderDxfId="21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1" dataCellStyle="Moeda"/>
    <tableColumn id="5" xr3:uid="{57575EBC-6B68-41EF-9676-918A4ABDCB4D}" name="Cliente" dataDxfId="210" dataCellStyle="Moeda"/>
    <tableColumn id="2" xr3:uid="{85714B76-869D-4DF7-8709-20EB0FE90848}" name="Forma de Pgto" dataDxfId="209" dataCellStyle="Moeda"/>
    <tableColumn id="3" xr3:uid="{A556487C-0FB8-4138-908B-0692480ED40F}" name="Valor Venda" dataDxfId="208" dataCellStyle="Porcentagem"/>
    <tableColumn id="4" xr3:uid="{2437A1CF-1861-42F2-9B6F-020480542B91}" name="Entrada" dataDxfId="207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6" dataDxfId="204" headerRowBorderDxfId="205" tableBorderDxfId="203" totalsRowBorderDxfId="202">
  <autoFilter ref="K5:M11" xr:uid="{00000000-0009-0000-0100-000015000000}"/>
  <tableColumns count="3">
    <tableColumn id="1" xr3:uid="{EA498FD3-4549-4930-A7C5-2A6A697F86CC}" name="Descrição" dataDxfId="201"/>
    <tableColumn id="2" xr3:uid="{8748D917-3F00-4700-B7E5-7700540A331D}" name="Tipo de Pagto" dataDxfId="200"/>
    <tableColumn id="3" xr3:uid="{42A9985B-0743-4482-AA4C-D8FD0E0F72A5}" name="Valor" dataDxfId="199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8" dataDxfId="196" headerRowBorderDxfId="197" tableBorderDxfId="195" totalsRowBorderDxfId="19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3"/>
    <tableColumn id="2" xr3:uid="{FE587643-BC52-4E6E-AF00-724AEF5CF68E}" name="Cliente" dataDxfId="192"/>
    <tableColumn id="3" xr3:uid="{7FE7D67C-9631-4982-8037-006DC6383D49}" name="Forma de Pgto" dataDxfId="191" dataCellStyle="Moeda"/>
    <tableColumn id="4" xr3:uid="{F211FF52-FD8A-4441-B1F6-EDB12BA108C0}" name="Valor Venda" dataDxfId="190" dataCellStyle="Porcentagem"/>
    <tableColumn id="5" xr3:uid="{16E4261B-0737-47FE-A7D3-731BFAF25FF7}" name="Entrada" dataDxfId="189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8" dataDxfId="186" headerRowBorderDxfId="187" tableBorderDxfId="185" totalsRowBorderDxfId="184">
  <autoFilter ref="K14:M31" xr:uid="{C83FE64B-E221-4DAA-89EA-5307A7BC98B3}"/>
  <tableColumns count="3">
    <tableColumn id="1" xr3:uid="{8E54EB92-C776-41FF-A0DB-06AF704A4887}" name="OS" dataDxfId="183"/>
    <tableColumn id="2" xr3:uid="{6868B7F3-9EF7-46C7-BEF9-654E8E36ED1C}" name="Vendedor" dataDxfId="182"/>
    <tableColumn id="3" xr3:uid="{1350521A-D743-40D9-A465-2D8D4BFE6A10}" name="CARNE" dataDxfId="181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0" dataDxfId="178" headerRowBorderDxfId="179" tableBorderDxfId="177" totalsRowBorderDxfId="17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5"/>
    <tableColumn id="2" xr3:uid="{85BDCF85-AA6C-42E1-B1B7-C516556DBDB9}" name="Cliente" dataDxfId="174"/>
    <tableColumn id="3" xr3:uid="{9F8DE4E4-D5E2-48B5-8EAA-40EB197D32AC}" name="Forma de Pgto" dataDxfId="173" dataCellStyle="Moeda"/>
    <tableColumn id="4" xr3:uid="{C6290D95-7284-445D-8939-C5FD7951996B}" name="Valor Parcela" dataDxfId="172" dataCellStyle="Porcentagem"/>
    <tableColumn id="5" xr3:uid="{52285BEC-0F7D-418F-A98F-3BC424F4B159}" name="Nº Parcela" dataDxfId="171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0" headerRowBorderDxfId="169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Relationship Id="rId9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9.xml"/><Relationship Id="rId1" Type="http://schemas.openxmlformats.org/officeDocument/2006/relationships/table" Target="../tables/table18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C24" sqref="C24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128</v>
      </c>
    </row>
    <row r="2" spans="1:16" ht="15" x14ac:dyDescent="0.2">
      <c r="A2" s="19" t="s">
        <v>0</v>
      </c>
      <c r="B2" s="60">
        <v>0</v>
      </c>
      <c r="P2" t="s">
        <v>129</v>
      </c>
    </row>
    <row r="3" spans="1:16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5955</v>
      </c>
      <c r="P3" t="s">
        <v>130</v>
      </c>
    </row>
    <row r="4" spans="1:16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5662.5</v>
      </c>
      <c r="P4" t="s">
        <v>131</v>
      </c>
    </row>
    <row r="5" spans="1:16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96</v>
      </c>
      <c r="P5" t="s">
        <v>132</v>
      </c>
    </row>
    <row r="6" spans="1:16" ht="15.75" x14ac:dyDescent="0.25">
      <c r="A6" s="28" t="s">
        <v>4</v>
      </c>
      <c r="B6" s="29">
        <f>SUM(B4:B5)</f>
        <v>5758.5</v>
      </c>
      <c r="P6" t="s">
        <v>133</v>
      </c>
    </row>
    <row r="7" spans="1:16" ht="15" x14ac:dyDescent="0.25">
      <c r="A7" s="2"/>
      <c r="B7" s="2"/>
      <c r="P7" t="s">
        <v>134</v>
      </c>
    </row>
    <row r="8" spans="1:16" ht="15" x14ac:dyDescent="0.2">
      <c r="A8" s="126" t="s">
        <v>5</v>
      </c>
      <c r="B8" s="126"/>
      <c r="P8" t="s">
        <v>135</v>
      </c>
    </row>
    <row r="9" spans="1:16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2779.81</v>
      </c>
      <c r="P9" t="s">
        <v>136</v>
      </c>
    </row>
    <row r="10" spans="1:16" ht="15" x14ac:dyDescent="0.2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1510.5</v>
      </c>
      <c r="P10" t="s">
        <v>137</v>
      </c>
    </row>
    <row r="11" spans="1:16" ht="15" x14ac:dyDescent="0.2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2233</v>
      </c>
      <c r="P11" t="s">
        <v>138</v>
      </c>
    </row>
    <row r="12" spans="1:16" ht="15" x14ac:dyDescent="0.2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P12" t="s">
        <v>139</v>
      </c>
    </row>
    <row r="13" spans="1:16" ht="15" x14ac:dyDescent="0.2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1227.48</v>
      </c>
      <c r="P13" t="s">
        <v>140</v>
      </c>
    </row>
    <row r="14" spans="1:16" ht="15.75" x14ac:dyDescent="0.25">
      <c r="A14" s="28" t="s">
        <v>11</v>
      </c>
      <c r="B14" s="61">
        <f>SUM(B9:B13)</f>
        <v>7750.7899999999991</v>
      </c>
    </row>
    <row r="15" spans="1:16" ht="15" x14ac:dyDescent="0.25">
      <c r="A15" s="2"/>
      <c r="B15" s="2"/>
    </row>
    <row r="16" spans="1:16" ht="15" x14ac:dyDescent="0.2">
      <c r="A16" s="126" t="s">
        <v>12</v>
      </c>
      <c r="B16" s="126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3670.2</v>
      </c>
    </row>
    <row r="18" spans="1:2" ht="15.75" x14ac:dyDescent="0.25">
      <c r="A18" s="28" t="s">
        <v>11</v>
      </c>
      <c r="B18" s="61">
        <f>SUM(B17:B17)</f>
        <v>3670.2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80" zoomScaleNormal="80" workbookViewId="0">
      <selection activeCell="B1" sqref="B1"/>
    </sheetView>
  </sheetViews>
  <sheetFormatPr defaultColWidth="9.140625" defaultRowHeight="12.75" x14ac:dyDescent="0.2"/>
  <cols>
    <col min="1" max="1" width="1" style="1" customWidth="1"/>
    <col min="2" max="2" width="23.28515625" style="1" bestFit="1" customWidth="1"/>
    <col min="3" max="3" width="14" style="1" customWidth="1"/>
    <col min="4" max="4" width="0.570312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v>45505</v>
      </c>
    </row>
    <row r="2" spans="2:18" ht="18.75" x14ac:dyDescent="0.2">
      <c r="B2" s="131" t="s">
        <v>127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9"/>
      <c r="F6" s="64"/>
      <c r="G6" s="65"/>
      <c r="H6" s="66"/>
      <c r="I6" s="66"/>
      <c r="J6" s="2"/>
      <c r="K6" s="64" t="s">
        <v>145</v>
      </c>
      <c r="L6" s="74" t="s">
        <v>10</v>
      </c>
      <c r="M6" s="75">
        <v>58</v>
      </c>
      <c r="R6" s="1">
        <f>IF(vend1[[#This Row],[Nº Venda]]&gt;1,1,0)</f>
        <v>0</v>
      </c>
    </row>
    <row r="7" spans="2:18" ht="15" x14ac:dyDescent="0.25">
      <c r="B7" s="23" t="s">
        <v>3</v>
      </c>
      <c r="C7" s="24">
        <f>SUM(M6:M11)</f>
        <v>58</v>
      </c>
      <c r="D7" s="2"/>
      <c r="E7" s="69"/>
      <c r="F7" s="64"/>
      <c r="G7" s="65"/>
      <c r="H7" s="66"/>
      <c r="I7" s="66"/>
      <c r="J7" s="2"/>
      <c r="K7" s="64"/>
      <c r="L7" s="74"/>
      <c r="M7" s="75"/>
      <c r="R7" s="1">
        <f>IF(vend1[[#This Row],[Nº Venda]]&gt;1,1,0)</f>
        <v>0</v>
      </c>
    </row>
    <row r="8" spans="2:18" ht="15.75" x14ac:dyDescent="0.25">
      <c r="B8" s="28" t="s">
        <v>21</v>
      </c>
      <c r="C8" s="29">
        <f>SUM(C6:C7)</f>
        <v>58</v>
      </c>
      <c r="D8" s="2"/>
      <c r="E8" s="69"/>
      <c r="F8" s="64"/>
      <c r="G8" s="65"/>
      <c r="H8" s="66"/>
      <c r="I8" s="66"/>
      <c r="J8" s="2"/>
      <c r="K8" s="64"/>
      <c r="L8" s="74"/>
      <c r="M8" s="75"/>
      <c r="R8" s="1">
        <f>IF(vend1[[#This Row],[Nº Venda]]&gt;1,1,0)</f>
        <v>0</v>
      </c>
    </row>
    <row r="9" spans="2:18" ht="15" x14ac:dyDescent="0.25">
      <c r="B9" s="2"/>
      <c r="C9" s="2"/>
      <c r="D9" s="2"/>
      <c r="E9" s="69"/>
      <c r="F9" s="64"/>
      <c r="G9" s="65"/>
      <c r="H9" s="66"/>
      <c r="I9" s="66"/>
      <c r="J9" s="2"/>
      <c r="K9" s="64"/>
      <c r="L9" s="74"/>
      <c r="M9" s="75"/>
      <c r="R9" s="1">
        <f>IF(vend1[[#This Row],[Nº Venda]]&gt;1,1,0)</f>
        <v>0</v>
      </c>
    </row>
    <row r="10" spans="2:18" ht="15" x14ac:dyDescent="0.25">
      <c r="B10" s="126" t="s">
        <v>5</v>
      </c>
      <c r="C10" s="126"/>
      <c r="D10" s="2"/>
      <c r="E10" s="69"/>
      <c r="F10" s="64"/>
      <c r="G10" s="65"/>
      <c r="H10" s="66"/>
      <c r="I10" s="66"/>
      <c r="J10" s="2"/>
      <c r="K10" s="64"/>
      <c r="L10" s="74"/>
      <c r="M10" s="75"/>
      <c r="R10" s="1">
        <f>IF(vend1[[#This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69"/>
      <c r="F11" s="64"/>
      <c r="G11" s="65"/>
      <c r="H11" s="66"/>
      <c r="I11" s="66"/>
      <c r="J11" s="2"/>
      <c r="K11" s="76"/>
      <c r="L11" s="74"/>
      <c r="M11" s="75"/>
      <c r="O11" s="1">
        <f>IF(C16=0,0,1)</f>
        <v>0</v>
      </c>
      <c r="R11" s="1">
        <f>IF(vend1[[#This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9"/>
      <c r="F12" s="64"/>
      <c r="G12" s="65"/>
      <c r="H12" s="66"/>
      <c r="I12" s="66"/>
      <c r="J12" s="2"/>
      <c r="K12" s="77"/>
      <c r="L12" s="77"/>
      <c r="M12" s="77"/>
      <c r="R12" s="1">
        <f>IF(vend1[[#This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9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IF(vend1[[#This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9"/>
      <c r="F14" s="64"/>
      <c r="G14" s="65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9"/>
      <c r="F15" s="64"/>
      <c r="G15" s="65"/>
      <c r="H15" s="66"/>
      <c r="I15" s="66"/>
      <c r="J15" s="2"/>
      <c r="K15" s="64"/>
      <c r="L15" s="74"/>
      <c r="M15" s="75"/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69"/>
      <c r="F16" s="64"/>
      <c r="G16" s="65"/>
      <c r="H16" s="66"/>
      <c r="I16" s="66"/>
      <c r="J16" s="2"/>
      <c r="K16" s="64"/>
      <c r="L16" s="74"/>
      <c r="M16" s="75"/>
      <c r="R16" s="1">
        <f>IF(vend1[[#This Row],[Nº Venda]]&gt;1,1,0)</f>
        <v>0</v>
      </c>
    </row>
    <row r="17" spans="2:18" ht="15" x14ac:dyDescent="0.25">
      <c r="B17" s="2"/>
      <c r="C17" s="2"/>
      <c r="D17" s="2"/>
      <c r="E17" s="69"/>
      <c r="F17" s="64"/>
      <c r="G17" s="65"/>
      <c r="H17" s="66"/>
      <c r="I17" s="66"/>
      <c r="J17" s="2"/>
      <c r="K17" s="64"/>
      <c r="L17" s="74"/>
      <c r="M17" s="75"/>
      <c r="R17" s="1">
        <f>IF(vend1[[#This Row],[Nº Venda]]&gt;1,1,0)</f>
        <v>0</v>
      </c>
    </row>
    <row r="18" spans="2:18" ht="15" x14ac:dyDescent="0.25">
      <c r="B18" s="126" t="s">
        <v>12</v>
      </c>
      <c r="C18" s="126"/>
      <c r="D18" s="2"/>
      <c r="E18" s="69"/>
      <c r="F18" s="64"/>
      <c r="G18" s="65"/>
      <c r="H18" s="66"/>
      <c r="I18" s="66"/>
      <c r="J18" s="2"/>
      <c r="K18" s="64"/>
      <c r="L18" s="74"/>
      <c r="M18" s="75"/>
      <c r="R18" s="1">
        <f>IF(vend1[[#This Row],[Nº Venda]]&gt;1,1,0)</f>
        <v>0</v>
      </c>
    </row>
    <row r="19" spans="2:18" ht="15" x14ac:dyDescent="0.25">
      <c r="B19" s="30">
        <f>COUNT(entr_carn31195[OS])</f>
        <v>0</v>
      </c>
      <c r="C19" s="31">
        <f>SUM(entr_carn31195[Valor Total])</f>
        <v>0</v>
      </c>
      <c r="D19" s="2"/>
      <c r="E19" s="69"/>
      <c r="F19" s="64"/>
      <c r="G19" s="65"/>
      <c r="H19" s="66"/>
      <c r="I19" s="66"/>
      <c r="J19" s="2"/>
      <c r="K19" s="64"/>
      <c r="L19" s="74"/>
      <c r="M19" s="75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9"/>
      <c r="F20" s="65"/>
      <c r="G20" s="65"/>
      <c r="H20" s="66"/>
      <c r="I20" s="66"/>
      <c r="J20" s="2"/>
      <c r="K20" s="64"/>
      <c r="L20" s="74"/>
      <c r="M20" s="75"/>
      <c r="R20" s="1">
        <f>IF(vend1[[#This Row],[Nº Venda]]&gt;1,1,0)</f>
        <v>0</v>
      </c>
    </row>
    <row r="21" spans="2:18" ht="15" x14ac:dyDescent="0.25">
      <c r="B21" s="2"/>
      <c r="C21" s="2"/>
      <c r="D21" s="2"/>
      <c r="E21" s="69"/>
      <c r="F21" s="64"/>
      <c r="G21" s="65"/>
      <c r="H21" s="66"/>
      <c r="I21" s="66"/>
      <c r="J21" s="2"/>
      <c r="K21" s="64"/>
      <c r="L21" s="74"/>
      <c r="M21" s="75"/>
    </row>
    <row r="22" spans="2:18" ht="15.75" x14ac:dyDescent="0.25">
      <c r="B22" s="28" t="s">
        <v>26</v>
      </c>
      <c r="C22" s="32">
        <f>C5</f>
        <v>0</v>
      </c>
      <c r="D22" s="2"/>
      <c r="E22" s="69"/>
      <c r="F22" s="64"/>
      <c r="G22" s="65"/>
      <c r="H22" s="66"/>
      <c r="I22" s="66"/>
      <c r="J22" s="2"/>
      <c r="K22" s="64"/>
      <c r="L22" s="74"/>
      <c r="M22" s="75"/>
    </row>
    <row r="23" spans="2:18" ht="15" x14ac:dyDescent="0.25">
      <c r="B23" s="2"/>
      <c r="C23" s="2"/>
      <c r="D23" s="2"/>
      <c r="E23" s="70"/>
      <c r="F23" s="71"/>
      <c r="G23" s="71"/>
      <c r="H23" s="72"/>
      <c r="I23" s="73"/>
      <c r="J23" s="2"/>
      <c r="K23" s="64"/>
      <c r="L23" s="74"/>
      <c r="M23" s="75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64"/>
      <c r="L24" s="74"/>
      <c r="M24" s="75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4"/>
      <c r="L25" s="74"/>
      <c r="M25" s="75"/>
    </row>
    <row r="26" spans="2:18" ht="15" x14ac:dyDescent="0.25">
      <c r="B26" s="2"/>
      <c r="C26" s="2"/>
      <c r="D26" s="2"/>
      <c r="E26" s="69"/>
      <c r="F26" s="64"/>
      <c r="G26" s="65"/>
      <c r="H26" s="66"/>
      <c r="I26" s="66"/>
      <c r="J26" s="2"/>
      <c r="K26" s="64"/>
      <c r="L26" s="74"/>
      <c r="M26" s="75"/>
    </row>
    <row r="27" spans="2:18" ht="15" x14ac:dyDescent="0.25">
      <c r="B27" s="2"/>
      <c r="C27" s="2"/>
      <c r="D27" s="2"/>
      <c r="E27" s="69"/>
      <c r="F27" s="64"/>
      <c r="G27" s="65"/>
      <c r="H27" s="66"/>
      <c r="I27" s="66"/>
      <c r="J27" s="2"/>
      <c r="K27" s="64"/>
      <c r="L27" s="74"/>
      <c r="M27" s="75"/>
    </row>
    <row r="28" spans="2:18" ht="15" x14ac:dyDescent="0.25">
      <c r="B28" s="2"/>
      <c r="C28" s="2"/>
      <c r="D28" s="2"/>
      <c r="E28" s="69"/>
      <c r="F28" s="64"/>
      <c r="G28" s="65"/>
      <c r="H28" s="66"/>
      <c r="I28" s="66"/>
      <c r="J28" s="2"/>
      <c r="K28" s="64"/>
      <c r="L28" s="74"/>
      <c r="M28" s="75"/>
    </row>
    <row r="29" spans="2:18" ht="15" x14ac:dyDescent="0.25">
      <c r="B29" s="2"/>
      <c r="C29" s="2"/>
      <c r="D29" s="2"/>
      <c r="E29" s="69"/>
      <c r="F29" s="64"/>
      <c r="G29" s="65"/>
      <c r="H29" s="66"/>
      <c r="I29" s="66"/>
      <c r="J29" s="2"/>
      <c r="K29" s="64"/>
      <c r="L29" s="74"/>
      <c r="M29" s="75"/>
    </row>
    <row r="30" spans="2:18" ht="15" x14ac:dyDescent="0.25">
      <c r="B30" s="2"/>
      <c r="C30" s="2"/>
      <c r="D30" s="2"/>
      <c r="E30" s="69"/>
      <c r="F30" s="78"/>
      <c r="G30" s="65"/>
      <c r="H30" s="66"/>
      <c r="I30" s="66"/>
      <c r="J30" s="2"/>
      <c r="K30" s="64"/>
      <c r="L30" s="74"/>
      <c r="M30" s="75"/>
    </row>
    <row r="31" spans="2:18" ht="15" x14ac:dyDescent="0.25">
      <c r="B31" s="2"/>
      <c r="C31" s="2"/>
      <c r="D31" s="2"/>
      <c r="E31" s="79"/>
      <c r="F31" s="80"/>
      <c r="G31" s="81"/>
      <c r="H31" s="82"/>
      <c r="I31" s="82"/>
      <c r="J31" s="2"/>
      <c r="K31" s="64"/>
      <c r="L31" s="74"/>
      <c r="M31" s="75"/>
    </row>
    <row r="32" spans="2:18" ht="15" x14ac:dyDescent="0.25">
      <c r="B32" s="2"/>
      <c r="C32" s="2"/>
      <c r="E32" s="70"/>
      <c r="F32" s="71"/>
      <c r="G32" s="71"/>
      <c r="H32" s="73"/>
      <c r="I32" s="73"/>
      <c r="K32" s="77"/>
      <c r="L32" s="77"/>
      <c r="M32" s="77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9"/>
      <c r="F35" s="64"/>
      <c r="G35" s="65"/>
      <c r="H35" s="66"/>
      <c r="I35" s="66"/>
      <c r="K35" s="64"/>
      <c r="L35" s="84"/>
      <c r="M35" s="75"/>
    </row>
    <row r="36" spans="2:18" ht="15" x14ac:dyDescent="0.25">
      <c r="E36" s="69"/>
      <c r="F36" s="64"/>
      <c r="G36" s="65"/>
      <c r="H36" s="66"/>
      <c r="I36" s="66"/>
      <c r="K36" s="64"/>
      <c r="L36" s="84"/>
      <c r="M36" s="75"/>
    </row>
    <row r="37" spans="2:18" ht="15" x14ac:dyDescent="0.25">
      <c r="E37" s="69"/>
      <c r="F37" s="64"/>
      <c r="G37" s="65"/>
      <c r="H37" s="66"/>
      <c r="I37" s="66"/>
      <c r="K37" s="64"/>
      <c r="L37" s="84"/>
      <c r="M37" s="75"/>
    </row>
    <row r="38" spans="2:18" ht="15" x14ac:dyDescent="0.25">
      <c r="E38" s="69"/>
      <c r="F38" s="64"/>
      <c r="G38" s="65"/>
      <c r="H38" s="66"/>
      <c r="I38" s="66"/>
      <c r="K38" s="64"/>
      <c r="L38" s="84"/>
      <c r="M38" s="75"/>
    </row>
    <row r="39" spans="2:18" ht="15" x14ac:dyDescent="0.25">
      <c r="E39" s="69"/>
      <c r="F39" s="78"/>
      <c r="G39" s="65"/>
      <c r="H39" s="66"/>
      <c r="I39" s="66"/>
      <c r="K39" s="64"/>
      <c r="L39" s="84"/>
      <c r="M39" s="75"/>
    </row>
    <row r="40" spans="2:18" ht="15" x14ac:dyDescent="0.25">
      <c r="E40" s="79"/>
      <c r="F40" s="80"/>
      <c r="G40" s="81"/>
      <c r="H40" s="82"/>
      <c r="I40" s="66"/>
      <c r="K40" s="80"/>
      <c r="L40" s="85"/>
      <c r="M40" s="86"/>
      <c r="Q40" s="1" t="s">
        <v>36</v>
      </c>
      <c r="R40" s="1">
        <f>SUM(R6:R21)</f>
        <v>0</v>
      </c>
    </row>
    <row r="41" spans="2:18" ht="15" x14ac:dyDescent="0.25">
      <c r="E41" s="83"/>
      <c r="F41" s="78"/>
      <c r="G41" s="65"/>
      <c r="H41" s="66"/>
      <c r="I41" s="66"/>
      <c r="K41" s="87"/>
      <c r="L41" s="84"/>
      <c r="M41" s="8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2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2"/>
  <sheetViews>
    <sheetView showGridLines="0" zoomScale="80" zoomScaleNormal="80" workbookViewId="0">
      <selection activeCell="E25" sqref="E25:I25"/>
    </sheetView>
  </sheetViews>
  <sheetFormatPr defaultColWidth="9.140625" defaultRowHeight="12.75" x14ac:dyDescent="0.2"/>
  <cols>
    <col min="1" max="1" width="0.42578125" style="1" customWidth="1"/>
    <col min="2" max="2" width="29.42578125" style="1" bestFit="1" customWidth="1"/>
    <col min="3" max="3" width="14" style="1" customWidth="1"/>
    <col min="4" max="4" width="1.28515625" style="1" customWidth="1"/>
    <col min="5" max="5" width="15.5703125" style="34" customWidth="1"/>
    <col min="6" max="6" width="34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93">
        <f>'01'!B1+1</f>
        <v>45506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SUMIF(I6:I32,"&gt;0",H6:H32)</f>
        <v>783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SUM(I6:I42)</f>
        <v>783</v>
      </c>
      <c r="D6" s="2"/>
      <c r="E6" s="69">
        <v>976</v>
      </c>
      <c r="F6" s="64" t="s">
        <v>142</v>
      </c>
      <c r="G6" s="89" t="s">
        <v>8</v>
      </c>
      <c r="H6" s="66">
        <v>643</v>
      </c>
      <c r="I6" s="66">
        <v>543</v>
      </c>
      <c r="J6" s="2"/>
      <c r="K6" s="64"/>
      <c r="L6" s="74"/>
      <c r="M6" s="75"/>
      <c r="R6" s="1">
        <f>IF(vend2[[#This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83"/>
      <c r="F7" s="83"/>
      <c r="G7" s="65" t="s">
        <v>7</v>
      </c>
      <c r="H7" s="66">
        <v>0</v>
      </c>
      <c r="I7" s="66">
        <v>100</v>
      </c>
      <c r="J7" s="2"/>
      <c r="K7" s="64"/>
      <c r="L7" s="74"/>
      <c r="M7" s="75"/>
      <c r="R7" s="1">
        <f>IF(vend2[[#This Row],[Nº Venda]]&gt;1,1,0)</f>
        <v>0</v>
      </c>
    </row>
    <row r="8" spans="2:18" ht="15.75" x14ac:dyDescent="0.25">
      <c r="B8" s="28" t="s">
        <v>21</v>
      </c>
      <c r="C8" s="29">
        <f>SUM(C6:C7)</f>
        <v>783</v>
      </c>
      <c r="D8" s="2"/>
      <c r="E8" s="69">
        <v>977</v>
      </c>
      <c r="F8" s="64" t="s">
        <v>143</v>
      </c>
      <c r="G8" s="89" t="s">
        <v>8</v>
      </c>
      <c r="H8" s="66">
        <v>70</v>
      </c>
      <c r="I8" s="66">
        <v>70</v>
      </c>
      <c r="J8" s="2"/>
      <c r="K8" s="64"/>
      <c r="L8" s="74"/>
      <c r="M8" s="75"/>
      <c r="R8" s="1">
        <f>IF(vend2[[#This Row],[Nº Venda]]&gt;1,1,0)</f>
        <v>1</v>
      </c>
    </row>
    <row r="9" spans="2:18" ht="15" x14ac:dyDescent="0.25">
      <c r="B9" s="2"/>
      <c r="C9" s="2"/>
      <c r="D9" s="2"/>
      <c r="E9" s="69">
        <v>978</v>
      </c>
      <c r="F9" s="64" t="s">
        <v>143</v>
      </c>
      <c r="G9" s="65" t="s">
        <v>6</v>
      </c>
      <c r="H9" s="66">
        <v>70</v>
      </c>
      <c r="I9" s="66">
        <v>70</v>
      </c>
      <c r="J9" s="2"/>
      <c r="K9" s="64"/>
      <c r="L9" s="74"/>
      <c r="M9" s="75"/>
      <c r="R9" s="1">
        <f>IF(vend2[[#This Row],[Nº Venda]]&gt;1,1,0)</f>
        <v>1</v>
      </c>
    </row>
    <row r="10" spans="2:18" ht="15" x14ac:dyDescent="0.25">
      <c r="B10" s="126" t="s">
        <v>5</v>
      </c>
      <c r="C10" s="126"/>
      <c r="D10" s="2"/>
      <c r="E10" s="69"/>
      <c r="F10" s="64"/>
      <c r="G10" s="65"/>
      <c r="H10" s="66"/>
      <c r="I10" s="66"/>
      <c r="J10" s="2"/>
      <c r="K10" s="64"/>
      <c r="L10" s="74"/>
      <c r="M10" s="75"/>
      <c r="R10" s="1">
        <f>IF(vend2[[#This Row],[Nº Venda]]&gt;1,1,0)</f>
        <v>0</v>
      </c>
    </row>
    <row r="11" spans="2:18" ht="15" x14ac:dyDescent="0.25">
      <c r="B11" s="30" t="s">
        <v>6</v>
      </c>
      <c r="C11" s="31">
        <f>(SUMIF($G$2:$G$32,B11,$I$2:$I$32))+(SUMIF($G$36:$G$42,B11,$H$36:$H$42))</f>
        <v>440.5</v>
      </c>
      <c r="D11" s="2"/>
      <c r="E11" s="69"/>
      <c r="F11" s="64"/>
      <c r="G11" s="65"/>
      <c r="H11" s="66"/>
      <c r="I11" s="66"/>
      <c r="J11" s="2"/>
      <c r="K11" s="76"/>
      <c r="L11" s="74"/>
      <c r="M11" s="75"/>
      <c r="O11" s="1">
        <f>IF(C16=0,0,1)</f>
        <v>1</v>
      </c>
      <c r="R11" s="1">
        <f>IF(vend2[[#This Row],[Nº Venda]]&gt;1,1,0)</f>
        <v>0</v>
      </c>
    </row>
    <row r="12" spans="2:18" ht="15" x14ac:dyDescent="0.25">
      <c r="B12" s="30" t="s">
        <v>7</v>
      </c>
      <c r="C12" s="31">
        <f>(SUMIF($G$2:$G$32,B12,$I$2:$I$32))+(SUMIF($G$36:$G$42,B12,$H$36:$H$42))</f>
        <v>100</v>
      </c>
      <c r="D12" s="2"/>
      <c r="E12" s="69"/>
      <c r="F12" s="64"/>
      <c r="G12" s="65"/>
      <c r="H12" s="66"/>
      <c r="I12" s="66"/>
      <c r="J12" s="2"/>
      <c r="K12" s="77"/>
      <c r="L12" s="77"/>
      <c r="M12" s="77"/>
      <c r="R12" s="1">
        <f>IF(vend2[[#This Row],[Nº Venda]]&gt;1,1,0)</f>
        <v>0</v>
      </c>
    </row>
    <row r="13" spans="2:18" ht="15" x14ac:dyDescent="0.25">
      <c r="B13" s="30" t="s">
        <v>8</v>
      </c>
      <c r="C13" s="31">
        <f>(SUMIF($G$2:$G$32,B13,$I$2:$I$32))+(SUMIF($G$36:$G$42,B13,$H$36:$H$42))</f>
        <v>613</v>
      </c>
      <c r="D13" s="2"/>
      <c r="E13" s="69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IF(vend2[[#This Row],[Nº Venda]]&gt;1,1,0)</f>
        <v>0</v>
      </c>
    </row>
    <row r="14" spans="2:18" ht="15" x14ac:dyDescent="0.25">
      <c r="B14" s="30" t="s">
        <v>9</v>
      </c>
      <c r="C14" s="31">
        <f>(SUMIF($G$2:$G$32,B14,$I$2:$I$32))+(SUMIF($G$36:$G$42,B14,$H$36:$H$42))</f>
        <v>0</v>
      </c>
      <c r="D14" s="2"/>
      <c r="E14" s="88"/>
      <c r="F14" s="50"/>
      <c r="G14" s="68"/>
      <c r="H14" s="58"/>
      <c r="I14" s="58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" x14ac:dyDescent="0.25">
      <c r="B15" s="30" t="s">
        <v>10</v>
      </c>
      <c r="C15" s="31">
        <f>(SUMIF($G$2:$G$32,B15,$I$2:$I$32))+(SUMIF($G$36:$G$42,B15,$H$36:$H$42))</f>
        <v>0</v>
      </c>
      <c r="D15" s="2"/>
      <c r="E15" s="88"/>
      <c r="F15" s="50"/>
      <c r="G15" s="68"/>
      <c r="H15" s="58"/>
      <c r="I15" s="58"/>
      <c r="J15" s="2"/>
      <c r="K15" s="64">
        <v>977</v>
      </c>
      <c r="L15" s="74" t="s">
        <v>140</v>
      </c>
      <c r="M15" s="75" t="s">
        <v>146</v>
      </c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1153.5</v>
      </c>
      <c r="D16" s="2"/>
      <c r="E16" s="69"/>
      <c r="F16" s="64"/>
      <c r="G16" s="65"/>
      <c r="H16" s="66"/>
      <c r="I16" s="66"/>
      <c r="J16" s="2"/>
      <c r="K16" s="64">
        <v>978</v>
      </c>
      <c r="L16" s="74" t="s">
        <v>140</v>
      </c>
      <c r="M16" s="75" t="s">
        <v>146</v>
      </c>
      <c r="R16" s="1">
        <f>IF(vend2[[#This Row],[Nº Venda]]&gt;1,1,0)</f>
        <v>0</v>
      </c>
    </row>
    <row r="17" spans="2:18" ht="15" x14ac:dyDescent="0.25">
      <c r="B17" s="2"/>
      <c r="C17" s="2"/>
      <c r="D17" s="2"/>
      <c r="E17" s="69"/>
      <c r="F17" s="64"/>
      <c r="G17" s="65"/>
      <c r="H17" s="66"/>
      <c r="I17" s="66"/>
      <c r="J17" s="2"/>
      <c r="K17" s="64"/>
      <c r="L17" s="74"/>
      <c r="M17" s="75"/>
      <c r="R17" s="1">
        <f>IF(vend2[[#This Row],[Nº Venda]]&gt;1,1,0)</f>
        <v>0</v>
      </c>
    </row>
    <row r="18" spans="2:18" ht="15" x14ac:dyDescent="0.25">
      <c r="B18" s="126" t="s">
        <v>12</v>
      </c>
      <c r="C18" s="126"/>
      <c r="D18" s="2"/>
      <c r="E18" s="69"/>
      <c r="F18" s="64"/>
      <c r="G18" s="65"/>
      <c r="H18" s="66"/>
      <c r="I18" s="66"/>
      <c r="J18" s="2"/>
      <c r="K18" s="64"/>
      <c r="L18" s="74"/>
      <c r="M18" s="75"/>
      <c r="R18" s="1">
        <f>IF(vend2[[#This Row],[Nº Venda]]&gt;1,1,0)</f>
        <v>0</v>
      </c>
    </row>
    <row r="19" spans="2:18" ht="15" x14ac:dyDescent="0.25">
      <c r="B19" s="30">
        <f>COUNT(entr_carn2[OS])</f>
        <v>0</v>
      </c>
      <c r="C19" s="31">
        <f>SUM(entr_carn2[Valor Total])</f>
        <v>0</v>
      </c>
      <c r="D19" s="2"/>
      <c r="E19" s="69"/>
      <c r="F19" s="64"/>
      <c r="G19" s="65"/>
      <c r="H19" s="66"/>
      <c r="I19" s="66"/>
      <c r="J19" s="2"/>
      <c r="K19" s="64"/>
      <c r="L19" s="74"/>
      <c r="M19" s="75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9"/>
      <c r="F20" s="64"/>
      <c r="G20" s="65"/>
      <c r="H20" s="66"/>
      <c r="I20" s="66"/>
      <c r="J20" s="2"/>
      <c r="K20" s="64"/>
      <c r="L20" s="74"/>
      <c r="M20" s="75"/>
      <c r="R20" s="1">
        <f>IF(vend2[[#This Row],[Nº Venda]]&gt;1,1,0)</f>
        <v>0</v>
      </c>
    </row>
    <row r="21" spans="2:18" ht="15" x14ac:dyDescent="0.25">
      <c r="B21" s="2"/>
      <c r="C21" s="2"/>
      <c r="D21" s="2"/>
      <c r="E21" s="69"/>
      <c r="F21" s="65"/>
      <c r="G21" s="65"/>
      <c r="H21" s="66"/>
      <c r="I21" s="66"/>
      <c r="J21" s="2"/>
      <c r="K21" s="64"/>
      <c r="L21" s="74"/>
      <c r="M21" s="75"/>
    </row>
    <row r="22" spans="2:18" ht="15.75" x14ac:dyDescent="0.25">
      <c r="B22" s="28" t="s">
        <v>26</v>
      </c>
      <c r="C22" s="32">
        <f>C5</f>
        <v>783</v>
      </c>
      <c r="D22" s="2"/>
      <c r="E22" s="69"/>
      <c r="F22" s="64"/>
      <c r="G22" s="65"/>
      <c r="H22" s="66"/>
      <c r="I22" s="66"/>
      <c r="J22" s="2"/>
      <c r="K22" s="64"/>
      <c r="L22" s="74"/>
      <c r="M22" s="75"/>
    </row>
    <row r="23" spans="2:18" ht="15" x14ac:dyDescent="0.25">
      <c r="B23" s="2"/>
      <c r="C23" s="2"/>
      <c r="D23" s="2"/>
      <c r="E23" s="69"/>
      <c r="F23" s="64"/>
      <c r="G23" s="65"/>
      <c r="H23" s="66"/>
      <c r="I23" s="66"/>
      <c r="J23" s="2"/>
      <c r="K23" s="64"/>
      <c r="L23" s="74"/>
      <c r="M23" s="75"/>
    </row>
    <row r="24" spans="2:18" ht="15" x14ac:dyDescent="0.25">
      <c r="B24" s="2"/>
      <c r="C24" s="2"/>
      <c r="D24" s="2"/>
      <c r="E24" s="70"/>
      <c r="F24" s="71"/>
      <c r="G24" s="71"/>
      <c r="H24" s="72"/>
      <c r="I24" s="73"/>
      <c r="J24" s="2"/>
      <c r="K24" s="64"/>
      <c r="L24" s="74"/>
      <c r="M24" s="75"/>
    </row>
    <row r="25" spans="2:18" ht="15" x14ac:dyDescent="0.25">
      <c r="B25" s="2"/>
      <c r="C25" s="2"/>
      <c r="D25" s="2"/>
      <c r="E25" s="127" t="s">
        <v>27</v>
      </c>
      <c r="F25" s="127"/>
      <c r="G25" s="127"/>
      <c r="H25" s="127"/>
      <c r="I25" s="127"/>
      <c r="J25" s="2"/>
      <c r="K25" s="64"/>
      <c r="L25" s="74"/>
      <c r="M25" s="75"/>
    </row>
    <row r="26" spans="2:18" ht="15" x14ac:dyDescent="0.25">
      <c r="B26" s="2"/>
      <c r="C26" s="2"/>
      <c r="D26" s="2"/>
      <c r="E26" s="10" t="s">
        <v>14</v>
      </c>
      <c r="F26" s="10" t="s">
        <v>15</v>
      </c>
      <c r="G26" s="11" t="s">
        <v>16</v>
      </c>
      <c r="H26" s="12" t="s">
        <v>17</v>
      </c>
      <c r="I26" s="13" t="s">
        <v>2</v>
      </c>
      <c r="J26" s="2"/>
      <c r="K26" s="64"/>
      <c r="L26" s="74"/>
      <c r="M26" s="75"/>
    </row>
    <row r="27" spans="2:18" ht="15" x14ac:dyDescent="0.25">
      <c r="B27" s="2"/>
      <c r="C27" s="2"/>
      <c r="D27" s="2"/>
      <c r="E27" s="69"/>
      <c r="F27" s="64"/>
      <c r="G27" s="65"/>
      <c r="H27" s="66"/>
      <c r="I27" s="66"/>
      <c r="J27" s="2"/>
      <c r="K27" s="64"/>
      <c r="L27" s="74"/>
      <c r="M27" s="75"/>
    </row>
    <row r="28" spans="2:18" ht="15" x14ac:dyDescent="0.25">
      <c r="B28" s="2"/>
      <c r="C28" s="2"/>
      <c r="D28" s="2"/>
      <c r="E28" s="69"/>
      <c r="F28" s="64"/>
      <c r="G28" s="65"/>
      <c r="H28" s="66"/>
      <c r="I28" s="66"/>
      <c r="J28" s="2"/>
      <c r="K28" s="64"/>
      <c r="L28" s="74"/>
      <c r="M28" s="75"/>
    </row>
    <row r="29" spans="2:18" ht="15" x14ac:dyDescent="0.25">
      <c r="B29" s="2"/>
      <c r="C29" s="2"/>
      <c r="D29" s="2"/>
      <c r="E29" s="69"/>
      <c r="F29" s="64"/>
      <c r="G29" s="65"/>
      <c r="H29" s="66"/>
      <c r="I29" s="66"/>
      <c r="J29" s="2"/>
      <c r="K29" s="64"/>
      <c r="L29" s="74"/>
      <c r="M29" s="75"/>
    </row>
    <row r="30" spans="2:18" ht="15" x14ac:dyDescent="0.25">
      <c r="B30" s="2"/>
      <c r="C30" s="2"/>
      <c r="D30" s="2"/>
      <c r="E30" s="69"/>
      <c r="F30" s="64"/>
      <c r="G30" s="65"/>
      <c r="H30" s="66"/>
      <c r="I30" s="66"/>
      <c r="J30" s="2"/>
      <c r="K30" s="64"/>
      <c r="L30" s="74"/>
      <c r="M30" s="75"/>
    </row>
    <row r="31" spans="2:18" ht="15" x14ac:dyDescent="0.25">
      <c r="B31" s="2"/>
      <c r="C31" s="2"/>
      <c r="D31" s="2"/>
      <c r="E31" s="69"/>
      <c r="F31" s="78"/>
      <c r="G31" s="65"/>
      <c r="H31" s="66"/>
      <c r="I31" s="66"/>
      <c r="J31" s="2"/>
      <c r="K31" s="64"/>
      <c r="L31" s="74"/>
      <c r="M31" s="75"/>
    </row>
    <row r="32" spans="2:18" ht="15" x14ac:dyDescent="0.25">
      <c r="B32" s="2"/>
      <c r="C32" s="2"/>
      <c r="E32" s="79"/>
      <c r="F32" s="80"/>
      <c r="G32" s="81"/>
      <c r="H32" s="82"/>
      <c r="I32" s="82"/>
      <c r="K32" s="77"/>
      <c r="L32" s="77"/>
      <c r="M32" s="77"/>
    </row>
    <row r="33" spans="2:21" ht="15" x14ac:dyDescent="0.25">
      <c r="B33" s="2"/>
      <c r="C33" s="2"/>
      <c r="E33" s="70"/>
      <c r="F33" s="71"/>
      <c r="G33" s="71"/>
      <c r="H33" s="73"/>
      <c r="I33" s="73"/>
      <c r="K33" s="128" t="s">
        <v>12</v>
      </c>
      <c r="L33" s="129"/>
      <c r="M33" s="130"/>
    </row>
    <row r="34" spans="2:21" ht="15" x14ac:dyDescent="0.25">
      <c r="E34" s="127" t="s">
        <v>28</v>
      </c>
      <c r="F34" s="127"/>
      <c r="G34" s="127"/>
      <c r="H34" s="127"/>
      <c r="I34" s="127"/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" x14ac:dyDescent="0.25">
      <c r="E35" s="10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64"/>
      <c r="L35" s="84"/>
      <c r="M35" s="75"/>
    </row>
    <row r="36" spans="2:21" ht="15" x14ac:dyDescent="0.25">
      <c r="E36" s="69">
        <v>906</v>
      </c>
      <c r="F36" s="64" t="s">
        <v>141</v>
      </c>
      <c r="G36" s="65" t="s">
        <v>6</v>
      </c>
      <c r="H36" s="66">
        <v>197.4</v>
      </c>
      <c r="I36" s="66" t="s">
        <v>79</v>
      </c>
      <c r="K36" s="64"/>
      <c r="L36" s="84"/>
      <c r="M36" s="75"/>
    </row>
    <row r="37" spans="2:21" ht="15" x14ac:dyDescent="0.25">
      <c r="E37" s="69">
        <v>946</v>
      </c>
      <c r="F37" s="64" t="s">
        <v>144</v>
      </c>
      <c r="G37" s="65" t="s">
        <v>6</v>
      </c>
      <c r="H37" s="66">
        <v>173.1</v>
      </c>
      <c r="I37" s="66" t="s">
        <v>94</v>
      </c>
      <c r="K37" s="64"/>
      <c r="L37" s="84"/>
      <c r="M37" s="75"/>
    </row>
    <row r="38" spans="2:21" ht="15" x14ac:dyDescent="0.25">
      <c r="E38" s="69"/>
      <c r="F38" s="64"/>
      <c r="G38" s="65"/>
      <c r="H38" s="66"/>
      <c r="I38" s="66"/>
      <c r="K38" s="64"/>
      <c r="L38" s="84"/>
      <c r="M38" s="75"/>
    </row>
    <row r="39" spans="2:21" ht="15" x14ac:dyDescent="0.25">
      <c r="E39" s="69"/>
      <c r="F39" s="64"/>
      <c r="G39" s="65"/>
      <c r="H39" s="66"/>
      <c r="I39" s="66"/>
      <c r="K39" s="64"/>
      <c r="L39" s="84"/>
      <c r="M39" s="75"/>
    </row>
    <row r="40" spans="2:21" ht="15" x14ac:dyDescent="0.25">
      <c r="E40" s="69"/>
      <c r="F40" s="78"/>
      <c r="G40" s="65"/>
      <c r="H40" s="66"/>
      <c r="I40" s="66"/>
      <c r="K40" s="80"/>
      <c r="L40" s="85"/>
      <c r="M40" s="86"/>
      <c r="Q40" s="1" t="s">
        <v>36</v>
      </c>
      <c r="R40" s="1">
        <f>SUM(R6:R21)</f>
        <v>3</v>
      </c>
    </row>
    <row r="41" spans="2:21" ht="15" x14ac:dyDescent="0.25">
      <c r="E41" s="79"/>
      <c r="F41" s="80"/>
      <c r="G41" s="81"/>
      <c r="H41" s="82"/>
      <c r="I41" s="66"/>
      <c r="K41" s="87"/>
      <c r="L41" s="84"/>
      <c r="M41" s="86"/>
    </row>
    <row r="42" spans="2:21" ht="15" x14ac:dyDescent="0.25">
      <c r="E42" s="83"/>
      <c r="F42" s="78"/>
      <c r="G42" s="65"/>
      <c r="H42" s="66"/>
      <c r="I42" s="66"/>
    </row>
  </sheetData>
  <mergeCells count="9">
    <mergeCell ref="E25:I25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E95BB8A-1768-4CAA-AEF8-5923B3598C9D}">
          <x14:formula1>
            <xm:f>base!$A$2:$A$6</xm:f>
          </x14:formula1>
          <xm:sqref>G27:G32 G36:G42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I36:I42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80" zoomScaleNormal="80" workbookViewId="0">
      <selection activeCell="K9" sqref="K9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4" style="1" customWidth="1"/>
    <col min="4" max="4" width="0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'02'!B1+1</f>
        <v>45507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147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9"/>
      <c r="F6" s="64"/>
      <c r="G6" s="89"/>
      <c r="H6" s="66"/>
      <c r="I6" s="66"/>
      <c r="J6" s="2"/>
      <c r="K6" s="64"/>
      <c r="L6" s="74"/>
      <c r="M6" s="75"/>
      <c r="R6" s="1">
        <f>IF(vend3[[#This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9"/>
      <c r="F7" s="64"/>
      <c r="G7" s="65"/>
      <c r="H7" s="66"/>
      <c r="I7" s="66"/>
      <c r="J7" s="2"/>
      <c r="K7" s="64"/>
      <c r="L7" s="74"/>
      <c r="M7" s="75"/>
      <c r="R7" s="1">
        <f>IF(vend3[[#This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69"/>
      <c r="F8" s="64"/>
      <c r="G8" s="65"/>
      <c r="H8" s="66"/>
      <c r="I8" s="66"/>
      <c r="J8" s="2"/>
      <c r="K8" s="64"/>
      <c r="L8" s="74"/>
      <c r="M8" s="75"/>
      <c r="R8" s="1">
        <f>IF(vend3[[#This Row],[Nº Venda]]&gt;1,1,0)</f>
        <v>0</v>
      </c>
    </row>
    <row r="9" spans="2:18" ht="15" x14ac:dyDescent="0.25">
      <c r="B9" s="2"/>
      <c r="C9" s="2"/>
      <c r="D9" s="2"/>
      <c r="E9" s="69"/>
      <c r="F9" s="64"/>
      <c r="G9" s="65"/>
      <c r="H9" s="66"/>
      <c r="I9" s="66"/>
      <c r="J9" s="2"/>
      <c r="K9" s="64"/>
      <c r="L9" s="74"/>
      <c r="M9" s="75"/>
      <c r="R9" s="1">
        <f>IF(vend3[[#This Row],[Nº Venda]]&gt;1,1,0)</f>
        <v>0</v>
      </c>
    </row>
    <row r="10" spans="2:18" ht="15" x14ac:dyDescent="0.25">
      <c r="B10" s="126" t="s">
        <v>5</v>
      </c>
      <c r="C10" s="126"/>
      <c r="D10" s="2"/>
      <c r="E10" s="69"/>
      <c r="F10" s="64"/>
      <c r="G10" s="65"/>
      <c r="H10" s="66"/>
      <c r="I10" s="66"/>
      <c r="J10" s="2"/>
      <c r="K10" s="64"/>
      <c r="L10" s="74"/>
      <c r="M10" s="75"/>
      <c r="R10" s="1">
        <f>IF(vend3[[#This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69"/>
      <c r="F11" s="64"/>
      <c r="G11" s="65"/>
      <c r="H11" s="66"/>
      <c r="I11" s="66"/>
      <c r="J11" s="2"/>
      <c r="K11" s="76"/>
      <c r="L11" s="74"/>
      <c r="M11" s="75"/>
      <c r="O11" s="1">
        <f>IF(C16=0,0,1)</f>
        <v>0</v>
      </c>
      <c r="R11" s="1">
        <f>IF(vend3[[#This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9"/>
      <c r="F12" s="64"/>
      <c r="G12" s="65"/>
      <c r="H12" s="66"/>
      <c r="I12" s="66"/>
      <c r="J12" s="2"/>
      <c r="K12" s="77"/>
      <c r="L12" s="77"/>
      <c r="M12" s="77"/>
      <c r="R12" s="1">
        <f>IF(vend3[[#This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9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IF(vend3[[#This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9"/>
      <c r="F14" s="64"/>
      <c r="G14" s="65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9"/>
      <c r="F15" s="64"/>
      <c r="G15" s="65"/>
      <c r="H15" s="66"/>
      <c r="I15" s="66"/>
      <c r="J15" s="2"/>
      <c r="K15" s="64"/>
      <c r="L15" s="74"/>
      <c r="M15" s="75"/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69"/>
      <c r="F16" s="64"/>
      <c r="G16" s="65"/>
      <c r="H16" s="66"/>
      <c r="I16" s="66"/>
      <c r="J16" s="2"/>
      <c r="K16" s="64"/>
      <c r="L16" s="74"/>
      <c r="M16" s="75"/>
      <c r="R16" s="1">
        <f>IF(vend3[[#This Row],[Nº Venda]]&gt;1,1,0)</f>
        <v>0</v>
      </c>
    </row>
    <row r="17" spans="2:18" ht="15" x14ac:dyDescent="0.25">
      <c r="B17" s="2"/>
      <c r="C17" s="2"/>
      <c r="D17" s="2"/>
      <c r="E17" s="69"/>
      <c r="F17" s="64"/>
      <c r="G17" s="65"/>
      <c r="H17" s="66"/>
      <c r="I17" s="66"/>
      <c r="J17" s="2"/>
      <c r="K17" s="64"/>
      <c r="L17" s="74"/>
      <c r="M17" s="75"/>
      <c r="R17" s="1">
        <f>IF(vend3[[#This Row],[Nº Venda]]&gt;1,1,0)</f>
        <v>0</v>
      </c>
    </row>
    <row r="18" spans="2:18" ht="15" x14ac:dyDescent="0.25">
      <c r="B18" s="126" t="s">
        <v>12</v>
      </c>
      <c r="C18" s="126"/>
      <c r="D18" s="2"/>
      <c r="E18" s="69"/>
      <c r="F18" s="64"/>
      <c r="G18" s="65"/>
      <c r="H18" s="66"/>
      <c r="I18" s="66"/>
      <c r="J18" s="2"/>
      <c r="K18" s="64"/>
      <c r="L18" s="74"/>
      <c r="M18" s="75"/>
      <c r="R18" s="1">
        <f>IF(vend3[[#This Row],[Nº Venda]]&gt;1,1,0)</f>
        <v>0</v>
      </c>
    </row>
    <row r="19" spans="2:18" ht="15" x14ac:dyDescent="0.25">
      <c r="B19" s="30">
        <f>COUNT(entr_carn3[OS])</f>
        <v>0</v>
      </c>
      <c r="C19" s="31">
        <f>SUM(entr_carn3[Valor Total])</f>
        <v>0</v>
      </c>
      <c r="D19" s="2"/>
      <c r="E19" s="69"/>
      <c r="F19" s="64"/>
      <c r="G19" s="65"/>
      <c r="H19" s="66"/>
      <c r="I19" s="66"/>
      <c r="J19" s="2"/>
      <c r="K19" s="64"/>
      <c r="L19" s="74"/>
      <c r="M19" s="75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9"/>
      <c r="F20" s="65"/>
      <c r="G20" s="65"/>
      <c r="H20" s="66"/>
      <c r="I20" s="66"/>
      <c r="J20" s="2"/>
      <c r="K20" s="64"/>
      <c r="L20" s="74"/>
      <c r="M20" s="75"/>
      <c r="R20" s="1">
        <f>IF(vend3[[#This Row],[Nº Venda]]&gt;1,1,0)</f>
        <v>0</v>
      </c>
    </row>
    <row r="21" spans="2:18" ht="15" x14ac:dyDescent="0.25">
      <c r="B21" s="2"/>
      <c r="C21" s="2"/>
      <c r="D21" s="2"/>
      <c r="E21" s="69"/>
      <c r="F21" s="64"/>
      <c r="G21" s="65"/>
      <c r="H21" s="66"/>
      <c r="I21" s="66"/>
      <c r="J21" s="2"/>
      <c r="K21" s="64"/>
      <c r="L21" s="74"/>
      <c r="M21" s="75"/>
    </row>
    <row r="22" spans="2:18" ht="15.75" x14ac:dyDescent="0.25">
      <c r="B22" s="28" t="s">
        <v>26</v>
      </c>
      <c r="C22" s="32">
        <f>C5</f>
        <v>0</v>
      </c>
      <c r="D22" s="2"/>
      <c r="E22" s="69"/>
      <c r="F22" s="64"/>
      <c r="G22" s="65"/>
      <c r="H22" s="66"/>
      <c r="I22" s="66"/>
      <c r="J22" s="2"/>
      <c r="K22" s="64"/>
      <c r="L22" s="74"/>
      <c r="M22" s="75"/>
    </row>
    <row r="23" spans="2:18" ht="15" x14ac:dyDescent="0.25">
      <c r="B23" s="2"/>
      <c r="C23" s="2"/>
      <c r="D23" s="2"/>
      <c r="E23" s="70"/>
      <c r="F23" s="71"/>
      <c r="G23" s="71"/>
      <c r="H23" s="72"/>
      <c r="I23" s="73"/>
      <c r="J23" s="2"/>
      <c r="K23" s="64"/>
      <c r="L23" s="74"/>
      <c r="M23" s="75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64"/>
      <c r="L24" s="74"/>
      <c r="M24" s="75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4"/>
      <c r="L25" s="74"/>
      <c r="M25" s="75"/>
    </row>
    <row r="26" spans="2:18" ht="15" x14ac:dyDescent="0.25">
      <c r="B26" s="2"/>
      <c r="C26" s="2"/>
      <c r="D26" s="2"/>
      <c r="E26" s="69"/>
      <c r="F26" s="64"/>
      <c r="G26" s="89"/>
      <c r="H26" s="66"/>
      <c r="I26" s="66"/>
      <c r="J26" s="2"/>
      <c r="K26" s="64"/>
      <c r="L26" s="74"/>
      <c r="M26" s="75"/>
    </row>
    <row r="27" spans="2:18" ht="15" x14ac:dyDescent="0.25">
      <c r="B27" s="2"/>
      <c r="C27" s="2"/>
      <c r="D27" s="2"/>
      <c r="E27" s="69"/>
      <c r="F27" s="64"/>
      <c r="G27" s="65"/>
      <c r="H27" s="66"/>
      <c r="I27" s="66"/>
      <c r="J27" s="2"/>
      <c r="K27" s="64"/>
      <c r="L27" s="74"/>
      <c r="M27" s="75"/>
    </row>
    <row r="28" spans="2:18" ht="15" x14ac:dyDescent="0.25">
      <c r="B28" s="2"/>
      <c r="C28" s="2"/>
      <c r="D28" s="2"/>
      <c r="E28" s="69"/>
      <c r="F28" s="64"/>
      <c r="G28" s="65"/>
      <c r="H28" s="66"/>
      <c r="I28" s="66"/>
      <c r="J28" s="2"/>
      <c r="K28" s="64"/>
      <c r="L28" s="74"/>
      <c r="M28" s="75"/>
    </row>
    <row r="29" spans="2:18" ht="15" x14ac:dyDescent="0.25">
      <c r="B29" s="2"/>
      <c r="C29" s="2"/>
      <c r="D29" s="2"/>
      <c r="E29" s="69"/>
      <c r="F29" s="64"/>
      <c r="G29" s="65"/>
      <c r="H29" s="66"/>
      <c r="I29" s="66"/>
      <c r="J29" s="2"/>
      <c r="K29" s="64"/>
      <c r="L29" s="74"/>
      <c r="M29" s="75"/>
    </row>
    <row r="30" spans="2:18" ht="15" x14ac:dyDescent="0.25">
      <c r="B30" s="2"/>
      <c r="C30" s="2"/>
      <c r="D30" s="2"/>
      <c r="E30" s="69"/>
      <c r="F30" s="78"/>
      <c r="G30" s="65"/>
      <c r="H30" s="66"/>
      <c r="I30" s="66"/>
      <c r="J30" s="2"/>
      <c r="K30" s="64"/>
      <c r="L30" s="74"/>
      <c r="M30" s="75"/>
    </row>
    <row r="31" spans="2:18" ht="15" x14ac:dyDescent="0.25">
      <c r="B31" s="2"/>
      <c r="C31" s="2"/>
      <c r="D31" s="2"/>
      <c r="E31" s="79"/>
      <c r="F31" s="80"/>
      <c r="G31" s="81"/>
      <c r="H31" s="82"/>
      <c r="I31" s="82"/>
      <c r="J31" s="2"/>
      <c r="K31" s="64"/>
      <c r="L31" s="74"/>
      <c r="M31" s="75"/>
    </row>
    <row r="32" spans="2:18" ht="15" x14ac:dyDescent="0.25">
      <c r="B32" s="2"/>
      <c r="C32" s="2"/>
      <c r="E32" s="70"/>
      <c r="F32" s="71"/>
      <c r="G32" s="71"/>
      <c r="H32" s="73"/>
      <c r="I32" s="73"/>
      <c r="K32" s="77"/>
      <c r="L32" s="77"/>
      <c r="M32" s="77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9"/>
      <c r="F35" s="64"/>
      <c r="G35" s="65"/>
      <c r="H35" s="66"/>
      <c r="I35" s="66"/>
      <c r="K35" s="64"/>
      <c r="L35" s="84"/>
      <c r="M35" s="75"/>
    </row>
    <row r="36" spans="2:18" ht="15" x14ac:dyDescent="0.25">
      <c r="E36" s="69"/>
      <c r="F36" s="64"/>
      <c r="G36" s="65"/>
      <c r="H36" s="66"/>
      <c r="I36" s="66"/>
      <c r="K36" s="64"/>
      <c r="L36" s="84"/>
      <c r="M36" s="75"/>
    </row>
    <row r="37" spans="2:18" ht="15" x14ac:dyDescent="0.25">
      <c r="E37" s="69"/>
      <c r="F37" s="64"/>
      <c r="G37" s="65"/>
      <c r="H37" s="66"/>
      <c r="I37" s="66"/>
      <c r="K37" s="64"/>
      <c r="L37" s="84"/>
      <c r="M37" s="75"/>
    </row>
    <row r="38" spans="2:18" ht="15" x14ac:dyDescent="0.25">
      <c r="E38" s="69"/>
      <c r="F38" s="64"/>
      <c r="G38" s="65"/>
      <c r="H38" s="66"/>
      <c r="I38" s="66"/>
      <c r="K38" s="64"/>
      <c r="L38" s="84"/>
      <c r="M38" s="75"/>
    </row>
    <row r="39" spans="2:18" ht="15" x14ac:dyDescent="0.25">
      <c r="E39" s="69"/>
      <c r="F39" s="78"/>
      <c r="G39" s="65"/>
      <c r="H39" s="66"/>
      <c r="I39" s="66"/>
      <c r="K39" s="64"/>
      <c r="L39" s="84"/>
      <c r="M39" s="75"/>
    </row>
    <row r="40" spans="2:18" ht="15" x14ac:dyDescent="0.25">
      <c r="E40" s="79"/>
      <c r="F40" s="80"/>
      <c r="G40" s="81"/>
      <c r="H40" s="82"/>
      <c r="I40" s="66"/>
      <c r="K40" s="80"/>
      <c r="L40" s="85"/>
      <c r="M40" s="86"/>
      <c r="Q40" s="1" t="s">
        <v>36</v>
      </c>
      <c r="R40" s="1">
        <f>SUM(R6:R21)</f>
        <v>0</v>
      </c>
    </row>
    <row r="41" spans="2:18" ht="15" x14ac:dyDescent="0.25">
      <c r="E41" s="83"/>
      <c r="F41" s="78"/>
      <c r="G41" s="65"/>
      <c r="H41" s="66"/>
      <c r="I41" s="66"/>
      <c r="K41" s="87"/>
      <c r="L41" s="84"/>
      <c r="M41" s="8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'03'!B1+1</f>
        <v>45508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5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5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45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5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126" t="s">
        <v>5</v>
      </c>
      <c r="C10" s="12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8" t="s">
        <v>22</v>
      </c>
      <c r="L13" s="129"/>
      <c r="M13" s="130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47"/>
      <c r="L15" s="9"/>
      <c r="M15" s="48"/>
      <c r="R15" s="1">
        <f>IF(vend4[[#This Row],[Nº Venda]]&gt;1,1,0)</f>
        <v>0</v>
      </c>
    </row>
    <row r="16" spans="2:18" ht="19.5" x14ac:dyDescent="0.4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49"/>
      <c r="L16" s="9"/>
      <c r="M16" s="48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48"/>
      <c r="R17" s="1">
        <f>IF(vend4[[#This Row],[Nº Venda]]&gt;1,1,0)</f>
        <v>0</v>
      </c>
    </row>
    <row r="18" spans="2:18" ht="15.75" x14ac:dyDescent="0.25">
      <c r="B18" s="126" t="s">
        <v>12</v>
      </c>
      <c r="C18" s="12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5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5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1.140625" style="1" customWidth="1"/>
    <col min="2" max="2" width="29.140625" style="1" bestFit="1" customWidth="1"/>
    <col min="3" max="3" width="14" style="1" customWidth="1"/>
    <col min="4" max="4" width="0.7109375" style="1" customWidth="1"/>
    <col min="5" max="5" width="12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0.855468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3">
        <f>'04'!B1+1</f>
        <v>45509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9"/>
      <c r="F6" s="64"/>
      <c r="G6" s="89"/>
      <c r="H6" s="66"/>
      <c r="I6" s="66"/>
      <c r="J6" s="2"/>
      <c r="K6" s="64"/>
      <c r="L6" s="74"/>
      <c r="M6" s="75"/>
      <c r="R6" s="1">
        <f>IF(vend5[[#This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9"/>
      <c r="F7" s="64"/>
      <c r="G7" s="89"/>
      <c r="H7" s="66"/>
      <c r="I7" s="66"/>
      <c r="J7" s="2"/>
      <c r="K7" s="64"/>
      <c r="L7" s="74"/>
      <c r="M7" s="75"/>
      <c r="R7" s="1">
        <f>IF(vend5[[#This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69"/>
      <c r="F8" s="64"/>
      <c r="G8" s="89"/>
      <c r="H8" s="66"/>
      <c r="I8" s="66"/>
      <c r="J8" s="2"/>
      <c r="K8" s="64"/>
      <c r="L8" s="74"/>
      <c r="M8" s="75"/>
      <c r="R8" s="1">
        <f>IF(vend5[[#This Row],[Nº Venda]]&gt;1,1,0)</f>
        <v>0</v>
      </c>
    </row>
    <row r="9" spans="2:18" ht="15" x14ac:dyDescent="0.25">
      <c r="B9" s="2"/>
      <c r="C9" s="2"/>
      <c r="D9" s="2"/>
      <c r="E9" s="69"/>
      <c r="F9" s="64"/>
      <c r="G9" s="89"/>
      <c r="H9" s="66"/>
      <c r="I9" s="66"/>
      <c r="J9" s="2"/>
      <c r="K9" s="64"/>
      <c r="L9" s="74"/>
      <c r="M9" s="75"/>
      <c r="R9" s="1">
        <f>IF(vend5[[#This Row],[Nº Venda]]&gt;1,1,0)</f>
        <v>0</v>
      </c>
    </row>
    <row r="10" spans="2:18" ht="15" x14ac:dyDescent="0.25">
      <c r="B10" s="126" t="s">
        <v>5</v>
      </c>
      <c r="C10" s="126"/>
      <c r="D10" s="2"/>
      <c r="E10" s="69"/>
      <c r="F10" s="64"/>
      <c r="G10" s="89"/>
      <c r="H10" s="66"/>
      <c r="I10" s="66"/>
      <c r="J10" s="2"/>
      <c r="K10" s="64"/>
      <c r="L10" s="74"/>
      <c r="M10" s="75"/>
      <c r="R10" s="1">
        <f>IF(vend5[[#This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81.400000000000006</v>
      </c>
      <c r="D11" s="2"/>
      <c r="E11" s="69"/>
      <c r="F11" s="64"/>
      <c r="G11" s="89"/>
      <c r="H11" s="66"/>
      <c r="I11" s="66"/>
      <c r="J11" s="2"/>
      <c r="K11" s="76"/>
      <c r="L11" s="74"/>
      <c r="M11" s="75"/>
      <c r="O11" s="1">
        <f>IF(C16=0,0,1)</f>
        <v>1</v>
      </c>
      <c r="R11" s="1">
        <f>IF(vend5[[#This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9"/>
      <c r="F12" s="64"/>
      <c r="G12" s="65"/>
      <c r="H12" s="66"/>
      <c r="I12" s="66"/>
      <c r="J12" s="2"/>
      <c r="K12" s="77"/>
      <c r="L12" s="77"/>
      <c r="M12" s="77"/>
      <c r="R12" s="1">
        <f>IF(vend5[[#This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9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IF(vend5[[#This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9"/>
      <c r="F14" s="64"/>
      <c r="G14" s="65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9"/>
      <c r="F15" s="64"/>
      <c r="G15" s="65"/>
      <c r="H15" s="66"/>
      <c r="I15" s="66"/>
      <c r="J15" s="2"/>
      <c r="K15" s="64"/>
      <c r="L15" s="74"/>
      <c r="M15" s="90"/>
      <c r="N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81.400000000000006</v>
      </c>
      <c r="D16" s="2"/>
      <c r="E16" s="69"/>
      <c r="F16" s="64"/>
      <c r="G16" s="65"/>
      <c r="H16" s="66"/>
      <c r="I16" s="66"/>
      <c r="J16" s="2"/>
      <c r="K16" s="64"/>
      <c r="L16" s="74"/>
      <c r="M16" s="91"/>
      <c r="N16" s="16"/>
      <c r="R16" s="1">
        <f>IF(vend5[[#This Row],[Nº Venda]]&gt;1,1,0)</f>
        <v>0</v>
      </c>
    </row>
    <row r="17" spans="2:18" ht="15" x14ac:dyDescent="0.25">
      <c r="B17" s="2"/>
      <c r="C17" s="2"/>
      <c r="D17" s="2"/>
      <c r="E17" s="69"/>
      <c r="F17" s="64"/>
      <c r="G17" s="65"/>
      <c r="H17" s="66"/>
      <c r="I17" s="66"/>
      <c r="J17" s="2"/>
      <c r="K17" s="64"/>
      <c r="L17" s="74"/>
      <c r="M17" s="75"/>
      <c r="R17" s="1">
        <f>IF(vend5[[#This Row],[Nº Venda]]&gt;1,1,0)</f>
        <v>0</v>
      </c>
    </row>
    <row r="18" spans="2:18" ht="15" x14ac:dyDescent="0.25">
      <c r="B18" s="126" t="s">
        <v>12</v>
      </c>
      <c r="C18" s="126"/>
      <c r="D18" s="2"/>
      <c r="E18" s="69"/>
      <c r="F18" s="64"/>
      <c r="G18" s="65"/>
      <c r="H18" s="66"/>
      <c r="I18" s="66"/>
      <c r="J18" s="2"/>
      <c r="K18" s="64"/>
      <c r="L18" s="74"/>
      <c r="M18" s="75"/>
      <c r="R18" s="1">
        <f>IF(vend5[[#This Row],[Nº Venda]]&gt;1,1,0)</f>
        <v>0</v>
      </c>
    </row>
    <row r="19" spans="2:18" ht="15" x14ac:dyDescent="0.25">
      <c r="B19" s="30">
        <f>COUNT(entr_carn5[OS])</f>
        <v>0</v>
      </c>
      <c r="C19" s="31">
        <f>SUM(entr_carn5[Valor Total])</f>
        <v>0</v>
      </c>
      <c r="D19" s="2"/>
      <c r="E19" s="69"/>
      <c r="F19" s="64"/>
      <c r="G19" s="65"/>
      <c r="H19" s="66"/>
      <c r="I19" s="66"/>
      <c r="J19" s="2"/>
      <c r="K19" s="64"/>
      <c r="L19" s="74"/>
      <c r="M19" s="75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9"/>
      <c r="F20" s="65"/>
      <c r="G20" s="65"/>
      <c r="H20" s="66"/>
      <c r="I20" s="66"/>
      <c r="J20" s="2"/>
      <c r="K20" s="64"/>
      <c r="L20" s="74"/>
      <c r="M20" s="75"/>
      <c r="R20" s="1">
        <f>IF(vend5[[#This Row],[Nº Venda]]&gt;1,1,0)</f>
        <v>0</v>
      </c>
    </row>
    <row r="21" spans="2:18" ht="15" x14ac:dyDescent="0.25">
      <c r="B21" s="2"/>
      <c r="C21" s="2"/>
      <c r="D21" s="2"/>
      <c r="E21" s="69"/>
      <c r="F21" s="64"/>
      <c r="G21" s="65"/>
      <c r="H21" s="66"/>
      <c r="I21" s="66"/>
      <c r="J21" s="2"/>
      <c r="K21" s="64"/>
      <c r="L21" s="74"/>
      <c r="M21" s="75"/>
    </row>
    <row r="22" spans="2:18" ht="15.75" x14ac:dyDescent="0.25">
      <c r="B22" s="28" t="s">
        <v>26</v>
      </c>
      <c r="C22" s="32">
        <f>C5</f>
        <v>0</v>
      </c>
      <c r="D22" s="2"/>
      <c r="E22" s="69"/>
      <c r="F22" s="64"/>
      <c r="G22" s="65"/>
      <c r="H22" s="66"/>
      <c r="I22" s="66"/>
      <c r="J22" s="2"/>
      <c r="K22" s="64"/>
      <c r="L22" s="74"/>
      <c r="M22" s="75"/>
    </row>
    <row r="23" spans="2:18" ht="15" x14ac:dyDescent="0.25">
      <c r="B23" s="2"/>
      <c r="C23" s="2"/>
      <c r="D23" s="2"/>
      <c r="E23" s="70"/>
      <c r="F23" s="71"/>
      <c r="G23" s="71"/>
      <c r="H23" s="72"/>
      <c r="I23" s="73"/>
      <c r="J23" s="2"/>
      <c r="K23" s="64"/>
      <c r="L23" s="74"/>
      <c r="M23" s="75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64"/>
      <c r="L24" s="74"/>
      <c r="M24" s="75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4"/>
      <c r="L25" s="74"/>
      <c r="M25" s="75"/>
    </row>
    <row r="26" spans="2:18" ht="15" x14ac:dyDescent="0.25">
      <c r="B26" s="2"/>
      <c r="C26" s="2"/>
      <c r="D26" s="2"/>
      <c r="E26" s="69"/>
      <c r="F26" s="64"/>
      <c r="G26" s="89"/>
      <c r="H26" s="66"/>
      <c r="I26" s="66"/>
      <c r="J26" s="2"/>
      <c r="K26" s="64"/>
      <c r="L26" s="74"/>
      <c r="M26" s="75"/>
    </row>
    <row r="27" spans="2:18" ht="15" x14ac:dyDescent="0.25">
      <c r="B27" s="2"/>
      <c r="C27" s="2"/>
      <c r="D27" s="2"/>
      <c r="E27" s="69"/>
      <c r="F27" s="64"/>
      <c r="G27" s="89"/>
      <c r="H27" s="66"/>
      <c r="I27" s="66"/>
      <c r="J27" s="2"/>
      <c r="K27" s="64"/>
      <c r="L27" s="74"/>
      <c r="M27" s="75"/>
    </row>
    <row r="28" spans="2:18" ht="15" x14ac:dyDescent="0.25">
      <c r="B28" s="2"/>
      <c r="C28" s="2"/>
      <c r="D28" s="2"/>
      <c r="E28" s="69"/>
      <c r="F28" s="64"/>
      <c r="G28" s="89"/>
      <c r="H28" s="66"/>
      <c r="I28" s="66"/>
      <c r="J28" s="2"/>
      <c r="K28" s="64"/>
      <c r="L28" s="74"/>
      <c r="M28" s="75"/>
    </row>
    <row r="29" spans="2:18" ht="15" x14ac:dyDescent="0.25">
      <c r="B29" s="2"/>
      <c r="C29" s="2"/>
      <c r="D29" s="2"/>
      <c r="E29" s="69"/>
      <c r="F29" s="64"/>
      <c r="G29" s="65"/>
      <c r="H29" s="66"/>
      <c r="I29" s="66"/>
      <c r="J29" s="2"/>
      <c r="K29" s="64"/>
      <c r="L29" s="74"/>
      <c r="M29" s="75"/>
    </row>
    <row r="30" spans="2:18" ht="15" x14ac:dyDescent="0.25">
      <c r="B30" s="2"/>
      <c r="C30" s="2"/>
      <c r="D30" s="2"/>
      <c r="E30" s="69"/>
      <c r="F30" s="78"/>
      <c r="G30" s="65"/>
      <c r="H30" s="66"/>
      <c r="I30" s="66"/>
      <c r="J30" s="2"/>
      <c r="K30" s="64"/>
      <c r="L30" s="74"/>
      <c r="M30" s="75"/>
    </row>
    <row r="31" spans="2:18" ht="15" x14ac:dyDescent="0.25">
      <c r="B31" s="2"/>
      <c r="C31" s="2"/>
      <c r="D31" s="2"/>
      <c r="E31" s="79"/>
      <c r="F31" s="80"/>
      <c r="G31" s="81"/>
      <c r="H31" s="82"/>
      <c r="I31" s="82"/>
      <c r="J31" s="2"/>
      <c r="K31" s="64"/>
      <c r="L31" s="74"/>
      <c r="M31" s="75"/>
    </row>
    <row r="32" spans="2:18" ht="15" x14ac:dyDescent="0.25">
      <c r="B32" s="2"/>
      <c r="C32" s="2"/>
      <c r="E32" s="70"/>
      <c r="F32" s="71"/>
      <c r="G32" s="71"/>
      <c r="H32" s="73"/>
      <c r="I32" s="73"/>
      <c r="K32" s="77"/>
      <c r="L32" s="77"/>
      <c r="M32" s="77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9">
        <v>956</v>
      </c>
      <c r="F35" s="64" t="s">
        <v>148</v>
      </c>
      <c r="G35" s="65" t="s">
        <v>6</v>
      </c>
      <c r="H35" s="66">
        <v>81.400000000000006</v>
      </c>
      <c r="I35" s="66" t="s">
        <v>39</v>
      </c>
      <c r="K35" s="64"/>
      <c r="L35" s="84"/>
      <c r="M35" s="75"/>
    </row>
    <row r="36" spans="2:18" ht="15" x14ac:dyDescent="0.25">
      <c r="E36" s="69"/>
      <c r="F36" s="64"/>
      <c r="G36" s="65"/>
      <c r="H36" s="66"/>
      <c r="I36" s="66"/>
      <c r="K36" s="64"/>
      <c r="L36" s="84"/>
      <c r="M36" s="75"/>
    </row>
    <row r="37" spans="2:18" ht="15" x14ac:dyDescent="0.25">
      <c r="E37" s="69"/>
      <c r="F37" s="64"/>
      <c r="G37" s="65"/>
      <c r="H37" s="66"/>
      <c r="I37" s="66"/>
      <c r="K37" s="64"/>
      <c r="L37" s="84"/>
      <c r="M37" s="75"/>
    </row>
    <row r="38" spans="2:18" ht="15" x14ac:dyDescent="0.25">
      <c r="E38" s="69"/>
      <c r="F38" s="64"/>
      <c r="G38" s="65"/>
      <c r="H38" s="66"/>
      <c r="I38" s="66"/>
      <c r="K38" s="64"/>
      <c r="L38" s="84"/>
      <c r="M38" s="75"/>
    </row>
    <row r="39" spans="2:18" ht="15" x14ac:dyDescent="0.25">
      <c r="E39" s="69"/>
      <c r="F39" s="78"/>
      <c r="G39" s="65"/>
      <c r="H39" s="66"/>
      <c r="I39" s="66"/>
      <c r="K39" s="64"/>
      <c r="L39" s="84"/>
      <c r="M39" s="75"/>
    </row>
    <row r="40" spans="2:18" ht="15" x14ac:dyDescent="0.25">
      <c r="E40" s="79"/>
      <c r="F40" s="80"/>
      <c r="G40" s="81"/>
      <c r="H40" s="82"/>
      <c r="I40" s="66"/>
      <c r="K40" s="80"/>
      <c r="L40" s="85"/>
      <c r="M40" s="86"/>
      <c r="Q40" s="1" t="s">
        <v>36</v>
      </c>
      <c r="R40" s="1">
        <f>SUM(R6:R21)</f>
        <v>0</v>
      </c>
    </row>
    <row r="41" spans="2:18" ht="15" x14ac:dyDescent="0.25">
      <c r="E41" s="83"/>
      <c r="F41" s="78"/>
      <c r="G41" s="65"/>
      <c r="H41" s="66"/>
      <c r="I41" s="66"/>
      <c r="K41" s="87"/>
      <c r="L41" s="84"/>
      <c r="M41" s="8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A7" zoomScale="80" zoomScaleNormal="80" workbookViewId="0">
      <selection activeCell="E6" sqref="E6"/>
    </sheetView>
  </sheetViews>
  <sheetFormatPr defaultColWidth="9.140625" defaultRowHeight="12.75" x14ac:dyDescent="0.2"/>
  <cols>
    <col min="1" max="1" width="1.140625" style="1" customWidth="1"/>
    <col min="2" max="2" width="23.28515625" style="1" bestFit="1" customWidth="1"/>
    <col min="3" max="3" width="14" style="1" customWidth="1"/>
    <col min="4" max="4" width="1.2851562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'05'!B1+1</f>
        <v>45510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9"/>
      <c r="F6" s="64"/>
      <c r="G6" s="65"/>
      <c r="H6" s="66"/>
      <c r="I6" s="66"/>
      <c r="J6" s="2"/>
      <c r="K6" s="64"/>
      <c r="L6" s="74"/>
      <c r="M6" s="75"/>
      <c r="R6" s="1">
        <f>IF(vend[[#This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9"/>
      <c r="F7" s="64"/>
      <c r="G7" s="65"/>
      <c r="H7" s="66"/>
      <c r="I7" s="66"/>
      <c r="J7" s="2"/>
      <c r="K7" s="64"/>
      <c r="L7" s="74"/>
      <c r="M7" s="75"/>
      <c r="R7" s="1">
        <f>IF(vend[[#This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69"/>
      <c r="F8" s="64"/>
      <c r="G8" s="65"/>
      <c r="H8" s="66"/>
      <c r="I8" s="66"/>
      <c r="J8" s="2"/>
      <c r="K8" s="64"/>
      <c r="L8" s="74"/>
      <c r="M8" s="75"/>
      <c r="R8" s="1">
        <f>IF(vend[[#This Row],[Nº Venda]]&gt;1,1,0)</f>
        <v>0</v>
      </c>
    </row>
    <row r="9" spans="2:18" ht="15" x14ac:dyDescent="0.25">
      <c r="B9" s="2"/>
      <c r="C9" s="2"/>
      <c r="D9" s="2"/>
      <c r="E9" s="69"/>
      <c r="F9" s="64"/>
      <c r="G9" s="65"/>
      <c r="H9" s="66"/>
      <c r="I9" s="66"/>
      <c r="J9" s="2"/>
      <c r="K9" s="64"/>
      <c r="L9" s="74"/>
      <c r="M9" s="75"/>
      <c r="R9" s="1">
        <f>IF(vend[[#This Row],[Nº Venda]]&gt;1,1,0)</f>
        <v>0</v>
      </c>
    </row>
    <row r="10" spans="2:18" ht="15" x14ac:dyDescent="0.25">
      <c r="B10" s="126" t="s">
        <v>5</v>
      </c>
      <c r="C10" s="126"/>
      <c r="D10" s="2"/>
      <c r="E10" s="69"/>
      <c r="F10" s="83"/>
      <c r="G10" s="65"/>
      <c r="H10" s="66"/>
      <c r="I10" s="66"/>
      <c r="J10" s="2"/>
      <c r="K10" s="64"/>
      <c r="L10" s="74"/>
      <c r="M10" s="75"/>
      <c r="R10" s="1">
        <f>IF(vend[[#This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69"/>
      <c r="F11" s="64"/>
      <c r="G11" s="65"/>
      <c r="H11" s="66"/>
      <c r="I11" s="66"/>
      <c r="J11" s="2"/>
      <c r="K11" s="76"/>
      <c r="L11" s="74"/>
      <c r="M11" s="75"/>
      <c r="O11" s="1">
        <f>IF(C16=0,0,1)</f>
        <v>0</v>
      </c>
      <c r="R11" s="1">
        <f>IF(vend[[#This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9"/>
      <c r="F12" s="64"/>
      <c r="G12" s="65"/>
      <c r="H12" s="66"/>
      <c r="I12" s="66"/>
      <c r="J12" s="2"/>
      <c r="K12" s="77"/>
      <c r="L12" s="77"/>
      <c r="M12" s="77"/>
      <c r="R12" s="1">
        <f>IF(vend[[#This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9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9"/>
      <c r="F14" s="64"/>
      <c r="G14" s="65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9"/>
      <c r="F15" s="64"/>
      <c r="G15" s="65"/>
      <c r="H15" s="66"/>
      <c r="I15" s="66"/>
      <c r="J15" s="2"/>
      <c r="K15" s="69"/>
      <c r="L15" s="74"/>
      <c r="M15" s="75"/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69"/>
      <c r="F16" s="64"/>
      <c r="G16" s="65"/>
      <c r="H16" s="66"/>
      <c r="I16" s="66"/>
      <c r="J16" s="2"/>
      <c r="K16" s="64"/>
      <c r="L16" s="74"/>
      <c r="M16" s="75"/>
      <c r="R16" s="1">
        <f>IF(vend[[#This Row],[Nº Venda]]&gt;1,1,0)</f>
        <v>0</v>
      </c>
    </row>
    <row r="17" spans="2:18" ht="15" x14ac:dyDescent="0.25">
      <c r="B17" s="2"/>
      <c r="C17" s="2"/>
      <c r="D17" s="2"/>
      <c r="E17" s="69"/>
      <c r="F17" s="64"/>
      <c r="G17" s="65"/>
      <c r="H17" s="66"/>
      <c r="I17" s="66"/>
      <c r="J17" s="2"/>
      <c r="K17" s="64"/>
      <c r="L17" s="74"/>
      <c r="M17" s="75"/>
      <c r="R17" s="1">
        <f>IF(vend[[#This Row],[Nº Venda]]&gt;1,1,0)</f>
        <v>0</v>
      </c>
    </row>
    <row r="18" spans="2:18" ht="15" x14ac:dyDescent="0.25">
      <c r="B18" s="126" t="s">
        <v>12</v>
      </c>
      <c r="C18" s="126"/>
      <c r="D18" s="2"/>
      <c r="E18" s="69"/>
      <c r="F18" s="64"/>
      <c r="G18" s="65"/>
      <c r="H18" s="66"/>
      <c r="I18" s="66"/>
      <c r="J18" s="2"/>
      <c r="K18" s="64"/>
      <c r="L18" s="74"/>
      <c r="M18" s="75"/>
      <c r="R18" s="1">
        <f>IF(vend[[#This Row],[Nº Venda]]&gt;1,1,0)</f>
        <v>0</v>
      </c>
    </row>
    <row r="19" spans="2:18" ht="15" x14ac:dyDescent="0.25">
      <c r="B19" s="30">
        <f>COUNT(entr_carn6[OS])</f>
        <v>0</v>
      </c>
      <c r="C19" s="31">
        <f>SUM(entr_carn6[Valor Total])</f>
        <v>0</v>
      </c>
      <c r="D19" s="2"/>
      <c r="E19" s="69"/>
      <c r="F19" s="64"/>
      <c r="G19" s="65"/>
      <c r="H19" s="66"/>
      <c r="I19" s="66"/>
      <c r="J19" s="2"/>
      <c r="K19" s="64"/>
      <c r="L19" s="74"/>
      <c r="M19" s="75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9"/>
      <c r="F20" s="65"/>
      <c r="G20" s="65"/>
      <c r="H20" s="66"/>
      <c r="I20" s="66"/>
      <c r="J20" s="2"/>
      <c r="K20" s="64"/>
      <c r="L20" s="74"/>
      <c r="M20" s="75"/>
      <c r="R20" s="1">
        <f>IF(vend[[#This Row],[Nº Venda]]&gt;1,1,0)</f>
        <v>0</v>
      </c>
    </row>
    <row r="21" spans="2:18" ht="15" x14ac:dyDescent="0.25">
      <c r="B21" s="2"/>
      <c r="C21" s="2"/>
      <c r="D21" s="2"/>
      <c r="E21" s="69"/>
      <c r="F21" s="64"/>
      <c r="G21" s="65"/>
      <c r="H21" s="66"/>
      <c r="I21" s="66"/>
      <c r="J21" s="2"/>
      <c r="K21" s="64"/>
      <c r="L21" s="74"/>
      <c r="M21" s="75"/>
    </row>
    <row r="22" spans="2:18" ht="15.75" x14ac:dyDescent="0.25">
      <c r="B22" s="28" t="s">
        <v>26</v>
      </c>
      <c r="C22" s="32">
        <f>C5</f>
        <v>0</v>
      </c>
      <c r="D22" s="2"/>
      <c r="E22" s="69"/>
      <c r="F22" s="64"/>
      <c r="G22" s="65"/>
      <c r="H22" s="66"/>
      <c r="I22" s="66"/>
      <c r="J22" s="2"/>
      <c r="K22" s="64"/>
      <c r="L22" s="74"/>
      <c r="M22" s="75"/>
    </row>
    <row r="23" spans="2:18" ht="15" x14ac:dyDescent="0.25">
      <c r="B23" s="2"/>
      <c r="C23" s="2"/>
      <c r="D23" s="2"/>
      <c r="E23" s="70"/>
      <c r="F23" s="71"/>
      <c r="G23" s="71"/>
      <c r="H23" s="72"/>
      <c r="I23" s="73"/>
      <c r="J23" s="2"/>
      <c r="K23" s="64"/>
      <c r="L23" s="74"/>
      <c r="M23" s="75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64"/>
      <c r="L24" s="74"/>
      <c r="M24" s="75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4"/>
      <c r="L25" s="74"/>
      <c r="M25" s="75"/>
    </row>
    <row r="26" spans="2:18" ht="15" x14ac:dyDescent="0.25">
      <c r="B26" s="2"/>
      <c r="C26" s="2"/>
      <c r="D26" s="2"/>
      <c r="E26" s="69"/>
      <c r="F26" s="64"/>
      <c r="G26" s="65"/>
      <c r="H26" s="66"/>
      <c r="I26" s="66"/>
      <c r="J26" s="2"/>
      <c r="K26" s="64"/>
      <c r="L26" s="74"/>
      <c r="M26" s="75"/>
    </row>
    <row r="27" spans="2:18" ht="15" x14ac:dyDescent="0.25">
      <c r="B27" s="2"/>
      <c r="C27" s="2"/>
      <c r="D27" s="2"/>
      <c r="E27" s="69"/>
      <c r="F27" s="64"/>
      <c r="G27" s="65"/>
      <c r="H27" s="66"/>
      <c r="I27" s="66"/>
      <c r="J27" s="2"/>
      <c r="K27" s="64"/>
      <c r="L27" s="74"/>
      <c r="M27" s="75"/>
    </row>
    <row r="28" spans="2:18" ht="15" x14ac:dyDescent="0.25">
      <c r="B28" s="2"/>
      <c r="C28" s="2"/>
      <c r="D28" s="2"/>
      <c r="E28" s="69"/>
      <c r="F28" s="64"/>
      <c r="G28" s="65"/>
      <c r="H28" s="66"/>
      <c r="I28" s="66"/>
      <c r="J28" s="2"/>
      <c r="K28" s="64"/>
      <c r="L28" s="74"/>
      <c r="M28" s="75"/>
    </row>
    <row r="29" spans="2:18" ht="15" x14ac:dyDescent="0.25">
      <c r="B29" s="2"/>
      <c r="C29" s="2"/>
      <c r="D29" s="2"/>
      <c r="E29" s="69"/>
      <c r="F29" s="64"/>
      <c r="G29" s="65"/>
      <c r="H29" s="66"/>
      <c r="I29" s="66"/>
      <c r="J29" s="2"/>
      <c r="K29" s="64"/>
      <c r="L29" s="74"/>
      <c r="M29" s="75"/>
    </row>
    <row r="30" spans="2:18" ht="15" x14ac:dyDescent="0.25">
      <c r="B30" s="2"/>
      <c r="C30" s="2"/>
      <c r="D30" s="2"/>
      <c r="E30" s="69"/>
      <c r="F30" s="78"/>
      <c r="G30" s="65"/>
      <c r="H30" s="66"/>
      <c r="I30" s="66"/>
      <c r="J30" s="2"/>
      <c r="K30" s="64"/>
      <c r="L30" s="74"/>
      <c r="M30" s="75"/>
    </row>
    <row r="31" spans="2:18" ht="15" x14ac:dyDescent="0.25">
      <c r="B31" s="2"/>
      <c r="C31" s="2"/>
      <c r="D31" s="2"/>
      <c r="E31" s="79"/>
      <c r="F31" s="80"/>
      <c r="G31" s="81"/>
      <c r="H31" s="82"/>
      <c r="I31" s="82"/>
      <c r="J31" s="2"/>
      <c r="K31" s="64"/>
      <c r="L31" s="74"/>
      <c r="M31" s="75"/>
    </row>
    <row r="32" spans="2:18" ht="15" x14ac:dyDescent="0.25">
      <c r="B32" s="2"/>
      <c r="C32" s="2"/>
      <c r="E32" s="70"/>
      <c r="F32" s="71"/>
      <c r="G32" s="71"/>
      <c r="H32" s="73"/>
      <c r="I32" s="73"/>
      <c r="K32" s="92"/>
      <c r="L32" s="92"/>
      <c r="M32" s="92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9"/>
      <c r="F35" s="64"/>
      <c r="G35" s="65"/>
      <c r="H35" s="66"/>
      <c r="I35" s="66"/>
      <c r="K35" s="64"/>
      <c r="L35" s="84"/>
      <c r="M35" s="75"/>
    </row>
    <row r="36" spans="2:18" ht="15" x14ac:dyDescent="0.25">
      <c r="E36" s="69"/>
      <c r="F36" s="64"/>
      <c r="G36" s="65"/>
      <c r="H36" s="66"/>
      <c r="I36" s="66"/>
      <c r="K36" s="64"/>
      <c r="L36" s="84"/>
      <c r="M36" s="75"/>
    </row>
    <row r="37" spans="2:18" ht="15" x14ac:dyDescent="0.25">
      <c r="E37" s="69"/>
      <c r="F37" s="64"/>
      <c r="G37" s="65"/>
      <c r="H37" s="66"/>
      <c r="I37" s="66"/>
      <c r="K37" s="64"/>
      <c r="L37" s="84"/>
      <c r="M37" s="75"/>
    </row>
    <row r="38" spans="2:18" ht="15" x14ac:dyDescent="0.25">
      <c r="E38" s="69"/>
      <c r="F38" s="64"/>
      <c r="G38" s="65"/>
      <c r="H38" s="66"/>
      <c r="I38" s="66"/>
      <c r="K38" s="64"/>
      <c r="L38" s="84"/>
      <c r="M38" s="75"/>
    </row>
    <row r="39" spans="2:18" ht="15" x14ac:dyDescent="0.25">
      <c r="E39" s="69"/>
      <c r="F39" s="78"/>
      <c r="G39" s="65"/>
      <c r="H39" s="66"/>
      <c r="I39" s="66"/>
      <c r="K39" s="64"/>
      <c r="L39" s="84"/>
      <c r="M39" s="75"/>
    </row>
    <row r="40" spans="2:18" ht="15" x14ac:dyDescent="0.25">
      <c r="E40" s="79"/>
      <c r="F40" s="80"/>
      <c r="G40" s="81"/>
      <c r="H40" s="82"/>
      <c r="I40" s="66"/>
      <c r="K40" s="80"/>
      <c r="L40" s="85"/>
      <c r="M40" s="86"/>
      <c r="Q40" s="1" t="s">
        <v>36</v>
      </c>
      <c r="R40" s="1">
        <f>SUM(R6:R21)</f>
        <v>0</v>
      </c>
    </row>
    <row r="41" spans="2:18" ht="15" x14ac:dyDescent="0.25">
      <c r="E41" s="83"/>
      <c r="F41" s="78"/>
      <c r="G41" s="65"/>
      <c r="H41" s="66"/>
      <c r="I41" s="66"/>
      <c r="K41" s="87"/>
      <c r="L41" s="84"/>
      <c r="M41" s="8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zoomScale="80" zoomScaleNormal="80" workbookViewId="0">
      <selection activeCell="H12" sqref="H12"/>
    </sheetView>
  </sheetViews>
  <sheetFormatPr defaultColWidth="9.140625" defaultRowHeight="12.75" x14ac:dyDescent="0.2"/>
  <cols>
    <col min="1" max="1" width="1" style="1" customWidth="1"/>
    <col min="2" max="2" width="29.42578125" style="1" bestFit="1" customWidth="1"/>
    <col min="3" max="3" width="14" style="1" customWidth="1"/>
    <col min="4" max="4" width="1.140625" style="1" customWidth="1"/>
    <col min="5" max="5" width="15.5703125" style="34" customWidth="1"/>
    <col min="6" max="6" width="42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0.855468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63">
        <f>'06'!B1+1</f>
        <v>45511</v>
      </c>
    </row>
    <row r="2" spans="2:21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  <c r="U4" s="1">
        <v>0</v>
      </c>
    </row>
    <row r="5" spans="2:21" ht="15" x14ac:dyDescent="0.25">
      <c r="B5" s="23" t="s">
        <v>1</v>
      </c>
      <c r="C5" s="24">
        <f>SUMIF(I6:I31,"&gt;0",H6:H31)</f>
        <v>638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" x14ac:dyDescent="0.25">
      <c r="B6" s="23" t="s">
        <v>2</v>
      </c>
      <c r="C6" s="24">
        <f>SUM(I6:I41)</f>
        <v>620</v>
      </c>
      <c r="D6" s="2"/>
      <c r="E6" s="69">
        <v>979</v>
      </c>
      <c r="F6" s="103" t="s">
        <v>150</v>
      </c>
      <c r="G6" s="103" t="s">
        <v>6</v>
      </c>
      <c r="H6" s="104">
        <v>638</v>
      </c>
      <c r="I6" s="104">
        <v>100</v>
      </c>
      <c r="J6" s="2"/>
      <c r="K6" s="64"/>
      <c r="L6" s="74"/>
      <c r="M6" s="75"/>
      <c r="R6" s="1">
        <f>IF(vend7[[#This Row],[Nº Venda]]&gt;1,1,0)</f>
        <v>1</v>
      </c>
    </row>
    <row r="7" spans="2:21" ht="15" x14ac:dyDescent="0.25">
      <c r="B7" s="23" t="s">
        <v>3</v>
      </c>
      <c r="C7" s="24">
        <f>SUM(M6:M11)</f>
        <v>0</v>
      </c>
      <c r="D7" s="2"/>
      <c r="E7" s="69"/>
      <c r="F7" s="94"/>
      <c r="G7" s="94"/>
      <c r="H7" s="95"/>
      <c r="I7" s="95"/>
      <c r="J7" s="2"/>
      <c r="K7" s="64"/>
      <c r="L7" s="74"/>
      <c r="M7" s="75"/>
      <c r="R7" s="1">
        <f>IF(vend7[[#This Row],[Nº Venda]]&gt;1,1,0)</f>
        <v>0</v>
      </c>
    </row>
    <row r="8" spans="2:21" ht="15.75" x14ac:dyDescent="0.25">
      <c r="B8" s="28" t="s">
        <v>21</v>
      </c>
      <c r="C8" s="29">
        <f>SUM(C6:C7)</f>
        <v>620</v>
      </c>
      <c r="D8" s="2"/>
      <c r="E8" s="69"/>
      <c r="F8" s="64"/>
      <c r="G8" s="65"/>
      <c r="H8" s="66"/>
      <c r="I8" s="66"/>
      <c r="J8" s="2"/>
      <c r="K8" s="64"/>
      <c r="L8" s="74"/>
      <c r="M8" s="75"/>
      <c r="R8" s="1">
        <f>IF(vend7[[#This Row],[Nº Venda]]&gt;1,1,0)</f>
        <v>0</v>
      </c>
    </row>
    <row r="9" spans="2:21" ht="15" x14ac:dyDescent="0.25">
      <c r="B9" s="2"/>
      <c r="C9" s="2"/>
      <c r="D9" s="2"/>
      <c r="E9" s="69"/>
      <c r="F9" s="64"/>
      <c r="G9" s="65"/>
      <c r="H9" s="66"/>
      <c r="I9" s="66"/>
      <c r="J9" s="2"/>
      <c r="K9" s="64"/>
      <c r="L9" s="74"/>
      <c r="M9" s="75"/>
      <c r="R9" s="1">
        <f>IF(vend7[[#This Row],[Nº Venda]]&gt;1,1,0)</f>
        <v>0</v>
      </c>
    </row>
    <row r="10" spans="2:21" ht="15" x14ac:dyDescent="0.25">
      <c r="B10" s="126" t="s">
        <v>5</v>
      </c>
      <c r="C10" s="126"/>
      <c r="D10" s="2"/>
      <c r="E10" s="69"/>
      <c r="F10" s="64"/>
      <c r="G10" s="65"/>
      <c r="H10" s="66"/>
      <c r="I10" s="66"/>
      <c r="J10" s="2"/>
      <c r="K10" s="64"/>
      <c r="L10" s="74"/>
      <c r="M10" s="75"/>
      <c r="R10" s="1">
        <f>IF(vend7[[#This Row],[Nº Venda]]&gt;1,1,0)</f>
        <v>0</v>
      </c>
    </row>
    <row r="11" spans="2:21" ht="15" x14ac:dyDescent="0.25">
      <c r="B11" s="30" t="s">
        <v>6</v>
      </c>
      <c r="C11" s="31">
        <f>(SUMIF($G$2:$G$31,B11,$I$2:$I$31))+(SUMIF($G$35:$G$41,B11,$H$35:$H$41))</f>
        <v>550</v>
      </c>
      <c r="D11" s="2"/>
      <c r="E11" s="69"/>
      <c r="F11" s="64"/>
      <c r="G11" s="65"/>
      <c r="H11" s="66"/>
      <c r="I11" s="66"/>
      <c r="J11" s="2"/>
      <c r="K11" s="76"/>
      <c r="L11" s="74"/>
      <c r="M11" s="75"/>
      <c r="O11" s="1">
        <f>IF(C16=0,0,1)</f>
        <v>1</v>
      </c>
      <c r="R11" s="1">
        <f>IF(vend7[[#This Row],[Nº Venda]]&gt;1,1,0)</f>
        <v>0</v>
      </c>
    </row>
    <row r="12" spans="2:21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9"/>
      <c r="F12" s="64"/>
      <c r="G12" s="65"/>
      <c r="H12" s="66"/>
      <c r="I12" s="66"/>
      <c r="J12" s="2"/>
      <c r="K12" s="77"/>
      <c r="L12" s="77"/>
      <c r="M12" s="77"/>
      <c r="R12" s="1">
        <f>IF(vend7[[#This Row],[Nº Venda]]&gt;1,1,0)</f>
        <v>0</v>
      </c>
    </row>
    <row r="13" spans="2:21" ht="15" x14ac:dyDescent="0.25">
      <c r="B13" s="30" t="s">
        <v>8</v>
      </c>
      <c r="C13" s="31">
        <f t="shared" si="0"/>
        <v>0</v>
      </c>
      <c r="D13" s="2"/>
      <c r="E13" s="69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IF(vend7[[#This Row],[Nº Venda]]&gt;1,1,0)</f>
        <v>0</v>
      </c>
    </row>
    <row r="14" spans="2:21" ht="15" x14ac:dyDescent="0.25">
      <c r="B14" s="30" t="s">
        <v>9</v>
      </c>
      <c r="C14" s="31">
        <f t="shared" si="0"/>
        <v>0</v>
      </c>
      <c r="D14" s="2"/>
      <c r="E14" s="69"/>
      <c r="F14" s="64"/>
      <c r="G14" s="65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" x14ac:dyDescent="0.25">
      <c r="B15" s="30" t="s">
        <v>10</v>
      </c>
      <c r="C15" s="31">
        <f t="shared" si="0"/>
        <v>134.13999999999999</v>
      </c>
      <c r="D15" s="2"/>
      <c r="E15" s="69"/>
      <c r="F15" s="64"/>
      <c r="G15" s="65"/>
      <c r="H15" s="66"/>
      <c r="I15" s="66"/>
      <c r="J15" s="2"/>
      <c r="K15" s="96">
        <v>966</v>
      </c>
      <c r="L15" s="74" t="s">
        <v>140</v>
      </c>
      <c r="M15" s="97" t="s">
        <v>151</v>
      </c>
      <c r="R15" s="1">
        <f>IF(vend7[[#This Row],[Nº Venda]]&gt;1,1,0)</f>
        <v>0</v>
      </c>
    </row>
    <row r="16" spans="2:21" ht="15.75" x14ac:dyDescent="0.25">
      <c r="B16" s="28" t="s">
        <v>11</v>
      </c>
      <c r="C16" s="32">
        <f>SUM(C11:C15)</f>
        <v>684.14</v>
      </c>
      <c r="D16" s="2"/>
      <c r="E16" s="69"/>
      <c r="F16" s="64"/>
      <c r="G16" s="65"/>
      <c r="H16" s="66"/>
      <c r="I16" s="66"/>
      <c r="J16" s="2"/>
      <c r="K16" s="98">
        <v>967</v>
      </c>
      <c r="L16" s="74" t="s">
        <v>140</v>
      </c>
      <c r="M16" s="75" t="s">
        <v>151</v>
      </c>
      <c r="R16" s="1">
        <f>IF(vend7[[#This Row],[Nº Venda]]&gt;1,1,0)</f>
        <v>0</v>
      </c>
    </row>
    <row r="17" spans="2:18" ht="15" x14ac:dyDescent="0.25">
      <c r="B17" s="2"/>
      <c r="C17" s="2"/>
      <c r="D17" s="2"/>
      <c r="E17" s="69"/>
      <c r="F17" s="64"/>
      <c r="G17" s="65"/>
      <c r="H17" s="66"/>
      <c r="I17" s="66"/>
      <c r="J17" s="2"/>
      <c r="K17" s="98"/>
      <c r="L17" s="74"/>
      <c r="M17" s="75"/>
      <c r="R17" s="1">
        <f>IF(vend7[[#This Row],[Nº Venda]]&gt;1,1,0)</f>
        <v>0</v>
      </c>
    </row>
    <row r="18" spans="2:18" ht="15" x14ac:dyDescent="0.25">
      <c r="B18" s="126" t="s">
        <v>12</v>
      </c>
      <c r="C18" s="126"/>
      <c r="D18" s="2"/>
      <c r="E18" s="69"/>
      <c r="F18" s="64"/>
      <c r="G18" s="65"/>
      <c r="H18" s="66"/>
      <c r="I18" s="66"/>
      <c r="J18" s="2"/>
      <c r="K18" s="98"/>
      <c r="L18" s="74"/>
      <c r="M18" s="75"/>
      <c r="R18" s="1">
        <f>IF(vend7[[#This Row],[Nº Venda]]&gt;1,1,0)</f>
        <v>0</v>
      </c>
    </row>
    <row r="19" spans="2:18" ht="15" x14ac:dyDescent="0.25">
      <c r="B19" s="30">
        <f>COUNT(entr_carn7[OS])</f>
        <v>2</v>
      </c>
      <c r="C19" s="31">
        <f>SUM(entr_carn7[Valor Total])</f>
        <v>1198</v>
      </c>
      <c r="D19" s="2"/>
      <c r="E19" s="69"/>
      <c r="F19" s="64"/>
      <c r="G19" s="65"/>
      <c r="H19" s="66"/>
      <c r="I19" s="66"/>
      <c r="J19" s="2"/>
      <c r="K19" s="98"/>
      <c r="L19" s="74"/>
      <c r="M19" s="75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1198</v>
      </c>
      <c r="D20" s="2"/>
      <c r="E20" s="69"/>
      <c r="F20" s="65"/>
      <c r="G20" s="65"/>
      <c r="H20" s="66"/>
      <c r="I20" s="66"/>
      <c r="J20" s="2"/>
      <c r="K20" s="98"/>
      <c r="L20" s="74"/>
      <c r="M20" s="75"/>
      <c r="R20" s="1">
        <f>IF(vend7[[#This Row],[Nº Venda]]&gt;1,1,0)</f>
        <v>0</v>
      </c>
    </row>
    <row r="21" spans="2:18" ht="15" x14ac:dyDescent="0.25">
      <c r="B21" s="2"/>
      <c r="C21" s="2"/>
      <c r="D21" s="2"/>
      <c r="E21" s="69"/>
      <c r="F21" s="64"/>
      <c r="G21" s="65"/>
      <c r="H21" s="66"/>
      <c r="I21" s="66"/>
      <c r="J21" s="2"/>
      <c r="K21" s="98"/>
      <c r="L21" s="74"/>
      <c r="M21" s="75"/>
    </row>
    <row r="22" spans="2:18" ht="15.75" x14ac:dyDescent="0.25">
      <c r="B22" s="28" t="s">
        <v>26</v>
      </c>
      <c r="C22" s="32">
        <f>C5</f>
        <v>638</v>
      </c>
      <c r="D22" s="2"/>
      <c r="E22" s="69"/>
      <c r="F22" s="64"/>
      <c r="G22" s="65"/>
      <c r="H22" s="66"/>
      <c r="I22" s="66"/>
      <c r="J22" s="2"/>
      <c r="K22" s="98"/>
      <c r="L22" s="74"/>
      <c r="M22" s="75"/>
    </row>
    <row r="23" spans="2:18" ht="15" x14ac:dyDescent="0.25">
      <c r="B23" s="2"/>
      <c r="C23" s="2"/>
      <c r="D23" s="2"/>
      <c r="E23" s="70"/>
      <c r="F23" s="71"/>
      <c r="G23" s="71"/>
      <c r="H23" s="72"/>
      <c r="I23" s="73"/>
      <c r="J23" s="2"/>
      <c r="K23" s="98"/>
      <c r="L23" s="74"/>
      <c r="M23" s="75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98"/>
      <c r="L24" s="74"/>
      <c r="M24" s="75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74"/>
      <c r="M25" s="75"/>
    </row>
    <row r="26" spans="2:18" ht="15" x14ac:dyDescent="0.25">
      <c r="B26" s="2"/>
      <c r="C26" s="2"/>
      <c r="D26" s="2"/>
      <c r="E26" s="99">
        <v>966</v>
      </c>
      <c r="F26" s="100" t="s">
        <v>153</v>
      </c>
      <c r="G26" s="101" t="s">
        <v>6</v>
      </c>
      <c r="H26" s="102"/>
      <c r="I26" s="102">
        <v>450</v>
      </c>
      <c r="J26" s="2"/>
      <c r="K26" s="98"/>
      <c r="L26" s="74"/>
      <c r="M26" s="75"/>
    </row>
    <row r="27" spans="2:18" ht="15" x14ac:dyDescent="0.25">
      <c r="B27" s="2"/>
      <c r="C27" s="2"/>
      <c r="D27" s="2"/>
      <c r="E27" s="69">
        <v>967</v>
      </c>
      <c r="F27" s="64" t="s">
        <v>152</v>
      </c>
      <c r="G27" s="65" t="s">
        <v>10</v>
      </c>
      <c r="H27" s="66"/>
      <c r="I27" s="66">
        <v>70</v>
      </c>
      <c r="J27" s="2"/>
      <c r="K27" s="98"/>
      <c r="L27" s="74"/>
      <c r="M27" s="75"/>
    </row>
    <row r="28" spans="2:18" ht="15" x14ac:dyDescent="0.25">
      <c r="B28" s="2"/>
      <c r="C28" s="2"/>
      <c r="D28" s="2"/>
      <c r="E28" s="69"/>
      <c r="F28" s="64"/>
      <c r="G28" s="65"/>
      <c r="H28" s="66"/>
      <c r="I28" s="66"/>
      <c r="J28" s="2"/>
      <c r="K28" s="98"/>
      <c r="L28" s="74"/>
      <c r="M28" s="75"/>
    </row>
    <row r="29" spans="2:18" ht="15" x14ac:dyDescent="0.25">
      <c r="B29" s="2"/>
      <c r="C29" s="2"/>
      <c r="D29" s="2"/>
      <c r="E29" s="69"/>
      <c r="F29" s="64"/>
      <c r="G29" s="65"/>
      <c r="H29" s="66"/>
      <c r="I29" s="66"/>
      <c r="J29" s="2"/>
      <c r="K29" s="98"/>
      <c r="L29" s="74"/>
      <c r="M29" s="75"/>
    </row>
    <row r="30" spans="2:18" ht="15" x14ac:dyDescent="0.25">
      <c r="B30" s="2"/>
      <c r="C30" s="2"/>
      <c r="D30" s="2"/>
      <c r="E30" s="69"/>
      <c r="F30" s="78"/>
      <c r="G30" s="65"/>
      <c r="H30" s="66"/>
      <c r="I30" s="66"/>
      <c r="J30" s="2"/>
      <c r="K30" s="98"/>
      <c r="L30" s="74"/>
      <c r="M30" s="75"/>
    </row>
    <row r="31" spans="2:18" ht="15" x14ac:dyDescent="0.25">
      <c r="B31" s="2"/>
      <c r="C31" s="2"/>
      <c r="D31" s="2"/>
      <c r="E31" s="79"/>
      <c r="F31" s="80"/>
      <c r="G31" s="81"/>
      <c r="H31" s="82"/>
      <c r="I31" s="82"/>
      <c r="J31" s="2"/>
      <c r="K31" s="98"/>
      <c r="L31" s="74"/>
      <c r="M31" s="75"/>
    </row>
    <row r="32" spans="2:18" ht="15" x14ac:dyDescent="0.25">
      <c r="B32" s="2"/>
      <c r="C32" s="2"/>
      <c r="E32" s="70"/>
      <c r="F32" s="71"/>
      <c r="G32" s="71"/>
      <c r="H32" s="73"/>
      <c r="I32" s="73"/>
      <c r="K32" s="77"/>
      <c r="L32" s="77"/>
      <c r="M32" s="77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9">
        <v>934</v>
      </c>
      <c r="F35" s="64" t="s">
        <v>149</v>
      </c>
      <c r="G35" s="65" t="s">
        <v>10</v>
      </c>
      <c r="H35" s="66">
        <v>64.14</v>
      </c>
      <c r="I35" s="66" t="s">
        <v>55</v>
      </c>
      <c r="K35" s="64">
        <v>966</v>
      </c>
      <c r="L35" s="84">
        <v>8</v>
      </c>
      <c r="M35" s="75">
        <v>898</v>
      </c>
    </row>
    <row r="36" spans="2:18" ht="15" x14ac:dyDescent="0.25">
      <c r="E36" s="69"/>
      <c r="F36" s="64"/>
      <c r="G36" s="65"/>
      <c r="H36" s="66"/>
      <c r="I36" s="66"/>
      <c r="K36" s="64">
        <v>967</v>
      </c>
      <c r="L36" s="84">
        <v>5</v>
      </c>
      <c r="M36" s="75">
        <v>300</v>
      </c>
    </row>
    <row r="37" spans="2:18" ht="15" x14ac:dyDescent="0.25">
      <c r="E37" s="69"/>
      <c r="F37" s="64"/>
      <c r="G37" s="65"/>
      <c r="H37" s="66"/>
      <c r="I37" s="66"/>
      <c r="K37" s="64"/>
      <c r="L37" s="84"/>
      <c r="M37" s="75"/>
    </row>
    <row r="38" spans="2:18" ht="15" x14ac:dyDescent="0.25">
      <c r="E38" s="69"/>
      <c r="F38" s="64"/>
      <c r="G38" s="65"/>
      <c r="H38" s="66"/>
      <c r="I38" s="66"/>
      <c r="K38" s="64"/>
      <c r="L38" s="84"/>
      <c r="M38" s="75"/>
    </row>
    <row r="39" spans="2:18" ht="15" x14ac:dyDescent="0.25">
      <c r="E39" s="69"/>
      <c r="F39" s="78"/>
      <c r="G39" s="65"/>
      <c r="H39" s="66"/>
      <c r="I39" s="66"/>
      <c r="K39" s="64"/>
      <c r="L39" s="84"/>
      <c r="M39" s="75"/>
    </row>
    <row r="40" spans="2:18" ht="15" x14ac:dyDescent="0.25">
      <c r="E40" s="79"/>
      <c r="F40" s="80"/>
      <c r="G40" s="81"/>
      <c r="H40" s="82"/>
      <c r="I40" s="66"/>
      <c r="K40" s="80"/>
      <c r="L40" s="85"/>
      <c r="M40" s="86"/>
      <c r="Q40" s="1" t="s">
        <v>36</v>
      </c>
      <c r="R40" s="1">
        <f>SUM(R6:R21)</f>
        <v>1</v>
      </c>
    </row>
    <row r="41" spans="2:18" ht="15" x14ac:dyDescent="0.25">
      <c r="E41" s="83"/>
      <c r="F41" s="78"/>
      <c r="G41" s="65"/>
      <c r="H41" s="66"/>
      <c r="I41" s="66"/>
      <c r="K41" s="87"/>
      <c r="L41" s="84"/>
      <c r="M41" s="86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topLeftCell="A7" zoomScale="80" zoomScaleNormal="80" workbookViewId="0">
      <selection activeCell="F1" sqref="F1"/>
    </sheetView>
  </sheetViews>
  <sheetFormatPr defaultColWidth="9.140625" defaultRowHeight="12.75" x14ac:dyDescent="0.2"/>
  <cols>
    <col min="1" max="1" width="1.140625" style="1" customWidth="1"/>
    <col min="2" max="2" width="29.85546875" style="1" bestFit="1" customWidth="1"/>
    <col min="3" max="3" width="14" style="1" customWidth="1"/>
    <col min="4" max="4" width="0.85546875" style="1" customWidth="1"/>
    <col min="5" max="5" width="12.140625" style="34" customWidth="1"/>
    <col min="6" max="6" width="30.7109375" style="34" bestFit="1" customWidth="1"/>
    <col min="7" max="7" width="17.28515625" style="34" customWidth="1"/>
    <col min="8" max="8" width="16.42578125" style="4" customWidth="1"/>
    <col min="9" max="9" width="15.5703125" style="4" customWidth="1"/>
    <col min="10" max="10" width="0.57031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3">
        <f>'07'!B1+1</f>
        <v>45512</v>
      </c>
      <c r="F1" s="34" t="s">
        <v>160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26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26</v>
      </c>
      <c r="D6" s="2"/>
      <c r="E6" s="105">
        <v>980</v>
      </c>
      <c r="F6" s="66" t="s">
        <v>155</v>
      </c>
      <c r="G6" s="66" t="s">
        <v>6</v>
      </c>
      <c r="H6" s="66">
        <v>26</v>
      </c>
      <c r="I6" s="66">
        <v>26</v>
      </c>
      <c r="J6" s="2"/>
      <c r="K6" s="64" t="s">
        <v>156</v>
      </c>
      <c r="L6" s="74" t="s">
        <v>10</v>
      </c>
      <c r="M6" s="75">
        <v>13</v>
      </c>
      <c r="R6" s="1">
        <f>IF(vend8[[#This Row],[Nº Venda]]&gt;1,1,0)</f>
        <v>1</v>
      </c>
    </row>
    <row r="7" spans="2:18" ht="15" x14ac:dyDescent="0.25">
      <c r="B7" s="23" t="s">
        <v>3</v>
      </c>
      <c r="C7" s="24">
        <f>SUM(M6:M11)</f>
        <v>13</v>
      </c>
      <c r="D7" s="2"/>
      <c r="E7" s="105"/>
      <c r="F7" s="66"/>
      <c r="G7" s="66"/>
      <c r="H7" s="66"/>
      <c r="I7" s="66"/>
      <c r="J7" s="2"/>
      <c r="K7" s="64"/>
      <c r="L7" s="74"/>
      <c r="M7" s="75"/>
      <c r="R7" s="1">
        <f>IF(vend8[[#This Row],[Nº Venda]]&gt;1,1,0)</f>
        <v>0</v>
      </c>
    </row>
    <row r="8" spans="2:18" ht="15.75" x14ac:dyDescent="0.25">
      <c r="B8" s="28" t="s">
        <v>21</v>
      </c>
      <c r="C8" s="29">
        <f>SUM(C6:C7)</f>
        <v>39</v>
      </c>
      <c r="D8" s="2"/>
      <c r="E8" s="105"/>
      <c r="F8" s="66"/>
      <c r="G8" s="66"/>
      <c r="H8" s="66"/>
      <c r="I8" s="66"/>
      <c r="J8" s="2"/>
      <c r="K8" s="64"/>
      <c r="L8" s="74"/>
      <c r="M8" s="75"/>
      <c r="R8" s="1">
        <f>IF(vend8[[#This Row],[Nº Venda]]&gt;1,1,0)</f>
        <v>0</v>
      </c>
    </row>
    <row r="9" spans="2:18" ht="15" x14ac:dyDescent="0.25">
      <c r="B9" s="2"/>
      <c r="C9" s="2"/>
      <c r="D9" s="2"/>
      <c r="E9" s="105"/>
      <c r="F9" s="66"/>
      <c r="G9" s="66"/>
      <c r="H9" s="66"/>
      <c r="I9" s="66"/>
      <c r="J9" s="2"/>
      <c r="K9" s="64"/>
      <c r="L9" s="74"/>
      <c r="M9" s="75"/>
      <c r="R9" s="1">
        <f>IF(vend8[[#This Row],[Nº Venda]]&gt;1,1,0)</f>
        <v>0</v>
      </c>
    </row>
    <row r="10" spans="2:18" ht="15" x14ac:dyDescent="0.25">
      <c r="B10" s="126" t="s">
        <v>5</v>
      </c>
      <c r="C10" s="126"/>
      <c r="D10" s="2"/>
      <c r="E10" s="69"/>
      <c r="F10" s="64"/>
      <c r="G10" s="65"/>
      <c r="H10" s="66"/>
      <c r="I10" s="66"/>
      <c r="J10" s="2"/>
      <c r="K10" s="64"/>
      <c r="L10" s="74"/>
      <c r="M10" s="75"/>
      <c r="R10" s="1">
        <f>IF(vend8[[#This Row],[Nº Venda]]&gt;1,1,0)</f>
        <v>0</v>
      </c>
    </row>
    <row r="11" spans="2:18" ht="15" x14ac:dyDescent="0.25">
      <c r="B11" s="30" t="s">
        <v>6</v>
      </c>
      <c r="C11" s="62">
        <f>(SUMIF($G$2:$G$31,B11,$I$2:$I$31))+(SUMIF($G$35:$G$42,B11,$H$35:$H$42))</f>
        <v>26</v>
      </c>
      <c r="D11" s="2"/>
      <c r="E11" s="69"/>
      <c r="F11" s="64"/>
      <c r="G11" s="65"/>
      <c r="H11" s="66"/>
      <c r="I11" s="66"/>
      <c r="J11" s="2"/>
      <c r="K11" s="76"/>
      <c r="L11" s="74"/>
      <c r="M11" s="75"/>
      <c r="O11" s="1">
        <f>IF(C16=0,0,1)</f>
        <v>1</v>
      </c>
      <c r="R11" s="1">
        <f>IF(vend8[[#This Row],[Nº Venda]]&gt;1,1,0)</f>
        <v>0</v>
      </c>
    </row>
    <row r="12" spans="2:18" ht="15" x14ac:dyDescent="0.25">
      <c r="B12" s="30" t="s">
        <v>7</v>
      </c>
      <c r="C12" s="62">
        <f>(SUMIF($G$2:$G$31,B12,$I$2:$I$31))+(SUMIF($G$35:$G$42,B12,$H$35:$H$42))</f>
        <v>0</v>
      </c>
      <c r="D12" s="2"/>
      <c r="E12" s="69"/>
      <c r="F12" s="64"/>
      <c r="G12" s="65"/>
      <c r="H12" s="66"/>
      <c r="I12" s="66"/>
      <c r="J12" s="2"/>
      <c r="K12" s="77"/>
      <c r="L12" s="77"/>
      <c r="M12" s="77"/>
      <c r="R12" s="1">
        <f>IF(vend8[[#This Row],[Nº Venda]]&gt;1,1,0)</f>
        <v>0</v>
      </c>
    </row>
    <row r="13" spans="2:18" ht="15" x14ac:dyDescent="0.25">
      <c r="B13" s="30" t="s">
        <v>8</v>
      </c>
      <c r="C13" s="62">
        <f>(SUMIF($G$2:$G$31,B13,$I$2:$I$31))+(SUMIF($G$35:$G$42,B13,$H$35:$H$42))</f>
        <v>0</v>
      </c>
      <c r="D13" s="2"/>
      <c r="E13" s="69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IF(vend8[[#This Row],[Nº Venda]]&gt;1,1,0)</f>
        <v>0</v>
      </c>
    </row>
    <row r="14" spans="2:18" ht="15" x14ac:dyDescent="0.25">
      <c r="B14" s="30" t="s">
        <v>9</v>
      </c>
      <c r="C14" s="62">
        <f>(SUMIF($G$2:$G$31,B14,$I$2:$I$31))+(SUMIF($G$35:$G$42,B14,$H$35:$H$42))</f>
        <v>0</v>
      </c>
      <c r="D14" s="2"/>
      <c r="E14" s="69"/>
      <c r="F14" s="64"/>
      <c r="G14" s="65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" x14ac:dyDescent="0.25">
      <c r="B15" s="30" t="s">
        <v>10</v>
      </c>
      <c r="C15" s="62">
        <f>(SUMIF($G$2:$G$31,B15,$I$2:$I$31))+(SUMIF($G$35:$G$42,B15,$H$35:$H$42))</f>
        <v>117.85</v>
      </c>
      <c r="D15" s="2"/>
      <c r="E15" s="69"/>
      <c r="F15" s="64"/>
      <c r="G15" s="65"/>
      <c r="H15" s="66"/>
      <c r="I15" s="66"/>
      <c r="J15" s="2"/>
      <c r="K15" s="64">
        <v>971</v>
      </c>
      <c r="L15" s="74" t="s">
        <v>140</v>
      </c>
      <c r="M15" s="75" t="s">
        <v>146</v>
      </c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143.85</v>
      </c>
      <c r="D16" s="2"/>
      <c r="E16" s="69"/>
      <c r="F16" s="64"/>
      <c r="G16" s="65"/>
      <c r="H16" s="66"/>
      <c r="I16" s="66"/>
      <c r="J16" s="2"/>
      <c r="K16" s="64">
        <v>972</v>
      </c>
      <c r="L16" s="74" t="s">
        <v>140</v>
      </c>
      <c r="M16" s="75" t="s">
        <v>151</v>
      </c>
      <c r="R16" s="1">
        <f>IF(vend8[[#This Row],[Nº Venda]]&gt;1,1,0)</f>
        <v>0</v>
      </c>
    </row>
    <row r="17" spans="2:18" ht="15" x14ac:dyDescent="0.25">
      <c r="B17" s="2"/>
      <c r="C17" s="2"/>
      <c r="D17" s="2"/>
      <c r="E17" s="69"/>
      <c r="F17" s="64"/>
      <c r="G17" s="65"/>
      <c r="H17" s="66"/>
      <c r="I17" s="66"/>
      <c r="J17" s="2"/>
      <c r="K17" s="64"/>
      <c r="L17" s="74"/>
      <c r="M17" s="75"/>
      <c r="R17" s="1">
        <f>IF(vend8[[#This Row],[Nº Venda]]&gt;1,1,0)</f>
        <v>0</v>
      </c>
    </row>
    <row r="18" spans="2:18" ht="15" x14ac:dyDescent="0.25">
      <c r="B18" s="126" t="s">
        <v>12</v>
      </c>
      <c r="C18" s="126"/>
      <c r="D18" s="2"/>
      <c r="E18" s="69"/>
      <c r="F18" s="64"/>
      <c r="G18" s="65"/>
      <c r="H18" s="66"/>
      <c r="I18" s="66"/>
      <c r="J18" s="2"/>
      <c r="K18" s="64"/>
      <c r="L18" s="74"/>
      <c r="M18" s="75"/>
      <c r="R18" s="1">
        <f>IF(vend8[[#This Row],[Nº Venda]]&gt;1,1,0)</f>
        <v>0</v>
      </c>
    </row>
    <row r="19" spans="2:18" ht="15" x14ac:dyDescent="0.25">
      <c r="B19" s="30">
        <f>COUNT(entr_carn8[OS])</f>
        <v>1</v>
      </c>
      <c r="C19" s="31">
        <f>SUM(entr_carn8[Valor Total])</f>
        <v>699</v>
      </c>
      <c r="D19" s="2"/>
      <c r="E19" s="69"/>
      <c r="F19" s="64"/>
      <c r="G19" s="65"/>
      <c r="H19" s="66"/>
      <c r="I19" s="66"/>
      <c r="J19" s="2"/>
      <c r="K19" s="64"/>
      <c r="L19" s="74"/>
      <c r="M19" s="75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699</v>
      </c>
      <c r="D20" s="2"/>
      <c r="E20" s="69"/>
      <c r="F20" s="65"/>
      <c r="G20" s="65"/>
      <c r="H20" s="66"/>
      <c r="I20" s="66"/>
      <c r="J20" s="2"/>
      <c r="K20" s="64"/>
      <c r="L20" s="74"/>
      <c r="M20" s="75"/>
      <c r="R20" s="1">
        <f>IF(vend8[[#This Row],[Nº Venda]]&gt;1,1,0)</f>
        <v>0</v>
      </c>
    </row>
    <row r="21" spans="2:18" ht="15" x14ac:dyDescent="0.25">
      <c r="B21" s="2"/>
      <c r="C21" s="2"/>
      <c r="D21" s="2"/>
      <c r="E21" s="69"/>
      <c r="F21" s="64"/>
      <c r="G21" s="65"/>
      <c r="H21" s="66"/>
      <c r="I21" s="66"/>
      <c r="J21" s="2"/>
      <c r="K21" s="64"/>
      <c r="L21" s="74"/>
      <c r="M21" s="75"/>
    </row>
    <row r="22" spans="2:18" ht="15.75" x14ac:dyDescent="0.25">
      <c r="B22" s="28" t="s">
        <v>26</v>
      </c>
      <c r="C22" s="32">
        <f>C5</f>
        <v>26</v>
      </c>
      <c r="D22" s="2"/>
      <c r="E22" s="69"/>
      <c r="F22" s="64"/>
      <c r="G22" s="65"/>
      <c r="H22" s="66"/>
      <c r="I22" s="66"/>
      <c r="J22" s="2"/>
      <c r="K22" s="64"/>
      <c r="L22" s="74"/>
      <c r="M22" s="75"/>
    </row>
    <row r="23" spans="2:18" ht="15" x14ac:dyDescent="0.25">
      <c r="B23" s="2"/>
      <c r="C23" s="2"/>
      <c r="D23" s="2"/>
      <c r="E23" s="70"/>
      <c r="F23" s="71"/>
      <c r="G23" s="71"/>
      <c r="H23" s="72"/>
      <c r="I23" s="73"/>
      <c r="J23" s="2"/>
      <c r="K23" s="64"/>
      <c r="L23" s="74"/>
      <c r="M23" s="75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64"/>
      <c r="L24" s="74"/>
      <c r="M24" s="75"/>
    </row>
    <row r="25" spans="2:18" ht="15" x14ac:dyDescent="0.25">
      <c r="B25" s="2"/>
      <c r="C25" s="2"/>
      <c r="D25" s="2"/>
      <c r="E25" s="109" t="s">
        <v>14</v>
      </c>
      <c r="F25" s="109" t="s">
        <v>15</v>
      </c>
      <c r="G25" s="110" t="s">
        <v>16</v>
      </c>
      <c r="H25" s="111" t="s">
        <v>17</v>
      </c>
      <c r="I25" s="112" t="s">
        <v>2</v>
      </c>
      <c r="J25" s="2"/>
      <c r="K25" s="64"/>
      <c r="L25" s="74"/>
      <c r="M25" s="75"/>
    </row>
    <row r="26" spans="2:18" ht="15" x14ac:dyDescent="0.25">
      <c r="B26" s="2"/>
      <c r="C26" s="2"/>
      <c r="D26" s="2"/>
      <c r="E26" s="99"/>
      <c r="F26" s="106"/>
      <c r="G26" s="107"/>
      <c r="H26" s="102"/>
      <c r="I26" s="102"/>
      <c r="J26" s="2"/>
      <c r="K26" s="64"/>
      <c r="L26" s="74"/>
      <c r="M26" s="75"/>
    </row>
    <row r="27" spans="2:18" ht="15" x14ac:dyDescent="0.25">
      <c r="B27" s="2"/>
      <c r="C27" s="2"/>
      <c r="D27" s="2"/>
      <c r="E27" s="69"/>
      <c r="F27" s="64"/>
      <c r="G27" s="89"/>
      <c r="H27" s="66"/>
      <c r="I27" s="66"/>
      <c r="J27" s="2"/>
      <c r="K27" s="64"/>
      <c r="L27" s="74"/>
      <c r="M27" s="75"/>
    </row>
    <row r="28" spans="2:18" ht="15" x14ac:dyDescent="0.25">
      <c r="B28" s="2"/>
      <c r="C28" s="2"/>
      <c r="D28" s="2"/>
      <c r="E28" s="69"/>
      <c r="F28" s="64"/>
      <c r="G28" s="89"/>
      <c r="H28" s="66"/>
      <c r="I28" s="66"/>
      <c r="J28" s="2"/>
      <c r="K28" s="64"/>
      <c r="L28" s="74"/>
      <c r="M28" s="75"/>
    </row>
    <row r="29" spans="2:18" ht="15" x14ac:dyDescent="0.25">
      <c r="B29" s="2"/>
      <c r="C29" s="2"/>
      <c r="D29" s="2"/>
      <c r="E29" s="69"/>
      <c r="F29" s="64"/>
      <c r="G29" s="89"/>
      <c r="H29" s="66"/>
      <c r="I29" s="66"/>
      <c r="J29" s="2"/>
      <c r="K29" s="64"/>
      <c r="L29" s="74"/>
      <c r="M29" s="75"/>
    </row>
    <row r="30" spans="2:18" ht="15" x14ac:dyDescent="0.25">
      <c r="B30" s="2"/>
      <c r="C30" s="2"/>
      <c r="D30" s="2"/>
      <c r="E30" s="69"/>
      <c r="F30" s="64"/>
      <c r="G30" s="65"/>
      <c r="H30" s="66"/>
      <c r="I30" s="66"/>
      <c r="J30" s="2"/>
      <c r="K30" s="64"/>
      <c r="L30" s="74"/>
      <c r="M30" s="75"/>
    </row>
    <row r="31" spans="2:18" ht="15" x14ac:dyDescent="0.25">
      <c r="B31" s="2"/>
      <c r="C31" s="2"/>
      <c r="D31" s="2"/>
      <c r="E31" s="79"/>
      <c r="F31" s="80"/>
      <c r="G31" s="81"/>
      <c r="H31" s="82"/>
      <c r="I31" s="82"/>
      <c r="J31" s="2"/>
      <c r="K31" s="64"/>
      <c r="L31" s="74"/>
      <c r="M31" s="75"/>
    </row>
    <row r="32" spans="2:18" ht="15" x14ac:dyDescent="0.25">
      <c r="B32" s="2"/>
      <c r="C32" s="2"/>
      <c r="E32" s="70"/>
      <c r="F32" s="71"/>
      <c r="G32" s="71"/>
      <c r="H32" s="73"/>
      <c r="I32" s="73"/>
      <c r="K32" s="77"/>
      <c r="L32" s="77"/>
      <c r="M32" s="77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9">
        <v>873</v>
      </c>
      <c r="F35" s="64" t="s">
        <v>154</v>
      </c>
      <c r="G35" s="65" t="s">
        <v>10</v>
      </c>
      <c r="H35" s="66">
        <v>117.85</v>
      </c>
      <c r="I35" s="66" t="s">
        <v>44</v>
      </c>
      <c r="K35" s="64">
        <v>972</v>
      </c>
      <c r="L35" s="84">
        <v>7</v>
      </c>
      <c r="M35" s="75">
        <v>699</v>
      </c>
    </row>
    <row r="36" spans="2:18" ht="15" x14ac:dyDescent="0.25">
      <c r="E36" s="69"/>
      <c r="F36" s="64"/>
      <c r="G36" s="65"/>
      <c r="H36" s="66"/>
      <c r="I36" s="66"/>
      <c r="K36" s="64"/>
      <c r="L36" s="84"/>
      <c r="M36" s="75"/>
    </row>
    <row r="37" spans="2:18" ht="15" x14ac:dyDescent="0.25">
      <c r="E37" s="69"/>
      <c r="F37" s="64"/>
      <c r="G37" s="65"/>
      <c r="H37" s="66"/>
      <c r="I37" s="66"/>
      <c r="K37" s="64"/>
      <c r="L37" s="84"/>
      <c r="M37" s="75"/>
    </row>
    <row r="38" spans="2:18" ht="15" x14ac:dyDescent="0.25">
      <c r="E38" s="69"/>
      <c r="F38" s="64"/>
      <c r="G38" s="65"/>
      <c r="H38" s="66"/>
      <c r="I38" s="66"/>
      <c r="K38" s="64"/>
      <c r="L38" s="84"/>
      <c r="M38" s="75"/>
    </row>
    <row r="39" spans="2:18" ht="15" x14ac:dyDescent="0.25">
      <c r="E39" s="69"/>
      <c r="F39" s="78"/>
      <c r="G39" s="65"/>
      <c r="H39" s="66"/>
      <c r="I39" s="66"/>
      <c r="K39" s="64"/>
      <c r="L39" s="84"/>
      <c r="M39" s="75"/>
    </row>
    <row r="40" spans="2:18" ht="15" x14ac:dyDescent="0.25">
      <c r="E40" s="79"/>
      <c r="F40" s="80"/>
      <c r="G40" s="81"/>
      <c r="H40" s="82"/>
      <c r="I40" s="66"/>
      <c r="K40" s="80"/>
      <c r="L40" s="85"/>
      <c r="M40" s="86"/>
      <c r="Q40" s="1" t="s">
        <v>36</v>
      </c>
      <c r="R40" s="1">
        <f>SUM(R6:R21)</f>
        <v>1</v>
      </c>
    </row>
    <row r="41" spans="2:18" ht="15" x14ac:dyDescent="0.25">
      <c r="E41" s="79"/>
      <c r="F41" s="78"/>
      <c r="G41" s="65"/>
      <c r="H41" s="66"/>
      <c r="I41" s="66"/>
      <c r="K41" s="87"/>
      <c r="L41" s="84"/>
      <c r="M41" s="86"/>
    </row>
    <row r="42" spans="2:18" ht="15" x14ac:dyDescent="0.25">
      <c r="E42" s="79"/>
      <c r="F42" s="108"/>
      <c r="G42" s="81"/>
      <c r="H42" s="82"/>
      <c r="I42" s="8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12" zoomScale="80" zoomScaleNormal="80" workbookViewId="0">
      <selection activeCell="F35" sqref="F35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5.28515625" style="1" customWidth="1"/>
    <col min="4" max="4" width="0.85546875" style="1" customWidth="1"/>
    <col min="5" max="5" width="12.7109375" style="34" customWidth="1"/>
    <col min="6" max="6" width="22.85546875" style="34" customWidth="1"/>
    <col min="7" max="7" width="14.7109375" style="34" customWidth="1"/>
    <col min="8" max="8" width="19.140625" style="4" customWidth="1"/>
    <col min="9" max="9" width="15.5703125" style="4" customWidth="1"/>
    <col min="10" max="10" width="0.85546875" style="1" customWidth="1"/>
    <col min="11" max="11" width="21.7109375" style="3" customWidth="1"/>
    <col min="12" max="12" width="19.85546875" style="3" customWidth="1"/>
    <col min="13" max="13" width="13.42578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46">
        <f>'08'!B1+1</f>
        <v>45513</v>
      </c>
    </row>
    <row r="2" spans="2:22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22" ht="15" x14ac:dyDescent="0.25">
      <c r="B5" s="23" t="s">
        <v>1</v>
      </c>
      <c r="C5" s="24">
        <f>SUMIF(I6:I31,"&gt;0",H6:H31)</f>
        <v>75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" x14ac:dyDescent="0.25">
      <c r="B6" s="23" t="s">
        <v>2</v>
      </c>
      <c r="C6" s="24">
        <f>SUM(I6:I41)</f>
        <v>75</v>
      </c>
      <c r="D6" s="2"/>
      <c r="E6" s="69">
        <v>981</v>
      </c>
      <c r="F6" s="64" t="s">
        <v>157</v>
      </c>
      <c r="G6" s="89" t="s">
        <v>10</v>
      </c>
      <c r="H6" s="66">
        <v>75</v>
      </c>
      <c r="I6" s="66">
        <v>75</v>
      </c>
      <c r="J6" s="2"/>
      <c r="K6" s="64"/>
      <c r="L6" s="74"/>
      <c r="M6" s="75"/>
      <c r="R6" s="1">
        <f>IF(vend9[[#This Row],[Nº Venda]]&gt;1,1,0)</f>
        <v>1</v>
      </c>
    </row>
    <row r="7" spans="2:22" ht="15" x14ac:dyDescent="0.25">
      <c r="B7" s="23" t="s">
        <v>3</v>
      </c>
      <c r="C7" s="24">
        <f>SUM(M6:M11)</f>
        <v>0</v>
      </c>
      <c r="D7" s="2"/>
      <c r="E7" s="69"/>
      <c r="F7" s="64"/>
      <c r="G7" s="89"/>
      <c r="H7" s="66"/>
      <c r="I7" s="66"/>
      <c r="J7" s="2"/>
      <c r="K7" s="64"/>
      <c r="L7" s="74"/>
      <c r="M7" s="75"/>
      <c r="R7" s="1">
        <f>IF(vend9[[#This Row],[Nº Venda]]&gt;1,1,0)</f>
        <v>0</v>
      </c>
    </row>
    <row r="8" spans="2:22" ht="15.75" x14ac:dyDescent="0.25">
      <c r="B8" s="28" t="s">
        <v>21</v>
      </c>
      <c r="C8" s="29">
        <f>SUM(C6:C7)</f>
        <v>75</v>
      </c>
      <c r="D8" s="2"/>
      <c r="E8" s="69"/>
      <c r="F8" s="64"/>
      <c r="G8" s="65"/>
      <c r="H8" s="66"/>
      <c r="I8" s="66"/>
      <c r="J8" s="2"/>
      <c r="K8" s="64"/>
      <c r="L8" s="74"/>
      <c r="M8" s="75"/>
      <c r="R8" s="1">
        <f>IF(vend9[[#This Row],[Nº Venda]]&gt;1,1,0)</f>
        <v>0</v>
      </c>
    </row>
    <row r="9" spans="2:22" ht="15" x14ac:dyDescent="0.25">
      <c r="B9" s="2"/>
      <c r="C9" s="2"/>
      <c r="D9" s="2"/>
      <c r="E9" s="69"/>
      <c r="F9" s="64"/>
      <c r="G9" s="65"/>
      <c r="H9" s="66"/>
      <c r="I9" s="66"/>
      <c r="J9" s="2"/>
      <c r="K9" s="64"/>
      <c r="L9" s="74"/>
      <c r="M9" s="75"/>
      <c r="R9" s="1">
        <f>IF(vend9[[#This Row],[Nº Venda]]&gt;1,1,0)</f>
        <v>0</v>
      </c>
    </row>
    <row r="10" spans="2:22" ht="15" x14ac:dyDescent="0.25">
      <c r="B10" s="126" t="s">
        <v>5</v>
      </c>
      <c r="C10" s="126"/>
      <c r="D10" s="2"/>
      <c r="E10" s="69"/>
      <c r="F10" s="64"/>
      <c r="G10" s="65"/>
      <c r="H10" s="66"/>
      <c r="I10" s="66"/>
      <c r="J10" s="2"/>
      <c r="K10" s="64"/>
      <c r="L10" s="74"/>
      <c r="M10" s="75"/>
      <c r="R10" s="1">
        <f>IF(vend9[[#This Row],[Nº Venda]]&gt;1,1,0)</f>
        <v>0</v>
      </c>
    </row>
    <row r="11" spans="2:22" ht="15" x14ac:dyDescent="0.25">
      <c r="B11" s="30" t="s">
        <v>6</v>
      </c>
      <c r="C11" s="31">
        <f>(SUMIF($G$2:$G$31,B11,$I$2:$I$31))+(SUMIF($G$35:$G$41,B11,$H$35:$H$41))</f>
        <v>0</v>
      </c>
      <c r="D11" s="2"/>
      <c r="E11" s="69"/>
      <c r="F11" s="64"/>
      <c r="G11" s="65"/>
      <c r="H11" s="66"/>
      <c r="I11" s="66"/>
      <c r="J11" s="2"/>
      <c r="K11" s="76"/>
      <c r="L11" s="74"/>
      <c r="M11" s="75"/>
      <c r="O11" s="1">
        <f>IF(C16=0,0,1)</f>
        <v>1</v>
      </c>
      <c r="R11" s="1">
        <f>IF(vend9[[#This Row],[Nº Venda]]&gt;1,1,0)</f>
        <v>0</v>
      </c>
    </row>
    <row r="12" spans="2:22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9"/>
      <c r="F12" s="64"/>
      <c r="G12" s="65"/>
      <c r="H12" s="66"/>
      <c r="I12" s="66"/>
      <c r="J12" s="2"/>
      <c r="K12" s="77"/>
      <c r="L12" s="77"/>
      <c r="M12" s="77"/>
      <c r="R12" s="1">
        <f>IF(vend9[[#This Row],[Nº Venda]]&gt;1,1,0)</f>
        <v>0</v>
      </c>
      <c r="V12" s="1">
        <v>0</v>
      </c>
    </row>
    <row r="13" spans="2:22" ht="15" x14ac:dyDescent="0.25">
      <c r="B13" s="30" t="s">
        <v>8</v>
      </c>
      <c r="C13" s="31">
        <f t="shared" si="0"/>
        <v>0</v>
      </c>
      <c r="D13" s="2"/>
      <c r="E13" s="69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IF(vend9[[#This Row],[Nº Venda]]&gt;1,1,0)</f>
        <v>0</v>
      </c>
    </row>
    <row r="14" spans="2:22" ht="15" x14ac:dyDescent="0.25">
      <c r="B14" s="30" t="s">
        <v>9</v>
      </c>
      <c r="C14" s="31">
        <f t="shared" si="0"/>
        <v>0</v>
      </c>
      <c r="D14" s="2"/>
      <c r="E14" s="69"/>
      <c r="F14" s="64"/>
      <c r="G14" s="65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" x14ac:dyDescent="0.25">
      <c r="B15" s="30" t="s">
        <v>10</v>
      </c>
      <c r="C15" s="31">
        <f t="shared" si="0"/>
        <v>192.85</v>
      </c>
      <c r="D15" s="2"/>
      <c r="E15" s="69"/>
      <c r="F15" s="64"/>
      <c r="G15" s="65"/>
      <c r="H15" s="66"/>
      <c r="I15" s="66"/>
      <c r="J15" s="2"/>
      <c r="K15" s="64">
        <v>973</v>
      </c>
      <c r="L15" s="74" t="s">
        <v>140</v>
      </c>
      <c r="M15" s="75" t="s">
        <v>146</v>
      </c>
      <c r="R15" s="1">
        <f>IF(vend9[[#This Row],[Nº Venda]]&gt;1,1,0)</f>
        <v>0</v>
      </c>
    </row>
    <row r="16" spans="2:22" ht="15.75" x14ac:dyDescent="0.25">
      <c r="B16" s="28" t="s">
        <v>11</v>
      </c>
      <c r="C16" s="32">
        <f>SUM(C11:C15)</f>
        <v>192.85</v>
      </c>
      <c r="D16" s="2"/>
      <c r="E16" s="69"/>
      <c r="F16" s="64"/>
      <c r="G16" s="65"/>
      <c r="H16" s="66"/>
      <c r="I16" s="66"/>
      <c r="J16" s="2"/>
      <c r="K16" s="64">
        <v>974</v>
      </c>
      <c r="L16" s="74" t="s">
        <v>140</v>
      </c>
      <c r="M16" s="75" t="s">
        <v>146</v>
      </c>
      <c r="R16" s="1">
        <f>IF(vend9[[#This Row],[Nº Venda]]&gt;1,1,0)</f>
        <v>0</v>
      </c>
    </row>
    <row r="17" spans="2:18" ht="15" x14ac:dyDescent="0.25">
      <c r="B17" s="2"/>
      <c r="C17" s="2"/>
      <c r="D17" s="2"/>
      <c r="E17" s="69"/>
      <c r="F17" s="64"/>
      <c r="G17" s="65"/>
      <c r="H17" s="66"/>
      <c r="I17" s="66"/>
      <c r="J17" s="2"/>
      <c r="K17" s="64">
        <v>981</v>
      </c>
      <c r="L17" s="74" t="s">
        <v>140</v>
      </c>
      <c r="M17" s="75" t="s">
        <v>146</v>
      </c>
      <c r="R17" s="1">
        <f>IF(vend9[[#This Row],[Nº Venda]]&gt;1,1,0)</f>
        <v>0</v>
      </c>
    </row>
    <row r="18" spans="2:18" ht="15" x14ac:dyDescent="0.25">
      <c r="B18" s="126" t="s">
        <v>12</v>
      </c>
      <c r="C18" s="126"/>
      <c r="D18" s="2"/>
      <c r="E18" s="69"/>
      <c r="F18" s="64"/>
      <c r="G18" s="65"/>
      <c r="H18" s="66"/>
      <c r="I18" s="66"/>
      <c r="J18" s="2"/>
      <c r="K18" s="64"/>
      <c r="L18" s="74"/>
      <c r="M18" s="75"/>
      <c r="R18" s="1">
        <f>IF(vend9[[#This Row],[Nº Venda]]&gt;1,1,0)</f>
        <v>0</v>
      </c>
    </row>
    <row r="19" spans="2:18" ht="15" x14ac:dyDescent="0.25">
      <c r="B19" s="30">
        <f>COUNT(entr_carn9[OS])</f>
        <v>0</v>
      </c>
      <c r="C19" s="31">
        <f>SUM(entr_carn9[Valor Total])</f>
        <v>0</v>
      </c>
      <c r="D19" s="2"/>
      <c r="E19" s="69"/>
      <c r="F19" s="64"/>
      <c r="G19" s="65"/>
      <c r="H19" s="66"/>
      <c r="I19" s="66"/>
      <c r="J19" s="2"/>
      <c r="K19" s="64"/>
      <c r="L19" s="74"/>
      <c r="M19" s="75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9"/>
      <c r="F20" s="64"/>
      <c r="G20" s="65"/>
      <c r="H20" s="66"/>
      <c r="I20" s="66"/>
      <c r="J20" s="2"/>
      <c r="K20" s="64"/>
      <c r="L20" s="74"/>
      <c r="M20" s="75"/>
      <c r="R20" s="1">
        <f>IF(vend9[[#This Row],[Nº Venda]]&gt;1,1,0)</f>
        <v>0</v>
      </c>
    </row>
    <row r="21" spans="2:18" ht="15" x14ac:dyDescent="0.25">
      <c r="B21" s="2"/>
      <c r="C21" s="2"/>
      <c r="D21" s="2"/>
      <c r="E21" s="69"/>
      <c r="F21" s="64"/>
      <c r="G21" s="65"/>
      <c r="H21" s="66"/>
      <c r="I21" s="66"/>
      <c r="J21" s="2"/>
      <c r="K21" s="64"/>
      <c r="L21" s="74"/>
      <c r="M21" s="75"/>
    </row>
    <row r="22" spans="2:18" ht="15.75" x14ac:dyDescent="0.25">
      <c r="B22" s="28" t="s">
        <v>26</v>
      </c>
      <c r="C22" s="32">
        <f>C5</f>
        <v>75</v>
      </c>
      <c r="D22" s="2"/>
      <c r="E22" s="69"/>
      <c r="F22" s="64"/>
      <c r="G22" s="65"/>
      <c r="H22" s="66"/>
      <c r="I22" s="66"/>
      <c r="J22" s="2"/>
      <c r="K22" s="64"/>
      <c r="L22" s="74"/>
      <c r="M22" s="75"/>
    </row>
    <row r="23" spans="2:18" ht="15" x14ac:dyDescent="0.25">
      <c r="B23" s="2"/>
      <c r="C23" s="2"/>
      <c r="D23" s="2"/>
      <c r="E23" s="70"/>
      <c r="F23" s="71"/>
      <c r="G23" s="71"/>
      <c r="H23" s="72"/>
      <c r="I23" s="73"/>
      <c r="J23" s="2"/>
      <c r="K23" s="64"/>
      <c r="L23" s="74"/>
      <c r="M23" s="75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64"/>
      <c r="L24" s="74"/>
      <c r="M24" s="75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4"/>
      <c r="L25" s="74"/>
      <c r="M25" s="75"/>
    </row>
    <row r="26" spans="2:18" ht="15" x14ac:dyDescent="0.25">
      <c r="B26" s="2"/>
      <c r="C26" s="2"/>
      <c r="D26" s="2"/>
      <c r="E26" s="69"/>
      <c r="F26" s="64"/>
      <c r="G26" s="89"/>
      <c r="H26" s="66"/>
      <c r="I26" s="66"/>
      <c r="J26" s="2"/>
      <c r="K26" s="64"/>
      <c r="L26" s="74"/>
      <c r="M26" s="75"/>
    </row>
    <row r="27" spans="2:18" ht="15" x14ac:dyDescent="0.25">
      <c r="B27" s="2"/>
      <c r="C27" s="2"/>
      <c r="D27" s="2"/>
      <c r="E27" s="69"/>
      <c r="F27" s="64"/>
      <c r="G27" s="65"/>
      <c r="H27" s="66"/>
      <c r="I27" s="66"/>
      <c r="J27" s="2"/>
      <c r="K27" s="64"/>
      <c r="L27" s="74"/>
      <c r="M27" s="75"/>
    </row>
    <row r="28" spans="2:18" ht="15" x14ac:dyDescent="0.25">
      <c r="B28" s="2"/>
      <c r="C28" s="2"/>
      <c r="D28" s="2"/>
      <c r="E28" s="69"/>
      <c r="F28" s="64"/>
      <c r="G28" s="65"/>
      <c r="H28" s="66"/>
      <c r="I28" s="66"/>
      <c r="J28" s="2"/>
      <c r="K28" s="64"/>
      <c r="L28" s="74"/>
      <c r="M28" s="75"/>
    </row>
    <row r="29" spans="2:18" ht="15" x14ac:dyDescent="0.25">
      <c r="B29" s="2"/>
      <c r="C29" s="2"/>
      <c r="D29" s="2"/>
      <c r="E29" s="69"/>
      <c r="F29" s="64"/>
      <c r="G29" s="65"/>
      <c r="H29" s="66"/>
      <c r="I29" s="66"/>
      <c r="J29" s="2"/>
      <c r="K29" s="64"/>
      <c r="L29" s="74"/>
      <c r="M29" s="75"/>
    </row>
    <row r="30" spans="2:18" ht="15" x14ac:dyDescent="0.25">
      <c r="B30" s="2"/>
      <c r="C30" s="2"/>
      <c r="D30" s="2"/>
      <c r="E30" s="69"/>
      <c r="F30" s="78"/>
      <c r="G30" s="65"/>
      <c r="H30" s="66"/>
      <c r="I30" s="66"/>
      <c r="J30" s="2"/>
      <c r="K30" s="64"/>
      <c r="L30" s="74"/>
      <c r="M30" s="75"/>
    </row>
    <row r="31" spans="2:18" ht="15" x14ac:dyDescent="0.25">
      <c r="B31" s="2"/>
      <c r="C31" s="2"/>
      <c r="D31" s="2"/>
      <c r="E31" s="79"/>
      <c r="F31" s="80"/>
      <c r="G31" s="81"/>
      <c r="H31" s="82"/>
      <c r="I31" s="82"/>
      <c r="J31" s="2"/>
      <c r="K31" s="64"/>
      <c r="L31" s="74"/>
      <c r="M31" s="75"/>
    </row>
    <row r="32" spans="2:18" ht="15" x14ac:dyDescent="0.25">
      <c r="B32" s="2"/>
      <c r="C32" s="2"/>
      <c r="E32" s="70"/>
      <c r="F32" s="71"/>
      <c r="G32" s="71"/>
      <c r="H32" s="73"/>
      <c r="I32" s="73"/>
      <c r="K32" s="77"/>
      <c r="L32" s="77"/>
      <c r="M32" s="77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13">
        <v>873</v>
      </c>
      <c r="F35" s="64" t="s">
        <v>154</v>
      </c>
      <c r="G35" s="65" t="s">
        <v>10</v>
      </c>
      <c r="H35" s="66">
        <v>117.85</v>
      </c>
      <c r="I35" s="66" t="s">
        <v>60</v>
      </c>
      <c r="K35" s="64"/>
      <c r="L35" s="84"/>
      <c r="M35" s="75"/>
    </row>
    <row r="36" spans="2:18" ht="15.75" x14ac:dyDescent="0.25">
      <c r="E36" s="113"/>
      <c r="F36" s="64"/>
      <c r="G36" s="65"/>
      <c r="H36" s="66"/>
      <c r="I36" s="66"/>
      <c r="K36" s="64"/>
      <c r="L36" s="84"/>
      <c r="M36" s="75"/>
    </row>
    <row r="37" spans="2:18" ht="15.75" x14ac:dyDescent="0.25">
      <c r="E37" s="113"/>
      <c r="F37" s="64"/>
      <c r="G37" s="65"/>
      <c r="H37" s="66"/>
      <c r="I37" s="66"/>
      <c r="K37" s="64"/>
      <c r="L37" s="84"/>
      <c r="M37" s="75"/>
    </row>
    <row r="38" spans="2:18" ht="15.75" x14ac:dyDescent="0.25">
      <c r="E38" s="113"/>
      <c r="F38" s="64"/>
      <c r="G38" s="65"/>
      <c r="H38" s="66"/>
      <c r="I38" s="66"/>
      <c r="K38" s="64"/>
      <c r="L38" s="84"/>
      <c r="M38" s="75"/>
    </row>
    <row r="39" spans="2:18" ht="15.75" x14ac:dyDescent="0.25">
      <c r="E39" s="113"/>
      <c r="F39" s="78"/>
      <c r="G39" s="65"/>
      <c r="H39" s="66"/>
      <c r="I39" s="66"/>
      <c r="K39" s="64"/>
      <c r="L39" s="84"/>
      <c r="M39" s="75"/>
    </row>
    <row r="40" spans="2:18" ht="15.75" x14ac:dyDescent="0.25">
      <c r="E40" s="114"/>
      <c r="F40" s="80"/>
      <c r="G40" s="81"/>
      <c r="H40" s="82"/>
      <c r="I40" s="66"/>
      <c r="K40" s="80"/>
      <c r="L40" s="85"/>
      <c r="M40" s="86"/>
      <c r="Q40" s="1" t="s">
        <v>36</v>
      </c>
      <c r="R40" s="1">
        <f>SUM(R6:R21)</f>
        <v>1</v>
      </c>
    </row>
    <row r="41" spans="2:18" ht="15.75" x14ac:dyDescent="0.25">
      <c r="E41" s="115"/>
      <c r="F41" s="78"/>
      <c r="G41" s="65"/>
      <c r="H41" s="66"/>
      <c r="I41" s="66"/>
      <c r="K41" s="87"/>
      <c r="L41" s="84"/>
      <c r="M41" s="8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80" zoomScaleNormal="80" workbookViewId="0">
      <selection activeCell="I7" sqref="I7"/>
    </sheetView>
  </sheetViews>
  <sheetFormatPr defaultColWidth="9.140625" defaultRowHeight="12.75" x14ac:dyDescent="0.2"/>
  <cols>
    <col min="1" max="1" width="0.42578125" style="1" customWidth="1"/>
    <col min="2" max="2" width="23.28515625" style="1" bestFit="1" customWidth="1"/>
    <col min="3" max="3" width="14" style="1" customWidth="1"/>
    <col min="4" max="4" width="0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'09'!B1+1</f>
        <v>45514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SUMIF(I6:I32,"&gt;0",H6:H32)</f>
        <v>1223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SUM(I6:I42)</f>
        <v>1223</v>
      </c>
      <c r="D6" s="2"/>
      <c r="E6" s="69">
        <v>982</v>
      </c>
      <c r="F6" s="64" t="s">
        <v>159</v>
      </c>
      <c r="G6" s="89" t="s">
        <v>7</v>
      </c>
      <c r="H6" s="66">
        <v>1223</v>
      </c>
      <c r="I6" s="66">
        <v>1223</v>
      </c>
      <c r="J6" s="2"/>
      <c r="K6" s="64"/>
      <c r="L6" s="74"/>
      <c r="M6" s="75"/>
      <c r="R6" s="1">
        <f>IF(vend10[[#This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69"/>
      <c r="F7" s="64"/>
      <c r="G7" s="89"/>
      <c r="H7" s="66"/>
      <c r="I7" s="66"/>
      <c r="J7" s="2"/>
      <c r="K7" s="64"/>
      <c r="L7" s="74"/>
      <c r="M7" s="75"/>
      <c r="R7" s="1">
        <f>IF(vend10[[#This Row],[Nº Venda]]&gt;1,1,0)</f>
        <v>0</v>
      </c>
    </row>
    <row r="8" spans="2:18" ht="15.75" x14ac:dyDescent="0.25">
      <c r="B8" s="28" t="s">
        <v>21</v>
      </c>
      <c r="C8" s="29">
        <f>SUM(C6:C7)</f>
        <v>1223</v>
      </c>
      <c r="D8" s="2"/>
      <c r="E8" s="69"/>
      <c r="F8" s="64"/>
      <c r="G8" s="65"/>
      <c r="H8" s="66"/>
      <c r="I8" s="66"/>
      <c r="J8" s="2"/>
      <c r="K8" s="64"/>
      <c r="L8" s="74"/>
      <c r="M8" s="75"/>
      <c r="R8" s="1">
        <f>IF(vend10[[#This Row],[Nº Venda]]&gt;1,1,0)</f>
        <v>0</v>
      </c>
    </row>
    <row r="9" spans="2:18" ht="15" x14ac:dyDescent="0.25">
      <c r="B9" s="2"/>
      <c r="C9" s="2"/>
      <c r="D9" s="2"/>
      <c r="E9" s="69"/>
      <c r="F9" s="64"/>
      <c r="G9" s="65"/>
      <c r="H9" s="66"/>
      <c r="I9" s="66"/>
      <c r="J9" s="2"/>
      <c r="K9" s="64"/>
      <c r="L9" s="74"/>
      <c r="M9" s="75"/>
      <c r="R9" s="1">
        <f>IF(vend10[[#This Row],[Nº Venda]]&gt;1,1,0)</f>
        <v>0</v>
      </c>
    </row>
    <row r="10" spans="2:18" ht="15" x14ac:dyDescent="0.25">
      <c r="B10" s="126" t="s">
        <v>5</v>
      </c>
      <c r="C10" s="126"/>
      <c r="D10" s="2"/>
      <c r="E10" s="69"/>
      <c r="F10" s="64"/>
      <c r="G10" s="65"/>
      <c r="H10" s="66"/>
      <c r="I10" s="66"/>
      <c r="J10" s="2"/>
      <c r="K10" s="64"/>
      <c r="L10" s="74"/>
      <c r="M10" s="75"/>
      <c r="R10" s="1">
        <f>IF(vend10[[#This Row],[Nº Venda]]&gt;1,1,0)</f>
        <v>0</v>
      </c>
    </row>
    <row r="11" spans="2:18" ht="15" x14ac:dyDescent="0.25">
      <c r="B11" s="30" t="s">
        <v>6</v>
      </c>
      <c r="C11" s="31">
        <f>(SUMIF($G$2:$G$32,B11,$I$2:$I$32))+(SUMIF($G$36:$G$42,B11,$H$36:$H$42))</f>
        <v>0</v>
      </c>
      <c r="D11" s="2"/>
      <c r="E11" s="69"/>
      <c r="F11" s="64"/>
      <c r="G11" s="65"/>
      <c r="H11" s="66"/>
      <c r="I11" s="66"/>
      <c r="J11" s="2"/>
      <c r="K11" s="76"/>
      <c r="L11" s="74"/>
      <c r="M11" s="75"/>
      <c r="O11" s="1">
        <f>IF(C16=0,0,1)</f>
        <v>1</v>
      </c>
      <c r="R11" s="1">
        <f>IF(vend10[[#This Row],[Nº Venda]]&gt;1,1,0)</f>
        <v>0</v>
      </c>
    </row>
    <row r="12" spans="2:18" ht="15" x14ac:dyDescent="0.25">
      <c r="B12" s="30" t="s">
        <v>7</v>
      </c>
      <c r="C12" s="31">
        <f>(SUMIF($G$2:$G$32,B12,$I$2:$I$32))+(SUMIF($G$36:$G$42,B12,$H$36:$H$42))</f>
        <v>1223</v>
      </c>
      <c r="D12" s="2"/>
      <c r="E12" s="69"/>
      <c r="F12" s="64"/>
      <c r="G12" s="65"/>
      <c r="H12" s="66"/>
      <c r="I12" s="66"/>
      <c r="J12" s="2"/>
      <c r="K12" s="77"/>
      <c r="L12" s="77"/>
      <c r="M12" s="77"/>
      <c r="R12" s="1">
        <f>IF(vend10[[#This Row],[Nº Venda]]&gt;1,1,0)</f>
        <v>0</v>
      </c>
    </row>
    <row r="13" spans="2:18" ht="15" x14ac:dyDescent="0.25">
      <c r="B13" s="30" t="s">
        <v>8</v>
      </c>
      <c r="C13" s="31">
        <f>(SUMIF($G$2:$G$32,B13,$I$2:$I$32))+(SUMIF($G$36:$G$42,B13,$H$36:$H$42))</f>
        <v>0</v>
      </c>
      <c r="D13" s="2"/>
      <c r="E13" s="69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IF(vend10[[#This Row],[Nº Venda]]&gt;1,1,0)</f>
        <v>0</v>
      </c>
    </row>
    <row r="14" spans="2:18" ht="15" x14ac:dyDescent="0.25">
      <c r="B14" s="30" t="s">
        <v>9</v>
      </c>
      <c r="C14" s="31">
        <f>(SUMIF($G$2:$G$32,B14,$I$2:$I$32))+(SUMIF($G$36:$G$42,B14,$H$36:$H$42))</f>
        <v>0</v>
      </c>
      <c r="D14" s="2"/>
      <c r="E14" s="69"/>
      <c r="F14" s="64"/>
      <c r="G14" s="65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" x14ac:dyDescent="0.25">
      <c r="B15" s="30" t="s">
        <v>10</v>
      </c>
      <c r="C15" s="31">
        <f>(SUMIF($G$2:$G$32,B15,$I$2:$I$32))+(SUMIF($G$36:$G$42,B15,$H$36:$H$42))</f>
        <v>198</v>
      </c>
      <c r="D15" s="2"/>
      <c r="E15" s="69"/>
      <c r="F15" s="64"/>
      <c r="G15" s="65"/>
      <c r="H15" s="66"/>
      <c r="I15" s="66"/>
      <c r="J15" s="2"/>
      <c r="K15" s="64"/>
      <c r="L15" s="74"/>
      <c r="M15" s="75"/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1421</v>
      </c>
      <c r="D16" s="2"/>
      <c r="E16" s="69"/>
      <c r="F16" s="64"/>
      <c r="G16" s="65"/>
      <c r="H16" s="66"/>
      <c r="I16" s="66"/>
      <c r="J16" s="2"/>
      <c r="K16" s="64"/>
      <c r="L16" s="74"/>
      <c r="M16" s="91"/>
      <c r="R16" s="1">
        <f>IF(vend10[[#This Row],[Nº Venda]]&gt;1,1,0)</f>
        <v>0</v>
      </c>
    </row>
    <row r="17" spans="2:18" ht="15" x14ac:dyDescent="0.25">
      <c r="B17" s="2"/>
      <c r="C17" s="2"/>
      <c r="D17" s="2"/>
      <c r="E17" s="69"/>
      <c r="F17" s="64"/>
      <c r="G17" s="65"/>
      <c r="H17" s="66"/>
      <c r="I17" s="66"/>
      <c r="J17" s="2"/>
      <c r="K17" s="64"/>
      <c r="L17" s="74"/>
      <c r="M17" s="75"/>
      <c r="R17" s="1">
        <f>IF(vend10[[#This Row],[Nº Venda]]&gt;1,1,0)</f>
        <v>0</v>
      </c>
    </row>
    <row r="18" spans="2:18" ht="15" x14ac:dyDescent="0.25">
      <c r="B18" s="126" t="s">
        <v>12</v>
      </c>
      <c r="C18" s="126"/>
      <c r="D18" s="2"/>
      <c r="E18" s="69"/>
      <c r="F18" s="64"/>
      <c r="G18" s="65"/>
      <c r="H18" s="66"/>
      <c r="I18" s="66"/>
      <c r="J18" s="2"/>
      <c r="K18" s="64"/>
      <c r="L18" s="74"/>
      <c r="M18" s="75"/>
      <c r="R18" s="1">
        <f>IF(vend10[[#This Row],[Nº Venda]]&gt;1,1,0)</f>
        <v>0</v>
      </c>
    </row>
    <row r="19" spans="2:18" ht="15" x14ac:dyDescent="0.25">
      <c r="B19" s="30">
        <f>COUNT(entr_carn10[OS])</f>
        <v>0</v>
      </c>
      <c r="C19" s="31">
        <f>SUM(entr_carn10[Valor Total])</f>
        <v>0</v>
      </c>
      <c r="D19" s="2"/>
      <c r="E19" s="69"/>
      <c r="F19" s="64"/>
      <c r="G19" s="65"/>
      <c r="H19" s="66"/>
      <c r="I19" s="66"/>
      <c r="J19" s="2"/>
      <c r="K19" s="64"/>
      <c r="L19" s="74"/>
      <c r="M19" s="75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9"/>
      <c r="F20" s="65"/>
      <c r="G20" s="65"/>
      <c r="H20" s="66"/>
      <c r="I20" s="66"/>
      <c r="J20" s="2"/>
      <c r="K20" s="64"/>
      <c r="L20" s="74"/>
      <c r="M20" s="75"/>
      <c r="R20" s="1">
        <f>IF(vend10[[#This Row],[Nº Venda]]&gt;1,1,0)</f>
        <v>0</v>
      </c>
    </row>
    <row r="21" spans="2:18" ht="15" x14ac:dyDescent="0.25">
      <c r="B21" s="2"/>
      <c r="C21" s="2"/>
      <c r="D21" s="2"/>
      <c r="E21" s="69"/>
      <c r="F21" s="64"/>
      <c r="G21" s="65"/>
      <c r="H21" s="66"/>
      <c r="I21" s="66"/>
      <c r="J21" s="2"/>
      <c r="K21" s="64"/>
      <c r="L21" s="74"/>
      <c r="M21" s="75"/>
    </row>
    <row r="22" spans="2:18" ht="15.75" x14ac:dyDescent="0.25">
      <c r="B22" s="28" t="s">
        <v>26</v>
      </c>
      <c r="C22" s="32">
        <f>C5</f>
        <v>1223</v>
      </c>
      <c r="D22" s="2"/>
      <c r="E22" s="69"/>
      <c r="F22" s="64"/>
      <c r="G22" s="65"/>
      <c r="H22" s="66"/>
      <c r="I22" s="66"/>
      <c r="J22" s="2"/>
      <c r="K22" s="64"/>
      <c r="L22" s="74"/>
      <c r="M22" s="75"/>
    </row>
    <row r="23" spans="2:18" ht="15" x14ac:dyDescent="0.25">
      <c r="B23" s="2"/>
      <c r="C23" s="2"/>
      <c r="D23" s="2"/>
      <c r="E23" s="70"/>
      <c r="F23" s="71"/>
      <c r="G23" s="71"/>
      <c r="H23" s="72"/>
      <c r="I23" s="73"/>
      <c r="J23" s="2"/>
      <c r="K23" s="64"/>
      <c r="L23" s="74"/>
      <c r="M23" s="75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64"/>
      <c r="L24" s="74"/>
      <c r="M24" s="75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4"/>
      <c r="L25" s="74"/>
      <c r="M25" s="75"/>
    </row>
    <row r="26" spans="2:18" ht="15" x14ac:dyDescent="0.25">
      <c r="B26" s="2"/>
      <c r="C26" s="2"/>
      <c r="D26" s="2"/>
      <c r="E26" s="69"/>
      <c r="F26" s="64"/>
      <c r="G26" s="89"/>
      <c r="H26" s="66"/>
      <c r="I26" s="66"/>
      <c r="J26" s="2"/>
      <c r="K26" s="64"/>
      <c r="L26" s="74"/>
      <c r="M26" s="75"/>
    </row>
    <row r="27" spans="2:18" ht="15" x14ac:dyDescent="0.25">
      <c r="B27" s="2"/>
      <c r="C27" s="2"/>
      <c r="D27" s="2"/>
      <c r="E27" s="69"/>
      <c r="F27" s="64"/>
      <c r="G27" s="89"/>
      <c r="H27" s="66"/>
      <c r="I27" s="66"/>
      <c r="J27" s="2"/>
      <c r="K27" s="64"/>
      <c r="L27" s="74"/>
      <c r="M27" s="75"/>
    </row>
    <row r="28" spans="2:18" ht="15" x14ac:dyDescent="0.25">
      <c r="B28" s="2"/>
      <c r="C28" s="2"/>
      <c r="D28" s="2"/>
      <c r="E28" s="69"/>
      <c r="F28" s="64"/>
      <c r="G28" s="89"/>
      <c r="H28" s="66"/>
      <c r="I28" s="66"/>
      <c r="J28" s="2"/>
      <c r="K28" s="64"/>
      <c r="L28" s="74"/>
      <c r="M28" s="75"/>
    </row>
    <row r="29" spans="2:18" ht="15" x14ac:dyDescent="0.25">
      <c r="B29" s="2"/>
      <c r="C29" s="2"/>
      <c r="D29" s="2"/>
      <c r="E29" s="69"/>
      <c r="F29" s="64"/>
      <c r="G29" s="65"/>
      <c r="H29" s="66"/>
      <c r="I29" s="66"/>
      <c r="J29" s="2"/>
      <c r="K29" s="64"/>
      <c r="L29" s="74"/>
      <c r="M29" s="75"/>
    </row>
    <row r="30" spans="2:18" ht="15" x14ac:dyDescent="0.25">
      <c r="B30" s="2"/>
      <c r="C30" s="2"/>
      <c r="D30" s="2"/>
      <c r="E30" s="69"/>
      <c r="F30" s="78"/>
      <c r="G30" s="65"/>
      <c r="H30" s="66"/>
      <c r="I30" s="66"/>
      <c r="J30" s="2"/>
      <c r="K30" s="64"/>
      <c r="L30" s="74"/>
      <c r="M30" s="75"/>
    </row>
    <row r="31" spans="2:18" ht="15" x14ac:dyDescent="0.25">
      <c r="B31" s="2"/>
      <c r="C31" s="2"/>
      <c r="D31" s="2"/>
      <c r="E31" s="79"/>
      <c r="F31" s="80"/>
      <c r="G31" s="81"/>
      <c r="H31" s="82"/>
      <c r="I31" s="82"/>
      <c r="J31" s="2"/>
      <c r="K31" s="64"/>
      <c r="L31" s="74"/>
      <c r="M31" s="75"/>
    </row>
    <row r="32" spans="2:18" ht="15" x14ac:dyDescent="0.25">
      <c r="B32" s="2"/>
      <c r="C32" s="2"/>
      <c r="E32" s="69"/>
      <c r="F32" s="78"/>
      <c r="G32" s="65"/>
      <c r="H32" s="66"/>
      <c r="I32" s="66"/>
      <c r="K32" s="77"/>
      <c r="L32" s="77"/>
      <c r="M32" s="77"/>
    </row>
    <row r="33" spans="2:18" ht="15" x14ac:dyDescent="0.25">
      <c r="B33" s="2"/>
      <c r="C33" s="2"/>
      <c r="E33" s="70"/>
      <c r="F33" s="71"/>
      <c r="G33" s="71"/>
      <c r="H33" s="73"/>
      <c r="I33" s="73"/>
      <c r="K33" s="128" t="s">
        <v>12</v>
      </c>
      <c r="L33" s="129"/>
      <c r="M33" s="130"/>
    </row>
    <row r="34" spans="2:18" ht="15" x14ac:dyDescent="0.25">
      <c r="E34" s="127" t="s">
        <v>28</v>
      </c>
      <c r="F34" s="127"/>
      <c r="G34" s="127"/>
      <c r="H34" s="127"/>
      <c r="I34" s="127"/>
      <c r="K34" s="14" t="s">
        <v>23</v>
      </c>
      <c r="L34" s="6" t="s">
        <v>31</v>
      </c>
      <c r="M34" s="15" t="s">
        <v>32</v>
      </c>
    </row>
    <row r="35" spans="2:18" ht="15" x14ac:dyDescent="0.25">
      <c r="E35" s="10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64"/>
      <c r="L35" s="84"/>
      <c r="M35" s="75"/>
    </row>
    <row r="36" spans="2:18" ht="15" x14ac:dyDescent="0.25">
      <c r="E36" s="69">
        <v>924</v>
      </c>
      <c r="F36" s="64" t="s">
        <v>158</v>
      </c>
      <c r="G36" s="65" t="s">
        <v>10</v>
      </c>
      <c r="H36" s="66">
        <v>198</v>
      </c>
      <c r="I36" s="66" t="s">
        <v>54</v>
      </c>
      <c r="K36" s="64"/>
      <c r="L36" s="84"/>
      <c r="M36" s="75"/>
    </row>
    <row r="37" spans="2:18" ht="15" x14ac:dyDescent="0.25">
      <c r="E37" s="69"/>
      <c r="F37" s="64"/>
      <c r="G37" s="65"/>
      <c r="H37" s="66"/>
      <c r="I37" s="66"/>
      <c r="K37" s="64"/>
      <c r="L37" s="84"/>
      <c r="M37" s="75"/>
    </row>
    <row r="38" spans="2:18" ht="15" x14ac:dyDescent="0.25">
      <c r="E38" s="69"/>
      <c r="F38" s="64"/>
      <c r="G38" s="65"/>
      <c r="H38" s="66"/>
      <c r="I38" s="66"/>
      <c r="K38" s="64"/>
      <c r="L38" s="84"/>
      <c r="M38" s="75"/>
    </row>
    <row r="39" spans="2:18" ht="15" x14ac:dyDescent="0.25">
      <c r="E39" s="69"/>
      <c r="F39" s="64"/>
      <c r="G39" s="65"/>
      <c r="H39" s="66"/>
      <c r="I39" s="66"/>
      <c r="K39" s="64"/>
      <c r="L39" s="84"/>
      <c r="M39" s="75"/>
    </row>
    <row r="40" spans="2:18" ht="15" x14ac:dyDescent="0.25">
      <c r="E40" s="69"/>
      <c r="F40" s="78"/>
      <c r="G40" s="65"/>
      <c r="H40" s="66"/>
      <c r="I40" s="66"/>
      <c r="K40" s="80"/>
      <c r="L40" s="85"/>
      <c r="M40" s="86"/>
      <c r="Q40" s="1" t="s">
        <v>36</v>
      </c>
      <c r="R40" s="1">
        <f>SUM(R6:R21)</f>
        <v>1</v>
      </c>
    </row>
    <row r="41" spans="2:18" ht="15" x14ac:dyDescent="0.25">
      <c r="E41" s="79"/>
      <c r="F41" s="80"/>
      <c r="G41" s="81"/>
      <c r="H41" s="82"/>
      <c r="I41" s="66"/>
      <c r="K41" s="87"/>
      <c r="L41" s="84"/>
      <c r="M41" s="86"/>
    </row>
    <row r="42" spans="2:18" ht="15" x14ac:dyDescent="0.25">
      <c r="E42" s="83"/>
      <c r="F42" s="78"/>
      <c r="G42" s="65"/>
      <c r="H42" s="66"/>
      <c r="I42" s="66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3">
        <f>'10'!B1+1</f>
        <v>45515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126" t="s">
        <v>5</v>
      </c>
      <c r="C10" s="12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8" t="s">
        <v>22</v>
      </c>
      <c r="L13" s="129"/>
      <c r="M13" s="130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126" t="s">
        <v>12</v>
      </c>
      <c r="C18" s="12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'11'!B1+1</f>
        <v>45516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116" t="s">
        <v>160</v>
      </c>
      <c r="F6" s="103"/>
      <c r="G6" s="103"/>
      <c r="H6" s="104"/>
      <c r="I6" s="104"/>
      <c r="J6" s="2"/>
      <c r="K6" s="64"/>
      <c r="L6" s="74"/>
      <c r="M6" s="75"/>
      <c r="R6" s="1">
        <f>IF(vend12[[#This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117"/>
      <c r="F7" s="94"/>
      <c r="G7" s="94"/>
      <c r="H7" s="95"/>
      <c r="I7" s="95"/>
      <c r="J7" s="2"/>
      <c r="K7" s="64"/>
      <c r="L7" s="74"/>
      <c r="M7" s="75"/>
      <c r="R7" s="1">
        <f>IF(vend12[[#This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17"/>
      <c r="F8" s="94"/>
      <c r="G8" s="94"/>
      <c r="H8" s="95"/>
      <c r="I8" s="95"/>
      <c r="J8" s="2"/>
      <c r="K8" s="64"/>
      <c r="L8" s="74"/>
      <c r="M8" s="75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13"/>
      <c r="F9" s="64"/>
      <c r="G9" s="65"/>
      <c r="H9" s="66"/>
      <c r="I9" s="66"/>
      <c r="J9" s="2"/>
      <c r="K9" s="64"/>
      <c r="L9" s="74"/>
      <c r="M9" s="75"/>
      <c r="R9" s="1">
        <f>IF(vend12[[#This Row],[Nº Venda]]&gt;1,1,0)</f>
        <v>0</v>
      </c>
    </row>
    <row r="10" spans="2:18" ht="15.75" x14ac:dyDescent="0.25">
      <c r="B10" s="126" t="s">
        <v>5</v>
      </c>
      <c r="C10" s="126"/>
      <c r="D10" s="2"/>
      <c r="E10" s="113"/>
      <c r="F10" s="64"/>
      <c r="G10" s="65"/>
      <c r="H10" s="66"/>
      <c r="I10" s="66"/>
      <c r="J10" s="2"/>
      <c r="K10" s="64"/>
      <c r="L10" s="74"/>
      <c r="M10" s="75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13"/>
      <c r="F11" s="64"/>
      <c r="G11" s="65"/>
      <c r="H11" s="66"/>
      <c r="I11" s="66"/>
      <c r="J11" s="2"/>
      <c r="K11" s="76"/>
      <c r="L11" s="74"/>
      <c r="M11" s="75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13"/>
      <c r="F12" s="64"/>
      <c r="G12" s="65"/>
      <c r="H12" s="66"/>
      <c r="I12" s="66"/>
      <c r="J12" s="2"/>
      <c r="K12" s="77"/>
      <c r="L12" s="77"/>
      <c r="M12" s="77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13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13"/>
      <c r="F14" s="64"/>
      <c r="G14" s="65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13"/>
      <c r="F15" s="64"/>
      <c r="G15" s="65"/>
      <c r="H15" s="66"/>
      <c r="I15" s="66"/>
      <c r="J15" s="2"/>
      <c r="K15" s="64">
        <v>980</v>
      </c>
      <c r="L15" s="74" t="s">
        <v>140</v>
      </c>
      <c r="M15" s="75" t="s">
        <v>146</v>
      </c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13"/>
      <c r="F16" s="64"/>
      <c r="G16" s="65"/>
      <c r="H16" s="66"/>
      <c r="I16" s="66"/>
      <c r="J16" s="2"/>
      <c r="K16" s="64"/>
      <c r="L16" s="74"/>
      <c r="M16" s="75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13"/>
      <c r="F17" s="64"/>
      <c r="G17" s="65"/>
      <c r="H17" s="66"/>
      <c r="I17" s="66"/>
      <c r="J17" s="2"/>
      <c r="K17" s="64"/>
      <c r="L17" s="74"/>
      <c r="M17" s="75"/>
      <c r="R17" s="1">
        <f>IF(vend12[[#This Row],[Nº Venda]]&gt;1,1,0)</f>
        <v>0</v>
      </c>
    </row>
    <row r="18" spans="2:18" ht="15.75" x14ac:dyDescent="0.25">
      <c r="B18" s="126" t="s">
        <v>12</v>
      </c>
      <c r="C18" s="126"/>
      <c r="D18" s="2"/>
      <c r="E18" s="113"/>
      <c r="F18" s="64"/>
      <c r="G18" s="65"/>
      <c r="H18" s="66"/>
      <c r="I18" s="66"/>
      <c r="J18" s="2"/>
      <c r="K18" s="64"/>
      <c r="L18" s="74"/>
      <c r="M18" s="75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13"/>
      <c r="F19" s="64"/>
      <c r="G19" s="65"/>
      <c r="H19" s="66"/>
      <c r="I19" s="66"/>
      <c r="J19" s="2"/>
      <c r="K19" s="64"/>
      <c r="L19" s="74"/>
      <c r="M19" s="75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13"/>
      <c r="F20" s="65"/>
      <c r="G20" s="65"/>
      <c r="H20" s="66"/>
      <c r="I20" s="66"/>
      <c r="J20" s="2"/>
      <c r="K20" s="64"/>
      <c r="L20" s="74"/>
      <c r="M20" s="75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13"/>
      <c r="F21" s="64"/>
      <c r="G21" s="65"/>
      <c r="H21" s="66"/>
      <c r="I21" s="66"/>
      <c r="J21" s="2"/>
      <c r="K21" s="64"/>
      <c r="L21" s="74"/>
      <c r="M21" s="75"/>
    </row>
    <row r="22" spans="2:18" ht="15.75" x14ac:dyDescent="0.25">
      <c r="B22" s="28" t="s">
        <v>26</v>
      </c>
      <c r="C22" s="32">
        <f>C5</f>
        <v>0</v>
      </c>
      <c r="D22" s="2"/>
      <c r="E22" s="113"/>
      <c r="F22" s="64"/>
      <c r="G22" s="65"/>
      <c r="H22" s="66"/>
      <c r="I22" s="66"/>
      <c r="J22" s="2"/>
      <c r="K22" s="64"/>
      <c r="L22" s="74"/>
      <c r="M22" s="75"/>
    </row>
    <row r="23" spans="2:18" ht="15" x14ac:dyDescent="0.25">
      <c r="B23" s="2"/>
      <c r="C23" s="2"/>
      <c r="D23" s="2"/>
      <c r="E23" s="118"/>
      <c r="F23" s="119"/>
      <c r="G23" s="119"/>
      <c r="H23" s="120"/>
      <c r="I23" s="121"/>
      <c r="J23" s="2"/>
      <c r="K23" s="64"/>
      <c r="L23" s="74"/>
      <c r="M23" s="75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64"/>
      <c r="L24" s="74"/>
      <c r="M24" s="75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4"/>
      <c r="L25" s="74"/>
      <c r="M25" s="75"/>
    </row>
    <row r="26" spans="2:18" ht="15" x14ac:dyDescent="0.25">
      <c r="B26" s="2"/>
      <c r="C26" s="2"/>
      <c r="D26" s="2"/>
      <c r="E26" s="69"/>
      <c r="F26" s="122"/>
      <c r="G26" s="89"/>
      <c r="H26" s="66"/>
      <c r="I26" s="66"/>
      <c r="J26" s="2"/>
      <c r="K26" s="64"/>
      <c r="L26" s="74"/>
      <c r="M26" s="75"/>
    </row>
    <row r="27" spans="2:18" ht="15" x14ac:dyDescent="0.25">
      <c r="B27" s="2"/>
      <c r="C27" s="2"/>
      <c r="D27" s="2"/>
      <c r="E27" s="69"/>
      <c r="F27" s="64"/>
      <c r="G27" s="65"/>
      <c r="H27" s="66"/>
      <c r="I27" s="66"/>
      <c r="J27" s="2"/>
      <c r="K27" s="64"/>
      <c r="L27" s="74"/>
      <c r="M27" s="75"/>
    </row>
    <row r="28" spans="2:18" ht="15" x14ac:dyDescent="0.25">
      <c r="B28" s="2"/>
      <c r="C28" s="2"/>
      <c r="D28" s="2"/>
      <c r="E28" s="69"/>
      <c r="F28" s="64"/>
      <c r="G28" s="65"/>
      <c r="H28" s="66"/>
      <c r="I28" s="66"/>
      <c r="J28" s="2"/>
      <c r="K28" s="64"/>
      <c r="L28" s="74"/>
      <c r="M28" s="75"/>
    </row>
    <row r="29" spans="2:18" ht="15" x14ac:dyDescent="0.25">
      <c r="B29" s="2"/>
      <c r="C29" s="2"/>
      <c r="D29" s="2"/>
      <c r="E29" s="69"/>
      <c r="F29" s="64"/>
      <c r="G29" s="65"/>
      <c r="H29" s="66"/>
      <c r="I29" s="66"/>
      <c r="J29" s="2"/>
      <c r="K29" s="64"/>
      <c r="L29" s="74"/>
      <c r="M29" s="75"/>
    </row>
    <row r="30" spans="2:18" ht="15" x14ac:dyDescent="0.25">
      <c r="B30" s="2"/>
      <c r="C30" s="2"/>
      <c r="D30" s="2"/>
      <c r="E30" s="69"/>
      <c r="F30" s="78"/>
      <c r="G30" s="65"/>
      <c r="H30" s="66"/>
      <c r="I30" s="66"/>
      <c r="J30" s="2"/>
      <c r="K30" s="64"/>
      <c r="L30" s="74"/>
      <c r="M30" s="75"/>
    </row>
    <row r="31" spans="2:18" ht="15" x14ac:dyDescent="0.25">
      <c r="B31" s="2"/>
      <c r="C31" s="2"/>
      <c r="D31" s="2"/>
      <c r="E31" s="79"/>
      <c r="F31" s="80"/>
      <c r="G31" s="81"/>
      <c r="H31" s="82"/>
      <c r="I31" s="82"/>
      <c r="J31" s="2"/>
      <c r="K31" s="64"/>
      <c r="L31" s="74"/>
      <c r="M31" s="75"/>
    </row>
    <row r="32" spans="2:18" ht="15" x14ac:dyDescent="0.25">
      <c r="B32" s="2"/>
      <c r="C32" s="2"/>
      <c r="E32" s="33"/>
      <c r="K32" s="77"/>
      <c r="L32" s="77"/>
      <c r="M32" s="77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9"/>
      <c r="F35" s="64"/>
      <c r="G35" s="65"/>
      <c r="H35" s="66"/>
      <c r="I35" s="66"/>
      <c r="K35" s="64"/>
      <c r="L35" s="84"/>
      <c r="M35" s="75"/>
    </row>
    <row r="36" spans="2:18" ht="15" x14ac:dyDescent="0.25">
      <c r="E36" s="69"/>
      <c r="F36" s="123" t="s">
        <v>161</v>
      </c>
      <c r="G36" s="65"/>
      <c r="H36" s="66"/>
      <c r="I36" s="66"/>
      <c r="K36" s="64"/>
      <c r="L36" s="84"/>
      <c r="M36" s="75"/>
    </row>
    <row r="37" spans="2:18" ht="15" x14ac:dyDescent="0.25">
      <c r="E37" s="69"/>
      <c r="F37" s="64"/>
      <c r="G37" s="65"/>
      <c r="H37" s="66"/>
      <c r="I37" s="66"/>
      <c r="K37" s="64"/>
      <c r="L37" s="84"/>
      <c r="M37" s="75"/>
    </row>
    <row r="38" spans="2:18" ht="15" x14ac:dyDescent="0.25">
      <c r="E38" s="69"/>
      <c r="F38" s="64"/>
      <c r="G38" s="65"/>
      <c r="H38" s="66"/>
      <c r="I38" s="66"/>
      <c r="K38" s="64"/>
      <c r="L38" s="84"/>
      <c r="M38" s="75"/>
    </row>
    <row r="39" spans="2:18" ht="15" x14ac:dyDescent="0.25">
      <c r="E39" s="69"/>
      <c r="F39" s="78"/>
      <c r="G39" s="65"/>
      <c r="H39" s="66"/>
      <c r="I39" s="66"/>
      <c r="K39" s="64"/>
      <c r="L39" s="84"/>
      <c r="M39" s="75"/>
    </row>
    <row r="40" spans="2:18" ht="15" x14ac:dyDescent="0.25">
      <c r="E40" s="79"/>
      <c r="F40" s="80"/>
      <c r="G40" s="81"/>
      <c r="H40" s="82"/>
      <c r="I40" s="66"/>
      <c r="K40" s="80"/>
      <c r="L40" s="85"/>
      <c r="M40" s="86"/>
      <c r="Q40" s="1" t="s">
        <v>36</v>
      </c>
      <c r="R40" s="1">
        <f>SUM(R6:R21)</f>
        <v>1</v>
      </c>
    </row>
    <row r="41" spans="2:18" ht="15" x14ac:dyDescent="0.25">
      <c r="E41" s="83"/>
      <c r="F41" s="78"/>
      <c r="G41" s="65"/>
      <c r="H41" s="66"/>
      <c r="I41" s="66"/>
      <c r="K41" s="87"/>
      <c r="L41" s="84"/>
      <c r="M41" s="8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80" zoomScaleNormal="8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'12'!B1+1</f>
        <v>45517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538</v>
      </c>
      <c r="D6" s="2"/>
      <c r="E6" s="69"/>
      <c r="F6" s="64"/>
      <c r="G6" s="65"/>
      <c r="H6" s="66"/>
      <c r="I6" s="66"/>
      <c r="J6" s="2"/>
      <c r="K6" s="64"/>
      <c r="L6" s="74"/>
      <c r="M6" s="75"/>
      <c r="R6" s="1">
        <f>IF(vend13[[#This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9"/>
      <c r="F7" s="64"/>
      <c r="G7" s="65"/>
      <c r="H7" s="66"/>
      <c r="I7" s="66"/>
      <c r="J7" s="2"/>
      <c r="K7" s="64"/>
      <c r="L7" s="74"/>
      <c r="M7" s="75"/>
      <c r="R7" s="1">
        <f>IF(vend13[[#This Row],[Nº Venda]]&gt;1,1,0)</f>
        <v>0</v>
      </c>
    </row>
    <row r="8" spans="2:18" ht="15.75" x14ac:dyDescent="0.25">
      <c r="B8" s="28" t="s">
        <v>21</v>
      </c>
      <c r="C8" s="29">
        <f>SUM(C6:C7)</f>
        <v>538</v>
      </c>
      <c r="D8" s="2"/>
      <c r="E8" s="69"/>
      <c r="F8" s="64"/>
      <c r="G8" s="65"/>
      <c r="H8" s="66"/>
      <c r="I8" s="66"/>
      <c r="J8" s="2"/>
      <c r="K8" s="64"/>
      <c r="L8" s="74"/>
      <c r="M8" s="75"/>
      <c r="R8" s="1">
        <f>IF(vend13[[#This Row],[Nº Venda]]&gt;1,1,0)</f>
        <v>0</v>
      </c>
    </row>
    <row r="9" spans="2:18" ht="15" x14ac:dyDescent="0.25">
      <c r="B9" s="2"/>
      <c r="C9" s="2"/>
      <c r="D9" s="2"/>
      <c r="E9" s="69"/>
      <c r="F9" s="64"/>
      <c r="G9" s="65"/>
      <c r="H9" s="66"/>
      <c r="I9" s="66"/>
      <c r="J9" s="2"/>
      <c r="K9" s="64"/>
      <c r="L9" s="74"/>
      <c r="M9" s="75"/>
      <c r="R9" s="1">
        <f>IF(vend13[[#This Row],[Nº Venda]]&gt;1,1,0)</f>
        <v>0</v>
      </c>
    </row>
    <row r="10" spans="2:18" ht="15" x14ac:dyDescent="0.25">
      <c r="B10" s="126" t="s">
        <v>5</v>
      </c>
      <c r="C10" s="126"/>
      <c r="D10" s="2"/>
      <c r="E10" s="69"/>
      <c r="F10" s="64"/>
      <c r="G10" s="65"/>
      <c r="H10" s="66"/>
      <c r="I10" s="66"/>
      <c r="J10" s="2"/>
      <c r="K10" s="64"/>
      <c r="L10" s="74"/>
      <c r="M10" s="75"/>
      <c r="R10" s="1">
        <f>IF(vend13[[#This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538</v>
      </c>
      <c r="D11" s="2"/>
      <c r="E11" s="69"/>
      <c r="F11" s="64"/>
      <c r="G11" s="65"/>
      <c r="H11" s="66"/>
      <c r="I11" s="66"/>
      <c r="J11" s="2"/>
      <c r="K11" s="76"/>
      <c r="L11" s="74"/>
      <c r="M11" s="75"/>
      <c r="O11" s="1">
        <f>IF(C16=0,0,1)</f>
        <v>1</v>
      </c>
      <c r="R11" s="1">
        <f>IF(vend13[[#This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9"/>
      <c r="F12" s="64"/>
      <c r="G12" s="65"/>
      <c r="H12" s="66"/>
      <c r="I12" s="66"/>
      <c r="J12" s="2"/>
      <c r="K12" s="77"/>
      <c r="L12" s="77"/>
      <c r="M12" s="77"/>
      <c r="R12" s="1">
        <f>IF(vend13[[#This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9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IF(vend13[[#This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9"/>
      <c r="F14" s="64"/>
      <c r="G14" s="65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" x14ac:dyDescent="0.25">
      <c r="B15" s="30" t="s">
        <v>10</v>
      </c>
      <c r="C15" s="31">
        <f t="shared" si="0"/>
        <v>91.5</v>
      </c>
      <c r="D15" s="2"/>
      <c r="E15" s="69"/>
      <c r="F15" s="64"/>
      <c r="G15" s="65"/>
      <c r="H15" s="66"/>
      <c r="I15" s="66"/>
      <c r="J15" s="2"/>
      <c r="K15" s="64">
        <v>979</v>
      </c>
      <c r="L15" s="74" t="s">
        <v>140</v>
      </c>
      <c r="M15" s="75" t="s">
        <v>146</v>
      </c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629.5</v>
      </c>
      <c r="D16" s="2"/>
      <c r="E16" s="69"/>
      <c r="F16" s="64"/>
      <c r="G16" s="65"/>
      <c r="H16" s="66"/>
      <c r="I16" s="66"/>
      <c r="J16" s="2"/>
      <c r="K16" s="64"/>
      <c r="L16" s="74"/>
      <c r="M16" s="75"/>
      <c r="R16" s="1">
        <f>IF(vend13[[#This Row],[Nº Venda]]&gt;1,1,0)</f>
        <v>0</v>
      </c>
    </row>
    <row r="17" spans="2:18" ht="15" x14ac:dyDescent="0.25">
      <c r="B17" s="2"/>
      <c r="C17" s="2"/>
      <c r="D17" s="2"/>
      <c r="E17" s="69"/>
      <c r="F17" s="64"/>
      <c r="G17" s="65"/>
      <c r="H17" s="66"/>
      <c r="I17" s="66"/>
      <c r="J17" s="2"/>
      <c r="K17" s="64"/>
      <c r="L17" s="74"/>
      <c r="M17" s="75"/>
      <c r="R17" s="1">
        <f>IF(vend13[[#This Row],[Nº Venda]]&gt;1,1,0)</f>
        <v>0</v>
      </c>
    </row>
    <row r="18" spans="2:18" ht="15" x14ac:dyDescent="0.25">
      <c r="B18" s="126" t="s">
        <v>12</v>
      </c>
      <c r="C18" s="126"/>
      <c r="D18" s="2"/>
      <c r="E18" s="69"/>
      <c r="F18" s="64"/>
      <c r="G18" s="65"/>
      <c r="H18" s="66"/>
      <c r="I18" s="66"/>
      <c r="J18" s="2"/>
      <c r="K18" s="64"/>
      <c r="L18" s="74"/>
      <c r="M18" s="75"/>
      <c r="R18" s="1">
        <f>IF(vend13[[#This Row],[Nº Venda]]&gt;1,1,0)</f>
        <v>0</v>
      </c>
    </row>
    <row r="19" spans="2:18" ht="15" x14ac:dyDescent="0.25">
      <c r="B19" s="30">
        <f>COUNT(entr_carn13[OS])</f>
        <v>0</v>
      </c>
      <c r="C19" s="31">
        <f>SUM(entr_carn13[Valor Total])</f>
        <v>0</v>
      </c>
      <c r="D19" s="2"/>
      <c r="E19" s="69"/>
      <c r="F19" s="64"/>
      <c r="G19" s="65"/>
      <c r="H19" s="66"/>
      <c r="I19" s="66"/>
      <c r="J19" s="2"/>
      <c r="K19" s="64"/>
      <c r="L19" s="74"/>
      <c r="M19" s="75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9"/>
      <c r="F20" s="65"/>
      <c r="G20" s="65"/>
      <c r="H20" s="66"/>
      <c r="I20" s="66"/>
      <c r="J20" s="2"/>
      <c r="K20" s="64"/>
      <c r="L20" s="74"/>
      <c r="M20" s="75"/>
      <c r="R20" s="1">
        <f>IF(vend13[[#This Row],[Nº Venda]]&gt;1,1,0)</f>
        <v>0</v>
      </c>
    </row>
    <row r="21" spans="2:18" ht="15" x14ac:dyDescent="0.25">
      <c r="B21" s="2"/>
      <c r="C21" s="2"/>
      <c r="D21" s="2"/>
      <c r="E21" s="69"/>
      <c r="F21" s="64"/>
      <c r="G21" s="65"/>
      <c r="H21" s="66"/>
      <c r="I21" s="66"/>
      <c r="J21" s="2"/>
      <c r="K21" s="64"/>
      <c r="L21" s="74"/>
      <c r="M21" s="75"/>
    </row>
    <row r="22" spans="2:18" ht="15.75" x14ac:dyDescent="0.25">
      <c r="B22" s="28" t="s">
        <v>26</v>
      </c>
      <c r="C22" s="32">
        <f>C5</f>
        <v>0</v>
      </c>
      <c r="D22" s="2"/>
      <c r="E22" s="69"/>
      <c r="F22" s="64"/>
      <c r="G22" s="65"/>
      <c r="H22" s="66"/>
      <c r="I22" s="66"/>
      <c r="J22" s="2"/>
      <c r="K22" s="64"/>
      <c r="L22" s="74"/>
      <c r="M22" s="75"/>
    </row>
    <row r="23" spans="2:18" ht="15" x14ac:dyDescent="0.25">
      <c r="B23" s="2"/>
      <c r="C23" s="2"/>
      <c r="D23" s="2"/>
      <c r="E23" s="70"/>
      <c r="F23" s="71"/>
      <c r="G23" s="71"/>
      <c r="H23" s="72"/>
      <c r="I23" s="73"/>
      <c r="J23" s="2"/>
      <c r="K23" s="64"/>
      <c r="L23" s="74"/>
      <c r="M23" s="75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64"/>
      <c r="L24" s="74"/>
      <c r="M24" s="75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4"/>
      <c r="L25" s="74"/>
      <c r="M25" s="75"/>
    </row>
    <row r="26" spans="2:18" ht="15" x14ac:dyDescent="0.25">
      <c r="B26" s="2"/>
      <c r="C26" s="2"/>
      <c r="D26" s="2"/>
      <c r="E26" s="69">
        <v>979</v>
      </c>
      <c r="F26" s="64" t="s">
        <v>163</v>
      </c>
      <c r="G26" s="65" t="s">
        <v>6</v>
      </c>
      <c r="H26" s="66"/>
      <c r="I26" s="66">
        <v>538</v>
      </c>
      <c r="J26" s="2"/>
      <c r="K26" s="64"/>
      <c r="L26" s="74"/>
      <c r="M26" s="75"/>
    </row>
    <row r="27" spans="2:18" ht="15" x14ac:dyDescent="0.25">
      <c r="B27" s="2"/>
      <c r="C27" s="2"/>
      <c r="D27" s="2"/>
      <c r="E27" s="69"/>
      <c r="F27" s="64"/>
      <c r="G27" s="65"/>
      <c r="H27" s="66"/>
      <c r="I27" s="66"/>
      <c r="J27" s="2"/>
      <c r="K27" s="64"/>
      <c r="L27" s="74"/>
      <c r="M27" s="75"/>
    </row>
    <row r="28" spans="2:18" ht="15" x14ac:dyDescent="0.25">
      <c r="B28" s="2"/>
      <c r="C28" s="2"/>
      <c r="D28" s="2"/>
      <c r="E28" s="69"/>
      <c r="F28" s="64"/>
      <c r="G28" s="65"/>
      <c r="H28" s="66"/>
      <c r="I28" s="66"/>
      <c r="J28" s="2"/>
      <c r="K28" s="64"/>
      <c r="L28" s="74"/>
      <c r="M28" s="75"/>
    </row>
    <row r="29" spans="2:18" ht="15" x14ac:dyDescent="0.25">
      <c r="B29" s="2"/>
      <c r="C29" s="2"/>
      <c r="D29" s="2"/>
      <c r="E29" s="69"/>
      <c r="F29" s="64"/>
      <c r="G29" s="65"/>
      <c r="H29" s="66"/>
      <c r="I29" s="66"/>
      <c r="J29" s="2"/>
      <c r="K29" s="64"/>
      <c r="L29" s="74"/>
      <c r="M29" s="75"/>
    </row>
    <row r="30" spans="2:18" ht="15" x14ac:dyDescent="0.25">
      <c r="B30" s="2"/>
      <c r="C30" s="2"/>
      <c r="D30" s="2"/>
      <c r="E30" s="69"/>
      <c r="F30" s="78"/>
      <c r="G30" s="65"/>
      <c r="H30" s="66"/>
      <c r="I30" s="66"/>
      <c r="J30" s="2"/>
      <c r="K30" s="64"/>
      <c r="L30" s="74"/>
      <c r="M30" s="75"/>
    </row>
    <row r="31" spans="2:18" ht="15" x14ac:dyDescent="0.25">
      <c r="B31" s="2"/>
      <c r="C31" s="2"/>
      <c r="D31" s="2"/>
      <c r="E31" s="79"/>
      <c r="F31" s="80"/>
      <c r="G31" s="81"/>
      <c r="H31" s="82"/>
      <c r="I31" s="82"/>
      <c r="J31" s="2"/>
      <c r="K31" s="64"/>
      <c r="L31" s="74"/>
      <c r="M31" s="75"/>
    </row>
    <row r="32" spans="2:18" ht="15" x14ac:dyDescent="0.25">
      <c r="B32" s="2"/>
      <c r="C32" s="2"/>
      <c r="E32" s="70"/>
      <c r="F32" s="71"/>
      <c r="G32" s="71"/>
      <c r="H32" s="73"/>
      <c r="I32" s="73"/>
      <c r="K32" s="77"/>
      <c r="L32" s="77"/>
      <c r="M32" s="77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9">
        <v>923</v>
      </c>
      <c r="F35" s="64" t="s">
        <v>162</v>
      </c>
      <c r="G35" s="65" t="s">
        <v>10</v>
      </c>
      <c r="H35" s="66">
        <v>91.5</v>
      </c>
      <c r="I35" s="66" t="s">
        <v>45</v>
      </c>
      <c r="K35" s="64"/>
      <c r="L35" s="84"/>
      <c r="M35" s="75"/>
    </row>
    <row r="36" spans="2:18" ht="15" x14ac:dyDescent="0.25">
      <c r="E36" s="69"/>
      <c r="F36" s="64"/>
      <c r="G36" s="65"/>
      <c r="H36" s="66"/>
      <c r="I36" s="8"/>
      <c r="K36" s="64"/>
      <c r="L36" s="84"/>
      <c r="M36" s="75"/>
    </row>
    <row r="37" spans="2:18" ht="15" x14ac:dyDescent="0.25">
      <c r="E37" s="69"/>
      <c r="F37" s="64"/>
      <c r="G37" s="65"/>
      <c r="H37" s="66"/>
      <c r="I37" s="66"/>
      <c r="K37" s="64"/>
      <c r="L37" s="84"/>
      <c r="M37" s="75"/>
    </row>
    <row r="38" spans="2:18" ht="15" x14ac:dyDescent="0.25">
      <c r="E38" s="69"/>
      <c r="F38" s="64"/>
      <c r="G38" s="65"/>
      <c r="H38" s="66"/>
      <c r="I38" s="66"/>
      <c r="K38" s="64"/>
      <c r="L38" s="84"/>
      <c r="M38" s="75"/>
    </row>
    <row r="39" spans="2:18" ht="15" x14ac:dyDescent="0.25">
      <c r="E39" s="69"/>
      <c r="F39" s="78"/>
      <c r="G39" s="65"/>
      <c r="H39" s="66"/>
      <c r="I39" s="66"/>
      <c r="K39" s="64"/>
      <c r="L39" s="84"/>
      <c r="M39" s="75"/>
    </row>
    <row r="40" spans="2:18" ht="15" x14ac:dyDescent="0.25">
      <c r="E40" s="79"/>
      <c r="F40" s="80"/>
      <c r="G40" s="81"/>
      <c r="H40" s="82"/>
      <c r="I40" s="66"/>
      <c r="K40" s="80"/>
      <c r="L40" s="85"/>
      <c r="M40" s="86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87"/>
      <c r="L41" s="84"/>
      <c r="M41" s="8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I37:I41 I35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10" zoomScale="80" zoomScaleNormal="8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'13'!B1+1</f>
        <v>45518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9"/>
      <c r="F6" s="64"/>
      <c r="G6" s="89"/>
      <c r="H6" s="66"/>
      <c r="I6" s="66"/>
      <c r="J6" s="2"/>
      <c r="K6" s="64"/>
      <c r="L6" s="74"/>
      <c r="M6" s="75"/>
      <c r="R6" s="1">
        <f>IF(vend14[[#This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9"/>
      <c r="F7" s="64"/>
      <c r="G7" s="89"/>
      <c r="H7" s="66"/>
      <c r="I7" s="66"/>
      <c r="J7" s="2"/>
      <c r="K7" s="64"/>
      <c r="L7" s="74"/>
      <c r="M7" s="75"/>
      <c r="R7" s="1">
        <f>IF(vend14[[#This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69"/>
      <c r="F8" s="64"/>
      <c r="G8" s="65"/>
      <c r="H8" s="66"/>
      <c r="I8" s="66"/>
      <c r="J8" s="2"/>
      <c r="K8" s="64"/>
      <c r="L8" s="74"/>
      <c r="M8" s="75"/>
      <c r="R8" s="1">
        <f>IF(vend14[[#This Row],[Nº Venda]]&gt;1,1,0)</f>
        <v>0</v>
      </c>
    </row>
    <row r="9" spans="2:18" ht="15" x14ac:dyDescent="0.25">
      <c r="B9" s="2"/>
      <c r="C9" s="2"/>
      <c r="D9" s="2"/>
      <c r="E9" s="69"/>
      <c r="F9" s="64"/>
      <c r="G9" s="65"/>
      <c r="H9" s="66"/>
      <c r="I9" s="66"/>
      <c r="J9" s="2"/>
      <c r="K9" s="64"/>
      <c r="L9" s="74"/>
      <c r="M9" s="75"/>
      <c r="R9" s="1">
        <f>IF(vend14[[#This Row],[Nº Venda]]&gt;1,1,0)</f>
        <v>0</v>
      </c>
    </row>
    <row r="10" spans="2:18" ht="15" x14ac:dyDescent="0.25">
      <c r="B10" s="126" t="s">
        <v>5</v>
      </c>
      <c r="C10" s="126"/>
      <c r="D10" s="2"/>
      <c r="E10" s="69"/>
      <c r="F10" s="64"/>
      <c r="G10" s="65"/>
      <c r="H10" s="66"/>
      <c r="I10" s="66"/>
      <c r="J10" s="2"/>
      <c r="K10" s="64"/>
      <c r="L10" s="74"/>
      <c r="M10" s="75"/>
      <c r="R10" s="1">
        <f>IF(vend14[[#This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69"/>
      <c r="F11" s="64"/>
      <c r="G11" s="65"/>
      <c r="H11" s="66"/>
      <c r="I11" s="66"/>
      <c r="J11" s="2"/>
      <c r="K11" s="76"/>
      <c r="L11" s="74"/>
      <c r="M11" s="75"/>
      <c r="O11" s="1">
        <f>IF(C16=0,0,1)</f>
        <v>1</v>
      </c>
      <c r="R11" s="1">
        <f>IF(vend14[[#This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9"/>
      <c r="F12" s="64"/>
      <c r="G12" s="65"/>
      <c r="H12" s="66"/>
      <c r="I12" s="66"/>
      <c r="J12" s="2"/>
      <c r="K12" s="77"/>
      <c r="L12" s="77"/>
      <c r="M12" s="77"/>
      <c r="R12" s="1">
        <f>IF(vend14[[#This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9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IF(vend14[[#This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9"/>
      <c r="F14" s="64"/>
      <c r="G14" s="65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" x14ac:dyDescent="0.25">
      <c r="B15" s="30" t="s">
        <v>10</v>
      </c>
      <c r="C15" s="31">
        <f t="shared" si="0"/>
        <v>193.14</v>
      </c>
      <c r="D15" s="2"/>
      <c r="E15" s="69"/>
      <c r="F15" s="64"/>
      <c r="G15" s="65"/>
      <c r="H15" s="66"/>
      <c r="I15" s="66"/>
      <c r="J15" s="2"/>
      <c r="K15" s="64"/>
      <c r="L15" s="74"/>
      <c r="M15" s="75"/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193.14</v>
      </c>
      <c r="D16" s="2"/>
      <c r="E16" s="69"/>
      <c r="F16" s="64"/>
      <c r="G16" s="65"/>
      <c r="H16" s="66"/>
      <c r="I16" s="66"/>
      <c r="J16" s="2"/>
      <c r="K16" s="64"/>
      <c r="L16" s="74"/>
      <c r="M16" s="75"/>
      <c r="R16" s="1">
        <f>IF(vend14[[#This Row],[Nº Venda]]&gt;1,1,0)</f>
        <v>0</v>
      </c>
    </row>
    <row r="17" spans="2:18" ht="15" x14ac:dyDescent="0.25">
      <c r="B17" s="2"/>
      <c r="C17" s="2"/>
      <c r="D17" s="2"/>
      <c r="E17" s="69"/>
      <c r="F17" s="64"/>
      <c r="G17" s="65"/>
      <c r="H17" s="66"/>
      <c r="I17" s="66"/>
      <c r="J17" s="2"/>
      <c r="K17" s="64"/>
      <c r="L17" s="74"/>
      <c r="M17" s="75"/>
      <c r="R17" s="1">
        <f>IF(vend14[[#This Row],[Nº Venda]]&gt;1,1,0)</f>
        <v>0</v>
      </c>
    </row>
    <row r="18" spans="2:18" ht="15" x14ac:dyDescent="0.25">
      <c r="B18" s="126" t="s">
        <v>12</v>
      </c>
      <c r="C18" s="126"/>
      <c r="D18" s="2"/>
      <c r="E18" s="69"/>
      <c r="F18" s="64"/>
      <c r="G18" s="65"/>
      <c r="H18" s="66"/>
      <c r="I18" s="66"/>
      <c r="J18" s="2"/>
      <c r="K18" s="64"/>
      <c r="L18" s="74"/>
      <c r="M18" s="75"/>
      <c r="R18" s="1">
        <f>IF(vend14[[#This Row],[Nº Venda]]&gt;1,1,0)</f>
        <v>0</v>
      </c>
    </row>
    <row r="19" spans="2:18" ht="15" x14ac:dyDescent="0.25">
      <c r="B19" s="30">
        <f>COUNT(entr_carn14[OS])</f>
        <v>0</v>
      </c>
      <c r="C19" s="31">
        <f>SUM(entr_carn14[Valor Total])</f>
        <v>0</v>
      </c>
      <c r="D19" s="2"/>
      <c r="E19" s="69"/>
      <c r="F19" s="64"/>
      <c r="G19" s="65"/>
      <c r="H19" s="66"/>
      <c r="I19" s="66"/>
      <c r="J19" s="2"/>
      <c r="K19" s="64"/>
      <c r="L19" s="74"/>
      <c r="M19" s="75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9"/>
      <c r="F20" s="65"/>
      <c r="G20" s="65"/>
      <c r="H20" s="66"/>
      <c r="I20" s="66"/>
      <c r="J20" s="2"/>
      <c r="K20" s="64"/>
      <c r="L20" s="74"/>
      <c r="M20" s="75"/>
      <c r="R20" s="1">
        <f>IF(vend14[[#This Row],[Nº Venda]]&gt;1,1,0)</f>
        <v>0</v>
      </c>
    </row>
    <row r="21" spans="2:18" ht="15" x14ac:dyDescent="0.25">
      <c r="B21" s="2"/>
      <c r="C21" s="2"/>
      <c r="D21" s="2"/>
      <c r="E21" s="69"/>
      <c r="F21" s="64"/>
      <c r="G21" s="65"/>
      <c r="H21" s="66"/>
      <c r="I21" s="66"/>
      <c r="J21" s="2"/>
      <c r="K21" s="64"/>
      <c r="L21" s="74"/>
      <c r="M21" s="75"/>
    </row>
    <row r="22" spans="2:18" ht="15.75" x14ac:dyDescent="0.25">
      <c r="B22" s="28" t="s">
        <v>26</v>
      </c>
      <c r="C22" s="32">
        <f>C5</f>
        <v>0</v>
      </c>
      <c r="D22" s="2"/>
      <c r="E22" s="69"/>
      <c r="F22" s="64"/>
      <c r="G22" s="65"/>
      <c r="H22" s="66"/>
      <c r="I22" s="66"/>
      <c r="J22" s="2"/>
      <c r="K22" s="64"/>
      <c r="L22" s="74"/>
      <c r="M22" s="75"/>
    </row>
    <row r="23" spans="2:18" ht="15" x14ac:dyDescent="0.25">
      <c r="B23" s="2"/>
      <c r="C23" s="2"/>
      <c r="D23" s="2"/>
      <c r="E23" s="70"/>
      <c r="F23" s="71"/>
      <c r="G23" s="71"/>
      <c r="H23" s="72"/>
      <c r="I23" s="73"/>
      <c r="J23" s="2"/>
      <c r="K23" s="64"/>
      <c r="L23" s="74"/>
      <c r="M23" s="75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64"/>
      <c r="L24" s="74"/>
      <c r="M24" s="75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4"/>
      <c r="L25" s="74"/>
      <c r="M25" s="75"/>
    </row>
    <row r="26" spans="2:18" ht="15" x14ac:dyDescent="0.25">
      <c r="B26" s="2"/>
      <c r="C26" s="2"/>
      <c r="D26" s="2"/>
      <c r="E26" s="69"/>
      <c r="F26" s="64"/>
      <c r="G26" s="65"/>
      <c r="H26" s="66"/>
      <c r="I26" s="66"/>
      <c r="J26" s="2"/>
      <c r="K26" s="64"/>
      <c r="L26" s="74"/>
      <c r="M26" s="75"/>
    </row>
    <row r="27" spans="2:18" ht="15" x14ac:dyDescent="0.25">
      <c r="B27" s="2"/>
      <c r="C27" s="2"/>
      <c r="D27" s="2"/>
      <c r="E27" s="69"/>
      <c r="F27" s="64"/>
      <c r="G27" s="65"/>
      <c r="H27" s="66"/>
      <c r="I27" s="66"/>
      <c r="J27" s="2"/>
      <c r="K27" s="64"/>
      <c r="L27" s="74"/>
      <c r="M27" s="75"/>
    </row>
    <row r="28" spans="2:18" ht="15" x14ac:dyDescent="0.25">
      <c r="B28" s="2"/>
      <c r="C28" s="2"/>
      <c r="D28" s="2"/>
      <c r="E28" s="69"/>
      <c r="F28" s="64"/>
      <c r="G28" s="65"/>
      <c r="H28" s="66"/>
      <c r="I28" s="66"/>
      <c r="J28" s="2"/>
      <c r="K28" s="64"/>
      <c r="L28" s="74"/>
      <c r="M28" s="75"/>
    </row>
    <row r="29" spans="2:18" ht="15" x14ac:dyDescent="0.25">
      <c r="B29" s="2"/>
      <c r="C29" s="2"/>
      <c r="D29" s="2"/>
      <c r="E29" s="69"/>
      <c r="F29" s="64"/>
      <c r="G29" s="65"/>
      <c r="H29" s="66"/>
      <c r="I29" s="66"/>
      <c r="J29" s="2"/>
      <c r="K29" s="64"/>
      <c r="L29" s="74"/>
      <c r="M29" s="75"/>
    </row>
    <row r="30" spans="2:18" ht="15" x14ac:dyDescent="0.25">
      <c r="B30" s="2"/>
      <c r="C30" s="2"/>
      <c r="D30" s="2"/>
      <c r="E30" s="69"/>
      <c r="F30" s="78"/>
      <c r="G30" s="65"/>
      <c r="H30" s="66"/>
      <c r="I30" s="66"/>
      <c r="J30" s="2"/>
      <c r="K30" s="64"/>
      <c r="L30" s="74"/>
      <c r="M30" s="75"/>
    </row>
    <row r="31" spans="2:18" ht="15" x14ac:dyDescent="0.25">
      <c r="B31" s="2"/>
      <c r="C31" s="2"/>
      <c r="D31" s="2"/>
      <c r="E31" s="79"/>
      <c r="F31" s="80"/>
      <c r="G31" s="81"/>
      <c r="H31" s="82"/>
      <c r="I31" s="82"/>
      <c r="J31" s="2"/>
      <c r="K31" s="64"/>
      <c r="L31" s="74"/>
      <c r="M31" s="75"/>
    </row>
    <row r="32" spans="2:18" ht="15" x14ac:dyDescent="0.25">
      <c r="B32" s="2"/>
      <c r="C32" s="2"/>
      <c r="E32" s="70"/>
      <c r="F32" s="71"/>
      <c r="G32" s="71"/>
      <c r="H32" s="73"/>
      <c r="I32" s="73"/>
      <c r="K32" s="77"/>
      <c r="L32" s="77"/>
      <c r="M32" s="77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9">
        <v>861</v>
      </c>
      <c r="F35" s="64" t="s">
        <v>164</v>
      </c>
      <c r="G35" s="65" t="s">
        <v>10</v>
      </c>
      <c r="H35" s="66">
        <v>193.14</v>
      </c>
      <c r="I35" s="66" t="s">
        <v>44</v>
      </c>
      <c r="K35" s="64"/>
      <c r="L35" s="84"/>
      <c r="M35" s="75"/>
    </row>
    <row r="36" spans="2:18" ht="15" x14ac:dyDescent="0.25">
      <c r="E36" s="69"/>
      <c r="F36" s="64"/>
      <c r="G36" s="65"/>
      <c r="H36" s="66"/>
      <c r="I36" s="66"/>
      <c r="K36" s="64"/>
      <c r="L36" s="84"/>
      <c r="M36" s="75"/>
    </row>
    <row r="37" spans="2:18" ht="15" x14ac:dyDescent="0.25">
      <c r="E37" s="69"/>
      <c r="F37" s="64"/>
      <c r="G37" s="65"/>
      <c r="H37" s="66"/>
      <c r="I37" s="66"/>
      <c r="K37" s="64"/>
      <c r="L37" s="84"/>
      <c r="M37" s="75"/>
    </row>
    <row r="38" spans="2:18" ht="15" x14ac:dyDescent="0.25">
      <c r="E38" s="69"/>
      <c r="F38" s="64"/>
      <c r="G38" s="65"/>
      <c r="H38" s="66"/>
      <c r="I38" s="66"/>
      <c r="K38" s="64"/>
      <c r="L38" s="84"/>
      <c r="M38" s="75"/>
    </row>
    <row r="39" spans="2:18" ht="15" x14ac:dyDescent="0.25">
      <c r="E39" s="69"/>
      <c r="F39" s="78"/>
      <c r="G39" s="65"/>
      <c r="H39" s="66"/>
      <c r="I39" s="66"/>
      <c r="K39" s="64"/>
      <c r="L39" s="84"/>
      <c r="M39" s="75"/>
    </row>
    <row r="40" spans="2:18" ht="15" x14ac:dyDescent="0.25">
      <c r="E40" s="79"/>
      <c r="F40" s="80"/>
      <c r="G40" s="81"/>
      <c r="H40" s="82"/>
      <c r="I40" s="66"/>
      <c r="K40" s="80"/>
      <c r="L40" s="85"/>
      <c r="M40" s="86"/>
      <c r="Q40" s="1" t="s">
        <v>36</v>
      </c>
      <c r="R40" s="1">
        <f>SUM(R6:R21)</f>
        <v>0</v>
      </c>
    </row>
    <row r="41" spans="2:18" ht="15" x14ac:dyDescent="0.25">
      <c r="E41" s="83"/>
      <c r="F41" s="78"/>
      <c r="G41" s="65"/>
      <c r="H41" s="66"/>
      <c r="I41" s="66"/>
      <c r="K41" s="87"/>
      <c r="L41" s="84"/>
      <c r="M41" s="8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3" zoomScale="80" zoomScaleNormal="80" workbookViewId="0">
      <selection activeCell="X23" sqref="X23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3">
        <f>'14'!B1+1</f>
        <v>45519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100</v>
      </c>
      <c r="D6" s="2"/>
      <c r="E6" s="69"/>
      <c r="F6" s="64"/>
      <c r="G6" s="89"/>
      <c r="H6" s="66"/>
      <c r="I6" s="66"/>
      <c r="J6" s="2"/>
      <c r="K6" s="64"/>
      <c r="L6" s="74"/>
      <c r="M6" s="75"/>
      <c r="R6" s="1">
        <f>IF(vend15[[#This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9"/>
      <c r="F7" s="64"/>
      <c r="G7" s="89"/>
      <c r="H7" s="66"/>
      <c r="I7" s="66"/>
      <c r="J7" s="2"/>
      <c r="K7" s="64"/>
      <c r="L7" s="74"/>
      <c r="M7" s="75"/>
      <c r="R7" s="1">
        <f>IF(vend15[[#This Row],[Nº Venda]]&gt;1,1,0)</f>
        <v>0</v>
      </c>
    </row>
    <row r="8" spans="2:18" ht="15.75" x14ac:dyDescent="0.25">
      <c r="B8" s="28" t="s">
        <v>21</v>
      </c>
      <c r="C8" s="29">
        <f>SUM(C6:C7)</f>
        <v>100</v>
      </c>
      <c r="D8" s="2"/>
      <c r="E8" s="69"/>
      <c r="F8" s="64"/>
      <c r="G8" s="65"/>
      <c r="H8" s="66"/>
      <c r="I8" s="66"/>
      <c r="J8" s="2"/>
      <c r="K8" s="64"/>
      <c r="L8" s="74"/>
      <c r="M8" s="75"/>
      <c r="R8" s="1">
        <f>IF(vend15[[#This Row],[Nº Venda]]&gt;1,1,0)</f>
        <v>0</v>
      </c>
    </row>
    <row r="9" spans="2:18" ht="15" x14ac:dyDescent="0.25">
      <c r="B9" s="2"/>
      <c r="C9" s="2"/>
      <c r="D9" s="2"/>
      <c r="E9" s="69"/>
      <c r="F9" s="64"/>
      <c r="G9" s="65"/>
      <c r="H9" s="66"/>
      <c r="I9" s="66"/>
      <c r="J9" s="2"/>
      <c r="K9" s="64"/>
      <c r="L9" s="74"/>
      <c r="M9" s="75"/>
      <c r="R9" s="1">
        <f>IF(vend15[[#This Row],[Nº Venda]]&gt;1,1,0)</f>
        <v>0</v>
      </c>
    </row>
    <row r="10" spans="2:18" ht="15" x14ac:dyDescent="0.25">
      <c r="B10" s="126" t="s">
        <v>5</v>
      </c>
      <c r="C10" s="126"/>
      <c r="D10" s="2"/>
      <c r="E10" s="69"/>
      <c r="F10" s="64"/>
      <c r="G10" s="65"/>
      <c r="H10" s="66"/>
      <c r="I10" s="66"/>
      <c r="J10" s="2"/>
      <c r="K10" s="64"/>
      <c r="L10" s="74"/>
      <c r="M10" s="75"/>
      <c r="R10" s="1">
        <f>IF(vend15[[#This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69"/>
      <c r="F11" s="64"/>
      <c r="G11" s="65"/>
      <c r="H11" s="66"/>
      <c r="I11" s="66"/>
      <c r="J11" s="2"/>
      <c r="K11" s="76"/>
      <c r="L11" s="74"/>
      <c r="M11" s="75"/>
      <c r="O11" s="1">
        <f>IF(C16=0,0,1)</f>
        <v>1</v>
      </c>
      <c r="R11" s="1">
        <f>IF(vend15[[#This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9"/>
      <c r="F12" s="64"/>
      <c r="G12" s="65"/>
      <c r="H12" s="66"/>
      <c r="I12" s="66"/>
      <c r="J12" s="2"/>
      <c r="K12" s="77"/>
      <c r="L12" s="77"/>
      <c r="M12" s="77"/>
      <c r="R12" s="1">
        <f>IF(vend15[[#This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9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IF(vend15[[#This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9"/>
      <c r="F14" s="64"/>
      <c r="G14" s="65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" x14ac:dyDescent="0.25">
      <c r="B15" s="30" t="s">
        <v>10</v>
      </c>
      <c r="C15" s="31">
        <f t="shared" si="0"/>
        <v>100</v>
      </c>
      <c r="D15" s="2"/>
      <c r="E15" s="69"/>
      <c r="F15" s="64"/>
      <c r="G15" s="65"/>
      <c r="H15" s="66"/>
      <c r="I15" s="66"/>
      <c r="J15" s="2"/>
      <c r="K15" s="64"/>
      <c r="L15" s="9"/>
      <c r="M15" s="75"/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100</v>
      </c>
      <c r="D16" s="2"/>
      <c r="E16" s="69"/>
      <c r="F16" s="64"/>
      <c r="G16" s="65"/>
      <c r="H16" s="66"/>
      <c r="I16" s="66"/>
      <c r="J16" s="2"/>
      <c r="K16" s="25"/>
      <c r="L16" s="9"/>
      <c r="M16" s="16"/>
      <c r="R16" s="1">
        <f>IF(vend15[[#This Row],[Nº Venda]]&gt;1,1,0)</f>
        <v>0</v>
      </c>
    </row>
    <row r="17" spans="2:18" ht="15" x14ac:dyDescent="0.25">
      <c r="B17" s="2"/>
      <c r="C17" s="2"/>
      <c r="D17" s="2"/>
      <c r="E17" s="69"/>
      <c r="F17" s="64"/>
      <c r="G17" s="65"/>
      <c r="H17" s="66"/>
      <c r="I17" s="66"/>
      <c r="J17" s="2"/>
      <c r="K17" s="25"/>
      <c r="L17" s="9"/>
      <c r="M17" s="16"/>
      <c r="R17" s="1">
        <f>IF(vend15[[#This Row],[Nº Venda]]&gt;1,1,0)</f>
        <v>0</v>
      </c>
    </row>
    <row r="18" spans="2:18" ht="15" x14ac:dyDescent="0.25">
      <c r="B18" s="126" t="s">
        <v>12</v>
      </c>
      <c r="C18" s="126"/>
      <c r="D18" s="2"/>
      <c r="E18" s="69"/>
      <c r="F18" s="64"/>
      <c r="G18" s="65"/>
      <c r="H18" s="66"/>
      <c r="I18" s="66"/>
      <c r="J18" s="2"/>
      <c r="K18" s="25"/>
      <c r="L18" s="9"/>
      <c r="M18" s="16"/>
      <c r="R18" s="1">
        <f>IF(vend15[[#This Row],[Nº Venda]]&gt;1,1,0)</f>
        <v>0</v>
      </c>
    </row>
    <row r="19" spans="2:18" ht="15" x14ac:dyDescent="0.25">
      <c r="B19" s="30">
        <f>COUNT(entr_carn15[OS])</f>
        <v>0</v>
      </c>
      <c r="C19" s="31">
        <f>SUM(entr_carn15[Valor Total])</f>
        <v>0</v>
      </c>
      <c r="D19" s="2"/>
      <c r="E19" s="69"/>
      <c r="F19" s="64"/>
      <c r="G19" s="65"/>
      <c r="H19" s="66"/>
      <c r="I19" s="66"/>
      <c r="J19" s="2"/>
      <c r="K19" s="64"/>
      <c r="L19" s="9"/>
      <c r="M19" s="75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9"/>
      <c r="F20" s="65"/>
      <c r="G20" s="65"/>
      <c r="H20" s="66"/>
      <c r="I20" s="66"/>
      <c r="J20" s="2"/>
      <c r="K20" s="25"/>
      <c r="L20" s="9"/>
      <c r="M20" s="16"/>
      <c r="R20" s="1">
        <f>IF(vend15[[#This Row],[Nº Venda]]&gt;1,1,0)</f>
        <v>0</v>
      </c>
    </row>
    <row r="21" spans="2:18" ht="15" x14ac:dyDescent="0.25">
      <c r="B21" s="2"/>
      <c r="C21" s="2"/>
      <c r="D21" s="2"/>
      <c r="E21" s="69"/>
      <c r="F21" s="64"/>
      <c r="G21" s="65"/>
      <c r="H21" s="66"/>
      <c r="I21" s="66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69"/>
      <c r="F22" s="64"/>
      <c r="G22" s="65"/>
      <c r="H22" s="66"/>
      <c r="I22" s="66"/>
      <c r="J22" s="2"/>
      <c r="K22" s="25"/>
      <c r="L22" s="9"/>
      <c r="M22" s="16"/>
    </row>
    <row r="23" spans="2:18" ht="15" x14ac:dyDescent="0.25">
      <c r="B23" s="2"/>
      <c r="C23" s="2"/>
      <c r="D23" s="2"/>
      <c r="E23" s="70"/>
      <c r="F23" s="71"/>
      <c r="G23" s="71"/>
      <c r="H23" s="72"/>
      <c r="I23" s="73"/>
      <c r="J23" s="2"/>
      <c r="K23" s="25"/>
      <c r="L23" s="9"/>
      <c r="M23" s="16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" x14ac:dyDescent="0.25">
      <c r="B26" s="2"/>
      <c r="C26" s="2"/>
      <c r="D26" s="2"/>
      <c r="E26" s="69">
        <v>964</v>
      </c>
      <c r="F26" s="64" t="s">
        <v>165</v>
      </c>
      <c r="G26" s="89" t="s">
        <v>10</v>
      </c>
      <c r="H26" s="66"/>
      <c r="I26" s="66">
        <v>100</v>
      </c>
      <c r="J26" s="2"/>
      <c r="K26" s="25"/>
      <c r="L26" s="9"/>
      <c r="M26" s="16"/>
    </row>
    <row r="27" spans="2:18" ht="15" x14ac:dyDescent="0.25">
      <c r="B27" s="2"/>
      <c r="C27" s="2"/>
      <c r="D27" s="2"/>
      <c r="E27" s="69"/>
      <c r="F27" s="64"/>
      <c r="G27" s="65"/>
      <c r="H27" s="66"/>
      <c r="I27" s="66"/>
      <c r="J27" s="2"/>
      <c r="K27" s="25"/>
      <c r="L27" s="9"/>
      <c r="M27" s="16"/>
    </row>
    <row r="28" spans="2:18" ht="15" x14ac:dyDescent="0.25">
      <c r="B28" s="2"/>
      <c r="C28" s="2"/>
      <c r="D28" s="2"/>
      <c r="E28" s="69"/>
      <c r="F28" s="64"/>
      <c r="G28" s="65"/>
      <c r="H28" s="66"/>
      <c r="I28" s="66"/>
      <c r="J28" s="2"/>
      <c r="K28" s="25"/>
      <c r="L28" s="9"/>
      <c r="M28" s="16"/>
    </row>
    <row r="29" spans="2:18" ht="15" x14ac:dyDescent="0.25">
      <c r="B29" s="2"/>
      <c r="C29" s="2"/>
      <c r="D29" s="2"/>
      <c r="E29" s="69"/>
      <c r="F29" s="64"/>
      <c r="G29" s="65"/>
      <c r="H29" s="66"/>
      <c r="I29" s="66"/>
      <c r="J29" s="2"/>
      <c r="K29" s="25"/>
      <c r="L29" s="9"/>
      <c r="M29" s="16"/>
    </row>
    <row r="30" spans="2:18" ht="15" x14ac:dyDescent="0.25">
      <c r="B30" s="2"/>
      <c r="C30" s="2"/>
      <c r="D30" s="2"/>
      <c r="E30" s="69"/>
      <c r="F30" s="78"/>
      <c r="G30" s="65"/>
      <c r="H30" s="66"/>
      <c r="I30" s="66"/>
      <c r="J30" s="2"/>
      <c r="K30" s="25"/>
      <c r="L30" s="9"/>
      <c r="M30" s="16"/>
    </row>
    <row r="31" spans="2:18" ht="15" x14ac:dyDescent="0.25">
      <c r="B31" s="2"/>
      <c r="C31" s="2"/>
      <c r="D31" s="2"/>
      <c r="E31" s="79"/>
      <c r="F31" s="80"/>
      <c r="G31" s="81"/>
      <c r="H31" s="82"/>
      <c r="I31" s="82"/>
      <c r="J31" s="2"/>
      <c r="K31" s="25"/>
      <c r="L31" s="9"/>
      <c r="M31" s="16"/>
    </row>
    <row r="32" spans="2:18" ht="15" x14ac:dyDescent="0.25">
      <c r="B32" s="2"/>
      <c r="C32" s="2"/>
      <c r="E32" s="70"/>
      <c r="F32" s="71"/>
      <c r="G32" s="71"/>
      <c r="H32" s="73"/>
      <c r="I32" s="73"/>
      <c r="K32" s="124"/>
      <c r="L32" s="124"/>
      <c r="M32" s="124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9"/>
      <c r="F35" s="64"/>
      <c r="G35" s="65"/>
      <c r="H35" s="66"/>
      <c r="I35" s="66"/>
      <c r="K35" s="64"/>
      <c r="L35" s="84"/>
      <c r="M35" s="75"/>
    </row>
    <row r="36" spans="2:18" ht="15" x14ac:dyDescent="0.25">
      <c r="E36" s="69"/>
      <c r="F36" s="64"/>
      <c r="G36" s="65"/>
      <c r="H36" s="66"/>
      <c r="I36" s="66"/>
      <c r="K36" s="64"/>
      <c r="L36" s="84"/>
      <c r="M36" s="75"/>
    </row>
    <row r="37" spans="2:18" ht="15" x14ac:dyDescent="0.25">
      <c r="E37" s="69"/>
      <c r="F37" s="64"/>
      <c r="G37" s="65"/>
      <c r="H37" s="66"/>
      <c r="I37" s="66"/>
      <c r="K37" s="64"/>
      <c r="L37" s="84"/>
      <c r="M37" s="75"/>
    </row>
    <row r="38" spans="2:18" ht="15" x14ac:dyDescent="0.25">
      <c r="E38" s="69"/>
      <c r="F38" s="64"/>
      <c r="G38" s="65"/>
      <c r="H38" s="66"/>
      <c r="I38" s="66"/>
      <c r="K38" s="64"/>
      <c r="L38" s="84"/>
      <c r="M38" s="75"/>
    </row>
    <row r="39" spans="2:18" ht="15" x14ac:dyDescent="0.25">
      <c r="E39" s="69"/>
      <c r="F39" s="78"/>
      <c r="G39" s="65"/>
      <c r="H39" s="66"/>
      <c r="I39" s="66"/>
      <c r="K39" s="64"/>
      <c r="L39" s="84"/>
      <c r="M39" s="75"/>
    </row>
    <row r="40" spans="2:18" ht="15" x14ac:dyDescent="0.25">
      <c r="E40" s="79"/>
      <c r="F40" s="80"/>
      <c r="G40" s="81"/>
      <c r="H40" s="82"/>
      <c r="I40" s="66"/>
      <c r="K40" s="80"/>
      <c r="L40" s="85"/>
      <c r="M40" s="86"/>
      <c r="Q40" s="1" t="s">
        <v>36</v>
      </c>
      <c r="R40" s="1">
        <f>SUM(R6:R21)</f>
        <v>0</v>
      </c>
    </row>
    <row r="41" spans="2:18" ht="15" x14ac:dyDescent="0.25">
      <c r="E41" s="83"/>
      <c r="F41" s="78"/>
      <c r="G41" s="65"/>
      <c r="H41" s="66"/>
      <c r="I41" s="66"/>
      <c r="K41" s="87"/>
      <c r="L41" s="84"/>
      <c r="M41" s="8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C1" zoomScale="80" zoomScaleNormal="80" workbookViewId="0">
      <selection activeCell="L18" sqref="L18"/>
    </sheetView>
  </sheetViews>
  <sheetFormatPr defaultColWidth="9.140625" defaultRowHeight="12.75" x14ac:dyDescent="0.2"/>
  <cols>
    <col min="1" max="1" width="0.7109375" style="1" customWidth="1"/>
    <col min="2" max="2" width="27.85546875" style="1" bestFit="1" customWidth="1"/>
    <col min="3" max="3" width="14" style="1" customWidth="1"/>
    <col min="4" max="4" width="0.855468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1.28515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3">
        <f>'15'!B1+1</f>
        <v>45520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310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150</v>
      </c>
      <c r="D6" s="2"/>
      <c r="E6" s="69">
        <v>983</v>
      </c>
      <c r="F6" s="64" t="s">
        <v>166</v>
      </c>
      <c r="G6" s="89" t="s">
        <v>7</v>
      </c>
      <c r="H6" s="66">
        <v>50</v>
      </c>
      <c r="I6" s="66">
        <v>50</v>
      </c>
      <c r="J6" s="2"/>
      <c r="K6" s="64"/>
      <c r="L6" s="74"/>
      <c r="M6" s="75"/>
      <c r="R6" s="1">
        <f>IF(vend16[[#This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69">
        <v>984</v>
      </c>
      <c r="F7" s="64" t="s">
        <v>143</v>
      </c>
      <c r="G7" s="89" t="s">
        <v>6</v>
      </c>
      <c r="H7" s="66">
        <v>260</v>
      </c>
      <c r="I7" s="66">
        <v>100</v>
      </c>
      <c r="J7" s="2"/>
      <c r="K7" s="64"/>
      <c r="L7" s="74"/>
      <c r="M7" s="75"/>
      <c r="R7" s="1">
        <f>IF(vend16[[#This Row],[Nº Venda]]&gt;1,1,0)</f>
        <v>1</v>
      </c>
    </row>
    <row r="8" spans="2:18" ht="15.75" x14ac:dyDescent="0.25">
      <c r="B8" s="28" t="s">
        <v>21</v>
      </c>
      <c r="C8" s="29">
        <f>SUM(C6:C7)</f>
        <v>150</v>
      </c>
      <c r="D8" s="2"/>
      <c r="E8" s="69"/>
      <c r="F8" s="64"/>
      <c r="G8" s="65"/>
      <c r="H8" s="66"/>
      <c r="I8" s="66"/>
      <c r="J8" s="2"/>
      <c r="K8" s="64"/>
      <c r="L8" s="74"/>
      <c r="M8" s="75"/>
      <c r="R8" s="1">
        <f>IF(vend16[[#This Row],[Nº Venda]]&gt;1,1,0)</f>
        <v>0</v>
      </c>
    </row>
    <row r="9" spans="2:18" ht="15" x14ac:dyDescent="0.25">
      <c r="B9" s="2"/>
      <c r="C9" s="2"/>
      <c r="D9" s="2"/>
      <c r="E9" s="69"/>
      <c r="F9" s="64"/>
      <c r="G9" s="65"/>
      <c r="H9" s="66"/>
      <c r="I9" s="66"/>
      <c r="J9" s="2"/>
      <c r="K9" s="64"/>
      <c r="L9" s="74"/>
      <c r="M9" s="75"/>
      <c r="R9" s="1">
        <f>IF(vend16[[#This Row],[Nº Venda]]&gt;1,1,0)</f>
        <v>0</v>
      </c>
    </row>
    <row r="10" spans="2:18" ht="15" x14ac:dyDescent="0.25">
      <c r="B10" s="126" t="s">
        <v>5</v>
      </c>
      <c r="C10" s="126"/>
      <c r="D10" s="2"/>
      <c r="E10" s="69"/>
      <c r="F10" s="64"/>
      <c r="G10" s="65"/>
      <c r="H10" s="66"/>
      <c r="I10" s="66"/>
      <c r="J10" s="2"/>
      <c r="K10" s="64"/>
      <c r="L10" s="74"/>
      <c r="M10" s="75"/>
      <c r="R10" s="1">
        <f>IF(vend16[[#This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100</v>
      </c>
      <c r="D11" s="2"/>
      <c r="E11" s="69"/>
      <c r="F11" s="64"/>
      <c r="G11" s="65"/>
      <c r="H11" s="66"/>
      <c r="I11" s="66"/>
      <c r="J11" s="2"/>
      <c r="K11" s="76"/>
      <c r="L11" s="74"/>
      <c r="M11" s="75"/>
      <c r="O11" s="1">
        <f>IF(C16=0,0,1)</f>
        <v>1</v>
      </c>
      <c r="R11" s="1">
        <f>IF(vend16[[#This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69"/>
      <c r="F12" s="64"/>
      <c r="G12" s="65"/>
      <c r="H12" s="66"/>
      <c r="I12" s="66"/>
      <c r="J12" s="2"/>
      <c r="K12" s="77"/>
      <c r="L12" s="77"/>
      <c r="M12" s="77"/>
      <c r="R12" s="1">
        <f>IF(vend16[[#This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9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IF(vend16[[#This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9"/>
      <c r="F14" s="64"/>
      <c r="G14" s="65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9"/>
      <c r="F15" s="64"/>
      <c r="G15" s="65"/>
      <c r="H15" s="66"/>
      <c r="I15" s="66"/>
      <c r="J15" s="2"/>
      <c r="K15" s="64">
        <v>969</v>
      </c>
      <c r="L15" s="74" t="s">
        <v>140</v>
      </c>
      <c r="M15" s="75" t="s">
        <v>151</v>
      </c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150</v>
      </c>
      <c r="D16" s="2"/>
      <c r="E16" s="69"/>
      <c r="F16" s="64"/>
      <c r="G16" s="65"/>
      <c r="H16" s="66"/>
      <c r="I16" s="66"/>
      <c r="J16" s="2"/>
      <c r="K16" s="64">
        <v>983</v>
      </c>
      <c r="L16" s="74" t="s">
        <v>140</v>
      </c>
      <c r="M16" s="75" t="s">
        <v>146</v>
      </c>
      <c r="R16" s="1">
        <f>IF(vend16[[#This Row],[Nº Venda]]&gt;1,1,0)</f>
        <v>0</v>
      </c>
    </row>
    <row r="17" spans="2:18" ht="15" x14ac:dyDescent="0.25">
      <c r="B17" s="2"/>
      <c r="C17" s="2"/>
      <c r="D17" s="2"/>
      <c r="E17" s="69"/>
      <c r="F17" s="64"/>
      <c r="G17" s="65"/>
      <c r="H17" s="66"/>
      <c r="I17" s="66"/>
      <c r="J17" s="2"/>
      <c r="K17" s="50"/>
      <c r="L17" s="74"/>
      <c r="M17" s="55"/>
      <c r="R17" s="1">
        <f>IF(vend16[[#This Row],[Nº Venda]]&gt;1,1,0)</f>
        <v>0</v>
      </c>
    </row>
    <row r="18" spans="2:18" ht="15" x14ac:dyDescent="0.25">
      <c r="B18" s="126" t="s">
        <v>12</v>
      </c>
      <c r="C18" s="126"/>
      <c r="D18" s="2"/>
      <c r="E18" s="69"/>
      <c r="F18" s="64"/>
      <c r="G18" s="65"/>
      <c r="H18" s="66"/>
      <c r="I18" s="66"/>
      <c r="J18" s="2"/>
      <c r="K18" s="64"/>
      <c r="L18" s="74"/>
      <c r="M18" s="75"/>
      <c r="R18" s="1">
        <f>IF(vend16[[#This Row],[Nº Venda]]&gt;1,1,0)</f>
        <v>0</v>
      </c>
    </row>
    <row r="19" spans="2:18" ht="15" x14ac:dyDescent="0.25">
      <c r="B19" s="30">
        <f>COUNT(entr_carn16[OS])</f>
        <v>1</v>
      </c>
      <c r="C19" s="31">
        <f>SUM(entr_carn16[Valor Total])</f>
        <v>989</v>
      </c>
      <c r="D19" s="2"/>
      <c r="E19" s="69"/>
      <c r="F19" s="64"/>
      <c r="G19" s="65"/>
      <c r="H19" s="66"/>
      <c r="I19" s="66"/>
      <c r="J19" s="2"/>
      <c r="K19" s="64"/>
      <c r="L19" s="74"/>
      <c r="M19" s="75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989</v>
      </c>
      <c r="D20" s="2"/>
      <c r="E20" s="69"/>
      <c r="F20" s="65"/>
      <c r="G20" s="65"/>
      <c r="H20" s="66"/>
      <c r="I20" s="66"/>
      <c r="J20" s="2"/>
      <c r="K20" s="64"/>
      <c r="L20" s="74"/>
      <c r="M20" s="75"/>
      <c r="R20" s="1">
        <f>IF(vend16[[#This Row],[Nº Venda]]&gt;1,1,0)</f>
        <v>0</v>
      </c>
    </row>
    <row r="21" spans="2:18" ht="15" x14ac:dyDescent="0.25">
      <c r="B21" s="2"/>
      <c r="C21" s="2"/>
      <c r="D21" s="2"/>
      <c r="E21" s="69"/>
      <c r="F21" s="64"/>
      <c r="G21" s="65"/>
      <c r="H21" s="66"/>
      <c r="I21" s="66"/>
      <c r="J21" s="2"/>
      <c r="K21" s="64"/>
      <c r="L21" s="74"/>
      <c r="M21" s="75"/>
    </row>
    <row r="22" spans="2:18" ht="15.75" x14ac:dyDescent="0.25">
      <c r="B22" s="28" t="s">
        <v>26</v>
      </c>
      <c r="C22" s="32">
        <f>C5</f>
        <v>310</v>
      </c>
      <c r="D22" s="2"/>
      <c r="E22" s="69"/>
      <c r="F22" s="64"/>
      <c r="G22" s="65"/>
      <c r="H22" s="66"/>
      <c r="I22" s="66"/>
      <c r="J22" s="2"/>
      <c r="K22" s="64"/>
      <c r="L22" s="74"/>
      <c r="M22" s="75"/>
    </row>
    <row r="23" spans="2:18" ht="15" x14ac:dyDescent="0.25">
      <c r="B23" s="2"/>
      <c r="C23" s="2"/>
      <c r="D23" s="2"/>
      <c r="E23" s="70"/>
      <c r="F23" s="71"/>
      <c r="G23" s="71"/>
      <c r="H23" s="72"/>
      <c r="I23" s="73"/>
      <c r="J23" s="2"/>
      <c r="K23" s="64"/>
      <c r="L23" s="74"/>
      <c r="M23" s="75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64"/>
      <c r="L24" s="74"/>
      <c r="M24" s="75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4"/>
      <c r="L25" s="74"/>
      <c r="M25" s="75"/>
    </row>
    <row r="26" spans="2:18" ht="15" x14ac:dyDescent="0.25">
      <c r="B26" s="2"/>
      <c r="C26" s="2"/>
      <c r="D26" s="2"/>
      <c r="E26" s="69"/>
      <c r="F26" s="64"/>
      <c r="G26" s="89"/>
      <c r="H26" s="66"/>
      <c r="I26" s="66"/>
      <c r="J26" s="2"/>
      <c r="K26" s="64"/>
      <c r="L26" s="74"/>
      <c r="M26" s="75"/>
    </row>
    <row r="27" spans="2:18" ht="15" x14ac:dyDescent="0.25">
      <c r="B27" s="2"/>
      <c r="C27" s="2"/>
      <c r="D27" s="2"/>
      <c r="E27" s="69"/>
      <c r="F27" s="64"/>
      <c r="G27" s="65"/>
      <c r="H27" s="66"/>
      <c r="I27" s="66"/>
      <c r="J27" s="2"/>
      <c r="K27" s="64"/>
      <c r="L27" s="74"/>
      <c r="M27" s="75"/>
    </row>
    <row r="28" spans="2:18" ht="15" x14ac:dyDescent="0.25">
      <c r="B28" s="2"/>
      <c r="C28" s="2"/>
      <c r="D28" s="2"/>
      <c r="E28" s="69"/>
      <c r="F28" s="64"/>
      <c r="G28" s="65"/>
      <c r="H28" s="66"/>
      <c r="I28" s="66"/>
      <c r="J28" s="2"/>
      <c r="K28" s="64"/>
      <c r="L28" s="74"/>
      <c r="M28" s="75"/>
    </row>
    <row r="29" spans="2:18" ht="15" x14ac:dyDescent="0.25">
      <c r="B29" s="2"/>
      <c r="C29" s="2"/>
      <c r="D29" s="2"/>
      <c r="E29" s="69"/>
      <c r="F29" s="64"/>
      <c r="G29" s="65"/>
      <c r="H29" s="66"/>
      <c r="I29" s="66"/>
      <c r="J29" s="2"/>
      <c r="K29" s="64"/>
      <c r="L29" s="74"/>
      <c r="M29" s="75"/>
    </row>
    <row r="30" spans="2:18" ht="15" x14ac:dyDescent="0.25">
      <c r="B30" s="2"/>
      <c r="C30" s="2"/>
      <c r="D30" s="2"/>
      <c r="E30" s="69"/>
      <c r="F30" s="78"/>
      <c r="G30" s="65"/>
      <c r="H30" s="66"/>
      <c r="I30" s="66"/>
      <c r="J30" s="2"/>
      <c r="K30" s="64"/>
      <c r="L30" s="74"/>
      <c r="M30" s="75"/>
    </row>
    <row r="31" spans="2:18" ht="15" x14ac:dyDescent="0.25">
      <c r="B31" s="2"/>
      <c r="C31" s="2"/>
      <c r="D31" s="2"/>
      <c r="E31" s="79"/>
      <c r="F31" s="80"/>
      <c r="G31" s="81"/>
      <c r="H31" s="82"/>
      <c r="I31" s="82"/>
      <c r="J31" s="2"/>
      <c r="K31" s="64"/>
      <c r="L31" s="74"/>
      <c r="M31" s="75"/>
    </row>
    <row r="32" spans="2:18" ht="15" x14ac:dyDescent="0.25">
      <c r="B32" s="2"/>
      <c r="C32" s="2"/>
      <c r="E32" s="70"/>
      <c r="F32" s="71"/>
      <c r="G32" s="71"/>
      <c r="H32" s="73"/>
      <c r="I32" s="73"/>
      <c r="K32" s="77"/>
      <c r="L32" s="77"/>
      <c r="M32" s="77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9"/>
      <c r="F35" s="64"/>
      <c r="G35" s="65"/>
      <c r="H35" s="66"/>
      <c r="I35" s="66"/>
      <c r="K35" s="98">
        <v>969</v>
      </c>
      <c r="L35" s="84">
        <v>8</v>
      </c>
      <c r="M35" s="75">
        <v>989</v>
      </c>
    </row>
    <row r="36" spans="2:18" ht="15" x14ac:dyDescent="0.25">
      <c r="E36" s="69"/>
      <c r="F36" s="64"/>
      <c r="G36" s="65"/>
      <c r="H36" s="66"/>
      <c r="I36" s="66"/>
      <c r="K36" s="64"/>
      <c r="L36" s="84"/>
      <c r="M36" s="75"/>
    </row>
    <row r="37" spans="2:18" ht="15" x14ac:dyDescent="0.25">
      <c r="E37" s="69"/>
      <c r="F37" s="64"/>
      <c r="G37" s="65"/>
      <c r="H37" s="66"/>
      <c r="I37" s="66"/>
      <c r="K37" s="64"/>
      <c r="L37" s="84"/>
      <c r="M37" s="75"/>
    </row>
    <row r="38" spans="2:18" ht="15" x14ac:dyDescent="0.25">
      <c r="E38" s="69"/>
      <c r="F38" s="64"/>
      <c r="G38" s="65"/>
      <c r="H38" s="66"/>
      <c r="I38" s="66"/>
      <c r="K38" s="64"/>
      <c r="L38" s="84"/>
      <c r="M38" s="75"/>
    </row>
    <row r="39" spans="2:18" ht="15" x14ac:dyDescent="0.25">
      <c r="E39" s="69"/>
      <c r="F39" s="78"/>
      <c r="G39" s="65"/>
      <c r="H39" s="66"/>
      <c r="I39" s="66"/>
      <c r="K39" s="64"/>
      <c r="L39" s="84"/>
      <c r="M39" s="75"/>
    </row>
    <row r="40" spans="2:18" ht="15" x14ac:dyDescent="0.25">
      <c r="E40" s="79"/>
      <c r="F40" s="80"/>
      <c r="G40" s="81"/>
      <c r="H40" s="82"/>
      <c r="I40" s="66"/>
      <c r="K40" s="80"/>
      <c r="L40" s="85"/>
      <c r="M40" s="86"/>
      <c r="Q40" s="1" t="s">
        <v>36</v>
      </c>
      <c r="R40" s="1">
        <f>SUM(R6:R21)</f>
        <v>2</v>
      </c>
    </row>
    <row r="41" spans="2:18" ht="15" x14ac:dyDescent="0.25">
      <c r="E41" s="83"/>
      <c r="F41" s="78"/>
      <c r="G41" s="65"/>
      <c r="H41" s="66"/>
      <c r="I41" s="66"/>
      <c r="K41" s="87"/>
      <c r="L41" s="84"/>
      <c r="M41" s="8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80" zoomScaleNormal="8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'16'!B1+1</f>
        <v>45521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9"/>
      <c r="F6" s="64"/>
      <c r="G6" s="65"/>
      <c r="H6" s="66"/>
      <c r="I6" s="66"/>
      <c r="J6" s="2"/>
      <c r="K6" s="64"/>
      <c r="L6" s="74"/>
      <c r="M6" s="75"/>
      <c r="R6" s="1">
        <f>IF(vend17[[#This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9"/>
      <c r="F7" s="64"/>
      <c r="G7" s="65"/>
      <c r="H7" s="66"/>
      <c r="I7" s="66"/>
      <c r="J7" s="2"/>
      <c r="K7" s="64"/>
      <c r="L7" s="74"/>
      <c r="M7" s="75"/>
      <c r="R7" s="1">
        <f>IF(vend17[[#This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69"/>
      <c r="F8" s="64"/>
      <c r="G8" s="65"/>
      <c r="H8" s="66"/>
      <c r="I8" s="66"/>
      <c r="J8" s="2"/>
      <c r="K8" s="64"/>
      <c r="L8" s="74"/>
      <c r="M8" s="75"/>
      <c r="R8" s="1">
        <f>IF(vend17[[#This Row],[Nº Venda]]&gt;1,1,0)</f>
        <v>0</v>
      </c>
    </row>
    <row r="9" spans="2:18" ht="15" x14ac:dyDescent="0.25">
      <c r="B9" s="2"/>
      <c r="C9" s="2"/>
      <c r="D9" s="2"/>
      <c r="E9" s="69"/>
      <c r="F9" s="64"/>
      <c r="G9" s="65"/>
      <c r="H9" s="66"/>
      <c r="I9" s="66"/>
      <c r="J9" s="2"/>
      <c r="K9" s="64"/>
      <c r="L9" s="74"/>
      <c r="M9" s="75"/>
      <c r="R9" s="1">
        <f>IF(vend17[[#This Row],[Nº Venda]]&gt;1,1,0)</f>
        <v>0</v>
      </c>
    </row>
    <row r="10" spans="2:18" ht="15" x14ac:dyDescent="0.25">
      <c r="B10" s="126" t="s">
        <v>5</v>
      </c>
      <c r="C10" s="126"/>
      <c r="D10" s="2"/>
      <c r="E10" s="69"/>
      <c r="F10" s="64"/>
      <c r="G10" s="65"/>
      <c r="H10" s="66"/>
      <c r="I10" s="66"/>
      <c r="J10" s="2"/>
      <c r="K10" s="64"/>
      <c r="L10" s="74"/>
      <c r="M10" s="75"/>
      <c r="R10" s="1">
        <f>IF(vend17[[#This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214</v>
      </c>
      <c r="D11" s="2"/>
      <c r="E11" s="69"/>
      <c r="F11" s="64"/>
      <c r="G11" s="65"/>
      <c r="H11" s="66"/>
      <c r="I11" s="66"/>
      <c r="J11" s="2"/>
      <c r="K11" s="76"/>
      <c r="L11" s="74"/>
      <c r="M11" s="75"/>
      <c r="O11" s="1">
        <f>IF(C16=0,0,1)</f>
        <v>1</v>
      </c>
      <c r="R11" s="1">
        <f>IF(vend17[[#This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9"/>
      <c r="F12" s="64"/>
      <c r="G12" s="65"/>
      <c r="H12" s="66"/>
      <c r="I12" s="66"/>
      <c r="J12" s="2"/>
      <c r="K12" s="77"/>
      <c r="L12" s="77"/>
      <c r="M12" s="77"/>
      <c r="R12" s="1">
        <f>IF(vend17[[#This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9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IF(vend17[[#This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9"/>
      <c r="F14" s="64"/>
      <c r="G14" s="65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9"/>
      <c r="F15" s="64"/>
      <c r="G15" s="65"/>
      <c r="H15" s="66"/>
      <c r="I15" s="66"/>
      <c r="J15" s="2"/>
      <c r="K15" s="64"/>
      <c r="L15" s="74"/>
      <c r="M15" s="75"/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214</v>
      </c>
      <c r="D16" s="2"/>
      <c r="E16" s="69"/>
      <c r="F16" s="64"/>
      <c r="G16" s="65"/>
      <c r="H16" s="66"/>
      <c r="I16" s="66"/>
      <c r="J16" s="2"/>
      <c r="K16" s="64"/>
      <c r="L16" s="74"/>
      <c r="M16" s="75"/>
      <c r="R16" s="1">
        <f>IF(vend17[[#This Row],[Nº Venda]]&gt;1,1,0)</f>
        <v>0</v>
      </c>
    </row>
    <row r="17" spans="2:18" ht="15" x14ac:dyDescent="0.25">
      <c r="B17" s="2"/>
      <c r="C17" s="2"/>
      <c r="D17" s="2"/>
      <c r="E17" s="69"/>
      <c r="F17" s="64"/>
      <c r="G17" s="65"/>
      <c r="H17" s="66"/>
      <c r="I17" s="66"/>
      <c r="J17" s="2"/>
      <c r="K17" s="64"/>
      <c r="L17" s="74"/>
      <c r="M17" s="75"/>
      <c r="R17" s="1">
        <f>IF(vend17[[#This Row],[Nº Venda]]&gt;1,1,0)</f>
        <v>0</v>
      </c>
    </row>
    <row r="18" spans="2:18" ht="15" x14ac:dyDescent="0.25">
      <c r="B18" s="126" t="s">
        <v>12</v>
      </c>
      <c r="C18" s="126"/>
      <c r="D18" s="2"/>
      <c r="E18" s="69"/>
      <c r="F18" s="64"/>
      <c r="G18" s="65"/>
      <c r="H18" s="66"/>
      <c r="I18" s="66"/>
      <c r="J18" s="2"/>
      <c r="K18" s="64"/>
      <c r="L18" s="74"/>
      <c r="M18" s="75"/>
      <c r="R18" s="1">
        <f>IF(vend17[[#This Row],[Nº Venda]]&gt;1,1,0)</f>
        <v>0</v>
      </c>
    </row>
    <row r="19" spans="2:18" ht="15" x14ac:dyDescent="0.25">
      <c r="B19" s="30">
        <f>COUNT(entr_carn17[OS])</f>
        <v>0</v>
      </c>
      <c r="C19" s="31">
        <f>SUM(entr_carn17[Valor Total])</f>
        <v>0</v>
      </c>
      <c r="D19" s="2"/>
      <c r="E19" s="69"/>
      <c r="F19" s="64"/>
      <c r="G19" s="65"/>
      <c r="H19" s="66"/>
      <c r="I19" s="66"/>
      <c r="J19" s="2"/>
      <c r="K19" s="64"/>
      <c r="L19" s="74"/>
      <c r="M19" s="75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9"/>
      <c r="F20" s="65"/>
      <c r="G20" s="65"/>
      <c r="H20" s="66"/>
      <c r="I20" s="66"/>
      <c r="J20" s="2"/>
      <c r="K20" s="64"/>
      <c r="L20" s="74"/>
      <c r="M20" s="75"/>
      <c r="R20" s="1">
        <f>IF(vend17[[#This Row],[Nº Venda]]&gt;1,1,0)</f>
        <v>0</v>
      </c>
    </row>
    <row r="21" spans="2:18" ht="15" x14ac:dyDescent="0.25">
      <c r="B21" s="2"/>
      <c r="C21" s="2"/>
      <c r="D21" s="2"/>
      <c r="E21" s="69"/>
      <c r="F21" s="64"/>
      <c r="G21" s="65"/>
      <c r="H21" s="66"/>
      <c r="I21" s="66"/>
      <c r="J21" s="2"/>
      <c r="K21" s="64"/>
      <c r="L21" s="74"/>
      <c r="M21" s="75"/>
    </row>
    <row r="22" spans="2:18" ht="15.75" x14ac:dyDescent="0.25">
      <c r="B22" s="28" t="s">
        <v>26</v>
      </c>
      <c r="C22" s="32">
        <f>C5</f>
        <v>0</v>
      </c>
      <c r="D22" s="2"/>
      <c r="E22" s="69"/>
      <c r="F22" s="64"/>
      <c r="G22" s="65"/>
      <c r="H22" s="66"/>
      <c r="I22" s="66"/>
      <c r="J22" s="2"/>
      <c r="K22" s="64"/>
      <c r="L22" s="74"/>
      <c r="M22" s="75"/>
    </row>
    <row r="23" spans="2:18" ht="15" x14ac:dyDescent="0.25">
      <c r="B23" s="2"/>
      <c r="C23" s="2"/>
      <c r="D23" s="2"/>
      <c r="E23" s="70"/>
      <c r="F23" s="71"/>
      <c r="G23" s="71"/>
      <c r="H23" s="72"/>
      <c r="I23" s="73"/>
      <c r="J23" s="2"/>
      <c r="K23" s="64"/>
      <c r="L23" s="74"/>
      <c r="M23" s="75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64"/>
      <c r="L24" s="74"/>
      <c r="M24" s="75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4"/>
      <c r="L25" s="74"/>
      <c r="M25" s="75"/>
    </row>
    <row r="26" spans="2:18" ht="15" x14ac:dyDescent="0.25">
      <c r="B26" s="2"/>
      <c r="C26" s="2"/>
      <c r="D26" s="2"/>
      <c r="E26" s="69"/>
      <c r="F26" s="64"/>
      <c r="G26" s="65"/>
      <c r="H26" s="66"/>
      <c r="I26" s="66"/>
      <c r="J26" s="2"/>
      <c r="K26" s="64"/>
      <c r="L26" s="74"/>
      <c r="M26" s="75"/>
    </row>
    <row r="27" spans="2:18" ht="15" x14ac:dyDescent="0.25">
      <c r="B27" s="2"/>
      <c r="C27" s="2"/>
      <c r="D27" s="2"/>
      <c r="E27" s="83"/>
      <c r="F27" s="64"/>
      <c r="G27" s="65"/>
      <c r="H27" s="66"/>
      <c r="I27" s="66"/>
      <c r="J27" s="2"/>
      <c r="K27" s="64"/>
      <c r="L27" s="74"/>
      <c r="M27" s="75"/>
    </row>
    <row r="28" spans="2:18" ht="15" x14ac:dyDescent="0.25">
      <c r="B28" s="2"/>
      <c r="C28" s="2"/>
      <c r="D28" s="2"/>
      <c r="E28" s="69"/>
      <c r="F28" s="64"/>
      <c r="G28" s="65"/>
      <c r="H28" s="66"/>
      <c r="I28" s="66"/>
      <c r="J28" s="2"/>
      <c r="K28" s="64"/>
      <c r="L28" s="74"/>
      <c r="M28" s="75"/>
    </row>
    <row r="29" spans="2:18" ht="15" x14ac:dyDescent="0.25">
      <c r="B29" s="2"/>
      <c r="C29" s="2"/>
      <c r="D29" s="2"/>
      <c r="E29" s="69"/>
      <c r="F29" s="64"/>
      <c r="G29" s="65"/>
      <c r="H29" s="66"/>
      <c r="I29" s="66"/>
      <c r="J29" s="2"/>
      <c r="K29" s="64"/>
      <c r="L29" s="74"/>
      <c r="M29" s="75"/>
    </row>
    <row r="30" spans="2:18" ht="15" x14ac:dyDescent="0.25">
      <c r="B30" s="2"/>
      <c r="C30" s="2"/>
      <c r="D30" s="2"/>
      <c r="E30" s="69"/>
      <c r="F30" s="78"/>
      <c r="G30" s="65"/>
      <c r="H30" s="66"/>
      <c r="I30" s="66"/>
      <c r="J30" s="2"/>
      <c r="K30" s="64"/>
      <c r="L30" s="74"/>
      <c r="M30" s="75"/>
    </row>
    <row r="31" spans="2:18" ht="15" x14ac:dyDescent="0.25">
      <c r="B31" s="2"/>
      <c r="C31" s="2"/>
      <c r="D31" s="2"/>
      <c r="E31" s="79"/>
      <c r="F31" s="80"/>
      <c r="G31" s="81"/>
      <c r="H31" s="82"/>
      <c r="I31" s="82"/>
      <c r="J31" s="2"/>
      <c r="K31" s="64"/>
      <c r="L31" s="74"/>
      <c r="M31" s="75"/>
    </row>
    <row r="32" spans="2:18" ht="15" x14ac:dyDescent="0.25">
      <c r="B32" s="2"/>
      <c r="C32" s="2"/>
      <c r="E32" s="70"/>
      <c r="F32" s="71"/>
      <c r="G32" s="71"/>
      <c r="H32" s="73"/>
      <c r="I32" s="73"/>
      <c r="K32" s="92"/>
      <c r="L32" s="92"/>
      <c r="M32" s="92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9">
        <v>965</v>
      </c>
      <c r="F35" s="64" t="s">
        <v>167</v>
      </c>
      <c r="G35" s="65" t="s">
        <v>6</v>
      </c>
      <c r="H35" s="66">
        <v>214</v>
      </c>
      <c r="I35" s="66" t="s">
        <v>44</v>
      </c>
      <c r="K35" s="64"/>
      <c r="L35" s="84"/>
      <c r="M35" s="75"/>
    </row>
    <row r="36" spans="2:18" ht="15" x14ac:dyDescent="0.25">
      <c r="E36" s="69"/>
      <c r="F36" s="64"/>
      <c r="G36" s="65"/>
      <c r="H36" s="66"/>
      <c r="I36" s="66"/>
      <c r="K36" s="64"/>
      <c r="L36" s="84"/>
      <c r="M36" s="75"/>
    </row>
    <row r="37" spans="2:18" ht="15" x14ac:dyDescent="0.25">
      <c r="E37" s="69"/>
      <c r="F37" s="64"/>
      <c r="G37" s="65"/>
      <c r="H37" s="66"/>
      <c r="I37" s="66"/>
      <c r="K37" s="64"/>
      <c r="L37" s="84"/>
      <c r="M37" s="75"/>
    </row>
    <row r="38" spans="2:18" ht="15" x14ac:dyDescent="0.25">
      <c r="E38" s="69"/>
      <c r="F38" s="64"/>
      <c r="G38" s="65"/>
      <c r="H38" s="66"/>
      <c r="I38" s="66"/>
      <c r="K38" s="64"/>
      <c r="L38" s="84"/>
      <c r="M38" s="75"/>
    </row>
    <row r="39" spans="2:18" ht="15" x14ac:dyDescent="0.25">
      <c r="E39" s="69"/>
      <c r="F39" s="78"/>
      <c r="G39" s="65"/>
      <c r="H39" s="66"/>
      <c r="I39" s="66"/>
      <c r="K39" s="64"/>
      <c r="L39" s="84"/>
      <c r="M39" s="75"/>
    </row>
    <row r="40" spans="2:18" ht="15" x14ac:dyDescent="0.25">
      <c r="E40" s="79"/>
      <c r="F40" s="80"/>
      <c r="G40" s="81"/>
      <c r="H40" s="82"/>
      <c r="I40" s="66"/>
      <c r="K40" s="80"/>
      <c r="L40" s="85"/>
      <c r="M40" s="86"/>
      <c r="Q40" s="1" t="s">
        <v>36</v>
      </c>
      <c r="R40" s="1">
        <f>SUM(R6:R21)</f>
        <v>0</v>
      </c>
    </row>
    <row r="41" spans="2:18" ht="15" x14ac:dyDescent="0.25">
      <c r="E41" s="83"/>
      <c r="F41" s="78"/>
      <c r="G41" s="65"/>
      <c r="H41" s="66"/>
      <c r="I41" s="66"/>
      <c r="K41" s="87"/>
      <c r="L41" s="84"/>
      <c r="M41" s="8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4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7">
        <f>'17'!B1+1</f>
        <v>45522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67"/>
      <c r="F6" s="50"/>
      <c r="G6" s="68"/>
      <c r="H6" s="58"/>
      <c r="I6" s="58"/>
      <c r="J6" s="2"/>
      <c r="K6" s="25"/>
      <c r="L6" s="54"/>
      <c r="M6" s="16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126" t="s">
        <v>5</v>
      </c>
      <c r="C10" s="12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8" t="s">
        <v>22</v>
      </c>
      <c r="L13" s="129"/>
      <c r="M13" s="130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126" t="s">
        <v>12</v>
      </c>
      <c r="C18" s="12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52"/>
      <c r="F23" s="52"/>
      <c r="G23" s="52"/>
      <c r="H23" s="53"/>
      <c r="I23" s="53"/>
      <c r="J23" s="2"/>
      <c r="K23" s="25"/>
      <c r="L23" s="9"/>
      <c r="M23" s="16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zoomScale="80" zoomScaleNormal="80" zoomScaleSheetLayoutView="70" workbookViewId="0">
      <selection activeCell="F36" sqref="F36"/>
    </sheetView>
  </sheetViews>
  <sheetFormatPr defaultColWidth="9.140625" defaultRowHeight="12.75" x14ac:dyDescent="0.2"/>
  <cols>
    <col min="1" max="1" width="0.85546875" style="1" customWidth="1"/>
    <col min="2" max="2" width="27.85546875" style="1" bestFit="1" customWidth="1"/>
    <col min="3" max="3" width="14" style="1" customWidth="1"/>
    <col min="4" max="4" width="1.14062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0.855468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3">
        <f>'18'!B1+1</f>
        <v>45523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600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600</v>
      </c>
      <c r="D6" s="2"/>
      <c r="E6" s="69">
        <v>985</v>
      </c>
      <c r="F6" s="64" t="s">
        <v>170</v>
      </c>
      <c r="G6" s="65" t="s">
        <v>7</v>
      </c>
      <c r="H6" s="66">
        <v>570</v>
      </c>
      <c r="I6" s="66">
        <v>50</v>
      </c>
      <c r="J6" s="2"/>
      <c r="K6" s="64" t="s">
        <v>172</v>
      </c>
      <c r="L6" s="74" t="s">
        <v>10</v>
      </c>
      <c r="M6" s="75">
        <v>12</v>
      </c>
      <c r="R6" s="1">
        <f>IF(vend19[[#This Row],[Nº Venda]]&gt;1,1,0)</f>
        <v>1</v>
      </c>
    </row>
    <row r="7" spans="2:18" ht="15" x14ac:dyDescent="0.25">
      <c r="B7" s="23" t="s">
        <v>3</v>
      </c>
      <c r="C7" s="24">
        <f>SUM(M6:M11)</f>
        <v>12</v>
      </c>
      <c r="D7" s="2"/>
      <c r="E7" s="69">
        <v>985</v>
      </c>
      <c r="F7" s="64" t="s">
        <v>170</v>
      </c>
      <c r="G7" s="65" t="s">
        <v>8</v>
      </c>
      <c r="H7" s="95"/>
      <c r="I7" s="66">
        <v>150</v>
      </c>
      <c r="J7" s="2"/>
      <c r="K7" s="64"/>
      <c r="L7" s="74"/>
      <c r="M7" s="75"/>
      <c r="R7" s="1">
        <f>IF(vend19[[#This Row],[Nº Venda]]&gt;1,1,0)</f>
        <v>1</v>
      </c>
    </row>
    <row r="8" spans="2:18" ht="15.75" x14ac:dyDescent="0.25">
      <c r="B8" s="28" t="s">
        <v>21</v>
      </c>
      <c r="C8" s="29">
        <f>SUM(C6:C7)</f>
        <v>612</v>
      </c>
      <c r="D8" s="2"/>
      <c r="E8" s="69">
        <v>985</v>
      </c>
      <c r="F8" s="64" t="s">
        <v>170</v>
      </c>
      <c r="G8" s="65" t="s">
        <v>8</v>
      </c>
      <c r="H8" s="66"/>
      <c r="I8" s="66">
        <v>370</v>
      </c>
      <c r="J8" s="2"/>
      <c r="K8" s="64"/>
      <c r="L8" s="74"/>
      <c r="M8" s="75"/>
      <c r="R8" s="1">
        <f>IF(vend19[[#This Row],[Nº Venda]]&gt;1,1,0)</f>
        <v>1</v>
      </c>
    </row>
    <row r="9" spans="2:18" ht="15" x14ac:dyDescent="0.25">
      <c r="B9" s="2"/>
      <c r="C9" s="2"/>
      <c r="D9" s="2"/>
      <c r="E9" s="69">
        <v>986</v>
      </c>
      <c r="F9" s="64" t="s">
        <v>171</v>
      </c>
      <c r="G9" s="65" t="s">
        <v>6</v>
      </c>
      <c r="H9" s="66">
        <v>30</v>
      </c>
      <c r="I9" s="66">
        <v>30</v>
      </c>
      <c r="J9" s="2"/>
      <c r="K9" s="64"/>
      <c r="L9" s="74"/>
      <c r="M9" s="75"/>
      <c r="R9" s="1">
        <f>IF(vend19[[#This Row],[Nº Venda]]&gt;1,1,0)</f>
        <v>1</v>
      </c>
    </row>
    <row r="10" spans="2:18" ht="15" x14ac:dyDescent="0.25">
      <c r="B10" s="126" t="s">
        <v>5</v>
      </c>
      <c r="C10" s="126"/>
      <c r="D10" s="2"/>
      <c r="E10" s="69"/>
      <c r="F10" s="64"/>
      <c r="G10" s="65"/>
      <c r="H10" s="66"/>
      <c r="I10" s="66"/>
      <c r="J10" s="2"/>
      <c r="K10" s="64"/>
      <c r="L10" s="74"/>
      <c r="M10" s="75"/>
      <c r="R10" s="1">
        <f>IF(vend19[[#This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320.2</v>
      </c>
      <c r="D11" s="2"/>
      <c r="E11" s="69"/>
      <c r="F11" s="64"/>
      <c r="G11" s="65"/>
      <c r="H11" s="66"/>
      <c r="I11" s="66"/>
      <c r="J11" s="2"/>
      <c r="K11" s="76"/>
      <c r="L11" s="74"/>
      <c r="M11" s="75"/>
      <c r="O11" s="1">
        <f>IF(C16=0,0,1)</f>
        <v>1</v>
      </c>
      <c r="R11" s="1">
        <f>IF(vend19[[#This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69"/>
      <c r="F12" s="64"/>
      <c r="G12" s="65"/>
      <c r="H12" s="66"/>
      <c r="I12" s="66"/>
      <c r="J12" s="2"/>
      <c r="K12" s="77"/>
      <c r="L12" s="77"/>
      <c r="M12" s="77"/>
      <c r="R12" s="1">
        <f>IF(vend19[[#This Row],[Nº Venda]]&gt;1,1,0)</f>
        <v>0</v>
      </c>
    </row>
    <row r="13" spans="2:18" ht="15" x14ac:dyDescent="0.25">
      <c r="B13" s="30" t="s">
        <v>8</v>
      </c>
      <c r="C13" s="31">
        <f t="shared" si="0"/>
        <v>520</v>
      </c>
      <c r="D13" s="2"/>
      <c r="E13" s="69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IF(vend19[[#This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9"/>
      <c r="F14" s="64"/>
      <c r="G14" s="65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9"/>
      <c r="F15" s="64"/>
      <c r="G15" s="65"/>
      <c r="H15" s="66"/>
      <c r="I15" s="66"/>
      <c r="J15" s="2"/>
      <c r="K15" s="64">
        <v>986</v>
      </c>
      <c r="L15" s="74" t="s">
        <v>140</v>
      </c>
      <c r="M15" s="75" t="s">
        <v>146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890.2</v>
      </c>
      <c r="D16" s="2"/>
      <c r="E16" s="69"/>
      <c r="F16" s="64"/>
      <c r="G16" s="65"/>
      <c r="H16" s="66"/>
      <c r="I16" s="66"/>
      <c r="J16" s="2"/>
      <c r="K16" s="64"/>
      <c r="L16" s="74"/>
      <c r="M16" s="75"/>
      <c r="R16" s="1">
        <f>IF(vend19[[#This Row],[Nº Venda]]&gt;1,1,0)</f>
        <v>0</v>
      </c>
    </row>
    <row r="17" spans="2:22" ht="15" x14ac:dyDescent="0.25">
      <c r="B17" s="2"/>
      <c r="C17" s="2"/>
      <c r="D17" s="2"/>
      <c r="E17" s="69"/>
      <c r="F17" s="64"/>
      <c r="G17" s="65"/>
      <c r="H17" s="66"/>
      <c r="I17" s="66"/>
      <c r="J17" s="2"/>
      <c r="K17" s="64"/>
      <c r="L17" s="74"/>
      <c r="M17" s="75"/>
      <c r="R17" s="1">
        <f>IF(vend19[[#This Row],[Nº Venda]]&gt;1,1,0)</f>
        <v>0</v>
      </c>
    </row>
    <row r="18" spans="2:22" ht="15" x14ac:dyDescent="0.25">
      <c r="B18" s="126" t="s">
        <v>12</v>
      </c>
      <c r="C18" s="126"/>
      <c r="D18" s="2"/>
      <c r="E18" s="69"/>
      <c r="F18" s="64"/>
      <c r="G18" s="65"/>
      <c r="H18" s="66"/>
      <c r="I18" s="66"/>
      <c r="J18" s="2"/>
      <c r="K18" s="64"/>
      <c r="L18" s="74"/>
      <c r="M18" s="75"/>
      <c r="R18" s="1">
        <f>IF(vend19[[#This Row],[Nº Venda]]&gt;1,1,0)</f>
        <v>0</v>
      </c>
    </row>
    <row r="19" spans="2:22" ht="15" x14ac:dyDescent="0.25">
      <c r="B19" s="30">
        <f>COUNT(entr_carn19[OS])</f>
        <v>0</v>
      </c>
      <c r="C19" s="31">
        <f>SUM(entr_carn19[Valor Total])</f>
        <v>0</v>
      </c>
      <c r="D19" s="2"/>
      <c r="E19" s="69"/>
      <c r="F19" s="64"/>
      <c r="G19" s="65"/>
      <c r="H19" s="66"/>
      <c r="I19" s="66"/>
      <c r="J19" s="2"/>
      <c r="K19" s="64"/>
      <c r="L19" s="74"/>
      <c r="M19" s="75"/>
      <c r="R19" s="1">
        <f>IF(vend19[[#This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69"/>
      <c r="F20" s="65"/>
      <c r="G20" s="65"/>
      <c r="H20" s="66"/>
      <c r="I20" s="66"/>
      <c r="J20" s="2"/>
      <c r="K20" s="64"/>
      <c r="L20" s="74"/>
      <c r="M20" s="75"/>
      <c r="R20" s="1">
        <f>IF(vend19[[#This Row],[Nº Venda]]&gt;1,1,0)</f>
        <v>0</v>
      </c>
      <c r="V20" s="1" t="s">
        <v>58</v>
      </c>
    </row>
    <row r="21" spans="2:22" ht="15" x14ac:dyDescent="0.25">
      <c r="B21" s="2"/>
      <c r="C21" s="2"/>
      <c r="D21" s="2"/>
      <c r="E21" s="69"/>
      <c r="F21" s="64"/>
      <c r="G21" s="65"/>
      <c r="H21" s="66"/>
      <c r="I21" s="66"/>
      <c r="J21" s="2"/>
      <c r="K21" s="64"/>
      <c r="L21" s="74"/>
      <c r="M21" s="75"/>
    </row>
    <row r="22" spans="2:22" ht="15.75" x14ac:dyDescent="0.25">
      <c r="B22" s="28" t="s">
        <v>26</v>
      </c>
      <c r="C22" s="32">
        <f>C5</f>
        <v>600</v>
      </c>
      <c r="D22" s="2"/>
      <c r="E22" s="69"/>
      <c r="F22" s="64"/>
      <c r="G22" s="65"/>
      <c r="H22" s="66"/>
      <c r="I22" s="66"/>
      <c r="J22" s="2"/>
      <c r="K22" s="64"/>
      <c r="L22" s="74"/>
      <c r="M22" s="75"/>
    </row>
    <row r="23" spans="2:22" ht="15" x14ac:dyDescent="0.25">
      <c r="B23" s="2"/>
      <c r="C23" s="2"/>
      <c r="D23" s="2"/>
      <c r="E23" s="70"/>
      <c r="F23" s="71"/>
      <c r="G23" s="71"/>
      <c r="H23" s="72"/>
      <c r="I23" s="73"/>
      <c r="J23" s="2"/>
      <c r="K23" s="64"/>
      <c r="L23" s="74"/>
      <c r="M23" s="75"/>
    </row>
    <row r="24" spans="2:22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64"/>
      <c r="L24" s="74"/>
      <c r="M24" s="75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4"/>
      <c r="L25" s="74"/>
      <c r="M25" s="75"/>
    </row>
    <row r="26" spans="2:22" ht="15" x14ac:dyDescent="0.25">
      <c r="B26" s="2"/>
      <c r="C26" s="2"/>
      <c r="D26" s="2"/>
      <c r="E26" s="69"/>
      <c r="F26" s="78"/>
      <c r="G26" s="65"/>
      <c r="H26" s="66"/>
      <c r="I26" s="66"/>
      <c r="J26" s="2"/>
      <c r="K26" s="64"/>
      <c r="L26" s="74"/>
      <c r="M26" s="75"/>
    </row>
    <row r="27" spans="2:22" ht="15" x14ac:dyDescent="0.25">
      <c r="B27" s="2"/>
      <c r="C27" s="2"/>
      <c r="D27" s="2"/>
      <c r="E27" s="69"/>
      <c r="F27" s="64"/>
      <c r="G27" s="65"/>
      <c r="H27" s="66"/>
      <c r="I27" s="66"/>
      <c r="J27" s="2"/>
      <c r="K27" s="64"/>
      <c r="L27" s="74"/>
      <c r="M27" s="75"/>
    </row>
    <row r="28" spans="2:22" ht="15" x14ac:dyDescent="0.25">
      <c r="B28" s="2"/>
      <c r="C28" s="2"/>
      <c r="D28" s="2"/>
      <c r="E28" s="69"/>
      <c r="F28" s="64"/>
      <c r="G28" s="65"/>
      <c r="H28" s="66"/>
      <c r="I28" s="66"/>
      <c r="J28" s="2"/>
      <c r="K28" s="64"/>
      <c r="L28" s="74"/>
      <c r="M28" s="75"/>
    </row>
    <row r="29" spans="2:22" ht="15" x14ac:dyDescent="0.25">
      <c r="B29" s="2"/>
      <c r="C29" s="2"/>
      <c r="D29" s="2"/>
      <c r="E29" s="69"/>
      <c r="F29" s="64"/>
      <c r="G29" s="65"/>
      <c r="H29" s="65"/>
      <c r="I29" s="66"/>
      <c r="J29" s="2"/>
      <c r="K29" s="64"/>
      <c r="L29" s="74"/>
      <c r="M29" s="75"/>
    </row>
    <row r="30" spans="2:22" ht="15" x14ac:dyDescent="0.25">
      <c r="B30" s="2"/>
      <c r="C30" s="2"/>
      <c r="D30" s="2"/>
      <c r="E30" s="69"/>
      <c r="F30" s="64"/>
      <c r="G30" s="65"/>
      <c r="H30" s="66"/>
      <c r="I30" s="66"/>
      <c r="J30" s="2"/>
      <c r="K30" s="64"/>
      <c r="L30" s="74"/>
      <c r="M30" s="75"/>
    </row>
    <row r="31" spans="2:22" ht="15" x14ac:dyDescent="0.25">
      <c r="B31" s="2"/>
      <c r="C31" s="2"/>
      <c r="D31" s="2"/>
      <c r="E31" s="79"/>
      <c r="F31" s="80"/>
      <c r="G31" s="81"/>
      <c r="H31" s="82"/>
      <c r="I31" s="82"/>
      <c r="J31" s="2"/>
      <c r="K31" s="64"/>
      <c r="L31" s="74"/>
      <c r="M31" s="75"/>
    </row>
    <row r="32" spans="2:22" ht="15" x14ac:dyDescent="0.25">
      <c r="B32" s="2"/>
      <c r="C32" s="2"/>
      <c r="E32" s="70"/>
      <c r="F32" s="71"/>
      <c r="G32" s="71"/>
      <c r="H32" s="73"/>
      <c r="I32" s="73"/>
      <c r="K32" s="77"/>
      <c r="L32" s="77"/>
      <c r="M32" s="77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9">
        <v>953</v>
      </c>
      <c r="F35" s="64" t="s">
        <v>168</v>
      </c>
      <c r="G35" s="65" t="s">
        <v>6</v>
      </c>
      <c r="H35" s="66">
        <v>212</v>
      </c>
      <c r="I35" s="66" t="s">
        <v>34</v>
      </c>
      <c r="K35" s="64"/>
      <c r="L35" s="84"/>
      <c r="M35" s="75"/>
    </row>
    <row r="36" spans="2:18" ht="15" x14ac:dyDescent="0.25">
      <c r="E36" s="69">
        <v>859</v>
      </c>
      <c r="F36" s="64" t="s">
        <v>169</v>
      </c>
      <c r="G36" s="65" t="s">
        <v>6</v>
      </c>
      <c r="H36" s="66">
        <v>78.2</v>
      </c>
      <c r="I36" s="66" t="s">
        <v>98</v>
      </c>
      <c r="K36" s="64"/>
      <c r="L36" s="84"/>
      <c r="M36" s="75"/>
    </row>
    <row r="37" spans="2:18" ht="15" x14ac:dyDescent="0.25">
      <c r="E37" s="69"/>
      <c r="F37" s="64"/>
      <c r="G37" s="65"/>
      <c r="H37" s="66"/>
      <c r="I37" s="66"/>
      <c r="K37" s="64"/>
      <c r="L37" s="84"/>
      <c r="M37" s="75"/>
    </row>
    <row r="38" spans="2:18" ht="15" x14ac:dyDescent="0.25">
      <c r="E38" s="69"/>
      <c r="F38" s="64"/>
      <c r="G38" s="65"/>
      <c r="H38" s="66"/>
      <c r="I38" s="66"/>
      <c r="K38" s="64"/>
      <c r="L38" s="84"/>
      <c r="M38" s="75"/>
    </row>
    <row r="39" spans="2:18" ht="15" x14ac:dyDescent="0.25">
      <c r="E39" s="69"/>
      <c r="F39" s="78"/>
      <c r="G39" s="65"/>
      <c r="H39" s="66"/>
      <c r="I39" s="66"/>
      <c r="K39" s="64"/>
      <c r="L39" s="84"/>
      <c r="M39" s="75"/>
    </row>
    <row r="40" spans="2:18" ht="15" x14ac:dyDescent="0.25">
      <c r="E40" s="79"/>
      <c r="F40" s="80"/>
      <c r="G40" s="81"/>
      <c r="H40" s="82"/>
      <c r="I40" s="66"/>
      <c r="K40" s="80"/>
      <c r="L40" s="85"/>
      <c r="M40" s="86"/>
      <c r="Q40" s="1" t="s">
        <v>36</v>
      </c>
      <c r="R40" s="1">
        <f>SUM(R6:R21)</f>
        <v>4</v>
      </c>
    </row>
    <row r="41" spans="2:18" ht="15" x14ac:dyDescent="0.25">
      <c r="E41" s="83"/>
      <c r="F41" s="78"/>
      <c r="G41" s="65"/>
      <c r="H41" s="66"/>
      <c r="I41" s="66"/>
      <c r="K41" s="87"/>
      <c r="L41" s="84"/>
      <c r="M41" s="8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80" zoomScaleNormal="80" workbookViewId="0">
      <selection activeCell="F6" sqref="F6"/>
    </sheetView>
  </sheetViews>
  <sheetFormatPr defaultColWidth="9.140625" defaultRowHeight="12.75" x14ac:dyDescent="0.2"/>
  <cols>
    <col min="1" max="1" width="1.5703125" style="1" customWidth="1"/>
    <col min="2" max="2" width="28.7109375" style="1" bestFit="1" customWidth="1"/>
    <col min="3" max="3" width="14" style="1" customWidth="1"/>
    <col min="4" max="4" width="1.4257812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1.140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7">
        <f>'19'!B1+1</f>
        <v>45524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9">
        <v>30000</v>
      </c>
      <c r="F6" s="64"/>
      <c r="G6" s="65"/>
      <c r="H6" s="66"/>
      <c r="I6" s="66"/>
      <c r="J6" s="2"/>
      <c r="K6" s="64" t="s">
        <v>173</v>
      </c>
      <c r="L6" s="74" t="s">
        <v>10</v>
      </c>
      <c r="M6" s="75">
        <v>13</v>
      </c>
      <c r="R6" s="1">
        <f>IF(vend20[[#This Row],[Nº Venda]]&gt;1,1,0)</f>
        <v>1</v>
      </c>
    </row>
    <row r="7" spans="2:18" ht="15" x14ac:dyDescent="0.25">
      <c r="B7" s="23" t="s">
        <v>3</v>
      </c>
      <c r="C7" s="24">
        <f>SUM(M6:M11)</f>
        <v>13</v>
      </c>
      <c r="D7" s="2"/>
      <c r="E7" s="69"/>
      <c r="F7" s="64"/>
      <c r="G7" s="65"/>
      <c r="H7" s="66"/>
      <c r="I7" s="66"/>
      <c r="J7" s="2"/>
      <c r="K7" s="64"/>
      <c r="L7" s="74"/>
      <c r="M7" s="75"/>
      <c r="R7" s="1">
        <f>IF(vend20[[#This Row],[Nº Venda]]&gt;1,1,0)</f>
        <v>0</v>
      </c>
    </row>
    <row r="8" spans="2:18" ht="15.75" x14ac:dyDescent="0.25">
      <c r="B8" s="28" t="s">
        <v>21</v>
      </c>
      <c r="C8" s="29">
        <f>SUM(C6:C7)</f>
        <v>13</v>
      </c>
      <c r="D8" s="2"/>
      <c r="E8" s="69"/>
      <c r="F8" s="64"/>
      <c r="G8" s="65"/>
      <c r="H8" s="66"/>
      <c r="I8" s="66"/>
      <c r="J8" s="2"/>
      <c r="K8" s="64"/>
      <c r="L8" s="74"/>
      <c r="M8" s="75"/>
      <c r="R8" s="1">
        <f>IF(vend20[[#This Row],[Nº Venda]]&gt;1,1,0)</f>
        <v>0</v>
      </c>
    </row>
    <row r="9" spans="2:18" ht="15" x14ac:dyDescent="0.25">
      <c r="B9" s="2"/>
      <c r="C9" s="2"/>
      <c r="D9" s="2"/>
      <c r="E9" s="69"/>
      <c r="F9" s="64"/>
      <c r="G9" s="65"/>
      <c r="H9" s="66"/>
      <c r="I9" s="66"/>
      <c r="J9" s="2"/>
      <c r="K9" s="64"/>
      <c r="L9" s="74"/>
      <c r="M9" s="75"/>
      <c r="R9" s="1">
        <f>IF(vend20[[#This Row],[Nº Venda]]&gt;1,1,0)</f>
        <v>0</v>
      </c>
    </row>
    <row r="10" spans="2:18" ht="15" x14ac:dyDescent="0.25">
      <c r="B10" s="126" t="s">
        <v>5</v>
      </c>
      <c r="C10" s="126"/>
      <c r="D10" s="2"/>
      <c r="E10" s="69"/>
      <c r="F10" s="64"/>
      <c r="G10" s="65"/>
      <c r="H10" s="66"/>
      <c r="I10" s="66"/>
      <c r="J10" s="2"/>
      <c r="K10" s="64"/>
      <c r="L10" s="74"/>
      <c r="M10" s="75"/>
      <c r="R10" s="1">
        <f>IF(vend20[[#This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69"/>
      <c r="F11" s="64"/>
      <c r="G11" s="65"/>
      <c r="H11" s="66"/>
      <c r="I11" s="66"/>
      <c r="J11" s="2"/>
      <c r="K11" s="76"/>
      <c r="L11" s="74"/>
      <c r="M11" s="75"/>
      <c r="O11" s="1">
        <f>IF(C16=0,0,1)</f>
        <v>0</v>
      </c>
      <c r="R11" s="1">
        <f>IF(vend20[[#This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9"/>
      <c r="F12" s="64"/>
      <c r="G12" s="65"/>
      <c r="H12" s="66"/>
      <c r="I12" s="66"/>
      <c r="J12" s="2"/>
      <c r="K12" s="77"/>
      <c r="L12" s="77"/>
      <c r="M12" s="77"/>
      <c r="R12" s="1">
        <f>IF(vend20[[#This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9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IF(vend20[[#This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9"/>
      <c r="F14" s="64"/>
      <c r="G14" s="65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9"/>
      <c r="F15" s="64"/>
      <c r="G15" s="65"/>
      <c r="H15" s="66"/>
      <c r="I15" s="66"/>
      <c r="J15" s="2"/>
      <c r="K15" s="64">
        <v>975</v>
      </c>
      <c r="L15" s="74" t="s">
        <v>140</v>
      </c>
      <c r="M15" s="75" t="s">
        <v>146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69"/>
      <c r="F16" s="64"/>
      <c r="G16" s="65"/>
      <c r="H16" s="66"/>
      <c r="I16" s="66"/>
      <c r="J16" s="2"/>
      <c r="K16" s="64"/>
      <c r="L16" s="74"/>
      <c r="M16" s="75"/>
      <c r="R16" s="1">
        <f>IF(vend20[[#This Row],[Nº Venda]]&gt;1,1,0)</f>
        <v>0</v>
      </c>
    </row>
    <row r="17" spans="2:18" ht="15" x14ac:dyDescent="0.25">
      <c r="B17" s="2"/>
      <c r="C17" s="2"/>
      <c r="D17" s="2"/>
      <c r="E17" s="69"/>
      <c r="F17" s="64"/>
      <c r="G17" s="65"/>
      <c r="H17" s="66"/>
      <c r="I17" s="66"/>
      <c r="J17" s="2"/>
      <c r="K17" s="64"/>
      <c r="L17" s="74"/>
      <c r="M17" s="75"/>
      <c r="R17" s="1">
        <f>IF(vend20[[#This Row],[Nº Venda]]&gt;1,1,0)</f>
        <v>0</v>
      </c>
    </row>
    <row r="18" spans="2:18" ht="15" x14ac:dyDescent="0.25">
      <c r="B18" s="126" t="s">
        <v>12</v>
      </c>
      <c r="C18" s="126"/>
      <c r="D18" s="2"/>
      <c r="E18" s="69"/>
      <c r="F18" s="64"/>
      <c r="G18" s="65"/>
      <c r="H18" s="66"/>
      <c r="I18" s="66"/>
      <c r="J18" s="2"/>
      <c r="K18" s="64"/>
      <c r="L18" s="74"/>
      <c r="M18" s="75"/>
      <c r="R18" s="1">
        <f>IF(vend20[[#This Row],[Nº Venda]]&gt;1,1,0)</f>
        <v>0</v>
      </c>
    </row>
    <row r="19" spans="2:18" ht="15" x14ac:dyDescent="0.25">
      <c r="B19" s="30">
        <f>COUNT(entr_carn20[OS])</f>
        <v>0</v>
      </c>
      <c r="C19" s="31">
        <f>SUM(entr_carn20[Valor Total])</f>
        <v>0</v>
      </c>
      <c r="D19" s="2"/>
      <c r="E19" s="69"/>
      <c r="F19" s="64"/>
      <c r="G19" s="65"/>
      <c r="H19" s="66"/>
      <c r="I19" s="66"/>
      <c r="J19" s="2"/>
      <c r="K19" s="64"/>
      <c r="L19" s="74"/>
      <c r="M19" s="75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9"/>
      <c r="F20" s="65"/>
      <c r="G20" s="65"/>
      <c r="H20" s="66"/>
      <c r="I20" s="66"/>
      <c r="J20" s="2"/>
      <c r="K20" s="64"/>
      <c r="L20" s="74"/>
      <c r="M20" s="75"/>
      <c r="R20" s="1">
        <f>IF(vend20[[#This Row],[Nº Venda]]&gt;1,1,0)</f>
        <v>0</v>
      </c>
    </row>
    <row r="21" spans="2:18" ht="15" x14ac:dyDescent="0.25">
      <c r="B21" s="2"/>
      <c r="C21" s="2"/>
      <c r="D21" s="2"/>
      <c r="E21" s="69"/>
      <c r="F21" s="64"/>
      <c r="G21" s="65"/>
      <c r="H21" s="66"/>
      <c r="I21" s="66"/>
      <c r="J21" s="2"/>
      <c r="K21" s="64"/>
      <c r="L21" s="74"/>
      <c r="M21" s="75"/>
    </row>
    <row r="22" spans="2:18" ht="15.75" x14ac:dyDescent="0.25">
      <c r="B22" s="28" t="s">
        <v>26</v>
      </c>
      <c r="C22" s="32">
        <f>C5</f>
        <v>0</v>
      </c>
      <c r="D22" s="2"/>
      <c r="E22" s="69"/>
      <c r="F22" s="64"/>
      <c r="G22" s="65"/>
      <c r="H22" s="66"/>
      <c r="I22" s="66"/>
      <c r="J22" s="2"/>
      <c r="K22" s="64"/>
      <c r="L22" s="74"/>
      <c r="M22" s="75"/>
    </row>
    <row r="23" spans="2:18" ht="15" x14ac:dyDescent="0.25">
      <c r="B23" s="2"/>
      <c r="C23" s="2"/>
      <c r="D23" s="2"/>
      <c r="E23" s="70"/>
      <c r="F23" s="71"/>
      <c r="G23" s="71"/>
      <c r="H23" s="72"/>
      <c r="I23" s="73"/>
      <c r="J23" s="2"/>
      <c r="K23" s="64"/>
      <c r="L23" s="74"/>
      <c r="M23" s="75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64"/>
      <c r="L24" s="74"/>
      <c r="M24" s="75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4"/>
      <c r="L25" s="74"/>
      <c r="M25" s="75"/>
    </row>
    <row r="26" spans="2:18" ht="15" x14ac:dyDescent="0.25">
      <c r="B26" s="2"/>
      <c r="C26" s="2"/>
      <c r="D26" s="2"/>
      <c r="E26" s="69"/>
      <c r="F26" s="64"/>
      <c r="G26" s="65"/>
      <c r="H26" s="66"/>
      <c r="I26" s="66"/>
      <c r="J26" s="2"/>
      <c r="K26" s="64"/>
      <c r="L26" s="74"/>
      <c r="M26" s="75"/>
    </row>
    <row r="27" spans="2:18" ht="15" x14ac:dyDescent="0.25">
      <c r="B27" s="2"/>
      <c r="C27" s="2"/>
      <c r="D27" s="2"/>
      <c r="E27" s="69"/>
      <c r="F27" s="64"/>
      <c r="G27" s="65"/>
      <c r="H27" s="66"/>
      <c r="I27" s="66"/>
      <c r="J27" s="2"/>
      <c r="K27" s="64"/>
      <c r="L27" s="74"/>
      <c r="M27" s="75"/>
    </row>
    <row r="28" spans="2:18" ht="15" x14ac:dyDescent="0.25">
      <c r="B28" s="2"/>
      <c r="C28" s="2"/>
      <c r="D28" s="2"/>
      <c r="E28" s="69"/>
      <c r="F28" s="64"/>
      <c r="G28" s="65"/>
      <c r="H28" s="66"/>
      <c r="I28" s="66"/>
      <c r="J28" s="2"/>
      <c r="K28" s="64"/>
      <c r="L28" s="74"/>
      <c r="M28" s="75"/>
    </row>
    <row r="29" spans="2:18" ht="15" x14ac:dyDescent="0.25">
      <c r="B29" s="2"/>
      <c r="C29" s="2"/>
      <c r="D29" s="2"/>
      <c r="E29" s="69"/>
      <c r="F29" s="64"/>
      <c r="G29" s="65"/>
      <c r="H29" s="66"/>
      <c r="I29" s="66"/>
      <c r="J29" s="2"/>
      <c r="K29" s="64"/>
      <c r="L29" s="74"/>
      <c r="M29" s="75"/>
    </row>
    <row r="30" spans="2:18" ht="15" x14ac:dyDescent="0.25">
      <c r="B30" s="2"/>
      <c r="C30" s="2"/>
      <c r="D30" s="2"/>
      <c r="E30" s="69"/>
      <c r="F30" s="78"/>
      <c r="G30" s="65"/>
      <c r="H30" s="66"/>
      <c r="I30" s="66"/>
      <c r="J30" s="2"/>
      <c r="K30" s="64"/>
      <c r="L30" s="74"/>
      <c r="M30" s="75"/>
    </row>
    <row r="31" spans="2:18" ht="15" x14ac:dyDescent="0.25">
      <c r="B31" s="2"/>
      <c r="C31" s="2"/>
      <c r="D31" s="2"/>
      <c r="E31" s="79"/>
      <c r="F31" s="80"/>
      <c r="G31" s="81"/>
      <c r="H31" s="82"/>
      <c r="I31" s="82"/>
      <c r="J31" s="2"/>
      <c r="K31" s="64"/>
      <c r="L31" s="74"/>
      <c r="M31" s="75"/>
    </row>
    <row r="32" spans="2:18" ht="15" x14ac:dyDescent="0.25">
      <c r="B32" s="2"/>
      <c r="C32" s="2"/>
      <c r="E32" s="70"/>
      <c r="F32" s="71"/>
      <c r="G32" s="71"/>
      <c r="H32" s="73"/>
      <c r="I32" s="73"/>
      <c r="K32" s="77"/>
      <c r="L32" s="77"/>
      <c r="M32" s="77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9"/>
      <c r="F35" s="64"/>
      <c r="G35" s="65"/>
      <c r="H35" s="66"/>
      <c r="I35" s="66"/>
      <c r="K35" s="64"/>
      <c r="L35" s="84"/>
      <c r="M35" s="55"/>
    </row>
    <row r="36" spans="2:18" ht="15" x14ac:dyDescent="0.25">
      <c r="E36" s="69"/>
      <c r="F36" s="64"/>
      <c r="G36" s="65"/>
      <c r="H36" s="66"/>
      <c r="I36" s="66"/>
      <c r="K36" s="50"/>
      <c r="L36" s="56"/>
      <c r="M36" s="55"/>
    </row>
    <row r="37" spans="2:18" ht="15" x14ac:dyDescent="0.25">
      <c r="E37" s="69"/>
      <c r="F37" s="64"/>
      <c r="G37" s="65"/>
      <c r="H37" s="66"/>
      <c r="I37" s="66"/>
      <c r="K37" s="64"/>
      <c r="L37" s="84"/>
      <c r="M37" s="75"/>
    </row>
    <row r="38" spans="2:18" ht="15" x14ac:dyDescent="0.25">
      <c r="E38" s="69"/>
      <c r="F38" s="64"/>
      <c r="G38" s="65"/>
      <c r="H38" s="66"/>
      <c r="I38" s="66"/>
      <c r="K38" s="64"/>
      <c r="L38" s="84"/>
      <c r="M38" s="75"/>
    </row>
    <row r="39" spans="2:18" ht="15" x14ac:dyDescent="0.25">
      <c r="E39" s="69"/>
      <c r="F39" s="78"/>
      <c r="G39" s="65"/>
      <c r="H39" s="66"/>
      <c r="I39" s="66"/>
      <c r="K39" s="64"/>
      <c r="L39" s="84"/>
      <c r="M39" s="75"/>
    </row>
    <row r="40" spans="2:18" ht="15" x14ac:dyDescent="0.25">
      <c r="E40" s="79"/>
      <c r="F40" s="80"/>
      <c r="G40" s="81"/>
      <c r="H40" s="82"/>
      <c r="I40" s="66"/>
      <c r="K40" s="80"/>
      <c r="L40" s="85"/>
      <c r="M40" s="86"/>
      <c r="Q40" s="1" t="s">
        <v>36</v>
      </c>
      <c r="R40" s="1">
        <f>SUM(R6:R21)</f>
        <v>1</v>
      </c>
    </row>
    <row r="41" spans="2:18" ht="15" x14ac:dyDescent="0.25">
      <c r="E41" s="83"/>
      <c r="F41" s="78"/>
      <c r="G41" s="65"/>
      <c r="H41" s="66"/>
      <c r="I41" s="66"/>
      <c r="K41" s="87"/>
      <c r="L41" s="84"/>
      <c r="M41" s="8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80" zoomScaleNormal="80" workbookViewId="0">
      <selection activeCell="E6" sqref="E6:I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'20'!B1+1</f>
        <v>45525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9"/>
      <c r="F6" s="64"/>
      <c r="G6" s="65"/>
      <c r="H6" s="66"/>
      <c r="I6" s="66"/>
      <c r="J6" s="2"/>
      <c r="K6" s="64"/>
      <c r="L6" s="74"/>
      <c r="M6" s="75"/>
      <c r="R6" s="1">
        <f>IF(vend21[[#This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9"/>
      <c r="F7" s="64"/>
      <c r="G7" s="65"/>
      <c r="H7" s="66"/>
      <c r="I7" s="66"/>
      <c r="J7" s="2"/>
      <c r="K7" s="64"/>
      <c r="L7" s="74"/>
      <c r="M7" s="75"/>
      <c r="R7" s="1">
        <f>IF(vend21[[#This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69"/>
      <c r="F8" s="64"/>
      <c r="G8" s="65"/>
      <c r="H8" s="66"/>
      <c r="I8" s="66"/>
      <c r="J8" s="2"/>
      <c r="K8" s="64"/>
      <c r="L8" s="74"/>
      <c r="M8" s="75"/>
      <c r="R8" s="1">
        <f>IF(vend21[[#This Row],[Nº Venda]]&gt;1,1,0)</f>
        <v>0</v>
      </c>
    </row>
    <row r="9" spans="2:18" ht="15" x14ac:dyDescent="0.25">
      <c r="B9" s="2"/>
      <c r="C9" s="2"/>
      <c r="D9" s="2"/>
      <c r="E9" s="69"/>
      <c r="F9" s="64"/>
      <c r="G9" s="65"/>
      <c r="H9" s="66"/>
      <c r="I9" s="66"/>
      <c r="J9" s="2"/>
      <c r="K9" s="64"/>
      <c r="L9" s="74"/>
      <c r="M9" s="75"/>
      <c r="R9" s="1">
        <f>IF(vend21[[#This Row],[Nº Venda]]&gt;1,1,0)</f>
        <v>0</v>
      </c>
    </row>
    <row r="10" spans="2:18" ht="15" x14ac:dyDescent="0.25">
      <c r="B10" s="126" t="s">
        <v>5</v>
      </c>
      <c r="C10" s="126"/>
      <c r="D10" s="2"/>
      <c r="E10" s="69"/>
      <c r="F10" s="64"/>
      <c r="G10" s="65"/>
      <c r="H10" s="66"/>
      <c r="I10" s="66"/>
      <c r="J10" s="2"/>
      <c r="K10" s="64"/>
      <c r="L10" s="74"/>
      <c r="M10" s="75"/>
      <c r="R10" s="1">
        <f>IF(vend21[[#This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69"/>
      <c r="F11" s="64"/>
      <c r="G11" s="65"/>
      <c r="H11" s="66"/>
      <c r="I11" s="66"/>
      <c r="J11" s="2"/>
      <c r="K11" s="76"/>
      <c r="L11" s="74"/>
      <c r="M11" s="75"/>
      <c r="O11" s="1">
        <f>IF(C16=0,0,1)</f>
        <v>0</v>
      </c>
      <c r="R11" s="1">
        <f>IF(vend21[[#This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9"/>
      <c r="F12" s="64"/>
      <c r="G12" s="65"/>
      <c r="H12" s="66"/>
      <c r="I12" s="66"/>
      <c r="J12" s="2"/>
      <c r="K12" s="77"/>
      <c r="L12" s="77"/>
      <c r="M12" s="77"/>
      <c r="R12" s="1">
        <f>IF(vend21[[#This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9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IF(vend21[[#This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9"/>
      <c r="F14" s="64"/>
      <c r="G14" s="65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9"/>
      <c r="F15" s="64"/>
      <c r="G15" s="65"/>
      <c r="H15" s="66"/>
      <c r="I15" s="66"/>
      <c r="J15" s="2"/>
      <c r="K15" s="64">
        <v>982</v>
      </c>
      <c r="L15" s="74" t="s">
        <v>140</v>
      </c>
      <c r="M15" s="75" t="s">
        <v>146</v>
      </c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69"/>
      <c r="F16" s="64"/>
      <c r="G16" s="65"/>
      <c r="H16" s="66"/>
      <c r="I16" s="66"/>
      <c r="J16" s="2"/>
      <c r="K16" s="64"/>
      <c r="L16" s="74"/>
      <c r="M16" s="75"/>
      <c r="R16" s="1">
        <f>IF(vend21[[#This Row],[Nº Venda]]&gt;1,1,0)</f>
        <v>0</v>
      </c>
    </row>
    <row r="17" spans="2:18" ht="15" x14ac:dyDescent="0.25">
      <c r="B17" s="2"/>
      <c r="C17" s="2"/>
      <c r="D17" s="2"/>
      <c r="E17" s="69"/>
      <c r="F17" s="64"/>
      <c r="G17" s="65"/>
      <c r="H17" s="66"/>
      <c r="I17" s="66"/>
      <c r="J17" s="2"/>
      <c r="K17" s="64"/>
      <c r="L17" s="74"/>
      <c r="M17" s="75"/>
      <c r="R17" s="1">
        <f>IF(vend21[[#This Row],[Nº Venda]]&gt;1,1,0)</f>
        <v>0</v>
      </c>
    </row>
    <row r="18" spans="2:18" ht="15" x14ac:dyDescent="0.25">
      <c r="B18" s="126" t="s">
        <v>12</v>
      </c>
      <c r="C18" s="126"/>
      <c r="D18" s="2"/>
      <c r="E18" s="69"/>
      <c r="F18" s="64"/>
      <c r="G18" s="65"/>
      <c r="H18" s="66"/>
      <c r="I18" s="66"/>
      <c r="J18" s="2"/>
      <c r="K18" s="64"/>
      <c r="L18" s="74"/>
      <c r="M18" s="75"/>
      <c r="R18" s="1">
        <f>IF(vend21[[#This Row],[Nº Venda]]&gt;1,1,0)</f>
        <v>0</v>
      </c>
    </row>
    <row r="19" spans="2:18" ht="15" x14ac:dyDescent="0.25">
      <c r="B19" s="30">
        <f>COUNT(entr_carn21[OS])</f>
        <v>0</v>
      </c>
      <c r="C19" s="31">
        <f>SUM(entr_carn21[Valor Total])</f>
        <v>0</v>
      </c>
      <c r="D19" s="2"/>
      <c r="E19" s="69"/>
      <c r="F19" s="64"/>
      <c r="G19" s="65"/>
      <c r="H19" s="66"/>
      <c r="I19" s="66"/>
      <c r="J19" s="2"/>
      <c r="K19" s="64"/>
      <c r="L19" s="74"/>
      <c r="M19" s="75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9"/>
      <c r="F20" s="65"/>
      <c r="G20" s="65"/>
      <c r="H20" s="66"/>
      <c r="I20" s="66"/>
      <c r="J20" s="2"/>
      <c r="K20" s="64"/>
      <c r="L20" s="74"/>
      <c r="M20" s="75"/>
      <c r="R20" s="1">
        <f>IF(vend21[[#This Row],[Nº Venda]]&gt;1,1,0)</f>
        <v>0</v>
      </c>
    </row>
    <row r="21" spans="2:18" ht="15" x14ac:dyDescent="0.25">
      <c r="B21" s="2"/>
      <c r="C21" s="2"/>
      <c r="D21" s="2"/>
      <c r="E21" s="69"/>
      <c r="F21" s="64"/>
      <c r="G21" s="65"/>
      <c r="H21" s="66"/>
      <c r="I21" s="66"/>
      <c r="J21" s="2"/>
      <c r="K21" s="64"/>
      <c r="L21" s="74"/>
      <c r="M21" s="75"/>
    </row>
    <row r="22" spans="2:18" ht="15.75" x14ac:dyDescent="0.25">
      <c r="B22" s="28" t="s">
        <v>26</v>
      </c>
      <c r="C22" s="32">
        <f>C5</f>
        <v>0</v>
      </c>
      <c r="D22" s="2"/>
      <c r="E22" s="69"/>
      <c r="F22" s="64"/>
      <c r="G22" s="65"/>
      <c r="H22" s="66"/>
      <c r="I22" s="66"/>
      <c r="J22" s="2"/>
      <c r="K22" s="64"/>
      <c r="L22" s="74"/>
      <c r="M22" s="75"/>
    </row>
    <row r="23" spans="2:18" ht="15" x14ac:dyDescent="0.25">
      <c r="B23" s="2"/>
      <c r="C23" s="2"/>
      <c r="D23" s="2"/>
      <c r="E23" s="70"/>
      <c r="F23" s="71"/>
      <c r="G23" s="71"/>
      <c r="H23" s="72"/>
      <c r="I23" s="73"/>
      <c r="J23" s="2"/>
      <c r="K23" s="64"/>
      <c r="L23" s="74"/>
      <c r="M23" s="75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64"/>
      <c r="L24" s="74"/>
      <c r="M24" s="75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4"/>
      <c r="L25" s="74"/>
      <c r="M25" s="75"/>
    </row>
    <row r="26" spans="2:18" ht="15" x14ac:dyDescent="0.25">
      <c r="B26" s="2"/>
      <c r="C26" s="2"/>
      <c r="D26" s="2"/>
      <c r="E26" s="69"/>
      <c r="F26" s="64"/>
      <c r="G26" s="65"/>
      <c r="H26" s="66"/>
      <c r="I26" s="66"/>
      <c r="J26" s="2"/>
      <c r="K26" s="64"/>
      <c r="L26" s="74"/>
      <c r="M26" s="75"/>
    </row>
    <row r="27" spans="2:18" ht="15" x14ac:dyDescent="0.25">
      <c r="B27" s="2"/>
      <c r="C27" s="2"/>
      <c r="D27" s="2"/>
      <c r="E27" s="69"/>
      <c r="F27" s="64"/>
      <c r="G27" s="65"/>
      <c r="H27" s="66"/>
      <c r="I27" s="66"/>
      <c r="J27" s="2"/>
      <c r="K27" s="64"/>
      <c r="L27" s="74"/>
      <c r="M27" s="75"/>
    </row>
    <row r="28" spans="2:18" ht="15" x14ac:dyDescent="0.25">
      <c r="B28" s="2"/>
      <c r="C28" s="2"/>
      <c r="D28" s="2"/>
      <c r="E28" s="69"/>
      <c r="F28" s="64"/>
      <c r="G28" s="65"/>
      <c r="H28" s="66"/>
      <c r="I28" s="66"/>
      <c r="J28" s="2"/>
      <c r="K28" s="64"/>
      <c r="L28" s="74"/>
      <c r="M28" s="75"/>
    </row>
    <row r="29" spans="2:18" ht="15" x14ac:dyDescent="0.25">
      <c r="B29" s="2"/>
      <c r="C29" s="2"/>
      <c r="D29" s="2"/>
      <c r="E29" s="69"/>
      <c r="F29" s="64"/>
      <c r="G29" s="65"/>
      <c r="H29" s="66"/>
      <c r="I29" s="66"/>
      <c r="J29" s="2"/>
      <c r="K29" s="64"/>
      <c r="L29" s="74"/>
      <c r="M29" s="75"/>
    </row>
    <row r="30" spans="2:18" ht="15" x14ac:dyDescent="0.25">
      <c r="B30" s="2"/>
      <c r="C30" s="2"/>
      <c r="D30" s="2"/>
      <c r="E30" s="69"/>
      <c r="F30" s="78"/>
      <c r="G30" s="65"/>
      <c r="H30" s="66"/>
      <c r="I30" s="66"/>
      <c r="J30" s="2"/>
      <c r="K30" s="64"/>
      <c r="L30" s="74"/>
      <c r="M30" s="75"/>
    </row>
    <row r="31" spans="2:18" ht="15" x14ac:dyDescent="0.25">
      <c r="B31" s="2"/>
      <c r="C31" s="2"/>
      <c r="D31" s="2"/>
      <c r="E31" s="79"/>
      <c r="F31" s="80"/>
      <c r="G31" s="81"/>
      <c r="H31" s="82"/>
      <c r="I31" s="82"/>
      <c r="J31" s="2"/>
      <c r="K31" s="64"/>
      <c r="L31" s="74"/>
      <c r="M31" s="75"/>
    </row>
    <row r="32" spans="2:18" ht="15" x14ac:dyDescent="0.25">
      <c r="B32" s="2"/>
      <c r="C32" s="2"/>
      <c r="E32" s="70"/>
      <c r="F32" s="71"/>
      <c r="G32" s="71"/>
      <c r="H32" s="73"/>
      <c r="I32" s="73"/>
      <c r="K32" s="77"/>
      <c r="L32" s="77"/>
      <c r="M32" s="77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9"/>
      <c r="F35" s="64"/>
      <c r="G35" s="65"/>
      <c r="H35" s="66"/>
      <c r="I35" s="66"/>
      <c r="K35" s="64"/>
      <c r="L35" s="84"/>
      <c r="M35" s="75"/>
    </row>
    <row r="36" spans="2:18" ht="15" x14ac:dyDescent="0.25">
      <c r="E36" s="69"/>
      <c r="F36" s="64"/>
      <c r="G36" s="65"/>
      <c r="H36" s="66"/>
      <c r="I36" s="66"/>
      <c r="K36" s="64"/>
      <c r="L36" s="84"/>
      <c r="M36" s="75"/>
    </row>
    <row r="37" spans="2:18" ht="15" x14ac:dyDescent="0.25">
      <c r="E37" s="69"/>
      <c r="F37" s="64"/>
      <c r="G37" s="65"/>
      <c r="H37" s="66"/>
      <c r="I37" s="66"/>
      <c r="K37" s="64"/>
      <c r="L37" s="84"/>
      <c r="M37" s="75"/>
    </row>
    <row r="38" spans="2:18" ht="15" x14ac:dyDescent="0.25">
      <c r="E38" s="69"/>
      <c r="F38" s="64"/>
      <c r="G38" s="65"/>
      <c r="H38" s="66"/>
      <c r="I38" s="66"/>
      <c r="K38" s="64"/>
      <c r="L38" s="84"/>
      <c r="M38" s="75"/>
    </row>
    <row r="39" spans="2:18" ht="15" x14ac:dyDescent="0.25">
      <c r="E39" s="69"/>
      <c r="F39" s="78"/>
      <c r="G39" s="65"/>
      <c r="H39" s="66"/>
      <c r="I39" s="66"/>
      <c r="K39" s="64"/>
      <c r="L39" s="84"/>
      <c r="M39" s="75"/>
    </row>
    <row r="40" spans="2:18" ht="15" x14ac:dyDescent="0.25">
      <c r="E40" s="79"/>
      <c r="F40" s="80"/>
      <c r="G40" s="81"/>
      <c r="H40" s="82"/>
      <c r="I40" s="66"/>
      <c r="K40" s="80"/>
      <c r="L40" s="85"/>
      <c r="M40" s="86"/>
      <c r="Q40" s="1" t="s">
        <v>36</v>
      </c>
      <c r="R40" s="1">
        <f>SUM(R6:R21)</f>
        <v>0</v>
      </c>
    </row>
    <row r="41" spans="2:18" ht="15" x14ac:dyDescent="0.25">
      <c r="E41" s="83"/>
      <c r="F41" s="78"/>
      <c r="G41" s="65"/>
      <c r="H41" s="66"/>
      <c r="I41" s="66"/>
      <c r="K41" s="87"/>
      <c r="L41" s="84"/>
      <c r="M41" s="8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80" zoomScaleNormal="80" workbookViewId="0">
      <selection activeCell="K35" sqref="K35:M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'21'!B1+1</f>
        <v>45526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9"/>
      <c r="F6" s="64"/>
      <c r="G6" s="65"/>
      <c r="H6" s="66"/>
      <c r="I6" s="66"/>
      <c r="J6" s="2"/>
      <c r="K6" s="64"/>
      <c r="L6" s="74"/>
      <c r="M6" s="75"/>
      <c r="R6" s="1">
        <f>IF(vend22[[#This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9"/>
      <c r="F7" s="64"/>
      <c r="G7" s="65"/>
      <c r="H7" s="66"/>
      <c r="I7" s="66"/>
      <c r="J7" s="2"/>
      <c r="K7" s="64"/>
      <c r="L7" s="74"/>
      <c r="M7" s="75"/>
      <c r="R7" s="1">
        <f>IF(vend22[[#This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69"/>
      <c r="F8" s="64"/>
      <c r="G8" s="65"/>
      <c r="H8" s="66"/>
      <c r="I8" s="66"/>
      <c r="J8" s="2"/>
      <c r="K8" s="64"/>
      <c r="L8" s="74"/>
      <c r="M8" s="75"/>
      <c r="R8" s="1">
        <f>IF(vend22[[#This Row],[Nº Venda]]&gt;1,1,0)</f>
        <v>0</v>
      </c>
    </row>
    <row r="9" spans="2:18" ht="15" x14ac:dyDescent="0.25">
      <c r="B9" s="2"/>
      <c r="C9" s="2"/>
      <c r="D9" s="2"/>
      <c r="E9" s="69"/>
      <c r="F9" s="64"/>
      <c r="G9" s="65"/>
      <c r="H9" s="66"/>
      <c r="I9" s="66"/>
      <c r="J9" s="2"/>
      <c r="K9" s="64"/>
      <c r="L9" s="74"/>
      <c r="M9" s="75"/>
      <c r="R9" s="1">
        <f>IF(vend22[[#This Row],[Nº Venda]]&gt;1,1,0)</f>
        <v>0</v>
      </c>
    </row>
    <row r="10" spans="2:18" ht="15" x14ac:dyDescent="0.25">
      <c r="B10" s="126" t="s">
        <v>5</v>
      </c>
      <c r="C10" s="126"/>
      <c r="D10" s="2"/>
      <c r="E10" s="69"/>
      <c r="F10" s="64"/>
      <c r="G10" s="65"/>
      <c r="H10" s="66"/>
      <c r="I10" s="66"/>
      <c r="J10" s="2"/>
      <c r="K10" s="64"/>
      <c r="L10" s="74"/>
      <c r="M10" s="75"/>
      <c r="R10" s="1">
        <f>IF(vend22[[#This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69"/>
      <c r="F11" s="64"/>
      <c r="G11" s="65"/>
      <c r="H11" s="66"/>
      <c r="I11" s="66"/>
      <c r="J11" s="2"/>
      <c r="K11" s="76"/>
      <c r="L11" s="74"/>
      <c r="M11" s="75"/>
      <c r="O11" s="1">
        <f>IF(C16=0,0,1)</f>
        <v>0</v>
      </c>
      <c r="R11" s="1">
        <f>IF(vend22[[#This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9"/>
      <c r="F12" s="64"/>
      <c r="G12" s="65"/>
      <c r="H12" s="66"/>
      <c r="I12" s="66"/>
      <c r="J12" s="2"/>
      <c r="K12" s="77"/>
      <c r="L12" s="77"/>
      <c r="M12" s="77"/>
      <c r="R12" s="1">
        <f>IF(vend22[[#This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9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IF(vend22[[#This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9"/>
      <c r="F14" s="64"/>
      <c r="G14" s="65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9"/>
      <c r="F15" s="64"/>
      <c r="G15" s="65"/>
      <c r="H15" s="66"/>
      <c r="I15" s="66"/>
      <c r="J15" s="2"/>
      <c r="K15" s="64"/>
      <c r="L15" s="74"/>
      <c r="M15" s="75"/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69"/>
      <c r="F16" s="64"/>
      <c r="G16" s="65"/>
      <c r="H16" s="66"/>
      <c r="I16" s="66"/>
      <c r="J16" s="2"/>
      <c r="K16" s="64"/>
      <c r="L16" s="74"/>
      <c r="M16" s="75"/>
      <c r="R16" s="1">
        <f>IF(vend22[[#This Row],[Nº Venda]]&gt;1,1,0)</f>
        <v>0</v>
      </c>
    </row>
    <row r="17" spans="2:18" ht="15" x14ac:dyDescent="0.25">
      <c r="B17" s="2"/>
      <c r="C17" s="2"/>
      <c r="D17" s="2"/>
      <c r="E17" s="69"/>
      <c r="F17" s="64"/>
      <c r="G17" s="65"/>
      <c r="H17" s="66"/>
      <c r="I17" s="66"/>
      <c r="J17" s="2"/>
      <c r="K17" s="64"/>
      <c r="L17" s="74"/>
      <c r="M17" s="75"/>
      <c r="R17" s="1">
        <f>IF(vend22[[#This Row],[Nº Venda]]&gt;1,1,0)</f>
        <v>0</v>
      </c>
    </row>
    <row r="18" spans="2:18" ht="15" x14ac:dyDescent="0.25">
      <c r="B18" s="126" t="s">
        <v>12</v>
      </c>
      <c r="C18" s="126"/>
      <c r="D18" s="2"/>
      <c r="E18" s="69"/>
      <c r="F18" s="64"/>
      <c r="G18" s="65"/>
      <c r="H18" s="66"/>
      <c r="I18" s="66"/>
      <c r="J18" s="2"/>
      <c r="K18" s="64"/>
      <c r="L18" s="74"/>
      <c r="M18" s="75"/>
      <c r="R18" s="1">
        <f>IF(vend22[[#This Row],[Nº Venda]]&gt;1,1,0)</f>
        <v>0</v>
      </c>
    </row>
    <row r="19" spans="2:18" ht="15" x14ac:dyDescent="0.25">
      <c r="B19" s="30">
        <f>COUNT(entr_carn22[OS])</f>
        <v>0</v>
      </c>
      <c r="C19" s="31">
        <f>SUM(entr_carn22[Valor Total])</f>
        <v>0</v>
      </c>
      <c r="D19" s="2"/>
      <c r="E19" s="69"/>
      <c r="F19" s="64"/>
      <c r="G19" s="65"/>
      <c r="H19" s="66"/>
      <c r="I19" s="66"/>
      <c r="J19" s="2"/>
      <c r="K19" s="64"/>
      <c r="L19" s="74"/>
      <c r="M19" s="75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9"/>
      <c r="F20" s="65"/>
      <c r="G20" s="65"/>
      <c r="H20" s="66"/>
      <c r="I20" s="66"/>
      <c r="J20" s="2"/>
      <c r="K20" s="64"/>
      <c r="L20" s="74"/>
      <c r="M20" s="75"/>
      <c r="R20" s="1">
        <f>IF(vend22[[#This Row],[Nº Venda]]&gt;1,1,0)</f>
        <v>0</v>
      </c>
    </row>
    <row r="21" spans="2:18" ht="15" x14ac:dyDescent="0.25">
      <c r="B21" s="2"/>
      <c r="C21" s="2"/>
      <c r="D21" s="2"/>
      <c r="E21" s="69"/>
      <c r="F21" s="64"/>
      <c r="G21" s="65"/>
      <c r="H21" s="66"/>
      <c r="I21" s="66"/>
      <c r="J21" s="2"/>
      <c r="K21" s="64"/>
      <c r="L21" s="74"/>
      <c r="M21" s="75"/>
    </row>
    <row r="22" spans="2:18" ht="15.75" x14ac:dyDescent="0.25">
      <c r="B22" s="28" t="s">
        <v>26</v>
      </c>
      <c r="C22" s="32">
        <f>C5</f>
        <v>0</v>
      </c>
      <c r="D22" s="2"/>
      <c r="E22" s="69"/>
      <c r="F22" s="64"/>
      <c r="G22" s="65"/>
      <c r="H22" s="66"/>
      <c r="I22" s="66"/>
      <c r="J22" s="2"/>
      <c r="K22" s="64"/>
      <c r="L22" s="74"/>
      <c r="M22" s="75"/>
    </row>
    <row r="23" spans="2:18" ht="15" x14ac:dyDescent="0.25">
      <c r="B23" s="2"/>
      <c r="C23" s="2"/>
      <c r="D23" s="2"/>
      <c r="E23" s="70"/>
      <c r="F23" s="71"/>
      <c r="G23" s="71"/>
      <c r="H23" s="72"/>
      <c r="I23" s="73"/>
      <c r="J23" s="2"/>
      <c r="K23" s="64"/>
      <c r="L23" s="74"/>
      <c r="M23" s="75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64"/>
      <c r="L24" s="74"/>
      <c r="M24" s="75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4"/>
      <c r="L25" s="74"/>
      <c r="M25" s="75"/>
    </row>
    <row r="26" spans="2:18" ht="15" x14ac:dyDescent="0.25">
      <c r="B26" s="2"/>
      <c r="C26" s="2"/>
      <c r="D26" s="2"/>
      <c r="E26" s="69"/>
      <c r="F26" s="64"/>
      <c r="G26" s="65"/>
      <c r="H26" s="66"/>
      <c r="I26" s="66"/>
      <c r="J26" s="2"/>
      <c r="K26" s="64"/>
      <c r="L26" s="74"/>
      <c r="M26" s="75"/>
    </row>
    <row r="27" spans="2:18" ht="15" x14ac:dyDescent="0.25">
      <c r="B27" s="2"/>
      <c r="C27" s="2"/>
      <c r="D27" s="2"/>
      <c r="E27" s="69"/>
      <c r="F27" s="64"/>
      <c r="G27" s="65"/>
      <c r="H27" s="66"/>
      <c r="I27" s="66"/>
      <c r="J27" s="2"/>
      <c r="K27" s="64"/>
      <c r="L27" s="74"/>
      <c r="M27" s="75"/>
    </row>
    <row r="28" spans="2:18" ht="15" x14ac:dyDescent="0.25">
      <c r="B28" s="2"/>
      <c r="C28" s="2"/>
      <c r="D28" s="2"/>
      <c r="E28" s="69"/>
      <c r="F28" s="64"/>
      <c r="G28" s="65"/>
      <c r="H28" s="66"/>
      <c r="I28" s="66"/>
      <c r="J28" s="2"/>
      <c r="K28" s="64"/>
      <c r="L28" s="74"/>
      <c r="M28" s="75"/>
    </row>
    <row r="29" spans="2:18" ht="15" x14ac:dyDescent="0.25">
      <c r="B29" s="2"/>
      <c r="C29" s="2"/>
      <c r="D29" s="2"/>
      <c r="E29" s="69"/>
      <c r="F29" s="64"/>
      <c r="G29" s="65"/>
      <c r="H29" s="66"/>
      <c r="I29" s="66"/>
      <c r="J29" s="2"/>
      <c r="K29" s="64"/>
      <c r="L29" s="74"/>
      <c r="M29" s="75"/>
    </row>
    <row r="30" spans="2:18" ht="15" x14ac:dyDescent="0.25">
      <c r="B30" s="2"/>
      <c r="C30" s="2"/>
      <c r="D30" s="2"/>
      <c r="E30" s="69"/>
      <c r="F30" s="78"/>
      <c r="G30" s="65"/>
      <c r="H30" s="66"/>
      <c r="I30" s="66"/>
      <c r="J30" s="2"/>
      <c r="K30" s="64"/>
      <c r="L30" s="74"/>
      <c r="M30" s="75"/>
    </row>
    <row r="31" spans="2:18" ht="15" x14ac:dyDescent="0.25">
      <c r="B31" s="2"/>
      <c r="C31" s="2"/>
      <c r="D31" s="2"/>
      <c r="E31" s="79"/>
      <c r="F31" s="80"/>
      <c r="G31" s="81"/>
      <c r="H31" s="82"/>
      <c r="I31" s="82"/>
      <c r="J31" s="2"/>
      <c r="K31" s="64"/>
      <c r="L31" s="74"/>
      <c r="M31" s="75"/>
    </row>
    <row r="32" spans="2:18" ht="15" x14ac:dyDescent="0.25">
      <c r="B32" s="2"/>
      <c r="C32" s="2"/>
      <c r="E32" s="70"/>
      <c r="F32" s="71"/>
      <c r="G32" s="71"/>
      <c r="H32" s="73"/>
      <c r="I32" s="73"/>
      <c r="K32" s="77"/>
      <c r="L32" s="77"/>
      <c r="M32" s="77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9"/>
      <c r="F35" s="64"/>
      <c r="G35" s="65"/>
      <c r="H35" s="66"/>
      <c r="I35" s="66"/>
      <c r="K35" s="64"/>
      <c r="L35" s="84"/>
      <c r="M35" s="75"/>
    </row>
    <row r="36" spans="2:18" ht="15" x14ac:dyDescent="0.25">
      <c r="E36" s="69"/>
      <c r="F36" s="64"/>
      <c r="G36" s="65"/>
      <c r="H36" s="66"/>
      <c r="I36" s="66"/>
      <c r="K36" s="64"/>
      <c r="L36" s="84"/>
      <c r="M36" s="75"/>
    </row>
    <row r="37" spans="2:18" ht="15" x14ac:dyDescent="0.25">
      <c r="E37" s="69"/>
      <c r="F37" s="64"/>
      <c r="G37" s="65"/>
      <c r="H37" s="66"/>
      <c r="I37" s="66"/>
      <c r="K37" s="64"/>
      <c r="L37" s="84"/>
      <c r="M37" s="75"/>
    </row>
    <row r="38" spans="2:18" ht="15" x14ac:dyDescent="0.25">
      <c r="E38" s="69"/>
      <c r="F38" s="64"/>
      <c r="G38" s="65"/>
      <c r="H38" s="66"/>
      <c r="I38" s="66"/>
      <c r="K38" s="64"/>
      <c r="L38" s="84"/>
      <c r="M38" s="75"/>
    </row>
    <row r="39" spans="2:18" ht="15" x14ac:dyDescent="0.25">
      <c r="E39" s="69"/>
      <c r="F39" s="78"/>
      <c r="G39" s="65"/>
      <c r="H39" s="66"/>
      <c r="I39" s="66"/>
      <c r="K39" s="64"/>
      <c r="L39" s="84"/>
      <c r="M39" s="75"/>
    </row>
    <row r="40" spans="2:18" ht="15" x14ac:dyDescent="0.25">
      <c r="E40" s="79"/>
      <c r="F40" s="80"/>
      <c r="G40" s="81"/>
      <c r="H40" s="82"/>
      <c r="I40" s="66"/>
      <c r="K40" s="80"/>
      <c r="L40" s="85"/>
      <c r="M40" s="86"/>
      <c r="Q40" s="1" t="s">
        <v>36</v>
      </c>
      <c r="R40" s="1">
        <f>SUM(R6:R21)</f>
        <v>0</v>
      </c>
    </row>
    <row r="41" spans="2:18" ht="15" x14ac:dyDescent="0.25">
      <c r="E41" s="83"/>
      <c r="F41" s="78"/>
      <c r="G41" s="65"/>
      <c r="H41" s="66"/>
      <c r="I41" s="66"/>
      <c r="K41" s="87"/>
      <c r="L41" s="84"/>
      <c r="M41" s="8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'22'!B1+1</f>
        <v>45527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9" t="s">
        <v>174</v>
      </c>
      <c r="F6" s="64"/>
      <c r="G6" s="65"/>
      <c r="H6" s="66"/>
      <c r="I6" s="66"/>
      <c r="J6" s="2"/>
      <c r="K6" s="64"/>
      <c r="L6" s="74"/>
      <c r="M6" s="75"/>
      <c r="R6" s="1">
        <f>IF(vend23[[#This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69"/>
      <c r="F7" s="64"/>
      <c r="G7" s="65"/>
      <c r="H7" s="66"/>
      <c r="I7" s="66"/>
      <c r="J7" s="2"/>
      <c r="K7" s="64"/>
      <c r="L7" s="74"/>
      <c r="M7" s="75"/>
      <c r="R7" s="1">
        <f>IF(vend23[[#This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69"/>
      <c r="F8" s="64"/>
      <c r="G8" s="65"/>
      <c r="H8" s="66"/>
      <c r="I8" s="66"/>
      <c r="J8" s="2"/>
      <c r="K8" s="64"/>
      <c r="L8" s="74"/>
      <c r="M8" s="75"/>
      <c r="R8" s="1">
        <f>IF(vend23[[#This Row],[Nº Venda]]&gt;1,1,0)</f>
        <v>0</v>
      </c>
    </row>
    <row r="9" spans="2:18" ht="15" x14ac:dyDescent="0.25">
      <c r="B9" s="2"/>
      <c r="C9" s="2"/>
      <c r="D9" s="2"/>
      <c r="E9" s="69"/>
      <c r="F9" s="64"/>
      <c r="G9" s="65"/>
      <c r="H9" s="66"/>
      <c r="I9" s="66"/>
      <c r="J9" s="2"/>
      <c r="K9" s="64"/>
      <c r="L9" s="74"/>
      <c r="M9" s="75"/>
      <c r="R9" s="1">
        <f>IF(vend23[[#This Row],[Nº Venda]]&gt;1,1,0)</f>
        <v>0</v>
      </c>
    </row>
    <row r="10" spans="2:18" ht="15" x14ac:dyDescent="0.25">
      <c r="B10" s="126" t="s">
        <v>5</v>
      </c>
      <c r="C10" s="126"/>
      <c r="D10" s="2"/>
      <c r="E10" s="69"/>
      <c r="F10" s="64"/>
      <c r="G10" s="65"/>
      <c r="H10" s="66"/>
      <c r="I10" s="66"/>
      <c r="J10" s="2"/>
      <c r="K10" s="64"/>
      <c r="L10" s="74"/>
      <c r="M10" s="75"/>
      <c r="R10" s="1">
        <f>IF(vend23[[#This Row],[Nº Venda]]&gt;1,1,0)</f>
        <v>0</v>
      </c>
    </row>
    <row r="11" spans="2:18" ht="15" x14ac:dyDescent="0.25">
      <c r="B11" s="30" t="s">
        <v>6</v>
      </c>
      <c r="C11" s="62">
        <f>(SUMIF($G$2:$G$31,B11,$I$2:$I$31))+(SUMIF($G$35:$G$44,B11,$H$35:$H$44))</f>
        <v>0</v>
      </c>
      <c r="D11" s="2"/>
      <c r="E11" s="69"/>
      <c r="F11" s="64"/>
      <c r="G11" s="65"/>
      <c r="H11" s="66"/>
      <c r="I11" s="66"/>
      <c r="J11" s="2"/>
      <c r="K11" s="76"/>
      <c r="L11" s="74"/>
      <c r="M11" s="75"/>
      <c r="O11" s="1">
        <f>IF(C16=0,0,1)</f>
        <v>0</v>
      </c>
      <c r="R11" s="1">
        <f>IF(vend23[[#This Row],[Nº Venda]]&gt;1,1,0)</f>
        <v>0</v>
      </c>
    </row>
    <row r="12" spans="2:18" ht="15" x14ac:dyDescent="0.25">
      <c r="B12" s="30" t="s">
        <v>7</v>
      </c>
      <c r="C12" s="62">
        <f>(SUMIF($G$2:$G$31,B12,$I$2:$I$31))+(SUMIF($G$35:$G$44,B12,$H$35:$H$44))</f>
        <v>0</v>
      </c>
      <c r="D12" s="2"/>
      <c r="E12" s="69"/>
      <c r="F12" s="64"/>
      <c r="G12" s="65"/>
      <c r="H12" s="66"/>
      <c r="I12" s="66"/>
      <c r="J12" s="2"/>
      <c r="K12" s="77"/>
      <c r="L12" s="77"/>
      <c r="M12" s="77"/>
      <c r="R12" s="1">
        <f>IF(vend23[[#This Row],[Nº Venda]]&gt;1,1,0)</f>
        <v>0</v>
      </c>
    </row>
    <row r="13" spans="2:18" ht="15" x14ac:dyDescent="0.25">
      <c r="B13" s="30" t="s">
        <v>8</v>
      </c>
      <c r="C13" s="62">
        <f>(SUMIF($G$2:$G$31,B13,$I$2:$I$31))+(SUMIF($G$35:$G$44,B13,$H$35:$H$44))</f>
        <v>0</v>
      </c>
      <c r="D13" s="2"/>
      <c r="E13" s="69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IF(vend23[[#This Row],[Nº Venda]]&gt;1,1,0)</f>
        <v>0</v>
      </c>
    </row>
    <row r="14" spans="2:18" ht="15" x14ac:dyDescent="0.25">
      <c r="B14" s="30" t="s">
        <v>9</v>
      </c>
      <c r="C14" s="62">
        <f>(SUMIF($G$2:$G$31,B14,$I$2:$I$31))+(SUMIF($G$35:$G$44,B14,$H$35:$H$44))</f>
        <v>0</v>
      </c>
      <c r="D14" s="2"/>
      <c r="E14" s="69"/>
      <c r="F14" s="64"/>
      <c r="G14" s="65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" x14ac:dyDescent="0.25">
      <c r="B15" s="30" t="s">
        <v>10</v>
      </c>
      <c r="C15" s="62">
        <f>(SUMIF($G$2:$G$31,B15,$I$2:$I$31))+(SUMIF($G$35:$G$44,B15,$H$35:$H$44))</f>
        <v>0</v>
      </c>
      <c r="D15" s="2"/>
      <c r="E15" s="69"/>
      <c r="F15" s="64"/>
      <c r="G15" s="65"/>
      <c r="H15" s="66"/>
      <c r="I15" s="66"/>
      <c r="J15" s="2"/>
      <c r="K15" s="64"/>
      <c r="L15" s="74"/>
      <c r="M15" s="75"/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69"/>
      <c r="F16" s="64"/>
      <c r="G16" s="65"/>
      <c r="H16" s="66"/>
      <c r="I16" s="66"/>
      <c r="J16" s="2"/>
      <c r="K16" s="64"/>
      <c r="L16" s="74"/>
      <c r="M16" s="75"/>
      <c r="R16" s="1">
        <f>IF(vend23[[#This Row],[Nº Venda]]&gt;1,1,0)</f>
        <v>0</v>
      </c>
    </row>
    <row r="17" spans="2:18" ht="15" x14ac:dyDescent="0.25">
      <c r="B17" s="2"/>
      <c r="C17" s="2"/>
      <c r="D17" s="2"/>
      <c r="E17" s="69"/>
      <c r="F17" s="64"/>
      <c r="G17" s="65"/>
      <c r="H17" s="66"/>
      <c r="I17" s="66"/>
      <c r="J17" s="2"/>
      <c r="K17" s="64"/>
      <c r="L17" s="74"/>
      <c r="M17" s="75"/>
      <c r="R17" s="1">
        <f>IF(vend23[[#This Row],[Nº Venda]]&gt;1,1,0)</f>
        <v>0</v>
      </c>
    </row>
    <row r="18" spans="2:18" ht="15" x14ac:dyDescent="0.25">
      <c r="B18" s="126" t="s">
        <v>12</v>
      </c>
      <c r="C18" s="126"/>
      <c r="D18" s="2"/>
      <c r="E18" s="69"/>
      <c r="F18" s="64"/>
      <c r="G18" s="65"/>
      <c r="H18" s="66"/>
      <c r="I18" s="66"/>
      <c r="J18" s="2"/>
      <c r="K18" s="64"/>
      <c r="L18" s="74"/>
      <c r="M18" s="75"/>
      <c r="R18" s="1">
        <f>IF(vend23[[#This Row],[Nº Venda]]&gt;1,1,0)</f>
        <v>0</v>
      </c>
    </row>
    <row r="19" spans="2:18" ht="15" x14ac:dyDescent="0.25">
      <c r="B19" s="30">
        <f>COUNT(entr_carn23[OS])</f>
        <v>0</v>
      </c>
      <c r="C19" s="31">
        <f>SUM(entr_carn23[Valor Total])</f>
        <v>0</v>
      </c>
      <c r="D19" s="2"/>
      <c r="E19" s="69"/>
      <c r="F19" s="64"/>
      <c r="G19" s="65"/>
      <c r="H19" s="66"/>
      <c r="I19" s="66"/>
      <c r="J19" s="2"/>
      <c r="K19" s="64"/>
      <c r="L19" s="74"/>
      <c r="M19" s="75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9"/>
      <c r="F20" s="65"/>
      <c r="G20" s="65"/>
      <c r="H20" s="66"/>
      <c r="I20" s="66"/>
      <c r="J20" s="2"/>
      <c r="K20" s="64"/>
      <c r="L20" s="74"/>
      <c r="M20" s="75"/>
      <c r="R20" s="1">
        <f>IF(vend23[[#This Row],[Nº Venda]]&gt;1,1,0)</f>
        <v>0</v>
      </c>
    </row>
    <row r="21" spans="2:18" ht="15" x14ac:dyDescent="0.25">
      <c r="B21" s="2"/>
      <c r="C21" s="2"/>
      <c r="D21" s="2"/>
      <c r="E21" s="69"/>
      <c r="F21" s="64"/>
      <c r="G21" s="65"/>
      <c r="H21" s="66"/>
      <c r="I21" s="66"/>
      <c r="J21" s="2"/>
      <c r="K21" s="64"/>
      <c r="L21" s="74"/>
      <c r="M21" s="75"/>
    </row>
    <row r="22" spans="2:18" ht="15.75" x14ac:dyDescent="0.25">
      <c r="B22" s="28" t="s">
        <v>26</v>
      </c>
      <c r="C22" s="32">
        <f>C5</f>
        <v>0</v>
      </c>
      <c r="D22" s="2"/>
      <c r="E22" s="69"/>
      <c r="F22" s="64"/>
      <c r="G22" s="65"/>
      <c r="H22" s="66"/>
      <c r="I22" s="66"/>
      <c r="J22" s="2"/>
      <c r="K22" s="64"/>
      <c r="L22" s="74"/>
      <c r="M22" s="75"/>
    </row>
    <row r="23" spans="2:18" ht="15" x14ac:dyDescent="0.25">
      <c r="B23" s="2"/>
      <c r="C23" s="2"/>
      <c r="D23" s="2"/>
      <c r="E23" s="70"/>
      <c r="F23" s="71"/>
      <c r="G23" s="71"/>
      <c r="H23" s="72"/>
      <c r="I23" s="73"/>
      <c r="J23" s="2"/>
      <c r="K23" s="64"/>
      <c r="L23" s="74"/>
      <c r="M23" s="75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64"/>
      <c r="L24" s="74"/>
      <c r="M24" s="75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4"/>
      <c r="L25" s="74"/>
      <c r="M25" s="75"/>
    </row>
    <row r="26" spans="2:18" ht="15" x14ac:dyDescent="0.25">
      <c r="B26" s="2"/>
      <c r="C26" s="2"/>
      <c r="D26" s="2"/>
      <c r="E26" s="69"/>
      <c r="F26" s="64"/>
      <c r="G26" s="65"/>
      <c r="H26" s="66"/>
      <c r="I26" s="66"/>
      <c r="J26" s="2"/>
      <c r="K26" s="64"/>
      <c r="L26" s="74"/>
      <c r="M26" s="75"/>
    </row>
    <row r="27" spans="2:18" ht="15" x14ac:dyDescent="0.25">
      <c r="B27" s="2"/>
      <c r="C27" s="2"/>
      <c r="D27" s="2"/>
      <c r="E27" s="69"/>
      <c r="F27" s="64"/>
      <c r="G27" s="65"/>
      <c r="H27" s="66"/>
      <c r="I27" s="66"/>
      <c r="J27" s="2"/>
      <c r="K27" s="64"/>
      <c r="L27" s="74"/>
      <c r="M27" s="75"/>
    </row>
    <row r="28" spans="2:18" ht="15" x14ac:dyDescent="0.25">
      <c r="B28" s="2"/>
      <c r="C28" s="2"/>
      <c r="D28" s="2"/>
      <c r="E28" s="69"/>
      <c r="F28" s="64"/>
      <c r="G28" s="65"/>
      <c r="H28" s="66"/>
      <c r="I28" s="66"/>
      <c r="J28" s="2"/>
      <c r="K28" s="64"/>
      <c r="L28" s="74"/>
      <c r="M28" s="75"/>
    </row>
    <row r="29" spans="2:18" ht="15" x14ac:dyDescent="0.25">
      <c r="B29" s="2"/>
      <c r="C29" s="2"/>
      <c r="D29" s="2"/>
      <c r="E29" s="69"/>
      <c r="F29" s="64"/>
      <c r="G29" s="65"/>
      <c r="H29" s="66"/>
      <c r="I29" s="66"/>
      <c r="J29" s="2"/>
      <c r="K29" s="64"/>
      <c r="L29" s="74"/>
      <c r="M29" s="75"/>
    </row>
    <row r="30" spans="2:18" ht="15" x14ac:dyDescent="0.25">
      <c r="B30" s="2"/>
      <c r="C30" s="2"/>
      <c r="D30" s="2"/>
      <c r="E30" s="69"/>
      <c r="F30" s="78"/>
      <c r="G30" s="65"/>
      <c r="H30" s="66"/>
      <c r="I30" s="66"/>
      <c r="J30" s="2"/>
      <c r="K30" s="64"/>
      <c r="L30" s="74"/>
      <c r="M30" s="75"/>
    </row>
    <row r="31" spans="2:18" ht="15" x14ac:dyDescent="0.25">
      <c r="B31" s="2"/>
      <c r="C31" s="2"/>
      <c r="D31" s="2"/>
      <c r="E31" s="79"/>
      <c r="F31" s="80"/>
      <c r="G31" s="81"/>
      <c r="H31" s="82"/>
      <c r="I31" s="82"/>
      <c r="J31" s="2"/>
      <c r="K31" s="64"/>
      <c r="L31" s="74"/>
      <c r="M31" s="75"/>
    </row>
    <row r="32" spans="2:18" ht="15" x14ac:dyDescent="0.25">
      <c r="B32" s="2"/>
      <c r="C32" s="2"/>
      <c r="E32" s="70"/>
      <c r="F32" s="71"/>
      <c r="G32" s="71"/>
      <c r="H32" s="73"/>
      <c r="I32" s="73"/>
      <c r="K32" s="77"/>
      <c r="L32" s="77"/>
      <c r="M32" s="77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9"/>
      <c r="F35" s="64"/>
      <c r="G35" s="65"/>
      <c r="H35" s="66"/>
      <c r="I35" s="66"/>
      <c r="K35" s="64"/>
      <c r="L35" s="84"/>
      <c r="M35" s="75"/>
    </row>
    <row r="36" spans="2:18" ht="15" x14ac:dyDescent="0.25">
      <c r="E36" s="69"/>
      <c r="F36" s="64"/>
      <c r="G36" s="65"/>
      <c r="H36" s="66"/>
      <c r="I36" s="66"/>
      <c r="K36" s="64"/>
      <c r="L36" s="84"/>
      <c r="M36" s="75"/>
    </row>
    <row r="37" spans="2:18" ht="15" x14ac:dyDescent="0.25">
      <c r="E37" s="69"/>
      <c r="F37" s="64"/>
      <c r="G37" s="65"/>
      <c r="H37" s="66"/>
      <c r="I37" s="66"/>
      <c r="K37" s="64"/>
      <c r="L37" s="84"/>
      <c r="M37" s="75"/>
    </row>
    <row r="38" spans="2:18" ht="15" x14ac:dyDescent="0.25">
      <c r="E38" s="69"/>
      <c r="F38" s="64"/>
      <c r="G38" s="65"/>
      <c r="H38" s="66"/>
      <c r="I38" s="66"/>
      <c r="K38" s="64"/>
      <c r="L38" s="84"/>
      <c r="M38" s="75"/>
    </row>
    <row r="39" spans="2:18" ht="15" x14ac:dyDescent="0.25">
      <c r="E39" s="69"/>
      <c r="F39" s="78"/>
      <c r="G39" s="65"/>
      <c r="H39" s="66"/>
      <c r="I39" s="66"/>
      <c r="K39" s="64"/>
      <c r="L39" s="84"/>
      <c r="M39" s="75"/>
    </row>
    <row r="40" spans="2:18" ht="15" x14ac:dyDescent="0.25">
      <c r="E40" s="79"/>
      <c r="F40" s="80"/>
      <c r="G40" s="81"/>
      <c r="H40" s="82"/>
      <c r="I40" s="66"/>
      <c r="K40" s="80"/>
      <c r="L40" s="85"/>
      <c r="M40" s="86"/>
      <c r="Q40" s="1" t="s">
        <v>36</v>
      </c>
      <c r="R40" s="1">
        <f>SUM(R6:R21)</f>
        <v>1</v>
      </c>
    </row>
    <row r="41" spans="2:18" ht="15" x14ac:dyDescent="0.25">
      <c r="E41" s="79"/>
      <c r="F41" s="78"/>
      <c r="G41" s="65"/>
      <c r="H41" s="66"/>
      <c r="I41" s="66"/>
      <c r="K41" s="87"/>
      <c r="L41" s="84"/>
      <c r="M41" s="86"/>
    </row>
    <row r="42" spans="2:18" ht="15" x14ac:dyDescent="0.25">
      <c r="E42" s="79"/>
      <c r="F42" s="108"/>
      <c r="G42" s="81"/>
      <c r="H42" s="82"/>
      <c r="I42" s="82"/>
    </row>
    <row r="43" spans="2:18" ht="15" x14ac:dyDescent="0.25">
      <c r="E43" s="79"/>
      <c r="F43" s="78"/>
      <c r="G43" s="65"/>
      <c r="H43" s="66"/>
      <c r="I43" s="66"/>
    </row>
    <row r="44" spans="2:18" ht="15" x14ac:dyDescent="0.25">
      <c r="E44" s="125"/>
      <c r="F44" s="108"/>
      <c r="G44" s="81"/>
      <c r="H44" s="82"/>
      <c r="I44" s="8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80" zoomScaleNormal="80" workbookViewId="0">
      <selection activeCell="K35" sqref="K35:M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'23'!B1+1</f>
        <v>45528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9"/>
      <c r="F6" s="64"/>
      <c r="G6" s="65"/>
      <c r="H6" s="66"/>
      <c r="I6" s="66"/>
      <c r="J6" s="2"/>
      <c r="K6" s="64"/>
      <c r="L6" s="74"/>
      <c r="M6" s="75"/>
      <c r="R6" s="1">
        <f>IF(vend24[[#This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9"/>
      <c r="F7" s="64"/>
      <c r="G7" s="65"/>
      <c r="H7" s="66"/>
      <c r="I7" s="66"/>
      <c r="J7" s="2"/>
      <c r="K7" s="64"/>
      <c r="L7" s="74"/>
      <c r="M7" s="75"/>
      <c r="R7" s="1">
        <f>IF(vend24[[#This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69"/>
      <c r="F8" s="64"/>
      <c r="G8" s="65"/>
      <c r="H8" s="66"/>
      <c r="I8" s="66"/>
      <c r="J8" s="2"/>
      <c r="K8" s="64"/>
      <c r="L8" s="74"/>
      <c r="M8" s="75"/>
      <c r="R8" s="1">
        <f>IF(vend24[[#This Row],[Nº Venda]]&gt;1,1,0)</f>
        <v>0</v>
      </c>
    </row>
    <row r="9" spans="2:18" ht="15" x14ac:dyDescent="0.25">
      <c r="B9" s="2"/>
      <c r="C9" s="2"/>
      <c r="D9" s="2"/>
      <c r="E9" s="69"/>
      <c r="F9" s="64"/>
      <c r="G9" s="65"/>
      <c r="H9" s="66"/>
      <c r="I9" s="66"/>
      <c r="J9" s="2"/>
      <c r="K9" s="64"/>
      <c r="L9" s="74"/>
      <c r="M9" s="75"/>
      <c r="R9" s="1">
        <f>IF(vend24[[#This Row],[Nº Venda]]&gt;1,1,0)</f>
        <v>0</v>
      </c>
    </row>
    <row r="10" spans="2:18" ht="15" x14ac:dyDescent="0.25">
      <c r="B10" s="126" t="s">
        <v>5</v>
      </c>
      <c r="C10" s="126"/>
      <c r="D10" s="2"/>
      <c r="E10" s="69"/>
      <c r="F10" s="64"/>
      <c r="G10" s="65"/>
      <c r="H10" s="66"/>
      <c r="I10" s="66"/>
      <c r="J10" s="2"/>
      <c r="K10" s="64"/>
      <c r="L10" s="74"/>
      <c r="M10" s="75"/>
      <c r="R10" s="1">
        <f>IF(vend24[[#This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69"/>
      <c r="F11" s="64"/>
      <c r="G11" s="65"/>
      <c r="H11" s="66"/>
      <c r="I11" s="66"/>
      <c r="J11" s="2"/>
      <c r="K11" s="76"/>
      <c r="L11" s="74"/>
      <c r="M11" s="75"/>
      <c r="O11" s="1">
        <f>IF(C16=0,0,1)</f>
        <v>0</v>
      </c>
      <c r="R11" s="1">
        <f>IF(vend24[[#This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9"/>
      <c r="F12" s="64"/>
      <c r="G12" s="65"/>
      <c r="H12" s="66"/>
      <c r="I12" s="66"/>
      <c r="J12" s="2"/>
      <c r="K12" s="77"/>
      <c r="L12" s="77"/>
      <c r="M12" s="77"/>
      <c r="R12" s="1">
        <f>IF(vend24[[#This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9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IF(vend24[[#This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9"/>
      <c r="F14" s="64"/>
      <c r="G14" s="65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9"/>
      <c r="F15" s="64"/>
      <c r="G15" s="65"/>
      <c r="H15" s="66"/>
      <c r="I15" s="66"/>
      <c r="J15" s="2"/>
      <c r="K15" s="64"/>
      <c r="L15" s="74"/>
      <c r="M15" s="75"/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69"/>
      <c r="F16" s="64"/>
      <c r="G16" s="65"/>
      <c r="H16" s="66"/>
      <c r="I16" s="66"/>
      <c r="J16" s="2"/>
      <c r="K16" s="64"/>
      <c r="L16" s="74"/>
      <c r="M16" s="75"/>
      <c r="R16" s="1">
        <f>IF(vend24[[#This Row],[Nº Venda]]&gt;1,1,0)</f>
        <v>0</v>
      </c>
    </row>
    <row r="17" spans="2:18" ht="15" x14ac:dyDescent="0.25">
      <c r="B17" s="2"/>
      <c r="C17" s="2"/>
      <c r="D17" s="2"/>
      <c r="E17" s="69"/>
      <c r="F17" s="64"/>
      <c r="G17" s="65"/>
      <c r="H17" s="66"/>
      <c r="I17" s="66"/>
      <c r="J17" s="2"/>
      <c r="K17" s="64"/>
      <c r="L17" s="74"/>
      <c r="M17" s="75"/>
      <c r="R17" s="1">
        <f>IF(vend24[[#This Row],[Nº Venda]]&gt;1,1,0)</f>
        <v>0</v>
      </c>
    </row>
    <row r="18" spans="2:18" ht="15" x14ac:dyDescent="0.25">
      <c r="B18" s="126" t="s">
        <v>12</v>
      </c>
      <c r="C18" s="126"/>
      <c r="D18" s="2"/>
      <c r="E18" s="69"/>
      <c r="F18" s="64"/>
      <c r="G18" s="65"/>
      <c r="H18" s="66"/>
      <c r="I18" s="66"/>
      <c r="J18" s="2"/>
      <c r="K18" s="64"/>
      <c r="L18" s="74"/>
      <c r="M18" s="75"/>
      <c r="R18" s="1">
        <f>IF(vend24[[#This Row],[Nº Venda]]&gt;1,1,0)</f>
        <v>0</v>
      </c>
    </row>
    <row r="19" spans="2:18" ht="15" x14ac:dyDescent="0.25">
      <c r="B19" s="30">
        <f>COUNT(entr_carn24[OS])</f>
        <v>0</v>
      </c>
      <c r="C19" s="31">
        <f>SUM(entr_carn24[Valor Total])</f>
        <v>0</v>
      </c>
      <c r="D19" s="2"/>
      <c r="E19" s="69"/>
      <c r="F19" s="64"/>
      <c r="G19" s="65"/>
      <c r="H19" s="66"/>
      <c r="I19" s="66"/>
      <c r="J19" s="2"/>
      <c r="K19" s="64"/>
      <c r="L19" s="74"/>
      <c r="M19" s="75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9"/>
      <c r="F20" s="65"/>
      <c r="G20" s="65"/>
      <c r="H20" s="66"/>
      <c r="I20" s="66"/>
      <c r="J20" s="2"/>
      <c r="K20" s="64"/>
      <c r="L20" s="74"/>
      <c r="M20" s="75"/>
      <c r="R20" s="1">
        <f>IF(vend24[[#This Row],[Nº Venda]]&gt;1,1,0)</f>
        <v>0</v>
      </c>
    </row>
    <row r="21" spans="2:18" ht="15" x14ac:dyDescent="0.25">
      <c r="B21" s="2"/>
      <c r="C21" s="2"/>
      <c r="D21" s="2"/>
      <c r="E21" s="69"/>
      <c r="F21" s="64"/>
      <c r="G21" s="65"/>
      <c r="H21" s="66"/>
      <c r="I21" s="66"/>
      <c r="J21" s="2"/>
      <c r="K21" s="64"/>
      <c r="L21" s="74"/>
      <c r="M21" s="75"/>
    </row>
    <row r="22" spans="2:18" ht="15.75" x14ac:dyDescent="0.25">
      <c r="B22" s="28" t="s">
        <v>26</v>
      </c>
      <c r="C22" s="32">
        <f>C5</f>
        <v>0</v>
      </c>
      <c r="D22" s="2"/>
      <c r="E22" s="69"/>
      <c r="F22" s="64"/>
      <c r="G22" s="65"/>
      <c r="H22" s="66"/>
      <c r="I22" s="66"/>
      <c r="J22" s="2"/>
      <c r="K22" s="64"/>
      <c r="L22" s="74"/>
      <c r="M22" s="75"/>
    </row>
    <row r="23" spans="2:18" ht="15" x14ac:dyDescent="0.25">
      <c r="B23" s="2"/>
      <c r="C23" s="2"/>
      <c r="D23" s="2"/>
      <c r="E23" s="70"/>
      <c r="F23" s="71"/>
      <c r="G23" s="71"/>
      <c r="H23" s="72"/>
      <c r="I23" s="73"/>
      <c r="J23" s="2"/>
      <c r="K23" s="64"/>
      <c r="L23" s="74"/>
      <c r="M23" s="75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64"/>
      <c r="L24" s="74"/>
      <c r="M24" s="75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4"/>
      <c r="L25" s="74"/>
      <c r="M25" s="75"/>
    </row>
    <row r="26" spans="2:18" ht="15" x14ac:dyDescent="0.25">
      <c r="B26" s="2"/>
      <c r="C26" s="2"/>
      <c r="D26" s="2"/>
      <c r="E26" s="69"/>
      <c r="F26" s="64"/>
      <c r="G26" s="65"/>
      <c r="H26" s="66"/>
      <c r="I26" s="66"/>
      <c r="J26" s="2"/>
      <c r="K26" s="64"/>
      <c r="L26" s="74"/>
      <c r="M26" s="75"/>
    </row>
    <row r="27" spans="2:18" ht="15" x14ac:dyDescent="0.25">
      <c r="B27" s="2"/>
      <c r="C27" s="2"/>
      <c r="D27" s="2"/>
      <c r="E27" s="69"/>
      <c r="F27" s="64"/>
      <c r="G27" s="65"/>
      <c r="H27" s="66"/>
      <c r="I27" s="66"/>
      <c r="J27" s="2"/>
      <c r="K27" s="64"/>
      <c r="L27" s="74"/>
      <c r="M27" s="75"/>
    </row>
    <row r="28" spans="2:18" ht="15" x14ac:dyDescent="0.25">
      <c r="B28" s="2"/>
      <c r="C28" s="2"/>
      <c r="D28" s="2"/>
      <c r="E28" s="69"/>
      <c r="F28" s="64"/>
      <c r="G28" s="65"/>
      <c r="H28" s="66"/>
      <c r="I28" s="66"/>
      <c r="J28" s="2"/>
      <c r="K28" s="64"/>
      <c r="L28" s="74"/>
      <c r="M28" s="75"/>
    </row>
    <row r="29" spans="2:18" ht="15" x14ac:dyDescent="0.25">
      <c r="B29" s="2"/>
      <c r="C29" s="2"/>
      <c r="D29" s="2"/>
      <c r="E29" s="69"/>
      <c r="F29" s="64"/>
      <c r="G29" s="65"/>
      <c r="H29" s="66"/>
      <c r="I29" s="66"/>
      <c r="J29" s="2"/>
      <c r="K29" s="64"/>
      <c r="L29" s="74"/>
      <c r="M29" s="75"/>
    </row>
    <row r="30" spans="2:18" ht="15" x14ac:dyDescent="0.25">
      <c r="B30" s="2"/>
      <c r="C30" s="2"/>
      <c r="D30" s="2"/>
      <c r="E30" s="69"/>
      <c r="F30" s="78"/>
      <c r="G30" s="65"/>
      <c r="H30" s="66"/>
      <c r="I30" s="66"/>
      <c r="J30" s="2"/>
      <c r="K30" s="64"/>
      <c r="L30" s="74"/>
      <c r="M30" s="75"/>
    </row>
    <row r="31" spans="2:18" ht="15" x14ac:dyDescent="0.25">
      <c r="B31" s="2"/>
      <c r="C31" s="2"/>
      <c r="D31" s="2"/>
      <c r="E31" s="79"/>
      <c r="F31" s="80"/>
      <c r="G31" s="81"/>
      <c r="H31" s="82"/>
      <c r="I31" s="82"/>
      <c r="J31" s="2"/>
      <c r="K31" s="64"/>
      <c r="L31" s="74"/>
      <c r="M31" s="75"/>
    </row>
    <row r="32" spans="2:18" ht="15" x14ac:dyDescent="0.25">
      <c r="B32" s="2"/>
      <c r="C32" s="2"/>
      <c r="E32" s="70"/>
      <c r="F32" s="71"/>
      <c r="G32" s="71"/>
      <c r="H32" s="73"/>
      <c r="I32" s="73"/>
      <c r="K32" s="77"/>
      <c r="L32" s="77"/>
      <c r="M32" s="77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9"/>
      <c r="F35" s="64"/>
      <c r="G35" s="65"/>
      <c r="H35" s="66"/>
      <c r="I35" s="66"/>
      <c r="K35" s="64"/>
      <c r="L35" s="84"/>
      <c r="M35" s="75"/>
    </row>
    <row r="36" spans="2:18" ht="15" x14ac:dyDescent="0.25">
      <c r="E36" s="69"/>
      <c r="F36" s="64"/>
      <c r="G36" s="65"/>
      <c r="H36" s="66"/>
      <c r="I36" s="66"/>
      <c r="K36" s="64"/>
      <c r="L36" s="84"/>
      <c r="M36" s="75"/>
    </row>
    <row r="37" spans="2:18" ht="15" x14ac:dyDescent="0.25">
      <c r="E37" s="69"/>
      <c r="F37" s="64"/>
      <c r="G37" s="65"/>
      <c r="H37" s="66"/>
      <c r="I37" s="66"/>
      <c r="K37" s="64"/>
      <c r="L37" s="84"/>
      <c r="M37" s="75"/>
    </row>
    <row r="38" spans="2:18" ht="15" x14ac:dyDescent="0.25">
      <c r="E38" s="69"/>
      <c r="F38" s="64"/>
      <c r="G38" s="65"/>
      <c r="H38" s="66"/>
      <c r="I38" s="66"/>
      <c r="K38" s="64"/>
      <c r="L38" s="84"/>
      <c r="M38" s="75"/>
    </row>
    <row r="39" spans="2:18" ht="15" x14ac:dyDescent="0.25">
      <c r="E39" s="69"/>
      <c r="F39" s="78"/>
      <c r="G39" s="65"/>
      <c r="H39" s="66"/>
      <c r="I39" s="66"/>
      <c r="K39" s="64"/>
      <c r="L39" s="84"/>
      <c r="M39" s="75"/>
    </row>
    <row r="40" spans="2:18" ht="15" x14ac:dyDescent="0.25">
      <c r="E40" s="79"/>
      <c r="F40" s="80"/>
      <c r="G40" s="81"/>
      <c r="H40" s="82"/>
      <c r="I40" s="66"/>
      <c r="K40" s="80"/>
      <c r="L40" s="85"/>
      <c r="M40" s="86"/>
      <c r="Q40" s="1" t="s">
        <v>36</v>
      </c>
      <c r="R40" s="1">
        <f>SUM(R6:R21)</f>
        <v>0</v>
      </c>
    </row>
    <row r="41" spans="2:18" ht="15" x14ac:dyDescent="0.25">
      <c r="E41" s="83"/>
      <c r="F41" s="78"/>
      <c r="G41" s="65"/>
      <c r="H41" s="66"/>
      <c r="I41" s="66"/>
      <c r="K41" s="87"/>
      <c r="L41" s="84"/>
      <c r="M41" s="8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80" zoomScaleNormal="80" workbookViewId="0">
      <selection activeCell="C14" sqref="C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'24'!B1+1</f>
        <v>45529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126" t="s">
        <v>5</v>
      </c>
      <c r="C10" s="12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128" t="s">
        <v>22</v>
      </c>
      <c r="L13" s="129"/>
      <c r="M13" s="130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>(SUMIF($G$2:$G$31,B15,$I$2:$I$31))+(SUMIF($G$35:$G$41,B15,$H$35:$H$41))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126" t="s">
        <v>12</v>
      </c>
      <c r="C18" s="12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59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'25'!B1+1</f>
        <v>45530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9"/>
      <c r="F6" s="64"/>
      <c r="G6" s="65"/>
      <c r="H6" s="66"/>
      <c r="I6" s="66"/>
      <c r="J6" s="2"/>
      <c r="K6" s="64"/>
      <c r="L6" s="74"/>
      <c r="M6" s="75"/>
      <c r="R6" s="1">
        <f>IF(vend26[[#This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9"/>
      <c r="F7" s="64"/>
      <c r="G7" s="65"/>
      <c r="H7" s="66"/>
      <c r="I7" s="66"/>
      <c r="J7" s="2"/>
      <c r="K7" s="64"/>
      <c r="L7" s="74"/>
      <c r="M7" s="75"/>
      <c r="R7" s="1">
        <f>IF(vend26[[#This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69"/>
      <c r="F8" s="64"/>
      <c r="G8" s="65"/>
      <c r="H8" s="66"/>
      <c r="I8" s="66"/>
      <c r="J8" s="2"/>
      <c r="K8" s="64"/>
      <c r="L8" s="74"/>
      <c r="M8" s="75"/>
      <c r="R8" s="1">
        <f>IF(vend26[[#This Row],[Nº Venda]]&gt;1,1,0)</f>
        <v>0</v>
      </c>
    </row>
    <row r="9" spans="2:18" ht="15" x14ac:dyDescent="0.25">
      <c r="B9" s="2"/>
      <c r="C9" s="2"/>
      <c r="D9" s="2"/>
      <c r="E9" s="69"/>
      <c r="F9" s="64"/>
      <c r="G9" s="65"/>
      <c r="H9" s="66"/>
      <c r="I9" s="66"/>
      <c r="J9" s="2"/>
      <c r="K9" s="64"/>
      <c r="L9" s="74"/>
      <c r="M9" s="75"/>
      <c r="R9" s="1">
        <f>IF(vend26[[#This Row],[Nº Venda]]&gt;1,1,0)</f>
        <v>0</v>
      </c>
    </row>
    <row r="10" spans="2:18" ht="15" x14ac:dyDescent="0.25">
      <c r="B10" s="126" t="s">
        <v>5</v>
      </c>
      <c r="C10" s="126"/>
      <c r="D10" s="2"/>
      <c r="E10" s="69"/>
      <c r="F10" s="64"/>
      <c r="G10" s="65"/>
      <c r="H10" s="66"/>
      <c r="I10" s="66"/>
      <c r="J10" s="2"/>
      <c r="K10" s="64"/>
      <c r="L10" s="74"/>
      <c r="M10" s="75"/>
      <c r="R10" s="1">
        <f>IF(vend26[[#This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69"/>
      <c r="F11" s="64"/>
      <c r="G11" s="65"/>
      <c r="H11" s="66"/>
      <c r="I11" s="66"/>
      <c r="J11" s="2"/>
      <c r="K11" s="76"/>
      <c r="L11" s="74"/>
      <c r="M11" s="75"/>
      <c r="O11" s="1">
        <f>IF(C16=0,0,1)</f>
        <v>0</v>
      </c>
      <c r="R11" s="1">
        <f>IF(vend26[[#This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9"/>
      <c r="F12" s="64"/>
      <c r="G12" s="65"/>
      <c r="H12" s="66"/>
      <c r="I12" s="66"/>
      <c r="J12" s="2"/>
      <c r="K12" s="77"/>
      <c r="L12" s="77"/>
      <c r="M12" s="77"/>
      <c r="R12" s="1">
        <f>IF(vend26[[#This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9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IF(vend26[[#This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9"/>
      <c r="F14" s="64"/>
      <c r="G14" s="65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9"/>
      <c r="F15" s="64"/>
      <c r="G15" s="65"/>
      <c r="H15" s="66"/>
      <c r="I15" s="66"/>
      <c r="J15" s="2"/>
      <c r="K15" s="64"/>
      <c r="L15" s="74"/>
      <c r="M15" s="75"/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69"/>
      <c r="F16" s="64"/>
      <c r="G16" s="65"/>
      <c r="H16" s="66"/>
      <c r="I16" s="66"/>
      <c r="J16" s="2"/>
      <c r="K16" s="64"/>
      <c r="L16" s="74"/>
      <c r="M16" s="75"/>
      <c r="R16" s="1">
        <f>IF(vend26[[#This Row],[Nº Venda]]&gt;1,1,0)</f>
        <v>0</v>
      </c>
    </row>
    <row r="17" spans="2:18" ht="15" x14ac:dyDescent="0.25">
      <c r="B17" s="2"/>
      <c r="C17" s="2"/>
      <c r="D17" s="2"/>
      <c r="E17" s="69"/>
      <c r="F17" s="64"/>
      <c r="G17" s="65"/>
      <c r="H17" s="66"/>
      <c r="I17" s="66"/>
      <c r="J17" s="2"/>
      <c r="K17" s="64"/>
      <c r="L17" s="74"/>
      <c r="M17" s="75"/>
      <c r="R17" s="1">
        <f>IF(vend26[[#This Row],[Nº Venda]]&gt;1,1,0)</f>
        <v>0</v>
      </c>
    </row>
    <row r="18" spans="2:18" ht="15" x14ac:dyDescent="0.25">
      <c r="B18" s="126" t="s">
        <v>12</v>
      </c>
      <c r="C18" s="126"/>
      <c r="D18" s="2"/>
      <c r="E18" s="69"/>
      <c r="F18" s="64"/>
      <c r="G18" s="65"/>
      <c r="H18" s="66"/>
      <c r="I18" s="66"/>
      <c r="J18" s="2"/>
      <c r="K18" s="64"/>
      <c r="L18" s="74"/>
      <c r="M18" s="75"/>
      <c r="R18" s="1">
        <f>IF(vend26[[#This Row],[Nº Venda]]&gt;1,1,0)</f>
        <v>0</v>
      </c>
    </row>
    <row r="19" spans="2:18" ht="15" x14ac:dyDescent="0.25">
      <c r="B19" s="30">
        <f>COUNT(entr_carn26[OS])</f>
        <v>0</v>
      </c>
      <c r="C19" s="31">
        <f>SUM(entr_carn26[Valor Total])</f>
        <v>0</v>
      </c>
      <c r="D19" s="2"/>
      <c r="E19" s="69"/>
      <c r="F19" s="64"/>
      <c r="G19" s="65"/>
      <c r="H19" s="66"/>
      <c r="I19" s="66"/>
      <c r="J19" s="2"/>
      <c r="K19" s="64"/>
      <c r="L19" s="74"/>
      <c r="M19" s="75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9"/>
      <c r="F20" s="65"/>
      <c r="G20" s="65"/>
      <c r="H20" s="66"/>
      <c r="I20" s="66"/>
      <c r="J20" s="2"/>
      <c r="K20" s="64"/>
      <c r="L20" s="74"/>
      <c r="M20" s="75"/>
      <c r="R20" s="1">
        <f>IF(vend26[[#This Row],[Nº Venda]]&gt;1,1,0)</f>
        <v>0</v>
      </c>
    </row>
    <row r="21" spans="2:18" ht="15" x14ac:dyDescent="0.25">
      <c r="B21" s="2"/>
      <c r="C21" s="2"/>
      <c r="D21" s="2"/>
      <c r="E21" s="69"/>
      <c r="F21" s="64"/>
      <c r="G21" s="65"/>
      <c r="H21" s="66"/>
      <c r="I21" s="66"/>
      <c r="J21" s="2"/>
      <c r="K21" s="64"/>
      <c r="L21" s="74"/>
      <c r="M21" s="75"/>
    </row>
    <row r="22" spans="2:18" ht="15.75" x14ac:dyDescent="0.25">
      <c r="B22" s="28" t="s">
        <v>26</v>
      </c>
      <c r="C22" s="32">
        <f>C5</f>
        <v>0</v>
      </c>
      <c r="D22" s="2"/>
      <c r="E22" s="69"/>
      <c r="F22" s="64"/>
      <c r="G22" s="65"/>
      <c r="H22" s="66"/>
      <c r="I22" s="66"/>
      <c r="J22" s="2"/>
      <c r="K22" s="64"/>
      <c r="L22" s="74"/>
      <c r="M22" s="75"/>
    </row>
    <row r="23" spans="2:18" ht="15" x14ac:dyDescent="0.25">
      <c r="B23" s="2"/>
      <c r="C23" s="2"/>
      <c r="D23" s="2"/>
      <c r="E23" s="70"/>
      <c r="F23" s="71"/>
      <c r="G23" s="71"/>
      <c r="H23" s="72"/>
      <c r="I23" s="73"/>
      <c r="J23" s="2"/>
      <c r="K23" s="64"/>
      <c r="L23" s="74"/>
      <c r="M23" s="75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64"/>
      <c r="L24" s="74"/>
      <c r="M24" s="75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4"/>
      <c r="L25" s="74"/>
      <c r="M25" s="75"/>
    </row>
    <row r="26" spans="2:18" ht="15" x14ac:dyDescent="0.25">
      <c r="B26" s="2"/>
      <c r="C26" s="2"/>
      <c r="D26" s="2"/>
      <c r="E26" s="69"/>
      <c r="F26" s="64"/>
      <c r="G26" s="65"/>
      <c r="H26" s="66"/>
      <c r="I26" s="66"/>
      <c r="J26" s="2"/>
      <c r="K26" s="64"/>
      <c r="L26" s="74"/>
      <c r="M26" s="75"/>
    </row>
    <row r="27" spans="2:18" ht="15" x14ac:dyDescent="0.25">
      <c r="B27" s="2"/>
      <c r="C27" s="2"/>
      <c r="D27" s="2"/>
      <c r="E27" s="69"/>
      <c r="F27" s="64"/>
      <c r="G27" s="65"/>
      <c r="H27" s="66"/>
      <c r="I27" s="66"/>
      <c r="J27" s="2"/>
      <c r="K27" s="64"/>
      <c r="L27" s="74"/>
      <c r="M27" s="75"/>
    </row>
    <row r="28" spans="2:18" ht="15" x14ac:dyDescent="0.25">
      <c r="B28" s="2"/>
      <c r="C28" s="2"/>
      <c r="D28" s="2"/>
      <c r="E28" s="69"/>
      <c r="F28" s="64"/>
      <c r="G28" s="65"/>
      <c r="H28" s="66"/>
      <c r="I28" s="66"/>
      <c r="J28" s="2"/>
      <c r="K28" s="64"/>
      <c r="L28" s="74"/>
      <c r="M28" s="75"/>
    </row>
    <row r="29" spans="2:18" ht="15" x14ac:dyDescent="0.25">
      <c r="B29" s="2"/>
      <c r="C29" s="2"/>
      <c r="D29" s="2"/>
      <c r="E29" s="69"/>
      <c r="F29" s="64"/>
      <c r="G29" s="65"/>
      <c r="H29" s="66"/>
      <c r="I29" s="66"/>
      <c r="J29" s="2"/>
      <c r="K29" s="64"/>
      <c r="L29" s="74"/>
      <c r="M29" s="75"/>
    </row>
    <row r="30" spans="2:18" ht="15" x14ac:dyDescent="0.25">
      <c r="B30" s="2"/>
      <c r="C30" s="2"/>
      <c r="D30" s="2"/>
      <c r="E30" s="69"/>
      <c r="F30" s="78"/>
      <c r="G30" s="65"/>
      <c r="H30" s="66"/>
      <c r="I30" s="66"/>
      <c r="J30" s="2"/>
      <c r="K30" s="64"/>
      <c r="L30" s="74"/>
      <c r="M30" s="75"/>
    </row>
    <row r="31" spans="2:18" ht="15" x14ac:dyDescent="0.25">
      <c r="B31" s="2"/>
      <c r="C31" s="2"/>
      <c r="D31" s="2"/>
      <c r="E31" s="79"/>
      <c r="F31" s="80"/>
      <c r="G31" s="81"/>
      <c r="H31" s="82"/>
      <c r="I31" s="82"/>
      <c r="J31" s="2"/>
      <c r="K31" s="64"/>
      <c r="L31" s="74"/>
      <c r="M31" s="75"/>
    </row>
    <row r="32" spans="2:18" ht="15" x14ac:dyDescent="0.25">
      <c r="B32" s="2"/>
      <c r="C32" s="2"/>
      <c r="E32" s="70"/>
      <c r="F32" s="71"/>
      <c r="G32" s="71"/>
      <c r="H32" s="73"/>
      <c r="I32" s="73"/>
      <c r="K32" s="77"/>
      <c r="L32" s="77"/>
      <c r="M32" s="77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9"/>
      <c r="F35" s="64"/>
      <c r="G35" s="65"/>
      <c r="H35" s="66"/>
      <c r="I35" s="66"/>
      <c r="K35" s="64"/>
      <c r="L35" s="84"/>
      <c r="M35" s="75"/>
    </row>
    <row r="36" spans="2:18" ht="15" x14ac:dyDescent="0.25">
      <c r="E36" s="69"/>
      <c r="F36" s="64"/>
      <c r="G36" s="65"/>
      <c r="H36" s="66"/>
      <c r="I36" s="66"/>
      <c r="K36" s="64"/>
      <c r="L36" s="84"/>
      <c r="M36" s="75"/>
    </row>
    <row r="37" spans="2:18" ht="15" x14ac:dyDescent="0.25">
      <c r="E37" s="69"/>
      <c r="F37" s="64"/>
      <c r="G37" s="65"/>
      <c r="H37" s="66"/>
      <c r="I37" s="66"/>
      <c r="K37" s="64"/>
      <c r="L37" s="84"/>
      <c r="M37" s="75"/>
    </row>
    <row r="38" spans="2:18" ht="15" x14ac:dyDescent="0.25">
      <c r="E38" s="69"/>
      <c r="F38" s="64"/>
      <c r="G38" s="65"/>
      <c r="H38" s="66"/>
      <c r="I38" s="66"/>
      <c r="K38" s="64"/>
      <c r="L38" s="84"/>
      <c r="M38" s="75"/>
    </row>
    <row r="39" spans="2:18" ht="15" x14ac:dyDescent="0.25">
      <c r="E39" s="69"/>
      <c r="F39" s="78"/>
      <c r="G39" s="65"/>
      <c r="H39" s="66"/>
      <c r="I39" s="66"/>
      <c r="K39" s="64"/>
      <c r="L39" s="84"/>
      <c r="M39" s="75"/>
    </row>
    <row r="40" spans="2:18" ht="15" x14ac:dyDescent="0.25">
      <c r="E40" s="79"/>
      <c r="F40" s="80"/>
      <c r="G40" s="81"/>
      <c r="H40" s="82"/>
      <c r="I40" s="66"/>
      <c r="K40" s="80"/>
      <c r="L40" s="85"/>
      <c r="M40" s="86"/>
      <c r="Q40" s="1" t="s">
        <v>36</v>
      </c>
      <c r="R40" s="1">
        <f>SUM(R6:R21)</f>
        <v>0</v>
      </c>
    </row>
    <row r="41" spans="2:18" ht="15" x14ac:dyDescent="0.25">
      <c r="E41" s="83"/>
      <c r="F41" s="78"/>
      <c r="G41" s="65"/>
      <c r="H41" s="66"/>
      <c r="I41" s="66"/>
      <c r="K41" s="87"/>
      <c r="L41" s="84"/>
      <c r="M41" s="8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4" zoomScale="80" zoomScaleNormal="80" workbookViewId="0">
      <selection activeCell="I6" sqref="I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'26'!B1+1</f>
        <v>45531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700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87.5</v>
      </c>
      <c r="D6" s="2"/>
      <c r="E6" s="69">
        <v>987</v>
      </c>
      <c r="F6" s="64" t="s">
        <v>176</v>
      </c>
      <c r="G6" s="65" t="s">
        <v>7</v>
      </c>
      <c r="H6" s="66">
        <v>700</v>
      </c>
      <c r="I6" s="66">
        <v>87.5</v>
      </c>
      <c r="J6" s="2"/>
      <c r="K6" s="64"/>
      <c r="L6" s="74"/>
      <c r="M6" s="75"/>
      <c r="R6" s="1">
        <f>IF(vend27[[#This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69"/>
      <c r="F7" s="64"/>
      <c r="G7" s="65"/>
      <c r="H7" s="66"/>
      <c r="I7" s="66"/>
      <c r="J7" s="2"/>
      <c r="K7" s="64"/>
      <c r="L7" s="74"/>
      <c r="M7" s="75"/>
      <c r="R7" s="1">
        <f>IF(vend27[[#This Row],[Nº Venda]]&gt;1,1,0)</f>
        <v>0</v>
      </c>
    </row>
    <row r="8" spans="2:18" ht="15.75" x14ac:dyDescent="0.25">
      <c r="B8" s="28" t="s">
        <v>21</v>
      </c>
      <c r="C8" s="29">
        <f>SUM(C6:C7)</f>
        <v>87.5</v>
      </c>
      <c r="D8" s="2"/>
      <c r="E8" s="69"/>
      <c r="F8" s="64"/>
      <c r="G8" s="65"/>
      <c r="H8" s="66"/>
      <c r="I8" s="66"/>
      <c r="J8" s="2"/>
      <c r="K8" s="64"/>
      <c r="L8" s="74"/>
      <c r="M8" s="75"/>
      <c r="R8" s="1">
        <f>IF(vend27[[#This Row],[Nº Venda]]&gt;1,1,0)</f>
        <v>0</v>
      </c>
    </row>
    <row r="9" spans="2:18" ht="15" x14ac:dyDescent="0.25">
      <c r="B9" s="2"/>
      <c r="C9" s="2"/>
      <c r="D9" s="2"/>
      <c r="E9" s="69"/>
      <c r="F9" s="64"/>
      <c r="G9" s="65"/>
      <c r="H9" s="66"/>
      <c r="I9" s="66"/>
      <c r="J9" s="2"/>
      <c r="K9" s="64"/>
      <c r="L9" s="74"/>
      <c r="M9" s="75"/>
      <c r="R9" s="1">
        <f>IF(vend27[[#This Row],[Nº Venda]]&gt;1,1,0)</f>
        <v>0</v>
      </c>
    </row>
    <row r="10" spans="2:18" ht="15" x14ac:dyDescent="0.25">
      <c r="B10" s="126" t="s">
        <v>5</v>
      </c>
      <c r="C10" s="126"/>
      <c r="D10" s="2"/>
      <c r="E10" s="69"/>
      <c r="F10" s="64"/>
      <c r="G10" s="65"/>
      <c r="H10" s="66"/>
      <c r="I10" s="66"/>
      <c r="J10" s="2"/>
      <c r="K10" s="64"/>
      <c r="L10" s="74"/>
      <c r="M10" s="75"/>
      <c r="R10" s="1">
        <f>IF(vend27[[#This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71</v>
      </c>
      <c r="D11" s="2"/>
      <c r="E11" s="69"/>
      <c r="F11" s="64"/>
      <c r="G11" s="65"/>
      <c r="H11" s="66"/>
      <c r="I11" s="66"/>
      <c r="J11" s="2"/>
      <c r="K11" s="76"/>
      <c r="L11" s="74"/>
      <c r="M11" s="75"/>
      <c r="O11" s="1">
        <f>IF(C16=0,0,1)</f>
        <v>1</v>
      </c>
      <c r="R11" s="1">
        <f>IF(vend27[[#This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87.5</v>
      </c>
      <c r="D12" s="2"/>
      <c r="E12" s="69"/>
      <c r="F12" s="64"/>
      <c r="G12" s="65"/>
      <c r="H12" s="66"/>
      <c r="I12" s="66"/>
      <c r="J12" s="2"/>
      <c r="K12" s="77"/>
      <c r="L12" s="77"/>
      <c r="M12" s="77"/>
      <c r="R12" s="1">
        <f>IF(vend27[[#This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9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IF(vend27[[#This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9"/>
      <c r="F14" s="64"/>
      <c r="G14" s="65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9"/>
      <c r="F15" s="64"/>
      <c r="G15" s="65"/>
      <c r="H15" s="66"/>
      <c r="I15" s="66"/>
      <c r="J15" s="2"/>
      <c r="K15" s="64">
        <v>955</v>
      </c>
      <c r="L15" s="74" t="s">
        <v>140</v>
      </c>
      <c r="M15" s="75" t="s">
        <v>146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158.5</v>
      </c>
      <c r="D16" s="2"/>
      <c r="E16" s="69"/>
      <c r="F16" s="64"/>
      <c r="G16" s="65"/>
      <c r="H16" s="66"/>
      <c r="I16" s="66"/>
      <c r="J16" s="2"/>
      <c r="K16" s="64">
        <v>985</v>
      </c>
      <c r="L16" s="74" t="s">
        <v>140</v>
      </c>
      <c r="M16" s="75" t="s">
        <v>146</v>
      </c>
      <c r="R16" s="1">
        <f>IF(vend27[[#This Row],[Nº Venda]]&gt;1,1,0)</f>
        <v>0</v>
      </c>
    </row>
    <row r="17" spans="2:18" ht="15" x14ac:dyDescent="0.25">
      <c r="B17" s="2"/>
      <c r="C17" s="2"/>
      <c r="D17" s="2"/>
      <c r="E17" s="69"/>
      <c r="F17" s="64"/>
      <c r="G17" s="65"/>
      <c r="H17" s="66"/>
      <c r="I17" s="66"/>
      <c r="J17" s="2"/>
      <c r="K17" s="64"/>
      <c r="L17" s="74"/>
      <c r="M17" s="75"/>
      <c r="R17" s="1">
        <f>IF(vend27[[#This Row],[Nº Venda]]&gt;1,1,0)</f>
        <v>0</v>
      </c>
    </row>
    <row r="18" spans="2:18" ht="15" x14ac:dyDescent="0.25">
      <c r="B18" s="126" t="s">
        <v>12</v>
      </c>
      <c r="C18" s="126"/>
      <c r="D18" s="2"/>
      <c r="E18" s="69"/>
      <c r="F18" s="64"/>
      <c r="G18" s="65"/>
      <c r="H18" s="66"/>
      <c r="I18" s="66"/>
      <c r="J18" s="2"/>
      <c r="K18" s="64"/>
      <c r="L18" s="74"/>
      <c r="M18" s="75"/>
      <c r="R18" s="1">
        <f>IF(vend27[[#This Row],[Nº Venda]]&gt;1,1,0)</f>
        <v>0</v>
      </c>
    </row>
    <row r="19" spans="2:18" ht="15" x14ac:dyDescent="0.25">
      <c r="B19" s="30">
        <f>COUNT(entr_carn27[OS])</f>
        <v>0</v>
      </c>
      <c r="C19" s="31">
        <f>SUM(entr_carn27[Valor Total])</f>
        <v>0</v>
      </c>
      <c r="D19" s="2"/>
      <c r="E19" s="69"/>
      <c r="F19" s="64"/>
      <c r="G19" s="65"/>
      <c r="H19" s="66"/>
      <c r="I19" s="66"/>
      <c r="J19" s="2"/>
      <c r="K19" s="64"/>
      <c r="L19" s="74"/>
      <c r="M19" s="75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9"/>
      <c r="F20" s="65"/>
      <c r="G20" s="65"/>
      <c r="H20" s="66"/>
      <c r="I20" s="66"/>
      <c r="J20" s="2"/>
      <c r="K20" s="64"/>
      <c r="L20" s="74"/>
      <c r="M20" s="75"/>
      <c r="R20" s="1">
        <f>IF(vend27[[#This Row],[Nº Venda]]&gt;1,1,0)</f>
        <v>0</v>
      </c>
    </row>
    <row r="21" spans="2:18" ht="15" x14ac:dyDescent="0.25">
      <c r="B21" s="2"/>
      <c r="C21" s="2"/>
      <c r="D21" s="2"/>
      <c r="E21" s="69"/>
      <c r="F21" s="64"/>
      <c r="G21" s="65"/>
      <c r="H21" s="66"/>
      <c r="I21" s="66"/>
      <c r="J21" s="2"/>
      <c r="K21" s="64"/>
      <c r="L21" s="74"/>
      <c r="M21" s="75"/>
    </row>
    <row r="22" spans="2:18" ht="15.75" x14ac:dyDescent="0.25">
      <c r="B22" s="28" t="s">
        <v>26</v>
      </c>
      <c r="C22" s="32">
        <f>C5</f>
        <v>700</v>
      </c>
      <c r="D22" s="2"/>
      <c r="E22" s="69"/>
      <c r="F22" s="64"/>
      <c r="G22" s="65"/>
      <c r="H22" s="66"/>
      <c r="I22" s="66"/>
      <c r="J22" s="2"/>
      <c r="K22" s="64"/>
      <c r="L22" s="74"/>
      <c r="M22" s="75"/>
    </row>
    <row r="23" spans="2:18" ht="15" x14ac:dyDescent="0.25">
      <c r="B23" s="2"/>
      <c r="C23" s="2"/>
      <c r="D23" s="2"/>
      <c r="E23" s="70"/>
      <c r="F23" s="71"/>
      <c r="G23" s="71"/>
      <c r="H23" s="72"/>
      <c r="I23" s="73"/>
      <c r="J23" s="2"/>
      <c r="K23" s="64"/>
      <c r="L23" s="74"/>
      <c r="M23" s="75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64"/>
      <c r="L24" s="74"/>
      <c r="M24" s="75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4"/>
      <c r="L25" s="74"/>
      <c r="M25" s="75"/>
    </row>
    <row r="26" spans="2:18" ht="15" x14ac:dyDescent="0.25">
      <c r="B26" s="2"/>
      <c r="C26" s="2"/>
      <c r="D26" s="2"/>
      <c r="E26" s="69"/>
      <c r="F26" s="64"/>
      <c r="G26" s="65"/>
      <c r="H26" s="66"/>
      <c r="I26" s="66"/>
      <c r="J26" s="2"/>
      <c r="K26" s="64"/>
      <c r="L26" s="74"/>
      <c r="M26" s="75"/>
    </row>
    <row r="27" spans="2:18" ht="15" x14ac:dyDescent="0.25">
      <c r="B27" s="2"/>
      <c r="C27" s="2"/>
      <c r="D27" s="2"/>
      <c r="E27" s="69"/>
      <c r="F27" s="64"/>
      <c r="G27" s="65"/>
      <c r="H27" s="66"/>
      <c r="I27" s="66"/>
      <c r="J27" s="2"/>
      <c r="K27" s="64"/>
      <c r="L27" s="74"/>
      <c r="M27" s="75"/>
    </row>
    <row r="28" spans="2:18" ht="15" x14ac:dyDescent="0.25">
      <c r="B28" s="2"/>
      <c r="C28" s="2"/>
      <c r="D28" s="2"/>
      <c r="E28" s="69"/>
      <c r="F28" s="64"/>
      <c r="G28" s="65"/>
      <c r="H28" s="66"/>
      <c r="I28" s="66"/>
      <c r="J28" s="2"/>
      <c r="K28" s="64"/>
      <c r="L28" s="74"/>
      <c r="M28" s="75"/>
    </row>
    <row r="29" spans="2:18" ht="15" x14ac:dyDescent="0.25">
      <c r="B29" s="2"/>
      <c r="C29" s="2"/>
      <c r="D29" s="2"/>
      <c r="E29" s="69"/>
      <c r="F29" s="64"/>
      <c r="G29" s="65"/>
      <c r="H29" s="66"/>
      <c r="I29" s="66"/>
      <c r="J29" s="2"/>
      <c r="K29" s="64"/>
      <c r="L29" s="74"/>
      <c r="M29" s="75"/>
    </row>
    <row r="30" spans="2:18" ht="15" x14ac:dyDescent="0.25">
      <c r="B30" s="2"/>
      <c r="C30" s="2"/>
      <c r="D30" s="2"/>
      <c r="E30" s="69"/>
      <c r="F30" s="78"/>
      <c r="G30" s="65"/>
      <c r="H30" s="66"/>
      <c r="I30" s="66"/>
      <c r="J30" s="2"/>
      <c r="K30" s="64"/>
      <c r="L30" s="74"/>
      <c r="M30" s="75"/>
    </row>
    <row r="31" spans="2:18" ht="15" x14ac:dyDescent="0.25">
      <c r="B31" s="2"/>
      <c r="C31" s="2"/>
      <c r="D31" s="2"/>
      <c r="E31" s="79"/>
      <c r="F31" s="80"/>
      <c r="G31" s="81"/>
      <c r="H31" s="82"/>
      <c r="I31" s="82"/>
      <c r="J31" s="2"/>
      <c r="K31" s="64"/>
      <c r="L31" s="74"/>
      <c r="M31" s="75"/>
    </row>
    <row r="32" spans="2:18" ht="15" x14ac:dyDescent="0.25">
      <c r="B32" s="2"/>
      <c r="C32" s="2"/>
      <c r="E32" s="70"/>
      <c r="F32" s="71"/>
      <c r="G32" s="71"/>
      <c r="H32" s="73"/>
      <c r="I32" s="73"/>
      <c r="K32" s="77"/>
      <c r="L32" s="77"/>
      <c r="M32" s="77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9">
        <v>864</v>
      </c>
      <c r="F35" s="64" t="s">
        <v>175</v>
      </c>
      <c r="G35" s="65" t="s">
        <v>6</v>
      </c>
      <c r="H35" s="66">
        <v>71</v>
      </c>
      <c r="I35" s="66" t="s">
        <v>44</v>
      </c>
      <c r="K35" s="64"/>
      <c r="L35" s="84"/>
      <c r="M35" s="75"/>
    </row>
    <row r="36" spans="2:18" ht="15" x14ac:dyDescent="0.25">
      <c r="E36" s="69"/>
      <c r="F36" s="64"/>
      <c r="G36" s="65"/>
      <c r="H36" s="66"/>
      <c r="I36" s="66"/>
      <c r="K36" s="64"/>
      <c r="L36" s="84"/>
      <c r="M36" s="75"/>
    </row>
    <row r="37" spans="2:18" ht="15" x14ac:dyDescent="0.25">
      <c r="E37" s="69"/>
      <c r="F37" s="64"/>
      <c r="G37" s="65"/>
      <c r="H37" s="66"/>
      <c r="I37" s="66"/>
      <c r="K37" s="64"/>
      <c r="L37" s="84"/>
      <c r="M37" s="75"/>
    </row>
    <row r="38" spans="2:18" ht="15" x14ac:dyDescent="0.25">
      <c r="E38" s="69"/>
      <c r="F38" s="64"/>
      <c r="G38" s="65"/>
      <c r="H38" s="66"/>
      <c r="I38" s="66"/>
      <c r="K38" s="64"/>
      <c r="L38" s="84"/>
      <c r="M38" s="75"/>
    </row>
    <row r="39" spans="2:18" ht="15" x14ac:dyDescent="0.25">
      <c r="E39" s="69"/>
      <c r="F39" s="78"/>
      <c r="G39" s="65"/>
      <c r="H39" s="66"/>
      <c r="I39" s="66"/>
      <c r="K39" s="64"/>
      <c r="L39" s="84"/>
      <c r="M39" s="75"/>
    </row>
    <row r="40" spans="2:18" ht="15" x14ac:dyDescent="0.25">
      <c r="E40" s="79"/>
      <c r="F40" s="80"/>
      <c r="G40" s="81"/>
      <c r="H40" s="82"/>
      <c r="I40" s="66"/>
      <c r="K40" s="80"/>
      <c r="L40" s="85"/>
      <c r="M40" s="86"/>
      <c r="Q40" s="1" t="s">
        <v>36</v>
      </c>
      <c r="R40" s="1">
        <f>SUM(R6:R21)</f>
        <v>1</v>
      </c>
    </row>
    <row r="41" spans="2:18" ht="15" x14ac:dyDescent="0.25">
      <c r="E41" s="83"/>
      <c r="F41" s="78"/>
      <c r="G41" s="65"/>
      <c r="H41" s="66"/>
      <c r="I41" s="66"/>
      <c r="K41" s="87"/>
      <c r="L41" s="84"/>
      <c r="M41" s="8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abSelected="1" zoomScale="80" zoomScaleNormal="8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6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'27'!B1+1</f>
        <v>45532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600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100</v>
      </c>
      <c r="D6" s="2"/>
      <c r="E6" s="69">
        <v>988</v>
      </c>
      <c r="F6" s="64" t="s">
        <v>177</v>
      </c>
      <c r="G6" s="65" t="s">
        <v>8</v>
      </c>
      <c r="H6" s="66">
        <v>600</v>
      </c>
      <c r="I6" s="66">
        <v>100</v>
      </c>
      <c r="J6" s="2"/>
      <c r="K6" s="64"/>
      <c r="L6" s="74"/>
      <c r="M6" s="75"/>
      <c r="R6" s="1">
        <f>IF(vend28[[#This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69"/>
      <c r="F7" s="64"/>
      <c r="G7" s="65"/>
      <c r="H7" s="66"/>
      <c r="I7" s="66"/>
      <c r="J7" s="2"/>
      <c r="K7" s="64"/>
      <c r="L7" s="74"/>
      <c r="M7" s="75"/>
      <c r="R7" s="1">
        <f>IF(vend28[[#This Row],[Nº Venda]]&gt;1,1,0)</f>
        <v>0</v>
      </c>
    </row>
    <row r="8" spans="2:18" ht="15.75" x14ac:dyDescent="0.25">
      <c r="B8" s="28" t="s">
        <v>21</v>
      </c>
      <c r="C8" s="29">
        <f>SUM(C6:C7)</f>
        <v>100</v>
      </c>
      <c r="D8" s="2"/>
      <c r="E8" s="69"/>
      <c r="F8" s="64"/>
      <c r="G8" s="65"/>
      <c r="H8" s="66"/>
      <c r="I8" s="66"/>
      <c r="J8" s="2"/>
      <c r="K8" s="64"/>
      <c r="L8" s="74"/>
      <c r="M8" s="75"/>
      <c r="R8" s="1">
        <f>IF(vend28[[#This Row],[Nº Venda]]&gt;1,1,0)</f>
        <v>0</v>
      </c>
    </row>
    <row r="9" spans="2:18" ht="15" x14ac:dyDescent="0.25">
      <c r="B9" s="2"/>
      <c r="C9" s="2"/>
      <c r="D9" s="2"/>
      <c r="E9" s="69"/>
      <c r="F9" s="64"/>
      <c r="G9" s="65"/>
      <c r="H9" s="66"/>
      <c r="I9" s="66"/>
      <c r="J9" s="2"/>
      <c r="K9" s="64"/>
      <c r="L9" s="74"/>
      <c r="M9" s="75"/>
      <c r="R9" s="1">
        <f>IF(vend28[[#This Row],[Nº Venda]]&gt;1,1,0)</f>
        <v>0</v>
      </c>
    </row>
    <row r="10" spans="2:18" ht="15" x14ac:dyDescent="0.25">
      <c r="B10" s="126" t="s">
        <v>5</v>
      </c>
      <c r="C10" s="126"/>
      <c r="D10" s="2"/>
      <c r="E10" s="69"/>
      <c r="F10" s="64"/>
      <c r="G10" s="65"/>
      <c r="H10" s="66"/>
      <c r="I10" s="66"/>
      <c r="J10" s="2"/>
      <c r="K10" s="64"/>
      <c r="L10" s="74"/>
      <c r="M10" s="75"/>
      <c r="R10" s="1">
        <f>IF(vend28[[#This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69"/>
      <c r="F11" s="64"/>
      <c r="G11" s="65"/>
      <c r="H11" s="66"/>
      <c r="I11" s="66"/>
      <c r="J11" s="2"/>
      <c r="K11" s="76"/>
      <c r="L11" s="74"/>
      <c r="M11" s="75"/>
      <c r="O11" s="1">
        <f>IF(C16=0,0,1)</f>
        <v>1</v>
      </c>
      <c r="R11" s="1">
        <f>IF(vend28[[#This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9"/>
      <c r="F12" s="64"/>
      <c r="G12" s="65"/>
      <c r="H12" s="66"/>
      <c r="I12" s="66"/>
      <c r="J12" s="2"/>
      <c r="K12" s="77"/>
      <c r="L12" s="77"/>
      <c r="M12" s="77"/>
      <c r="R12" s="1">
        <f>IF(vend28[[#This Row],[Nº Venda]]&gt;1,1,0)</f>
        <v>0</v>
      </c>
    </row>
    <row r="13" spans="2:18" ht="15" x14ac:dyDescent="0.25">
      <c r="B13" s="30" t="s">
        <v>8</v>
      </c>
      <c r="C13" s="31">
        <f t="shared" si="0"/>
        <v>100</v>
      </c>
      <c r="D13" s="2"/>
      <c r="E13" s="69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IF(vend28[[#This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9"/>
      <c r="F14" s="64"/>
      <c r="G14" s="65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9"/>
      <c r="F15" s="64"/>
      <c r="G15" s="65"/>
      <c r="H15" s="66"/>
      <c r="I15" s="66"/>
      <c r="J15" s="2"/>
      <c r="K15" s="64"/>
      <c r="L15" s="74"/>
      <c r="M15" s="75"/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100</v>
      </c>
      <c r="D16" s="2"/>
      <c r="E16" s="69"/>
      <c r="F16" s="64"/>
      <c r="G16" s="65"/>
      <c r="H16" s="66"/>
      <c r="I16" s="66"/>
      <c r="J16" s="2"/>
      <c r="K16" s="64"/>
      <c r="L16" s="74"/>
      <c r="M16" s="75"/>
      <c r="R16" s="1">
        <f>IF(vend28[[#This Row],[Nº Venda]]&gt;1,1,0)</f>
        <v>0</v>
      </c>
    </row>
    <row r="17" spans="2:18" ht="15" x14ac:dyDescent="0.25">
      <c r="B17" s="2"/>
      <c r="C17" s="2"/>
      <c r="D17" s="2"/>
      <c r="E17" s="69"/>
      <c r="F17" s="64"/>
      <c r="G17" s="65"/>
      <c r="H17" s="66"/>
      <c r="I17" s="66"/>
      <c r="J17" s="2"/>
      <c r="K17" s="64"/>
      <c r="L17" s="74"/>
      <c r="M17" s="75"/>
      <c r="R17" s="1">
        <f>IF(vend28[[#This Row],[Nº Venda]]&gt;1,1,0)</f>
        <v>0</v>
      </c>
    </row>
    <row r="18" spans="2:18" ht="15" x14ac:dyDescent="0.25">
      <c r="B18" s="126" t="s">
        <v>12</v>
      </c>
      <c r="C18" s="126"/>
      <c r="D18" s="2"/>
      <c r="E18" s="69"/>
      <c r="F18" s="64"/>
      <c r="G18" s="65"/>
      <c r="H18" s="66"/>
      <c r="I18" s="66"/>
      <c r="J18" s="2"/>
      <c r="K18" s="64"/>
      <c r="L18" s="74"/>
      <c r="M18" s="75"/>
      <c r="R18" s="1">
        <f>IF(vend28[[#This Row],[Nº Venda]]&gt;1,1,0)</f>
        <v>0</v>
      </c>
    </row>
    <row r="19" spans="2:18" ht="15" x14ac:dyDescent="0.25">
      <c r="B19" s="30">
        <f>COUNT(entr_carn28[OS])</f>
        <v>0</v>
      </c>
      <c r="C19" s="31">
        <f>SUM(entr_carn28[Valor Total])</f>
        <v>0</v>
      </c>
      <c r="D19" s="2"/>
      <c r="E19" s="69"/>
      <c r="F19" s="64"/>
      <c r="G19" s="65"/>
      <c r="H19" s="66"/>
      <c r="I19" s="66"/>
      <c r="J19" s="2"/>
      <c r="K19" s="64"/>
      <c r="L19" s="74"/>
      <c r="M19" s="75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9"/>
      <c r="F20" s="65"/>
      <c r="G20" s="65"/>
      <c r="H20" s="66"/>
      <c r="I20" s="66"/>
      <c r="J20" s="2"/>
      <c r="K20" s="64"/>
      <c r="L20" s="74"/>
      <c r="M20" s="75"/>
      <c r="R20" s="1">
        <f>IF(vend28[[#This Row],[Nº Venda]]&gt;1,1,0)</f>
        <v>0</v>
      </c>
    </row>
    <row r="21" spans="2:18" ht="15" x14ac:dyDescent="0.25">
      <c r="B21" s="2"/>
      <c r="C21" s="2"/>
      <c r="D21" s="2"/>
      <c r="E21" s="69"/>
      <c r="F21" s="64"/>
      <c r="G21" s="65"/>
      <c r="H21" s="66"/>
      <c r="I21" s="66"/>
      <c r="J21" s="2"/>
      <c r="K21" s="64"/>
      <c r="L21" s="74"/>
      <c r="M21" s="75"/>
    </row>
    <row r="22" spans="2:18" ht="15.75" x14ac:dyDescent="0.25">
      <c r="B22" s="28" t="s">
        <v>26</v>
      </c>
      <c r="C22" s="32">
        <f>C5</f>
        <v>600</v>
      </c>
      <c r="D22" s="2"/>
      <c r="E22" s="69"/>
      <c r="F22" s="64"/>
      <c r="G22" s="65"/>
      <c r="H22" s="66"/>
      <c r="I22" s="66"/>
      <c r="J22" s="2"/>
      <c r="K22" s="64"/>
      <c r="L22" s="74"/>
      <c r="M22" s="75"/>
    </row>
    <row r="23" spans="2:18" ht="15" x14ac:dyDescent="0.25">
      <c r="B23" s="2"/>
      <c r="C23" s="2"/>
      <c r="D23" s="2"/>
      <c r="E23" s="70"/>
      <c r="F23" s="71"/>
      <c r="G23" s="71"/>
      <c r="H23" s="72"/>
      <c r="I23" s="73"/>
      <c r="J23" s="2"/>
      <c r="K23" s="64"/>
      <c r="L23" s="74"/>
      <c r="M23" s="75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64"/>
      <c r="L24" s="74"/>
      <c r="M24" s="75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4"/>
      <c r="L25" s="74"/>
      <c r="M25" s="75"/>
    </row>
    <row r="26" spans="2:18" ht="15" x14ac:dyDescent="0.25">
      <c r="B26" s="2"/>
      <c r="C26" s="2"/>
      <c r="D26" s="2"/>
      <c r="E26" s="69"/>
      <c r="F26" s="64"/>
      <c r="G26" s="65"/>
      <c r="H26" s="66"/>
      <c r="I26" s="66"/>
      <c r="J26" s="2"/>
      <c r="K26" s="64"/>
      <c r="L26" s="74"/>
      <c r="M26" s="75"/>
    </row>
    <row r="27" spans="2:18" ht="15" x14ac:dyDescent="0.25">
      <c r="B27" s="2"/>
      <c r="C27" s="2"/>
      <c r="D27" s="2"/>
      <c r="E27" s="69"/>
      <c r="F27" s="64"/>
      <c r="G27" s="65"/>
      <c r="H27" s="66"/>
      <c r="I27" s="66"/>
      <c r="J27" s="2"/>
      <c r="K27" s="64"/>
      <c r="L27" s="74"/>
      <c r="M27" s="75"/>
    </row>
    <row r="28" spans="2:18" ht="15" x14ac:dyDescent="0.25">
      <c r="B28" s="2"/>
      <c r="C28" s="2"/>
      <c r="D28" s="2"/>
      <c r="E28" s="69"/>
      <c r="F28" s="64"/>
      <c r="G28" s="65"/>
      <c r="H28" s="66"/>
      <c r="I28" s="66"/>
      <c r="J28" s="2"/>
      <c r="K28" s="64"/>
      <c r="L28" s="74"/>
      <c r="M28" s="75"/>
    </row>
    <row r="29" spans="2:18" ht="15" x14ac:dyDescent="0.25">
      <c r="B29" s="2"/>
      <c r="C29" s="2"/>
      <c r="D29" s="2"/>
      <c r="E29" s="69"/>
      <c r="F29" s="64"/>
      <c r="G29" s="65"/>
      <c r="H29" s="66"/>
      <c r="I29" s="66"/>
      <c r="J29" s="2"/>
      <c r="K29" s="64"/>
      <c r="L29" s="74"/>
      <c r="M29" s="75"/>
    </row>
    <row r="30" spans="2:18" ht="15" x14ac:dyDescent="0.25">
      <c r="B30" s="2"/>
      <c r="C30" s="2"/>
      <c r="D30" s="2"/>
      <c r="E30" s="69"/>
      <c r="F30" s="78"/>
      <c r="G30" s="65"/>
      <c r="H30" s="66"/>
      <c r="I30" s="66"/>
      <c r="J30" s="2"/>
      <c r="K30" s="64"/>
      <c r="L30" s="74"/>
      <c r="M30" s="75"/>
    </row>
    <row r="31" spans="2:18" ht="15" x14ac:dyDescent="0.25">
      <c r="B31" s="2"/>
      <c r="C31" s="2"/>
      <c r="D31" s="2"/>
      <c r="E31" s="79"/>
      <c r="F31" s="80"/>
      <c r="G31" s="81"/>
      <c r="H31" s="82"/>
      <c r="I31" s="82"/>
      <c r="J31" s="2"/>
      <c r="K31" s="64"/>
      <c r="L31" s="74"/>
      <c r="M31" s="75"/>
    </row>
    <row r="32" spans="2:18" ht="15" x14ac:dyDescent="0.25">
      <c r="B32" s="2"/>
      <c r="C32" s="2"/>
      <c r="E32" s="70"/>
      <c r="F32" s="71"/>
      <c r="G32" s="71"/>
      <c r="H32" s="73"/>
      <c r="I32" s="73"/>
      <c r="K32" s="77"/>
      <c r="L32" s="77"/>
      <c r="M32" s="77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9"/>
      <c r="F35" s="64"/>
      <c r="G35" s="65"/>
      <c r="H35" s="66"/>
      <c r="I35" s="66"/>
      <c r="K35" s="25"/>
      <c r="L35" s="41"/>
      <c r="M35" s="16"/>
    </row>
    <row r="36" spans="2:18" ht="15" x14ac:dyDescent="0.25">
      <c r="E36" s="69"/>
      <c r="F36" s="64"/>
      <c r="G36" s="65"/>
      <c r="H36" s="66"/>
      <c r="I36" s="66"/>
      <c r="K36" s="25"/>
      <c r="L36" s="41"/>
      <c r="M36" s="16"/>
    </row>
    <row r="37" spans="2:18" ht="15" x14ac:dyDescent="0.25">
      <c r="E37" s="69"/>
      <c r="F37" s="64"/>
      <c r="G37" s="65"/>
      <c r="H37" s="66"/>
      <c r="I37" s="66"/>
      <c r="K37" s="25"/>
      <c r="L37" s="41"/>
      <c r="M37" s="16"/>
    </row>
    <row r="38" spans="2:18" ht="15" x14ac:dyDescent="0.25">
      <c r="E38" s="69"/>
      <c r="F38" s="64"/>
      <c r="G38" s="65"/>
      <c r="H38" s="66"/>
      <c r="I38" s="66"/>
      <c r="K38" s="25"/>
      <c r="L38" s="41"/>
      <c r="M38" s="16"/>
    </row>
    <row r="39" spans="2:18" ht="15" x14ac:dyDescent="0.25">
      <c r="E39" s="69"/>
      <c r="F39" s="78"/>
      <c r="G39" s="65"/>
      <c r="H39" s="66"/>
      <c r="I39" s="66"/>
      <c r="K39" s="25"/>
      <c r="L39" s="41"/>
      <c r="M39" s="16"/>
    </row>
    <row r="40" spans="2:18" ht="15" x14ac:dyDescent="0.25">
      <c r="E40" s="79"/>
      <c r="F40" s="80"/>
      <c r="G40" s="81"/>
      <c r="H40" s="82"/>
      <c r="I40" s="66"/>
      <c r="K40" s="36"/>
      <c r="L40" s="42"/>
      <c r="M40" s="40"/>
      <c r="Q40" s="1" t="s">
        <v>36</v>
      </c>
      <c r="R40" s="1">
        <f>SUM(R6:R21)</f>
        <v>1</v>
      </c>
    </row>
    <row r="41" spans="2:18" ht="15" x14ac:dyDescent="0.25">
      <c r="E41" s="83"/>
      <c r="F41" s="78"/>
      <c r="G41" s="65"/>
      <c r="H41" s="66"/>
      <c r="I41" s="66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12" zoomScale="80" zoomScaleNormal="80" workbookViewId="0">
      <selection activeCell="G16" sqref="G16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51">
        <f>'28'!B1+1</f>
        <v>45533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9"/>
      <c r="F6" s="64"/>
      <c r="G6" s="65"/>
      <c r="H6" s="66"/>
      <c r="I6" s="66"/>
      <c r="J6" s="2"/>
      <c r="K6" s="64"/>
      <c r="L6" s="74"/>
      <c r="M6" s="75"/>
      <c r="R6" s="1">
        <f>IF(vend29[[#This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9"/>
      <c r="F7" s="64"/>
      <c r="G7" s="65"/>
      <c r="H7" s="66"/>
      <c r="I7" s="66"/>
      <c r="J7" s="2"/>
      <c r="K7" s="64"/>
      <c r="L7" s="74"/>
      <c r="M7" s="75"/>
      <c r="R7" s="1">
        <f>IF(vend29[[#This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69"/>
      <c r="F8" s="64"/>
      <c r="G8" s="65"/>
      <c r="H8" s="66"/>
      <c r="I8" s="66"/>
      <c r="J8" s="2"/>
      <c r="K8" s="64"/>
      <c r="L8" s="74"/>
      <c r="M8" s="75"/>
      <c r="R8" s="1">
        <f>IF(vend29[[#This Row],[Nº Venda]]&gt;1,1,0)</f>
        <v>0</v>
      </c>
    </row>
    <row r="9" spans="2:18" ht="15" x14ac:dyDescent="0.25">
      <c r="B9" s="2"/>
      <c r="C9" s="2"/>
      <c r="D9" s="2"/>
      <c r="E9" s="69"/>
      <c r="F9" s="64"/>
      <c r="G9" s="65"/>
      <c r="H9" s="95"/>
      <c r="I9" s="66"/>
      <c r="J9" s="2"/>
      <c r="K9" s="64"/>
      <c r="L9" s="74"/>
      <c r="M9" s="75"/>
      <c r="R9" s="1">
        <f>IF(vend29[[#This Row],[Nº Venda]]&gt;1,1,0)</f>
        <v>0</v>
      </c>
    </row>
    <row r="10" spans="2:18" ht="15" x14ac:dyDescent="0.25">
      <c r="B10" s="126" t="s">
        <v>5</v>
      </c>
      <c r="C10" s="126"/>
      <c r="D10" s="2"/>
      <c r="E10" s="69"/>
      <c r="F10" s="64"/>
      <c r="G10" s="65"/>
      <c r="H10" s="66"/>
      <c r="I10" s="66"/>
      <c r="J10" s="2"/>
      <c r="K10" s="64"/>
      <c r="L10" s="74"/>
      <c r="M10" s="75"/>
      <c r="R10" s="1">
        <f>IF(vend29[[#This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100</v>
      </c>
      <c r="D11" s="2"/>
      <c r="E11" s="69"/>
      <c r="F11" s="64"/>
      <c r="G11" s="65"/>
      <c r="H11" s="66"/>
      <c r="I11" s="66"/>
      <c r="J11" s="2"/>
      <c r="K11" s="76"/>
      <c r="L11" s="74"/>
      <c r="M11" s="75"/>
      <c r="O11" s="1">
        <f>IF(C16=0,0,1)</f>
        <v>1</v>
      </c>
      <c r="R11" s="1">
        <f>IF(vend29[[#This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9"/>
      <c r="F12" s="64"/>
      <c r="G12" s="65"/>
      <c r="H12" s="66"/>
      <c r="I12" s="66"/>
      <c r="J12" s="2"/>
      <c r="K12" s="77"/>
      <c r="L12" s="77"/>
      <c r="M12" s="77"/>
      <c r="R12" s="1">
        <f>IF(vend29[[#This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9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IF(vend29[[#This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9"/>
      <c r="F14" s="64"/>
      <c r="G14" s="65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9"/>
      <c r="F15" s="64"/>
      <c r="G15" s="65"/>
      <c r="H15" s="66"/>
      <c r="I15" s="66"/>
      <c r="J15" s="2"/>
      <c r="K15" s="64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100</v>
      </c>
      <c r="D16" s="2"/>
      <c r="E16" s="69"/>
      <c r="F16" s="64"/>
      <c r="G16" s="65"/>
      <c r="H16" s="66"/>
      <c r="I16" s="66"/>
      <c r="J16" s="2"/>
      <c r="K16" s="64"/>
      <c r="L16" s="9"/>
      <c r="M16" s="16"/>
      <c r="R16" s="1">
        <f>IF(vend29[[#This Row],[Nº Venda]]&gt;1,1,0)</f>
        <v>0</v>
      </c>
    </row>
    <row r="17" spans="2:18" ht="15" x14ac:dyDescent="0.25">
      <c r="B17" s="2"/>
      <c r="C17" s="2"/>
      <c r="D17" s="2"/>
      <c r="E17" s="69"/>
      <c r="F17" s="64"/>
      <c r="G17" s="65"/>
      <c r="H17" s="66"/>
      <c r="I17" s="66"/>
      <c r="J17" s="2"/>
      <c r="K17" s="64"/>
      <c r="L17" s="9"/>
      <c r="M17" s="16"/>
      <c r="R17" s="1">
        <f>IF(vend29[[#This Row],[Nº Venda]]&gt;1,1,0)</f>
        <v>0</v>
      </c>
    </row>
    <row r="18" spans="2:18" ht="15" x14ac:dyDescent="0.25">
      <c r="B18" s="126" t="s">
        <v>12</v>
      </c>
      <c r="C18" s="126"/>
      <c r="D18" s="2"/>
      <c r="E18" s="69"/>
      <c r="F18" s="64"/>
      <c r="G18" s="65"/>
      <c r="H18" s="66"/>
      <c r="I18" s="66"/>
      <c r="J18" s="2"/>
      <c r="K18" s="25"/>
      <c r="L18" s="9"/>
      <c r="M18" s="16"/>
      <c r="R18" s="1">
        <f>IF(vend29[[#This Row],[Nº Venda]]&gt;1,1,0)</f>
        <v>0</v>
      </c>
    </row>
    <row r="19" spans="2:18" ht="15" x14ac:dyDescent="0.25">
      <c r="B19" s="30">
        <f>COUNT(entr_carn29[OS])</f>
        <v>0</v>
      </c>
      <c r="C19" s="31">
        <f>SUM(entr_carn29[Valor Total])</f>
        <v>0</v>
      </c>
      <c r="D19" s="2"/>
      <c r="E19" s="69"/>
      <c r="F19" s="64"/>
      <c r="G19" s="65"/>
      <c r="H19" s="66"/>
      <c r="I19" s="66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9"/>
      <c r="F20" s="65"/>
      <c r="G20" s="65"/>
      <c r="H20" s="66"/>
      <c r="I20" s="66"/>
      <c r="J20" s="2"/>
      <c r="K20" s="25"/>
      <c r="L20" s="9"/>
      <c r="M20" s="16"/>
      <c r="R20" s="1">
        <f>IF(vend29[[#This Row],[Nº Venda]]&gt;1,1,0)</f>
        <v>0</v>
      </c>
    </row>
    <row r="21" spans="2:18" ht="15" x14ac:dyDescent="0.25">
      <c r="B21" s="2"/>
      <c r="C21" s="2"/>
      <c r="D21" s="2"/>
      <c r="E21" s="69"/>
      <c r="F21" s="64"/>
      <c r="G21" s="65"/>
      <c r="H21" s="66"/>
      <c r="I21" s="66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69"/>
      <c r="F22" s="64"/>
      <c r="G22" s="65"/>
      <c r="H22" s="66"/>
      <c r="I22" s="66"/>
      <c r="J22" s="2"/>
      <c r="K22" s="25"/>
      <c r="L22" s="9"/>
      <c r="M22" s="16"/>
    </row>
    <row r="23" spans="2:18" ht="15" x14ac:dyDescent="0.25">
      <c r="B23" s="2"/>
      <c r="C23" s="2"/>
      <c r="D23" s="2"/>
      <c r="E23" s="70"/>
      <c r="F23" s="71"/>
      <c r="G23" s="71"/>
      <c r="H23" s="72"/>
      <c r="I23" s="73"/>
      <c r="J23" s="2"/>
      <c r="K23" s="25"/>
      <c r="L23" s="9"/>
      <c r="M23" s="16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" x14ac:dyDescent="0.25">
      <c r="B26" s="2"/>
      <c r="C26" s="2"/>
      <c r="D26" s="2"/>
      <c r="E26" s="69"/>
      <c r="F26" s="64"/>
      <c r="G26" s="65"/>
      <c r="H26" s="66"/>
      <c r="I26" s="66"/>
      <c r="J26" s="2"/>
      <c r="K26" s="25"/>
      <c r="L26" s="9"/>
      <c r="M26" s="16"/>
    </row>
    <row r="27" spans="2:18" ht="15" x14ac:dyDescent="0.25">
      <c r="B27" s="2"/>
      <c r="C27" s="2"/>
      <c r="D27" s="2"/>
      <c r="E27" s="69"/>
      <c r="F27" s="64"/>
      <c r="G27" s="65"/>
      <c r="H27" s="66"/>
      <c r="I27" s="66"/>
      <c r="J27" s="2"/>
      <c r="K27" s="25"/>
      <c r="L27" s="9"/>
      <c r="M27" s="16"/>
    </row>
    <row r="28" spans="2:18" ht="15" x14ac:dyDescent="0.25">
      <c r="B28" s="2"/>
      <c r="C28" s="2"/>
      <c r="D28" s="2"/>
      <c r="E28" s="69"/>
      <c r="F28" s="64"/>
      <c r="G28" s="65"/>
      <c r="H28" s="66"/>
      <c r="I28" s="66"/>
      <c r="J28" s="2"/>
      <c r="K28" s="25"/>
      <c r="L28" s="9"/>
      <c r="M28" s="16"/>
    </row>
    <row r="29" spans="2:18" ht="15" x14ac:dyDescent="0.25">
      <c r="B29" s="2"/>
      <c r="C29" s="2"/>
      <c r="D29" s="2"/>
      <c r="E29" s="69"/>
      <c r="F29" s="64"/>
      <c r="G29" s="65"/>
      <c r="H29" s="66"/>
      <c r="I29" s="66"/>
      <c r="J29" s="2"/>
      <c r="K29" s="25"/>
      <c r="L29" s="9"/>
      <c r="M29" s="16"/>
    </row>
    <row r="30" spans="2:18" ht="15" x14ac:dyDescent="0.25">
      <c r="B30" s="2"/>
      <c r="C30" s="2"/>
      <c r="D30" s="2"/>
      <c r="E30" s="69"/>
      <c r="F30" s="78"/>
      <c r="G30" s="65"/>
      <c r="H30" s="66"/>
      <c r="I30" s="66"/>
      <c r="J30" s="2"/>
      <c r="K30" s="25"/>
      <c r="L30" s="9"/>
      <c r="M30" s="16"/>
    </row>
    <row r="31" spans="2:18" ht="15" x14ac:dyDescent="0.25">
      <c r="B31" s="2"/>
      <c r="C31" s="2"/>
      <c r="D31" s="2"/>
      <c r="E31" s="79"/>
      <c r="F31" s="80"/>
      <c r="G31" s="81"/>
      <c r="H31" s="82"/>
      <c r="I31" s="82"/>
      <c r="J31" s="2"/>
      <c r="K31" s="25"/>
      <c r="L31" s="9"/>
      <c r="M31" s="16"/>
    </row>
    <row r="32" spans="2:18" ht="15" x14ac:dyDescent="0.25">
      <c r="B32" s="2"/>
      <c r="C32" s="2"/>
      <c r="E32" s="70"/>
      <c r="F32" s="71"/>
      <c r="G32" s="71"/>
      <c r="H32" s="73"/>
      <c r="I32" s="73"/>
      <c r="K32" s="124"/>
      <c r="L32" s="124"/>
      <c r="M32" s="124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9">
        <v>881</v>
      </c>
      <c r="F35" s="64" t="s">
        <v>178</v>
      </c>
      <c r="G35" s="65" t="s">
        <v>6</v>
      </c>
      <c r="H35" s="66">
        <v>100</v>
      </c>
      <c r="I35" s="66" t="s">
        <v>48</v>
      </c>
      <c r="K35" s="64"/>
      <c r="L35" s="84"/>
      <c r="M35" s="75"/>
    </row>
    <row r="36" spans="2:18" ht="15" x14ac:dyDescent="0.25">
      <c r="E36" s="69"/>
      <c r="F36" s="64"/>
      <c r="G36" s="65"/>
      <c r="H36" s="66"/>
      <c r="I36" s="66"/>
      <c r="K36" s="64"/>
      <c r="L36" s="84"/>
      <c r="M36" s="75"/>
    </row>
    <row r="37" spans="2:18" ht="15" x14ac:dyDescent="0.25">
      <c r="E37" s="69"/>
      <c r="F37" s="64"/>
      <c r="G37" s="65"/>
      <c r="H37" s="66"/>
      <c r="I37" s="66"/>
      <c r="K37" s="64"/>
      <c r="L37" s="84"/>
      <c r="M37" s="75"/>
    </row>
    <row r="38" spans="2:18" ht="15" x14ac:dyDescent="0.25">
      <c r="E38" s="69"/>
      <c r="F38" s="64"/>
      <c r="G38" s="65"/>
      <c r="H38" s="66"/>
      <c r="I38" s="66"/>
      <c r="K38" s="64"/>
      <c r="L38" s="84"/>
      <c r="M38" s="75"/>
    </row>
    <row r="39" spans="2:18" ht="15" x14ac:dyDescent="0.25">
      <c r="E39" s="69"/>
      <c r="F39" s="78"/>
      <c r="G39" s="65"/>
      <c r="H39" s="66"/>
      <c r="I39" s="66"/>
      <c r="K39" s="64"/>
      <c r="L39" s="84"/>
      <c r="M39" s="75"/>
    </row>
    <row r="40" spans="2:18" ht="15" x14ac:dyDescent="0.25">
      <c r="E40" s="79"/>
      <c r="F40" s="80"/>
      <c r="G40" s="81"/>
      <c r="H40" s="82"/>
      <c r="I40" s="66"/>
      <c r="K40" s="80"/>
      <c r="L40" s="85"/>
      <c r="M40" s="86"/>
      <c r="Q40" s="1" t="s">
        <v>36</v>
      </c>
      <c r="R40" s="1">
        <f>SUM(R6:R21)</f>
        <v>0</v>
      </c>
    </row>
    <row r="41" spans="2:18" ht="15" x14ac:dyDescent="0.25">
      <c r="E41" s="83"/>
      <c r="F41" s="78"/>
      <c r="G41" s="65"/>
      <c r="H41" s="66"/>
      <c r="I41" s="66"/>
      <c r="K41" s="87"/>
      <c r="L41" s="84"/>
      <c r="M41" s="8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4" style="1" customWidth="1"/>
    <col min="4" max="4" width="0.85546875" style="1" customWidth="1"/>
    <col min="5" max="5" width="13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0.7109375" style="1" customWidth="1"/>
    <col min="11" max="11" width="15.85546875" style="3" customWidth="1"/>
    <col min="12" max="12" width="24.28515625" style="3" bestFit="1" customWidth="1"/>
    <col min="13" max="13" width="11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'29'!B1+1</f>
        <v>45534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360</v>
      </c>
      <c r="D6" s="2"/>
      <c r="E6" s="69"/>
      <c r="F6" s="64"/>
      <c r="G6" s="65"/>
      <c r="H6" s="66"/>
      <c r="I6" s="66"/>
      <c r="J6" s="2"/>
      <c r="K6" s="64"/>
      <c r="L6" s="74"/>
      <c r="M6" s="75"/>
      <c r="R6" s="1">
        <f>IF(vend30[[#This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9"/>
      <c r="F7" s="64"/>
      <c r="G7" s="65"/>
      <c r="H7" s="66"/>
      <c r="I7" s="66"/>
      <c r="J7" s="2"/>
      <c r="K7" s="64"/>
      <c r="L7" s="74"/>
      <c r="M7" s="75"/>
      <c r="R7" s="1">
        <f>IF(vend30[[#This Row],[Nº Venda]]&gt;1,1,0)</f>
        <v>0</v>
      </c>
    </row>
    <row r="8" spans="2:18" ht="15.75" x14ac:dyDescent="0.25">
      <c r="B8" s="28" t="s">
        <v>21</v>
      </c>
      <c r="C8" s="29">
        <f>SUM(C6:C7)</f>
        <v>360</v>
      </c>
      <c r="D8" s="2"/>
      <c r="E8" s="69"/>
      <c r="F8" s="64"/>
      <c r="G8" s="65"/>
      <c r="H8" s="66"/>
      <c r="I8" s="66"/>
      <c r="J8" s="2"/>
      <c r="K8" s="64"/>
      <c r="L8" s="74"/>
      <c r="M8" s="75"/>
      <c r="R8" s="1">
        <f>IF(vend30[[#This Row],[Nº Venda]]&gt;1,1,0)</f>
        <v>0</v>
      </c>
    </row>
    <row r="9" spans="2:18" ht="15" x14ac:dyDescent="0.25">
      <c r="B9" s="2"/>
      <c r="C9" s="2"/>
      <c r="D9" s="2"/>
      <c r="E9" s="69"/>
      <c r="F9" s="64"/>
      <c r="G9" s="65"/>
      <c r="H9" s="66"/>
      <c r="I9" s="66"/>
      <c r="J9" s="2"/>
      <c r="K9" s="64"/>
      <c r="L9" s="74"/>
      <c r="M9" s="75"/>
      <c r="R9" s="1">
        <f>IF(vend30[[#This Row],[Nº Venda]]&gt;1,1,0)</f>
        <v>0</v>
      </c>
    </row>
    <row r="10" spans="2:18" ht="15" x14ac:dyDescent="0.25">
      <c r="B10" s="126" t="s">
        <v>5</v>
      </c>
      <c r="C10" s="126"/>
      <c r="D10" s="2"/>
      <c r="E10" s="69"/>
      <c r="F10" s="64"/>
      <c r="G10" s="65"/>
      <c r="H10" s="66"/>
      <c r="I10" s="66"/>
      <c r="J10" s="2"/>
      <c r="K10" s="64"/>
      <c r="L10" s="74"/>
      <c r="M10" s="75"/>
      <c r="R10" s="1">
        <f>IF(vend30[[#This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160</v>
      </c>
      <c r="D11" s="2"/>
      <c r="E11" s="69"/>
      <c r="F11" s="64"/>
      <c r="G11" s="65"/>
      <c r="H11" s="66"/>
      <c r="I11" s="66"/>
      <c r="J11" s="2"/>
      <c r="K11" s="76"/>
      <c r="L11" s="74"/>
      <c r="M11" s="75"/>
      <c r="O11" s="1">
        <f>IF(C16=0,0,1)</f>
        <v>1</v>
      </c>
      <c r="R11" s="1">
        <f>IF(vend30[[#This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9"/>
      <c r="F12" s="64"/>
      <c r="G12" s="65"/>
      <c r="H12" s="66"/>
      <c r="I12" s="66"/>
      <c r="J12" s="2"/>
      <c r="K12" s="77"/>
      <c r="L12" s="77"/>
      <c r="M12" s="77"/>
      <c r="R12" s="1">
        <f>IF(vend30[[#This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9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IF(vend30[[#This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9"/>
      <c r="F14" s="64"/>
      <c r="G14" s="65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" x14ac:dyDescent="0.25">
      <c r="B15" s="30" t="s">
        <v>10</v>
      </c>
      <c r="C15" s="31">
        <f t="shared" si="0"/>
        <v>200</v>
      </c>
      <c r="D15" s="2"/>
      <c r="E15" s="69"/>
      <c r="F15" s="64"/>
      <c r="G15" s="65"/>
      <c r="H15" s="66"/>
      <c r="I15" s="66"/>
      <c r="J15" s="2"/>
      <c r="K15" s="64">
        <v>942</v>
      </c>
      <c r="L15" s="74" t="s">
        <v>140</v>
      </c>
      <c r="M15" s="75" t="s">
        <v>151</v>
      </c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360</v>
      </c>
      <c r="D16" s="2"/>
      <c r="E16" s="69"/>
      <c r="F16" s="64"/>
      <c r="G16" s="65"/>
      <c r="H16" s="66"/>
      <c r="I16" s="66"/>
      <c r="J16" s="2"/>
      <c r="K16" s="64">
        <v>984</v>
      </c>
      <c r="L16" s="74" t="s">
        <v>140</v>
      </c>
      <c r="M16" s="75" t="s">
        <v>146</v>
      </c>
      <c r="R16" s="1">
        <f>IF(vend30[[#This Row],[Nº Venda]]&gt;1,1,0)</f>
        <v>0</v>
      </c>
    </row>
    <row r="17" spans="2:22" ht="15" x14ac:dyDescent="0.25">
      <c r="B17" s="2"/>
      <c r="C17" s="2"/>
      <c r="D17" s="2"/>
      <c r="E17" s="69"/>
      <c r="F17" s="64"/>
      <c r="G17" s="65"/>
      <c r="H17" s="66"/>
      <c r="I17" s="66"/>
      <c r="J17" s="2"/>
      <c r="K17" s="64"/>
      <c r="L17" s="74"/>
      <c r="M17" s="75"/>
      <c r="R17" s="1">
        <f>IF(vend30[[#This Row],[Nº Venda]]&gt;1,1,0)</f>
        <v>0</v>
      </c>
    </row>
    <row r="18" spans="2:22" ht="15" x14ac:dyDescent="0.25">
      <c r="B18" s="126" t="s">
        <v>12</v>
      </c>
      <c r="C18" s="126"/>
      <c r="D18" s="2"/>
      <c r="E18" s="69"/>
      <c r="F18" s="64"/>
      <c r="G18" s="65"/>
      <c r="H18" s="66"/>
      <c r="I18" s="66"/>
      <c r="J18" s="2"/>
      <c r="K18" s="64"/>
      <c r="L18" s="74"/>
      <c r="M18" s="75"/>
      <c r="R18" s="1">
        <f>IF(vend30[[#This Row],[Nº Venda]]&gt;1,1,0)</f>
        <v>0</v>
      </c>
    </row>
    <row r="19" spans="2:22" ht="15" x14ac:dyDescent="0.25">
      <c r="B19" s="30">
        <f>COUNT(entr_carn30[OS])</f>
        <v>1</v>
      </c>
      <c r="C19" s="31">
        <f>SUM(entr_carn30[Valor Total])</f>
        <v>784.2</v>
      </c>
      <c r="D19" s="2"/>
      <c r="E19" s="69"/>
      <c r="F19" s="64"/>
      <c r="G19" s="65"/>
      <c r="H19" s="66"/>
      <c r="I19" s="66"/>
      <c r="J19" s="2"/>
      <c r="K19" s="64"/>
      <c r="L19" s="74"/>
      <c r="M19" s="75"/>
      <c r="R19" s="1">
        <f>IF(vend30[[#This Row],[Nº Venda]]&gt;1,1,0)</f>
        <v>0</v>
      </c>
    </row>
    <row r="20" spans="2:22" ht="15.75" x14ac:dyDescent="0.25">
      <c r="B20" s="28" t="s">
        <v>11</v>
      </c>
      <c r="C20" s="32">
        <f>SUM(C19:C19)</f>
        <v>784.2</v>
      </c>
      <c r="D20" s="2"/>
      <c r="E20" s="69"/>
      <c r="F20" s="65"/>
      <c r="G20" s="65"/>
      <c r="H20" s="66"/>
      <c r="I20" s="66"/>
      <c r="J20" s="2"/>
      <c r="K20" s="64"/>
      <c r="L20" s="74"/>
      <c r="M20" s="75"/>
      <c r="R20" s="1">
        <f>IF(vend30[[#This Row],[Nº Venda]]&gt;1,1,0)</f>
        <v>0</v>
      </c>
    </row>
    <row r="21" spans="2:22" ht="15" x14ac:dyDescent="0.25">
      <c r="B21" s="2"/>
      <c r="C21" s="2"/>
      <c r="D21" s="2"/>
      <c r="E21" s="69"/>
      <c r="F21" s="64"/>
      <c r="G21" s="65"/>
      <c r="H21" s="66"/>
      <c r="I21" s="66"/>
      <c r="J21" s="2"/>
      <c r="K21" s="64"/>
      <c r="L21" s="74"/>
      <c r="M21" s="75"/>
      <c r="V21" s="1" t="s">
        <v>126</v>
      </c>
    </row>
    <row r="22" spans="2:22" ht="15.75" x14ac:dyDescent="0.25">
      <c r="B22" s="28" t="s">
        <v>26</v>
      </c>
      <c r="C22" s="32">
        <f>C5</f>
        <v>0</v>
      </c>
      <c r="D22" s="2"/>
      <c r="E22" s="69"/>
      <c r="F22" s="64"/>
      <c r="G22" s="65"/>
      <c r="H22" s="66"/>
      <c r="I22" s="66"/>
      <c r="J22" s="2"/>
      <c r="K22" s="64"/>
      <c r="L22" s="74"/>
      <c r="M22" s="75"/>
    </row>
    <row r="23" spans="2:22" ht="15" x14ac:dyDescent="0.25">
      <c r="B23" s="2"/>
      <c r="C23" s="2"/>
      <c r="D23" s="2"/>
      <c r="E23" s="70"/>
      <c r="F23" s="71"/>
      <c r="G23" s="71"/>
      <c r="H23" s="72"/>
      <c r="I23" s="73"/>
      <c r="J23" s="2"/>
      <c r="K23" s="64"/>
      <c r="L23" s="74"/>
      <c r="M23" s="75"/>
    </row>
    <row r="24" spans="2:22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64"/>
      <c r="L24" s="74"/>
      <c r="M24" s="75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4"/>
      <c r="L25" s="74"/>
      <c r="M25" s="75"/>
    </row>
    <row r="26" spans="2:22" ht="15" x14ac:dyDescent="0.25">
      <c r="B26" s="2"/>
      <c r="C26" s="2"/>
      <c r="D26" s="2"/>
      <c r="E26" s="69">
        <v>942</v>
      </c>
      <c r="F26" s="64" t="s">
        <v>179</v>
      </c>
      <c r="G26" s="65" t="s">
        <v>10</v>
      </c>
      <c r="H26" s="66"/>
      <c r="I26" s="66">
        <v>200</v>
      </c>
      <c r="J26" s="2"/>
      <c r="K26" s="64"/>
      <c r="L26" s="74"/>
      <c r="M26" s="75"/>
    </row>
    <row r="27" spans="2:22" ht="15" x14ac:dyDescent="0.25">
      <c r="B27" s="2"/>
      <c r="C27" s="2"/>
      <c r="D27" s="2"/>
      <c r="E27" s="69">
        <v>984</v>
      </c>
      <c r="F27" s="64" t="s">
        <v>143</v>
      </c>
      <c r="G27" s="65" t="s">
        <v>6</v>
      </c>
      <c r="H27" s="66"/>
      <c r="I27" s="66">
        <v>160</v>
      </c>
      <c r="J27" s="2"/>
      <c r="K27" s="64"/>
      <c r="L27" s="74"/>
      <c r="M27" s="75"/>
    </row>
    <row r="28" spans="2:22" ht="15" x14ac:dyDescent="0.25">
      <c r="B28" s="2"/>
      <c r="C28" s="2"/>
      <c r="D28" s="2"/>
      <c r="E28" s="69"/>
      <c r="F28" s="25"/>
      <c r="G28" s="65"/>
      <c r="H28" s="66"/>
      <c r="I28" s="66"/>
      <c r="J28" s="2"/>
      <c r="K28" s="64"/>
      <c r="L28" s="74"/>
      <c r="M28" s="75"/>
    </row>
    <row r="29" spans="2:22" ht="15" x14ac:dyDescent="0.25">
      <c r="B29" s="2"/>
      <c r="C29" s="2"/>
      <c r="D29" s="2"/>
      <c r="E29" s="69"/>
      <c r="F29" s="64"/>
      <c r="G29" s="65"/>
      <c r="H29" s="66"/>
      <c r="I29" s="66"/>
      <c r="J29" s="2"/>
      <c r="K29" s="64"/>
      <c r="L29" s="74"/>
      <c r="M29" s="75"/>
    </row>
    <row r="30" spans="2:22" ht="15" x14ac:dyDescent="0.25">
      <c r="B30" s="2"/>
      <c r="C30" s="2"/>
      <c r="D30" s="2"/>
      <c r="E30" s="69"/>
      <c r="F30" s="78"/>
      <c r="G30" s="65"/>
      <c r="H30" s="66"/>
      <c r="I30" s="66"/>
      <c r="J30" s="2"/>
      <c r="K30" s="64"/>
      <c r="L30" s="74"/>
      <c r="M30" s="75"/>
    </row>
    <row r="31" spans="2:22" ht="15" x14ac:dyDescent="0.25">
      <c r="B31" s="2"/>
      <c r="C31" s="2"/>
      <c r="D31" s="2"/>
      <c r="E31" s="79"/>
      <c r="F31" s="80"/>
      <c r="G31" s="81"/>
      <c r="H31" s="82"/>
      <c r="I31" s="82"/>
      <c r="J31" s="2"/>
      <c r="K31" s="64"/>
      <c r="L31" s="74"/>
      <c r="M31" s="75"/>
    </row>
    <row r="32" spans="2:22" ht="15" x14ac:dyDescent="0.25">
      <c r="B32" s="2"/>
      <c r="C32" s="2"/>
      <c r="E32" s="70"/>
      <c r="F32" s="71"/>
      <c r="G32" s="71"/>
      <c r="H32" s="73"/>
      <c r="I32" s="73"/>
      <c r="K32" s="77"/>
      <c r="L32" s="77"/>
      <c r="M32" s="77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9"/>
      <c r="F35" s="64"/>
      <c r="G35" s="65"/>
      <c r="H35" s="66"/>
      <c r="I35" s="66"/>
      <c r="K35" s="64">
        <v>942</v>
      </c>
      <c r="L35" s="84">
        <v>8</v>
      </c>
      <c r="M35" s="75">
        <v>784.2</v>
      </c>
    </row>
    <row r="36" spans="2:18" ht="15" x14ac:dyDescent="0.25">
      <c r="E36" s="69"/>
      <c r="F36" s="64"/>
      <c r="G36" s="65"/>
      <c r="H36" s="66"/>
      <c r="I36" s="66"/>
      <c r="K36" s="64"/>
      <c r="L36" s="84"/>
      <c r="M36" s="75"/>
    </row>
    <row r="37" spans="2:18" ht="15" x14ac:dyDescent="0.25">
      <c r="E37" s="69"/>
      <c r="F37" s="64"/>
      <c r="G37" s="65"/>
      <c r="H37" s="66"/>
      <c r="I37" s="66"/>
      <c r="K37" s="64"/>
      <c r="L37" s="84"/>
      <c r="M37" s="75"/>
    </row>
    <row r="38" spans="2:18" ht="15" x14ac:dyDescent="0.25">
      <c r="E38" s="69"/>
      <c r="F38" s="64"/>
      <c r="G38" s="65"/>
      <c r="H38" s="66"/>
      <c r="I38" s="66"/>
      <c r="K38" s="64"/>
      <c r="L38" s="84"/>
      <c r="M38" s="75"/>
    </row>
    <row r="39" spans="2:18" ht="15" x14ac:dyDescent="0.25">
      <c r="E39" s="69"/>
      <c r="F39" s="78"/>
      <c r="G39" s="65"/>
      <c r="H39" s="66"/>
      <c r="I39" s="66"/>
      <c r="K39" s="64"/>
      <c r="L39" s="84"/>
      <c r="M39" s="75"/>
    </row>
    <row r="40" spans="2:18" ht="15" x14ac:dyDescent="0.25">
      <c r="E40" s="79"/>
      <c r="F40" s="80"/>
      <c r="G40" s="81"/>
      <c r="H40" s="82"/>
      <c r="I40" s="66"/>
      <c r="K40" s="80"/>
      <c r="L40" s="85"/>
      <c r="M40" s="86"/>
      <c r="Q40" s="1" t="s">
        <v>36</v>
      </c>
      <c r="R40" s="1">
        <f>SUM(R6:R21)</f>
        <v>0</v>
      </c>
    </row>
    <row r="41" spans="2:18" ht="15" x14ac:dyDescent="0.25">
      <c r="E41" s="83"/>
      <c r="F41" s="78"/>
      <c r="G41" s="65"/>
      <c r="H41" s="66"/>
      <c r="I41" s="66"/>
      <c r="K41" s="87"/>
      <c r="L41" s="84"/>
      <c r="M41" s="8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opLeftCell="A21" zoomScale="80" zoomScaleNormal="80" workbookViewId="0">
      <selection activeCell="H34" sqref="H34:H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'30'!B1+1</f>
        <v>45535</v>
      </c>
    </row>
    <row r="2" spans="2:18" ht="18.75" x14ac:dyDescent="0.2">
      <c r="B2" s="131" t="s">
        <v>13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4" t="s">
        <v>1</v>
      </c>
      <c r="F4" s="134"/>
      <c r="G4" s="134"/>
      <c r="H4" s="134"/>
      <c r="I4" s="134"/>
      <c r="J4" s="22"/>
      <c r="K4" s="128" t="s">
        <v>3</v>
      </c>
      <c r="L4" s="129"/>
      <c r="M4" s="130"/>
    </row>
    <row r="5" spans="2:18" ht="15" x14ac:dyDescent="0.25">
      <c r="B5" s="23" t="s">
        <v>1</v>
      </c>
      <c r="C5" s="24">
        <f>SUMIF(I6:I31,"&gt;0",H6:H31)</f>
        <v>1000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1000</v>
      </c>
      <c r="D6" s="2"/>
      <c r="E6" s="69">
        <v>989</v>
      </c>
      <c r="F6" s="64" t="s">
        <v>180</v>
      </c>
      <c r="G6" s="65" t="s">
        <v>8</v>
      </c>
      <c r="H6" s="66">
        <v>1000</v>
      </c>
      <c r="I6" s="66">
        <v>1000</v>
      </c>
      <c r="J6" s="2"/>
      <c r="K6" s="64"/>
      <c r="L6" s="74"/>
      <c r="M6" s="75"/>
      <c r="R6" s="1">
        <f>IF(vend31[[#This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69"/>
      <c r="F7" s="64"/>
      <c r="G7" s="65"/>
      <c r="H7" s="66"/>
      <c r="I7" s="66"/>
      <c r="J7" s="2"/>
      <c r="K7" s="64"/>
      <c r="L7" s="74"/>
      <c r="M7" s="75"/>
      <c r="R7" s="1">
        <f>IF(vend31[[#This Row],[Nº Venda]]&gt;1,1,0)</f>
        <v>0</v>
      </c>
    </row>
    <row r="8" spans="2:18" ht="15.75" x14ac:dyDescent="0.25">
      <c r="B8" s="28" t="s">
        <v>21</v>
      </c>
      <c r="C8" s="29">
        <f>SUM(C6:C7)</f>
        <v>1000</v>
      </c>
      <c r="D8" s="2"/>
      <c r="E8" s="69"/>
      <c r="F8" s="64"/>
      <c r="G8" s="65"/>
      <c r="H8" s="66"/>
      <c r="I8" s="66"/>
      <c r="J8" s="2"/>
      <c r="K8" s="64"/>
      <c r="L8" s="74"/>
      <c r="M8" s="75"/>
      <c r="R8" s="1">
        <f>IF(vend31[[#This Row],[Nº Venda]]&gt;1,1,0)</f>
        <v>0</v>
      </c>
    </row>
    <row r="9" spans="2:18" ht="15" x14ac:dyDescent="0.25">
      <c r="B9" s="2"/>
      <c r="C9" s="2"/>
      <c r="D9" s="2"/>
      <c r="E9" s="69"/>
      <c r="F9" s="64"/>
      <c r="G9" s="65"/>
      <c r="H9" s="66"/>
      <c r="I9" s="66"/>
      <c r="J9" s="2"/>
      <c r="K9" s="64"/>
      <c r="L9" s="74"/>
      <c r="M9" s="75"/>
      <c r="R9" s="1">
        <f>IF(vend31[[#This Row],[Nº Venda]]&gt;1,1,0)</f>
        <v>0</v>
      </c>
    </row>
    <row r="10" spans="2:18" ht="15" x14ac:dyDescent="0.25">
      <c r="B10" s="126" t="s">
        <v>5</v>
      </c>
      <c r="C10" s="126"/>
      <c r="D10" s="2"/>
      <c r="E10" s="69"/>
      <c r="F10" s="64"/>
      <c r="G10" s="65"/>
      <c r="H10" s="66"/>
      <c r="I10" s="66"/>
      <c r="J10" s="2"/>
      <c r="K10" s="64"/>
      <c r="L10" s="74"/>
      <c r="M10" s="75"/>
      <c r="R10" s="1">
        <f>IF(vend31[[#This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178.71</v>
      </c>
      <c r="D11" s="2"/>
      <c r="E11" s="69"/>
      <c r="F11" s="64"/>
      <c r="G11" s="65"/>
      <c r="H11" s="66"/>
      <c r="I11" s="66"/>
      <c r="J11" s="2"/>
      <c r="K11" s="76"/>
      <c r="L11" s="74"/>
      <c r="M11" s="75"/>
      <c r="O11" s="1">
        <f>IF(C16=0,0,1)</f>
        <v>1</v>
      </c>
      <c r="R11" s="1">
        <f>IF(vend31[[#This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9"/>
      <c r="F12" s="64"/>
      <c r="G12" s="65"/>
      <c r="H12" s="66"/>
      <c r="I12" s="66"/>
      <c r="J12" s="2"/>
      <c r="K12" s="77"/>
      <c r="L12" s="77"/>
      <c r="M12" s="77"/>
      <c r="R12" s="1">
        <f>IF(vend31[[#This Row],[Nº Venda]]&gt;1,1,0)</f>
        <v>0</v>
      </c>
    </row>
    <row r="13" spans="2:18" ht="15" x14ac:dyDescent="0.25">
      <c r="B13" s="30" t="s">
        <v>8</v>
      </c>
      <c r="C13" s="31">
        <f t="shared" si="0"/>
        <v>1000</v>
      </c>
      <c r="D13" s="2"/>
      <c r="E13" s="69"/>
      <c r="F13" s="64"/>
      <c r="G13" s="65"/>
      <c r="H13" s="66"/>
      <c r="I13" s="66"/>
      <c r="J13" s="2"/>
      <c r="K13" s="128" t="s">
        <v>22</v>
      </c>
      <c r="L13" s="129"/>
      <c r="M13" s="130"/>
      <c r="R13" s="1">
        <f>IF(vend31[[#This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9"/>
      <c r="F14" s="64"/>
      <c r="G14" s="65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9"/>
      <c r="F15" s="64"/>
      <c r="G15" s="65"/>
      <c r="H15" s="66"/>
      <c r="I15" s="66"/>
      <c r="J15" s="2"/>
      <c r="K15" s="64"/>
      <c r="L15" s="74"/>
      <c r="M15" s="75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1178.71</v>
      </c>
      <c r="D16" s="2"/>
      <c r="E16" s="69"/>
      <c r="F16" s="64"/>
      <c r="G16" s="65"/>
      <c r="H16" s="66"/>
      <c r="I16" s="66"/>
      <c r="J16" s="2"/>
      <c r="K16" s="64"/>
      <c r="L16" s="74"/>
      <c r="M16" s="75"/>
      <c r="R16" s="1">
        <f>IF(vend31[[#This Row],[Nº Venda]]&gt;1,1,0)</f>
        <v>0</v>
      </c>
    </row>
    <row r="17" spans="2:18" ht="15" x14ac:dyDescent="0.25">
      <c r="B17" s="2"/>
      <c r="C17" s="2"/>
      <c r="D17" s="2"/>
      <c r="E17" s="69"/>
      <c r="F17" s="64"/>
      <c r="G17" s="65"/>
      <c r="H17" s="66"/>
      <c r="I17" s="66"/>
      <c r="J17" s="2"/>
      <c r="K17" s="64"/>
      <c r="L17" s="74"/>
      <c r="M17" s="75"/>
      <c r="R17" s="1">
        <f>IF(vend31[[#This Row],[Nº Venda]]&gt;1,1,0)</f>
        <v>0</v>
      </c>
    </row>
    <row r="18" spans="2:18" ht="15" x14ac:dyDescent="0.25">
      <c r="B18" s="126" t="s">
        <v>12</v>
      </c>
      <c r="C18" s="126"/>
      <c r="D18" s="2"/>
      <c r="E18" s="69"/>
      <c r="F18" s="64"/>
      <c r="G18" s="65"/>
      <c r="H18" s="66"/>
      <c r="I18" s="66"/>
      <c r="J18" s="2"/>
      <c r="K18" s="64"/>
      <c r="L18" s="74"/>
      <c r="M18" s="75"/>
      <c r="R18" s="1">
        <f>IF(vend31[[#This Row],[Nº Venda]]&gt;1,1,0)</f>
        <v>0</v>
      </c>
    </row>
    <row r="19" spans="2:18" ht="15" x14ac:dyDescent="0.25">
      <c r="B19" s="30">
        <f>COUNT(entr_carn31[OS])</f>
        <v>0</v>
      </c>
      <c r="C19" s="31">
        <f>SUM(entr_carn31[Valor Total])</f>
        <v>0</v>
      </c>
      <c r="D19" s="2"/>
      <c r="E19" s="69"/>
      <c r="F19" s="64"/>
      <c r="G19" s="65"/>
      <c r="H19" s="66"/>
      <c r="I19" s="66"/>
      <c r="J19" s="2"/>
      <c r="K19" s="64"/>
      <c r="L19" s="74"/>
      <c r="M19" s="75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9"/>
      <c r="F20" s="65"/>
      <c r="G20" s="65"/>
      <c r="H20" s="66"/>
      <c r="I20" s="66"/>
      <c r="J20" s="2"/>
      <c r="K20" s="64"/>
      <c r="L20" s="74"/>
      <c r="M20" s="75"/>
      <c r="R20" s="1">
        <f>IF(vend31[[#This Row],[Nº Venda]]&gt;1,1,0)</f>
        <v>0</v>
      </c>
    </row>
    <row r="21" spans="2:18" ht="15" x14ac:dyDescent="0.25">
      <c r="B21" s="2"/>
      <c r="C21" s="2"/>
      <c r="D21" s="2"/>
      <c r="E21" s="69"/>
      <c r="F21" s="64"/>
      <c r="G21" s="65"/>
      <c r="H21" s="66"/>
      <c r="I21" s="66"/>
      <c r="J21" s="2"/>
      <c r="K21" s="64"/>
      <c r="L21" s="74"/>
      <c r="M21" s="75"/>
    </row>
    <row r="22" spans="2:18" ht="15.75" x14ac:dyDescent="0.25">
      <c r="B22" s="28" t="s">
        <v>26</v>
      </c>
      <c r="C22" s="32">
        <f>C5</f>
        <v>1000</v>
      </c>
      <c r="D22" s="2"/>
      <c r="E22" s="69"/>
      <c r="F22" s="64"/>
      <c r="G22" s="65"/>
      <c r="H22" s="66"/>
      <c r="I22" s="66"/>
      <c r="J22" s="2"/>
      <c r="K22" s="64"/>
      <c r="L22" s="74"/>
      <c r="M22" s="75"/>
    </row>
    <row r="23" spans="2:18" ht="15" x14ac:dyDescent="0.25">
      <c r="B23" s="2"/>
      <c r="C23" s="2"/>
      <c r="D23" s="2"/>
      <c r="E23" s="70"/>
      <c r="F23" s="71"/>
      <c r="G23" s="71"/>
      <c r="H23" s="72"/>
      <c r="I23" s="73"/>
      <c r="J23" s="2"/>
      <c r="K23" s="64"/>
      <c r="L23" s="74"/>
      <c r="M23" s="75"/>
    </row>
    <row r="24" spans="2:18" ht="15" x14ac:dyDescent="0.25">
      <c r="B24" s="2"/>
      <c r="C24" s="2"/>
      <c r="D24" s="2"/>
      <c r="E24" s="127" t="s">
        <v>27</v>
      </c>
      <c r="F24" s="127"/>
      <c r="G24" s="127"/>
      <c r="H24" s="127"/>
      <c r="I24" s="127"/>
      <c r="J24" s="2"/>
      <c r="K24" s="64"/>
      <c r="L24" s="74"/>
      <c r="M24" s="75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4"/>
      <c r="L25" s="74"/>
      <c r="M25" s="75"/>
    </row>
    <row r="26" spans="2:18" ht="15" x14ac:dyDescent="0.25">
      <c r="B26" s="2"/>
      <c r="C26" s="2"/>
      <c r="D26" s="2"/>
      <c r="E26" s="69"/>
      <c r="F26" s="64"/>
      <c r="G26" s="65"/>
      <c r="H26" s="66"/>
      <c r="I26" s="66"/>
      <c r="J26" s="2"/>
      <c r="K26" s="64"/>
      <c r="L26" s="74"/>
      <c r="M26" s="75"/>
    </row>
    <row r="27" spans="2:18" ht="15" x14ac:dyDescent="0.25">
      <c r="B27" s="2"/>
      <c r="C27" s="2"/>
      <c r="D27" s="2"/>
      <c r="E27" s="69"/>
      <c r="F27" s="64"/>
      <c r="G27" s="65"/>
      <c r="H27" s="66"/>
      <c r="I27" s="66"/>
      <c r="J27" s="2"/>
      <c r="K27" s="64"/>
      <c r="L27" s="74"/>
      <c r="M27" s="75"/>
    </row>
    <row r="28" spans="2:18" ht="15" x14ac:dyDescent="0.25">
      <c r="B28" s="2"/>
      <c r="C28" s="2"/>
      <c r="D28" s="2"/>
      <c r="E28" s="69"/>
      <c r="F28" s="64"/>
      <c r="G28" s="65"/>
      <c r="H28" s="66"/>
      <c r="I28" s="66"/>
      <c r="J28" s="2"/>
      <c r="K28" s="64"/>
      <c r="L28" s="74"/>
      <c r="M28" s="75"/>
    </row>
    <row r="29" spans="2:18" ht="15" x14ac:dyDescent="0.25">
      <c r="B29" s="2"/>
      <c r="C29" s="2"/>
      <c r="D29" s="2"/>
      <c r="E29" s="69"/>
      <c r="F29" s="64"/>
      <c r="G29" s="65"/>
      <c r="H29" s="66"/>
      <c r="I29" s="66"/>
      <c r="J29" s="2"/>
      <c r="K29" s="64"/>
      <c r="L29" s="74"/>
      <c r="M29" s="75"/>
    </row>
    <row r="30" spans="2:18" ht="15" x14ac:dyDescent="0.25">
      <c r="B30" s="2"/>
      <c r="C30" s="2"/>
      <c r="D30" s="2"/>
      <c r="E30" s="69"/>
      <c r="F30" s="78"/>
      <c r="G30" s="65"/>
      <c r="H30" s="66"/>
      <c r="I30" s="66"/>
      <c r="J30" s="2"/>
      <c r="K30" s="64"/>
      <c r="L30" s="74"/>
      <c r="M30" s="75"/>
    </row>
    <row r="31" spans="2:18" ht="15" x14ac:dyDescent="0.25">
      <c r="B31" s="2"/>
      <c r="C31" s="2"/>
      <c r="D31" s="2"/>
      <c r="E31" s="79"/>
      <c r="F31" s="80"/>
      <c r="G31" s="81"/>
      <c r="H31" s="82"/>
      <c r="I31" s="82"/>
      <c r="J31" s="2"/>
      <c r="K31" s="64"/>
      <c r="L31" s="74"/>
      <c r="M31" s="75"/>
    </row>
    <row r="32" spans="2:18" ht="15" x14ac:dyDescent="0.25">
      <c r="B32" s="2"/>
      <c r="C32" s="2"/>
      <c r="E32" s="70"/>
      <c r="F32" s="71"/>
      <c r="G32" s="71"/>
      <c r="H32" s="73"/>
      <c r="I32" s="73"/>
      <c r="K32" s="77"/>
      <c r="L32" s="77"/>
      <c r="M32" s="77"/>
    </row>
    <row r="33" spans="2:18" ht="15" x14ac:dyDescent="0.25">
      <c r="B33" s="2"/>
      <c r="C33" s="2"/>
      <c r="E33" s="127" t="s">
        <v>28</v>
      </c>
      <c r="F33" s="127"/>
      <c r="G33" s="127"/>
      <c r="H33" s="127"/>
      <c r="I33" s="127"/>
      <c r="K33" s="128" t="s">
        <v>12</v>
      </c>
      <c r="L33" s="129"/>
      <c r="M33" s="13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9">
        <v>925</v>
      </c>
      <c r="F35" s="64" t="s">
        <v>181</v>
      </c>
      <c r="G35" s="65" t="s">
        <v>6</v>
      </c>
      <c r="H35" s="66">
        <v>178.71</v>
      </c>
      <c r="I35" s="66" t="s">
        <v>49</v>
      </c>
      <c r="K35" s="64"/>
      <c r="L35" s="84"/>
      <c r="M35" s="75"/>
    </row>
    <row r="36" spans="2:18" ht="15" x14ac:dyDescent="0.25">
      <c r="E36" s="69"/>
      <c r="F36" s="64"/>
      <c r="G36" s="65"/>
      <c r="H36" s="66"/>
      <c r="I36" s="66"/>
      <c r="K36" s="64"/>
      <c r="L36" s="84"/>
      <c r="M36" s="75"/>
    </row>
    <row r="37" spans="2:18" ht="15" x14ac:dyDescent="0.25">
      <c r="E37" s="69"/>
      <c r="F37" s="64"/>
      <c r="G37" s="65"/>
      <c r="H37" s="66"/>
      <c r="I37" s="66"/>
      <c r="K37" s="64"/>
      <c r="L37" s="84"/>
      <c r="M37" s="75"/>
    </row>
    <row r="38" spans="2:18" ht="15" x14ac:dyDescent="0.25">
      <c r="E38" s="69"/>
      <c r="F38" s="64"/>
      <c r="G38" s="65"/>
      <c r="H38" s="66"/>
      <c r="I38" s="66"/>
      <c r="K38" s="64"/>
      <c r="L38" s="84"/>
      <c r="M38" s="75"/>
    </row>
    <row r="39" spans="2:18" ht="15" x14ac:dyDescent="0.25">
      <c r="E39" s="69"/>
      <c r="F39" s="78"/>
      <c r="G39" s="65"/>
      <c r="H39" s="66"/>
      <c r="I39" s="66"/>
      <c r="K39" s="64"/>
      <c r="L39" s="84"/>
      <c r="M39" s="75"/>
    </row>
    <row r="40" spans="2:18" ht="15" x14ac:dyDescent="0.25">
      <c r="E40" s="79"/>
      <c r="F40" s="80"/>
      <c r="G40" s="81"/>
      <c r="H40" s="82"/>
      <c r="I40" s="66"/>
      <c r="K40" s="80"/>
      <c r="L40" s="85"/>
      <c r="M40" s="86"/>
      <c r="Q40" s="1" t="s">
        <v>36</v>
      </c>
      <c r="R40" s="1">
        <f>SUM(R6:R21)</f>
        <v>1</v>
      </c>
    </row>
    <row r="41" spans="2:18" ht="15" x14ac:dyDescent="0.25">
      <c r="E41" s="83"/>
      <c r="F41" s="78"/>
      <c r="G41" s="65"/>
      <c r="H41" s="66"/>
      <c r="I41" s="66"/>
      <c r="K41" s="87"/>
      <c r="L41" s="84"/>
      <c r="M41" s="8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2CD0A-5D7C-4BFB-A2C6-36AE761CDDB9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62</v>
      </c>
      <c r="B1" s="38" t="s">
        <v>63</v>
      </c>
      <c r="E1" s="38" t="s">
        <v>64</v>
      </c>
    </row>
    <row r="2" spans="1:5" x14ac:dyDescent="0.2">
      <c r="A2" s="38" t="s">
        <v>6</v>
      </c>
      <c r="B2" s="38" t="s">
        <v>65</v>
      </c>
      <c r="E2" t="s">
        <v>46</v>
      </c>
    </row>
    <row r="3" spans="1:5" x14ac:dyDescent="0.2">
      <c r="A3" s="38" t="s">
        <v>7</v>
      </c>
      <c r="B3" s="38" t="s">
        <v>66</v>
      </c>
      <c r="E3" t="s">
        <v>67</v>
      </c>
    </row>
    <row r="4" spans="1:5" x14ac:dyDescent="0.2">
      <c r="A4" s="38" t="s">
        <v>8</v>
      </c>
      <c r="B4" s="38" t="s">
        <v>68</v>
      </c>
      <c r="E4" t="s">
        <v>69</v>
      </c>
    </row>
    <row r="5" spans="1:5" x14ac:dyDescent="0.2">
      <c r="A5" s="38" t="s">
        <v>9</v>
      </c>
      <c r="B5" s="38" t="s">
        <v>70</v>
      </c>
      <c r="E5" t="s">
        <v>71</v>
      </c>
    </row>
    <row r="6" spans="1:5" x14ac:dyDescent="0.2">
      <c r="A6" s="38" t="s">
        <v>10</v>
      </c>
      <c r="B6" s="38" t="s">
        <v>10</v>
      </c>
      <c r="E6" t="s">
        <v>33</v>
      </c>
    </row>
    <row r="7" spans="1:5" x14ac:dyDescent="0.2">
      <c r="A7" s="38" t="s">
        <v>50</v>
      </c>
      <c r="B7" s="38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8" t="s">
        <v>40</v>
      </c>
      <c r="B9" s="38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5</vt:i4>
      </vt:variant>
    </vt:vector>
  </HeadingPairs>
  <TitlesOfParts>
    <vt:vector size="39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Planilha1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suzano2 lojas</cp:lastModifiedBy>
  <cp:revision/>
  <cp:lastPrinted>2024-08-30T20:25:28Z</cp:lastPrinted>
  <dcterms:created xsi:type="dcterms:W3CDTF">2004-04-07T20:43:43Z</dcterms:created>
  <dcterms:modified xsi:type="dcterms:W3CDTF">2024-10-03T18:38:47Z</dcterms:modified>
  <cp:category/>
  <cp:contentStatus/>
</cp:coreProperties>
</file>