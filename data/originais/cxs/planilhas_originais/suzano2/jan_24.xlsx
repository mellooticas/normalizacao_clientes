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2/CAIXA/"/>
    </mc:Choice>
  </mc:AlternateContent>
  <xr:revisionPtr revIDLastSave="1" documentId="13_ncr:1_{637B103F-71C9-488D-B04F-F694C955AE23}" xr6:coauthVersionLast="47" xr6:coauthVersionMax="47" xr10:uidLastSave="{BEA4747A-C544-47A3-A3BB-EBC55FA70AD8}"/>
  <bookViews>
    <workbookView xWindow="31080" yWindow="1140" windowWidth="19470" windowHeight="11295" tabRatio="895" firstSheet="5" activeTab="19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8"/>
  <c r="C13" i="178"/>
  <c r="C14" i="178"/>
  <c r="C15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88"/>
  <c r="C13" i="188"/>
  <c r="C14" i="188"/>
  <c r="C15" i="188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70"/>
  <c r="C11" i="103"/>
  <c r="C11" i="178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88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6" i="174"/>
  <c r="C6" i="173"/>
  <c r="C8" i="173" s="1"/>
  <c r="C6" i="172"/>
  <c r="C6" i="171"/>
  <c r="C8" i="171" s="1"/>
  <c r="C6" i="170"/>
  <c r="C6" i="103"/>
  <c r="C6" i="178"/>
  <c r="C6" i="177"/>
  <c r="C6" i="176"/>
  <c r="C6" i="180"/>
  <c r="C8" i="180" s="1"/>
  <c r="C6" i="182"/>
  <c r="C6" i="183"/>
  <c r="C6" i="181"/>
  <c r="C6" i="179"/>
  <c r="C8" i="179" s="1"/>
  <c r="C6" i="184"/>
  <c r="C6" i="185"/>
  <c r="C6" i="186"/>
  <c r="C6" i="187"/>
  <c r="C8" i="187" s="1"/>
  <c r="C6" i="189"/>
  <c r="C6" i="190"/>
  <c r="C8" i="190" s="1"/>
  <c r="C6" i="191"/>
  <c r="C6" i="188"/>
  <c r="C6" i="193"/>
  <c r="C6" i="195"/>
  <c r="C6" i="194"/>
  <c r="C6" i="197"/>
  <c r="C8" i="197" s="1"/>
  <c r="C6" i="196"/>
  <c r="C6" i="192"/>
  <c r="C6" i="199"/>
  <c r="C6" i="198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C8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96" l="1"/>
  <c r="C8" i="189"/>
  <c r="C8" i="172"/>
  <c r="C8" i="199"/>
  <c r="C8" i="194"/>
  <c r="C8" i="186"/>
  <c r="C8" i="176"/>
  <c r="C8" i="192"/>
  <c r="C8" i="183"/>
  <c r="C8" i="175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6" i="170"/>
  <c r="O11" i="170" s="1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4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  <c r="B1" i="174" l="1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s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<sst xmlns="http://schemas.openxmlformats.org/spreadsheetml/2006/main" count="1683" uniqueCount="164">
  <si>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</si>
  <si>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</si>
  <si>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</si>
  <si>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</si>
  <si>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</si>
  <si>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</si>
  <si>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</si>
  <si>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</si>
  <si>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</si>
  <si>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</si>
  <si>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</si>
  <si>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</si>
  <si>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</si>
  <si>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</si>
  <si>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</si>
  <si>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</si>
  <si>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</si>
  <si>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</si>
  <si>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</si>
  <si>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</si>
  <si>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</si>
  <si>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</si>
  <si>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</si>
  <si>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</si>
  <si>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</si>
  <si>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</si>
  <si>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</si>
  <si>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</si>
  <si>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</si>
  <si>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</si>
  <si>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</si>
  <si>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</si>
  <si>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</si>
  <si>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Total de OS</t>
  </si>
  <si>
    <t>ANA PAULA GOMES PERES</t>
  </si>
  <si>
    <t>VERIFICAÇÃO</t>
  </si>
  <si>
    <t>SANDRA FARIAS DE FREITAS</t>
  </si>
  <si>
    <t xml:space="preserve">EDUARDO CELESTINO DOS SANTOS </t>
  </si>
  <si>
    <t>GILVANIA CAVALCANTE DOS SANTOS</t>
  </si>
  <si>
    <t>GUSTAVO CAVALCANTE DOS SANTOS</t>
  </si>
  <si>
    <t>ROSEMEIRE SANT ANA</t>
  </si>
  <si>
    <t>DÉBORA MARIA DE SANTANA</t>
  </si>
  <si>
    <t>PARC. 2/4</t>
  </si>
  <si>
    <t xml:space="preserve">EDER APARECIDO ANANIAS </t>
  </si>
  <si>
    <t>PARC. 1/4</t>
  </si>
  <si>
    <t>EDUARDO PEZZUOL</t>
  </si>
  <si>
    <t>ANA PAULA GOMES</t>
  </si>
  <si>
    <t>CLAUDETE ZAPATER</t>
  </si>
  <si>
    <t>PARC. 1/6</t>
  </si>
  <si>
    <t>ÉRIKA</t>
  </si>
  <si>
    <t>Não</t>
  </si>
  <si>
    <t>PATRÍCIA LOPES</t>
  </si>
  <si>
    <t>PARC. 6/7</t>
  </si>
  <si>
    <t>MARCIO DE LIMA</t>
  </si>
  <si>
    <t>PARC. 1/3</t>
  </si>
  <si>
    <t>,</t>
  </si>
  <si>
    <t>o</t>
  </si>
  <si>
    <t xml:space="preserve">VALÉRIA ANASTACIO </t>
  </si>
  <si>
    <t>PARC. 4/8</t>
  </si>
  <si>
    <t xml:space="preserve">KETTELYN ARAUJO </t>
  </si>
  <si>
    <t>MOIZÉS DO NASCIMENTO</t>
  </si>
  <si>
    <t>SS</t>
  </si>
  <si>
    <t>WILLIAM</t>
  </si>
  <si>
    <t>Sim</t>
  </si>
  <si>
    <t>LAURA DIAS FERNANDES</t>
  </si>
  <si>
    <t xml:space="preserve">REGIANE DIAS </t>
  </si>
  <si>
    <t xml:space="preserve">FERNANDA SILVA </t>
  </si>
  <si>
    <t>PARC. 1/5</t>
  </si>
  <si>
    <t>ERIKA</t>
  </si>
  <si>
    <t>VALDECY SOARES PACHECO</t>
  </si>
  <si>
    <t>PARC. 1/8</t>
  </si>
  <si>
    <t>SIMONE NASCIMENTO</t>
  </si>
  <si>
    <t>SILENE SANTOS</t>
  </si>
  <si>
    <t>LÍVIA REGINA PEREIRA</t>
  </si>
  <si>
    <t xml:space="preserve"> </t>
  </si>
  <si>
    <t>MÁRCIO DE LIMA TEIXEIRA</t>
  </si>
  <si>
    <t xml:space="preserve">CAMILA CASTRO </t>
  </si>
  <si>
    <t>Tipo Pagto</t>
  </si>
  <si>
    <t>descricao</t>
  </si>
  <si>
    <t xml:space="preserve">Parcelas </t>
  </si>
  <si>
    <t>Dinheiro</t>
  </si>
  <si>
    <t>PARC. 1/1</t>
  </si>
  <si>
    <t>Cartão Débito</t>
  </si>
  <si>
    <t>PARC. 1/2</t>
  </si>
  <si>
    <t>Cartão Crédito</t>
  </si>
  <si>
    <t>PARC. 2/2</t>
  </si>
  <si>
    <t>Parcelado Cartão Crédito</t>
  </si>
  <si>
    <t>PARC. 2/3</t>
  </si>
  <si>
    <t>Sem Sinal</t>
  </si>
  <si>
    <t>PARC. 3/3</t>
  </si>
  <si>
    <t xml:space="preserve">Carne </t>
  </si>
  <si>
    <t>GARANTIA</t>
  </si>
  <si>
    <t>Todas as Garantias</t>
  </si>
  <si>
    <t>PARC. 3/4</t>
  </si>
  <si>
    <t>PARC. 4/4</t>
  </si>
  <si>
    <t>PARC. 2/5</t>
  </si>
  <si>
    <t>PARC. 3/5</t>
  </si>
  <si>
    <t>PARC. 4/5</t>
  </si>
  <si>
    <t>PARC. 5/5</t>
  </si>
  <si>
    <t>PARC. 2/6</t>
  </si>
  <si>
    <t>PARC. 3/6</t>
  </si>
  <si>
    <t>PARC. 4/6</t>
  </si>
  <si>
    <t>PARC. 5/6</t>
  </si>
  <si>
    <t>PARC. 6/6</t>
  </si>
  <si>
    <t>PARC. 1/7</t>
  </si>
  <si>
    <t>PARC. 2/7</t>
  </si>
  <si>
    <t>PARC. 3/7</t>
  </si>
  <si>
    <t>PARC. 4/7</t>
  </si>
  <si>
    <t>PARC. 5/7</t>
  </si>
  <si>
    <t>PARC. 7/7</t>
  </si>
  <si>
    <t>PARC. 2/8</t>
  </si>
  <si>
    <t>PARC. 3/8</t>
  </si>
  <si>
    <t>PARC. 5/8</t>
  </si>
  <si>
    <t>PARC. 6/8</t>
  </si>
  <si>
    <t>PARC. 7/8</t>
  </si>
  <si>
    <t>PARC. 8/8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</si>
  <si>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</si>
  <si>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</si>
  <si>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</si>
  <si>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</si>
  <si>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</si>
  <si>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</si>
  <si>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</si>
  <si>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</si>
  <si>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</si>
  <si>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</si>
  <si>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</si>
  <si>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</si>
  <si>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</si>
  <si>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</si>
  <si>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</si>
  <si>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</si>
  <si>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</si>
  <si>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</si>
  <si>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</si>
  <si>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</si>
  <si>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</si>
  <si>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</si>
  <si>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</si>
  <si>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</si>
  <si>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</si>
  <si>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</si>
  <si>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</si>
  <si>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</si>
  <si>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</si>
  <si>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</si>
  <si>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</si>
  <si>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</si>
  <si>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</si>
  <si>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</si>
  <si>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</si>
  <si>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</si>
  <si>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</si>
  <si>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</si>
  <si>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</si>
  <si>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</si>
  <si>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</si>
  <si>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</si>
  <si>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>ADONEL LOPES DE SOUZA</t>
  </si>
  <si>
    <t>SIRLENE SANTOS</t>
  </si>
  <si>
    <t xml:space="preserve">NICOLAS COUTINHO </t>
  </si>
  <si>
    <t>FLÁVIA DE OLIVEIRA</t>
  </si>
  <si>
    <t xml:space="preserve">MARY HELLEN AMANCIO </t>
  </si>
  <si>
    <t>LUIZ HENRIQUE ARAUJO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</si>
</sst>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sz val="12"/>
      <name val="Arial Black"/>
      <family val="2"/>
    </font>
    <font>
      <sz val="20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44" fontId="0" fillId="0" borderId="13" xfId="39" applyFont="1" applyFill="1" applyBorder="1" applyAlignment="1">
      <alignment horizontal="center"/>
    </xf>
    <xf numFmtId="165" fontId="0" fillId="0" borderId="13" xfId="4" applyNumberFormat="1" applyFont="1" applyFill="1" applyBorder="1" applyAlignment="1">
      <alignment horizontal="center"/>
    </xf>
    <xf numFmtId="49" fontId="0" fillId="0" borderId="13" xfId="39" applyNumberFormat="1" applyFont="1" applyFill="1" applyBorder="1" applyAlignment="1">
      <alignment horizontal="center"/>
    </xf>
    <xf numFmtId="49" fontId="0" fillId="0" borderId="17" xfId="39" applyNumberFormat="1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0" fontId="13" fillId="0" borderId="17" xfId="4" applyNumberFormat="1" applyFont="1" applyFill="1" applyBorder="1" applyAlignment="1">
      <alignment horizontal="center"/>
    </xf>
    <xf numFmtId="49" fontId="31" fillId="0" borderId="13" xfId="39" applyNumberFormat="1" applyFont="1" applyFill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9" fontId="31" fillId="0" borderId="17" xfId="39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1" fillId="0" borderId="17" xfId="39" applyNumberFormat="1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0" fontId="34" fillId="0" borderId="17" xfId="0" applyFont="1" applyBorder="1" applyAlignment="1">
      <alignment horizontal="center"/>
    </xf>
    <xf numFmtId="165" fontId="34" fillId="0" borderId="17" xfId="0" applyNumberFormat="1" applyFont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14" fontId="36" fillId="0" borderId="0" xfId="0" applyNumberFormat="1" applyFont="1" applyAlignment="1">
      <alignment horizontal="center"/>
    </xf>
    <xf numFmtId="0" fontId="30" fillId="0" borderId="13" xfId="0" applyFont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31190" displayName="vend31190" ref="E5:I22" totalsRowShown="0" headerRowDxfId="1644" dataDxfId="1642" headerRowBorderDxfId="1643" tableBorderDxfId="1641" totalsRowBorderDxfId="1640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9" dataCellStyle="Moeda"/>
    <tableColumn id="5" xr3:uid="{45BECD08-8ABE-4A34-BD78-E2D3AFB8C62A}" name="Cliente" dataDxfId="1638" dataCellStyle="Moeda"/>
    <tableColumn id="2" xr3:uid="{A0D6666C-9CF7-4343-AF6B-BDFE62F94469}" name="Forma de Pgto" dataDxfId="1637" dataCellStyle="Moeda"/>
    <tableColumn id="3" xr3:uid="{988F127F-9D83-4428-BB94-C16FBBB1BD89}" name="Valor Venda" dataDxfId="1636" dataCellStyle="Porcentagem"/>
    <tableColumn id="4" xr3:uid="{6A2928C3-17B0-4FA3-B60C-9E1A2C0324E1}" name="Entrada" dataDxfId="1635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31191" displayName="desp31191" ref="K5:M11" totalsRowShown="0" headerRowDxfId="1634" dataDxfId="1632" headerRowBorderDxfId="1633" tableBorderDxfId="1631" totalsRowBorderDxfId="1630">
  <autoFilter ref="K5:M11" xr:uid="{DD403130-B35C-452C-92F9-290622D77A3D}"/>
  <tableColumns count="3">
    <tableColumn id="1" xr3:uid="{FAD87634-3375-4B41-BEC0-5B072F6B52CE}" name="Descrição" dataDxfId="1629"/>
    <tableColumn id="2" xr3:uid="{7688071E-9548-4552-8BB1-3BA5128DF645}" name="Tipo de Pagto" dataDxfId="1628"/>
    <tableColumn id="3" xr3:uid="{2B260C33-79A5-4C5D-9195-15780C53A861}" name="Valor" dataDxfId="16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31192" displayName="rest_entr31192" ref="E25:I31" totalsRowShown="0" headerRowDxfId="1626" dataDxfId="1624" headerRowBorderDxfId="1625" tableBorderDxfId="1623" totalsRowBorderDxfId="1622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21"/>
    <tableColumn id="2" xr3:uid="{606BE417-6802-4580-90D2-86F95EFAAEB7}" name="Cliente" dataDxfId="1620"/>
    <tableColumn id="3" xr3:uid="{2F522A54-F708-4DA3-97E3-CE7C29912E04}" name="Forma de Pgto" dataDxfId="1619" dataCellStyle="Moeda"/>
    <tableColumn id="4" xr3:uid="{7B46EE64-F7F1-4449-A783-67286A94A7C4}" name="Valor Venda" dataDxfId="1618" dataCellStyle="Porcentagem"/>
    <tableColumn id="5" xr3:uid="{389A7D1A-3C35-485E-9958-8A78EF77BE9B}" name="Entrada" dataDxfId="1617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31193" displayName="os_entr_dia31193" ref="K14:M31" totalsRowShown="0" headerRowDxfId="1616" dataDxfId="1614" headerRowBorderDxfId="1615" tableBorderDxfId="1613" totalsRowBorderDxfId="1612">
  <autoFilter ref="K14:M31" xr:uid="{F07D43AD-1A4D-4B31-96B8-824F8623E518}"/>
  <tableColumns count="3">
    <tableColumn id="1" xr3:uid="{3AF01421-A7B6-4D23-9DA8-C20FAFAFDD9C}" name="OS" dataDxfId="1611"/>
    <tableColumn id="2" xr3:uid="{55DCC30E-EB52-427E-A16A-B2C93A41F1CE}" name="Vendedor" dataDxfId="1610"/>
    <tableColumn id="3" xr3:uid="{23EDA46C-42B4-4F6C-97D9-7040D6B9797C}" name="CARNE" dataDxfId="160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31194" displayName="rec_carn31194" ref="E34:I41" totalsRowShown="0" headerRowDxfId="1608" dataDxfId="1606" headerRowBorderDxfId="1607" tableBorderDxfId="1605" totalsRowBorderDxfId="1604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3"/>
    <tableColumn id="2" xr3:uid="{FBA6EA78-F44B-4D22-A27A-92A91C10551F}" name="Cliente" dataDxfId="1602"/>
    <tableColumn id="3" xr3:uid="{749B4D89-29B3-4987-91D3-6BA3C44D9B96}" name="Forma de Pgto" dataDxfId="1601" dataCellStyle="Moeda"/>
    <tableColumn id="4" xr3:uid="{A84A6598-B291-4809-A78D-AB810461733D}" name="Valor Parcela" dataDxfId="1600" dataCellStyle="Porcentagem"/>
    <tableColumn id="5" xr3:uid="{3C45FEEC-5E06-4ED7-87CD-0097DB6BC817}" name="Nº Parcela" dataDxfId="1599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31195" displayName="entr_carn31195" ref="K34:M41" totalsRowShown="0" headerRowDxfId="1598" headerRowBorderDxfId="1597" tableBorderDxfId="1596" totalsRowBorderDxfId="1595">
  <autoFilter ref="K34:M41" xr:uid="{42BA126A-AECD-4CD6-8583-BD2352D82FB9}"/>
  <tableColumns count="3">
    <tableColumn id="1" xr3:uid="{0989D88A-7CB7-4008-94FC-B7FFB3CAE582}" name="OS" dataDxfId="1594"/>
    <tableColumn id="2" xr3:uid="{AC9D76CC-A537-4210-9893-E8C57DA30B4D}" name="Parcelas" dataDxfId="1593"/>
    <tableColumn id="3" xr3:uid="{D4D72E6E-DAE0-4860-8606-BFD8E469AE3D}" name="Valor Total" dataDxfId="15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237" dataDxfId="1235" headerRowBorderDxfId="1236" tableBorderDxfId="1234" totalsRowBorderDxfId="12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1" totalsRowShown="0" headerRowDxfId="1149" dataDxfId="1147" headerRowBorderDxfId="1148" tableBorderDxfId="1146" totalsRowBorderDxfId="11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4:I41" totalsRowShown="0" headerRowDxfId="1131" dataDxfId="1129" headerRowBorderDxfId="1130" tableBorderDxfId="1128" totalsRowBorderDxfId="11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2" totalsRowShown="0" headerRowDxfId="743" dataDxfId="741" headerRowBorderDxfId="742" tableBorderDxfId="740" totalsRowBorderDxfId="7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42" dataDxfId="440" headerRowBorderDxfId="441" tableBorderDxfId="439" totalsRowBorderDxfId="4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2:B18"/>
  <sheetViews>
    <sheetView workbookViewId="0">
      <selection activeCell="D27" sqref="D27"/>
    </sheetView>
  </sheetViews>
  <sheetFormatPr defaultColWidth="21.28515625" defaultRowHeight="12.75" x14ac:dyDescent="0.2"/>
  <cols>
    <col min="2" max="2" width="22.7109375" customWidth="1"/>
  </cols>
  <sheetData>
    <row r="2" spans="1:2" ht="15" x14ac:dyDescent="0.2">
      <c r="A2" s="19" t="s">
        <v>0</v>
      </c>
      <c r="B2" s="20">
        <v>0</v>
      </c>
    </row>
    <row r="3" spans="1:2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7473</v>
      </c>
    </row>
    <row r="4" spans="1:2" ht="15" x14ac:dyDescent="0.2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6268</v>
      </c>
    </row>
    <row r="5" spans="1:2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0</v>
      </c>
    </row>
    <row r="6" spans="1:2" ht="15.75" x14ac:dyDescent="0.25">
      <c r="A6" s="28" t="s">
        <v>4</v>
      </c>
      <c r="B6" s="29">
        <f>SUM(B4:B5)</f>
        <v>6268</v>
      </c>
    </row>
    <row r="7" spans="1:2" ht="15" x14ac:dyDescent="0.25">
      <c r="A7" s="2"/>
      <c r="B7" s="2"/>
    </row>
    <row r="8" spans="1:2" ht="15" x14ac:dyDescent="0.2">
      <c r="A8" s="76" t="s">
        <v>5</v>
      </c>
      <c r="B8" s="76"/>
    </row>
    <row r="9" spans="1:2" ht="15" x14ac:dyDescent="0.25">
      <c r="A9" s="30" t="s">
        <v>6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695</v>
      </c>
    </row>
    <row r="10" spans="1:2" ht="15" x14ac:dyDescent="0.25">
      <c r="A10" s="30" t="s">
        <v>7</v>
      </c>
      <c r="B10" s="24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902.5</v>
      </c>
    </row>
    <row r="11" spans="1:2" ht="15" x14ac:dyDescent="0.25">
      <c r="A11" s="30" t="s">
        <v>8</v>
      </c>
      <c r="B11" s="24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452.5</v>
      </c>
    </row>
    <row r="12" spans="1:2" ht="15" x14ac:dyDescent="0.25">
      <c r="A12" s="30" t="s">
        <v>9</v>
      </c>
      <c r="B12" s="24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3699</v>
      </c>
    </row>
    <row r="13" spans="1:2" ht="15" x14ac:dyDescent="0.25">
      <c r="A13" s="30" t="s">
        <v>10</v>
      </c>
      <c r="B13" s="24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1474.6</v>
      </c>
    </row>
    <row r="14" spans="1:2" ht="15.75" x14ac:dyDescent="0.25">
      <c r="A14" s="28" t="s">
        <v>11</v>
      </c>
      <c r="B14" s="32">
        <f>SUM(B9:B13)</f>
        <v>7223.6</v>
      </c>
    </row>
    <row r="15" spans="1:2" ht="15" x14ac:dyDescent="0.25">
      <c r="A15" s="2"/>
      <c r="B15" s="2"/>
    </row>
    <row r="16" spans="1:2" ht="15" x14ac:dyDescent="0.2">
      <c r="A16" s="76" t="s">
        <v>12</v>
      </c>
      <c r="B16" s="76"/>
    </row>
    <row r="17" spans="1:2" ht="15" x14ac:dyDescent="0.25">
      <c r="A17" s="30">
        <f>COUNT(#REF!)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1920</v>
      </c>
    </row>
    <row r="18" spans="1:2" ht="15.75" x14ac:dyDescent="0.25">
      <c r="A18" s="28" t="s">
        <v>11</v>
      </c>
      <c r="B18" s="32">
        <f>SUM(B17:B17)</f>
        <v>1920</v>
      </c>
    </row>
  </sheetData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zoomScale="80" zoomScaleNormal="8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v>45292</v>
      </c>
    </row>
    <row r="2" spans="2:18" ht="18.75" x14ac:dyDescent="0.2">
      <c r="B2" s="81" t="s">
        <v>13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4" t="s">
        <v>1</v>
      </c>
      <c r="F4" s="84"/>
      <c r="G4" s="84"/>
      <c r="H4" s="84"/>
      <c r="I4" s="84"/>
      <c r="J4" s="22"/>
      <c r="K4" s="78" t="s">
        <v>3</v>
      </c>
      <c r="L4" s="79"/>
      <c r="M4" s="8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IF(vend31190[[#This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IF(vend31190[[#This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IF(vend31190[[#This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IF(vend31190[[#This Row],[Nº Venda]]&gt;1,1,0)</f>
        <v>0</v>
      </c>
    </row>
    <row r="10" spans="2:18" ht="15.75" x14ac:dyDescent="0.25">
      <c r="B10" s="76" t="s">
        <v>5</v>
      </c>
      <c r="C10" s="7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IF(vend31190[[#This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IF(vend31190[[#This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IF(vend31190[[#This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8" t="s">
        <v>22</v>
      </c>
      <c r="L13" s="79"/>
      <c r="M13" s="80"/>
      <c r="R13" s="1">
        <f>IF(vend31190[[#This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IF(vend31190[[#This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IF(vend31190[[#This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IF(vend31190[[#This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IF(vend31190[[#This Row],[Nº Venda]]&gt;1,1,0)</f>
        <v>0</v>
      </c>
    </row>
    <row r="18" spans="2:18" ht="15.75" x14ac:dyDescent="0.25">
      <c r="B18" s="76" t="s">
        <v>12</v>
      </c>
      <c r="C18" s="7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IF(vend31190[[#This Row],[Nº Venda]]&gt;1,1,0)</f>
        <v>0</v>
      </c>
    </row>
    <row r="19" spans="2:18" ht="15.75" x14ac:dyDescent="0.25">
      <c r="B19" s="30">
        <f>COUNT(entr_carn31195[OS])</f>
        <v>0</v>
      </c>
      <c r="C19" s="31">
        <f>SUM(entr_carn31195[Valor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IF(vend31190[[#This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IF(vend31190[[#This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7" t="s">
        <v>27</v>
      </c>
      <c r="F24" s="77"/>
      <c r="G24" s="77"/>
      <c r="H24" s="77"/>
      <c r="I24" s="7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7" t="s">
        <v>28</v>
      </c>
      <c r="F33" s="77"/>
      <c r="G33" s="77"/>
      <c r="H33" s="77"/>
      <c r="I33" s="77"/>
      <c r="K33" s="78" t="s">
        <v>12</v>
      </c>
      <c r="L33" s="79"/>
      <c r="M33" s="8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26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disablePrompts="1" count="2">
    <dataValidation type="list" allowBlank="1" showInputMessage="1" showErrorMessage="1" sqref="M15:M31" xr:uid="{41BC2770-4628-466A-8A8E-25736D42D595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D750A6A5-C201-4190-B207-F5C8AA22818D}">
          <x14:formula1>
            <xm:f>base!$A$2:$A$9</xm:f>
          </x14:formula1>
          <xm:sqref>G6:G22 G35:G41</xm:sqref>
        </x14:dataValidation>
        <x14:dataValidation type="list" allowBlank="1" showInputMessage="1" showErrorMessage="1" xr:uid="{EA02ED54-2EDC-4F48-9411-38520FE9FF7F}">
          <x14:formula1>
            <xm:f>base!$E$2:$E$79</xm:f>
          </x14:formula1>
          <xm:sqref>I35:I41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R41"/>
  <sheetViews>
    <sheetView showGridLines="0" zoomScale="80" zoomScaleNormal="80" workbookViewId="0"/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'01'!B1+1</f>
        <v>45293</v>
      </c>
    </row>
    <row r="2" spans="2:18" ht="18.75" x14ac:dyDescent="0.2">
      <c r="B2" s="81" t="s">
        <v>13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4" t="s">
        <v>1</v>
      </c>
      <c r="F4" s="84"/>
      <c r="G4" s="84"/>
      <c r="H4" s="84"/>
      <c r="I4" s="84"/>
      <c r="J4" s="22"/>
      <c r="K4" s="78" t="s">
        <v>3</v>
      </c>
      <c r="L4" s="79"/>
      <c r="M4" s="8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76" t="s">
        <v>5</v>
      </c>
      <c r="C10" s="7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8" t="s">
        <v>22</v>
      </c>
      <c r="L13" s="79"/>
      <c r="M13" s="80"/>
      <c r="R13" s="1">
        <f>IF(vend2[[#This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 x14ac:dyDescent="0.25">
      <c r="B18" s="76" t="s">
        <v>12</v>
      </c>
      <c r="C18" s="7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7" t="s">
        <v>27</v>
      </c>
      <c r="F24" s="77"/>
      <c r="G24" s="77"/>
      <c r="H24" s="77"/>
      <c r="I24" s="7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7" t="s">
        <v>28</v>
      </c>
      <c r="F33" s="77"/>
      <c r="G33" s="77"/>
      <c r="H33" s="77"/>
      <c r="I33" s="77"/>
      <c r="K33" s="78" t="s">
        <v>12</v>
      </c>
      <c r="L33" s="79"/>
      <c r="M33" s="8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zoomScale="80" zoomScaleNormal="80" workbookViewId="0">
      <selection activeCell="J15" sqref="J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'02'!B1+1</f>
        <v>45294</v>
      </c>
    </row>
    <row r="2" spans="2:18" ht="18.75" x14ac:dyDescent="0.2">
      <c r="B2" s="81" t="s">
        <v>13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4" t="s">
        <v>1</v>
      </c>
      <c r="F4" s="84"/>
      <c r="G4" s="84"/>
      <c r="H4" s="84"/>
      <c r="I4" s="84"/>
      <c r="J4" s="22"/>
      <c r="K4" s="78" t="s">
        <v>3</v>
      </c>
      <c r="L4" s="79"/>
      <c r="M4" s="8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150</v>
      </c>
      <c r="D6" s="2"/>
      <c r="E6" s="18">
        <v>834</v>
      </c>
      <c r="F6" s="25" t="s">
        <v>34</v>
      </c>
      <c r="G6" s="46"/>
      <c r="H6" s="8" t="s">
        <v>35</v>
      </c>
      <c r="I6" s="8"/>
      <c r="J6" s="2"/>
      <c r="K6" s="25"/>
      <c r="L6" s="9"/>
      <c r="M6" s="16"/>
      <c r="R6" s="1">
        <f>IF(vend3[[#This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 x14ac:dyDescent="0.25">
      <c r="B8" s="28" t="s">
        <v>21</v>
      </c>
      <c r="C8" s="29">
        <f>SUM(C6:C7)</f>
        <v>150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76" t="s">
        <v>5</v>
      </c>
      <c r="C10" s="7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8" t="s">
        <v>22</v>
      </c>
      <c r="L13" s="79"/>
      <c r="M13" s="80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30" t="s">
        <v>10</v>
      </c>
      <c r="C15" s="31">
        <f t="shared" si="0"/>
        <v>150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IF(vend3[[#This Row],[Nº Venda]]&gt;1,1,0)</f>
        <v>0</v>
      </c>
    </row>
    <row r="16" spans="2:18" ht="15.75" x14ac:dyDescent="0.25">
      <c r="B16" s="28" t="s">
        <v>11</v>
      </c>
      <c r="C16" s="32">
        <f>SUM(C11:C15)</f>
        <v>150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76" t="s">
        <v>12</v>
      </c>
      <c r="C18" s="7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7" t="s">
        <v>27</v>
      </c>
      <c r="F24" s="77"/>
      <c r="G24" s="77"/>
      <c r="H24" s="77"/>
      <c r="I24" s="7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832</v>
      </c>
      <c r="F26" s="25" t="s">
        <v>36</v>
      </c>
      <c r="G26" s="46" t="s">
        <v>10</v>
      </c>
      <c r="H26" s="8"/>
      <c r="I26" s="8">
        <v>150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7" t="s">
        <v>28</v>
      </c>
      <c r="F33" s="77"/>
      <c r="G33" s="77"/>
      <c r="H33" s="77"/>
      <c r="I33" s="77"/>
      <c r="K33" s="78" t="s">
        <v>12</v>
      </c>
      <c r="L33" s="79"/>
      <c r="M33" s="8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zoomScale="80" zoomScaleNormal="80" workbookViewId="0">
      <selection activeCell="G10" sqref="G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'03'!B1+1</f>
        <v>45295</v>
      </c>
    </row>
    <row r="2" spans="2:18" ht="18.75" x14ac:dyDescent="0.2">
      <c r="B2" s="81" t="s">
        <v>13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4" t="s">
        <v>1</v>
      </c>
      <c r="F4" s="84"/>
      <c r="G4" s="84"/>
      <c r="H4" s="84"/>
      <c r="I4" s="84"/>
      <c r="J4" s="22"/>
      <c r="K4" s="78" t="s">
        <v>3</v>
      </c>
      <c r="L4" s="79"/>
      <c r="M4" s="80"/>
    </row>
    <row r="5" spans="2:18" ht="15" x14ac:dyDescent="0.25">
      <c r="B5" s="23" t="s">
        <v>1</v>
      </c>
      <c r="C5" s="24">
        <f>SUMIF(I6:I31,"&gt;0",H6:H31)</f>
        <v>1459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1459</v>
      </c>
      <c r="D6" s="2"/>
      <c r="E6" s="18">
        <v>835</v>
      </c>
      <c r="F6" s="25" t="s">
        <v>37</v>
      </c>
      <c r="G6" s="46" t="s">
        <v>9</v>
      </c>
      <c r="H6" s="8">
        <v>840</v>
      </c>
      <c r="I6" s="8">
        <v>840</v>
      </c>
      <c r="J6" s="2"/>
      <c r="K6" s="25"/>
      <c r="L6" s="9"/>
      <c r="M6" s="16"/>
      <c r="R6" s="1">
        <f>IF(vend4[[#This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836</v>
      </c>
      <c r="F7" s="25" t="s">
        <v>38</v>
      </c>
      <c r="G7" s="46" t="s">
        <v>9</v>
      </c>
      <c r="H7" s="8">
        <v>199</v>
      </c>
      <c r="I7" s="8">
        <v>199</v>
      </c>
      <c r="J7" s="2"/>
      <c r="K7" s="25"/>
      <c r="L7" s="9"/>
      <c r="M7" s="16"/>
      <c r="R7" s="1">
        <f>IF(vend4[[#This Row],[Nº Venda]]&gt;1,1,0)</f>
        <v>1</v>
      </c>
    </row>
    <row r="8" spans="2:18" ht="15.75" x14ac:dyDescent="0.25">
      <c r="B8" s="28" t="s">
        <v>21</v>
      </c>
      <c r="C8" s="29">
        <f>SUM(C6:C7)</f>
        <v>1459</v>
      </c>
      <c r="D8" s="2"/>
      <c r="E8" s="18">
        <v>837</v>
      </c>
      <c r="F8" s="25" t="s">
        <v>39</v>
      </c>
      <c r="G8" s="46" t="s">
        <v>9</v>
      </c>
      <c r="H8" s="8">
        <v>420</v>
      </c>
      <c r="I8" s="8">
        <v>420</v>
      </c>
      <c r="J8" s="2"/>
      <c r="K8" s="25"/>
      <c r="L8" s="9"/>
      <c r="M8" s="16"/>
      <c r="R8" s="1">
        <f>IF(vend4[[#This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76" t="s">
        <v>5</v>
      </c>
      <c r="C10" s="7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8" t="s">
        <v>22</v>
      </c>
      <c r="L13" s="79"/>
      <c r="M13" s="80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1459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8.75" x14ac:dyDescent="0.4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67"/>
      <c r="L15" s="68"/>
      <c r="M15" s="69"/>
      <c r="R15" s="1">
        <f>IF(vend4[[#This Row],[Nº Venda]]&gt;1,1,0)</f>
        <v>0</v>
      </c>
    </row>
    <row r="16" spans="2:18" ht="19.5" x14ac:dyDescent="0.4">
      <c r="B16" s="28" t="s">
        <v>11</v>
      </c>
      <c r="C16" s="32">
        <f>SUM(C11:C15)</f>
        <v>1459</v>
      </c>
      <c r="D16" s="2"/>
      <c r="E16" s="18"/>
      <c r="F16" s="25"/>
      <c r="G16" s="26"/>
      <c r="H16" s="8"/>
      <c r="I16" s="8"/>
      <c r="J16" s="2"/>
      <c r="K16" s="70"/>
      <c r="L16" s="67"/>
      <c r="M16" s="69"/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18"/>
      <c r="F17" s="25"/>
      <c r="G17" s="26"/>
      <c r="H17" s="8"/>
      <c r="I17" s="8"/>
      <c r="J17" s="2"/>
      <c r="K17" s="67"/>
      <c r="L17" s="68"/>
      <c r="M17" s="69"/>
      <c r="R17" s="1">
        <f>IF(vend4[[#This Row],[Nº Venda]]&gt;1,1,0)</f>
        <v>0</v>
      </c>
    </row>
    <row r="18" spans="2:18" ht="15.75" x14ac:dyDescent="0.25">
      <c r="B18" s="76" t="s">
        <v>12</v>
      </c>
      <c r="C18" s="7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1459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7" t="s">
        <v>27</v>
      </c>
      <c r="F24" s="77"/>
      <c r="G24" s="77"/>
      <c r="H24" s="77"/>
      <c r="I24" s="7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7" t="s">
        <v>28</v>
      </c>
      <c r="F33" s="77"/>
      <c r="G33" s="77"/>
      <c r="H33" s="77"/>
      <c r="I33" s="77"/>
      <c r="K33" s="78" t="s">
        <v>12</v>
      </c>
      <c r="L33" s="79"/>
      <c r="M33" s="8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7.8554687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2.140625" style="3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'04'!B1+1</f>
        <v>45296</v>
      </c>
    </row>
    <row r="2" spans="2:18" ht="18.75" x14ac:dyDescent="0.2">
      <c r="B2" s="81" t="s">
        <v>13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4" t="s">
        <v>1</v>
      </c>
      <c r="F4" s="84"/>
      <c r="G4" s="84"/>
      <c r="H4" s="84"/>
      <c r="I4" s="84"/>
      <c r="J4" s="22"/>
      <c r="K4" s="78" t="s">
        <v>3</v>
      </c>
      <c r="L4" s="79"/>
      <c r="M4" s="80"/>
    </row>
    <row r="5" spans="2:18" ht="15" x14ac:dyDescent="0.25">
      <c r="B5" s="23" t="s">
        <v>1</v>
      </c>
      <c r="C5" s="24">
        <f>SUMIF(I6:I31,"&gt;0",H6:H31)</f>
        <v>1440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460</v>
      </c>
      <c r="D6" s="2"/>
      <c r="E6" s="18">
        <v>838</v>
      </c>
      <c r="F6" s="25" t="s">
        <v>40</v>
      </c>
      <c r="G6" s="46" t="s">
        <v>9</v>
      </c>
      <c r="H6" s="8">
        <v>1440</v>
      </c>
      <c r="I6" s="8">
        <v>460</v>
      </c>
      <c r="J6" s="2"/>
      <c r="K6" s="25"/>
      <c r="L6" s="9"/>
      <c r="M6" s="16"/>
      <c r="R6" s="1">
        <f>IF(vend5[[#This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IF(vend5[[#This Row],[Nº Venda]]&gt;1,1,0)</f>
        <v>0</v>
      </c>
    </row>
    <row r="8" spans="2:18" ht="15.75" x14ac:dyDescent="0.25">
      <c r="B8" s="28" t="s">
        <v>21</v>
      </c>
      <c r="C8" s="29">
        <f>SUM(C6:C7)</f>
        <v>460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76" t="s">
        <v>5</v>
      </c>
      <c r="C10" s="76"/>
      <c r="D10" s="2"/>
      <c r="E10" s="18"/>
      <c r="F10" s="25"/>
      <c r="G10" s="46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4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8" t="s">
        <v>22</v>
      </c>
      <c r="L13" s="79"/>
      <c r="M13" s="80"/>
      <c r="R13" s="1">
        <f>IF(vend5[[#This Row],[Nº Venda]]&gt;1,1,0)</f>
        <v>0</v>
      </c>
    </row>
    <row r="14" spans="2:18" ht="15.75" x14ac:dyDescent="0.25">
      <c r="B14" s="30" t="s">
        <v>9</v>
      </c>
      <c r="C14" s="31">
        <f t="shared" si="0"/>
        <v>460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0</v>
      </c>
    </row>
    <row r="15" spans="2:18" ht="15.75" x14ac:dyDescent="0.25">
      <c r="B15" s="30" t="s">
        <v>10</v>
      </c>
      <c r="C15" s="31">
        <f t="shared" si="0"/>
        <v>90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IF(vend5[[#This Row],[Nº Venda]]&gt;1,1,0)</f>
        <v>0</v>
      </c>
    </row>
    <row r="16" spans="2:18" ht="15.75" x14ac:dyDescent="0.25">
      <c r="B16" s="28" t="s">
        <v>11</v>
      </c>
      <c r="C16" s="32">
        <f>SUM(C11:C15)</f>
        <v>550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76" t="s">
        <v>12</v>
      </c>
      <c r="C18" s="7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1440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7" t="s">
        <v>27</v>
      </c>
      <c r="F24" s="77"/>
      <c r="G24" s="77"/>
      <c r="H24" s="77"/>
      <c r="I24" s="7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7" t="s">
        <v>28</v>
      </c>
      <c r="F33" s="77"/>
      <c r="G33" s="77"/>
      <c r="H33" s="77"/>
      <c r="I33" s="77"/>
      <c r="K33" s="78" t="s">
        <v>12</v>
      </c>
      <c r="L33" s="79"/>
      <c r="M33" s="8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768</v>
      </c>
      <c r="F35" s="25" t="s">
        <v>41</v>
      </c>
      <c r="G35" s="26" t="s">
        <v>10</v>
      </c>
      <c r="H35" s="8">
        <v>90</v>
      </c>
      <c r="I35" s="8" t="s">
        <v>42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5F91EB2E-234E-45A9-80A1-E7D0A7E98ABE}">
      <formula1>"Sim, Não"</formula1>
    </dataValidation>
    <dataValidation type="list" allowBlank="1" showInputMessage="1" showErrorMessage="1" sqref="L35:L41" xr:uid="{5A7F020F-5D4E-4796-A3BF-D2BAB2F1E76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1"/>
  <sheetViews>
    <sheetView showGridLines="0" zoomScale="80" zoomScaleNormal="80" workbookViewId="0">
      <selection activeCell="F9" sqref="F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9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85546875" style="3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'05'!B1+1</f>
        <v>45297</v>
      </c>
    </row>
    <row r="2" spans="2:18" ht="18.75" x14ac:dyDescent="0.2">
      <c r="B2" s="81" t="s">
        <v>13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4" t="s">
        <v>1</v>
      </c>
      <c r="F4" s="84"/>
      <c r="G4" s="84"/>
      <c r="H4" s="84"/>
      <c r="I4" s="84"/>
      <c r="J4" s="22"/>
      <c r="K4" s="78" t="s">
        <v>3</v>
      </c>
      <c r="L4" s="79"/>
      <c r="M4" s="8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" x14ac:dyDescent="0.25">
      <c r="B10" s="76" t="s">
        <v>5</v>
      </c>
      <c r="C10" s="76"/>
      <c r="D10" s="2"/>
      <c r="E10" s="66"/>
      <c r="F10" s="66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8</v>
      </c>
      <c r="C13" s="31">
        <f t="shared" si="0"/>
        <v>112.5</v>
      </c>
      <c r="D13" s="2"/>
      <c r="E13" s="18"/>
      <c r="F13" s="25"/>
      <c r="G13" s="26"/>
      <c r="H13" s="8"/>
      <c r="I13" s="8"/>
      <c r="J13" s="2"/>
      <c r="K13" s="78" t="s">
        <v>22</v>
      </c>
      <c r="L13" s="79"/>
      <c r="M13" s="80"/>
      <c r="R13" s="1">
        <f>IF(vend[[#This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18"/>
      <c r="L15" s="25"/>
      <c r="M15" s="16"/>
      <c r="R15" s="1">
        <f>IF(vend[[#This Row],[Nº Venda]]&gt;1,1,0)</f>
        <v>0</v>
      </c>
    </row>
    <row r="16" spans="2:18" ht="15.75" x14ac:dyDescent="0.25">
      <c r="B16" s="28" t="s">
        <v>11</v>
      </c>
      <c r="C16" s="32">
        <f>SUM(C11:C15)</f>
        <v>112.5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76" t="s">
        <v>12</v>
      </c>
      <c r="C18" s="7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7" t="s">
        <v>27</v>
      </c>
      <c r="F24" s="77"/>
      <c r="G24" s="77"/>
      <c r="H24" s="77"/>
      <c r="I24" s="7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7" t="s">
        <v>28</v>
      </c>
      <c r="F33" s="77"/>
      <c r="G33" s="77"/>
      <c r="H33" s="77"/>
      <c r="I33" s="77"/>
      <c r="K33" s="78" t="s">
        <v>12</v>
      </c>
      <c r="L33" s="79"/>
      <c r="M33" s="8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797</v>
      </c>
      <c r="F35" s="25" t="s">
        <v>43</v>
      </c>
      <c r="G35" s="26" t="s">
        <v>8</v>
      </c>
      <c r="H35" s="8">
        <v>112.5</v>
      </c>
      <c r="I35" s="8" t="s">
        <v>44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R41"/>
  <sheetViews>
    <sheetView showGridLines="0" zoomScale="80" zoomScaleNormal="80" workbookViewId="0">
      <selection activeCell="K6" activeCellId="4" sqref="E26:I31 E35:I41 K35:M41 K15:M31 K6:M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'06'!B1+1</f>
        <v>45298</v>
      </c>
    </row>
    <row r="2" spans="2:18" ht="18.75" x14ac:dyDescent="0.2">
      <c r="B2" s="81" t="s">
        <v>13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4" t="s">
        <v>1</v>
      </c>
      <c r="F4" s="84"/>
      <c r="G4" s="84"/>
      <c r="H4" s="84"/>
      <c r="I4" s="84"/>
      <c r="J4" s="22"/>
      <c r="K4" s="78" t="s">
        <v>3</v>
      </c>
      <c r="L4" s="79"/>
      <c r="M4" s="8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51"/>
      <c r="F6" s="49"/>
      <c r="G6" s="49"/>
      <c r="H6" s="50"/>
      <c r="I6" s="50"/>
      <c r="J6" s="2"/>
      <c r="K6" s="25"/>
      <c r="L6" s="9"/>
      <c r="M6" s="16"/>
      <c r="R6" s="1">
        <f>IF(vend7[[#This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52"/>
      <c r="F7" s="48"/>
      <c r="G7" s="48"/>
      <c r="H7" s="47"/>
      <c r="I7" s="47"/>
      <c r="J7" s="2"/>
      <c r="K7" s="25"/>
      <c r="L7" s="9"/>
      <c r="M7" s="16"/>
      <c r="R7" s="1">
        <f>IF(vend7[[#This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18" ht="15.75" x14ac:dyDescent="0.25">
      <c r="B10" s="76" t="s">
        <v>5</v>
      </c>
      <c r="C10" s="7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8" t="s">
        <v>22</v>
      </c>
      <c r="L13" s="79"/>
      <c r="M13" s="80"/>
      <c r="R13" s="1">
        <f>IF(vend7[[#This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53"/>
      <c r="L15" s="54"/>
      <c r="M15" s="55"/>
      <c r="R15" s="1">
        <f>IF(vend7[[#This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45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5"/>
      <c r="L17" s="9"/>
      <c r="M17" s="16"/>
      <c r="R17" s="1">
        <f>IF(vend7[[#This Row],[Nº Venda]]&gt;1,1,0)</f>
        <v>0</v>
      </c>
    </row>
    <row r="18" spans="2:18" ht="15.75" x14ac:dyDescent="0.25">
      <c r="B18" s="76" t="s">
        <v>12</v>
      </c>
      <c r="C18" s="76"/>
      <c r="D18" s="2"/>
      <c r="E18" s="18"/>
      <c r="F18" s="25"/>
      <c r="G18" s="26"/>
      <c r="H18" s="8"/>
      <c r="I18" s="8"/>
      <c r="J18" s="2"/>
      <c r="K18" s="45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5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5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4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5"/>
      <c r="L23" s="9"/>
      <c r="M23" s="16"/>
    </row>
    <row r="24" spans="2:18" ht="15" x14ac:dyDescent="0.25">
      <c r="B24" s="2"/>
      <c r="C24" s="2"/>
      <c r="D24" s="2"/>
      <c r="E24" s="77" t="s">
        <v>27</v>
      </c>
      <c r="F24" s="77"/>
      <c r="G24" s="77"/>
      <c r="H24" s="77"/>
      <c r="I24" s="77"/>
      <c r="J24" s="2"/>
      <c r="K24" s="4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5"/>
      <c r="L25" s="9"/>
      <c r="M25" s="16"/>
    </row>
    <row r="26" spans="2:18" ht="15.75" x14ac:dyDescent="0.25">
      <c r="B26" s="2"/>
      <c r="C26" s="2"/>
      <c r="D26" s="2"/>
      <c r="E26" s="73"/>
      <c r="F26" s="71"/>
      <c r="G26" s="74"/>
      <c r="H26" s="75"/>
      <c r="I26" s="75"/>
      <c r="J26" s="2"/>
      <c r="K26" s="4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7" t="s">
        <v>28</v>
      </c>
      <c r="F33" s="77"/>
      <c r="G33" s="77"/>
      <c r="H33" s="77"/>
      <c r="I33" s="77"/>
      <c r="K33" s="78" t="s">
        <v>12</v>
      </c>
      <c r="L33" s="79"/>
      <c r="M33" s="8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1"/>
  <sheetViews>
    <sheetView showGridLines="0" topLeftCell="B12" zoomScale="80" zoomScaleNormal="80" workbookViewId="0">
      <selection activeCell="K25" sqref="K2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'07'!B1+1</f>
        <v>45299</v>
      </c>
    </row>
    <row r="2" spans="2:18" ht="18.75" x14ac:dyDescent="0.2">
      <c r="B2" s="81" t="s">
        <v>13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4" t="s">
        <v>1</v>
      </c>
      <c r="F4" s="84"/>
      <c r="G4" s="84"/>
      <c r="H4" s="84"/>
      <c r="I4" s="84"/>
      <c r="J4" s="22"/>
      <c r="K4" s="78" t="s">
        <v>3</v>
      </c>
      <c r="L4" s="79"/>
      <c r="M4" s="80"/>
    </row>
    <row r="5" spans="2:18" ht="15" x14ac:dyDescent="0.25">
      <c r="B5" s="23" t="s">
        <v>1</v>
      </c>
      <c r="C5" s="24">
        <f>SUMIF(I6:I31,"&gt;0",H6:H31)</f>
        <v>269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139</v>
      </c>
      <c r="D6" s="2"/>
      <c r="E6" s="56">
        <v>839</v>
      </c>
      <c r="F6" s="8" t="s">
        <v>45</v>
      </c>
      <c r="G6" s="8" t="s">
        <v>10</v>
      </c>
      <c r="H6" s="8">
        <v>230</v>
      </c>
      <c r="I6" s="8">
        <v>100</v>
      </c>
      <c r="J6" s="2"/>
      <c r="K6" s="25"/>
      <c r="L6" s="9"/>
      <c r="M6" s="16"/>
      <c r="R6" s="1">
        <f>IF(vend8[[#This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56"/>
      <c r="F7" s="8"/>
      <c r="G7" s="8"/>
      <c r="H7" s="8"/>
      <c r="I7" s="8"/>
      <c r="J7" s="2"/>
      <c r="K7" s="25"/>
      <c r="L7" s="9"/>
      <c r="M7" s="16"/>
      <c r="R7" s="1">
        <f>IF(vend8[[#This Row],[Nº Venda]]&gt;1,1,0)</f>
        <v>0</v>
      </c>
    </row>
    <row r="8" spans="2:18" ht="15.75" x14ac:dyDescent="0.25">
      <c r="B8" s="28" t="s">
        <v>21</v>
      </c>
      <c r="C8" s="29">
        <f>SUM(C6:C7)</f>
        <v>139</v>
      </c>
      <c r="D8" s="2"/>
      <c r="E8" s="56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" x14ac:dyDescent="0.25">
      <c r="B9" s="2"/>
      <c r="C9" s="2"/>
      <c r="D9" s="2"/>
      <c r="E9" s="56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76" t="s">
        <v>5</v>
      </c>
      <c r="C10" s="7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8" t="s">
        <v>22</v>
      </c>
      <c r="L13" s="79"/>
      <c r="M13" s="80"/>
      <c r="R13" s="1">
        <f>IF(vend8[[#This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 x14ac:dyDescent="0.25">
      <c r="B15" s="30" t="s">
        <v>10</v>
      </c>
      <c r="C15" s="31">
        <f t="shared" si="0"/>
        <v>252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IF(vend8[[#This Row],[Nº Venda]]&gt;1,1,0)</f>
        <v>0</v>
      </c>
    </row>
    <row r="16" spans="2:18" ht="15.75" x14ac:dyDescent="0.25">
      <c r="B16" s="28" t="s">
        <v>11</v>
      </c>
      <c r="C16" s="32">
        <f>SUM(C11:C15)</f>
        <v>252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76" t="s">
        <v>12</v>
      </c>
      <c r="C18" s="7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269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7" t="s">
        <v>27</v>
      </c>
      <c r="F24" s="77"/>
      <c r="G24" s="77"/>
      <c r="H24" s="77"/>
      <c r="I24" s="7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73">
        <v>834</v>
      </c>
      <c r="F26" s="71" t="s">
        <v>46</v>
      </c>
      <c r="G26" s="74" t="s">
        <v>10</v>
      </c>
      <c r="H26" s="75">
        <v>39</v>
      </c>
      <c r="I26" s="75">
        <v>39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7" t="s">
        <v>28</v>
      </c>
      <c r="F33" s="77"/>
      <c r="G33" s="77"/>
      <c r="H33" s="77"/>
      <c r="I33" s="77"/>
      <c r="K33" s="78" t="s">
        <v>12</v>
      </c>
      <c r="L33" s="79"/>
      <c r="M33" s="8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812</v>
      </c>
      <c r="F35" s="25" t="s">
        <v>47</v>
      </c>
      <c r="G35" s="26" t="s">
        <v>10</v>
      </c>
      <c r="H35" s="8">
        <v>113</v>
      </c>
      <c r="I35" s="8" t="s">
        <v>48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R41"/>
  <sheetViews>
    <sheetView showGridLines="0" zoomScale="80" zoomScaleNormal="80" workbookViewId="0">
      <selection activeCell="G29" sqref="G2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'08'!B1+1</f>
        <v>45300</v>
      </c>
    </row>
    <row r="2" spans="2:18" ht="18.75" x14ac:dyDescent="0.2">
      <c r="B2" s="81" t="s">
        <v>13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4" t="s">
        <v>1</v>
      </c>
      <c r="F4" s="84"/>
      <c r="G4" s="84"/>
      <c r="H4" s="84"/>
      <c r="I4" s="84"/>
      <c r="J4" s="22"/>
      <c r="K4" s="78" t="s">
        <v>3</v>
      </c>
      <c r="L4" s="79"/>
      <c r="M4" s="8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IF(vend9[[#This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18" ht="15.75" x14ac:dyDescent="0.25">
      <c r="B10" s="76" t="s">
        <v>5</v>
      </c>
      <c r="C10" s="7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8" t="s">
        <v>22</v>
      </c>
      <c r="L13" s="79"/>
      <c r="M13" s="80"/>
      <c r="R13" s="1">
        <f>IF(vend9[[#This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18" ht="15.75" x14ac:dyDescent="0.25">
      <c r="B15" s="30" t="s">
        <v>10</v>
      </c>
      <c r="C15" s="31">
        <f t="shared" si="0"/>
        <v>169.85</v>
      </c>
      <c r="D15" s="2"/>
      <c r="E15" s="18"/>
      <c r="F15" s="25"/>
      <c r="G15" s="26"/>
      <c r="H15" s="8"/>
      <c r="I15" s="8"/>
      <c r="J15" s="2"/>
      <c r="K15" s="25">
        <v>834</v>
      </c>
      <c r="L15" s="9" t="s">
        <v>49</v>
      </c>
      <c r="M15" s="16" t="s">
        <v>50</v>
      </c>
      <c r="R15" s="1">
        <f>IF(vend9[[#This Row],[Nº Venda]]&gt;1,1,0)</f>
        <v>0</v>
      </c>
    </row>
    <row r="16" spans="2:18" ht="15.75" x14ac:dyDescent="0.25">
      <c r="B16" s="28" t="s">
        <v>11</v>
      </c>
      <c r="C16" s="32">
        <f>SUM(C11:C15)</f>
        <v>169.85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 x14ac:dyDescent="0.25">
      <c r="B18" s="76" t="s">
        <v>12</v>
      </c>
      <c r="C18" s="7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7" t="s">
        <v>27</v>
      </c>
      <c r="F24" s="77"/>
      <c r="G24" s="77"/>
      <c r="H24" s="77"/>
      <c r="I24" s="7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7" t="s">
        <v>28</v>
      </c>
      <c r="F33" s="77"/>
      <c r="G33" s="77"/>
      <c r="H33" s="77"/>
      <c r="I33" s="77"/>
      <c r="K33" s="78" t="s">
        <v>12</v>
      </c>
      <c r="L33" s="79"/>
      <c r="M33" s="8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718</v>
      </c>
      <c r="F35" s="25" t="s">
        <v>51</v>
      </c>
      <c r="G35" s="26" t="s">
        <v>10</v>
      </c>
      <c r="H35" s="8">
        <v>99.85</v>
      </c>
      <c r="I35" s="8" t="s">
        <v>52</v>
      </c>
      <c r="K35" s="25"/>
      <c r="L35" s="41"/>
      <c r="M35" s="16"/>
    </row>
    <row r="36" spans="2:18" ht="15.75" x14ac:dyDescent="0.25">
      <c r="E36" s="18">
        <v>810</v>
      </c>
      <c r="F36" s="25" t="s">
        <v>53</v>
      </c>
      <c r="G36" s="26" t="s">
        <v>10</v>
      </c>
      <c r="H36" s="8">
        <v>70</v>
      </c>
      <c r="I36" s="8" t="s">
        <v>54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U41"/>
  <sheetViews>
    <sheetView showGridLines="0" topLeftCell="A12" zoomScale="80" zoomScaleNormal="80" workbookViewId="0">
      <selection activeCell="C16" sqref="C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27" x14ac:dyDescent="0.5">
      <c r="B1" s="65">
        <f>'09'!B1+1</f>
        <v>45301</v>
      </c>
    </row>
    <row r="2" spans="2:21" ht="18.75" x14ac:dyDescent="0.2">
      <c r="B2" s="81" t="s">
        <v>13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3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9" t="s">
        <v>0</v>
      </c>
      <c r="C4" s="20">
        <v>0</v>
      </c>
      <c r="D4" s="21"/>
      <c r="E4" s="84" t="s">
        <v>1</v>
      </c>
      <c r="F4" s="84"/>
      <c r="G4" s="84"/>
      <c r="H4" s="84"/>
      <c r="I4" s="84"/>
      <c r="J4" s="22"/>
      <c r="K4" s="78" t="s">
        <v>3</v>
      </c>
      <c r="L4" s="79"/>
      <c r="M4" s="80"/>
    </row>
    <row r="5" spans="2:21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1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IF(vend10[[#This Row],[Nº Venda]]&gt;1,1,0)</f>
        <v>0</v>
      </c>
    </row>
    <row r="7" spans="2:21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21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21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21" ht="15.75" x14ac:dyDescent="0.25">
      <c r="B10" s="76" t="s">
        <v>5</v>
      </c>
      <c r="C10" s="7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21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21" ht="15.75" x14ac:dyDescent="0.25">
      <c r="B12" s="30" t="s">
        <v>7</v>
      </c>
      <c r="C12" s="31">
        <f t="shared" ref="C12:C15" si="0">(SUMIF($G$2:$G$31,B12,$I$2:$I$31))+(SUMIF($G$35:$G$41,B12,$H$35:$H$41))</f>
        <v>112.5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21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8" t="s">
        <v>22</v>
      </c>
      <c r="L13" s="79"/>
      <c r="M13" s="80"/>
      <c r="R13" s="1">
        <f>IF(vend10[[#This Row],[Nº Venda]]&gt;1,1,0)</f>
        <v>0</v>
      </c>
    </row>
    <row r="14" spans="2:21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21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IF(vend10[[#This Row],[Nº Venda]]&gt;1,1,0)</f>
        <v>0</v>
      </c>
      <c r="U15" s="1" t="s">
        <v>55</v>
      </c>
    </row>
    <row r="16" spans="2:21" ht="15.75" x14ac:dyDescent="0.25">
      <c r="B16" s="28" t="s">
        <v>11</v>
      </c>
      <c r="C16" s="32">
        <f>SUM(C11:C15)</f>
        <v>112.5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IF(vend10[[#This Row],[Nº Venda]]&gt;1,1,0)</f>
        <v>0</v>
      </c>
    </row>
    <row r="17" spans="2:21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21" ht="15.75" x14ac:dyDescent="0.25">
      <c r="B18" s="76" t="s">
        <v>12</v>
      </c>
      <c r="C18" s="7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  <c r="U18" s="1" t="s">
        <v>56</v>
      </c>
    </row>
    <row r="19" spans="2:21" ht="15.75" x14ac:dyDescent="0.2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21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21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21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1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1" ht="15" x14ac:dyDescent="0.25">
      <c r="B24" s="2"/>
      <c r="C24" s="2"/>
      <c r="D24" s="2"/>
      <c r="E24" s="77" t="s">
        <v>27</v>
      </c>
      <c r="F24" s="77"/>
      <c r="G24" s="77"/>
      <c r="H24" s="77"/>
      <c r="I24" s="77"/>
      <c r="J24" s="2"/>
      <c r="K24" s="25"/>
      <c r="L24" s="9"/>
      <c r="M24" s="16"/>
    </row>
    <row r="25" spans="2:21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1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21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21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21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21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21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1" ht="15" x14ac:dyDescent="0.25">
      <c r="B32" s="2"/>
      <c r="C32" s="2"/>
      <c r="E32" s="33"/>
    </row>
    <row r="33" spans="2:18" ht="15" x14ac:dyDescent="0.25">
      <c r="B33" s="2"/>
      <c r="C33" s="2"/>
      <c r="E33" s="77" t="s">
        <v>28</v>
      </c>
      <c r="F33" s="77"/>
      <c r="G33" s="77"/>
      <c r="H33" s="77"/>
      <c r="I33" s="77"/>
      <c r="K33" s="78" t="s">
        <v>12</v>
      </c>
      <c r="L33" s="79"/>
      <c r="M33" s="8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757</v>
      </c>
      <c r="F35" s="25" t="s">
        <v>57</v>
      </c>
      <c r="G35" s="26" t="s">
        <v>7</v>
      </c>
      <c r="H35" s="8">
        <v>112.5</v>
      </c>
      <c r="I35" s="8" t="s">
        <v>58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G26:G31 G35:G41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I35:I41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zoomScale="80" zoomScaleNormal="80" workbookViewId="0">
      <selection activeCell="M15" sqref="M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'10'!B1+1</f>
        <v>45302</v>
      </c>
    </row>
    <row r="2" spans="2:18" ht="18.75" x14ac:dyDescent="0.2">
      <c r="B2" s="81" t="s">
        <v>13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4" t="s">
        <v>1</v>
      </c>
      <c r="F4" s="84"/>
      <c r="G4" s="84"/>
      <c r="H4" s="84"/>
      <c r="I4" s="84"/>
      <c r="J4" s="22"/>
      <c r="K4" s="78" t="s">
        <v>3</v>
      </c>
      <c r="L4" s="79"/>
      <c r="M4" s="80"/>
    </row>
    <row r="5" spans="2:18" ht="15" x14ac:dyDescent="0.25">
      <c r="B5" s="23" t="s">
        <v>1</v>
      </c>
      <c r="C5" s="24">
        <f>SUMIF(I6:I31,"&gt;0",H6:H31)</f>
        <v>600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330</v>
      </c>
      <c r="D6" s="2"/>
      <c r="E6" s="18">
        <v>840</v>
      </c>
      <c r="F6" s="25" t="s">
        <v>59</v>
      </c>
      <c r="G6" s="26" t="s">
        <v>10</v>
      </c>
      <c r="H6" s="8">
        <v>600</v>
      </c>
      <c r="I6" s="8">
        <v>200</v>
      </c>
      <c r="J6" s="2"/>
      <c r="K6" s="25"/>
      <c r="L6" s="9"/>
      <c r="M6" s="16"/>
      <c r="R6" s="1">
        <f>IF(vend11[[#This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75" x14ac:dyDescent="0.25">
      <c r="B8" s="28" t="s">
        <v>21</v>
      </c>
      <c r="C8" s="29">
        <f>SUM(C6:C7)</f>
        <v>330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76" t="s">
        <v>5</v>
      </c>
      <c r="C10" s="7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130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8" t="s">
        <v>22</v>
      </c>
      <c r="L13" s="79"/>
      <c r="M13" s="80"/>
      <c r="R13" s="1">
        <f>IF(vend11[[#This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30" t="s">
        <v>10</v>
      </c>
      <c r="C15" s="31">
        <f t="shared" si="0"/>
        <v>200</v>
      </c>
      <c r="D15" s="2"/>
      <c r="E15" s="18"/>
      <c r="F15" s="25"/>
      <c r="G15" s="26"/>
      <c r="H15" s="8"/>
      <c r="I15" s="8"/>
      <c r="J15" s="2"/>
      <c r="K15" s="25">
        <v>839</v>
      </c>
      <c r="L15" s="9" t="s">
        <v>49</v>
      </c>
      <c r="M15" s="16" t="s">
        <v>50</v>
      </c>
      <c r="R15" s="1">
        <f>IF(vend11[[#This Row],[Nº Venda]]&gt;1,1,0)</f>
        <v>0</v>
      </c>
    </row>
    <row r="16" spans="2:18" ht="15.75" x14ac:dyDescent="0.25">
      <c r="B16" s="28" t="s">
        <v>11</v>
      </c>
      <c r="C16" s="32">
        <f>SUM(C11:C15)</f>
        <v>330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76" t="s">
        <v>12</v>
      </c>
      <c r="C18" s="7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600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7" t="s">
        <v>27</v>
      </c>
      <c r="F24" s="77"/>
      <c r="G24" s="77"/>
      <c r="H24" s="77"/>
      <c r="I24" s="7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839</v>
      </c>
      <c r="F26" s="25" t="s">
        <v>45</v>
      </c>
      <c r="G26" s="46" t="s">
        <v>6</v>
      </c>
      <c r="H26" s="8"/>
      <c r="I26" s="8">
        <v>130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7" t="s">
        <v>28</v>
      </c>
      <c r="F33" s="77"/>
      <c r="G33" s="77"/>
      <c r="H33" s="77"/>
      <c r="I33" s="77"/>
      <c r="K33" s="78" t="s">
        <v>12</v>
      </c>
      <c r="L33" s="79"/>
      <c r="M33" s="8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topLeftCell="A25" zoomScale="80" zoomScaleNormal="80" workbookViewId="0">
      <selection activeCell="G30" sqref="G3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'11'!B1+1</f>
        <v>45303</v>
      </c>
    </row>
    <row r="2" spans="2:18" ht="18.75" x14ac:dyDescent="0.2">
      <c r="B2" s="81" t="s">
        <v>13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4" t="s">
        <v>1</v>
      </c>
      <c r="F4" s="84"/>
      <c r="G4" s="84"/>
      <c r="H4" s="84"/>
      <c r="I4" s="84"/>
      <c r="J4" s="22"/>
      <c r="K4" s="78" t="s">
        <v>3</v>
      </c>
      <c r="L4" s="79"/>
      <c r="M4" s="8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57"/>
      <c r="F6" s="58"/>
      <c r="G6" s="58"/>
      <c r="H6" s="59"/>
      <c r="I6" s="59"/>
      <c r="J6" s="2"/>
      <c r="K6" s="25"/>
      <c r="L6" s="9"/>
      <c r="M6" s="16"/>
      <c r="R6" s="1">
        <f>IF(vend12[[#This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60"/>
      <c r="F7" s="61"/>
      <c r="G7" s="61"/>
      <c r="H7" s="62"/>
      <c r="I7" s="62"/>
      <c r="J7" s="2"/>
      <c r="K7" s="25"/>
      <c r="L7" s="9"/>
      <c r="M7" s="16"/>
      <c r="R7" s="1">
        <f>IF(vend12[[#This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64"/>
      <c r="F8" s="61"/>
      <c r="G8" s="61"/>
      <c r="H8" s="62"/>
      <c r="I8" s="62"/>
      <c r="J8" s="2"/>
      <c r="K8" s="25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76" t="s">
        <v>5</v>
      </c>
      <c r="C10" s="7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8" t="s">
        <v>22</v>
      </c>
      <c r="L13" s="79"/>
      <c r="M13" s="80"/>
      <c r="R13" s="1">
        <f>IF(vend12[[#This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IF(vend12[[#This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76" t="s">
        <v>12</v>
      </c>
      <c r="C18" s="7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7" t="s">
        <v>27</v>
      </c>
      <c r="F24" s="77"/>
      <c r="G24" s="77"/>
      <c r="H24" s="77"/>
      <c r="I24" s="7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63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7" t="s">
        <v>28</v>
      </c>
      <c r="F33" s="77"/>
      <c r="G33" s="77"/>
      <c r="H33" s="77"/>
      <c r="I33" s="77"/>
      <c r="K33" s="78" t="s">
        <v>12</v>
      </c>
      <c r="L33" s="79"/>
      <c r="M33" s="8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zoomScale="80" zoomScaleNormal="80" workbookViewId="0">
      <selection activeCell="K21" sqref="K2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'12'!B1+1</f>
        <v>45304</v>
      </c>
    </row>
    <row r="2" spans="2:18" ht="18.75" x14ac:dyDescent="0.2">
      <c r="B2" s="81" t="s">
        <v>13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4" t="s">
        <v>1</v>
      </c>
      <c r="F4" s="84"/>
      <c r="G4" s="84"/>
      <c r="H4" s="84"/>
      <c r="I4" s="84"/>
      <c r="J4" s="22"/>
      <c r="K4" s="78" t="s">
        <v>3</v>
      </c>
      <c r="L4" s="79"/>
      <c r="M4" s="8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>
        <v>841</v>
      </c>
      <c r="F6" s="25" t="s">
        <v>60</v>
      </c>
      <c r="G6" s="26" t="s">
        <v>61</v>
      </c>
      <c r="H6" s="8">
        <v>990</v>
      </c>
      <c r="I6" s="8"/>
      <c r="J6" s="2"/>
      <c r="K6" s="25"/>
      <c r="L6" s="9"/>
      <c r="M6" s="16"/>
      <c r="R6" s="1">
        <f>IF(vend13[[#This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IF(vend13[[#This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 x14ac:dyDescent="0.25">
      <c r="B10" s="76" t="s">
        <v>5</v>
      </c>
      <c r="C10" s="7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8" t="s">
        <v>22</v>
      </c>
      <c r="L13" s="79"/>
      <c r="M13" s="80"/>
      <c r="R13" s="1">
        <f>IF(vend13[[#This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837</v>
      </c>
      <c r="L15" s="9" t="s">
        <v>49</v>
      </c>
      <c r="M15" s="16" t="s">
        <v>50</v>
      </c>
      <c r="R15" s="1">
        <f>IF(vend13[[#This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76" t="s">
        <v>12</v>
      </c>
      <c r="C18" s="7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7" t="s">
        <v>27</v>
      </c>
      <c r="F24" s="77"/>
      <c r="G24" s="77"/>
      <c r="H24" s="77"/>
      <c r="I24" s="7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7" t="s">
        <v>28</v>
      </c>
      <c r="F33" s="77"/>
      <c r="G33" s="77"/>
      <c r="H33" s="77"/>
      <c r="I33" s="77"/>
      <c r="K33" s="78" t="s">
        <v>12</v>
      </c>
      <c r="L33" s="79"/>
      <c r="M33" s="8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B35" s="1">
        <v>3</v>
      </c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topLeftCell="A22" zoomScale="80" zoomScaleNormal="80" workbookViewId="0">
      <selection activeCell="E41" sqref="E4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'13'!B1+1</f>
        <v>45305</v>
      </c>
    </row>
    <row r="2" spans="2:18" ht="18.75" x14ac:dyDescent="0.2">
      <c r="B2" s="81" t="s">
        <v>13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4" t="s">
        <v>1</v>
      </c>
      <c r="F4" s="84"/>
      <c r="G4" s="84"/>
      <c r="H4" s="84"/>
      <c r="I4" s="84"/>
      <c r="J4" s="22"/>
      <c r="K4" s="78" t="s">
        <v>3</v>
      </c>
      <c r="L4" s="79"/>
      <c r="M4" s="8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76" t="s">
        <v>5</v>
      </c>
      <c r="C10" s="7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8" t="s">
        <v>22</v>
      </c>
      <c r="L13" s="79"/>
      <c r="M13" s="80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IF(vend14[[#This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76" t="s">
        <v>12</v>
      </c>
      <c r="C18" s="7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7" t="s">
        <v>27</v>
      </c>
      <c r="F24" s="77"/>
      <c r="G24" s="77"/>
      <c r="H24" s="77"/>
      <c r="I24" s="7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7" t="s">
        <v>28</v>
      </c>
      <c r="F33" s="77"/>
      <c r="G33" s="77"/>
      <c r="H33" s="77"/>
      <c r="I33" s="77"/>
      <c r="K33" s="78" t="s">
        <v>12</v>
      </c>
      <c r="L33" s="79"/>
      <c r="M33" s="8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zoomScale="80" zoomScaleNormal="80" workbookViewId="0">
      <selection activeCell="W17" sqref="W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'14'!B1+1</f>
        <v>45306</v>
      </c>
    </row>
    <row r="2" spans="2:18" ht="18.75" x14ac:dyDescent="0.2">
      <c r="B2" s="81" t="s">
        <v>13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4" t="s">
        <v>1</v>
      </c>
      <c r="F4" s="84"/>
      <c r="G4" s="84"/>
      <c r="H4" s="84"/>
      <c r="I4" s="84"/>
      <c r="J4" s="22"/>
      <c r="K4" s="78" t="s">
        <v>3</v>
      </c>
      <c r="L4" s="79"/>
      <c r="M4" s="8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IF(vend15[[#This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 x14ac:dyDescent="0.25">
      <c r="B10" s="76" t="s">
        <v>5</v>
      </c>
      <c r="C10" s="7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8" t="s">
        <v>22</v>
      </c>
      <c r="L13" s="79"/>
      <c r="M13" s="80"/>
      <c r="R13" s="1">
        <f>IF(vend15[[#This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836</v>
      </c>
      <c r="L15" s="9" t="s">
        <v>49</v>
      </c>
      <c r="M15" s="16" t="s">
        <v>50</v>
      </c>
      <c r="R15" s="1">
        <f>IF(vend15[[#This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 x14ac:dyDescent="0.25">
      <c r="B18" s="76" t="s">
        <v>12</v>
      </c>
      <c r="C18" s="7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7" t="s">
        <v>27</v>
      </c>
      <c r="F24" s="77"/>
      <c r="G24" s="77"/>
      <c r="H24" s="77"/>
      <c r="I24" s="7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7" t="s">
        <v>28</v>
      </c>
      <c r="F33" s="77"/>
      <c r="G33" s="77"/>
      <c r="H33" s="77"/>
      <c r="I33" s="77"/>
      <c r="K33" s="78" t="s">
        <v>12</v>
      </c>
      <c r="L33" s="79"/>
      <c r="M33" s="8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topLeftCell="A2" zoomScale="80" zoomScaleNormal="80" workbookViewId="0">
      <selection activeCell="L25" sqref="L2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'15'!B1+1</f>
        <v>45307</v>
      </c>
    </row>
    <row r="2" spans="2:18" ht="18.75" x14ac:dyDescent="0.2">
      <c r="B2" s="81" t="s">
        <v>13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4" t="s">
        <v>1</v>
      </c>
      <c r="F4" s="84"/>
      <c r="G4" s="84"/>
      <c r="H4" s="84"/>
      <c r="I4" s="84"/>
      <c r="J4" s="22"/>
      <c r="K4" s="78" t="s">
        <v>3</v>
      </c>
      <c r="L4" s="79"/>
      <c r="M4" s="8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IF(vend16[[#This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IF(vend16[[#This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76" t="s">
        <v>5</v>
      </c>
      <c r="C10" s="7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8" t="s">
        <v>22</v>
      </c>
      <c r="L13" s="79"/>
      <c r="M13" s="80"/>
      <c r="R13" s="1">
        <f>IF(vend16[[#This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IF(vend16[[#This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IF(vend16[[#This Row],[Nº Venda]]&gt;1,1,0)</f>
        <v>0</v>
      </c>
    </row>
    <row r="18" spans="2:18" ht="15.75" x14ac:dyDescent="0.25">
      <c r="B18" s="76" t="s">
        <v>12</v>
      </c>
      <c r="C18" s="7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7" t="s">
        <v>27</v>
      </c>
      <c r="F24" s="77"/>
      <c r="G24" s="77"/>
      <c r="H24" s="77"/>
      <c r="I24" s="7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7" t="s">
        <v>28</v>
      </c>
      <c r="F33" s="77"/>
      <c r="G33" s="77"/>
      <c r="H33" s="77"/>
      <c r="I33" s="77"/>
      <c r="K33" s="78" t="s">
        <v>12</v>
      </c>
      <c r="L33" s="79"/>
      <c r="M33" s="8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zoomScale="80" zoomScaleNormal="80" workbookViewId="0">
      <selection activeCell="E8" sqref="E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'16'!B1+1</f>
        <v>45308</v>
      </c>
    </row>
    <row r="2" spans="2:18" ht="18.75" x14ac:dyDescent="0.2">
      <c r="B2" s="81" t="s">
        <v>13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4" t="s">
        <v>1</v>
      </c>
      <c r="F4" s="84"/>
      <c r="G4" s="84"/>
      <c r="H4" s="84"/>
      <c r="I4" s="84"/>
      <c r="J4" s="22"/>
      <c r="K4" s="78" t="s">
        <v>3</v>
      </c>
      <c r="L4" s="79"/>
      <c r="M4" s="8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IF(vend17[[#This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 x14ac:dyDescent="0.25">
      <c r="B10" s="76" t="s">
        <v>5</v>
      </c>
      <c r="C10" s="7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8" t="s">
        <v>22</v>
      </c>
      <c r="L13" s="79"/>
      <c r="M13" s="80"/>
      <c r="R13" s="1">
        <f>IF(vend17[[#This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IF(vend17[[#This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 x14ac:dyDescent="0.25">
      <c r="B18" s="76" t="s">
        <v>12</v>
      </c>
      <c r="C18" s="7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7" t="s">
        <v>27</v>
      </c>
      <c r="F24" s="77"/>
      <c r="G24" s="77"/>
      <c r="H24" s="77"/>
      <c r="I24" s="7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7" t="s">
        <v>28</v>
      </c>
      <c r="F33" s="77"/>
      <c r="G33" s="77"/>
      <c r="H33" s="77"/>
      <c r="I33" s="77"/>
      <c r="K33" s="78" t="s">
        <v>12</v>
      </c>
      <c r="L33" s="79"/>
      <c r="M33" s="8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zoomScale="80" zoomScaleNormal="80" workbookViewId="0">
      <selection activeCell="V37" sqref="V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'17'!B1+1</f>
        <v>45309</v>
      </c>
    </row>
    <row r="2" spans="2:18" ht="18.75" x14ac:dyDescent="0.2">
      <c r="B2" s="81" t="s">
        <v>13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4" t="s">
        <v>1</v>
      </c>
      <c r="F4" s="84"/>
      <c r="G4" s="84"/>
      <c r="H4" s="84"/>
      <c r="I4" s="84"/>
      <c r="J4" s="22"/>
      <c r="K4" s="78" t="s">
        <v>3</v>
      </c>
      <c r="L4" s="79"/>
      <c r="M4" s="80"/>
    </row>
    <row r="5" spans="2:18" ht="15" x14ac:dyDescent="0.25">
      <c r="B5" s="23" t="s">
        <v>1</v>
      </c>
      <c r="C5" s="24">
        <f>SUMIF(I6:I31,"&gt;0",H6:H31)</f>
        <v>990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1390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75" x14ac:dyDescent="0.25">
      <c r="B8" s="28" t="s">
        <v>21</v>
      </c>
      <c r="C8" s="29">
        <f>SUM(C6:C7)</f>
        <v>1390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 x14ac:dyDescent="0.25">
      <c r="B10" s="76" t="s">
        <v>5</v>
      </c>
      <c r="C10" s="7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8" t="s">
        <v>22</v>
      </c>
      <c r="L13" s="79"/>
      <c r="M13" s="80"/>
      <c r="R13" s="1">
        <f>IF(vend18[[#This Row],[Nº Venda]]&gt;1,1,0)</f>
        <v>0</v>
      </c>
    </row>
    <row r="14" spans="2:18" ht="15.75" x14ac:dyDescent="0.25">
      <c r="B14" s="30" t="s">
        <v>9</v>
      </c>
      <c r="C14" s="31">
        <f t="shared" si="0"/>
        <v>990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30" t="s">
        <v>10</v>
      </c>
      <c r="C15" s="31">
        <f t="shared" si="0"/>
        <v>489</v>
      </c>
      <c r="D15" s="2"/>
      <c r="E15" s="18"/>
      <c r="F15" s="25"/>
      <c r="G15" s="26"/>
      <c r="H15" s="8"/>
      <c r="I15" s="8"/>
      <c r="J15" s="2"/>
      <c r="K15" s="25">
        <v>806</v>
      </c>
      <c r="L15" s="9" t="s">
        <v>62</v>
      </c>
      <c r="M15" s="16" t="s">
        <v>50</v>
      </c>
      <c r="R15" s="1">
        <f>IF(vend18[[#This Row],[Nº Venda]]&gt;1,1,0)</f>
        <v>0</v>
      </c>
    </row>
    <row r="16" spans="2:18" ht="15.75" x14ac:dyDescent="0.25">
      <c r="B16" s="28" t="s">
        <v>11</v>
      </c>
      <c r="C16" s="32">
        <f>SUM(C11:C15)</f>
        <v>1479</v>
      </c>
      <c r="D16" s="2"/>
      <c r="E16" s="18"/>
      <c r="F16" s="25"/>
      <c r="G16" s="26"/>
      <c r="H16" s="8"/>
      <c r="I16" s="8"/>
      <c r="J16" s="2"/>
      <c r="K16" s="25">
        <v>807</v>
      </c>
      <c r="L16" s="9" t="s">
        <v>62</v>
      </c>
      <c r="M16" s="16" t="s">
        <v>63</v>
      </c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805</v>
      </c>
      <c r="L17" s="9" t="s">
        <v>62</v>
      </c>
      <c r="M17" s="16" t="s">
        <v>63</v>
      </c>
      <c r="R17" s="1">
        <f>IF(vend18[[#This Row],[Nº Venda]]&gt;1,1,0)</f>
        <v>0</v>
      </c>
    </row>
    <row r="18" spans="2:18" ht="15.75" x14ac:dyDescent="0.25">
      <c r="B18" s="76" t="s">
        <v>12</v>
      </c>
      <c r="C18" s="7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2</v>
      </c>
      <c r="C19" s="31">
        <f>SUM(entr_carn18[Valor Total])</f>
        <v>1130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11</v>
      </c>
      <c r="C20" s="32">
        <f>SUM(C19:C19)</f>
        <v>1130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990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7" t="s">
        <v>27</v>
      </c>
      <c r="F24" s="77"/>
      <c r="G24" s="77"/>
      <c r="H24" s="77"/>
      <c r="I24" s="7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841</v>
      </c>
      <c r="F26" s="25" t="s">
        <v>60</v>
      </c>
      <c r="G26" s="26" t="s">
        <v>9</v>
      </c>
      <c r="H26" s="8">
        <v>990</v>
      </c>
      <c r="I26" s="8">
        <v>990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806</v>
      </c>
      <c r="F27" s="25" t="s">
        <v>64</v>
      </c>
      <c r="G27" s="26" t="s">
        <v>10</v>
      </c>
      <c r="H27" s="8"/>
      <c r="I27" s="8">
        <v>180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805</v>
      </c>
      <c r="F28" s="25" t="s">
        <v>65</v>
      </c>
      <c r="G28" s="26" t="s">
        <v>10</v>
      </c>
      <c r="H28" s="8"/>
      <c r="I28" s="8">
        <v>110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807</v>
      </c>
      <c r="F29" s="25" t="s">
        <v>65</v>
      </c>
      <c r="G29" s="26" t="s">
        <v>10</v>
      </c>
      <c r="H29" s="8"/>
      <c r="I29" s="8">
        <v>110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7" t="s">
        <v>28</v>
      </c>
      <c r="F33" s="77"/>
      <c r="G33" s="77"/>
      <c r="H33" s="77"/>
      <c r="I33" s="77"/>
      <c r="K33" s="78" t="s">
        <v>12</v>
      </c>
      <c r="L33" s="79"/>
      <c r="M33" s="8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820</v>
      </c>
      <c r="F35" s="25" t="s">
        <v>66</v>
      </c>
      <c r="G35" s="26" t="s">
        <v>10</v>
      </c>
      <c r="H35" s="8">
        <v>89</v>
      </c>
      <c r="I35" s="8" t="s">
        <v>67</v>
      </c>
      <c r="K35" s="25">
        <v>807</v>
      </c>
      <c r="L35" s="41">
        <v>2</v>
      </c>
      <c r="M35" s="16">
        <v>470</v>
      </c>
    </row>
    <row r="36" spans="2:18" ht="15.75" x14ac:dyDescent="0.25">
      <c r="E36" s="18"/>
      <c r="F36" s="25"/>
      <c r="G36" s="26"/>
      <c r="H36" s="8"/>
      <c r="I36" s="8"/>
      <c r="K36" s="25">
        <v>805</v>
      </c>
      <c r="L36" s="41">
        <v>3</v>
      </c>
      <c r="M36" s="16">
        <v>660</v>
      </c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G35:G41 G26:G31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G6:G22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R41"/>
  <sheetViews>
    <sheetView showGridLines="0" tabSelected="1" zoomScale="80" zoomScaleNormal="80" workbookViewId="0">
      <selection activeCell="H7" sqref="H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'18'!B1+1</f>
        <v>45310</v>
      </c>
    </row>
    <row r="2" spans="2:18" ht="18.75" x14ac:dyDescent="0.2">
      <c r="B2" s="81" t="s">
        <v>13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4" t="s">
        <v>1</v>
      </c>
      <c r="F4" s="84"/>
      <c r="G4" s="84"/>
      <c r="H4" s="84"/>
      <c r="I4" s="84"/>
      <c r="J4" s="22"/>
      <c r="K4" s="78" t="s">
        <v>3</v>
      </c>
      <c r="L4" s="79"/>
      <c r="M4" s="8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>
        <v>842</v>
      </c>
      <c r="F6" s="25" t="s">
        <v>40</v>
      </c>
      <c r="G6" s="26"/>
      <c r="H6" s="8">
        <v>0</v>
      </c>
      <c r="I6" s="8">
        <v>0</v>
      </c>
      <c r="J6" s="2"/>
      <c r="K6" s="25"/>
      <c r="L6" s="9"/>
      <c r="M6" s="16"/>
      <c r="R6" s="1">
        <f>IF(vend19[[#This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IF(vend19[[#This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IF(vend19[[#This Row],[Nº Venda]]&gt;1,1,0)</f>
        <v>0</v>
      </c>
    </row>
    <row r="10" spans="2:18" ht="15.75" x14ac:dyDescent="0.25">
      <c r="B10" s="76" t="s">
        <v>5</v>
      </c>
      <c r="C10" s="7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8" t="s">
        <v>22</v>
      </c>
      <c r="L13" s="79"/>
      <c r="M13" s="80"/>
      <c r="R13" s="1">
        <f>IF(vend19[[#This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827</v>
      </c>
      <c r="L15" s="9" t="s">
        <v>68</v>
      </c>
      <c r="M15" s="16" t="s">
        <v>50</v>
      </c>
      <c r="R15" s="1">
        <f>IF(vend19[[#This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18" ht="15.75" x14ac:dyDescent="0.25">
      <c r="B18" s="76" t="s">
        <v>12</v>
      </c>
      <c r="C18" s="7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18" ht="15.75" x14ac:dyDescent="0.2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7" t="s">
        <v>27</v>
      </c>
      <c r="F24" s="77"/>
      <c r="G24" s="77"/>
      <c r="H24" s="77"/>
      <c r="I24" s="7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7" t="s">
        <v>28</v>
      </c>
      <c r="F33" s="77"/>
      <c r="G33" s="77"/>
      <c r="H33" s="77"/>
      <c r="I33" s="77"/>
      <c r="K33" s="78" t="s">
        <v>12</v>
      </c>
      <c r="L33" s="79"/>
      <c r="M33" s="8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G26:G31 G35:G41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zoomScale="80" zoomScaleNormal="80" workbookViewId="0">
      <selection activeCell="K6" activeCellId="4" sqref="E26:I31 E35:I41 K35:M41 K15:M31 K6:M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'19'!B1+1</f>
        <v>45311</v>
      </c>
    </row>
    <row r="2" spans="2:18" ht="18.75" x14ac:dyDescent="0.2">
      <c r="B2" s="81" t="s">
        <v>13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4" t="s">
        <v>1</v>
      </c>
      <c r="F4" s="84"/>
      <c r="G4" s="84"/>
      <c r="H4" s="84"/>
      <c r="I4" s="84"/>
      <c r="J4" s="22"/>
      <c r="K4" s="78" t="s">
        <v>3</v>
      </c>
      <c r="L4" s="79"/>
      <c r="M4" s="8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IF(vend20[[#This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 x14ac:dyDescent="0.25">
      <c r="B10" s="76" t="s">
        <v>5</v>
      </c>
      <c r="C10" s="7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8" t="s">
        <v>22</v>
      </c>
      <c r="L13" s="79"/>
      <c r="M13" s="80"/>
      <c r="R13" s="1">
        <f>IF(vend20[[#This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IF(vend20[[#This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75" x14ac:dyDescent="0.25">
      <c r="B18" s="76" t="s">
        <v>12</v>
      </c>
      <c r="C18" s="7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 x14ac:dyDescent="0.2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7" t="s">
        <v>27</v>
      </c>
      <c r="F24" s="77"/>
      <c r="G24" s="77"/>
      <c r="H24" s="77"/>
      <c r="I24" s="7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7" t="s">
        <v>28</v>
      </c>
      <c r="F33" s="77"/>
      <c r="G33" s="77"/>
      <c r="H33" s="77"/>
      <c r="I33" s="77"/>
      <c r="K33" s="78" t="s">
        <v>12</v>
      </c>
      <c r="L33" s="79"/>
      <c r="M33" s="8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zoomScale="80" zoomScaleNormal="80" workbookViewId="0">
      <selection activeCell="K6" activeCellId="4" sqref="E26:I31 E35:I41 K35:M41 K15:M31 K6:M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'20'!B1+1</f>
        <v>45312</v>
      </c>
    </row>
    <row r="2" spans="2:18" ht="18.75" x14ac:dyDescent="0.2">
      <c r="B2" s="81" t="s">
        <v>13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4" t="s">
        <v>1</v>
      </c>
      <c r="F4" s="84"/>
      <c r="G4" s="84"/>
      <c r="H4" s="84"/>
      <c r="I4" s="84"/>
      <c r="J4" s="22"/>
      <c r="K4" s="78" t="s">
        <v>3</v>
      </c>
      <c r="L4" s="79"/>
      <c r="M4" s="8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 x14ac:dyDescent="0.25">
      <c r="B10" s="76" t="s">
        <v>5</v>
      </c>
      <c r="C10" s="7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8" t="s">
        <v>22</v>
      </c>
      <c r="L13" s="79"/>
      <c r="M13" s="80"/>
      <c r="R13" s="1">
        <f>IF(vend21[[#This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 x14ac:dyDescent="0.25">
      <c r="B18" s="76" t="s">
        <v>12</v>
      </c>
      <c r="C18" s="7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7" t="s">
        <v>27</v>
      </c>
      <c r="F24" s="77"/>
      <c r="G24" s="77"/>
      <c r="H24" s="77"/>
      <c r="I24" s="7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7" t="s">
        <v>28</v>
      </c>
      <c r="F33" s="77"/>
      <c r="G33" s="77"/>
      <c r="H33" s="77"/>
      <c r="I33" s="77"/>
      <c r="K33" s="78" t="s">
        <v>12</v>
      </c>
      <c r="L33" s="79"/>
      <c r="M33" s="8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zoomScale="80" zoomScaleNormal="80" workbookViewId="0">
      <selection activeCell="J37" sqref="J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'21'!B1+1</f>
        <v>45313</v>
      </c>
    </row>
    <row r="2" spans="2:18" ht="18.75" x14ac:dyDescent="0.2">
      <c r="B2" s="81" t="s">
        <v>13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4" t="s">
        <v>1</v>
      </c>
      <c r="F4" s="84"/>
      <c r="G4" s="84"/>
      <c r="H4" s="84"/>
      <c r="I4" s="84"/>
      <c r="J4" s="22"/>
      <c r="K4" s="78" t="s">
        <v>3</v>
      </c>
      <c r="L4" s="79"/>
      <c r="M4" s="8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IF(vend22[[#This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76" t="s">
        <v>5</v>
      </c>
      <c r="C10" s="7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8" t="s">
        <v>22</v>
      </c>
      <c r="L13" s="79"/>
      <c r="M13" s="80"/>
      <c r="R13" s="1">
        <f>IF(vend22[[#This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 x14ac:dyDescent="0.25">
      <c r="B15" s="30" t="s">
        <v>10</v>
      </c>
      <c r="C15" s="31">
        <f t="shared" si="0"/>
        <v>73.75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IF(vend22[[#This Row],[Nº Venda]]&gt;1,1,0)</f>
        <v>0</v>
      </c>
    </row>
    <row r="16" spans="2:18" ht="15.75" x14ac:dyDescent="0.25">
      <c r="B16" s="28" t="s">
        <v>11</v>
      </c>
      <c r="C16" s="32">
        <f>SUM(C11:C15)</f>
        <v>73.75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 x14ac:dyDescent="0.25">
      <c r="B18" s="76" t="s">
        <v>12</v>
      </c>
      <c r="C18" s="7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7" t="s">
        <v>27</v>
      </c>
      <c r="F24" s="77"/>
      <c r="G24" s="77"/>
      <c r="H24" s="77"/>
      <c r="I24" s="7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7" t="s">
        <v>28</v>
      </c>
      <c r="F33" s="77"/>
      <c r="G33" s="77"/>
      <c r="H33" s="77"/>
      <c r="I33" s="77"/>
      <c r="K33" s="78" t="s">
        <v>12</v>
      </c>
      <c r="L33" s="79"/>
      <c r="M33" s="8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822</v>
      </c>
      <c r="F35" s="25" t="s">
        <v>69</v>
      </c>
      <c r="G35" s="26" t="s">
        <v>10</v>
      </c>
      <c r="H35" s="8">
        <v>73.75</v>
      </c>
      <c r="I35" s="8" t="s">
        <v>70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1"/>
  <sheetViews>
    <sheetView showGridLines="0" topLeftCell="A2" zoomScale="80" zoomScaleNormal="80" workbookViewId="0">
      <selection activeCell="G11" sqref="G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'22'!B1+1</f>
        <v>45314</v>
      </c>
    </row>
    <row r="2" spans="2:18" ht="18.75" x14ac:dyDescent="0.2">
      <c r="B2" s="81" t="s">
        <v>13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4" t="s">
        <v>1</v>
      </c>
      <c r="F4" s="84"/>
      <c r="G4" s="84"/>
      <c r="H4" s="84"/>
      <c r="I4" s="84"/>
      <c r="J4" s="22"/>
      <c r="K4" s="78" t="s">
        <v>3</v>
      </c>
      <c r="L4" s="79"/>
      <c r="M4" s="80"/>
    </row>
    <row r="5" spans="2:18" ht="15" x14ac:dyDescent="0.25">
      <c r="B5" s="23" t="s">
        <v>1</v>
      </c>
      <c r="C5" s="24">
        <f>SUMIF(I6:I31,"&gt;0",H6:H31)</f>
        <v>515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485</v>
      </c>
      <c r="D6" s="2"/>
      <c r="E6" s="18">
        <v>843</v>
      </c>
      <c r="F6" s="25" t="s">
        <v>71</v>
      </c>
      <c r="G6" s="26" t="s">
        <v>6</v>
      </c>
      <c r="H6" s="8">
        <v>465</v>
      </c>
      <c r="I6" s="8">
        <v>465</v>
      </c>
      <c r="J6" s="2"/>
      <c r="K6" s="25"/>
      <c r="L6" s="9"/>
      <c r="M6" s="16"/>
      <c r="R6" s="1">
        <f>IF(vend23[[#This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844</v>
      </c>
      <c r="F7" s="25" t="s">
        <v>72</v>
      </c>
      <c r="G7" s="26" t="s">
        <v>7</v>
      </c>
      <c r="H7" s="8">
        <v>50</v>
      </c>
      <c r="I7" s="8">
        <v>20</v>
      </c>
      <c r="J7" s="2"/>
      <c r="K7" s="25"/>
      <c r="L7" s="9"/>
      <c r="M7" s="16"/>
      <c r="R7" s="1">
        <f>IF(vend23[[#This Row],[Nº Venda]]&gt;1,1,0)</f>
        <v>1</v>
      </c>
    </row>
    <row r="8" spans="2:18" ht="15.75" x14ac:dyDescent="0.25">
      <c r="B8" s="28" t="s">
        <v>21</v>
      </c>
      <c r="C8" s="29">
        <f>SUM(C6:C7)</f>
        <v>485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 x14ac:dyDescent="0.25">
      <c r="B10" s="76" t="s">
        <v>5</v>
      </c>
      <c r="C10" s="7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465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8" t="s">
        <v>22</v>
      </c>
      <c r="L13" s="79"/>
      <c r="M13" s="80"/>
      <c r="R13" s="1">
        <f>IF(vend23[[#This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IF(vend23[[#This Row],[Nº Venda]]&gt;1,1,0)</f>
        <v>0</v>
      </c>
    </row>
    <row r="16" spans="2:18" ht="15.75" x14ac:dyDescent="0.25">
      <c r="B16" s="28" t="s">
        <v>11</v>
      </c>
      <c r="C16" s="32">
        <f>SUM(C11:C15)</f>
        <v>485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 x14ac:dyDescent="0.25">
      <c r="B18" s="76" t="s">
        <v>12</v>
      </c>
      <c r="C18" s="7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515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7" t="s">
        <v>27</v>
      </c>
      <c r="F24" s="77"/>
      <c r="G24" s="77"/>
      <c r="H24" s="77"/>
      <c r="I24" s="7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7" t="s">
        <v>28</v>
      </c>
      <c r="F33" s="77"/>
      <c r="G33" s="77"/>
      <c r="H33" s="77"/>
      <c r="I33" s="77"/>
      <c r="K33" s="78" t="s">
        <v>12</v>
      </c>
      <c r="L33" s="79"/>
      <c r="M33" s="8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zoomScale="80" zoomScaleNormal="80" workbookViewId="0">
      <selection activeCell="H9" sqref="H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'23'!B1+1</f>
        <v>45315</v>
      </c>
    </row>
    <row r="2" spans="2:18" ht="18.75" x14ac:dyDescent="0.2">
      <c r="B2" s="81" t="s">
        <v>13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4" t="s">
        <v>1</v>
      </c>
      <c r="F4" s="84"/>
      <c r="G4" s="84"/>
      <c r="H4" s="84"/>
      <c r="I4" s="84"/>
      <c r="J4" s="22"/>
      <c r="K4" s="78" t="s">
        <v>3</v>
      </c>
      <c r="L4" s="79"/>
      <c r="M4" s="80"/>
    </row>
    <row r="5" spans="2:18" ht="15" x14ac:dyDescent="0.25">
      <c r="B5" s="23" t="s">
        <v>1</v>
      </c>
      <c r="C5" s="24">
        <f>SUMIF(I6:I31,"&gt;0",H6:H31)</f>
        <v>390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390</v>
      </c>
      <c r="D6" s="2"/>
      <c r="E6" s="18">
        <v>845</v>
      </c>
      <c r="F6" s="25" t="s">
        <v>73</v>
      </c>
      <c r="G6" s="26" t="s">
        <v>7</v>
      </c>
      <c r="H6" s="8">
        <v>390</v>
      </c>
      <c r="I6" s="8">
        <v>200</v>
      </c>
      <c r="J6" s="2"/>
      <c r="K6" s="25"/>
      <c r="L6" s="9"/>
      <c r="M6" s="16"/>
      <c r="R6" s="1">
        <f>IF(vend24[[#This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845</v>
      </c>
      <c r="F7" s="25" t="s">
        <v>73</v>
      </c>
      <c r="G7" s="26" t="s">
        <v>8</v>
      </c>
      <c r="H7" s="8"/>
      <c r="I7" s="8">
        <v>190</v>
      </c>
      <c r="J7" s="2"/>
      <c r="K7" s="25"/>
      <c r="L7" s="9"/>
      <c r="M7" s="16"/>
      <c r="R7" s="1">
        <f>IF(vend24[[#This Row],[Nº Venda]]&gt;1,1,0)</f>
        <v>1</v>
      </c>
    </row>
    <row r="8" spans="2:18" ht="15.75" x14ac:dyDescent="0.25">
      <c r="B8" s="28" t="s">
        <v>21</v>
      </c>
      <c r="C8" s="29">
        <f>SUM(C6:C7)</f>
        <v>390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 t="s">
        <v>74</v>
      </c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 x14ac:dyDescent="0.25">
      <c r="B10" s="76" t="s">
        <v>5</v>
      </c>
      <c r="C10" s="7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200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8</v>
      </c>
      <c r="C13" s="31">
        <f t="shared" si="0"/>
        <v>190</v>
      </c>
      <c r="D13" s="2"/>
      <c r="E13" s="18"/>
      <c r="F13" s="25"/>
      <c r="G13" s="26"/>
      <c r="H13" s="8"/>
      <c r="I13" s="8"/>
      <c r="J13" s="2"/>
      <c r="K13" s="78" t="s">
        <v>22</v>
      </c>
      <c r="L13" s="79"/>
      <c r="M13" s="80"/>
      <c r="R13" s="1">
        <f>IF(vend24[[#This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835</v>
      </c>
      <c r="L15" s="9" t="s">
        <v>49</v>
      </c>
      <c r="M15" s="16" t="s">
        <v>50</v>
      </c>
      <c r="R15" s="1">
        <f>IF(vend24[[#This Row],[Nº Venda]]&gt;1,1,0)</f>
        <v>0</v>
      </c>
    </row>
    <row r="16" spans="2:18" ht="15.75" x14ac:dyDescent="0.25">
      <c r="B16" s="28" t="s">
        <v>11</v>
      </c>
      <c r="C16" s="32">
        <f>SUM(C11:C15)</f>
        <v>390</v>
      </c>
      <c r="D16" s="2"/>
      <c r="E16" s="18"/>
      <c r="F16" s="25"/>
      <c r="G16" s="26"/>
      <c r="H16" s="8"/>
      <c r="I16" s="8"/>
      <c r="J16" s="2"/>
      <c r="K16" s="25">
        <v>832</v>
      </c>
      <c r="L16" s="9" t="s">
        <v>49</v>
      </c>
      <c r="M16" s="16" t="s">
        <v>63</v>
      </c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 x14ac:dyDescent="0.25">
      <c r="B18" s="76" t="s">
        <v>12</v>
      </c>
      <c r="C18" s="7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1</v>
      </c>
      <c r="C19" s="31">
        <f>SUM(entr_carn24[Valor Total])</f>
        <v>390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11</v>
      </c>
      <c r="C20" s="32">
        <f>SUM(C19:C19)</f>
        <v>390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390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7" t="s">
        <v>27</v>
      </c>
      <c r="F24" s="77"/>
      <c r="G24" s="77"/>
      <c r="H24" s="77"/>
      <c r="I24" s="7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7" t="s">
        <v>28</v>
      </c>
      <c r="F33" s="77"/>
      <c r="G33" s="77"/>
      <c r="H33" s="77"/>
      <c r="I33" s="77"/>
      <c r="K33" s="78" t="s">
        <v>12</v>
      </c>
      <c r="L33" s="79"/>
      <c r="M33" s="8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>
        <v>832</v>
      </c>
      <c r="L35" s="41">
        <v>5</v>
      </c>
      <c r="M35" s="16">
        <v>390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zoomScale="80" zoomScaleNormal="80" workbookViewId="0">
      <selection activeCell="I11" sqref="I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'24'!B1+1</f>
        <v>45316</v>
      </c>
    </row>
    <row r="2" spans="2:18" ht="18.75" x14ac:dyDescent="0.2">
      <c r="B2" s="81" t="s">
        <v>13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4" t="s">
        <v>1</v>
      </c>
      <c r="F4" s="84"/>
      <c r="G4" s="84"/>
      <c r="H4" s="84"/>
      <c r="I4" s="84"/>
      <c r="J4" s="22"/>
      <c r="K4" s="78" t="s">
        <v>3</v>
      </c>
      <c r="L4" s="79"/>
      <c r="M4" s="8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IF(vend25[[#This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 x14ac:dyDescent="0.25">
      <c r="B10" s="76" t="s">
        <v>5</v>
      </c>
      <c r="C10" s="7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8" t="s">
        <v>22</v>
      </c>
      <c r="L13" s="79"/>
      <c r="M13" s="80"/>
      <c r="R13" s="1">
        <f>IF(vend25[[#This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IF(vend25[[#This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 x14ac:dyDescent="0.25">
      <c r="B18" s="76" t="s">
        <v>12</v>
      </c>
      <c r="C18" s="7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7" t="s">
        <v>27</v>
      </c>
      <c r="F24" s="77"/>
      <c r="G24" s="77"/>
      <c r="H24" s="77"/>
      <c r="I24" s="7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7" t="s">
        <v>28</v>
      </c>
      <c r="F33" s="77"/>
      <c r="G33" s="77"/>
      <c r="H33" s="77"/>
      <c r="I33" s="77"/>
      <c r="K33" s="78" t="s">
        <v>12</v>
      </c>
      <c r="L33" s="79"/>
      <c r="M33" s="8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zoomScale="80" zoomScaleNormal="80" workbookViewId="0">
      <selection activeCell="H16" sqref="H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'25'!B1+1</f>
        <v>45317</v>
      </c>
    </row>
    <row r="2" spans="2:18" ht="18.75" x14ac:dyDescent="0.2">
      <c r="B2" s="81" t="s">
        <v>13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4" t="s">
        <v>1</v>
      </c>
      <c r="F4" s="84"/>
      <c r="G4" s="84"/>
      <c r="H4" s="84"/>
      <c r="I4" s="84"/>
      <c r="J4" s="22"/>
      <c r="K4" s="78" t="s">
        <v>3</v>
      </c>
      <c r="L4" s="79"/>
      <c r="M4" s="80"/>
    </row>
    <row r="5" spans="2:18" ht="15" x14ac:dyDescent="0.25">
      <c r="B5" s="23" t="s">
        <v>1</v>
      </c>
      <c r="C5" s="24">
        <f>SUMIF(I6:I31,"&gt;0",H6:H31)</f>
        <v>750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375</v>
      </c>
      <c r="D6" s="2"/>
      <c r="E6" s="18">
        <v>846</v>
      </c>
      <c r="F6" s="25" t="s">
        <v>75</v>
      </c>
      <c r="G6" s="26" t="s">
        <v>7</v>
      </c>
      <c r="H6" s="8">
        <v>750</v>
      </c>
      <c r="I6" s="8">
        <v>375</v>
      </c>
      <c r="J6" s="2"/>
      <c r="K6" s="25"/>
      <c r="L6" s="9"/>
      <c r="M6" s="16"/>
      <c r="R6" s="1">
        <f>IF(vend26[[#This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IF(vend26[[#This Row],[Nº Venda]]&gt;1,1,0)</f>
        <v>0</v>
      </c>
    </row>
    <row r="8" spans="2:18" ht="15.75" x14ac:dyDescent="0.25">
      <c r="B8" s="28" t="s">
        <v>21</v>
      </c>
      <c r="C8" s="29">
        <f>SUM(C6:C7)</f>
        <v>375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76" t="s">
        <v>5</v>
      </c>
      <c r="C10" s="7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375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8" t="s">
        <v>22</v>
      </c>
      <c r="L13" s="79"/>
      <c r="M13" s="80"/>
      <c r="R13" s="1">
        <f>IF(vend26[[#This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IF(vend26[[#This Row],[Nº Venda]]&gt;1,1,0)</f>
        <v>0</v>
      </c>
    </row>
    <row r="16" spans="2:18" ht="15.75" x14ac:dyDescent="0.25">
      <c r="B16" s="28" t="s">
        <v>11</v>
      </c>
      <c r="C16" s="32">
        <f>SUM(C11:C15)</f>
        <v>375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 x14ac:dyDescent="0.25">
      <c r="B18" s="76" t="s">
        <v>12</v>
      </c>
      <c r="C18" s="7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 x14ac:dyDescent="0.2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750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7" t="s">
        <v>27</v>
      </c>
      <c r="F24" s="77"/>
      <c r="G24" s="77"/>
      <c r="H24" s="77"/>
      <c r="I24" s="7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7" t="s">
        <v>28</v>
      </c>
      <c r="F33" s="77"/>
      <c r="G33" s="77"/>
      <c r="H33" s="77"/>
      <c r="I33" s="77"/>
      <c r="K33" s="78" t="s">
        <v>12</v>
      </c>
      <c r="L33" s="79"/>
      <c r="M33" s="8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zoomScale="80" zoomScaleNormal="80" workbookViewId="0">
      <selection activeCell="L16" sqref="L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'26'!B1+1</f>
        <v>45318</v>
      </c>
    </row>
    <row r="2" spans="2:18" ht="18.75" x14ac:dyDescent="0.2">
      <c r="B2" s="81" t="s">
        <v>13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4" t="s">
        <v>1</v>
      </c>
      <c r="F4" s="84"/>
      <c r="G4" s="84"/>
      <c r="H4" s="84"/>
      <c r="I4" s="84"/>
      <c r="J4" s="22"/>
      <c r="K4" s="78" t="s">
        <v>3</v>
      </c>
      <c r="L4" s="79"/>
      <c r="M4" s="80"/>
    </row>
    <row r="5" spans="2:18" ht="15" x14ac:dyDescent="0.25">
      <c r="B5" s="23" t="s">
        <v>1</v>
      </c>
      <c r="C5" s="24">
        <f>SUMIF(I6:I31,"&gt;0",H6:H31)</f>
        <v>150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150</v>
      </c>
      <c r="D6" s="2"/>
      <c r="E6" s="18">
        <v>847</v>
      </c>
      <c r="F6" s="25" t="s">
        <v>76</v>
      </c>
      <c r="G6" s="26" t="s">
        <v>8</v>
      </c>
      <c r="H6" s="8">
        <v>150</v>
      </c>
      <c r="I6" s="8">
        <v>150</v>
      </c>
      <c r="J6" s="2"/>
      <c r="K6" s="25"/>
      <c r="L6" s="9"/>
      <c r="M6" s="16"/>
      <c r="R6" s="1">
        <f>IF(vend27[[#This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IF(vend27[[#This Row],[Nº Venda]]&gt;1,1,0)</f>
        <v>0</v>
      </c>
    </row>
    <row r="8" spans="2:18" ht="15.75" x14ac:dyDescent="0.25">
      <c r="B8" s="28" t="s">
        <v>21</v>
      </c>
      <c r="C8" s="29">
        <f>SUM(C6:C7)</f>
        <v>150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 x14ac:dyDescent="0.25">
      <c r="B10" s="76" t="s">
        <v>5</v>
      </c>
      <c r="C10" s="7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8</v>
      </c>
      <c r="C13" s="31">
        <f t="shared" si="0"/>
        <v>150</v>
      </c>
      <c r="D13" s="2"/>
      <c r="E13" s="18"/>
      <c r="F13" s="25"/>
      <c r="G13" s="26"/>
      <c r="H13" s="8"/>
      <c r="I13" s="8"/>
      <c r="J13" s="2"/>
      <c r="K13" s="78" t="s">
        <v>22</v>
      </c>
      <c r="L13" s="79"/>
      <c r="M13" s="80"/>
      <c r="R13" s="1">
        <f>IF(vend27[[#This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840</v>
      </c>
      <c r="L15" s="9" t="s">
        <v>49</v>
      </c>
      <c r="M15" s="16" t="s">
        <v>63</v>
      </c>
      <c r="R15" s="1">
        <f>IF(vend27[[#This Row],[Nº Venda]]&gt;1,1,0)</f>
        <v>0</v>
      </c>
    </row>
    <row r="16" spans="2:18" ht="15.75" x14ac:dyDescent="0.25">
      <c r="B16" s="28" t="s">
        <v>11</v>
      </c>
      <c r="C16" s="32">
        <f>SUM(C11:C15)</f>
        <v>150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 x14ac:dyDescent="0.25">
      <c r="B18" s="76" t="s">
        <v>12</v>
      </c>
      <c r="C18" s="7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 x14ac:dyDescent="0.25">
      <c r="B19" s="30">
        <f>COUNT(entr_carn27[OS])</f>
        <v>1</v>
      </c>
      <c r="C19" s="31">
        <f>SUM(entr_carn27[Valor Total])</f>
        <v>400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8" t="s">
        <v>11</v>
      </c>
      <c r="C20" s="32">
        <f>SUM(C19:C19)</f>
        <v>400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7" t="s">
        <v>27</v>
      </c>
      <c r="F24" s="77"/>
      <c r="G24" s="77"/>
      <c r="H24" s="77"/>
      <c r="I24" s="7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7" t="s">
        <v>28</v>
      </c>
      <c r="F33" s="77"/>
      <c r="G33" s="77"/>
      <c r="H33" s="77"/>
      <c r="I33" s="77"/>
      <c r="K33" s="78" t="s">
        <v>12</v>
      </c>
      <c r="L33" s="79"/>
      <c r="M33" s="8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>
        <v>840</v>
      </c>
      <c r="L35" s="41">
        <v>2</v>
      </c>
      <c r="M35" s="16">
        <v>400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zoomScale="80" zoomScaleNormal="80" workbookViewId="0">
      <selection activeCell="F16" sqref="F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'27'!B1+1</f>
        <v>45319</v>
      </c>
    </row>
    <row r="2" spans="2:18" ht="18.75" x14ac:dyDescent="0.2">
      <c r="B2" s="81" t="s">
        <v>13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4" t="s">
        <v>1</v>
      </c>
      <c r="F4" s="84"/>
      <c r="G4" s="84"/>
      <c r="H4" s="84"/>
      <c r="I4" s="84"/>
      <c r="J4" s="22"/>
      <c r="K4" s="78" t="s">
        <v>3</v>
      </c>
      <c r="L4" s="79"/>
      <c r="M4" s="8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IF(vend28[[#This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76" t="s">
        <v>5</v>
      </c>
      <c r="C10" s="7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8" t="s">
        <v>22</v>
      </c>
      <c r="L13" s="79"/>
      <c r="M13" s="80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IF(vend28[[#This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 x14ac:dyDescent="0.25">
      <c r="B18" s="76" t="s">
        <v>12</v>
      </c>
      <c r="C18" s="7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7" t="s">
        <v>27</v>
      </c>
      <c r="F24" s="77"/>
      <c r="G24" s="77"/>
      <c r="H24" s="77"/>
      <c r="I24" s="7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7" t="s">
        <v>28</v>
      </c>
      <c r="F33" s="77"/>
      <c r="G33" s="77"/>
      <c r="H33" s="77"/>
      <c r="I33" s="77"/>
      <c r="K33" s="78" t="s">
        <v>12</v>
      </c>
      <c r="L33" s="79"/>
      <c r="M33" s="8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topLeftCell="A4" zoomScale="80" zoomScaleNormal="80" workbookViewId="0">
      <selection activeCell="L29" sqref="L29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72">
        <f>'28'!B1+1</f>
        <v>45320</v>
      </c>
    </row>
    <row r="2" spans="2:18" ht="18.75" x14ac:dyDescent="0.2">
      <c r="B2" s="81" t="s">
        <v>13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4" t="s">
        <v>1</v>
      </c>
      <c r="F4" s="84"/>
      <c r="G4" s="84"/>
      <c r="H4" s="84"/>
      <c r="I4" s="84"/>
      <c r="J4" s="22"/>
      <c r="K4" s="78" t="s">
        <v>3</v>
      </c>
      <c r="L4" s="79"/>
      <c r="M4" s="8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IF(vend29[[#This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 x14ac:dyDescent="0.25">
      <c r="B10" s="76" t="s">
        <v>5</v>
      </c>
      <c r="C10" s="7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195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8" t="s">
        <v>22</v>
      </c>
      <c r="L13" s="79"/>
      <c r="M13" s="80"/>
      <c r="R13" s="1">
        <f>IF(vend29[[#This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843</v>
      </c>
      <c r="L15" s="9" t="s">
        <v>49</v>
      </c>
      <c r="M15" s="16" t="s">
        <v>50</v>
      </c>
      <c r="R15" s="1">
        <f>IF(vend29[[#This Row],[Nº Venda]]&gt;1,1,0)</f>
        <v>0</v>
      </c>
    </row>
    <row r="16" spans="2:18" ht="15.75" x14ac:dyDescent="0.25">
      <c r="B16" s="28" t="s">
        <v>11</v>
      </c>
      <c r="C16" s="32">
        <f>SUM(C11:C15)</f>
        <v>195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IF(vend29[[#This Row],[Nº Venda]]&gt;1,1,0)</f>
        <v>0</v>
      </c>
    </row>
    <row r="18" spans="2:18" ht="15.75" x14ac:dyDescent="0.25">
      <c r="B18" s="76" t="s">
        <v>12</v>
      </c>
      <c r="C18" s="7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7" t="s">
        <v>27</v>
      </c>
      <c r="F24" s="77"/>
      <c r="G24" s="77"/>
      <c r="H24" s="77"/>
      <c r="I24" s="7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7" t="s">
        <v>28</v>
      </c>
      <c r="F33" s="77"/>
      <c r="G33" s="77"/>
      <c r="H33" s="77"/>
      <c r="I33" s="77"/>
      <c r="K33" s="78" t="s">
        <v>12</v>
      </c>
      <c r="L33" s="79"/>
      <c r="M33" s="8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774</v>
      </c>
      <c r="F35" s="25" t="s">
        <v>158</v>
      </c>
      <c r="G35" s="26" t="s">
        <v>7</v>
      </c>
      <c r="H35" s="8">
        <v>65</v>
      </c>
      <c r="I35" s="8" t="s">
        <v>101</v>
      </c>
      <c r="K35" s="25"/>
      <c r="L35" s="41"/>
      <c r="M35" s="16"/>
    </row>
    <row r="36" spans="2:18" ht="15.75" x14ac:dyDescent="0.25">
      <c r="E36" s="18">
        <v>774</v>
      </c>
      <c r="F36" s="25" t="s">
        <v>158</v>
      </c>
      <c r="G36" s="26" t="s">
        <v>7</v>
      </c>
      <c r="H36" s="8">
        <v>65</v>
      </c>
      <c r="I36" s="8" t="s">
        <v>102</v>
      </c>
      <c r="K36" s="25"/>
      <c r="L36" s="41"/>
      <c r="M36" s="16"/>
    </row>
    <row r="37" spans="2:18" ht="15.75" x14ac:dyDescent="0.25">
      <c r="E37" s="18">
        <v>774</v>
      </c>
      <c r="F37" s="25" t="s">
        <v>158</v>
      </c>
      <c r="G37" s="26" t="s">
        <v>7</v>
      </c>
      <c r="H37" s="8">
        <v>65</v>
      </c>
      <c r="I37" s="8" t="s">
        <v>103</v>
      </c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R41"/>
  <sheetViews>
    <sheetView showGridLines="0" zoomScale="80" zoomScaleNormal="80" workbookViewId="0">
      <selection activeCell="I13" sqref="I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'29'!B1+1</f>
        <v>45321</v>
      </c>
    </row>
    <row r="2" spans="2:18" ht="18.75" x14ac:dyDescent="0.2">
      <c r="B2" s="81" t="s">
        <v>13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4" t="s">
        <v>1</v>
      </c>
      <c r="F4" s="84"/>
      <c r="G4" s="84"/>
      <c r="H4" s="84"/>
      <c r="I4" s="84"/>
      <c r="J4" s="22"/>
      <c r="K4" s="78" t="s">
        <v>3</v>
      </c>
      <c r="L4" s="79"/>
      <c r="M4" s="80"/>
    </row>
    <row r="5" spans="2:18" ht="15" x14ac:dyDescent="0.25">
      <c r="B5" s="23" t="s">
        <v>1</v>
      </c>
      <c r="C5" s="24">
        <f>SUMIF(I6:I31,"&gt;0",H6:H31)</f>
        <v>100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130</v>
      </c>
      <c r="D6" s="2"/>
      <c r="E6" s="18">
        <v>848</v>
      </c>
      <c r="F6" s="25" t="s">
        <v>160</v>
      </c>
      <c r="G6" s="26" t="s">
        <v>91</v>
      </c>
      <c r="H6" s="8">
        <v>0</v>
      </c>
      <c r="I6" s="8">
        <v>0</v>
      </c>
      <c r="J6" s="2"/>
      <c r="K6" s="25"/>
      <c r="L6" s="9"/>
      <c r="M6" s="16"/>
      <c r="R6" s="1">
        <f>IF(vend30[[#This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849</v>
      </c>
      <c r="F7" s="25" t="s">
        <v>161</v>
      </c>
      <c r="G7" s="26" t="s">
        <v>6</v>
      </c>
      <c r="H7" s="8">
        <v>100</v>
      </c>
      <c r="I7" s="8">
        <v>100</v>
      </c>
      <c r="J7" s="2"/>
      <c r="K7" s="25"/>
      <c r="L7" s="9"/>
      <c r="M7" s="16"/>
      <c r="R7" s="1">
        <f>IF(vend30[[#This Row],[Nº Venda]]&gt;1,1,0)</f>
        <v>1</v>
      </c>
    </row>
    <row r="8" spans="2:18" ht="15.75" x14ac:dyDescent="0.25">
      <c r="B8" s="28" t="s">
        <v>21</v>
      </c>
      <c r="C8" s="29">
        <f>SUM(C6:C7)</f>
        <v>130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75" x14ac:dyDescent="0.25">
      <c r="B10" s="76" t="s">
        <v>5</v>
      </c>
      <c r="C10" s="7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8" t="s">
        <v>22</v>
      </c>
      <c r="L13" s="79"/>
      <c r="M13" s="80"/>
      <c r="R13" s="1">
        <f>IF(vend30[[#This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.75" x14ac:dyDescent="0.25">
      <c r="B15" s="30" t="s">
        <v>10</v>
      </c>
      <c r="C15" s="31">
        <f t="shared" si="0"/>
        <v>30</v>
      </c>
      <c r="D15" s="2"/>
      <c r="E15" s="18"/>
      <c r="F15" s="25"/>
      <c r="G15" s="26"/>
      <c r="H15" s="8"/>
      <c r="I15" s="8"/>
      <c r="J15" s="2"/>
      <c r="K15" s="25">
        <v>844</v>
      </c>
      <c r="L15" s="9" t="s">
        <v>68</v>
      </c>
      <c r="M15" s="16" t="s">
        <v>50</v>
      </c>
      <c r="R15" s="1">
        <f>IF(vend30[[#This Row],[Nº Venda]]&gt;1,1,0)</f>
        <v>0</v>
      </c>
    </row>
    <row r="16" spans="2:18" ht="15.75" x14ac:dyDescent="0.25">
      <c r="B16" s="28" t="s">
        <v>11</v>
      </c>
      <c r="C16" s="32">
        <f>SUM(C11:C15)</f>
        <v>130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IF(vend30[[#This Row],[Nº Venda]]&gt;1,1,0)</f>
        <v>0</v>
      </c>
    </row>
    <row r="18" spans="2:18" ht="15.75" x14ac:dyDescent="0.25">
      <c r="B18" s="76" t="s">
        <v>12</v>
      </c>
      <c r="C18" s="7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18" ht="15.75" x14ac:dyDescent="0.25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7" t="s">
        <v>27</v>
      </c>
      <c r="F24" s="77"/>
      <c r="G24" s="77"/>
      <c r="H24" s="77"/>
      <c r="I24" s="7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844</v>
      </c>
      <c r="F26" s="25" t="s">
        <v>159</v>
      </c>
      <c r="G26" s="26" t="s">
        <v>10</v>
      </c>
      <c r="H26" s="8"/>
      <c r="I26" s="8">
        <v>30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7" t="s">
        <v>28</v>
      </c>
      <c r="F33" s="77"/>
      <c r="G33" s="77"/>
      <c r="H33" s="77"/>
      <c r="I33" s="77"/>
      <c r="K33" s="78" t="s">
        <v>12</v>
      </c>
      <c r="L33" s="79"/>
      <c r="M33" s="8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zoomScale="80" zoomScaleNormal="80" workbookViewId="0">
      <selection activeCell="H12" sqref="H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'30'!B1+1</f>
        <v>45322</v>
      </c>
    </row>
    <row r="2" spans="2:18" ht="18.75" x14ac:dyDescent="0.2">
      <c r="B2" s="81" t="s">
        <v>13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4" t="s">
        <v>1</v>
      </c>
      <c r="F4" s="84"/>
      <c r="G4" s="84"/>
      <c r="H4" s="84"/>
      <c r="I4" s="84"/>
      <c r="J4" s="22"/>
      <c r="K4" s="78" t="s">
        <v>3</v>
      </c>
      <c r="L4" s="79"/>
      <c r="M4" s="80"/>
    </row>
    <row r="5" spans="2:18" ht="15" x14ac:dyDescent="0.25">
      <c r="B5" s="23" t="s">
        <v>1</v>
      </c>
      <c r="C5" s="24">
        <f>SUMIF(I6:I31,"&gt;0",H6:H31)</f>
        <v>810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810</v>
      </c>
      <c r="D6" s="2"/>
      <c r="E6" s="18">
        <v>850</v>
      </c>
      <c r="F6" s="25" t="s">
        <v>162</v>
      </c>
      <c r="G6" s="26" t="s">
        <v>9</v>
      </c>
      <c r="H6" s="8">
        <v>790</v>
      </c>
      <c r="I6" s="8">
        <v>790</v>
      </c>
      <c r="J6" s="2"/>
      <c r="K6" s="25"/>
      <c r="L6" s="9"/>
      <c r="M6" s="16"/>
      <c r="R6" s="1">
        <f>IF(vend31[[#This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851</v>
      </c>
      <c r="F7" s="25" t="s">
        <v>163</v>
      </c>
      <c r="G7" s="26" t="s">
        <v>10</v>
      </c>
      <c r="H7" s="8">
        <v>20</v>
      </c>
      <c r="I7" s="8">
        <v>20</v>
      </c>
      <c r="J7" s="2"/>
      <c r="K7" s="25"/>
      <c r="L7" s="9"/>
      <c r="M7" s="16"/>
      <c r="R7" s="1">
        <f>IF(vend31[[#This Row],[Nº Venda]]&gt;1,1,0)</f>
        <v>1</v>
      </c>
    </row>
    <row r="8" spans="2:18" ht="15.75" x14ac:dyDescent="0.25">
      <c r="B8" s="28" t="s">
        <v>21</v>
      </c>
      <c r="C8" s="29">
        <f>SUM(C6:C7)</f>
        <v>810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 x14ac:dyDescent="0.25">
      <c r="B10" s="76" t="s">
        <v>5</v>
      </c>
      <c r="C10" s="7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8" t="s">
        <v>22</v>
      </c>
      <c r="L13" s="79"/>
      <c r="M13" s="80"/>
      <c r="R13" s="1">
        <f>IF(vend31[[#This Row],[Nº Venda]]&gt;1,1,0)</f>
        <v>0</v>
      </c>
    </row>
    <row r="14" spans="2:18" ht="15.75" x14ac:dyDescent="0.25">
      <c r="B14" s="30" t="s">
        <v>9</v>
      </c>
      <c r="C14" s="31">
        <f t="shared" si="0"/>
        <v>790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75" x14ac:dyDescent="0.25">
      <c r="B15" s="30" t="s">
        <v>10</v>
      </c>
      <c r="C15" s="31">
        <f t="shared" si="0"/>
        <v>20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75" x14ac:dyDescent="0.25">
      <c r="B16" s="28" t="s">
        <v>11</v>
      </c>
      <c r="C16" s="32">
        <f>SUM(C11:C15)</f>
        <v>810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 x14ac:dyDescent="0.25">
      <c r="B18" s="76" t="s">
        <v>12</v>
      </c>
      <c r="C18" s="7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 x14ac:dyDescent="0.2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810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7" t="s">
        <v>27</v>
      </c>
      <c r="F24" s="77"/>
      <c r="G24" s="77"/>
      <c r="H24" s="77"/>
      <c r="I24" s="7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7" t="s">
        <v>28</v>
      </c>
      <c r="F33" s="77"/>
      <c r="G33" s="77"/>
      <c r="H33" s="77"/>
      <c r="I33" s="77"/>
      <c r="K33" s="78" t="s">
        <v>12</v>
      </c>
      <c r="L33" s="79"/>
      <c r="M33" s="8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77</v>
      </c>
      <c r="B1" s="38" t="s">
        <v>78</v>
      </c>
      <c r="E1" s="38" t="s">
        <v>79</v>
      </c>
    </row>
    <row r="2" spans="1:5" x14ac:dyDescent="0.2">
      <c r="A2" s="38" t="s">
        <v>6</v>
      </c>
      <c r="B2" s="38" t="s">
        <v>80</v>
      </c>
      <c r="E2" t="s">
        <v>81</v>
      </c>
    </row>
    <row r="3" spans="1:5" x14ac:dyDescent="0.2">
      <c r="A3" s="38" t="s">
        <v>7</v>
      </c>
      <c r="B3" s="38" t="s">
        <v>82</v>
      </c>
      <c r="E3" t="s">
        <v>83</v>
      </c>
    </row>
    <row r="4" spans="1:5" x14ac:dyDescent="0.2">
      <c r="A4" s="38" t="s">
        <v>8</v>
      </c>
      <c r="B4" s="38" t="s">
        <v>84</v>
      </c>
      <c r="E4" t="s">
        <v>85</v>
      </c>
    </row>
    <row r="5" spans="1:5" x14ac:dyDescent="0.2">
      <c r="A5" s="38" t="s">
        <v>9</v>
      </c>
      <c r="B5" s="38" t="s">
        <v>86</v>
      </c>
      <c r="E5" t="s">
        <v>54</v>
      </c>
    </row>
    <row r="6" spans="1:5" x14ac:dyDescent="0.2">
      <c r="A6" s="38" t="s">
        <v>10</v>
      </c>
      <c r="B6" s="38" t="s">
        <v>10</v>
      </c>
      <c r="E6" t="s">
        <v>87</v>
      </c>
    </row>
    <row r="7" spans="1:5" x14ac:dyDescent="0.2">
      <c r="A7" s="38" t="s">
        <v>61</v>
      </c>
      <c r="B7" s="38" t="s">
        <v>88</v>
      </c>
      <c r="E7" t="s">
        <v>89</v>
      </c>
    </row>
    <row r="8" spans="1:5" x14ac:dyDescent="0.2">
      <c r="A8" t="s">
        <v>25</v>
      </c>
      <c r="B8" t="s">
        <v>90</v>
      </c>
      <c r="E8" t="s">
        <v>44</v>
      </c>
    </row>
    <row r="9" spans="1:5" x14ac:dyDescent="0.2">
      <c r="A9" s="38" t="s">
        <v>91</v>
      </c>
      <c r="B9" s="38" t="s">
        <v>92</v>
      </c>
      <c r="E9" t="s">
        <v>42</v>
      </c>
    </row>
    <row r="10" spans="1:5" x14ac:dyDescent="0.2">
      <c r="E10" t="s">
        <v>93</v>
      </c>
    </row>
    <row r="11" spans="1:5" x14ac:dyDescent="0.2">
      <c r="E11" t="s">
        <v>94</v>
      </c>
    </row>
    <row r="12" spans="1:5" x14ac:dyDescent="0.2">
      <c r="E12" t="s">
        <v>67</v>
      </c>
    </row>
    <row r="13" spans="1:5" x14ac:dyDescent="0.2">
      <c r="E13" t="s">
        <v>95</v>
      </c>
    </row>
    <row r="14" spans="1:5" x14ac:dyDescent="0.2">
      <c r="E14" t="s">
        <v>96</v>
      </c>
    </row>
    <row r="15" spans="1:5" x14ac:dyDescent="0.2">
      <c r="E15" t="s">
        <v>97</v>
      </c>
    </row>
    <row r="16" spans="1:5" x14ac:dyDescent="0.2">
      <c r="E16" t="s">
        <v>98</v>
      </c>
    </row>
    <row r="17" spans="5:5" x14ac:dyDescent="0.2">
      <c r="E17" t="s">
        <v>48</v>
      </c>
    </row>
    <row r="18" spans="5:5" x14ac:dyDescent="0.2">
      <c r="E18" t="s">
        <v>99</v>
      </c>
    </row>
    <row r="19" spans="5:5" x14ac:dyDescent="0.2">
      <c r="E19" t="s">
        <v>100</v>
      </c>
    </row>
    <row r="20" spans="5:5" x14ac:dyDescent="0.2">
      <c r="E20" t="s">
        <v>101</v>
      </c>
    </row>
    <row r="21" spans="5:5" x14ac:dyDescent="0.2">
      <c r="E21" t="s">
        <v>102</v>
      </c>
    </row>
    <row r="22" spans="5:5" x14ac:dyDescent="0.2">
      <c r="E22" t="s">
        <v>103</v>
      </c>
    </row>
    <row r="23" spans="5:5" x14ac:dyDescent="0.2">
      <c r="E23" t="s">
        <v>104</v>
      </c>
    </row>
    <row r="24" spans="5:5" x14ac:dyDescent="0.2">
      <c r="E24" t="s">
        <v>105</v>
      </c>
    </row>
    <row r="25" spans="5:5" x14ac:dyDescent="0.2">
      <c r="E25" t="s">
        <v>106</v>
      </c>
    </row>
    <row r="26" spans="5:5" x14ac:dyDescent="0.2">
      <c r="E26" t="s">
        <v>107</v>
      </c>
    </row>
    <row r="27" spans="5:5" x14ac:dyDescent="0.2">
      <c r="E27" t="s">
        <v>108</v>
      </c>
    </row>
    <row r="28" spans="5:5" x14ac:dyDescent="0.2">
      <c r="E28" t="s">
        <v>52</v>
      </c>
    </row>
    <row r="29" spans="5:5" x14ac:dyDescent="0.2">
      <c r="E29" t="s">
        <v>109</v>
      </c>
    </row>
    <row r="30" spans="5:5" x14ac:dyDescent="0.2">
      <c r="E30" t="s">
        <v>70</v>
      </c>
    </row>
    <row r="31" spans="5:5" x14ac:dyDescent="0.2">
      <c r="E31" t="s">
        <v>110</v>
      </c>
    </row>
    <row r="32" spans="5:5" x14ac:dyDescent="0.2">
      <c r="E32" t="s">
        <v>111</v>
      </c>
    </row>
    <row r="33" spans="5:5" x14ac:dyDescent="0.2">
      <c r="E33" t="s">
        <v>58</v>
      </c>
    </row>
    <row r="34" spans="5:5" x14ac:dyDescent="0.2">
      <c r="E34" t="s">
        <v>112</v>
      </c>
    </row>
    <row r="35" spans="5:5" x14ac:dyDescent="0.2">
      <c r="E35" t="s">
        <v>113</v>
      </c>
    </row>
    <row r="36" spans="5:5" x14ac:dyDescent="0.2">
      <c r="E36" t="s">
        <v>114</v>
      </c>
    </row>
    <row r="37" spans="5:5" x14ac:dyDescent="0.2">
      <c r="E37" t="s">
        <v>115</v>
      </c>
    </row>
    <row r="38" spans="5:5" x14ac:dyDescent="0.2">
      <c r="E38" t="s">
        <v>116</v>
      </c>
    </row>
    <row r="39" spans="5:5" x14ac:dyDescent="0.2">
      <c r="E39" t="s">
        <v>117</v>
      </c>
    </row>
    <row r="40" spans="5:5" x14ac:dyDescent="0.2">
      <c r="E40" t="s">
        <v>118</v>
      </c>
    </row>
    <row r="41" spans="5:5" x14ac:dyDescent="0.2">
      <c r="E41" t="s">
        <v>119</v>
      </c>
    </row>
    <row r="42" spans="5:5" x14ac:dyDescent="0.2">
      <c r="E42" t="s">
        <v>120</v>
      </c>
    </row>
    <row r="43" spans="5:5" x14ac:dyDescent="0.2">
      <c r="E43" t="s">
        <v>121</v>
      </c>
    </row>
    <row r="44" spans="5:5" x14ac:dyDescent="0.2">
      <c r="E44" t="s">
        <v>122</v>
      </c>
    </row>
    <row r="45" spans="5:5" x14ac:dyDescent="0.2">
      <c r="E45" t="s">
        <v>123</v>
      </c>
    </row>
    <row r="46" spans="5:5" x14ac:dyDescent="0.2">
      <c r="E46" t="s">
        <v>124</v>
      </c>
    </row>
    <row r="47" spans="5:5" x14ac:dyDescent="0.2">
      <c r="E47" t="s">
        <v>125</v>
      </c>
    </row>
    <row r="48" spans="5:5" x14ac:dyDescent="0.2">
      <c r="E48" t="s">
        <v>126</v>
      </c>
    </row>
    <row r="49" spans="5:5" x14ac:dyDescent="0.2">
      <c r="E49" t="s">
        <v>127</v>
      </c>
    </row>
    <row r="50" spans="5:5" x14ac:dyDescent="0.2">
      <c r="E50" t="s">
        <v>128</v>
      </c>
    </row>
    <row r="51" spans="5:5" x14ac:dyDescent="0.2">
      <c r="E51" t="s">
        <v>129</v>
      </c>
    </row>
    <row r="52" spans="5:5" x14ac:dyDescent="0.2">
      <c r="E52" t="s">
        <v>130</v>
      </c>
    </row>
    <row r="53" spans="5:5" x14ac:dyDescent="0.2">
      <c r="E53" t="s">
        <v>131</v>
      </c>
    </row>
    <row r="54" spans="5:5" x14ac:dyDescent="0.2">
      <c r="E54" t="s">
        <v>132</v>
      </c>
    </row>
    <row r="55" spans="5:5" x14ac:dyDescent="0.2">
      <c r="E55" t="s">
        <v>133</v>
      </c>
    </row>
    <row r="56" spans="5:5" x14ac:dyDescent="0.2">
      <c r="E56" t="s">
        <v>134</v>
      </c>
    </row>
    <row r="57" spans="5:5" x14ac:dyDescent="0.2">
      <c r="E57" t="s">
        <v>135</v>
      </c>
    </row>
    <row r="58" spans="5:5" x14ac:dyDescent="0.2">
      <c r="E58" t="s">
        <v>136</v>
      </c>
    </row>
    <row r="59" spans="5:5" x14ac:dyDescent="0.2">
      <c r="E59" t="s">
        <v>137</v>
      </c>
    </row>
    <row r="60" spans="5:5" x14ac:dyDescent="0.2">
      <c r="E60" t="s">
        <v>138</v>
      </c>
    </row>
    <row r="61" spans="5:5" x14ac:dyDescent="0.2">
      <c r="E61" t="s">
        <v>139</v>
      </c>
    </row>
    <row r="62" spans="5:5" x14ac:dyDescent="0.2">
      <c r="E62" t="s">
        <v>140</v>
      </c>
    </row>
    <row r="63" spans="5:5" x14ac:dyDescent="0.2">
      <c r="E63" t="s">
        <v>141</v>
      </c>
    </row>
    <row r="64" spans="5:5" x14ac:dyDescent="0.2">
      <c r="E64" t="s">
        <v>142</v>
      </c>
    </row>
    <row r="65" spans="5:5" x14ac:dyDescent="0.2">
      <c r="E65" t="s">
        <v>143</v>
      </c>
    </row>
    <row r="66" spans="5:5" x14ac:dyDescent="0.2">
      <c r="E66" t="s">
        <v>144</v>
      </c>
    </row>
    <row r="67" spans="5:5" x14ac:dyDescent="0.2">
      <c r="E67" t="s">
        <v>145</v>
      </c>
    </row>
    <row r="68" spans="5:5" x14ac:dyDescent="0.2">
      <c r="E68" t="s">
        <v>146</v>
      </c>
    </row>
    <row r="69" spans="5:5" x14ac:dyDescent="0.2">
      <c r="E69" t="s">
        <v>147</v>
      </c>
    </row>
    <row r="70" spans="5:5" x14ac:dyDescent="0.2">
      <c r="E70" t="s">
        <v>148</v>
      </c>
    </row>
    <row r="71" spans="5:5" x14ac:dyDescent="0.2">
      <c r="E71" t="s">
        <v>149</v>
      </c>
    </row>
    <row r="72" spans="5:5" x14ac:dyDescent="0.2">
      <c r="E72" t="s">
        <v>150</v>
      </c>
    </row>
    <row r="73" spans="5:5" x14ac:dyDescent="0.2">
      <c r="E73" t="s">
        <v>151</v>
      </c>
    </row>
    <row r="74" spans="5:5" x14ac:dyDescent="0.2">
      <c r="E74" t="s">
        <v>152</v>
      </c>
    </row>
    <row r="75" spans="5:5" x14ac:dyDescent="0.2">
      <c r="E75" t="s">
        <v>153</v>
      </c>
    </row>
    <row r="76" spans="5:5" x14ac:dyDescent="0.2">
      <c r="E76" t="s">
        <v>154</v>
      </c>
    </row>
    <row r="77" spans="5:5" x14ac:dyDescent="0.2">
      <c r="E77" t="s">
        <v>155</v>
      </c>
    </row>
    <row r="78" spans="5:5" x14ac:dyDescent="0.2">
      <c r="E78" t="s">
        <v>156</v>
      </c>
    </row>
    <row r="79" spans="5:5" x14ac:dyDescent="0.2">
      <c r="E79" t="s">
        <v>157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gilberto Junior</cp:lastModifiedBy>
  <cp:revision/>
  <dcterms:created xsi:type="dcterms:W3CDTF">2004-04-07T20:43:43Z</dcterms:created>
  <dcterms:modified xsi:type="dcterms:W3CDTF">2024-06-10T17:58:46Z</dcterms:modified>
  <cp:category/>
  <cp:contentStatus/>
</cp:coreProperties>
</file>