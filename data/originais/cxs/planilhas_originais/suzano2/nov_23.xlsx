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ticastatymellocombr-my.sharepoint.com/personal/junior_oticastatymello_com_br/Documents/LOJAS/SUZANO2/CAIXA/2023/"/>
    </mc:Choice>
  </mc:AlternateContent>
  <xr:revisionPtr revIDLastSave="5" documentId="13_ncr:1_{DE06E5F1-8BDA-434B-A3B4-B14D83D86407}" xr6:coauthVersionLast="47" xr6:coauthVersionMax="47" xr10:uidLastSave="{68173D5C-DD8F-423A-9C89-67AB7CFA56F4}"/>
  <bookViews>
    <workbookView xWindow="-120" yWindow="330" windowWidth="29040" windowHeight="15990" tabRatio="895" activeTab="9" xr2:uid="{00000000-000D-0000-FFFF-FFFF00000000}"/>
  </bookViews>
  <sheets>
    <sheet name="resumo_cx" sheetId="200" r:id="rId1"/>
    <sheet name="01" sheetId="175" r:id="rId2"/>
    <sheet name="02" sheetId="174" r:id="rId3"/>
    <sheet name="03" sheetId="173" r:id="rId4"/>
    <sheet name="04" sheetId="172" r:id="rId5"/>
    <sheet name="05" sheetId="171" r:id="rId6"/>
    <sheet name="06" sheetId="170" r:id="rId7"/>
    <sheet name="07" sheetId="103" r:id="rId8"/>
    <sheet name="08" sheetId="178" r:id="rId9"/>
    <sheet name="09" sheetId="177" r:id="rId10"/>
    <sheet name="10" sheetId="176" r:id="rId11"/>
    <sheet name="11" sheetId="180" r:id="rId12"/>
    <sheet name="12" sheetId="182" r:id="rId13"/>
    <sheet name="13" sheetId="183" r:id="rId14"/>
    <sheet name="14" sheetId="181" r:id="rId15"/>
    <sheet name="15" sheetId="179" r:id="rId16"/>
    <sheet name="16" sheetId="184" r:id="rId17"/>
    <sheet name="17" sheetId="185" r:id="rId18"/>
    <sheet name="18" sheetId="186" r:id="rId19"/>
    <sheet name="19" sheetId="187" r:id="rId20"/>
    <sheet name="20" sheetId="189" r:id="rId21"/>
    <sheet name="21" sheetId="190" r:id="rId22"/>
    <sheet name="22" sheetId="191" r:id="rId23"/>
    <sheet name="23" sheetId="188" r:id="rId24"/>
    <sheet name="24" sheetId="193" r:id="rId25"/>
    <sheet name="25" sheetId="195" r:id="rId26"/>
    <sheet name="26" sheetId="194" r:id="rId27"/>
    <sheet name="27" sheetId="197" r:id="rId28"/>
    <sheet name="28" sheetId="196" r:id="rId29"/>
    <sheet name="29" sheetId="192" r:id="rId30"/>
    <sheet name="30" sheetId="199" r:id="rId31"/>
    <sheet name="31" sheetId="198" r:id="rId32"/>
    <sheet name="base" sheetId="36" state="hidden" r:id="rId3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74" l="1"/>
  <c r="C13" i="174"/>
  <c r="C14" i="174"/>
  <c r="C15" i="174"/>
  <c r="C12" i="173"/>
  <c r="C13" i="173"/>
  <c r="C14" i="173"/>
  <c r="C15" i="173"/>
  <c r="C12" i="172"/>
  <c r="C13" i="172"/>
  <c r="C14" i="172"/>
  <c r="C15" i="172"/>
  <c r="C12" i="171"/>
  <c r="C13" i="171"/>
  <c r="C14" i="171"/>
  <c r="C15" i="171"/>
  <c r="C12" i="170"/>
  <c r="C13" i="170"/>
  <c r="C14" i="170"/>
  <c r="C15" i="170"/>
  <c r="C12" i="103"/>
  <c r="C13" i="103"/>
  <c r="C14" i="103"/>
  <c r="C15" i="103"/>
  <c r="C12" i="178"/>
  <c r="C13" i="178"/>
  <c r="C14" i="178"/>
  <c r="C15" i="178"/>
  <c r="C12" i="177"/>
  <c r="C13" i="177"/>
  <c r="C14" i="177"/>
  <c r="C15" i="177"/>
  <c r="C12" i="176"/>
  <c r="C13" i="176"/>
  <c r="C14" i="176"/>
  <c r="C15" i="176"/>
  <c r="C12" i="180"/>
  <c r="C13" i="180"/>
  <c r="C14" i="180"/>
  <c r="C15" i="180"/>
  <c r="C12" i="182"/>
  <c r="C13" i="182"/>
  <c r="C14" i="182"/>
  <c r="C15" i="182"/>
  <c r="C12" i="183"/>
  <c r="C13" i="183"/>
  <c r="C14" i="183"/>
  <c r="C15" i="183"/>
  <c r="C12" i="181"/>
  <c r="C13" i="181"/>
  <c r="C14" i="181"/>
  <c r="C15" i="181"/>
  <c r="C12" i="179"/>
  <c r="C13" i="179"/>
  <c r="C14" i="179"/>
  <c r="C15" i="179"/>
  <c r="C12" i="184"/>
  <c r="C13" i="184"/>
  <c r="C14" i="184"/>
  <c r="C15" i="184"/>
  <c r="C12" i="185"/>
  <c r="C13" i="185"/>
  <c r="C14" i="185"/>
  <c r="C15" i="185"/>
  <c r="C12" i="186"/>
  <c r="C13" i="186"/>
  <c r="C14" i="186"/>
  <c r="C15" i="186"/>
  <c r="C12" i="187"/>
  <c r="C13" i="187"/>
  <c r="C14" i="187"/>
  <c r="C15" i="187"/>
  <c r="C12" i="189"/>
  <c r="C13" i="189"/>
  <c r="C14" i="189"/>
  <c r="C15" i="189"/>
  <c r="C12" i="190"/>
  <c r="C13" i="190"/>
  <c r="C14" i="190"/>
  <c r="C15" i="190"/>
  <c r="C12" i="191"/>
  <c r="C13" i="191"/>
  <c r="C14" i="191"/>
  <c r="C15" i="191"/>
  <c r="C12" i="188"/>
  <c r="C13" i="188"/>
  <c r="C14" i="188"/>
  <c r="C15" i="188"/>
  <c r="C12" i="193"/>
  <c r="C13" i="193"/>
  <c r="C14" i="193"/>
  <c r="C15" i="193"/>
  <c r="C12" i="195"/>
  <c r="C13" i="195"/>
  <c r="C14" i="195"/>
  <c r="C15" i="195"/>
  <c r="C12" i="194"/>
  <c r="C13" i="194"/>
  <c r="C14" i="194"/>
  <c r="C15" i="194"/>
  <c r="C12" i="197"/>
  <c r="C13" i="197"/>
  <c r="C14" i="197"/>
  <c r="C15" i="197"/>
  <c r="C12" i="196"/>
  <c r="C13" i="196"/>
  <c r="C14" i="196"/>
  <c r="C15" i="196"/>
  <c r="C12" i="192"/>
  <c r="C13" i="192"/>
  <c r="C14" i="192"/>
  <c r="C15" i="192"/>
  <c r="C12" i="199"/>
  <c r="C13" i="199"/>
  <c r="C14" i="199"/>
  <c r="C15" i="199"/>
  <c r="C12" i="198"/>
  <c r="C13" i="198"/>
  <c r="C14" i="198"/>
  <c r="C15" i="198"/>
  <c r="C12" i="175"/>
  <c r="C13" i="175"/>
  <c r="C14" i="175"/>
  <c r="C15" i="175"/>
  <c r="C11" i="174"/>
  <c r="C11" i="173"/>
  <c r="C11" i="172"/>
  <c r="C11" i="171"/>
  <c r="C11" i="170"/>
  <c r="C11" i="103"/>
  <c r="C11" i="178"/>
  <c r="C11" i="177"/>
  <c r="C11" i="176"/>
  <c r="C11" i="180"/>
  <c r="C11" i="182"/>
  <c r="C11" i="183"/>
  <c r="C11" i="181"/>
  <c r="C11" i="179"/>
  <c r="C11" i="184"/>
  <c r="C11" i="185"/>
  <c r="C11" i="186"/>
  <c r="C11" i="187"/>
  <c r="C11" i="189"/>
  <c r="C11" i="190"/>
  <c r="C11" i="191"/>
  <c r="C11" i="188"/>
  <c r="C11" i="193"/>
  <c r="C11" i="195"/>
  <c r="C11" i="194"/>
  <c r="C11" i="197"/>
  <c r="C11" i="196"/>
  <c r="C11" i="192"/>
  <c r="C11" i="199"/>
  <c r="C11" i="198"/>
  <c r="C11" i="175"/>
  <c r="B1" i="174"/>
  <c r="B1" i="173" s="1"/>
  <c r="B1" i="172" s="1"/>
  <c r="B1" i="171" s="1"/>
  <c r="B1" i="170" s="1"/>
  <c r="B1" i="103" s="1"/>
  <c r="B1" i="178" s="1"/>
  <c r="B1" i="177" s="1"/>
  <c r="B1" i="176" s="1"/>
  <c r="B1" i="180" s="1"/>
  <c r="B1" i="182" s="1"/>
  <c r="B1" i="183" s="1"/>
  <c r="B1" i="181" s="1"/>
  <c r="B1" i="179" s="1"/>
  <c r="B1" i="184" s="1"/>
  <c r="B1" i="185" s="1"/>
  <c r="B1" i="186" s="1"/>
  <c r="B1" i="187" s="1"/>
  <c r="B1" i="189" s="1"/>
  <c r="B1" i="190" s="1"/>
  <c r="B1" i="191" s="1"/>
  <c r="B1" i="188" s="1"/>
  <c r="B1" i="193" s="1"/>
  <c r="B1" i="195" s="1"/>
  <c r="B1" i="194" s="1"/>
  <c r="B1" i="197" s="1"/>
  <c r="B1" i="196" s="1"/>
  <c r="B1" i="192" s="1"/>
  <c r="B1" i="199" s="1"/>
  <c r="B1" i="198" s="1"/>
  <c r="C7" i="174"/>
  <c r="C7" i="173"/>
  <c r="C7" i="172"/>
  <c r="C7" i="171"/>
  <c r="C7" i="170"/>
  <c r="C7" i="103"/>
  <c r="C7" i="178"/>
  <c r="C7" i="177"/>
  <c r="C7" i="176"/>
  <c r="C7" i="180"/>
  <c r="C7" i="182"/>
  <c r="C7" i="183"/>
  <c r="C7" i="181"/>
  <c r="C7" i="179"/>
  <c r="C7" i="184"/>
  <c r="C7" i="185"/>
  <c r="C7" i="186"/>
  <c r="C7" i="187"/>
  <c r="C7" i="189"/>
  <c r="C7" i="190"/>
  <c r="C7" i="191"/>
  <c r="C7" i="188"/>
  <c r="C7" i="193"/>
  <c r="C7" i="195"/>
  <c r="C7" i="194"/>
  <c r="C7" i="197"/>
  <c r="C7" i="196"/>
  <c r="C7" i="192"/>
  <c r="C7" i="199"/>
  <c r="C7" i="198"/>
  <c r="C7" i="175"/>
  <c r="A17" i="200"/>
  <c r="C5" i="174"/>
  <c r="C22" i="174" s="1"/>
  <c r="C5" i="173"/>
  <c r="C22" i="173" s="1"/>
  <c r="C5" i="172"/>
  <c r="C22" i="172" s="1"/>
  <c r="C5" i="171"/>
  <c r="C22" i="171" s="1"/>
  <c r="C5" i="170"/>
  <c r="C22" i="170" s="1"/>
  <c r="C5" i="103"/>
  <c r="C5" i="178"/>
  <c r="C22" i="178" s="1"/>
  <c r="C5" i="177"/>
  <c r="C22" i="177" s="1"/>
  <c r="C5" i="176"/>
  <c r="C22" i="176" s="1"/>
  <c r="C5" i="180"/>
  <c r="C22" i="180" s="1"/>
  <c r="C5" i="182"/>
  <c r="C5" i="183"/>
  <c r="C22" i="183" s="1"/>
  <c r="C5" i="181"/>
  <c r="C22" i="181" s="1"/>
  <c r="C5" i="179"/>
  <c r="C22" i="179" s="1"/>
  <c r="C5" i="184"/>
  <c r="C22" i="184" s="1"/>
  <c r="C5" i="185"/>
  <c r="C22" i="185" s="1"/>
  <c r="C5" i="186"/>
  <c r="C5" i="187"/>
  <c r="C5" i="189"/>
  <c r="C22" i="189" s="1"/>
  <c r="C5" i="190"/>
  <c r="C5" i="191"/>
  <c r="C22" i="191" s="1"/>
  <c r="C5" i="188"/>
  <c r="C22" i="188" s="1"/>
  <c r="C5" i="193"/>
  <c r="C5" i="195"/>
  <c r="C22" i="195" s="1"/>
  <c r="C5" i="194"/>
  <c r="C5" i="197"/>
  <c r="C5" i="196"/>
  <c r="C22" i="196" s="1"/>
  <c r="C5" i="192"/>
  <c r="C22" i="192" s="1"/>
  <c r="C5" i="199"/>
  <c r="C22" i="199" s="1"/>
  <c r="C5" i="198"/>
  <c r="C5" i="175"/>
  <c r="C22" i="175" s="1"/>
  <c r="C6" i="174"/>
  <c r="C6" i="173"/>
  <c r="C8" i="173" s="1"/>
  <c r="C6" i="172"/>
  <c r="C8" i="172" s="1"/>
  <c r="C6" i="171"/>
  <c r="C8" i="171" s="1"/>
  <c r="C6" i="170"/>
  <c r="C6" i="103"/>
  <c r="C6" i="178"/>
  <c r="C6" i="177"/>
  <c r="C6" i="176"/>
  <c r="C8" i="176" s="1"/>
  <c r="C6" i="180"/>
  <c r="C8" i="180" s="1"/>
  <c r="C6" i="182"/>
  <c r="C6" i="183"/>
  <c r="C8" i="183" s="1"/>
  <c r="C6" i="181"/>
  <c r="C6" i="179"/>
  <c r="C8" i="179" s="1"/>
  <c r="C6" i="184"/>
  <c r="C6" i="185"/>
  <c r="C6" i="186"/>
  <c r="C6" i="187"/>
  <c r="C6" i="189"/>
  <c r="C6" i="190"/>
  <c r="C8" i="190" s="1"/>
  <c r="C6" i="191"/>
  <c r="C6" i="188"/>
  <c r="C6" i="193"/>
  <c r="C6" i="195"/>
  <c r="C6" i="194"/>
  <c r="C6" i="197"/>
  <c r="C6" i="196"/>
  <c r="C8" i="196" s="1"/>
  <c r="C6" i="192"/>
  <c r="C8" i="192" s="1"/>
  <c r="C6" i="199"/>
  <c r="C8" i="199" s="1"/>
  <c r="C6" i="198"/>
  <c r="C6" i="175"/>
  <c r="R20" i="199"/>
  <c r="R19" i="199"/>
  <c r="C19" i="199"/>
  <c r="C20" i="199" s="1"/>
  <c r="B19" i="199"/>
  <c r="R18" i="199"/>
  <c r="R17" i="199"/>
  <c r="R16" i="199"/>
  <c r="R15" i="199"/>
  <c r="R14" i="199"/>
  <c r="R13" i="199"/>
  <c r="R12" i="199"/>
  <c r="R11" i="199"/>
  <c r="R10" i="199"/>
  <c r="R9" i="199"/>
  <c r="R8" i="199"/>
  <c r="R7" i="199"/>
  <c r="R6" i="199"/>
  <c r="R20" i="198"/>
  <c r="R19" i="198"/>
  <c r="C19" i="198"/>
  <c r="C20" i="198" s="1"/>
  <c r="B19" i="198"/>
  <c r="R18" i="198"/>
  <c r="R17" i="198"/>
  <c r="R16" i="198"/>
  <c r="R15" i="198"/>
  <c r="R14" i="198"/>
  <c r="R13" i="198"/>
  <c r="R12" i="198"/>
  <c r="R11" i="198"/>
  <c r="R10" i="198"/>
  <c r="R9" i="198"/>
  <c r="R8" i="198"/>
  <c r="R7" i="198"/>
  <c r="R6" i="198"/>
  <c r="C22" i="198"/>
  <c r="R20" i="197"/>
  <c r="R19" i="197"/>
  <c r="C19" i="197"/>
  <c r="C20" i="197" s="1"/>
  <c r="B19" i="197"/>
  <c r="R18" i="197"/>
  <c r="R17" i="197"/>
  <c r="R16" i="197"/>
  <c r="R15" i="197"/>
  <c r="R14" i="197"/>
  <c r="R13" i="197"/>
  <c r="R12" i="197"/>
  <c r="R11" i="197"/>
  <c r="R10" i="197"/>
  <c r="R9" i="197"/>
  <c r="R8" i="197"/>
  <c r="R7" i="197"/>
  <c r="R6" i="197"/>
  <c r="C8" i="197"/>
  <c r="C22" i="197"/>
  <c r="R20" i="196"/>
  <c r="R19" i="196"/>
  <c r="C19" i="196"/>
  <c r="C20" i="196" s="1"/>
  <c r="B19" i="196"/>
  <c r="R18" i="196"/>
  <c r="R17" i="196"/>
  <c r="R16" i="196"/>
  <c r="R15" i="196"/>
  <c r="R14" i="196"/>
  <c r="R13" i="196"/>
  <c r="R12" i="196"/>
  <c r="R11" i="196"/>
  <c r="R10" i="196"/>
  <c r="R9" i="196"/>
  <c r="R8" i="196"/>
  <c r="R7" i="196"/>
  <c r="R6" i="196"/>
  <c r="R20" i="195"/>
  <c r="R19" i="195"/>
  <c r="C19" i="195"/>
  <c r="C20" i="195" s="1"/>
  <c r="B19" i="195"/>
  <c r="R18" i="195"/>
  <c r="R17" i="195"/>
  <c r="R16" i="195"/>
  <c r="R15" i="195"/>
  <c r="R14" i="195"/>
  <c r="R13" i="195"/>
  <c r="R12" i="195"/>
  <c r="R11" i="195"/>
  <c r="R10" i="195"/>
  <c r="R9" i="195"/>
  <c r="R8" i="195"/>
  <c r="R7" i="195"/>
  <c r="R6" i="195"/>
  <c r="R20" i="194"/>
  <c r="R19" i="194"/>
  <c r="C19" i="194"/>
  <c r="C20" i="194" s="1"/>
  <c r="B19" i="194"/>
  <c r="R18" i="194"/>
  <c r="R17" i="194"/>
  <c r="R16" i="194"/>
  <c r="R15" i="194"/>
  <c r="R14" i="194"/>
  <c r="R13" i="194"/>
  <c r="R12" i="194"/>
  <c r="R11" i="194"/>
  <c r="R10" i="194"/>
  <c r="R9" i="194"/>
  <c r="R8" i="194"/>
  <c r="R7" i="194"/>
  <c r="R6" i="194"/>
  <c r="C8" i="194"/>
  <c r="C22" i="194"/>
  <c r="R20" i="193"/>
  <c r="R19" i="193"/>
  <c r="C19" i="193"/>
  <c r="C20" i="193" s="1"/>
  <c r="B19" i="193"/>
  <c r="R18" i="193"/>
  <c r="R17" i="193"/>
  <c r="R16" i="193"/>
  <c r="R15" i="193"/>
  <c r="R14" i="193"/>
  <c r="R13" i="193"/>
  <c r="R12" i="193"/>
  <c r="R11" i="193"/>
  <c r="R10" i="193"/>
  <c r="R9" i="193"/>
  <c r="R8" i="193"/>
  <c r="R7" i="193"/>
  <c r="R6" i="193"/>
  <c r="C22" i="193"/>
  <c r="R20" i="192"/>
  <c r="R19" i="192"/>
  <c r="C19" i="192"/>
  <c r="C20" i="192" s="1"/>
  <c r="B19" i="192"/>
  <c r="R18" i="192"/>
  <c r="R17" i="192"/>
  <c r="R16" i="192"/>
  <c r="R15" i="192"/>
  <c r="R14" i="192"/>
  <c r="R13" i="192"/>
  <c r="R12" i="192"/>
  <c r="R11" i="192"/>
  <c r="R10" i="192"/>
  <c r="R9" i="192"/>
  <c r="R8" i="192"/>
  <c r="R7" i="192"/>
  <c r="R6" i="192"/>
  <c r="R40" i="192" s="1"/>
  <c r="R20" i="191"/>
  <c r="R19" i="191"/>
  <c r="C19" i="191"/>
  <c r="C20" i="191" s="1"/>
  <c r="B19" i="191"/>
  <c r="R18" i="191"/>
  <c r="R17" i="191"/>
  <c r="R16" i="191"/>
  <c r="R15" i="191"/>
  <c r="R14" i="191"/>
  <c r="R13" i="191"/>
  <c r="R12" i="191"/>
  <c r="R11" i="191"/>
  <c r="R10" i="191"/>
  <c r="R9" i="191"/>
  <c r="R8" i="191"/>
  <c r="R7" i="191"/>
  <c r="R6" i="191"/>
  <c r="R20" i="190"/>
  <c r="R19" i="190"/>
  <c r="C19" i="190"/>
  <c r="C20" i="190" s="1"/>
  <c r="B19" i="190"/>
  <c r="R18" i="190"/>
  <c r="R17" i="190"/>
  <c r="R16" i="190"/>
  <c r="R15" i="190"/>
  <c r="R14" i="190"/>
  <c r="R13" i="190"/>
  <c r="R12" i="190"/>
  <c r="R11" i="190"/>
  <c r="R10" i="190"/>
  <c r="R9" i="190"/>
  <c r="R8" i="190"/>
  <c r="R7" i="190"/>
  <c r="R6" i="190"/>
  <c r="C22" i="190"/>
  <c r="R20" i="189"/>
  <c r="R19" i="189"/>
  <c r="C19" i="189"/>
  <c r="C20" i="189" s="1"/>
  <c r="B19" i="189"/>
  <c r="R18" i="189"/>
  <c r="R17" i="189"/>
  <c r="R16" i="189"/>
  <c r="R15" i="189"/>
  <c r="R14" i="189"/>
  <c r="R13" i="189"/>
  <c r="R12" i="189"/>
  <c r="R11" i="189"/>
  <c r="R10" i="189"/>
  <c r="R9" i="189"/>
  <c r="R8" i="189"/>
  <c r="R7" i="189"/>
  <c r="R6" i="189"/>
  <c r="C8" i="189"/>
  <c r="R20" i="188"/>
  <c r="R19" i="188"/>
  <c r="C19" i="188"/>
  <c r="C20" i="188" s="1"/>
  <c r="B19" i="188"/>
  <c r="R18" i="188"/>
  <c r="R17" i="188"/>
  <c r="R16" i="188"/>
  <c r="R15" i="188"/>
  <c r="R14" i="188"/>
  <c r="R13" i="188"/>
  <c r="R12" i="188"/>
  <c r="R11" i="188"/>
  <c r="R10" i="188"/>
  <c r="R9" i="188"/>
  <c r="R8" i="188"/>
  <c r="R7" i="188"/>
  <c r="R6" i="188"/>
  <c r="R40" i="188" s="1"/>
  <c r="R20" i="187"/>
  <c r="R19" i="187"/>
  <c r="C19" i="187"/>
  <c r="C20" i="187" s="1"/>
  <c r="B19" i="187"/>
  <c r="R18" i="187"/>
  <c r="R17" i="187"/>
  <c r="R16" i="187"/>
  <c r="R15" i="187"/>
  <c r="R14" i="187"/>
  <c r="R13" i="187"/>
  <c r="R12" i="187"/>
  <c r="R11" i="187"/>
  <c r="R10" i="187"/>
  <c r="R9" i="187"/>
  <c r="R8" i="187"/>
  <c r="R7" i="187"/>
  <c r="R6" i="187"/>
  <c r="C8" i="187"/>
  <c r="C22" i="187"/>
  <c r="R20" i="186"/>
  <c r="R19" i="186"/>
  <c r="C19" i="186"/>
  <c r="C20" i="186" s="1"/>
  <c r="B19" i="186"/>
  <c r="R18" i="186"/>
  <c r="R17" i="186"/>
  <c r="R16" i="186"/>
  <c r="R15" i="186"/>
  <c r="R14" i="186"/>
  <c r="R13" i="186"/>
  <c r="R12" i="186"/>
  <c r="R11" i="186"/>
  <c r="R10" i="186"/>
  <c r="R9" i="186"/>
  <c r="R8" i="186"/>
  <c r="R7" i="186"/>
  <c r="R6" i="186"/>
  <c r="C8" i="186"/>
  <c r="C22" i="186"/>
  <c r="R20" i="185"/>
  <c r="C20" i="185"/>
  <c r="R19" i="185"/>
  <c r="C19" i="185"/>
  <c r="B19" i="185"/>
  <c r="R18" i="185"/>
  <c r="R17" i="185"/>
  <c r="R16" i="185"/>
  <c r="R15" i="185"/>
  <c r="R14" i="185"/>
  <c r="R13" i="185"/>
  <c r="R12" i="185"/>
  <c r="R11" i="185"/>
  <c r="R10" i="185"/>
  <c r="R9" i="185"/>
  <c r="R8" i="185"/>
  <c r="R7" i="185"/>
  <c r="R6" i="185"/>
  <c r="R20" i="184"/>
  <c r="R19" i="184"/>
  <c r="C19" i="184"/>
  <c r="C20" i="184" s="1"/>
  <c r="B19" i="184"/>
  <c r="R18" i="184"/>
  <c r="R17" i="184"/>
  <c r="R16" i="184"/>
  <c r="R15" i="184"/>
  <c r="R14" i="184"/>
  <c r="R13" i="184"/>
  <c r="R12" i="184"/>
  <c r="R11" i="184"/>
  <c r="R10" i="184"/>
  <c r="R9" i="184"/>
  <c r="R8" i="184"/>
  <c r="R7" i="184"/>
  <c r="R6" i="184"/>
  <c r="R20" i="183"/>
  <c r="R19" i="183"/>
  <c r="C19" i="183"/>
  <c r="C20" i="183" s="1"/>
  <c r="B19" i="183"/>
  <c r="R18" i="183"/>
  <c r="R17" i="183"/>
  <c r="R16" i="183"/>
  <c r="R15" i="183"/>
  <c r="R14" i="183"/>
  <c r="R13" i="183"/>
  <c r="R12" i="183"/>
  <c r="R11" i="183"/>
  <c r="R10" i="183"/>
  <c r="R9" i="183"/>
  <c r="R8" i="183"/>
  <c r="R7" i="183"/>
  <c r="R6" i="183"/>
  <c r="R20" i="182"/>
  <c r="R19" i="182"/>
  <c r="C19" i="182"/>
  <c r="C20" i="182" s="1"/>
  <c r="B19" i="182"/>
  <c r="R18" i="182"/>
  <c r="R17" i="182"/>
  <c r="R16" i="182"/>
  <c r="R15" i="182"/>
  <c r="R14" i="182"/>
  <c r="R13" i="182"/>
  <c r="R12" i="182"/>
  <c r="R11" i="182"/>
  <c r="R10" i="182"/>
  <c r="R9" i="182"/>
  <c r="R8" i="182"/>
  <c r="R7" i="182"/>
  <c r="R6" i="182"/>
  <c r="C22" i="182"/>
  <c r="R20" i="181"/>
  <c r="R19" i="181"/>
  <c r="C19" i="181"/>
  <c r="C20" i="181" s="1"/>
  <c r="B19" i="181"/>
  <c r="R18" i="181"/>
  <c r="R17" i="181"/>
  <c r="R16" i="181"/>
  <c r="R15" i="181"/>
  <c r="R14" i="181"/>
  <c r="R13" i="181"/>
  <c r="R12" i="181"/>
  <c r="R11" i="181"/>
  <c r="R10" i="181"/>
  <c r="R9" i="181"/>
  <c r="R8" i="181"/>
  <c r="R7" i="181"/>
  <c r="R6" i="181"/>
  <c r="R20" i="180"/>
  <c r="R19" i="180"/>
  <c r="C19" i="180"/>
  <c r="C20" i="180" s="1"/>
  <c r="B19" i="180"/>
  <c r="R18" i="180"/>
  <c r="R17" i="180"/>
  <c r="R16" i="180"/>
  <c r="R15" i="180"/>
  <c r="R14" i="180"/>
  <c r="R13" i="180"/>
  <c r="R12" i="180"/>
  <c r="R11" i="180"/>
  <c r="R10" i="180"/>
  <c r="R9" i="180"/>
  <c r="R8" i="180"/>
  <c r="R7" i="180"/>
  <c r="R6" i="180"/>
  <c r="R20" i="179"/>
  <c r="R19" i="179"/>
  <c r="C19" i="179"/>
  <c r="C20" i="179" s="1"/>
  <c r="B19" i="179"/>
  <c r="R18" i="179"/>
  <c r="R17" i="179"/>
  <c r="R16" i="179"/>
  <c r="R15" i="179"/>
  <c r="R14" i="179"/>
  <c r="R13" i="179"/>
  <c r="R12" i="179"/>
  <c r="R11" i="179"/>
  <c r="R10" i="179"/>
  <c r="R9" i="179"/>
  <c r="R8" i="179"/>
  <c r="R7" i="179"/>
  <c r="R6" i="179"/>
  <c r="R20" i="178"/>
  <c r="R19" i="178"/>
  <c r="C19" i="178"/>
  <c r="C20" i="178" s="1"/>
  <c r="B19" i="178"/>
  <c r="R18" i="178"/>
  <c r="R17" i="178"/>
  <c r="R16" i="178"/>
  <c r="R15" i="178"/>
  <c r="R14" i="178"/>
  <c r="R13" i="178"/>
  <c r="R12" i="178"/>
  <c r="R11" i="178"/>
  <c r="R10" i="178"/>
  <c r="R9" i="178"/>
  <c r="R8" i="178"/>
  <c r="R7" i="178"/>
  <c r="R6" i="178"/>
  <c r="R20" i="177"/>
  <c r="R19" i="177"/>
  <c r="C19" i="177"/>
  <c r="C20" i="177" s="1"/>
  <c r="B19" i="177"/>
  <c r="R18" i="177"/>
  <c r="R17" i="177"/>
  <c r="R16" i="177"/>
  <c r="R15" i="177"/>
  <c r="R14" i="177"/>
  <c r="R13" i="177"/>
  <c r="R12" i="177"/>
  <c r="R11" i="177"/>
  <c r="R10" i="177"/>
  <c r="R9" i="177"/>
  <c r="R8" i="177"/>
  <c r="R7" i="177"/>
  <c r="R6" i="177"/>
  <c r="R20" i="176"/>
  <c r="R19" i="176"/>
  <c r="C19" i="176"/>
  <c r="C20" i="176" s="1"/>
  <c r="B19" i="176"/>
  <c r="R18" i="176"/>
  <c r="R17" i="176"/>
  <c r="R16" i="176"/>
  <c r="R15" i="176"/>
  <c r="R14" i="176"/>
  <c r="R13" i="176"/>
  <c r="R12" i="176"/>
  <c r="R11" i="176"/>
  <c r="R10" i="176"/>
  <c r="R9" i="176"/>
  <c r="R8" i="176"/>
  <c r="R7" i="176"/>
  <c r="R6" i="176"/>
  <c r="R20" i="175"/>
  <c r="R19" i="175"/>
  <c r="C19" i="175"/>
  <c r="C20" i="175" s="1"/>
  <c r="B19" i="175"/>
  <c r="R18" i="175"/>
  <c r="R17" i="175"/>
  <c r="R16" i="175"/>
  <c r="R15" i="175"/>
  <c r="R14" i="175"/>
  <c r="R13" i="175"/>
  <c r="R12" i="175"/>
  <c r="R11" i="175"/>
  <c r="R10" i="175"/>
  <c r="R9" i="175"/>
  <c r="R8" i="175"/>
  <c r="R7" i="175"/>
  <c r="R6" i="175"/>
  <c r="R20" i="174"/>
  <c r="R19" i="174"/>
  <c r="C19" i="174"/>
  <c r="C20" i="174" s="1"/>
  <c r="B19" i="174"/>
  <c r="R18" i="174"/>
  <c r="R17" i="174"/>
  <c r="R16" i="174"/>
  <c r="R15" i="174"/>
  <c r="R14" i="174"/>
  <c r="R13" i="174"/>
  <c r="R12" i="174"/>
  <c r="R11" i="174"/>
  <c r="R10" i="174"/>
  <c r="R9" i="174"/>
  <c r="R8" i="174"/>
  <c r="R7" i="174"/>
  <c r="R6" i="174"/>
  <c r="C8" i="174"/>
  <c r="R20" i="173"/>
  <c r="R19" i="173"/>
  <c r="C19" i="173"/>
  <c r="C20" i="173" s="1"/>
  <c r="B19" i="173"/>
  <c r="R18" i="173"/>
  <c r="R17" i="173"/>
  <c r="R16" i="173"/>
  <c r="R15" i="173"/>
  <c r="R14" i="173"/>
  <c r="R13" i="173"/>
  <c r="R12" i="173"/>
  <c r="R11" i="173"/>
  <c r="R10" i="173"/>
  <c r="R9" i="173"/>
  <c r="R8" i="173"/>
  <c r="R7" i="173"/>
  <c r="R6" i="173"/>
  <c r="R20" i="172"/>
  <c r="R19" i="172"/>
  <c r="C19" i="172"/>
  <c r="C20" i="172" s="1"/>
  <c r="B19" i="172"/>
  <c r="R18" i="172"/>
  <c r="R17" i="172"/>
  <c r="R16" i="172"/>
  <c r="R15" i="172"/>
  <c r="R14" i="172"/>
  <c r="R13" i="172"/>
  <c r="R12" i="172"/>
  <c r="R11" i="172"/>
  <c r="R10" i="172"/>
  <c r="R9" i="172"/>
  <c r="R8" i="172"/>
  <c r="R7" i="172"/>
  <c r="R6" i="172"/>
  <c r="R20" i="171"/>
  <c r="R19" i="171"/>
  <c r="C19" i="171"/>
  <c r="C20" i="171" s="1"/>
  <c r="B19" i="171"/>
  <c r="R18" i="171"/>
  <c r="R17" i="171"/>
  <c r="R16" i="171"/>
  <c r="R15" i="171"/>
  <c r="R14" i="171"/>
  <c r="R13" i="171"/>
  <c r="R12" i="171"/>
  <c r="R11" i="171"/>
  <c r="R10" i="171"/>
  <c r="R9" i="171"/>
  <c r="R8" i="171"/>
  <c r="R7" i="171"/>
  <c r="R6" i="171"/>
  <c r="R20" i="170"/>
  <c r="R19" i="170"/>
  <c r="C19" i="170"/>
  <c r="C20" i="170" s="1"/>
  <c r="B19" i="170"/>
  <c r="R18" i="170"/>
  <c r="R17" i="170"/>
  <c r="R16" i="170"/>
  <c r="R15" i="170"/>
  <c r="R14" i="170"/>
  <c r="R13" i="170"/>
  <c r="R12" i="170"/>
  <c r="R11" i="170"/>
  <c r="R10" i="170"/>
  <c r="R9" i="170"/>
  <c r="R8" i="170"/>
  <c r="R7" i="170"/>
  <c r="R6" i="170"/>
  <c r="C19" i="103"/>
  <c r="B19" i="103"/>
  <c r="R40" i="193" l="1"/>
  <c r="R40" i="197"/>
  <c r="R40" i="180"/>
  <c r="R40" i="189"/>
  <c r="R40" i="194"/>
  <c r="R40" i="185"/>
  <c r="R40" i="186"/>
  <c r="R40" i="198"/>
  <c r="R40" i="190"/>
  <c r="R40" i="199"/>
  <c r="R40" i="170"/>
  <c r="R40" i="187"/>
  <c r="R40" i="191"/>
  <c r="R40" i="196"/>
  <c r="C8" i="175"/>
  <c r="R40" i="195"/>
  <c r="C8" i="188"/>
  <c r="C8" i="191"/>
  <c r="R40" i="183"/>
  <c r="C16" i="170"/>
  <c r="O11" i="170" s="1"/>
  <c r="B17" i="200"/>
  <c r="B18" i="200" s="1"/>
  <c r="R40" i="184"/>
  <c r="R40" i="179"/>
  <c r="R40" i="177"/>
  <c r="R40" i="178"/>
  <c r="R40" i="172"/>
  <c r="R40" i="173"/>
  <c r="R40" i="174"/>
  <c r="R40" i="181"/>
  <c r="R40" i="182"/>
  <c r="R40" i="176"/>
  <c r="C16" i="171"/>
  <c r="O11" i="171" s="1"/>
  <c r="R40" i="171"/>
  <c r="B13" i="200"/>
  <c r="B5" i="200"/>
  <c r="B11" i="200"/>
  <c r="B10" i="200"/>
  <c r="B9" i="200"/>
  <c r="B3" i="200"/>
  <c r="B4" i="200"/>
  <c r="B12" i="200"/>
  <c r="C16" i="196"/>
  <c r="O11" i="196" s="1"/>
  <c r="C16" i="189"/>
  <c r="O11" i="189" s="1"/>
  <c r="C16" i="188"/>
  <c r="O11" i="188" s="1"/>
  <c r="C16" i="185"/>
  <c r="O11" i="185" s="1"/>
  <c r="C8" i="195"/>
  <c r="C8" i="193"/>
  <c r="C8" i="178"/>
  <c r="C8" i="198"/>
  <c r="C8" i="185"/>
  <c r="C8" i="181"/>
  <c r="C8" i="170"/>
  <c r="C8" i="177"/>
  <c r="C8" i="182"/>
  <c r="C16" i="198"/>
  <c r="O11" i="198" s="1"/>
  <c r="C16" i="199"/>
  <c r="O11" i="199" s="1"/>
  <c r="C16" i="192"/>
  <c r="O11" i="192" s="1"/>
  <c r="C16" i="197"/>
  <c r="O11" i="197" s="1"/>
  <c r="C16" i="194"/>
  <c r="O11" i="194" s="1"/>
  <c r="C16" i="195"/>
  <c r="O11" i="195" s="1"/>
  <c r="C16" i="193"/>
  <c r="O11" i="193" s="1"/>
  <c r="C16" i="191"/>
  <c r="O11" i="191" s="1"/>
  <c r="C16" i="190"/>
  <c r="O11" i="190" s="1"/>
  <c r="C16" i="187"/>
  <c r="O11" i="187" s="1"/>
  <c r="C16" i="186"/>
  <c r="O11" i="186" s="1"/>
  <c r="C16" i="184"/>
  <c r="O11" i="184" s="1"/>
  <c r="C8" i="184"/>
  <c r="C16" i="179"/>
  <c r="O11" i="179" s="1"/>
  <c r="C16" i="181"/>
  <c r="O11" i="181" s="1"/>
  <c r="C16" i="183"/>
  <c r="O11" i="183" s="1"/>
  <c r="C16" i="182"/>
  <c r="O11" i="182" s="1"/>
  <c r="C16" i="180"/>
  <c r="O11" i="180" s="1"/>
  <c r="C16" i="176"/>
  <c r="O11" i="176" s="1"/>
  <c r="C16" i="177"/>
  <c r="O11" i="177" s="1"/>
  <c r="C16" i="178"/>
  <c r="O11" i="178" s="1"/>
  <c r="C16" i="172"/>
  <c r="O11" i="172" s="1"/>
  <c r="C16" i="173"/>
  <c r="O11" i="173" s="1"/>
  <c r="C16" i="174"/>
  <c r="O11" i="174" s="1"/>
  <c r="C16" i="175"/>
  <c r="O11" i="175" s="1"/>
  <c r="R40" i="175"/>
  <c r="C20" i="103"/>
  <c r="R7" i="103"/>
  <c r="R8" i="103"/>
  <c r="R9" i="103"/>
  <c r="R10" i="103"/>
  <c r="R11" i="103"/>
  <c r="R12" i="103"/>
  <c r="R13" i="103"/>
  <c r="R14" i="103"/>
  <c r="R15" i="103"/>
  <c r="R16" i="103"/>
  <c r="R17" i="103"/>
  <c r="R18" i="103"/>
  <c r="R19" i="103"/>
  <c r="R20" i="103"/>
  <c r="R6" i="103"/>
  <c r="C22" i="103"/>
  <c r="B6" i="200" l="1"/>
  <c r="B14" i="200"/>
  <c r="C16" i="103"/>
  <c r="O11" i="103" s="1"/>
  <c r="C8" i="103"/>
  <c r="R40" i="103"/>
</calcChain>
</file>

<file path=xl/sharedStrings.xml><?xml version="1.0" encoding="utf-8"?>
<sst xmlns="http://schemas.openxmlformats.org/spreadsheetml/2006/main" count="1699" uniqueCount="165">
  <si>
    <t>Fechamento Diário do Caixa</t>
  </si>
  <si>
    <t>Saldo Inicial</t>
  </si>
  <si>
    <t>Vendas</t>
  </si>
  <si>
    <t>Despesas</t>
  </si>
  <si>
    <t>Nº Venda</t>
  </si>
  <si>
    <t>Cliente</t>
  </si>
  <si>
    <t>Forma de Pgto</t>
  </si>
  <si>
    <t>Valor Venda</t>
  </si>
  <si>
    <t>Entrada</t>
  </si>
  <si>
    <t>Descrição</t>
  </si>
  <si>
    <t>Tipo de Pagto</t>
  </si>
  <si>
    <t>Valor</t>
  </si>
  <si>
    <t>DN</t>
  </si>
  <si>
    <t>PIX</t>
  </si>
  <si>
    <t>Total  entrada</t>
  </si>
  <si>
    <t>PCTC</t>
  </si>
  <si>
    <t>Tipos de Pagtos</t>
  </si>
  <si>
    <t>CTD</t>
  </si>
  <si>
    <t>CTC</t>
  </si>
  <si>
    <t>Total</t>
  </si>
  <si>
    <t>Venda</t>
  </si>
  <si>
    <t>Total de OS</t>
  </si>
  <si>
    <t>Restante Entrada</t>
  </si>
  <si>
    <t>SS</t>
  </si>
  <si>
    <t>Tipo Pagto</t>
  </si>
  <si>
    <t>descricao</t>
  </si>
  <si>
    <t>Dinheiro</t>
  </si>
  <si>
    <t>Cartão Débito</t>
  </si>
  <si>
    <t>Cartão Crédito</t>
  </si>
  <si>
    <t>Parcelado Cartão Crédito</t>
  </si>
  <si>
    <t>Sem Sinal</t>
  </si>
  <si>
    <t>OS</t>
  </si>
  <si>
    <t>CARNE</t>
  </si>
  <si>
    <t xml:space="preserve">Carne </t>
  </si>
  <si>
    <t>Vendedor</t>
  </si>
  <si>
    <t>Entrega de Carne</t>
  </si>
  <si>
    <t>OS Entregue no Dia</t>
  </si>
  <si>
    <t>Parcelas</t>
  </si>
  <si>
    <t>Valor Total</t>
  </si>
  <si>
    <t>Recebimento de Carnê</t>
  </si>
  <si>
    <t>Valor Parcela</t>
  </si>
  <si>
    <t>Nº Parcela</t>
  </si>
  <si>
    <t>GARANTIA</t>
  </si>
  <si>
    <t>Todas as Garantias</t>
  </si>
  <si>
    <t xml:space="preserve">Parcelas </t>
  </si>
  <si>
    <t>PARC. 1/1</t>
  </si>
  <si>
    <t>PARC. 1/2</t>
  </si>
  <si>
    <t>PARC. 2/2</t>
  </si>
  <si>
    <t>PARC. 1/3</t>
  </si>
  <si>
    <t>PARC. 2/3</t>
  </si>
  <si>
    <t>PARC. 3/3</t>
  </si>
  <si>
    <t>PARC. 1/4</t>
  </si>
  <si>
    <t>PARC. 2/4</t>
  </si>
  <si>
    <t>PARC. 3/4</t>
  </si>
  <si>
    <t>PARC. 4/4</t>
  </si>
  <si>
    <t>PARC. 1/5</t>
  </si>
  <si>
    <t>PARC. 2/5</t>
  </si>
  <si>
    <t>PARC. 3/5</t>
  </si>
  <si>
    <t>PARC. 4/5</t>
  </si>
  <si>
    <t>PARC. 5/5</t>
  </si>
  <si>
    <t>PARC. 1/6</t>
  </si>
  <si>
    <t>PARC. 2/6</t>
  </si>
  <si>
    <t>PARC. 3/6</t>
  </si>
  <si>
    <t>PARC. 4/6</t>
  </si>
  <si>
    <t>PARC. 5/6</t>
  </si>
  <si>
    <t>PARC. 6/6</t>
  </si>
  <si>
    <t>PARC. 1/7</t>
  </si>
  <si>
    <t>PARC. 2/7</t>
  </si>
  <si>
    <t>PARC. 3/7</t>
  </si>
  <si>
    <t>PARC. 4/7</t>
  </si>
  <si>
    <t>PARC. 5/7</t>
  </si>
  <si>
    <t>PARC. 6/7</t>
  </si>
  <si>
    <t>PARC. 7/7</t>
  </si>
  <si>
    <t>PARC. 1/8</t>
  </si>
  <si>
    <t>PARC. 2/8</t>
  </si>
  <si>
    <t>PARC. 3/8</t>
  </si>
  <si>
    <t>PARC. 4/8</t>
  </si>
  <si>
    <t>PARC. 5/8</t>
  </si>
  <si>
    <t>PARC. 6/8</t>
  </si>
  <si>
    <t>PARC. 7/8</t>
  </si>
  <si>
    <t>PARC. 8/8</t>
  </si>
  <si>
    <t>PARC. 1/9</t>
  </si>
  <si>
    <t>PARC. 2/9</t>
  </si>
  <si>
    <t>PARC. 3/9</t>
  </si>
  <si>
    <t>PARC. 4/9</t>
  </si>
  <si>
    <t>PARC. 5/9</t>
  </si>
  <si>
    <t>PARC. 6/9</t>
  </si>
  <si>
    <t>PARC. 7/9</t>
  </si>
  <si>
    <t>PARC. 8/9</t>
  </si>
  <si>
    <t>PARC. 9/9</t>
  </si>
  <si>
    <t>PARC. 1/10</t>
  </si>
  <si>
    <t>PARC. 2/10</t>
  </si>
  <si>
    <t>PARC. 3/10</t>
  </si>
  <si>
    <t>PARC. 4/10</t>
  </si>
  <si>
    <t>PARC. 5/10</t>
  </si>
  <si>
    <t>PARC. 6/10</t>
  </si>
  <si>
    <t>PARC. 7/10</t>
  </si>
  <si>
    <t>PARC. 8/10</t>
  </si>
  <si>
    <t>PARC. 9/10</t>
  </si>
  <si>
    <t>PARC. 10/10</t>
  </si>
  <si>
    <t>PARC. 1/11</t>
  </si>
  <si>
    <t>PARC. 2/11</t>
  </si>
  <si>
    <t>PARC. 3/11</t>
  </si>
  <si>
    <t>PARC. 4/11</t>
  </si>
  <si>
    <t>PARC. 5/11</t>
  </si>
  <si>
    <t>PARC. 6/11</t>
  </si>
  <si>
    <t>PARC. 7/11</t>
  </si>
  <si>
    <t>PARC. 8/11</t>
  </si>
  <si>
    <t>PARC. 9/11</t>
  </si>
  <si>
    <t>PARC. 10/11</t>
  </si>
  <si>
    <t>PARC. 11/11</t>
  </si>
  <si>
    <t>PARC. 1/12</t>
  </si>
  <si>
    <t>PARC. 2/12</t>
  </si>
  <si>
    <t>PARC. 3/12</t>
  </si>
  <si>
    <t>PARC. 4/12</t>
  </si>
  <si>
    <t>PARC. 5/12</t>
  </si>
  <si>
    <t>PARC. 6/12</t>
  </si>
  <si>
    <t>PARC. 7/12</t>
  </si>
  <si>
    <t>PARC. 8/12</t>
  </si>
  <si>
    <t>PARC. 9/12</t>
  </si>
  <si>
    <t>PARC. 10/12</t>
  </si>
  <si>
    <t>PARC. 11/12</t>
  </si>
  <si>
    <t>PARC. 12/12</t>
  </si>
  <si>
    <t>Entr_Desp</t>
  </si>
  <si>
    <t xml:space="preserve">CARLA CRISTINA </t>
  </si>
  <si>
    <t xml:space="preserve">MARIA </t>
  </si>
  <si>
    <t>Não</t>
  </si>
  <si>
    <t>MARIA / GARANTIA</t>
  </si>
  <si>
    <t>Sim</t>
  </si>
  <si>
    <t xml:space="preserve">Água </t>
  </si>
  <si>
    <t xml:space="preserve">JOSÉ ANTONIO </t>
  </si>
  <si>
    <t xml:space="preserve">EDER APARECIDO </t>
  </si>
  <si>
    <t xml:space="preserve">DEBORA MARIA </t>
  </si>
  <si>
    <t xml:space="preserve">VALERIA CRISTINA </t>
  </si>
  <si>
    <t xml:space="preserve">ADONEL LOPES </t>
  </si>
  <si>
    <t xml:space="preserve">CILENE DOS SANTOS </t>
  </si>
  <si>
    <t xml:space="preserve">PATRICIA LOPES </t>
  </si>
  <si>
    <t xml:space="preserve">MARIA DAS DORES </t>
  </si>
  <si>
    <t xml:space="preserve">MARIA THAYS </t>
  </si>
  <si>
    <t xml:space="preserve">JEFERSON SANTOS </t>
  </si>
  <si>
    <t xml:space="preserve">DOUGLAS DA SILVA </t>
  </si>
  <si>
    <t xml:space="preserve">VALERIA ANASTACIO </t>
  </si>
  <si>
    <t xml:space="preserve">MARIA ADELIMARIA </t>
  </si>
  <si>
    <t xml:space="preserve">JAILSON TEODORO </t>
  </si>
  <si>
    <t xml:space="preserve">REGIANE DIAS </t>
  </si>
  <si>
    <t xml:space="preserve">LAURA DIAS </t>
  </si>
  <si>
    <t>LUANA DOS SANTOS</t>
  </si>
  <si>
    <t xml:space="preserve">JOSE ANTONIO </t>
  </si>
  <si>
    <t>WILLIAM</t>
  </si>
  <si>
    <t xml:space="preserve">MARCOS DA SILVA </t>
  </si>
  <si>
    <t xml:space="preserve">GARANTIA </t>
  </si>
  <si>
    <t xml:space="preserve">ROSENEIDE BEZERRA </t>
  </si>
  <si>
    <t xml:space="preserve">LUANA DOS SANTOS </t>
  </si>
  <si>
    <t xml:space="preserve">NEIDE APARECIDA </t>
  </si>
  <si>
    <t xml:space="preserve">NICOLAS </t>
  </si>
  <si>
    <t xml:space="preserve">ÁGUA </t>
  </si>
  <si>
    <t xml:space="preserve">DEBITO </t>
  </si>
  <si>
    <t xml:space="preserve">WILLIAM </t>
  </si>
  <si>
    <t xml:space="preserve">FABIOLA DOS SANTOS </t>
  </si>
  <si>
    <t xml:space="preserve">SIRLENE SANTOS </t>
  </si>
  <si>
    <t xml:space="preserve">CLAUDETE ZAPATER </t>
  </si>
  <si>
    <t xml:space="preserve">TANIA RODRIGUES </t>
  </si>
  <si>
    <t xml:space="preserve">REGINALDO SOUZA </t>
  </si>
  <si>
    <t xml:space="preserve">SANDRA BENTO </t>
  </si>
  <si>
    <t xml:space="preserve">VALDECIR DE SOUZA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</si>
</sst>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&quot;* #,##0.00_);_(&quot;R$&quot;* \(#,##0.00\);_(&quot;R$&quot;* &quot;-&quot;??_);_(@_)"/>
    <numFmt numFmtId="165" formatCode="&quot;R$&quot;\ #,##0.00"/>
    <numFmt numFmtId="166" formatCode="&quot;R$ &quot;#,##0_);\(&quot;R$ &quot;#,##0\)"/>
    <numFmt numFmtId="167" formatCode="_(* #,##0.00_);_(* \(#,##0.00\);_(* &quot;-&quot;??_);_(@_)"/>
    <numFmt numFmtId="168" formatCode="&quot;$&quot;#,##0_);\(&quot;$&quot;#,##0\)"/>
  </numFmts>
  <fonts count="3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8"/>
      <color indexed="62"/>
      <name val="Cambria"/>
      <family val="2"/>
    </font>
    <font>
      <b/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theme="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24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name val="Calibri"/>
      <family val="2"/>
    </font>
    <font>
      <b/>
      <sz val="9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2"/>
      <name val="Times New Roman"/>
      <family val="1"/>
    </font>
    <font>
      <sz val="18"/>
      <color theme="3"/>
      <name val="Cambria"/>
      <family val="2"/>
      <scheme val="major"/>
    </font>
    <font>
      <sz val="20"/>
      <color theme="1" tint="0.34998626667073579"/>
      <name val="Calibri"/>
      <family val="2"/>
      <scheme val="minor"/>
    </font>
    <font>
      <sz val="12"/>
      <name val="Arial"/>
      <family val="2"/>
    </font>
    <font>
      <sz val="18"/>
      <name val="Arial"/>
      <family val="2"/>
    </font>
    <font>
      <sz val="12"/>
      <name val="Arial"/>
    </font>
    <font>
      <sz val="11"/>
      <name val="Calibri"/>
    </font>
    <font>
      <sz val="11"/>
      <name val="Calibri"/>
      <scheme val="minor"/>
    </font>
    <font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749992370372631"/>
        <bgColor indexed="65"/>
      </patternFill>
    </fill>
    <fill>
      <patternFill patternType="solid">
        <fgColor theme="5"/>
        <bgColor auto="1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813BA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/>
      <right/>
      <top/>
      <bottom style="dashed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2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  <xf numFmtId="164" fontId="5" fillId="0" borderId="0" applyFont="0" applyFill="0" applyBorder="0" applyAlignment="0" applyProtection="0"/>
    <xf numFmtId="0" fontId="15" fillId="0" borderId="0"/>
    <xf numFmtId="9" fontId="5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6" fillId="0" borderId="0"/>
    <xf numFmtId="0" fontId="11" fillId="0" borderId="0" applyNumberFormat="0" applyFill="0" applyBorder="0" applyAlignment="0" applyProtection="0">
      <alignment vertical="top"/>
      <protection locked="0"/>
    </xf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19" fillId="0" borderId="0" applyNumberFormat="0" applyFill="0" applyBorder="0" applyAlignment="0" applyProtection="0">
      <alignment vertical="top"/>
      <protection locked="0"/>
    </xf>
    <xf numFmtId="0" fontId="20" fillId="2" borderId="0"/>
    <xf numFmtId="0" fontId="18" fillId="3" borderId="0"/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43" fontId="4" fillId="0" borderId="0" applyFont="0" applyFill="0" applyBorder="0" applyAlignment="0" applyProtection="0"/>
    <xf numFmtId="0" fontId="22" fillId="0" borderId="0"/>
    <xf numFmtId="0" fontId="23" fillId="0" borderId="0" applyNumberFormat="0" applyFill="0" applyBorder="0" applyAlignment="0" applyProtection="0"/>
    <xf numFmtId="0" fontId="25" fillId="4" borderId="14">
      <alignment horizontal="center"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0" fontId="3" fillId="0" borderId="0"/>
    <xf numFmtId="0" fontId="6" fillId="0" borderId="0"/>
    <xf numFmtId="0" fontId="6" fillId="0" borderId="0"/>
    <xf numFmtId="9" fontId="26" fillId="0" borderId="15">
      <alignment horizontal="left" vertical="center" indent="2"/>
    </xf>
    <xf numFmtId="9" fontId="6" fillId="0" borderId="0" applyFont="0" applyFill="0" applyBorder="0" applyAlignment="0" applyProtection="0"/>
    <xf numFmtId="166" fontId="27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28" fillId="0" borderId="0" applyNumberFormat="0" applyFill="0" applyBorder="0" applyAlignment="0" applyProtection="0"/>
    <xf numFmtId="168" fontId="29" fillId="0" borderId="16">
      <alignment horizontal="center" vertical="center"/>
    </xf>
    <xf numFmtId="43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4" fontId="21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5" fillId="0" borderId="0"/>
    <xf numFmtId="0" fontId="2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84">
    <xf numFmtId="0" fontId="0" fillId="0" borderId="0" xfId="0"/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4" applyNumberFormat="1" applyFont="1" applyFill="1" applyBorder="1" applyAlignment="1">
      <alignment horizontal="center"/>
    </xf>
    <xf numFmtId="0" fontId="17" fillId="0" borderId="0" xfId="0" applyFont="1" applyAlignment="1">
      <alignment horizontal="center" vertical="center"/>
    </xf>
    <xf numFmtId="165" fontId="13" fillId="5" borderId="13" xfId="0" applyNumberFormat="1" applyFont="1" applyFill="1" applyBorder="1" applyAlignment="1">
      <alignment horizontal="center"/>
    </xf>
    <xf numFmtId="165" fontId="0" fillId="0" borderId="11" xfId="4" applyNumberFormat="1" applyFont="1" applyFill="1" applyBorder="1" applyAlignment="1">
      <alignment horizontal="center"/>
    </xf>
    <xf numFmtId="165" fontId="13" fillId="0" borderId="17" xfId="4" applyNumberFormat="1" applyFont="1" applyFill="1" applyBorder="1" applyAlignment="1">
      <alignment horizontal="center"/>
    </xf>
    <xf numFmtId="165" fontId="13" fillId="0" borderId="17" xfId="0" applyNumberFormat="1" applyFont="1" applyBorder="1" applyAlignment="1">
      <alignment horizontal="center"/>
    </xf>
    <xf numFmtId="164" fontId="13" fillId="5" borderId="10" xfId="2" applyFont="1" applyFill="1" applyBorder="1" applyAlignment="1">
      <alignment horizontal="center"/>
    </xf>
    <xf numFmtId="164" fontId="13" fillId="5" borderId="13" xfId="2" applyFont="1" applyFill="1" applyBorder="1" applyAlignment="1">
      <alignment horizontal="center"/>
    </xf>
    <xf numFmtId="165" fontId="13" fillId="5" borderId="13" xfId="4" applyNumberFormat="1" applyFont="1" applyFill="1" applyBorder="1" applyAlignment="1">
      <alignment horizontal="center"/>
    </xf>
    <xf numFmtId="165" fontId="13" fillId="5" borderId="9" xfId="4" applyNumberFormat="1" applyFont="1" applyFill="1" applyBorder="1" applyAlignment="1">
      <alignment horizontal="center"/>
    </xf>
    <xf numFmtId="165" fontId="13" fillId="5" borderId="10" xfId="0" applyNumberFormat="1" applyFont="1" applyFill="1" applyBorder="1" applyAlignment="1">
      <alignment horizontal="center"/>
    </xf>
    <xf numFmtId="165" fontId="13" fillId="5" borderId="9" xfId="0" applyNumberFormat="1" applyFont="1" applyFill="1" applyBorder="1" applyAlignment="1">
      <alignment horizontal="center"/>
    </xf>
    <xf numFmtId="165" fontId="13" fillId="0" borderId="6" xfId="0" applyNumberFormat="1" applyFont="1" applyBorder="1" applyAlignment="1">
      <alignment horizontal="center"/>
    </xf>
    <xf numFmtId="165" fontId="13" fillId="0" borderId="3" xfId="4" applyNumberFormat="1" applyFont="1" applyFill="1" applyBorder="1" applyAlignment="1">
      <alignment horizontal="center"/>
    </xf>
    <xf numFmtId="0" fontId="30" fillId="0" borderId="17" xfId="0" applyFont="1" applyBorder="1" applyAlignment="1">
      <alignment horizontal="center"/>
    </xf>
    <xf numFmtId="0" fontId="12" fillId="6" borderId="5" xfId="0" applyFont="1" applyFill="1" applyBorder="1" applyAlignment="1">
      <alignment horizontal="center" vertical="center"/>
    </xf>
    <xf numFmtId="165" fontId="12" fillId="6" borderId="12" xfId="2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5" borderId="2" xfId="0" applyFont="1" applyFill="1" applyBorder="1" applyAlignment="1">
      <alignment horizontal="center"/>
    </xf>
    <xf numFmtId="165" fontId="13" fillId="5" borderId="11" xfId="0" applyNumberFormat="1" applyFont="1" applyFill="1" applyBorder="1" applyAlignment="1">
      <alignment horizontal="center"/>
    </xf>
    <xf numFmtId="0" fontId="24" fillId="0" borderId="17" xfId="0" applyFont="1" applyBorder="1" applyAlignment="1">
      <alignment horizontal="center"/>
    </xf>
    <xf numFmtId="164" fontId="13" fillId="0" borderId="17" xfId="2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14" fillId="7" borderId="6" xfId="0" applyFont="1" applyFill="1" applyBorder="1" applyAlignment="1">
      <alignment horizontal="center"/>
    </xf>
    <xf numFmtId="165" fontId="14" fillId="7" borderId="8" xfId="0" applyNumberFormat="1" applyFont="1" applyFill="1" applyBorder="1" applyAlignment="1">
      <alignment horizontal="center"/>
    </xf>
    <xf numFmtId="0" fontId="13" fillId="5" borderId="0" xfId="0" applyFont="1" applyFill="1" applyAlignment="1">
      <alignment horizontal="center"/>
    </xf>
    <xf numFmtId="164" fontId="13" fillId="5" borderId="0" xfId="2" applyFont="1" applyFill="1" applyBorder="1" applyAlignment="1">
      <alignment horizontal="center"/>
    </xf>
    <xf numFmtId="164" fontId="14" fillId="7" borderId="6" xfId="2" applyFont="1" applyFill="1" applyBorder="1" applyAlignment="1">
      <alignment horizontal="center"/>
    </xf>
    <xf numFmtId="164" fontId="0" fillId="0" borderId="2" xfId="2" applyFont="1" applyFill="1" applyBorder="1" applyAlignment="1">
      <alignment horizontal="center"/>
    </xf>
    <xf numFmtId="164" fontId="0" fillId="0" borderId="0" xfId="2" applyFont="1" applyFill="1" applyBorder="1" applyAlignment="1">
      <alignment horizontal="center"/>
    </xf>
    <xf numFmtId="0" fontId="30" fillId="0" borderId="3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164" fontId="13" fillId="0" borderId="3" xfId="2" applyFont="1" applyFill="1" applyBorder="1" applyAlignment="1">
      <alignment horizontal="center"/>
    </xf>
    <xf numFmtId="0" fontId="5" fillId="0" borderId="0" xfId="0" applyFont="1"/>
    <xf numFmtId="164" fontId="24" fillId="0" borderId="17" xfId="2" applyFont="1" applyFill="1" applyBorder="1" applyAlignment="1">
      <alignment horizontal="center"/>
    </xf>
    <xf numFmtId="165" fontId="13" fillId="0" borderId="5" xfId="0" applyNumberFormat="1" applyFont="1" applyBorder="1" applyAlignment="1">
      <alignment horizontal="center"/>
    </xf>
    <xf numFmtId="14" fontId="31" fillId="0" borderId="0" xfId="0" applyNumberFormat="1" applyFont="1" applyAlignment="1">
      <alignment horizontal="center"/>
    </xf>
    <xf numFmtId="1" fontId="13" fillId="0" borderId="17" xfId="0" applyNumberFormat="1" applyFont="1" applyBorder="1" applyAlignment="1">
      <alignment horizontal="center"/>
    </xf>
    <xf numFmtId="1" fontId="13" fillId="0" borderId="3" xfId="0" applyNumberFormat="1" applyFont="1" applyBorder="1" applyAlignment="1">
      <alignment horizontal="center"/>
    </xf>
    <xf numFmtId="164" fontId="30" fillId="0" borderId="17" xfId="2" applyFont="1" applyFill="1" applyBorder="1" applyAlignment="1">
      <alignment horizontal="center"/>
    </xf>
    <xf numFmtId="165" fontId="24" fillId="0" borderId="17" xfId="0" applyNumberFormat="1" applyFont="1" applyBorder="1" applyAlignment="1">
      <alignment horizontal="center"/>
    </xf>
    <xf numFmtId="165" fontId="13" fillId="0" borderId="3" xfId="0" applyNumberFormat="1" applyFont="1" applyBorder="1" applyAlignment="1">
      <alignment horizontal="center"/>
    </xf>
    <xf numFmtId="1" fontId="24" fillId="0" borderId="17" xfId="0" applyNumberFormat="1" applyFont="1" applyBorder="1" applyAlignment="1">
      <alignment horizontal="center"/>
    </xf>
    <xf numFmtId="44" fontId="13" fillId="0" borderId="17" xfId="39" applyFont="1" applyFill="1" applyBorder="1" applyAlignment="1">
      <alignment horizontal="center"/>
    </xf>
    <xf numFmtId="165" fontId="0" fillId="0" borderId="17" xfId="4" applyNumberFormat="1" applyFont="1" applyFill="1" applyBorder="1" applyAlignment="1">
      <alignment horizontal="center"/>
    </xf>
    <xf numFmtId="44" fontId="0" fillId="0" borderId="17" xfId="39" applyFont="1" applyFill="1" applyBorder="1" applyAlignment="1">
      <alignment horizontal="center"/>
    </xf>
    <xf numFmtId="44" fontId="0" fillId="0" borderId="13" xfId="39" applyFont="1" applyFill="1" applyBorder="1" applyAlignment="1">
      <alignment horizontal="center"/>
    </xf>
    <xf numFmtId="165" fontId="0" fillId="0" borderId="13" xfId="4" applyNumberFormat="1" applyFont="1" applyFill="1" applyBorder="1" applyAlignment="1">
      <alignment horizontal="center"/>
    </xf>
    <xf numFmtId="49" fontId="0" fillId="0" borderId="13" xfId="39" applyNumberFormat="1" applyFont="1" applyFill="1" applyBorder="1" applyAlignment="1">
      <alignment horizontal="center"/>
    </xf>
    <xf numFmtId="49" fontId="0" fillId="0" borderId="17" xfId="39" applyNumberFormat="1" applyFont="1" applyFill="1" applyBorder="1" applyAlignment="1">
      <alignment horizontal="center"/>
    </xf>
    <xf numFmtId="1" fontId="24" fillId="0" borderId="10" xfId="0" applyNumberFormat="1" applyFont="1" applyBorder="1" applyAlignment="1">
      <alignment horizontal="center"/>
    </xf>
    <xf numFmtId="0" fontId="32" fillId="0" borderId="13" xfId="0" applyFont="1" applyBorder="1" applyAlignment="1">
      <alignment horizontal="center"/>
    </xf>
    <xf numFmtId="0" fontId="33" fillId="0" borderId="13" xfId="0" applyFont="1" applyBorder="1" applyAlignment="1">
      <alignment horizontal="center"/>
    </xf>
    <xf numFmtId="44" fontId="34" fillId="0" borderId="13" xfId="39" applyFont="1" applyFill="1" applyBorder="1" applyAlignment="1">
      <alignment horizontal="center"/>
    </xf>
    <xf numFmtId="165" fontId="34" fillId="0" borderId="13" xfId="4" applyNumberFormat="1" applyFont="1" applyFill="1" applyBorder="1" applyAlignment="1">
      <alignment horizontal="center"/>
    </xf>
    <xf numFmtId="165" fontId="13" fillId="0" borderId="13" xfId="0" applyNumberFormat="1" applyFont="1" applyBorder="1" applyAlignment="1">
      <alignment horizontal="center"/>
    </xf>
    <xf numFmtId="165" fontId="13" fillId="0" borderId="9" xfId="0" applyNumberFormat="1" applyFont="1" applyBorder="1" applyAlignment="1">
      <alignment horizontal="center"/>
    </xf>
    <xf numFmtId="0" fontId="13" fillId="0" borderId="17" xfId="4" applyNumberFormat="1" applyFont="1" applyFill="1" applyBorder="1" applyAlignment="1">
      <alignment horizontal="center"/>
    </xf>
    <xf numFmtId="44" fontId="34" fillId="0" borderId="17" xfId="39" applyFont="1" applyFill="1" applyBorder="1" applyAlignment="1">
      <alignment horizontal="center"/>
    </xf>
    <xf numFmtId="165" fontId="34" fillId="0" borderId="17" xfId="4" applyNumberFormat="1" applyFont="1" applyFill="1" applyBorder="1" applyAlignment="1">
      <alignment horizontal="center"/>
    </xf>
    <xf numFmtId="0" fontId="32" fillId="0" borderId="17" xfId="0" applyFont="1" applyBorder="1" applyAlignment="1">
      <alignment horizontal="center"/>
    </xf>
    <xf numFmtId="0" fontId="33" fillId="0" borderId="17" xfId="0" applyFont="1" applyBorder="1" applyAlignment="1">
      <alignment horizontal="center"/>
    </xf>
    <xf numFmtId="49" fontId="35" fillId="0" borderId="13" xfId="39" applyNumberFormat="1" applyFont="1" applyFill="1" applyBorder="1" applyAlignment="1">
      <alignment horizontal="center"/>
    </xf>
    <xf numFmtId="44" fontId="35" fillId="0" borderId="13" xfId="39" applyFont="1" applyFill="1" applyBorder="1" applyAlignment="1">
      <alignment horizontal="center"/>
    </xf>
    <xf numFmtId="165" fontId="35" fillId="0" borderId="13" xfId="4" applyNumberFormat="1" applyFont="1" applyFill="1" applyBorder="1" applyAlignment="1">
      <alignment horizontal="center"/>
    </xf>
    <xf numFmtId="49" fontId="35" fillId="0" borderId="17" xfId="39" applyNumberFormat="1" applyFont="1" applyFill="1" applyBorder="1" applyAlignment="1">
      <alignment horizontal="center"/>
    </xf>
    <xf numFmtId="44" fontId="35" fillId="0" borderId="17" xfId="39" applyFont="1" applyFill="1" applyBorder="1" applyAlignment="1">
      <alignment horizontal="center"/>
    </xf>
    <xf numFmtId="165" fontId="35" fillId="0" borderId="17" xfId="4" applyNumberFormat="1" applyFont="1" applyFill="1" applyBorder="1" applyAlignment="1">
      <alignment horizontal="center"/>
    </xf>
    <xf numFmtId="44" fontId="24" fillId="0" borderId="17" xfId="39" applyFont="1" applyFill="1" applyBorder="1" applyAlignment="1">
      <alignment horizontal="center"/>
    </xf>
    <xf numFmtId="0" fontId="35" fillId="0" borderId="17" xfId="39" applyNumberFormat="1" applyFont="1" applyFill="1" applyBorder="1" applyAlignment="1">
      <alignment horizontal="center"/>
    </xf>
    <xf numFmtId="0" fontId="12" fillId="6" borderId="0" xfId="0" applyFont="1" applyFill="1" applyAlignment="1">
      <alignment horizontal="center" vertical="center"/>
    </xf>
    <xf numFmtId="0" fontId="10" fillId="7" borderId="3" xfId="0" applyFont="1" applyFill="1" applyBorder="1" applyAlignment="1">
      <alignment horizontal="center"/>
    </xf>
    <xf numFmtId="165" fontId="10" fillId="7" borderId="5" xfId="0" applyNumberFormat="1" applyFont="1" applyFill="1" applyBorder="1" applyAlignment="1">
      <alignment horizontal="center"/>
    </xf>
    <xf numFmtId="165" fontId="10" fillId="7" borderId="4" xfId="0" applyNumberFormat="1" applyFont="1" applyFill="1" applyBorder="1" applyAlignment="1">
      <alignment horizontal="center"/>
    </xf>
    <xf numFmtId="165" fontId="10" fillId="7" borderId="12" xfId="0" applyNumberFormat="1" applyFont="1" applyFill="1" applyBorder="1" applyAlignment="1">
      <alignment horizontal="center"/>
    </xf>
    <xf numFmtId="0" fontId="17" fillId="7" borderId="6" xfId="0" applyFont="1" applyFill="1" applyBorder="1" applyAlignment="1">
      <alignment horizontal="center" vertical="center"/>
    </xf>
    <xf numFmtId="0" fontId="17" fillId="7" borderId="7" xfId="0" applyFont="1" applyFill="1" applyBorder="1" applyAlignment="1">
      <alignment horizontal="center" vertical="center"/>
    </xf>
    <xf numFmtId="0" fontId="17" fillId="7" borderId="8" xfId="0" applyFont="1" applyFill="1" applyBorder="1" applyAlignment="1">
      <alignment horizontal="center" vertical="center"/>
    </xf>
    <xf numFmtId="0" fontId="10" fillId="7" borderId="17" xfId="0" applyFont="1" applyFill="1" applyBorder="1" applyAlignment="1">
      <alignment horizontal="center"/>
    </xf>
  </cellXfs>
  <cellStyles count="62">
    <cellStyle name="Cabeçalho de métrica-chave" xfId="22" xr:uid="{00000000-0005-0000-0000-000000000000}"/>
    <cellStyle name="Custom Style  1" xfId="14" xr:uid="{00000000-0005-0000-0000-000001000000}"/>
    <cellStyle name="Custom Style 2" xfId="15" xr:uid="{00000000-0005-0000-0000-000002000000}"/>
    <cellStyle name="Hyperlink 2" xfId="1" xr:uid="{00000000-0005-0000-0000-000003000000}"/>
    <cellStyle name="Hyperlink 2 2" xfId="9" xr:uid="{00000000-0005-0000-0000-000004000000}"/>
    <cellStyle name="Hyperlink 2 2 2" xfId="23" xr:uid="{00000000-0005-0000-0000-000005000000}"/>
    <cellStyle name="Hyperlink 2 3" xfId="16" xr:uid="{00000000-0005-0000-0000-000006000000}"/>
    <cellStyle name="Hyperlink 2 3 2" xfId="13" xr:uid="{00000000-0005-0000-0000-000007000000}"/>
    <cellStyle name="Hyperlink 2 4" xfId="24" xr:uid="{00000000-0005-0000-0000-000008000000}"/>
    <cellStyle name="Hyperlink 3" xfId="25" xr:uid="{00000000-0005-0000-0000-000009000000}"/>
    <cellStyle name="Hyperlink 4" xfId="21" xr:uid="{00000000-0005-0000-0000-00000A000000}"/>
    <cellStyle name="Moeda" xfId="2" builtinId="4"/>
    <cellStyle name="Moeda 2" xfId="17" xr:uid="{00000000-0005-0000-0000-00000C000000}"/>
    <cellStyle name="Moeda 2 2" xfId="26" xr:uid="{00000000-0005-0000-0000-00000D000000}"/>
    <cellStyle name="Moeda 2 2 2" xfId="47" xr:uid="{77FBC57E-C713-4176-9639-F28437D58155}"/>
    <cellStyle name="Moeda 2 2 3" xfId="59" xr:uid="{15876CAD-A58A-417E-942B-B75CA4D12C4A}"/>
    <cellStyle name="Moeda 2 3" xfId="44" xr:uid="{018D7EC2-457E-4352-8B9D-D98BC95BBE55}"/>
    <cellStyle name="Moeda 2 4" xfId="57" xr:uid="{60314F40-4D14-4914-B2FB-F0EF8809BFDC}"/>
    <cellStyle name="Moeda 3" xfId="39" xr:uid="{7AB823BE-4C0E-4C74-AC9F-2ADAE4FB907E}"/>
    <cellStyle name="Normal" xfId="0" builtinId="0"/>
    <cellStyle name="Normal 2" xfId="3" xr:uid="{00000000-0005-0000-0000-000010000000}"/>
    <cellStyle name="Normal 2 2" xfId="8" xr:uid="{00000000-0005-0000-0000-000011000000}"/>
    <cellStyle name="Normal 2 2 2" xfId="12" xr:uid="{00000000-0005-0000-0000-000012000000}"/>
    <cellStyle name="Normal 2 2 2 2" xfId="43" xr:uid="{5B7FA2CA-436D-47DE-8720-7359F26FBD0E}"/>
    <cellStyle name="Normal 2 2 3" xfId="40" xr:uid="{018BCF13-8434-4322-A33C-5A91F0F29341}"/>
    <cellStyle name="Normal 2 3" xfId="27" xr:uid="{00000000-0005-0000-0000-000013000000}"/>
    <cellStyle name="Normal 2 3 2" xfId="48" xr:uid="{7C12C5E7-59DF-44E8-9667-9AFD55231E4C}"/>
    <cellStyle name="Normal 3" xfId="18" xr:uid="{00000000-0005-0000-0000-000014000000}"/>
    <cellStyle name="Normal 3 2" xfId="45" xr:uid="{7AFFE563-EF54-48E6-9C6D-033D02108863}"/>
    <cellStyle name="Normal 4" xfId="28" xr:uid="{00000000-0005-0000-0000-000015000000}"/>
    <cellStyle name="Normal 4 2" xfId="20" xr:uid="{00000000-0005-0000-0000-000016000000}"/>
    <cellStyle name="Normal 4 3" xfId="49" xr:uid="{17DB832D-5CC5-4384-89FF-73745DBBF48D}"/>
    <cellStyle name="Normal 4 4" xfId="60" xr:uid="{AF296A9E-05F1-4EBF-B3A5-6D6A1B6677AA}"/>
    <cellStyle name="Normal 5" xfId="29" xr:uid="{00000000-0005-0000-0000-000017000000}"/>
    <cellStyle name="Normal 5 2" xfId="50" xr:uid="{96E037BB-129C-4E67-A87F-CB2C8DE67449}"/>
    <cellStyle name="Normal 6" xfId="30" xr:uid="{00000000-0005-0000-0000-000018000000}"/>
    <cellStyle name="Normal 6 2" xfId="51" xr:uid="{895B2314-4F52-40C3-BF3E-7976CEBD2E76}"/>
    <cellStyle name="Percentual de métrica-chave" xfId="31" xr:uid="{00000000-0005-0000-0000-000019000000}"/>
    <cellStyle name="Porcentagem" xfId="4" builtinId="5"/>
    <cellStyle name="Porcentagem 2" xfId="10" xr:uid="{00000000-0005-0000-0000-00001B000000}"/>
    <cellStyle name="Porcentagem 2 2" xfId="41" xr:uid="{6845AEA0-47D3-48C2-B03C-376523623D1C}"/>
    <cellStyle name="Porcentagem 5" xfId="32" xr:uid="{00000000-0005-0000-0000-00001C000000}"/>
    <cellStyle name="Porcentagem 5 2" xfId="52" xr:uid="{CFCC28A9-1FF0-45B1-A1DB-E00751B58143}"/>
    <cellStyle name="Separador de milhares 2" xfId="11" xr:uid="{00000000-0005-0000-0000-00001D000000}"/>
    <cellStyle name="Separador de milhares 2 2" xfId="42" xr:uid="{DF429EC4-CA22-4779-8338-F39D50EC72E6}"/>
    <cellStyle name="Separador de milhares 2 3" xfId="56" xr:uid="{1CEB6C10-8A7B-4609-8DF5-0B2F3DA67C9A}"/>
    <cellStyle name="Separador de milhares 3" xfId="33" xr:uid="{00000000-0005-0000-0000-00001E000000}"/>
    <cellStyle name="Separador de milhares 5" xfId="34" xr:uid="{00000000-0005-0000-0000-00001F000000}"/>
    <cellStyle name="Separador de milhares 5 2" xfId="53" xr:uid="{AD6C3C50-02C8-456E-8236-7D175A863C5F}"/>
    <cellStyle name="Separador de milhares 6" xfId="35" xr:uid="{00000000-0005-0000-0000-000020000000}"/>
    <cellStyle name="Separador de milhares 6 2" xfId="54" xr:uid="{24CAB0AE-3C7D-4F02-905C-447EEBCEA0E5}"/>
    <cellStyle name="Título 1 1" xfId="5" xr:uid="{00000000-0005-0000-0000-000021000000}"/>
    <cellStyle name="Título 1 1 1" xfId="6" xr:uid="{00000000-0005-0000-0000-000022000000}"/>
    <cellStyle name="Título 1 1 1 1" xfId="7" xr:uid="{00000000-0005-0000-0000-000023000000}"/>
    <cellStyle name="Título 5" xfId="36" xr:uid="{00000000-0005-0000-0000-000024000000}"/>
    <cellStyle name="Valor de métrica-chave" xfId="37" xr:uid="{00000000-0005-0000-0000-000025000000}"/>
    <cellStyle name="Vírgula 10" xfId="19" xr:uid="{00000000-0005-0000-0000-000026000000}"/>
    <cellStyle name="Vírgula 10 2" xfId="46" xr:uid="{65626DB0-8572-4BC9-A55B-E69BB127F311}"/>
    <cellStyle name="Vírgula 10 3" xfId="58" xr:uid="{ED20D7A7-29F8-43B5-8992-FFA42C90A8C0}"/>
    <cellStyle name="Vírgula 2" xfId="38" xr:uid="{00000000-0005-0000-0000-000027000000}"/>
    <cellStyle name="Vírgula 2 2" xfId="55" xr:uid="{CB37DB63-E913-4772-B017-FD8345B858C4}"/>
    <cellStyle name="Vírgula 2 3" xfId="61" xr:uid="{79463D6F-D2DA-4A6C-9918-0EF0B9E007F0}"/>
  </cellStyles>
  <dxfs count="164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colors>
    <mruColors>
      <color rgb="FF5813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4FFA87C6-FEA8-4FF1-A6DF-4A6CEDF89163}" name="vend1" displayName="vend1" ref="E5:I22" totalsRowShown="0" headerRowDxfId="1644" dataDxfId="1642" headerRowBorderDxfId="1643" tableBorderDxfId="1641" totalsRowBorderDxfId="164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6558EED-D941-4514-983C-0DF8D07622E1}" name="Nº Venda" dataDxfId="1639" dataCellStyle="Moeda"/>
    <tableColumn id="5" xr3:uid="{4E864FFB-62AE-4C76-999A-80DAC03BA10F}" name="Cliente" dataDxfId="1638" dataCellStyle="Moeda"/>
    <tableColumn id="2" xr3:uid="{39F76C04-E7DF-4C8C-921C-A165689790E9}" name="Forma de Pgto" dataDxfId="1637" dataCellStyle="Moeda"/>
    <tableColumn id="3" xr3:uid="{E9370F52-26BB-4EAF-A1D9-2BD0CAE66157}" name="Valor Venda" dataDxfId="1636" dataCellStyle="Porcentagem"/>
    <tableColumn id="4" xr3:uid="{BA146EFF-288C-407A-B27C-EC83C6C60F64}" name="Entrada" dataDxfId="1635" dataCellStyle="Porcentage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14C9B23A-CEA7-40A2-800B-D2AA8F76500E}" name="desp1" displayName="desp1" ref="K5:M11" totalsRowShown="0" headerRowDxfId="1634" dataDxfId="1632" headerRowBorderDxfId="1633" tableBorderDxfId="1631" totalsRowBorderDxfId="1630">
  <autoFilter ref="K5:M11" xr:uid="{00000000-0009-0000-0100-000015000000}"/>
  <tableColumns count="3">
    <tableColumn id="1" xr3:uid="{0B88E9C0-AB9D-453A-B36F-BD29A8C17D8A}" name="Descrição" dataDxfId="1629"/>
    <tableColumn id="2" xr3:uid="{17C658DA-B17E-40FE-A7BD-DC7D9EC674E9}" name="Tipo de Pagto" dataDxfId="1628"/>
    <tableColumn id="3" xr3:uid="{FF4BC756-9A15-4D47-B863-8A20D3280A08}" name="Valor" dataDxfId="162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51B3DD05-2759-4905-B9C7-C0E800434C0E}" name="rest_entr1" displayName="rest_entr1" ref="E25:I31" totalsRowShown="0" headerRowDxfId="1626" dataDxfId="1624" headerRowBorderDxfId="1625" tableBorderDxfId="1623" totalsRowBorderDxfId="162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28C2EC5-53B0-411D-B826-EDE23CB0FA2E}" name="Nº Venda" dataDxfId="1621"/>
    <tableColumn id="2" xr3:uid="{47D41B32-D662-49C2-9421-3A125B03A82A}" name="Cliente" dataDxfId="1620"/>
    <tableColumn id="3" xr3:uid="{39E1C509-0A71-43B1-986F-88861123AB80}" name="Forma de Pgto" dataDxfId="1619" dataCellStyle="Moeda"/>
    <tableColumn id="4" xr3:uid="{47286C2F-E1F6-47AA-8494-04DB96C3E6B1}" name="Valor Venda" dataDxfId="1618" dataCellStyle="Porcentagem"/>
    <tableColumn id="5" xr3:uid="{8CC8BB9B-601E-4BB4-B63E-BE429656D172}" name="Entrada" dataDxfId="1617" dataCellStyle="Porcentage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15AB9C06-03EB-43F0-9EDB-D9E3B4D1C9F7}" name="os_entr_dia1" displayName="os_entr_dia1" ref="K14:M31" totalsRowShown="0" headerRowDxfId="1616" dataDxfId="1614" headerRowBorderDxfId="1615" tableBorderDxfId="1613" totalsRowBorderDxfId="1612">
  <autoFilter ref="K14:M31" xr:uid="{C83FE64B-E221-4DAA-89EA-5307A7BC98B3}"/>
  <tableColumns count="3">
    <tableColumn id="1" xr3:uid="{4F2E3C78-49DF-438D-A2AF-840084C0C05C}" name="OS" dataDxfId="1611"/>
    <tableColumn id="2" xr3:uid="{2EBF3173-B4D7-4BCC-8593-5878D7F40F65}" name="Vendedor" dataDxfId="1610"/>
    <tableColumn id="3" xr3:uid="{BFD4CEE5-C30B-49BA-951C-C0B0CCFBDF6A}" name="CARNE" dataDxfId="160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20455E45-CDCF-4969-ACA8-D2F4F4759DF6}" name="rec_carn1" displayName="rec_carn1" ref="E34:I41" totalsRowShown="0" headerRowDxfId="1608" dataDxfId="1606" headerRowBorderDxfId="1607" tableBorderDxfId="1605" totalsRowBorderDxfId="160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36B6747F-E138-4FAD-837C-BE1123BBEE49}" name="OS" dataDxfId="1603"/>
    <tableColumn id="2" xr3:uid="{69A152AB-9A1E-4E74-850B-E7190DCBB712}" name="Cliente" dataDxfId="1602"/>
    <tableColumn id="3" xr3:uid="{F918E665-3FA3-4D49-8B7B-662CAB3CB814}" name="Forma de Pgto" dataDxfId="1601" dataCellStyle="Moeda"/>
    <tableColumn id="4" xr3:uid="{31D63A0C-E278-497A-9D40-34077035FD25}" name="Valor Parcela" dataDxfId="1600" dataCellStyle="Porcentagem"/>
    <tableColumn id="5" xr3:uid="{1B552883-A189-4B21-8398-A08FF7756606}" name="Nº Parcela" dataDxfId="1599" dataCellStyle="Porcentagem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80ECDA16-FF5C-4DF8-A662-5947B2E55CBC}" name="entr_carn1" displayName="entr_carn1" ref="K34:M41" totalsRowShown="0" headerRowDxfId="1598" headerRowBorderDxfId="1597" tableBorderDxfId="1596" totalsRowBorderDxfId="1595">
  <autoFilter ref="K34:M41" xr:uid="{1B8643D4-6AC3-4029-882A-C62E9D7CB225}"/>
  <tableColumns count="3">
    <tableColumn id="1" xr3:uid="{8A794627-537E-47A8-A07A-ED4FE9B7FAEE}" name="OS" dataDxfId="1594"/>
    <tableColumn id="2" xr3:uid="{75A5608F-8F26-4C71-A24D-8E79F737416A}" name="Parcelas" dataDxfId="1593"/>
    <tableColumn id="3" xr3:uid="{405D57D3-4E8E-4A9E-A3A3-7DDC45B62F91}" name="Valor Total" dataDxfId="159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B852720-C44B-4257-B639-27C3CBE45534}" name="vend2" displayName="vend2" ref="E5:I22" totalsRowShown="0" headerRowDxfId="1591" dataDxfId="1589" headerRowBorderDxfId="1590" tableBorderDxfId="1588" totalsRowBorderDxfId="158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9375F81-FDC7-41E7-9EE2-321F943D9DB0}" name="Nº Venda" dataDxfId="1586" dataCellStyle="Moeda"/>
    <tableColumn id="5" xr3:uid="{62DCD49D-7CD9-4268-A2D5-B3A594E461BB}" name="Cliente" dataDxfId="1585" dataCellStyle="Moeda"/>
    <tableColumn id="2" xr3:uid="{50D45495-B1A2-4885-996A-3E6DD92E280E}" name="Forma de Pgto" dataDxfId="1584" dataCellStyle="Moeda"/>
    <tableColumn id="3" xr3:uid="{DE57E226-692B-42B0-911E-ACCF59BC6D86}" name="Valor Venda" dataDxfId="1583" dataCellStyle="Porcentagem"/>
    <tableColumn id="4" xr3:uid="{CE230B3B-D2C9-4A92-A5F3-A5EE4A74409A}" name="Entrada" dataDxfId="1582" dataCellStyle="Porcentagem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AABC1DA-61B9-4AE8-9031-E11CD9D5FFBF}" name="desp2" displayName="desp2" ref="K5:M11" totalsRowShown="0" headerRowDxfId="1581" dataDxfId="1579" headerRowBorderDxfId="1580" tableBorderDxfId="1578" totalsRowBorderDxfId="1577">
  <autoFilter ref="K5:M11" xr:uid="{00000000-0009-0000-0100-000015000000}"/>
  <tableColumns count="3">
    <tableColumn id="1" xr3:uid="{58E2E66D-9AC0-4A69-BF19-1AB9AD59BA2F}" name="Descrição" dataDxfId="1576"/>
    <tableColumn id="2" xr3:uid="{FE1E3124-46C3-49A6-AE83-7C14B341DF59}" name="Tipo de Pagto" dataDxfId="1575"/>
    <tableColumn id="3" xr3:uid="{D8FBF474-04EE-46ED-9B9E-791D937CF715}" name="Valor" dataDxfId="1574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DA01FBD2-D601-4BA3-A729-2B1B9A8B6F4C}" name="rest_entr2" displayName="rest_entr2" ref="E25:I31" totalsRowShown="0" headerRowDxfId="1573" dataDxfId="1571" headerRowBorderDxfId="1572" tableBorderDxfId="1570" totalsRowBorderDxfId="156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4012A3-88A7-49FD-9D1F-E53F527E4EDD}" name="Nº Venda" dataDxfId="1568"/>
    <tableColumn id="2" xr3:uid="{595EF087-A3B2-4C2B-AEEA-F930A6C2F5F4}" name="Cliente" dataDxfId="1567"/>
    <tableColumn id="3" xr3:uid="{C5C2BC75-6E8D-4808-A5EE-A5F9251ECE6C}" name="Forma de Pgto" dataDxfId="1566" dataCellStyle="Moeda"/>
    <tableColumn id="4" xr3:uid="{20CF776B-B9F4-48DD-9379-961689B40B71}" name="Valor Venda" dataDxfId="1565" dataCellStyle="Porcentagem"/>
    <tableColumn id="5" xr3:uid="{65177CB6-6D07-42E6-8EFE-435282A2F5BA}" name="Entrada" dataDxfId="1564" dataCellStyle="Porcentagem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D64CC4C-3E5C-4DF6-A7A0-4F987848556D}" name="os_entr_dia2" displayName="os_entr_dia2" ref="K14:M31" totalsRowShown="0" headerRowDxfId="1563" dataDxfId="1561" headerRowBorderDxfId="1562" tableBorderDxfId="1560" totalsRowBorderDxfId="1559">
  <autoFilter ref="K14:M31" xr:uid="{C83FE64B-E221-4DAA-89EA-5307A7BC98B3}"/>
  <tableColumns count="3">
    <tableColumn id="1" xr3:uid="{B4C5A0E6-F291-4369-998D-321E2024DFE1}" name="OS" dataDxfId="1558"/>
    <tableColumn id="2" xr3:uid="{D1AEFC99-FF9D-4A0D-BE93-D866BDC7A817}" name="Vendedor" dataDxfId="1557"/>
    <tableColumn id="3" xr3:uid="{CA30546E-8A3F-45D5-BE2B-24DCF738F1F2}" name="CARNE" dataDxfId="1556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9012D01-5EBB-4E63-99CA-509CD4207687}" name="rec_carn2" displayName="rec_carn2" ref="E34:I41" totalsRowShown="0" headerRowDxfId="1555" dataDxfId="1553" headerRowBorderDxfId="1554" tableBorderDxfId="1552" totalsRowBorderDxfId="155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7E4FA26-C4CE-4094-A8B1-84A0D1090D09}" name="OS" dataDxfId="1550"/>
    <tableColumn id="2" xr3:uid="{7D38F106-0145-4B73-951B-86BF22EC7FAB}" name="Cliente" dataDxfId="1549"/>
    <tableColumn id="3" xr3:uid="{11A4EEBE-D35C-4719-B2B9-16486260EF79}" name="Forma de Pgto" dataDxfId="1548" dataCellStyle="Moeda"/>
    <tableColumn id="4" xr3:uid="{1BAB2FC5-9F2C-41DD-994A-6BA83A984883}" name="Valor Parcela" dataDxfId="1547" dataCellStyle="Porcentagem"/>
    <tableColumn id="5" xr3:uid="{8C539F89-5F96-4DB9-B7A4-784EA1B5350C}" name="Nº Parcela" dataDxfId="1546" dataCellStyle="Porcentagem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E7C2C0CD-1D04-449C-B165-31163FD67208}" name="entr_carn2" displayName="entr_carn2" ref="K34:M41" totalsRowShown="0" headerRowDxfId="1545" headerRowBorderDxfId="1544" tableBorderDxfId="1543" totalsRowBorderDxfId="1542">
  <autoFilter ref="K34:M41" xr:uid="{1B8643D4-6AC3-4029-882A-C62E9D7CB225}"/>
  <tableColumns count="3">
    <tableColumn id="1" xr3:uid="{0B93901B-D681-410F-8B28-E186D9A3CAC3}" name="OS" dataDxfId="1541"/>
    <tableColumn id="2" xr3:uid="{A57C0E02-6258-48F0-9407-2095CD96B2D4}" name="Parcelas" dataDxfId="1540"/>
    <tableColumn id="3" xr3:uid="{1EA087CF-658D-4951-89BB-508667E3BBBE}" name="Valor Total" dataDxfId="1539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FC5CBE0-7C4B-4CD7-9617-6757BB79F0CE}" name="vend3" displayName="vend3" ref="E5:I22" totalsRowShown="0" headerRowDxfId="1538" dataDxfId="1536" headerRowBorderDxfId="1537" tableBorderDxfId="1535" totalsRowBorderDxfId="153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7014DE4-1DF8-4CDF-B7C8-D482BB51E818}" name="Nº Venda" dataDxfId="1533" dataCellStyle="Moeda"/>
    <tableColumn id="5" xr3:uid="{98DC42E5-632F-4288-9CC5-1F032859A7E7}" name="Cliente" dataDxfId="1532" dataCellStyle="Moeda"/>
    <tableColumn id="2" xr3:uid="{4AE32B81-9EBD-470B-9ABE-A82D6658F3FE}" name="Forma de Pgto" dataDxfId="1531" dataCellStyle="Moeda"/>
    <tableColumn id="3" xr3:uid="{6E5BAEC1-2689-4ABB-93EC-298595B5C82E}" name="Valor Venda" dataDxfId="1530" dataCellStyle="Porcentagem"/>
    <tableColumn id="4" xr3:uid="{24493E7B-FE77-4A85-8810-0F0A4A84D997}" name="Entrada" dataDxfId="1529" dataCellStyle="Porcentagem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8FB0723-CF9C-41B8-B56A-350975FBEBB9}" name="desp3" displayName="desp3" ref="K5:M11" totalsRowShown="0" headerRowDxfId="1528" dataDxfId="1526" headerRowBorderDxfId="1527" tableBorderDxfId="1525" totalsRowBorderDxfId="1524">
  <autoFilter ref="K5:M11" xr:uid="{00000000-0009-0000-0100-000015000000}"/>
  <tableColumns count="3">
    <tableColumn id="1" xr3:uid="{DA50BBFB-ECA9-45DE-9949-F3F90EEC3BA7}" name="Descrição" dataDxfId="1523"/>
    <tableColumn id="2" xr3:uid="{A64D4F88-B62D-440B-BA71-6D7BB28D542E}" name="Tipo de Pagto" dataDxfId="1522"/>
    <tableColumn id="3" xr3:uid="{0406A209-0652-47F9-9AB4-3256B26876D2}" name="Valor" dataDxfId="1521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8008835-36D1-4176-A2E5-9E3B6974E4EC}" name="rest_entr3" displayName="rest_entr3" ref="E25:I31" totalsRowShown="0" headerRowDxfId="1520" dataDxfId="1518" headerRowBorderDxfId="1519" tableBorderDxfId="1517" totalsRowBorderDxfId="151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116C13B-47E4-4C9E-BC93-A4CD3ED7830F}" name="Nº Venda" dataDxfId="1515"/>
    <tableColumn id="2" xr3:uid="{8B8D24E4-1123-478B-838C-FCF56EABBDFD}" name="Cliente" dataDxfId="1514"/>
    <tableColumn id="3" xr3:uid="{8B7DE8DF-8D5D-4245-A63D-EF550AE347E3}" name="Forma de Pgto" dataDxfId="1513" dataCellStyle="Moeda"/>
    <tableColumn id="4" xr3:uid="{95A77C0C-49D0-45A2-8B99-A765C4741CE7}" name="Valor Venda" dataDxfId="1512" dataCellStyle="Porcentagem"/>
    <tableColumn id="5" xr3:uid="{FF4FDD32-DA70-4723-A8FB-07B3FB04B5CD}" name="Entrada" dataDxfId="1511" dataCellStyle="Porcentagem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D4CA0B9-F48C-4918-84E1-618847D6F046}" name="os_entr_dia3" displayName="os_entr_dia3" ref="K14:M31" totalsRowShown="0" headerRowDxfId="1510" dataDxfId="1508" headerRowBorderDxfId="1509" tableBorderDxfId="1507" totalsRowBorderDxfId="1506">
  <autoFilter ref="K14:M31" xr:uid="{C83FE64B-E221-4DAA-89EA-5307A7BC98B3}"/>
  <tableColumns count="3">
    <tableColumn id="1" xr3:uid="{A31E67F7-E266-4220-8D3F-09556FCE20B1}" name="OS" dataDxfId="1505"/>
    <tableColumn id="2" xr3:uid="{2ED39269-8DA5-4157-9E82-8C8ED0C828A3}" name="Vendedor" dataDxfId="1504"/>
    <tableColumn id="3" xr3:uid="{F550B35D-6F70-4E2E-9037-3A7DF5BB4D86}" name="CARNE" dataDxfId="1503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08A374F-6309-4062-A4EE-52F5A736655D}" name="rec_carn3" displayName="rec_carn3" ref="E34:I41" totalsRowShown="0" headerRowDxfId="1502" dataDxfId="1500" headerRowBorderDxfId="1501" tableBorderDxfId="1499" totalsRowBorderDxfId="149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06FE362-C38D-4338-9CC8-589C838E63D7}" name="OS" dataDxfId="1497"/>
    <tableColumn id="2" xr3:uid="{58D563AD-1DCA-4768-9170-A0079A20A1DF}" name="Cliente" dataDxfId="1496"/>
    <tableColumn id="3" xr3:uid="{FE883FCE-942C-4DE5-904D-B12FE6C4992D}" name="Forma de Pgto" dataDxfId="1495" dataCellStyle="Moeda"/>
    <tableColumn id="4" xr3:uid="{21451B08-4DF0-4C35-AC45-94C183AA6A59}" name="Valor Parcela" dataDxfId="1494" dataCellStyle="Porcentagem"/>
    <tableColumn id="5" xr3:uid="{8F93C3AE-47D0-4E55-A038-445341804CE9}" name="Nº Parcela" dataDxfId="1493" dataCellStyle="Porcentagem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57FCF114-C620-4305-B32E-CE2F16AA6B74}" name="entr_carn3" displayName="entr_carn3" ref="K34:M41" totalsRowShown="0" headerRowDxfId="1492" headerRowBorderDxfId="1491" tableBorderDxfId="1490" totalsRowBorderDxfId="1489">
  <autoFilter ref="K34:M41" xr:uid="{1B8643D4-6AC3-4029-882A-C62E9D7CB225}"/>
  <tableColumns count="3">
    <tableColumn id="1" xr3:uid="{2687574F-C0F9-4AD1-A54B-286C1AE50D97}" name="OS" dataDxfId="1488"/>
    <tableColumn id="2" xr3:uid="{AE623FF4-38C1-45D9-B220-1CD4A553B7C1}" name="Parcelas" dataDxfId="1487"/>
    <tableColumn id="3" xr3:uid="{EEBFC521-3084-43FF-A36B-C25CE198B817}" name="Valor Total" dataDxfId="1486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1FD3B1C-195F-4F02-82B0-B56C8ADEE499}" name="vend4" displayName="vend4" ref="E5:I22" totalsRowShown="0" headerRowDxfId="1485" dataDxfId="1483" headerRowBorderDxfId="1484" tableBorderDxfId="1482" totalsRowBorderDxfId="148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662782A-F830-40B2-BD28-642733ABCC59}" name="Nº Venda" dataDxfId="1480" dataCellStyle="Moeda"/>
    <tableColumn id="5" xr3:uid="{F5DA840E-A051-4AE4-AE1A-9DAFAF8FFC3B}" name="Cliente" dataDxfId="1479" dataCellStyle="Moeda"/>
    <tableColumn id="2" xr3:uid="{DF65CD3D-444A-4025-B98B-F38F11610432}" name="Forma de Pgto" dataDxfId="1478" dataCellStyle="Moeda"/>
    <tableColumn id="3" xr3:uid="{9A4839DC-9153-466A-B0AF-456FAEF79174}" name="Valor Venda" dataDxfId="1477" dataCellStyle="Porcentagem"/>
    <tableColumn id="4" xr3:uid="{EF410A7C-DBD1-4367-A43B-616826FFEB4F}" name="Entrada" dataDxfId="1476" dataCellStyle="Porcentagem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76FB1E3-940D-4844-9F35-C19A020399B9}" name="desp4" displayName="desp4" ref="K5:M11" totalsRowShown="0" headerRowDxfId="1475" dataDxfId="1473" headerRowBorderDxfId="1474" tableBorderDxfId="1472" totalsRowBorderDxfId="1471">
  <autoFilter ref="K5:M11" xr:uid="{00000000-0009-0000-0100-000015000000}"/>
  <tableColumns count="3">
    <tableColumn id="1" xr3:uid="{F1C90853-2F5A-4C32-8AC3-18ECE1FDDF43}" name="Descrição" dataDxfId="1470"/>
    <tableColumn id="2" xr3:uid="{DEB32F17-2D52-4FBB-90C4-1C3AE9C104E6}" name="Tipo de Pagto" dataDxfId="1469"/>
    <tableColumn id="3" xr3:uid="{089B3650-C090-496F-BF9A-6E8466DBF76A}" name="Valor" dataDxfId="1468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E9521AE-7FF8-4DD4-AE55-8C4BE0AC747D}" name="rest_entr4" displayName="rest_entr4" ref="E25:I31" totalsRowShown="0" headerRowDxfId="1467" dataDxfId="1465" headerRowBorderDxfId="1466" tableBorderDxfId="1464" totalsRowBorderDxfId="146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5B53FA1-17B7-4AB1-9BB3-CDD52B51549A}" name="Nº Venda" dataDxfId="1462"/>
    <tableColumn id="2" xr3:uid="{73AEC7DD-005C-4428-9D1D-1A3761F2192B}" name="Cliente" dataDxfId="1461"/>
    <tableColumn id="3" xr3:uid="{FA28017F-3137-49BD-B826-2E261901E543}" name="Forma de Pgto" dataDxfId="1460" dataCellStyle="Moeda"/>
    <tableColumn id="4" xr3:uid="{6030418B-B1EC-4D4D-96DF-0EB78B87F6F9}" name="Valor Venda" dataDxfId="1459" dataCellStyle="Porcentagem"/>
    <tableColumn id="5" xr3:uid="{0576A975-F40D-4463-85C0-76AB6FCD63AC}" name="Entrada" dataDxfId="1458" dataCellStyle="Porcentagem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1B2D4E2-FE4A-4266-902A-1B6180C1D334}" name="os_entr_dia4" displayName="os_entr_dia4" ref="K14:M31" totalsRowShown="0" headerRowDxfId="1457" dataDxfId="1455" headerRowBorderDxfId="1456" tableBorderDxfId="1454" totalsRowBorderDxfId="1453">
  <autoFilter ref="K14:M31" xr:uid="{C83FE64B-E221-4DAA-89EA-5307A7BC98B3}"/>
  <tableColumns count="3">
    <tableColumn id="1" xr3:uid="{830E23BA-DE90-49EF-B4EA-89C3276575B2}" name="OS" dataDxfId="1452"/>
    <tableColumn id="2" xr3:uid="{679AF5A0-4545-4316-AD6C-E4B7A7BA099A}" name="Vendedor" dataDxfId="1451"/>
    <tableColumn id="3" xr3:uid="{6B801D58-D05B-4A78-A6FE-BC9EF408DC10}" name="CARNE" dataDxfId="1450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333D6C9-CE72-465A-AC14-942799833F89}" name="rec_carn4" displayName="rec_carn4" ref="E34:I41" totalsRowShown="0" headerRowDxfId="1449" dataDxfId="1447" headerRowBorderDxfId="1448" tableBorderDxfId="1446" totalsRowBorderDxfId="144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BEE042E-9E35-4BD7-842C-73720AA03CCF}" name="OS" dataDxfId="1444"/>
    <tableColumn id="2" xr3:uid="{953837B7-D16A-40C2-9C83-CD7E7171C88F}" name="Cliente" dataDxfId="1443"/>
    <tableColumn id="3" xr3:uid="{63860264-C651-4A12-8F01-E9F622A843C0}" name="Forma de Pgto" dataDxfId="1442" dataCellStyle="Moeda"/>
    <tableColumn id="4" xr3:uid="{584373BD-23BA-4A1E-A4FC-3D4A594F4148}" name="Valor Parcela" dataDxfId="1441" dataCellStyle="Porcentagem"/>
    <tableColumn id="5" xr3:uid="{7CBAF04B-D82E-4180-A8EA-98461BE41F4A}" name="Nº Parcela" dataDxfId="1440" dataCellStyle="Porcentagem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6084437-FBD5-41E6-B216-A7BBD687A12F}" name="entr_carn4" displayName="entr_carn4" ref="K34:M41" totalsRowShown="0" headerRowDxfId="1439" headerRowBorderDxfId="1438" tableBorderDxfId="1437" totalsRowBorderDxfId="1436">
  <autoFilter ref="K34:M41" xr:uid="{1B8643D4-6AC3-4029-882A-C62E9D7CB225}"/>
  <tableColumns count="3">
    <tableColumn id="1" xr3:uid="{F555359C-BC20-4C24-A948-500BDD3B5763}" name="OS" dataDxfId="1435"/>
    <tableColumn id="2" xr3:uid="{B72B4820-B8B5-4F80-83B5-9EC54EF78025}" name="Parcelas" dataDxfId="1434"/>
    <tableColumn id="3" xr3:uid="{893DDBC4-5663-4D63-80CB-4E7482811983}" name="Valor Total" dataDxfId="1433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FBA92D3-7AF7-42D6-B0F4-6BDAE55C9517}" name="vend5" displayName="vend5" ref="E5:I22" totalsRowShown="0" headerRowDxfId="1432" dataDxfId="1430" headerRowBorderDxfId="1431" tableBorderDxfId="1429" totalsRowBorderDxfId="142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B8562A-8730-4F2E-917E-4EE2216A5CCA}" name="Nº Venda" dataDxfId="1427" dataCellStyle="Moeda"/>
    <tableColumn id="5" xr3:uid="{4F9ED826-A0E1-4FB0-83C6-A561EA7B6750}" name="Cliente" dataDxfId="1426" dataCellStyle="Moeda"/>
    <tableColumn id="2" xr3:uid="{C2B928FE-CB2E-4271-AE3D-2FE26117248E}" name="Forma de Pgto" dataDxfId="1425" dataCellStyle="Moeda"/>
    <tableColumn id="3" xr3:uid="{CE23E3D0-4056-4DCB-83C4-5B94BD49CAAC}" name="Valor Venda" dataDxfId="1424" dataCellStyle="Porcentagem"/>
    <tableColumn id="4" xr3:uid="{1F426340-BFB9-4B9E-B988-7A195156D2F2}" name="Entrada" dataDxfId="1423" dataCellStyle="Porcentagem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1C72411-A297-412F-A7E1-0302DBD19979}" name="desp5" displayName="desp5" ref="K5:M11" totalsRowShown="0" headerRowDxfId="1422" dataDxfId="1420" headerRowBorderDxfId="1421" tableBorderDxfId="1419" totalsRowBorderDxfId="1418">
  <autoFilter ref="K5:M11" xr:uid="{00000000-0009-0000-0100-000015000000}"/>
  <tableColumns count="3">
    <tableColumn id="1" xr3:uid="{F4C840DC-E06E-4A51-B1BF-E769E4EC9ACB}" name="Descrição" dataDxfId="1417"/>
    <tableColumn id="2" xr3:uid="{E6DE1F07-CE97-421A-A22A-4B4270DDF46D}" name="Tipo de Pagto" dataDxfId="1416"/>
    <tableColumn id="3" xr3:uid="{D84FBA92-07C5-41FD-BBA2-2AADF245D1D6}" name="Valor" dataDxfId="1415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76BEF33-507A-4798-AB42-41F559D989CD}" name="rest_entr5" displayName="rest_entr5" ref="E25:I31" totalsRowShown="0" headerRowDxfId="1414" dataDxfId="1412" headerRowBorderDxfId="1413" tableBorderDxfId="1411" totalsRowBorderDxfId="141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A283CE2-55BE-462C-8F24-116454485981}" name="Nº Venda" dataDxfId="1409"/>
    <tableColumn id="2" xr3:uid="{CD77FB12-1DAA-4DAF-B42A-0357959803DD}" name="Cliente" dataDxfId="1408"/>
    <tableColumn id="3" xr3:uid="{5F4C4F5C-C920-452A-B2BA-592AD2C18723}" name="Forma de Pgto" dataDxfId="1407" dataCellStyle="Moeda"/>
    <tableColumn id="4" xr3:uid="{3930B2F0-6049-4E02-92B1-EC55A5330B2C}" name="Valor Venda" dataDxfId="1406" dataCellStyle="Porcentagem"/>
    <tableColumn id="5" xr3:uid="{82EBAE08-64CA-459E-9015-FA8F61210D87}" name="Entrada" dataDxfId="1405" dataCellStyle="Porcentagem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61CCB8A-A08C-4A0E-96A3-6B1D732A9DA3}" name="os_entr_dia5" displayName="os_entr_dia5" ref="K14:M31" totalsRowShown="0" headerRowDxfId="1404" dataDxfId="1402" headerRowBorderDxfId="1403" tableBorderDxfId="1401" totalsRowBorderDxfId="1400">
  <autoFilter ref="K14:M31" xr:uid="{C83FE64B-E221-4DAA-89EA-5307A7BC98B3}"/>
  <tableColumns count="3">
    <tableColumn id="1" xr3:uid="{E0565617-EB8C-486F-838C-B370E84BC8A2}" name="OS" dataDxfId="1399"/>
    <tableColumn id="2" xr3:uid="{EA20833B-67D8-48B8-B6E4-54A10D0969E8}" name="Vendedor" dataDxfId="1398"/>
    <tableColumn id="3" xr3:uid="{8B1F8993-74A4-499F-AD5E-91A6051BA219}" name="CARNE" dataDxfId="1397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61D92EC-3D72-476C-BA93-50F7016050D6}" name="rec_carn5" displayName="rec_carn5" ref="E34:I41" totalsRowShown="0" headerRowDxfId="1396" dataDxfId="1394" headerRowBorderDxfId="1395" tableBorderDxfId="1393" totalsRowBorderDxfId="139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0FEE6C9-1400-4BAE-AE31-9EAE96744744}" name="OS" dataDxfId="1391"/>
    <tableColumn id="2" xr3:uid="{FB461660-91D6-4E31-81FF-113A17320EED}" name="Cliente" dataDxfId="1390"/>
    <tableColumn id="3" xr3:uid="{0A47D0C3-375B-4E2D-B5E9-2048252BC0D3}" name="Forma de Pgto" dataDxfId="1389" dataCellStyle="Moeda"/>
    <tableColumn id="4" xr3:uid="{F9C62ED5-C18D-465D-B7E4-0729BD7B3A10}" name="Valor Parcela" dataDxfId="1388" dataCellStyle="Porcentagem"/>
    <tableColumn id="5" xr3:uid="{DD9D513B-1645-445F-83E9-DC54C163BD4E}" name="Nº Parcela" dataDxfId="1387" dataCellStyle="Porcentagem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18F41EE-3549-40BE-9C2E-23172384552F}" name="entr_carn5" displayName="entr_carn5" ref="K34:M41" totalsRowShown="0" headerRowDxfId="1386" headerRowBorderDxfId="1385" tableBorderDxfId="1384" totalsRowBorderDxfId="1383">
  <autoFilter ref="K34:M41" xr:uid="{1B8643D4-6AC3-4029-882A-C62E9D7CB225}"/>
  <tableColumns count="3">
    <tableColumn id="1" xr3:uid="{D65B195F-C059-40E5-A4CA-FE91C5DB43DB}" name="OS" dataDxfId="1382"/>
    <tableColumn id="2" xr3:uid="{A2A023CF-C61D-419E-ABB0-2F9CEE35150B}" name="Parcelas" dataDxfId="1381"/>
    <tableColumn id="3" xr3:uid="{F7D650A1-7C3D-42D0-B133-EB49D396C64F}" name="Valor Total" dataDxfId="1380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B59649-9F3E-4A13-AD21-93BAE1FB66E9}" name="vend" displayName="vend" ref="E5:I22" totalsRowShown="0" headerRowDxfId="1379" dataDxfId="1377" headerRowBorderDxfId="1378" tableBorderDxfId="1376" totalsRowBorderDxfId="137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9D85D10C-C547-42BD-93D2-B3B7F8603FD8}" name="Nº Venda" dataDxfId="1374" dataCellStyle="Moeda"/>
    <tableColumn id="5" xr3:uid="{FF96847D-D5C5-4F73-905C-E549112972E1}" name="Cliente" dataDxfId="1373" dataCellStyle="Moeda"/>
    <tableColumn id="2" xr3:uid="{1B47815A-C2E2-4886-9A6F-B2A7307F901E}" name="Forma de Pgto" dataDxfId="1372" dataCellStyle="Moeda"/>
    <tableColumn id="3" xr3:uid="{FD86C99A-4E69-452A-8D71-B939B84F2B55}" name="Valor Venda" dataDxfId="1371" dataCellStyle="Porcentagem"/>
    <tableColumn id="4" xr3:uid="{49ECBAAC-14EE-43F3-BE6F-974EF5F3E156}" name="Entrada" dataDxfId="1370" dataCellStyle="Porcentagem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7A99926-10DE-4181-974A-19B6606DB0FA}" name="desp6" displayName="desp6" ref="K5:M11" totalsRowShown="0" headerRowDxfId="1369" dataDxfId="1367" headerRowBorderDxfId="1368" tableBorderDxfId="1366" totalsRowBorderDxfId="1365">
  <autoFilter ref="K5:M11" xr:uid="{00000000-0009-0000-0100-000015000000}"/>
  <tableColumns count="3">
    <tableColumn id="1" xr3:uid="{5236D397-E61A-4AA1-B99C-AD40093239F9}" name="Descrição" dataDxfId="1364"/>
    <tableColumn id="2" xr3:uid="{3341FC2A-819A-41AF-B8A9-B5A195B8D597}" name="Tipo de Pagto" dataDxfId="1363"/>
    <tableColumn id="3" xr3:uid="{D568CA16-B32B-4F86-9DE5-B8B3E9825745}" name="Valor" dataDxfId="1362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04236C2-912E-490E-8B45-3AD9F5CAD7B6}" name="rest_entr6" displayName="rest_entr6" ref="E25:I31" totalsRowShown="0" headerRowDxfId="1361" dataDxfId="1359" headerRowBorderDxfId="1360" tableBorderDxfId="1358" totalsRowBorderDxfId="135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94F29A83-77DE-4876-B5BA-0C37305F26FD}" name="Nº Venda" dataDxfId="1356"/>
    <tableColumn id="2" xr3:uid="{DEEB020C-2BC4-4E77-9557-B0FDBCF683E9}" name="Cliente" dataDxfId="1355"/>
    <tableColumn id="3" xr3:uid="{FC27FDBE-5194-4E32-AFD1-DB754ECCEF38}" name="Forma de Pgto" dataDxfId="1354" dataCellStyle="Moeda"/>
    <tableColumn id="4" xr3:uid="{489A4CE9-C3F1-4322-9639-D01F0935FB0E}" name="Valor Venda" dataDxfId="1353" dataCellStyle="Porcentagem"/>
    <tableColumn id="5" xr3:uid="{07E5F22F-7782-466E-98DB-48416B35B9C4}" name="Entrada" dataDxfId="1352" dataCellStyle="Porcentagem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363FC0F-6D04-4340-8FB6-BDCDFB3EE329}" name="os_entr_dia6" displayName="os_entr_dia6" ref="K14:M31" totalsRowShown="0" headerRowDxfId="1351" dataDxfId="1349" headerRowBorderDxfId="1350" tableBorderDxfId="1348" totalsRowBorderDxfId="1347">
  <autoFilter ref="K14:M31" xr:uid="{C83FE64B-E221-4DAA-89EA-5307A7BC98B3}"/>
  <tableColumns count="3">
    <tableColumn id="1" xr3:uid="{E4926A1A-00A9-4844-90B1-E36D53050FAD}" name="OS" dataDxfId="1346"/>
    <tableColumn id="2" xr3:uid="{CFC62C38-9887-48E6-A3B8-42586D1EC066}" name="Vendedor" dataDxfId="1345"/>
    <tableColumn id="3" xr3:uid="{32577275-2002-496E-8AD4-5FE489DBC179}" name="CARNE" dataDxfId="1344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910242C-A7B3-4692-B54D-330C6445DD78}" name="rec_carn6" displayName="rec_carn6" ref="E34:I41" totalsRowShown="0" headerRowDxfId="1343" dataDxfId="1341" headerRowBorderDxfId="1342" tableBorderDxfId="1340" totalsRowBorderDxfId="133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A64D11F-1787-4162-AB12-8DBDD9C5C297}" name="OS" dataDxfId="1338"/>
    <tableColumn id="2" xr3:uid="{19438CD0-86D0-4CC4-9B41-5D756AC61E4D}" name="Cliente" dataDxfId="1337"/>
    <tableColumn id="3" xr3:uid="{59621200-4821-4583-9D35-A2EA6C27B52D}" name="Forma de Pgto" dataDxfId="1336" dataCellStyle="Moeda"/>
    <tableColumn id="4" xr3:uid="{35A817E7-6B21-48A7-863E-225DFEDD8B2A}" name="Valor Parcela" dataDxfId="1335" dataCellStyle="Porcentagem"/>
    <tableColumn id="5" xr3:uid="{77D80430-C5F8-4582-B3DF-9A9A9350F565}" name="Nº Parcela" dataDxfId="1334" dataCellStyle="Porcentagem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E5DAABD-B9A6-4736-9352-AF7EAA4FF30C}" name="entr_carn6" displayName="entr_carn6" ref="K34:M41" totalsRowShown="0" headerRowDxfId="1333" headerRowBorderDxfId="1332" tableBorderDxfId="1331" totalsRowBorderDxfId="1330">
  <autoFilter ref="K34:M41" xr:uid="{1B8643D4-6AC3-4029-882A-C62E9D7CB225}"/>
  <tableColumns count="3">
    <tableColumn id="1" xr3:uid="{503F9F70-E540-4505-B65D-D233FCB88D5F}" name="OS" dataDxfId="1329"/>
    <tableColumn id="2" xr3:uid="{6A2B4927-D830-4C18-8831-6FE23BFAD877}" name="Parcelas" dataDxfId="1328"/>
    <tableColumn id="3" xr3:uid="{8E06E94A-FF62-4D13-8B11-C6CE2990FCDF}" name="Valor Total" dataDxfId="1327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9000000}" name="vend7" displayName="vend7" ref="E5:I22" totalsRowShown="0" headerRowDxfId="1326" dataDxfId="1324" headerRowBorderDxfId="1325" tableBorderDxfId="1323" totalsRowBorderDxfId="132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00000000-0010-0000-0900-000001000000}" name="Nº Venda" dataDxfId="1321" dataCellStyle="Moeda"/>
    <tableColumn id="5" xr3:uid="{00000000-0010-0000-0900-000005000000}" name="Cliente" dataDxfId="1320" dataCellStyle="Moeda"/>
    <tableColumn id="2" xr3:uid="{00000000-0010-0000-0900-000002000000}" name="Forma de Pgto" dataDxfId="1319" dataCellStyle="Moeda"/>
    <tableColumn id="3" xr3:uid="{00000000-0010-0000-0900-000003000000}" name="Valor Venda" dataDxfId="1318" dataCellStyle="Porcentagem"/>
    <tableColumn id="4" xr3:uid="{00000000-0010-0000-0900-000004000000}" name="Entrada" dataDxfId="1317" dataCellStyle="Porcentagem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A000000}" name="desp7" displayName="desp7" ref="K5:M11" totalsRowShown="0" headerRowDxfId="1316" dataDxfId="1314" headerRowBorderDxfId="1315" tableBorderDxfId="1313" totalsRowBorderDxfId="1312">
  <autoFilter ref="K5:M11" xr:uid="{00000000-0009-0000-0100-000015000000}"/>
  <tableColumns count="3">
    <tableColumn id="1" xr3:uid="{00000000-0010-0000-0A00-000001000000}" name="Descrição" dataDxfId="1311"/>
    <tableColumn id="2" xr3:uid="{00000000-0010-0000-0A00-000002000000}" name="Tipo de Pagto" dataDxfId="1310"/>
    <tableColumn id="3" xr3:uid="{00000000-0010-0000-0A00-000003000000}" name="Valor" dataDxfId="1309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B000000}" name="rest_entr7" displayName="rest_entr7" ref="E25:I31" totalsRowShown="0" headerRowDxfId="1308" dataDxfId="1306" headerRowBorderDxfId="1307" tableBorderDxfId="1305" totalsRowBorderDxfId="130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000000-0010-0000-0B00-000001000000}" name="Nº Venda" dataDxfId="1303"/>
    <tableColumn id="2" xr3:uid="{00000000-0010-0000-0B00-000002000000}" name="Cliente" dataDxfId="1302"/>
    <tableColumn id="3" xr3:uid="{00000000-0010-0000-0B00-000003000000}" name="Forma de Pgto" dataDxfId="1301" dataCellStyle="Moeda"/>
    <tableColumn id="4" xr3:uid="{00000000-0010-0000-0B00-000004000000}" name="Valor Venda" dataDxfId="1300" dataCellStyle="Porcentagem"/>
    <tableColumn id="5" xr3:uid="{00000000-0010-0000-0B00-000005000000}" name="Entrada" dataDxfId="1299" dataCellStyle="Porcentagem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C83FE64B-E221-4DAA-89EA-5307A7BC98B3}" name="os_entr_dia7" displayName="os_entr_dia7" ref="K14:M31" totalsRowShown="0" headerRowDxfId="1298" dataDxfId="1296" headerRowBorderDxfId="1297" tableBorderDxfId="1295" totalsRowBorderDxfId="1294">
  <autoFilter ref="K14:M31" xr:uid="{C83FE64B-E221-4DAA-89EA-5307A7BC98B3}"/>
  <tableColumns count="3">
    <tableColumn id="1" xr3:uid="{E5EB8AC8-7F8E-49D1-A903-14124A5BA1B1}" name="OS" dataDxfId="1293"/>
    <tableColumn id="2" xr3:uid="{E1794679-294A-42ED-9D8F-4C0874170BFA}" name="Vendedor" dataDxfId="1292"/>
    <tableColumn id="3" xr3:uid="{CB411C23-941D-4548-984D-68460932D683}" name="CARNE" dataDxfId="1291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E2F984-8588-4F2C-9FB9-680284154679}" name="rec_carn7" displayName="rec_carn7" ref="E34:I41" totalsRowShown="0" headerRowDxfId="1290" dataDxfId="1288" headerRowBorderDxfId="1289" tableBorderDxfId="1287" totalsRowBorderDxfId="128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EF94E6D-5A9B-4566-BFFC-98A6514BD048}" name="OS" dataDxfId="1285"/>
    <tableColumn id="2" xr3:uid="{430FE27E-32BC-43B0-BB6E-CCBAB36B2A5A}" name="Cliente" dataDxfId="1284"/>
    <tableColumn id="3" xr3:uid="{568CECCF-BE0A-4266-A7C7-9359F722EA0F}" name="Forma de Pgto" dataDxfId="1283" dataCellStyle="Moeda"/>
    <tableColumn id="4" xr3:uid="{9CF4291A-8808-43DB-9F83-A7EB463C5F4A}" name="Valor Parcela" dataDxfId="1282" dataCellStyle="Porcentagem"/>
    <tableColumn id="5" xr3:uid="{736EA743-97FA-4800-BEDD-5C07EEB144A8}" name="Nº Parcela" dataDxfId="1281" dataCellStyle="Porcentagem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8643D4-6AC3-4029-882A-C62E9D7CB225}" name="entr_carn7" displayName="entr_carn7" ref="K34:M41" totalsRowShown="0" headerRowDxfId="1280" headerRowBorderDxfId="1279" tableBorderDxfId="1278" totalsRowBorderDxfId="1277">
  <autoFilter ref="K34:M41" xr:uid="{1B8643D4-6AC3-4029-882A-C62E9D7CB225}"/>
  <tableColumns count="3">
    <tableColumn id="1" xr3:uid="{132FEC50-51B3-4AAA-BF48-63FA39ED861C}" name="OS" dataDxfId="1276"/>
    <tableColumn id="2" xr3:uid="{11276640-1C63-48D7-BE0B-1FE7C736A1A8}" name="Parcelas" dataDxfId="1275"/>
    <tableColumn id="3" xr3:uid="{96591591-9F74-40A6-B0B9-BA6D2106107F}" name="Valor Total" dataDxfId="1274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416AC653-C58B-4CE6-ADFE-C24A272BBDC7}" name="vend8" displayName="vend8" ref="E5:I22" totalsRowShown="0" headerRowDxfId="1273" dataDxfId="1271" headerRowBorderDxfId="1272" tableBorderDxfId="1270" totalsRowBorderDxfId="126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905E919-12DF-4B79-B1D4-0703FF28C159}" name="Nº Venda" dataDxfId="1268" dataCellStyle="Moeda"/>
    <tableColumn id="5" xr3:uid="{795F9F6D-AAE5-4C61-A646-82BF506C503E}" name="Cliente" dataDxfId="1267" dataCellStyle="Moeda"/>
    <tableColumn id="2" xr3:uid="{DD13626B-6361-410E-BFB7-9E75436163A4}" name="Forma de Pgto" dataDxfId="1266" dataCellStyle="Moeda"/>
    <tableColumn id="3" xr3:uid="{8939280F-F6DC-4F66-ADDF-59F6A387460C}" name="Valor Venda" dataDxfId="1265" dataCellStyle="Porcentagem"/>
    <tableColumn id="4" xr3:uid="{FFC83B9E-825A-4058-BFEA-DA64D7159065}" name="Entrada" dataDxfId="1264" dataCellStyle="Porcentagem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7766F0D6-B8EF-40C2-BD82-C671C9B09D92}" name="desp8" displayName="desp8" ref="K5:M11" totalsRowShown="0" headerRowDxfId="1263" dataDxfId="1261" headerRowBorderDxfId="1262" tableBorderDxfId="1260" totalsRowBorderDxfId="1259">
  <autoFilter ref="K5:M11" xr:uid="{00000000-0009-0000-0100-000015000000}"/>
  <tableColumns count="3">
    <tableColumn id="1" xr3:uid="{9309A091-2326-4B68-B8C9-B31CF2D72EAF}" name="Descrição" dataDxfId="1258"/>
    <tableColumn id="2" xr3:uid="{910D89CE-506B-440F-8EB2-31633D7CAD51}" name="Tipo de Pagto" dataDxfId="1257"/>
    <tableColumn id="3" xr3:uid="{7155C391-52F1-4F4A-84B1-7BBC44A35A99}" name="Valor" dataDxfId="1256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30B722F5-2674-424E-AF80-04C029D47FB9}" name="rest_entr8" displayName="rest_entr8" ref="E25:I31" totalsRowShown="0" headerRowDxfId="1255" dataDxfId="1253" headerRowBorderDxfId="1254" tableBorderDxfId="1252" totalsRowBorderDxfId="125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A940A0A-D0A4-4B2B-99BB-3B6DB088F362}" name="Nº Venda" dataDxfId="1250"/>
    <tableColumn id="2" xr3:uid="{75B601B3-9668-4B1A-ADF2-17DA487A3413}" name="Cliente" dataDxfId="1249"/>
    <tableColumn id="3" xr3:uid="{64F47935-52AF-4AE3-9262-06D7472567D7}" name="Forma de Pgto" dataDxfId="1248" dataCellStyle="Moeda"/>
    <tableColumn id="4" xr3:uid="{9257AA0D-34DE-4B38-8406-BC1F561A53B3}" name="Valor Venda" dataDxfId="1247" dataCellStyle="Porcentagem"/>
    <tableColumn id="5" xr3:uid="{4C98958F-FB27-4968-81B6-D7CC6BBD2DAE}" name="Entrada" dataDxfId="1246" dataCellStyle="Porcentagem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D72B7069-B64A-41EF-8B3B-8627F5465459}" name="os_entr_dia8" displayName="os_entr_dia8" ref="K14:M31" totalsRowShown="0" headerRowDxfId="1245" dataDxfId="1243" headerRowBorderDxfId="1244" tableBorderDxfId="1242" totalsRowBorderDxfId="1241">
  <autoFilter ref="K14:M31" xr:uid="{C83FE64B-E221-4DAA-89EA-5307A7BC98B3}"/>
  <tableColumns count="3">
    <tableColumn id="1" xr3:uid="{45B76297-FCE6-4684-80C4-601E84D95BB4}" name="OS" dataDxfId="1240"/>
    <tableColumn id="2" xr3:uid="{AEB024E2-EB15-40A6-B65B-468339937BD0}" name="Vendedor" dataDxfId="1239"/>
    <tableColumn id="3" xr3:uid="{ACDDDA2A-4116-4E25-B799-0071372A8FAA}" name="CARNE" dataDxfId="1238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6687D03E-B9F8-430E-A841-550941C8AAE2}" name="rec_carn8" displayName="rec_carn8" ref="E34:I41" totalsRowShown="0" headerRowDxfId="1237" dataDxfId="1235" headerRowBorderDxfId="1236" tableBorderDxfId="1234" totalsRowBorderDxfId="123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C442E2F3-C294-4B1F-A672-5A55257C40E2}" name="OS" dataDxfId="1232"/>
    <tableColumn id="2" xr3:uid="{A06C5B3A-A28C-4563-87C4-B63635D6E7B9}" name="Cliente" dataDxfId="1231"/>
    <tableColumn id="3" xr3:uid="{4AC120F2-6F4A-41F2-87D2-680E8D6F8D96}" name="Forma de Pgto" dataDxfId="1230" dataCellStyle="Moeda"/>
    <tableColumn id="4" xr3:uid="{17DB2EA9-C13D-4AEB-AB97-B4C907D16420}" name="Valor Parcela" dataDxfId="1229" dataCellStyle="Porcentagem"/>
    <tableColumn id="5" xr3:uid="{F6E09F06-2F23-4822-A9B4-D8898604A1E0}" name="Nº Parcela" dataDxfId="1228" dataCellStyle="Porcentagem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F2334B24-D654-446C-87EB-CB161AAA87DE}" name="entr_carn8" displayName="entr_carn8" ref="K34:M41" totalsRowShown="0" headerRowDxfId="1227" headerRowBorderDxfId="1226" tableBorderDxfId="1225" totalsRowBorderDxfId="1224">
  <autoFilter ref="K34:M41" xr:uid="{1B8643D4-6AC3-4029-882A-C62E9D7CB225}"/>
  <tableColumns count="3">
    <tableColumn id="1" xr3:uid="{D0DE8F47-9BDA-4E4F-92E6-E2404F920F1B}" name="OS" dataDxfId="1223"/>
    <tableColumn id="2" xr3:uid="{43AD47D8-F738-4D39-8B0B-E0AC217D9D32}" name="Parcelas" dataDxfId="1222"/>
    <tableColumn id="3" xr3:uid="{024ED2FF-C4EC-44DC-9129-9BE8032DC4A5}" name="Valor Total" dataDxfId="1221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26DB7BD-854F-4B1C-9ACD-48AD02679D3E}" name="vend9" displayName="vend9" ref="E5:I22" totalsRowShown="0" headerRowDxfId="1220" dataDxfId="1218" headerRowBorderDxfId="1219" tableBorderDxfId="1217" totalsRowBorderDxfId="121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77FFA03E-D06A-4651-9E9E-9C48329955A8}" name="Nº Venda" dataDxfId="1215" dataCellStyle="Moeda"/>
    <tableColumn id="5" xr3:uid="{C13AA79A-76C7-4954-B055-3EC7A6A9008A}" name="Cliente" dataDxfId="1214" dataCellStyle="Moeda"/>
    <tableColumn id="2" xr3:uid="{56D92948-0431-4E11-AC7A-A6D6B6D3D15E}" name="Forma de Pgto" dataDxfId="1213" dataCellStyle="Moeda"/>
    <tableColumn id="3" xr3:uid="{3348DA9C-6AA9-49E4-8450-E8BC22BC5F6C}" name="Valor Venda" dataDxfId="1212" dataCellStyle="Porcentagem"/>
    <tableColumn id="4" xr3:uid="{A03B4BE2-2B4F-4512-98ED-45C3754F4D2A}" name="Entrada" dataDxfId="1211" dataCellStyle="Porcentagem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D9BAB575-4D84-4847-85EA-E6E994E9B8B9}" name="desp9" displayName="desp9" ref="K5:M11" totalsRowShown="0" headerRowDxfId="1210" dataDxfId="1208" headerRowBorderDxfId="1209" tableBorderDxfId="1207" totalsRowBorderDxfId="1206">
  <autoFilter ref="K5:M11" xr:uid="{00000000-0009-0000-0100-000015000000}"/>
  <tableColumns count="3">
    <tableColumn id="1" xr3:uid="{2700D0CD-8906-41BB-B51F-AAECD67A05FE}" name="Descrição" dataDxfId="1205"/>
    <tableColumn id="2" xr3:uid="{00E5FAC2-C7E2-44A6-AA64-460782F41E47}" name="Tipo de Pagto" dataDxfId="1204"/>
    <tableColumn id="3" xr3:uid="{70D30678-03EC-4DC1-BB28-EBD756D1976D}" name="Valor" dataDxfId="1203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267636D-3DA8-495A-BAA9-C4BC1A604FEB}" name="rest_entr9" displayName="rest_entr9" ref="E25:I31" totalsRowShown="0" headerRowDxfId="1202" dataDxfId="1200" headerRowBorderDxfId="1201" tableBorderDxfId="1199" totalsRowBorderDxfId="119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DF2F9B5-4746-4A22-8492-75E9333898FF}" name="Nº Venda" dataDxfId="1197"/>
    <tableColumn id="2" xr3:uid="{59310BF7-C6CA-49AF-8D7C-32023868A553}" name="Cliente" dataDxfId="1196"/>
    <tableColumn id="3" xr3:uid="{C13BE163-BA03-41E0-A121-27164C58ABA3}" name="Forma de Pgto" dataDxfId="1195" dataCellStyle="Moeda"/>
    <tableColumn id="4" xr3:uid="{E9797482-8A01-4C8B-8B66-47DE3D38D78F}" name="Valor Venda" dataDxfId="1194" dataCellStyle="Porcentagem"/>
    <tableColumn id="5" xr3:uid="{864D3F67-D199-48BA-8E16-3EFBAC4AF8A2}" name="Entrada" dataDxfId="1193" dataCellStyle="Porcentagem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6FB7B2D3-F4DE-40A9-9839-FE56D394F428}" name="os_entr_dia9" displayName="os_entr_dia9" ref="K14:M31" totalsRowShown="0" headerRowDxfId="1192" dataDxfId="1190" headerRowBorderDxfId="1191" tableBorderDxfId="1189" totalsRowBorderDxfId="1188">
  <autoFilter ref="K14:M31" xr:uid="{C83FE64B-E221-4DAA-89EA-5307A7BC98B3}"/>
  <tableColumns count="3">
    <tableColumn id="1" xr3:uid="{92200504-6651-4517-B155-4C75687BBC1E}" name="OS" dataDxfId="1187"/>
    <tableColumn id="2" xr3:uid="{BE1934F5-5D06-41D6-9394-C4D383C8CD33}" name="Vendedor" dataDxfId="1186"/>
    <tableColumn id="3" xr3:uid="{F504E9B2-856C-4C10-AA72-D7A7B035B330}" name="CARNE" dataDxfId="1185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DDF69D0E-1A0B-487D-BAB7-BA9E703D02A1}" name="rec_carn9" displayName="rec_carn9" ref="E34:I41" totalsRowShown="0" headerRowDxfId="1184" dataDxfId="1182" headerRowBorderDxfId="1183" tableBorderDxfId="1181" totalsRowBorderDxfId="118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3980081-0D4B-4D73-936C-96EC2D376955}" name="OS" dataDxfId="1179"/>
    <tableColumn id="2" xr3:uid="{95B09C40-3752-47D7-9085-F5B42BC487DA}" name="Cliente" dataDxfId="1178"/>
    <tableColumn id="3" xr3:uid="{1A0B311C-327A-4C44-9D04-81730B41B9A2}" name="Forma de Pgto" dataDxfId="1177" dataCellStyle="Moeda"/>
    <tableColumn id="4" xr3:uid="{9A802666-F9A1-4EB6-824C-ECF60066044F}" name="Valor Parcela" dataDxfId="1176" dataCellStyle="Porcentagem"/>
    <tableColumn id="5" xr3:uid="{1CC0AF26-B599-4D4F-8BD5-BBE76DBCE085}" name="Nº Parcela" dataDxfId="1175" dataCellStyle="Porcentagem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B18E7C73-B748-4312-B22B-2170DBE26573}" name="entr_carn9" displayName="entr_carn9" ref="K34:M41" totalsRowShown="0" headerRowDxfId="1174" headerRowBorderDxfId="1173" tableBorderDxfId="1172" totalsRowBorderDxfId="1171">
  <autoFilter ref="K34:M41" xr:uid="{1B8643D4-6AC3-4029-882A-C62E9D7CB225}"/>
  <tableColumns count="3">
    <tableColumn id="1" xr3:uid="{D712257D-E310-4A34-972E-E8E3502C0E07}" name="OS" dataDxfId="1170"/>
    <tableColumn id="2" xr3:uid="{DE78D123-6817-4646-8C08-920B2F11524F}" name="Parcelas" dataDxfId="1169"/>
    <tableColumn id="3" xr3:uid="{5BFF5A3E-02FE-410E-B1DB-45BB5A31FC42}" name="Valor Total" dataDxfId="1168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D03BCB93-0976-4A3A-B697-6CFAEAD07D06}" name="vend10" displayName="vend10" ref="E5:I22" totalsRowShown="0" headerRowDxfId="1167" dataDxfId="1165" headerRowBorderDxfId="1166" tableBorderDxfId="1164" totalsRowBorderDxfId="116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432CCEC-6A1E-43EA-9E80-D0AC55A9A0B9}" name="Nº Venda" dataDxfId="1162" dataCellStyle="Moeda"/>
    <tableColumn id="5" xr3:uid="{A57F8BDB-02F9-493C-AD6D-F47611C369D5}" name="Cliente" dataDxfId="1161" dataCellStyle="Moeda"/>
    <tableColumn id="2" xr3:uid="{3BF4EA26-026F-42E1-9B28-3FCC68B54E9F}" name="Forma de Pgto" dataDxfId="1160" dataCellStyle="Moeda"/>
    <tableColumn id="3" xr3:uid="{FD063076-8462-4774-B716-34AAD1738449}" name="Valor Venda" dataDxfId="1159" dataCellStyle="Porcentagem"/>
    <tableColumn id="4" xr3:uid="{690445E0-65B1-450A-A6D3-179070107086}" name="Entrada" dataDxfId="1158" dataCellStyle="Porcentagem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73F0054C-CA71-47EC-B4C6-96F5AFD5AF32}" name="desp10" displayName="desp10" ref="K5:M11" totalsRowShown="0" headerRowDxfId="1157" dataDxfId="1155" headerRowBorderDxfId="1156" tableBorderDxfId="1154" totalsRowBorderDxfId="1153">
  <autoFilter ref="K5:M11" xr:uid="{00000000-0009-0000-0100-000015000000}"/>
  <tableColumns count="3">
    <tableColumn id="1" xr3:uid="{5D510C76-887A-4F0A-A2F3-BD55732E9E85}" name="Descrição" dataDxfId="1152"/>
    <tableColumn id="2" xr3:uid="{F6C1F4A7-28F4-48F8-905E-708FA62EB574}" name="Tipo de Pagto" dataDxfId="1151"/>
    <tableColumn id="3" xr3:uid="{E62B0002-F6CD-4351-A9EA-673FC7C97B03}" name="Valor" dataDxfId="1150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F0535E0D-37F9-41DE-8BB9-DDFDCAB86D97}" name="rest_entr10" displayName="rest_entr10" ref="E25:I31" totalsRowShown="0" headerRowDxfId="1149" dataDxfId="1147" headerRowBorderDxfId="1148" tableBorderDxfId="1146" totalsRowBorderDxfId="114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E1F9D64-D74D-43FD-A25D-F33C4D3EBF79}" name="Nº Venda" dataDxfId="1144"/>
    <tableColumn id="2" xr3:uid="{822B50C3-46B7-46F0-8829-5293CCAFB21E}" name="Cliente" dataDxfId="1143"/>
    <tableColumn id="3" xr3:uid="{F2A36AB3-30D6-4C43-A466-18FF147EE075}" name="Forma de Pgto" dataDxfId="1142" dataCellStyle="Moeda"/>
    <tableColumn id="4" xr3:uid="{AD829CF8-2271-44F1-A1F1-4928D83ED658}" name="Valor Venda" dataDxfId="1141" dataCellStyle="Porcentagem"/>
    <tableColumn id="5" xr3:uid="{7973C843-3740-4AE2-931D-89DE845BA145}" name="Entrada" dataDxfId="1140" dataCellStyle="Porcentagem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D4C41EB2-A20B-436F-88B7-E33DD6DD9618}" name="os_entr_dia10" displayName="os_entr_dia10" ref="K14:M31" totalsRowShown="0" headerRowDxfId="1139" dataDxfId="1137" headerRowBorderDxfId="1138" tableBorderDxfId="1136" totalsRowBorderDxfId="1135">
  <autoFilter ref="K14:M31" xr:uid="{C83FE64B-E221-4DAA-89EA-5307A7BC98B3}"/>
  <tableColumns count="3">
    <tableColumn id="1" xr3:uid="{404BEA27-9F48-40AC-AF84-177E7CA2ADEC}" name="OS" dataDxfId="1134"/>
    <tableColumn id="2" xr3:uid="{BC07784A-25E9-4C57-B0FF-1E3D183BCD37}" name="Vendedor" dataDxfId="1133"/>
    <tableColumn id="3" xr3:uid="{EFFF7860-5B35-466B-BA53-4485DC02FB15}" name="CARNE" dataDxfId="1132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4FC0B8A4-D90B-49FB-A9B5-9DB9F006EDB7}" name="rec_carn10" displayName="rec_carn10" ref="E34:I41" totalsRowShown="0" headerRowDxfId="1131" dataDxfId="1129" headerRowBorderDxfId="1130" tableBorderDxfId="1128" totalsRowBorderDxfId="112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AD70F2E-47A6-41CF-83BB-24674AC9CA07}" name="OS" dataDxfId="1126"/>
    <tableColumn id="2" xr3:uid="{A8D4686B-F05E-4D96-BDB9-FD354C9E28B8}" name="Cliente" dataDxfId="1125"/>
    <tableColumn id="3" xr3:uid="{0FB871EC-4505-4E7C-A162-0EFDB16AB8E5}" name="Forma de Pgto" dataDxfId="1124" dataCellStyle="Moeda"/>
    <tableColumn id="4" xr3:uid="{41436228-3E61-4F7F-80EF-627B1794150B}" name="Valor Parcela" dataDxfId="1123" dataCellStyle="Porcentagem"/>
    <tableColumn id="5" xr3:uid="{9C580DC7-08E3-4AD7-B73C-C1AA4298633B}" name="Nº Parcela" dataDxfId="1122" dataCellStyle="Porcentagem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6C8CE4E9-063D-4E16-8067-5E62B4E2F864}" name="entr_carn10" displayName="entr_carn10" ref="K34:M41" totalsRowShown="0" headerRowDxfId="1121" headerRowBorderDxfId="1120" tableBorderDxfId="1119" totalsRowBorderDxfId="1118">
  <autoFilter ref="K34:M41" xr:uid="{1B8643D4-6AC3-4029-882A-C62E9D7CB225}"/>
  <tableColumns count="3">
    <tableColumn id="1" xr3:uid="{6E774D52-7DFE-4ED1-9F2F-47B5899CBAC1}" name="OS" dataDxfId="1117"/>
    <tableColumn id="2" xr3:uid="{39CE62CA-537C-4DF4-B8D5-281ED0EE57C3}" name="Parcelas" dataDxfId="1116"/>
    <tableColumn id="3" xr3:uid="{830AFF05-9BCF-488F-97F3-8D4378DE4DCB}" name="Valor Total" dataDxfId="1115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E6A75495-FDCB-4BD8-993F-1296A7CFB531}" name="vend11" displayName="vend11" ref="E5:I22" totalsRowShown="0" headerRowDxfId="1114" dataDxfId="1112" headerRowBorderDxfId="1113" tableBorderDxfId="1111" totalsRowBorderDxfId="111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0C9177-E056-4BC3-900F-1EFB9BDA408D}" name="Nº Venda" dataDxfId="1109" dataCellStyle="Moeda"/>
    <tableColumn id="5" xr3:uid="{CE0B3E90-9420-4A96-9195-72088311874E}" name="Cliente" dataDxfId="1108" dataCellStyle="Moeda"/>
    <tableColumn id="2" xr3:uid="{3EF1B45D-588D-4066-8ACF-697863B5F984}" name="Forma de Pgto" dataDxfId="1107" dataCellStyle="Moeda"/>
    <tableColumn id="3" xr3:uid="{9ADBAC7B-B04C-4E2B-9C83-E18200698CCE}" name="Valor Venda" dataDxfId="1106" dataCellStyle="Porcentagem"/>
    <tableColumn id="4" xr3:uid="{16823673-1F5B-4F46-A676-8665CF4D02BA}" name="Entrada" dataDxfId="1105" dataCellStyle="Porcentagem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63ACB54F-A25B-4683-B11B-C760B51DB0B8}" name="desp11" displayName="desp11" ref="K5:M11" totalsRowShown="0" headerRowDxfId="1104" dataDxfId="1102" headerRowBorderDxfId="1103" tableBorderDxfId="1101" totalsRowBorderDxfId="1100">
  <autoFilter ref="K5:M11" xr:uid="{00000000-0009-0000-0100-000015000000}"/>
  <tableColumns count="3">
    <tableColumn id="1" xr3:uid="{A02811B4-F6FA-4EDA-94FE-5EDFE6293B48}" name="Descrição" dataDxfId="1099"/>
    <tableColumn id="2" xr3:uid="{39EAD4CE-DDFA-4948-8B1E-10589BABDD84}" name="Tipo de Pagto" dataDxfId="1098"/>
    <tableColumn id="3" xr3:uid="{30C3BD81-38C9-4C67-BF45-044DFDDD7A0B}" name="Valor" dataDxfId="1097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CE41173B-DF37-4C86-BA33-7FCADB52CB45}" name="rest_entr11" displayName="rest_entr11" ref="E25:I31" totalsRowShown="0" headerRowDxfId="1096" dataDxfId="1094" headerRowBorderDxfId="1095" tableBorderDxfId="1093" totalsRowBorderDxfId="109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17871F1F-74DB-41E0-BFFC-F5AF34FECEA4}" name="Nº Venda" dataDxfId="1091"/>
    <tableColumn id="2" xr3:uid="{BE6E3444-490A-4F75-BE63-234EB84D04F7}" name="Cliente" dataDxfId="1090"/>
    <tableColumn id="3" xr3:uid="{868472E6-6C45-4AEC-9672-E559CFA15EA7}" name="Forma de Pgto" dataDxfId="1089" dataCellStyle="Moeda"/>
    <tableColumn id="4" xr3:uid="{DB2D0AA9-9B1E-4A35-B9B2-8B1052EAD782}" name="Valor Venda" dataDxfId="1088" dataCellStyle="Porcentagem"/>
    <tableColumn id="5" xr3:uid="{C23CEEDF-415E-4EFC-ACF7-2661157A84C3}" name="Entrada" dataDxfId="1087" dataCellStyle="Porcentagem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8CC5EC5B-A51E-4CF1-A4BB-66944818A79B}" name="os_entr_dia11" displayName="os_entr_dia11" ref="K14:M31" totalsRowShown="0" headerRowDxfId="1086" dataDxfId="1084" headerRowBorderDxfId="1085" tableBorderDxfId="1083" totalsRowBorderDxfId="1082">
  <autoFilter ref="K14:M31" xr:uid="{C83FE64B-E221-4DAA-89EA-5307A7BC98B3}"/>
  <tableColumns count="3">
    <tableColumn id="1" xr3:uid="{BAA11040-DE86-4FBA-899D-4F8D992FF700}" name="OS" dataDxfId="1081"/>
    <tableColumn id="2" xr3:uid="{13D709D4-8F81-4D58-95F2-22F1C686CB18}" name="Vendedor" dataDxfId="1080"/>
    <tableColumn id="3" xr3:uid="{92130A71-CEC8-4371-B6C9-DA29C0189A09}" name="CARNE" dataDxfId="1079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D621ABA1-91D1-47F6-BF8C-8DFB53882474}" name="rec_carn11" displayName="rec_carn11" ref="E34:I41" totalsRowShown="0" headerRowDxfId="1078" dataDxfId="1076" headerRowBorderDxfId="1077" tableBorderDxfId="1075" totalsRowBorderDxfId="107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02D1324-88D0-439A-B59B-9973DC5C3068}" name="OS" dataDxfId="1073"/>
    <tableColumn id="2" xr3:uid="{7652DD36-D535-400C-856B-02CB62C18176}" name="Cliente" dataDxfId="1072"/>
    <tableColumn id="3" xr3:uid="{129618E1-FDB4-497A-9DB0-29AC7143AF10}" name="Forma de Pgto" dataDxfId="1071" dataCellStyle="Moeda"/>
    <tableColumn id="4" xr3:uid="{EC69F906-8001-4D12-8ED6-D597AE23E936}" name="Valor Parcela" dataDxfId="1070" dataCellStyle="Porcentagem"/>
    <tableColumn id="5" xr3:uid="{65040BF1-55E0-4DD6-926F-3F0324D47077}" name="Nº Parcela" dataDxfId="1069" dataCellStyle="Porcentagem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9E1821CE-BDA9-4596-9CB8-B0E87D74E2D6}" name="entr_carn11" displayName="entr_carn11" ref="K34:M41" totalsRowShown="0" headerRowDxfId="1068" headerRowBorderDxfId="1067" tableBorderDxfId="1066" totalsRowBorderDxfId="1065">
  <autoFilter ref="K34:M41" xr:uid="{1B8643D4-6AC3-4029-882A-C62E9D7CB225}"/>
  <tableColumns count="3">
    <tableColumn id="1" xr3:uid="{710179D9-1888-45A0-96B5-C6E1151FFFF0}" name="OS" dataDxfId="1064"/>
    <tableColumn id="2" xr3:uid="{D9D130F4-6D87-4655-90D8-AF3976107C2A}" name="Parcelas" dataDxfId="1063"/>
    <tableColumn id="3" xr3:uid="{07DCBA20-7E86-4F99-AED4-2BDCD854B71C}" name="Valor Total" dataDxfId="1062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8EB577CC-9D3A-40C3-8BAB-CA553C52C1B8}" name="vend12" displayName="vend12" ref="E5:I22" totalsRowShown="0" headerRowDxfId="1061" dataDxfId="1059" headerRowBorderDxfId="1060" tableBorderDxfId="1058" totalsRowBorderDxfId="105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A0E6BCB-95E8-46B4-BCED-54AD7B28B1A4}" name="Nº Venda" dataDxfId="1056" dataCellStyle="Moeda"/>
    <tableColumn id="5" xr3:uid="{C388448A-992D-4C2D-8BB2-14D587C7E260}" name="Cliente" dataDxfId="1055" dataCellStyle="Moeda"/>
    <tableColumn id="2" xr3:uid="{C66BE185-63F5-4991-91CC-2661F40F891F}" name="Forma de Pgto" dataDxfId="1054" dataCellStyle="Moeda"/>
    <tableColumn id="3" xr3:uid="{C86C165C-F04B-4F8A-9769-AE38C03F025E}" name="Valor Venda" dataDxfId="1053" dataCellStyle="Porcentagem"/>
    <tableColumn id="4" xr3:uid="{C11C99C9-E646-4417-8698-61AFF55AB567}" name="Entrada" dataDxfId="1052" dataCellStyle="Porcentagem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FA1880A5-1744-46CE-93ED-720F73798DF7}" name="desp12" displayName="desp12" ref="K5:M11" totalsRowShown="0" headerRowDxfId="1051" dataDxfId="1049" headerRowBorderDxfId="1050" tableBorderDxfId="1048" totalsRowBorderDxfId="1047">
  <autoFilter ref="K5:M11" xr:uid="{00000000-0009-0000-0100-000015000000}"/>
  <tableColumns count="3">
    <tableColumn id="1" xr3:uid="{696BC9EF-69BB-4D0D-96DF-B836B5771C08}" name="Descrição" dataDxfId="1046"/>
    <tableColumn id="2" xr3:uid="{4F12E940-09E4-4E51-A2A0-CEF5523233E2}" name="Tipo de Pagto" dataDxfId="1045"/>
    <tableColumn id="3" xr3:uid="{329E2ABB-99D4-47D1-8CEB-C3F4DE69A1C8}" name="Valor" dataDxfId="1044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1793B995-670F-42B3-B746-569F2BFE5E3D}" name="rest_entr12" displayName="rest_entr12" ref="E25:I31" totalsRowShown="0" headerRowDxfId="1043" dataDxfId="1041" headerRowBorderDxfId="1042" tableBorderDxfId="1040" totalsRowBorderDxfId="103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2CDF20-CAD7-4E12-8936-9E4F7F598B32}" name="Nº Venda" dataDxfId="1038"/>
    <tableColumn id="2" xr3:uid="{4745164B-5E29-4C65-87CA-C8C1B31B8272}" name="Cliente" dataDxfId="1037"/>
    <tableColumn id="3" xr3:uid="{69D7D490-36CA-4F69-BF76-2ADB810B4F37}" name="Forma de Pgto" dataDxfId="1036" dataCellStyle="Moeda"/>
    <tableColumn id="4" xr3:uid="{9B6B365B-42F7-499F-B705-B8F5196F8192}" name="Valor Venda" dataDxfId="1035" dataCellStyle="Porcentagem"/>
    <tableColumn id="5" xr3:uid="{7C88B9A2-2920-4AD8-AC1F-7417F3FA8282}" name="Entrada" dataDxfId="1034" dataCellStyle="Porcentagem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3233B765-B33A-40B3-80F1-E7CEDD8C2CDB}" name="os_entr_dia12" displayName="os_entr_dia12" ref="K14:M31" totalsRowShown="0" headerRowDxfId="1033" dataDxfId="1031" headerRowBorderDxfId="1032" tableBorderDxfId="1030" totalsRowBorderDxfId="1029">
  <autoFilter ref="K14:M31" xr:uid="{C83FE64B-E221-4DAA-89EA-5307A7BC98B3}"/>
  <tableColumns count="3">
    <tableColumn id="1" xr3:uid="{5740FA63-223C-47B7-8842-178B003DB4BC}" name="OS" dataDxfId="1028"/>
    <tableColumn id="2" xr3:uid="{5CCC3C75-C80E-44BB-BC37-80F487481DDA}" name="Vendedor" dataDxfId="1027"/>
    <tableColumn id="3" xr3:uid="{585175B8-B982-429E-9344-163CE2687302}" name="CARNE" dataDxfId="1026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F8EA6E80-E3E5-433B-B273-936A4762E850}" name="rec_carn12" displayName="rec_carn12" ref="E34:I41" totalsRowShown="0" headerRowDxfId="1025" dataDxfId="1023" headerRowBorderDxfId="1024" tableBorderDxfId="1022" totalsRowBorderDxfId="102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E82ADFA-0EE6-43F9-AB92-E1B2BA769F26}" name="OS" dataDxfId="1020"/>
    <tableColumn id="2" xr3:uid="{2540FF22-68AB-4A04-B72D-DDBC8B064A8D}" name="Cliente" dataDxfId="1019"/>
    <tableColumn id="3" xr3:uid="{A7CB1680-9636-42C6-8AD9-F68C54BBCE0A}" name="Forma de Pgto" dataDxfId="1018" dataCellStyle="Moeda"/>
    <tableColumn id="4" xr3:uid="{727C37A8-450C-4D57-A2C9-396F29733C0A}" name="Valor Parcela" dataDxfId="1017" dataCellStyle="Porcentagem"/>
    <tableColumn id="5" xr3:uid="{4B27DCBF-BD8C-46A2-BC12-DE369C458E8A}" name="Nº Parcela" dataDxfId="1016" dataCellStyle="Porcentagem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A18C2D88-29F6-4875-9FCC-ADA9C19325F4}" name="entr_carn12" displayName="entr_carn12" ref="K34:M41" totalsRowShown="0" headerRowDxfId="1015" headerRowBorderDxfId="1014" tableBorderDxfId="1013" totalsRowBorderDxfId="1012">
  <autoFilter ref="K34:M41" xr:uid="{1B8643D4-6AC3-4029-882A-C62E9D7CB225}"/>
  <tableColumns count="3">
    <tableColumn id="1" xr3:uid="{60FAE849-4EC1-49E6-990F-8A43377EE6C3}" name="OS" dataDxfId="1011"/>
    <tableColumn id="2" xr3:uid="{B3127003-34D7-49FE-AFFC-7FA256F8BC3F}" name="Parcelas" dataDxfId="1010"/>
    <tableColumn id="3" xr3:uid="{412AC98E-5FB9-4C3C-9FBF-2EBE1631A397}" name="Valor Total" dataDxfId="1009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C9C39F5D-D767-42D6-B9B5-A85D27A04342}" name="vend13" displayName="vend13" ref="E5:I22" totalsRowShown="0" headerRowDxfId="1008" dataDxfId="1006" headerRowBorderDxfId="1007" tableBorderDxfId="1005" totalsRowBorderDxfId="100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D59E19F-A240-490B-9249-F965592D6CEF}" name="Nº Venda" dataDxfId="1003" dataCellStyle="Moeda"/>
    <tableColumn id="5" xr3:uid="{A1AF61B3-EFAB-450A-92B2-38E357233CD5}" name="Cliente" dataDxfId="1002" dataCellStyle="Moeda"/>
    <tableColumn id="2" xr3:uid="{DF277353-579D-439F-85C3-76DEACDE7A39}" name="Forma de Pgto" dataDxfId="1001" dataCellStyle="Moeda"/>
    <tableColumn id="3" xr3:uid="{7164D8F5-C0CB-47F7-BD16-B590E7D85EDB}" name="Valor Venda" dataDxfId="1000" dataCellStyle="Porcentagem"/>
    <tableColumn id="4" xr3:uid="{065B051D-7958-4E7D-972D-DDB0E8E7D052}" name="Entrada" dataDxfId="999" dataCellStyle="Porcentagem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CCDE2E9E-FB20-42FC-8DFD-4A06154F46A0}" name="desp13" displayName="desp13" ref="K5:M11" totalsRowShown="0" headerRowDxfId="998" dataDxfId="996" headerRowBorderDxfId="997" tableBorderDxfId="995" totalsRowBorderDxfId="994">
  <autoFilter ref="K5:M11" xr:uid="{00000000-0009-0000-0100-000015000000}"/>
  <tableColumns count="3">
    <tableColumn id="1" xr3:uid="{865498B1-F05E-46C9-B6C1-CCD85D9306C6}" name="Descrição" dataDxfId="993"/>
    <tableColumn id="2" xr3:uid="{37F7AC6A-A7CD-43FB-89B1-5E904BAC1EBD}" name="Tipo de Pagto" dataDxfId="992"/>
    <tableColumn id="3" xr3:uid="{A014E45A-B38A-47C2-A582-411CA2B495EE}" name="Valor" dataDxfId="991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D413D2BC-ED62-4F15-BEE8-8F784AAACA06}" name="rest_entr13" displayName="rest_entr13" ref="E25:I31" totalsRowShown="0" headerRowDxfId="990" dataDxfId="988" headerRowBorderDxfId="989" tableBorderDxfId="987" totalsRowBorderDxfId="98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CC487CAE-CC27-411A-A094-B78D46045632}" name="Nº Venda" dataDxfId="985"/>
    <tableColumn id="2" xr3:uid="{BC7B7FC1-CF4C-42C2-ABD3-DFEEA234B02B}" name="Cliente" dataDxfId="984"/>
    <tableColumn id="3" xr3:uid="{67F17557-E38E-4865-93F5-DCEF4A7ED2C6}" name="Forma de Pgto" dataDxfId="983" dataCellStyle="Moeda"/>
    <tableColumn id="4" xr3:uid="{D2C10329-9C1A-4D0D-BC74-3A320E9B6593}" name="Valor Venda" dataDxfId="982" dataCellStyle="Porcentagem"/>
    <tableColumn id="5" xr3:uid="{82810E21-D152-4A22-94D5-0A28C60F4849}" name="Entrada" dataDxfId="981" dataCellStyle="Porcentagem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7B958557-4B9B-4D7C-90C0-312B3BDC468C}" name="os_entr_dia13" displayName="os_entr_dia13" ref="K14:M31" totalsRowShown="0" headerRowDxfId="980" dataDxfId="978" headerRowBorderDxfId="979" tableBorderDxfId="977" totalsRowBorderDxfId="976">
  <autoFilter ref="K14:M31" xr:uid="{C83FE64B-E221-4DAA-89EA-5307A7BC98B3}"/>
  <tableColumns count="3">
    <tableColumn id="1" xr3:uid="{7A4CC637-3546-4D1B-9D86-75C6034079BF}" name="OS" dataDxfId="975"/>
    <tableColumn id="2" xr3:uid="{CEB52B1C-2642-45A1-A1EB-26029A9B5402}" name="Vendedor" dataDxfId="974"/>
    <tableColumn id="3" xr3:uid="{8C88CFEB-7155-49BD-9D63-1FCC9096735E}" name="CARNE" dataDxfId="973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7F877D67-C0EF-450F-9830-DB9D328DC246}" name="rec_carn13" displayName="rec_carn13" ref="E34:I41" totalsRowShown="0" headerRowDxfId="972" dataDxfId="970" headerRowBorderDxfId="971" tableBorderDxfId="969" totalsRowBorderDxfId="96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DB4C12B-EA3D-46AB-A74D-0E714AC049CD}" name="OS" dataDxfId="967"/>
    <tableColumn id="2" xr3:uid="{7C3577CA-FC44-4DC9-9002-D4EA74DFF73F}" name="Cliente" dataDxfId="966"/>
    <tableColumn id="3" xr3:uid="{77D25058-5D06-4E37-8746-BF184DDEEA81}" name="Forma de Pgto" dataDxfId="965" dataCellStyle="Moeda"/>
    <tableColumn id="4" xr3:uid="{5EDAFC3F-F478-449C-990C-45300A2C66DF}" name="Valor Parcela" dataDxfId="964" dataCellStyle="Porcentagem"/>
    <tableColumn id="5" xr3:uid="{5DBCC805-C046-4526-8886-13334D431CB2}" name="Nº Parcela" dataDxfId="963" dataCellStyle="Porcentagem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57139E31-45F9-47F1-B8AF-D3166347C945}" name="entr_carn13" displayName="entr_carn13" ref="K34:M41" totalsRowShown="0" headerRowDxfId="962" headerRowBorderDxfId="961" tableBorderDxfId="960" totalsRowBorderDxfId="959">
  <autoFilter ref="K34:M41" xr:uid="{1B8643D4-6AC3-4029-882A-C62E9D7CB225}"/>
  <tableColumns count="3">
    <tableColumn id="1" xr3:uid="{FDFEB034-D746-488E-9611-5C5421DF9812}" name="OS" dataDxfId="958"/>
    <tableColumn id="2" xr3:uid="{AD1C8A9C-91DA-4D2C-A438-9B8648A5521B}" name="Parcelas" dataDxfId="957"/>
    <tableColumn id="3" xr3:uid="{577D3B3F-3A18-4FE3-8E0F-E82C9012821F}" name="Valor Total" dataDxfId="956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70762B5C-E58C-4830-9262-0EC076185AB5}" name="vend14" displayName="vend14" ref="E5:I22" totalsRowShown="0" headerRowDxfId="955" dataDxfId="953" headerRowBorderDxfId="954" tableBorderDxfId="952" totalsRowBorderDxfId="95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D99B44E-AF8C-499C-91A3-9BC5FD41001A}" name="Nº Venda" dataDxfId="950" dataCellStyle="Moeda"/>
    <tableColumn id="5" xr3:uid="{53B9FE46-E769-466F-9757-A5C752203582}" name="Cliente" dataDxfId="949" dataCellStyle="Moeda"/>
    <tableColumn id="2" xr3:uid="{9AFD5C78-132A-4E21-96EC-75882307A334}" name="Forma de Pgto" dataDxfId="948" dataCellStyle="Moeda"/>
    <tableColumn id="3" xr3:uid="{0B7791DE-BC7F-4EA7-87CC-E8588E2F6D00}" name="Valor Venda" dataDxfId="947" dataCellStyle="Porcentagem"/>
    <tableColumn id="4" xr3:uid="{EDACC2B7-28DE-40D1-BC9D-356B5D64934D}" name="Entrada" dataDxfId="946" dataCellStyle="Porcentagem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152F863E-C4A1-4819-8194-77E4E69C0A9E}" name="desp14" displayName="desp14" ref="K5:M11" totalsRowShown="0" headerRowDxfId="945" dataDxfId="943" headerRowBorderDxfId="944" tableBorderDxfId="942" totalsRowBorderDxfId="941">
  <autoFilter ref="K5:M11" xr:uid="{00000000-0009-0000-0100-000015000000}"/>
  <tableColumns count="3">
    <tableColumn id="1" xr3:uid="{F638F61A-E4B9-4300-BD8D-C0A6A3D7A8E2}" name="Descrição" dataDxfId="940"/>
    <tableColumn id="2" xr3:uid="{9DC04330-37E5-4813-8F2D-4BAA554527A5}" name="Tipo de Pagto" dataDxfId="939"/>
    <tableColumn id="3" xr3:uid="{799A991A-3D2C-4EC1-A2D8-A1F3023DD9AF}" name="Valor" dataDxfId="938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DFAC3148-D42F-4739-8911-651FA7050A50}" name="rest_entr14" displayName="rest_entr14" ref="E25:I31" totalsRowShown="0" headerRowDxfId="937" dataDxfId="935" headerRowBorderDxfId="936" tableBorderDxfId="934" totalsRowBorderDxfId="93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B51641A-CECF-4177-8644-B704E7C4186A}" name="Nº Venda" dataDxfId="932"/>
    <tableColumn id="2" xr3:uid="{2FD43CA2-90CA-449B-821F-205F1748177C}" name="Cliente" dataDxfId="931"/>
    <tableColumn id="3" xr3:uid="{A5640B64-FD50-49A5-B305-E61D9280F57A}" name="Forma de Pgto" dataDxfId="930" dataCellStyle="Moeda"/>
    <tableColumn id="4" xr3:uid="{26AD2EE8-2400-4B07-A340-99B1BA546B01}" name="Valor Venda" dataDxfId="929" dataCellStyle="Porcentagem"/>
    <tableColumn id="5" xr3:uid="{DF786930-B464-48C0-92C5-A18D129572D3}" name="Entrada" dataDxfId="928" dataCellStyle="Porcentagem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5A176659-6C7E-4CEA-AF69-CBA45FDC5204}" name="os_entr_dia14" displayName="os_entr_dia14" ref="K14:M31" totalsRowShown="0" headerRowDxfId="927" dataDxfId="925" headerRowBorderDxfId="926" tableBorderDxfId="924" totalsRowBorderDxfId="923">
  <autoFilter ref="K14:M31" xr:uid="{C83FE64B-E221-4DAA-89EA-5307A7BC98B3}"/>
  <tableColumns count="3">
    <tableColumn id="1" xr3:uid="{686E8A3B-2CC1-443E-B3F0-07F1D6AF8C19}" name="OS" dataDxfId="922"/>
    <tableColumn id="2" xr3:uid="{1250D1EA-82EB-4EB4-AEDB-99799165C996}" name="Vendedor" dataDxfId="921"/>
    <tableColumn id="3" xr3:uid="{F6A6C0FE-3106-4929-AC63-C2A418BAD9A1}" name="CARNE" dataDxfId="920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5EE46580-A73A-482C-859A-BD854A8D3ED5}" name="rec_carn14" displayName="rec_carn14" ref="E34:I41" totalsRowShown="0" headerRowDxfId="919" dataDxfId="917" headerRowBorderDxfId="918" tableBorderDxfId="916" totalsRowBorderDxfId="91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B0776C3-A830-4097-8CD9-29626F4B07E5}" name="OS" dataDxfId="914"/>
    <tableColumn id="2" xr3:uid="{6946C657-632E-4A47-A04C-EBD987018798}" name="Cliente" dataDxfId="913"/>
    <tableColumn id="3" xr3:uid="{11747110-E63B-4D92-AE0D-F744DD494204}" name="Forma de Pgto" dataDxfId="912" dataCellStyle="Moeda"/>
    <tableColumn id="4" xr3:uid="{7637A14A-3C11-482C-A77B-09489718F039}" name="Valor Parcela" dataDxfId="911" dataCellStyle="Porcentagem"/>
    <tableColumn id="5" xr3:uid="{E03E863B-EAD4-4137-9B26-2CA0EAC2F09E}" name="Nº Parcela" dataDxfId="910" dataCellStyle="Porcentagem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60AFE3D5-354B-4FD7-9DD4-AA8BFA8AA451}" name="entr_carn14" displayName="entr_carn14" ref="K34:M41" totalsRowShown="0" headerRowDxfId="909" headerRowBorderDxfId="908" tableBorderDxfId="907" totalsRowBorderDxfId="906">
  <autoFilter ref="K34:M41" xr:uid="{1B8643D4-6AC3-4029-882A-C62E9D7CB225}"/>
  <tableColumns count="3">
    <tableColumn id="1" xr3:uid="{6F6F5FBA-037D-4F8B-8355-AC821A55F803}" name="OS" dataDxfId="905"/>
    <tableColumn id="2" xr3:uid="{BEED8472-6636-42D9-A60A-E43C842B7D8F}" name="Parcelas" dataDxfId="904"/>
    <tableColumn id="3" xr3:uid="{0CE64280-F6A9-46AC-8696-F227912F6552}" name="Valor Total" dataDxfId="903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124CC07-69AA-4346-8680-783ABC048D6E}" name="vend15" displayName="vend15" ref="E5:I22" totalsRowShown="0" headerRowDxfId="902" dataDxfId="900" headerRowBorderDxfId="901" tableBorderDxfId="899" totalsRowBorderDxfId="89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D7A749D-35B4-4E55-ADB0-3B9728A72E2A}" name="Nº Venda" dataDxfId="897" dataCellStyle="Moeda"/>
    <tableColumn id="5" xr3:uid="{864A4F89-382F-4099-9D59-467A7AB12940}" name="Cliente" dataDxfId="896" dataCellStyle="Moeda"/>
    <tableColumn id="2" xr3:uid="{529253EE-0917-4E7A-AA5F-14D2DCAD4080}" name="Forma de Pgto" dataDxfId="895" dataCellStyle="Moeda"/>
    <tableColumn id="3" xr3:uid="{7A07E6EC-5721-4AB5-B7BB-F8D16153B615}" name="Valor Venda" dataDxfId="894" dataCellStyle="Porcentagem"/>
    <tableColumn id="4" xr3:uid="{E3569DCA-7BA5-47A8-9C20-6FB2B553052E}" name="Entrada" dataDxfId="893" dataCellStyle="Porcentagem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F99FBC74-0AA0-45EB-8218-0CE8F7357E5C}" name="desp15" displayName="desp15" ref="K5:M11" totalsRowShown="0" headerRowDxfId="892" dataDxfId="890" headerRowBorderDxfId="891" tableBorderDxfId="889" totalsRowBorderDxfId="888">
  <autoFilter ref="K5:M11" xr:uid="{00000000-0009-0000-0100-000015000000}"/>
  <tableColumns count="3">
    <tableColumn id="1" xr3:uid="{95CF041F-F7B4-4974-9B76-66A5C7C3CF1E}" name="Descrição" dataDxfId="887"/>
    <tableColumn id="2" xr3:uid="{010F2147-2B02-4E80-9D4E-E9E6110BD535}" name="Tipo de Pagto" dataDxfId="886"/>
    <tableColumn id="3" xr3:uid="{667C80AD-481C-4689-8F6A-2426991759A7}" name="Valor" dataDxfId="885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50785092-49A2-4771-8041-BB5A68AB7104}" name="rest_entr15" displayName="rest_entr15" ref="E25:I31" totalsRowShown="0" headerRowDxfId="884" dataDxfId="882" headerRowBorderDxfId="883" tableBorderDxfId="881" totalsRowBorderDxfId="88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2FD36A8-9E9D-438E-87C9-67AFF15AFADE}" name="Nº Venda" dataDxfId="879"/>
    <tableColumn id="2" xr3:uid="{A401C727-3942-4BDF-BC32-5D789E1F6979}" name="Cliente" dataDxfId="878"/>
    <tableColumn id="3" xr3:uid="{29237CE2-AC3D-477F-ABA7-60B5DA6F8120}" name="Forma de Pgto" dataDxfId="877" dataCellStyle="Moeda"/>
    <tableColumn id="4" xr3:uid="{A39B1F5A-49E3-45B8-BCA8-E3252A43E2CC}" name="Valor Venda" dataDxfId="876" dataCellStyle="Porcentagem"/>
    <tableColumn id="5" xr3:uid="{A1809E96-D43C-48CA-B4B0-F8952BB21709}" name="Entrada" dataDxfId="875" dataCellStyle="Porcentagem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15DB954A-DD68-47C2-BBF7-41318AB93803}" name="os_entr_dia15" displayName="os_entr_dia15" ref="K14:M31" totalsRowShown="0" headerRowDxfId="874" dataDxfId="872" headerRowBorderDxfId="873" tableBorderDxfId="871" totalsRowBorderDxfId="870">
  <autoFilter ref="K14:M31" xr:uid="{C83FE64B-E221-4DAA-89EA-5307A7BC98B3}"/>
  <tableColumns count="3">
    <tableColumn id="1" xr3:uid="{56C94D3F-8E22-47DC-AA8B-FBABE57C94EE}" name="OS" dataDxfId="869"/>
    <tableColumn id="2" xr3:uid="{61C3945B-58EB-4D02-A420-14D13F69B1FD}" name="Vendedor" dataDxfId="868"/>
    <tableColumn id="3" xr3:uid="{310A696D-E474-4609-8CAC-92E3BC19A517}" name="CARNE" dataDxfId="867"/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EFE5C9D6-1D16-4F1E-A5EB-B0097522A3FC}" name="rec_carn15" displayName="rec_carn15" ref="E34:I41" totalsRowShown="0" headerRowDxfId="866" dataDxfId="864" headerRowBorderDxfId="865" tableBorderDxfId="863" totalsRowBorderDxfId="86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B7A1AB2-2B7D-4875-B630-BE4A367B4EC6}" name="OS" dataDxfId="861"/>
    <tableColumn id="2" xr3:uid="{A7114117-5F41-4611-B14C-A3B2F7C35961}" name="Cliente" dataDxfId="860"/>
    <tableColumn id="3" xr3:uid="{3B2F2924-60FC-459E-BAAE-2D26D316360F}" name="Forma de Pgto" dataDxfId="859" dataCellStyle="Moeda"/>
    <tableColumn id="4" xr3:uid="{8C86BF8B-36B7-46FA-B050-2F1437A14710}" name="Valor Parcela" dataDxfId="858" dataCellStyle="Porcentagem"/>
    <tableColumn id="5" xr3:uid="{C429DF1A-E6B0-43DD-A949-A1EBA6DBEC04}" name="Nº Parcela" dataDxfId="857" dataCellStyle="Porcentagem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E561464E-E0BF-4C99-AEB0-0500A08E0BFB}" name="entr_carn15" displayName="entr_carn15" ref="K34:M41" totalsRowShown="0" headerRowDxfId="856" headerRowBorderDxfId="855" tableBorderDxfId="854" totalsRowBorderDxfId="853">
  <autoFilter ref="K34:M41" xr:uid="{1B8643D4-6AC3-4029-882A-C62E9D7CB225}"/>
  <tableColumns count="3">
    <tableColumn id="1" xr3:uid="{182484ED-66B8-43D1-B168-BDEB5996673F}" name="OS" dataDxfId="852"/>
    <tableColumn id="2" xr3:uid="{FC47BB11-B6D3-4928-BFCD-BDAC4B2BDD2F}" name="Parcelas" dataDxfId="851"/>
    <tableColumn id="3" xr3:uid="{F7E0E4E8-A2A1-4513-B1F5-B98008299FD0}" name="Valor Total" dataDxfId="850"/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D7B846CF-C1B0-4AE8-B1AF-4A4AA024B526}" name="vend16" displayName="vend16" ref="E5:I22" totalsRowShown="0" headerRowDxfId="849" dataDxfId="847" headerRowBorderDxfId="848" tableBorderDxfId="846" totalsRowBorderDxfId="84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32EF7DF-7847-4561-A13C-DFC589CF7FF2}" name="Nº Venda" dataDxfId="844" dataCellStyle="Moeda"/>
    <tableColumn id="5" xr3:uid="{2B9E675C-5EB2-4EBC-8FDE-19F93E6E7B08}" name="Cliente" dataDxfId="843" dataCellStyle="Moeda"/>
    <tableColumn id="2" xr3:uid="{04A3548D-E88B-4096-85CB-E08243412A85}" name="Forma de Pgto" dataDxfId="842" dataCellStyle="Moeda"/>
    <tableColumn id="3" xr3:uid="{977F794D-E094-4347-935B-1202B7138C52}" name="Valor Venda" dataDxfId="841" dataCellStyle="Porcentagem"/>
    <tableColumn id="4" xr3:uid="{908F3845-FF06-4899-A550-28B1BE92D1A9}" name="Entrada" dataDxfId="840" dataCellStyle="Porcentagem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2EE050DB-D66A-4914-96CB-67472EBAE38C}" name="desp16" displayName="desp16" ref="K5:M11" totalsRowShown="0" headerRowDxfId="839" dataDxfId="837" headerRowBorderDxfId="838" tableBorderDxfId="836" totalsRowBorderDxfId="835">
  <autoFilter ref="K5:M11" xr:uid="{00000000-0009-0000-0100-000015000000}"/>
  <tableColumns count="3">
    <tableColumn id="1" xr3:uid="{F9AC75BC-BCF6-4B22-9F75-0F3CC507495B}" name="Descrição" dataDxfId="834"/>
    <tableColumn id="2" xr3:uid="{61D86D1A-7892-4923-9684-5D9A01F0BD5D}" name="Tipo de Pagto" dataDxfId="833"/>
    <tableColumn id="3" xr3:uid="{3F8C718F-C7FE-423F-9F48-66FB2201CFE2}" name="Valor" dataDxfId="832"/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21C5B723-93DA-4608-A99D-84A69A0934D2}" name="rest_entr16" displayName="rest_entr16" ref="E25:I31" totalsRowShown="0" headerRowDxfId="831" dataDxfId="829" headerRowBorderDxfId="830" tableBorderDxfId="828" totalsRowBorderDxfId="82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18B48AC-5FB3-4759-BEBF-36EB3B5813BF}" name="Nº Venda" dataDxfId="826"/>
    <tableColumn id="2" xr3:uid="{994EFF98-DD95-4B94-B1C7-D068C1D5212C}" name="Cliente" dataDxfId="825"/>
    <tableColumn id="3" xr3:uid="{7D4E72E0-4CFA-46C9-B3AF-A1654CF194A1}" name="Forma de Pgto" dataDxfId="824" dataCellStyle="Moeda"/>
    <tableColumn id="4" xr3:uid="{EE367263-F1E4-4631-A484-2013B6BA1F27}" name="Valor Venda" dataDxfId="823" dataCellStyle="Porcentagem"/>
    <tableColumn id="5" xr3:uid="{9DA475CB-BD5A-4734-A11F-3BB7DD0D9D7E}" name="Entrada" dataDxfId="822" dataCellStyle="Porcentagem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C25E0C6B-113D-4B03-B433-EDB3803F27CA}" name="os_entr_dia16" displayName="os_entr_dia16" ref="K14:M31" totalsRowShown="0" headerRowDxfId="821" dataDxfId="819" headerRowBorderDxfId="820" tableBorderDxfId="818" totalsRowBorderDxfId="817">
  <autoFilter ref="K14:M31" xr:uid="{C83FE64B-E221-4DAA-89EA-5307A7BC98B3}"/>
  <tableColumns count="3">
    <tableColumn id="1" xr3:uid="{3DA7B618-15C5-4547-A26D-ABC55A01467A}" name="OS" dataDxfId="816"/>
    <tableColumn id="2" xr3:uid="{9ED68045-86C7-4BE0-8AE0-0417F1DD76FD}" name="Vendedor" dataDxfId="815"/>
    <tableColumn id="3" xr3:uid="{F4076139-8BF9-457D-ADE6-1BCD435E31BB}" name="CARNE" dataDxfId="814"/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D7B86B2E-FD50-4071-AF9F-1892A5CFA6AB}" name="rec_carn16" displayName="rec_carn16" ref="E34:I41" totalsRowShown="0" headerRowDxfId="813" dataDxfId="811" headerRowBorderDxfId="812" tableBorderDxfId="810" totalsRowBorderDxfId="80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F9AF91D-A00B-45AE-9168-80F03F0C3F23}" name="OS" dataDxfId="808"/>
    <tableColumn id="2" xr3:uid="{E89F59BF-5F0B-4E4E-B2BE-7B739967886D}" name="Cliente" dataDxfId="807"/>
    <tableColumn id="3" xr3:uid="{B348335B-A485-46BE-AECB-0672679F4468}" name="Forma de Pgto" dataDxfId="806" dataCellStyle="Moeda"/>
    <tableColumn id="4" xr3:uid="{73B13E6E-5431-4E90-9A6E-E15737DDA887}" name="Valor Parcela" dataDxfId="805" dataCellStyle="Porcentagem"/>
    <tableColumn id="5" xr3:uid="{C738A843-A8FD-4CB7-B2C8-59810BA17BF2}" name="Nº Parcela" dataDxfId="804" dataCellStyle="Porcentagem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2EFF0083-B84A-4CBA-80C7-5EF5E026B098}" name="entr_carn16" displayName="entr_carn16" ref="K34:M41" totalsRowShown="0" headerRowDxfId="803" headerRowBorderDxfId="802" tableBorderDxfId="801" totalsRowBorderDxfId="800">
  <autoFilter ref="K34:M41" xr:uid="{1B8643D4-6AC3-4029-882A-C62E9D7CB225}"/>
  <tableColumns count="3">
    <tableColumn id="1" xr3:uid="{3F5F54B7-8999-4296-A374-3780F172D2B8}" name="OS" dataDxfId="799"/>
    <tableColumn id="2" xr3:uid="{5F252D86-495C-4A65-B391-3FF46311DE83}" name="Parcelas" dataDxfId="798"/>
    <tableColumn id="3" xr3:uid="{50E905DA-42A9-43E1-8D51-FD4BDEAB81C8}" name="Valor Total" dataDxfId="797"/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CEC98ACF-EE7A-4355-80DB-2A31D8DD0980}" name="vend17" displayName="vend17" ref="E5:I22" totalsRowShown="0" headerRowDxfId="796" dataDxfId="794" headerRowBorderDxfId="795" tableBorderDxfId="793" totalsRowBorderDxfId="79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91F2441-8ECE-4A2D-AF3E-839EEBAEA4D8}" name="Nº Venda" dataDxfId="791" dataCellStyle="Moeda"/>
    <tableColumn id="5" xr3:uid="{08C272CC-0220-47BB-9263-1AA910D9829C}" name="Cliente" dataDxfId="790" dataCellStyle="Moeda"/>
    <tableColumn id="2" xr3:uid="{DF276F1F-7FCA-4CE9-AD90-5340B6E688D4}" name="Forma de Pgto" dataDxfId="789" dataCellStyle="Moeda"/>
    <tableColumn id="3" xr3:uid="{CF6FE509-8C51-4621-87DF-AAD8645E20D4}" name="Valor Venda" dataDxfId="788" dataCellStyle="Porcentagem"/>
    <tableColumn id="4" xr3:uid="{5AB6BADB-DBB7-45C0-89E8-2C836C831FCF}" name="Entrada" dataDxfId="787" dataCellStyle="Porcentagem"/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6467EBB8-C5CC-480B-B466-CE76DC0EA899}" name="desp17" displayName="desp17" ref="K5:M11" totalsRowShown="0" headerRowDxfId="786" dataDxfId="784" headerRowBorderDxfId="785" tableBorderDxfId="783" totalsRowBorderDxfId="782">
  <autoFilter ref="K5:M11" xr:uid="{00000000-0009-0000-0100-000015000000}"/>
  <tableColumns count="3">
    <tableColumn id="1" xr3:uid="{8CE76670-7409-454F-9B3A-4BD739F5C5E3}" name="Descrição" dataDxfId="781"/>
    <tableColumn id="2" xr3:uid="{B2BAF2DB-A6EF-41C6-8A5D-66027E15C8F8}" name="Tipo de Pagto" dataDxfId="780"/>
    <tableColumn id="3" xr3:uid="{99CFD3BD-FC58-49DA-AC21-ACD3EE40336E}" name="Valor" dataDxfId="779"/>
  </tableColumns>
  <tableStyleInfo name="TableStyleMedium2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7695CACC-F3BE-4624-B0C6-EB6D3139640A}" name="rest_entr17" displayName="rest_entr17" ref="E25:I31" totalsRowShown="0" headerRowDxfId="778" dataDxfId="776" headerRowBorderDxfId="777" tableBorderDxfId="775" totalsRowBorderDxfId="77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1DBDBB2-7502-47F7-B5F7-8561358718FF}" name="Nº Venda" dataDxfId="773"/>
    <tableColumn id="2" xr3:uid="{B886F79B-BD9C-476A-88F8-CB3F80E42FD0}" name="Cliente" dataDxfId="772"/>
    <tableColumn id="3" xr3:uid="{78D9CA4E-E9E8-4359-8144-996DE0EE7A64}" name="Forma de Pgto" dataDxfId="771" dataCellStyle="Moeda"/>
    <tableColumn id="4" xr3:uid="{F327BA72-0013-44A1-B3CE-07FACF46CAC8}" name="Valor Venda" dataDxfId="770" dataCellStyle="Porcentagem"/>
    <tableColumn id="5" xr3:uid="{20494810-9085-4087-A73E-D3FE8DC5C40D}" name="Entrada" dataDxfId="769" dataCellStyle="Porcentagem"/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3DEA2658-1C09-4C5F-8BFF-B54D34963F3C}" name="os_entr_dia17" displayName="os_entr_dia17" ref="K14:M31" totalsRowShown="0" headerRowDxfId="768" dataDxfId="766" headerRowBorderDxfId="767" tableBorderDxfId="765" totalsRowBorderDxfId="764">
  <autoFilter ref="K14:M31" xr:uid="{C83FE64B-E221-4DAA-89EA-5307A7BC98B3}"/>
  <tableColumns count="3">
    <tableColumn id="1" xr3:uid="{40D1E49B-6CB3-409E-AFC1-7315BAF42BBF}" name="OS" dataDxfId="763"/>
    <tableColumn id="2" xr3:uid="{4C8709E7-DDF3-475B-9A19-42E8B9FC587D}" name="Vendedor" dataDxfId="762"/>
    <tableColumn id="3" xr3:uid="{185D4DF1-07D8-4494-B6E4-5B4CFC4E2B4E}" name="CARNE" dataDxfId="761"/>
  </tableColumns>
  <tableStyleInfo name="TableStyleMedium2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EDA837D2-8233-4EF2-AE1F-E191AF39C8A0}" name="rec_carn17" displayName="rec_carn17" ref="E34:I41" totalsRowShown="0" headerRowDxfId="760" dataDxfId="758" headerRowBorderDxfId="759" tableBorderDxfId="757" totalsRowBorderDxfId="75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02D4ED9-E2A5-495E-891D-41D47DE395C4}" name="OS" dataDxfId="755"/>
    <tableColumn id="2" xr3:uid="{CA06119C-2085-4F7F-B293-65E2AF15EEE5}" name="Cliente" dataDxfId="754"/>
    <tableColumn id="3" xr3:uid="{BF529E56-33D1-40B5-8E7B-EFBAB59D2A71}" name="Forma de Pgto" dataDxfId="753" dataCellStyle="Moeda"/>
    <tableColumn id="4" xr3:uid="{66CAC967-C216-41AB-BBFE-D7EC8E60B5DB}" name="Valor Parcela" dataDxfId="752" dataCellStyle="Porcentagem"/>
    <tableColumn id="5" xr3:uid="{684E478E-5460-400B-8F1B-2956E3BF42E8}" name="Nº Parcela" dataDxfId="751" dataCellStyle="Porcentagem"/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F5F708DE-E889-4AC9-98FD-20F3E78834CC}" name="entr_carn17" displayName="entr_carn17" ref="K34:M41" totalsRowShown="0" headerRowDxfId="750" headerRowBorderDxfId="749" tableBorderDxfId="748" totalsRowBorderDxfId="747">
  <autoFilter ref="K34:M41" xr:uid="{1B8643D4-6AC3-4029-882A-C62E9D7CB225}"/>
  <tableColumns count="3">
    <tableColumn id="1" xr3:uid="{3DD44433-DB26-4FDD-8D11-D1C35C6FECEB}" name="OS" dataDxfId="746"/>
    <tableColumn id="2" xr3:uid="{A9DC5AE8-407E-40E2-8AD6-B02FE1A5CF20}" name="Parcelas" dataDxfId="745"/>
    <tableColumn id="3" xr3:uid="{6A850C65-FE9A-4796-B920-651ED5594439}" name="Valor Total" dataDxfId="744"/>
  </tableColumns>
  <tableStyleInfo name="TableStyleMedium2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F88D4E9-D0CC-4027-A700-FF555C2EB721}" name="vend18" displayName="vend18" ref="E5:I22" totalsRowShown="0" headerRowDxfId="743" dataDxfId="741" headerRowBorderDxfId="742" tableBorderDxfId="740" totalsRowBorderDxfId="73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E089FBC-10BE-47A4-A401-CAEB74F2F0D6}" name="Nº Venda" dataDxfId="738" dataCellStyle="Moeda"/>
    <tableColumn id="5" xr3:uid="{60E6A65C-186D-4764-A3E8-74F5C0B0AFC1}" name="Cliente" dataDxfId="737" dataCellStyle="Moeda"/>
    <tableColumn id="2" xr3:uid="{22FA520F-5DA7-46FD-9861-DF942B6D91AB}" name="Forma de Pgto" dataDxfId="736" dataCellStyle="Moeda"/>
    <tableColumn id="3" xr3:uid="{7DEE868C-EA7D-401A-A3DF-4CC64A44467F}" name="Valor Venda" dataDxfId="735" dataCellStyle="Porcentagem"/>
    <tableColumn id="4" xr3:uid="{720D25ED-5FF4-421F-94C6-24275CF94733}" name="Entrada" dataDxfId="734" dataCellStyle="Porcentagem"/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99CB0C61-1BE8-4CE4-A2B9-B598938C1711}" name="desp18" displayName="desp18" ref="K5:M11" totalsRowShown="0" headerRowDxfId="733" dataDxfId="731" headerRowBorderDxfId="732" tableBorderDxfId="730" totalsRowBorderDxfId="729">
  <autoFilter ref="K5:M11" xr:uid="{00000000-0009-0000-0100-000015000000}"/>
  <tableColumns count="3">
    <tableColumn id="1" xr3:uid="{2FBA0522-04E5-4ED5-94F6-52B232AF2373}" name="Descrição" dataDxfId="728"/>
    <tableColumn id="2" xr3:uid="{DB3FC5DE-C5F6-4B07-A662-D19BD76E91F6}" name="Tipo de Pagto" dataDxfId="727"/>
    <tableColumn id="3" xr3:uid="{A2799F30-0033-4E72-9108-ABF645A8DCD3}" name="Valor" dataDxfId="726"/>
  </tableColumns>
  <tableStyleInfo name="TableStyleMedium2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78D3B96A-81AA-4DA5-BD1F-1D38F71D6A7D}" name="rest_entr18" displayName="rest_entr18" ref="E25:I31" totalsRowShown="0" headerRowDxfId="725" dataDxfId="723" headerRowBorderDxfId="724" tableBorderDxfId="722" totalsRowBorderDxfId="72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D68ED8-B871-4DD5-A7C3-878BB486E0D2}" name="Nº Venda" dataDxfId="720"/>
    <tableColumn id="2" xr3:uid="{6DECDDC0-CF3A-4677-94C4-62618488FE89}" name="Cliente" dataDxfId="719"/>
    <tableColumn id="3" xr3:uid="{D40EA3F2-0782-4C3D-A060-4DCC1DCF2881}" name="Forma de Pgto" dataDxfId="718" dataCellStyle="Moeda"/>
    <tableColumn id="4" xr3:uid="{A527DD67-780C-4EE1-A7AE-0831114EA80A}" name="Valor Venda" dataDxfId="717" dataCellStyle="Porcentagem"/>
    <tableColumn id="5" xr3:uid="{4082F19A-5570-4E9D-B250-BCD24B16165E}" name="Entrada" dataDxfId="716" dataCellStyle="Porcentagem"/>
  </tableColumns>
  <tableStyleInfo name="TableStyleMedium2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72EED5E-0537-4AAE-8683-2BA85C98898A}" name="os_entr_dia18" displayName="os_entr_dia18" ref="K14:M31" totalsRowShown="0" headerRowDxfId="715" dataDxfId="713" headerRowBorderDxfId="714" tableBorderDxfId="712" totalsRowBorderDxfId="711">
  <autoFilter ref="K14:M31" xr:uid="{C83FE64B-E221-4DAA-89EA-5307A7BC98B3}"/>
  <tableColumns count="3">
    <tableColumn id="1" xr3:uid="{CF4CC083-8415-4A42-9102-69414AAB96C8}" name="OS" dataDxfId="710"/>
    <tableColumn id="2" xr3:uid="{AFF5A585-6EEA-427D-B49B-A553763AA94C}" name="Vendedor" dataDxfId="709"/>
    <tableColumn id="3" xr3:uid="{2D8D088A-4AB0-487F-929A-89D197884938}" name="CARNE" dataDxfId="708"/>
  </tableColumns>
  <tableStyleInfo name="TableStyleMedium2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4A11C195-A33D-4F59-8AB2-B8BA316135F6}" name="rec_carn18" displayName="rec_carn18" ref="E34:I41" totalsRowShown="0" headerRowDxfId="707" dataDxfId="705" headerRowBorderDxfId="706" tableBorderDxfId="704" totalsRowBorderDxfId="70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86ACC76-C152-4340-BDF9-0343B9CEBBDC}" name="OS" dataDxfId="702"/>
    <tableColumn id="2" xr3:uid="{71667114-B8E0-4FEE-B3C4-B23C231E71C9}" name="Cliente" dataDxfId="701"/>
    <tableColumn id="3" xr3:uid="{413E4F46-D41F-4D0A-8403-3244651C22ED}" name="Forma de Pgto" dataDxfId="700" dataCellStyle="Moeda"/>
    <tableColumn id="4" xr3:uid="{695A7396-BEC7-498E-8F8D-5C11C17422D0}" name="Valor Parcela" dataDxfId="699" dataCellStyle="Porcentagem"/>
    <tableColumn id="5" xr3:uid="{7D0562F5-5DF1-49C0-BE96-CBD4632BD577}" name="Nº Parcela" dataDxfId="698" dataCellStyle="Porcentagem"/>
  </tableColumns>
  <tableStyleInfo name="TableStyleMedium2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A76E4F50-D4A5-42F9-900A-AFBC9910AD42}" name="entr_carn18" displayName="entr_carn18" ref="K34:M41" totalsRowShown="0" headerRowDxfId="697" headerRowBorderDxfId="696" tableBorderDxfId="695" totalsRowBorderDxfId="694">
  <autoFilter ref="K34:M41" xr:uid="{1B8643D4-6AC3-4029-882A-C62E9D7CB225}"/>
  <tableColumns count="3">
    <tableColumn id="1" xr3:uid="{468A4151-2B13-428F-B7B3-DD7850FB056D}" name="OS" dataDxfId="693"/>
    <tableColumn id="2" xr3:uid="{0E5A1628-3806-4E80-9B5C-6CCB43ED7A95}" name="Parcelas" dataDxfId="692"/>
    <tableColumn id="3" xr3:uid="{94527026-C4E7-48B1-ADEC-FAE98EDE2DF7}" name="Valor Total" dataDxfId="691"/>
  </tableColumns>
  <tableStyleInfo name="TableStyleMedium2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61B4D35B-8757-4178-8331-2DB1CFE5877C}" name="vend19" displayName="vend19" ref="E5:I22" totalsRowShown="0" headerRowDxfId="690" dataDxfId="688" headerRowBorderDxfId="689" tableBorderDxfId="687" totalsRowBorderDxfId="68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C279E3E-6F02-4DC4-A210-2C8B7B00CDD9}" name="Nº Venda" dataDxfId="685" dataCellStyle="Moeda"/>
    <tableColumn id="5" xr3:uid="{B476382F-8FC0-4C4B-904B-9CEC2FD1737F}" name="Cliente" dataDxfId="684" dataCellStyle="Moeda"/>
    <tableColumn id="2" xr3:uid="{9347CB1E-8ECB-4789-B3B3-F0676BCEF308}" name="Forma de Pgto" dataDxfId="683" dataCellStyle="Moeda"/>
    <tableColumn id="3" xr3:uid="{95E7B651-F8E7-4260-A9CD-31524C1AF920}" name="Valor Venda" dataDxfId="682" dataCellStyle="Porcentagem"/>
    <tableColumn id="4" xr3:uid="{E1F36979-874B-46CF-A70F-6769CE2B4972}" name="Entrada" dataDxfId="681" dataCellStyle="Porcentagem"/>
  </tableColumns>
  <tableStyleInfo name="TableStyleMedium2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241199E1-FEAB-4142-A3BD-F1188CCB7518}" name="desp19" displayName="desp19" ref="K5:M11" totalsRowShown="0" headerRowDxfId="680" dataDxfId="678" headerRowBorderDxfId="679" tableBorderDxfId="677" totalsRowBorderDxfId="676">
  <autoFilter ref="K5:M11" xr:uid="{00000000-0009-0000-0100-000015000000}"/>
  <tableColumns count="3">
    <tableColumn id="1" xr3:uid="{5DAF9728-D097-46AC-AFA1-2A7D5A636197}" name="Descrição" dataDxfId="675"/>
    <tableColumn id="2" xr3:uid="{7E14BBAB-F602-43F7-BA75-66182DDDFB5A}" name="Tipo de Pagto" dataDxfId="674"/>
    <tableColumn id="3" xr3:uid="{807C6654-E3F5-4B45-B712-93A22255EE13}" name="Valor" dataDxfId="673"/>
  </tableColumns>
  <tableStyleInfo name="TableStyleMedium2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35298F09-8832-4BD9-973D-BC6C6C8E99F0}" name="rest_entr19" displayName="rest_entr19" ref="E25:I31" totalsRowShown="0" headerRowDxfId="672" dataDxfId="670" headerRowBorderDxfId="671" tableBorderDxfId="669" totalsRowBorderDxfId="66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B5952F-761C-4B80-B06A-158CE59D25F3}" name="Nº Venda" dataDxfId="667"/>
    <tableColumn id="2" xr3:uid="{DA2D4CE2-3235-4592-824A-D21C9FEE1324}" name="Cliente" dataDxfId="666"/>
    <tableColumn id="3" xr3:uid="{78436E8E-423C-4634-A0AC-78283D9649B2}" name="Forma de Pgto" dataDxfId="665" dataCellStyle="Moeda"/>
    <tableColumn id="4" xr3:uid="{9B5C140A-AEF6-451D-B599-1B3C00239BF3}" name="Valor Venda" dataDxfId="664" dataCellStyle="Porcentagem"/>
    <tableColumn id="5" xr3:uid="{91C4587E-3C3A-4A8E-B0CF-84D9FBCB29D6}" name="Entrada" dataDxfId="663" dataCellStyle="Porcentagem"/>
  </tableColumns>
  <tableStyleInfo name="TableStyleMedium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112FBB7E-37DD-4693-B57B-85AB32269902}" name="os_entr_dia19" displayName="os_entr_dia19" ref="K14:M31" totalsRowShown="0" headerRowDxfId="662" dataDxfId="660" headerRowBorderDxfId="661" tableBorderDxfId="659" totalsRowBorderDxfId="658">
  <autoFilter ref="K14:M31" xr:uid="{C83FE64B-E221-4DAA-89EA-5307A7BC98B3}"/>
  <tableColumns count="3">
    <tableColumn id="1" xr3:uid="{50109EEB-FA95-426D-A1C8-873B914A4726}" name="OS" dataDxfId="657"/>
    <tableColumn id="2" xr3:uid="{8A5D657B-8F60-4746-999B-0FA3393A39E9}" name="Vendedor" dataDxfId="656"/>
    <tableColumn id="3" xr3:uid="{496CB9CC-67BF-4541-A109-5F5FF565C716}" name="CARNE" dataDxfId="655"/>
  </tableColumns>
  <tableStyleInfo name="TableStyleMedium2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5353C250-DA13-469F-A6F9-6FAD1FF9E656}" name="rec_carn19" displayName="rec_carn19" ref="E34:I41" totalsRowShown="0" headerRowDxfId="654" dataDxfId="652" headerRowBorderDxfId="653" tableBorderDxfId="651" totalsRowBorderDxfId="65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795AC14-861D-406A-9E75-C160571BFA93}" name="OS" dataDxfId="649"/>
    <tableColumn id="2" xr3:uid="{B3362A08-206B-41A8-970B-34C6B8B4C7AA}" name="Cliente" dataDxfId="648"/>
    <tableColumn id="3" xr3:uid="{718A6844-98C1-4F96-8966-19162734BEB9}" name="Forma de Pgto" dataDxfId="647" dataCellStyle="Moeda"/>
    <tableColumn id="4" xr3:uid="{DC15894A-49A7-435B-A661-5666005BEEC8}" name="Valor Parcela" dataDxfId="646" dataCellStyle="Porcentagem"/>
    <tableColumn id="5" xr3:uid="{DE080DD1-0F6B-485E-8515-CE624433C220}" name="Nº Parcela" dataDxfId="645" dataCellStyle="Porcentagem"/>
  </tableColumns>
  <tableStyleInfo name="TableStyleMedium2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CFEC2129-2425-4DA1-8636-2A9DB75B23DF}" name="entr_carn19" displayName="entr_carn19" ref="K34:M41" totalsRowShown="0" headerRowDxfId="644" headerRowBorderDxfId="643" tableBorderDxfId="642" totalsRowBorderDxfId="641">
  <autoFilter ref="K34:M41" xr:uid="{1B8643D4-6AC3-4029-882A-C62E9D7CB225}"/>
  <tableColumns count="3">
    <tableColumn id="1" xr3:uid="{DF952D1A-166D-4762-BD7E-3B8C91304310}" name="OS" dataDxfId="640"/>
    <tableColumn id="2" xr3:uid="{4F0F7384-D5B8-477E-9EC7-B82060EBBD78}" name="Parcelas" dataDxfId="639"/>
    <tableColumn id="3" xr3:uid="{8DD00EBF-D0FE-4903-8F44-7064A873609A}" name="Valor Total" dataDxfId="638"/>
  </tableColumns>
  <tableStyleInfo name="TableStyleMedium2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693FF445-6D71-40F8-86F2-BD706DE62353}" name="vend20" displayName="vend20" ref="E5:I22" totalsRowShown="0" headerRowDxfId="637" dataDxfId="635" headerRowBorderDxfId="636" tableBorderDxfId="634" totalsRowBorderDxfId="63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BE756B2-9A02-4C4C-933A-E0816519DAE1}" name="Nº Venda" dataDxfId="632" dataCellStyle="Moeda"/>
    <tableColumn id="5" xr3:uid="{F65697F3-20D0-4B41-BE55-C2885202D924}" name="Cliente" dataDxfId="631" dataCellStyle="Moeda"/>
    <tableColumn id="2" xr3:uid="{11E8E848-C035-46A3-B1AB-9BBD863CA30A}" name="Forma de Pgto" dataDxfId="630" dataCellStyle="Moeda"/>
    <tableColumn id="3" xr3:uid="{CE50BBF0-66D9-4ABB-AD66-D300C740ED4C}" name="Valor Venda" dataDxfId="629" dataCellStyle="Porcentagem"/>
    <tableColumn id="4" xr3:uid="{A6700982-093E-4E60-A8B4-C0EB11A78A03}" name="Entrada" dataDxfId="628" dataCellStyle="Porcentagem"/>
  </tableColumns>
  <tableStyleInfo name="TableStyleMedium2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40E1B4E4-D844-4658-B316-8CD71082A81E}" name="desp20" displayName="desp20" ref="K5:M11" totalsRowShown="0" headerRowDxfId="627" dataDxfId="625" headerRowBorderDxfId="626" tableBorderDxfId="624" totalsRowBorderDxfId="623">
  <autoFilter ref="K5:M11" xr:uid="{00000000-0009-0000-0100-000015000000}"/>
  <tableColumns count="3">
    <tableColumn id="1" xr3:uid="{53B1873C-545D-4906-B601-0C81EDA7CFE1}" name="Descrição" dataDxfId="622"/>
    <tableColumn id="2" xr3:uid="{76E6DB40-F96B-4A9C-8632-7103030C72DC}" name="Tipo de Pagto" dataDxfId="621"/>
    <tableColumn id="3" xr3:uid="{C62F93B6-2A0A-47C6-8FF1-E604490619BC}" name="Valor" dataDxfId="620"/>
  </tableColumns>
  <tableStyleInfo name="TableStyleMedium2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2CC9540C-9198-4109-8506-81F920A07843}" name="rest_entr20" displayName="rest_entr20" ref="E25:I31" totalsRowShown="0" headerRowDxfId="619" dataDxfId="617" headerRowBorderDxfId="618" tableBorderDxfId="616" totalsRowBorderDxfId="61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46FD894-4AC2-4C5C-B3FC-076A22219C71}" name="Nº Venda" dataDxfId="614"/>
    <tableColumn id="2" xr3:uid="{B806E92F-CE0E-4D07-A956-20D8F2029057}" name="Cliente" dataDxfId="613"/>
    <tableColumn id="3" xr3:uid="{36BDBAFD-E01B-4EEA-BEB0-2FB5914B315B}" name="Forma de Pgto" dataDxfId="612" dataCellStyle="Moeda"/>
    <tableColumn id="4" xr3:uid="{56605023-01AD-4E35-8794-2FCCF14CCA1F}" name="Valor Venda" dataDxfId="611" dataCellStyle="Porcentagem"/>
    <tableColumn id="5" xr3:uid="{C1960D0E-D625-415E-9C4E-608948FC535D}" name="Entrada" dataDxfId="610" dataCellStyle="Porcentagem"/>
  </tableColumns>
  <tableStyleInfo name="TableStyleMedium2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4E8A732D-A548-49D7-A62F-43F8C5D06843}" name="os_entr_dia20" displayName="os_entr_dia20" ref="K14:M31" totalsRowShown="0" headerRowDxfId="609" dataDxfId="607" headerRowBorderDxfId="608" tableBorderDxfId="606" totalsRowBorderDxfId="605">
  <autoFilter ref="K14:M31" xr:uid="{C83FE64B-E221-4DAA-89EA-5307A7BC98B3}"/>
  <tableColumns count="3">
    <tableColumn id="1" xr3:uid="{6A036C59-7D03-43F7-84CF-EE3CB14BE67B}" name="OS" dataDxfId="604"/>
    <tableColumn id="2" xr3:uid="{C5A126A9-9B7F-4F06-ADC7-ACCED0396BF3}" name="Vendedor" dataDxfId="603"/>
    <tableColumn id="3" xr3:uid="{BA1C7B45-A00B-472E-A02F-25A3DC58D90D}" name="CARNE" dataDxfId="602"/>
  </tableColumns>
  <tableStyleInfo name="TableStyleMedium2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765FB700-01C3-4C79-ACB7-66B804F0203D}" name="rec_carn20" displayName="rec_carn20" ref="E34:I41" totalsRowShown="0" headerRowDxfId="601" dataDxfId="599" headerRowBorderDxfId="600" tableBorderDxfId="598" totalsRowBorderDxfId="59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0601890-B809-4252-ADB1-C26BD716E0AD}" name="OS" dataDxfId="596"/>
    <tableColumn id="2" xr3:uid="{2C145274-4831-4FAC-9C72-4EE6C56B54AE}" name="Cliente" dataDxfId="595"/>
    <tableColumn id="3" xr3:uid="{DE981E69-6CF2-49CA-A2F4-E16E28E648B8}" name="Forma de Pgto" dataDxfId="594" dataCellStyle="Moeda"/>
    <tableColumn id="4" xr3:uid="{6444B2E2-EBBD-4AD1-8C9A-93047C0686E8}" name="Valor Parcela" dataDxfId="593" dataCellStyle="Porcentagem"/>
    <tableColumn id="5" xr3:uid="{04528C7F-DC52-411C-A2BF-BF90292C4224}" name="Nº Parcela" dataDxfId="592" dataCellStyle="Porcentagem"/>
  </tableColumns>
  <tableStyleInfo name="TableStyleMedium2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D7700075-B16E-40BE-AABD-2A9775CABA88}" name="entr_carn20" displayName="entr_carn20" ref="K34:M41" totalsRowShown="0" headerRowDxfId="591" headerRowBorderDxfId="590" tableBorderDxfId="589" totalsRowBorderDxfId="588">
  <autoFilter ref="K34:M41" xr:uid="{1B8643D4-6AC3-4029-882A-C62E9D7CB225}"/>
  <tableColumns count="3">
    <tableColumn id="1" xr3:uid="{B8F19651-A782-44BC-8BA0-FFD090973F4B}" name="OS" dataDxfId="587"/>
    <tableColumn id="2" xr3:uid="{47E2F01C-C7E6-4997-80A0-4C35FA7B082A}" name="Parcelas" dataDxfId="586"/>
    <tableColumn id="3" xr3:uid="{BBBC80DF-0D25-47A9-9C8A-B68DAC85549A}" name="Valor Total" dataDxfId="585"/>
  </tableColumns>
  <tableStyleInfo name="TableStyleMedium2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1BD00E7-9746-4409-A0C5-C9CEE5FD8FF2}" name="vend21" displayName="vend21" ref="E5:I22" totalsRowShown="0" headerRowDxfId="584" dataDxfId="582" headerRowBorderDxfId="583" tableBorderDxfId="581" totalsRowBorderDxfId="58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43426BD-1EDF-46A1-AEC8-C9D4262D696F}" name="Nº Venda" dataDxfId="579" dataCellStyle="Moeda"/>
    <tableColumn id="5" xr3:uid="{63E5AEF6-80DE-4801-B1C2-914D1F185217}" name="Cliente" dataDxfId="578" dataCellStyle="Moeda"/>
    <tableColumn id="2" xr3:uid="{1109E74A-578C-491B-B35C-C22544718F14}" name="Forma de Pgto" dataDxfId="577" dataCellStyle="Moeda"/>
    <tableColumn id="3" xr3:uid="{5C59392A-0568-4E84-9867-F9DCD09B25B6}" name="Valor Venda" dataDxfId="576" dataCellStyle="Porcentagem"/>
    <tableColumn id="4" xr3:uid="{D2C3A378-8143-432B-A8C6-A6193ABD7662}" name="Entrada" dataDxfId="575" dataCellStyle="Porcentagem"/>
  </tableColumns>
  <tableStyleInfo name="TableStyleMedium2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729CC1D5-98EA-419F-AAA1-16C56C1394D7}" name="desp21" displayName="desp21" ref="K5:M11" totalsRowShown="0" headerRowDxfId="574" dataDxfId="572" headerRowBorderDxfId="573" tableBorderDxfId="571" totalsRowBorderDxfId="570">
  <autoFilter ref="K5:M11" xr:uid="{00000000-0009-0000-0100-000015000000}"/>
  <tableColumns count="3">
    <tableColumn id="1" xr3:uid="{E6962685-66B9-4B52-AFC6-82E1DC5ABF13}" name="Descrição" dataDxfId="569"/>
    <tableColumn id="2" xr3:uid="{632111FE-E109-4AB8-89E6-0435B85BD131}" name="Tipo de Pagto" dataDxfId="568"/>
    <tableColumn id="3" xr3:uid="{E8C5B365-8D2D-4605-8A16-1AB9150BCC44}" name="Valor" dataDxfId="567"/>
  </tableColumns>
  <tableStyleInfo name="TableStyleMedium2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847E2FEA-9031-47C2-B82B-F39802488AA2}" name="rest_entr21" displayName="rest_entr21" ref="E25:I31" totalsRowShown="0" headerRowDxfId="566" dataDxfId="564" headerRowBorderDxfId="565" tableBorderDxfId="563" totalsRowBorderDxfId="56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A598A3E-CBE2-4A3A-917B-5D154FE3B141}" name="Nº Venda" dataDxfId="561"/>
    <tableColumn id="2" xr3:uid="{C0E81097-83C4-4524-8E34-CEF9787F8A7E}" name="Cliente" dataDxfId="560"/>
    <tableColumn id="3" xr3:uid="{8D59E67E-B452-4F9A-AAE0-36EA95BB6E19}" name="Forma de Pgto" dataDxfId="559" dataCellStyle="Moeda"/>
    <tableColumn id="4" xr3:uid="{F7466880-2D96-46D0-97F5-A0F3057F4B83}" name="Valor Venda" dataDxfId="558" dataCellStyle="Porcentagem"/>
    <tableColumn id="5" xr3:uid="{1C9ACBF3-A8FA-4869-9459-B9FD6EE7CC98}" name="Entrada" dataDxfId="557" dataCellStyle="Porcentagem"/>
  </tableColumns>
  <tableStyleInfo name="TableStyleMedium2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45734D67-8FA6-42D9-A981-0F29DD739A3C}" name="os_entr_dia21" displayName="os_entr_dia21" ref="K14:M31" totalsRowShown="0" headerRowDxfId="556" dataDxfId="554" headerRowBorderDxfId="555" tableBorderDxfId="553" totalsRowBorderDxfId="552">
  <autoFilter ref="K14:M31" xr:uid="{C83FE64B-E221-4DAA-89EA-5307A7BC98B3}"/>
  <tableColumns count="3">
    <tableColumn id="1" xr3:uid="{B00D0221-B7E2-4319-872F-39A5F278179B}" name="OS" dataDxfId="551"/>
    <tableColumn id="2" xr3:uid="{EB50C8BC-2DB9-4F7B-B612-681BB547926A}" name="Vendedor" dataDxfId="550"/>
    <tableColumn id="3" xr3:uid="{35270191-CAC7-406B-B916-370E9194FBD0}" name="CARNE" dataDxfId="549"/>
  </tableColumns>
  <tableStyleInfo name="TableStyleMedium2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6254426A-ACBF-430E-AF52-CB533F47336C}" name="rec_carn21" displayName="rec_carn21" ref="E34:I41" totalsRowShown="0" headerRowDxfId="548" dataDxfId="546" headerRowBorderDxfId="547" tableBorderDxfId="545" totalsRowBorderDxfId="54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33CD0C64-C79E-491A-ADCA-2282AC18770A}" name="OS" dataDxfId="543"/>
    <tableColumn id="2" xr3:uid="{D650DC73-190F-4D20-A432-5DFA05B32EBB}" name="Cliente" dataDxfId="542"/>
    <tableColumn id="3" xr3:uid="{B232D3BA-4291-4772-8FA1-966DFC2F6BAD}" name="Forma de Pgto" dataDxfId="541" dataCellStyle="Moeda"/>
    <tableColumn id="4" xr3:uid="{27933DC4-0B14-4F8A-9424-CDECA8B0BE13}" name="Valor Parcela" dataDxfId="540" dataCellStyle="Porcentagem"/>
    <tableColumn id="5" xr3:uid="{812A2DA5-D78D-454A-BF37-5BC7C8B486FB}" name="Nº Parcela" dataDxfId="539" dataCellStyle="Porcentagem"/>
  </tableColumns>
  <tableStyleInfo name="TableStyleMedium2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AA8A5189-D7C1-40FA-B7D8-15E927BB3ACA}" name="entr_carn21" displayName="entr_carn21" ref="K34:M41" totalsRowShown="0" headerRowDxfId="538" headerRowBorderDxfId="537" tableBorderDxfId="536" totalsRowBorderDxfId="535">
  <autoFilter ref="K34:M41" xr:uid="{1B8643D4-6AC3-4029-882A-C62E9D7CB225}"/>
  <tableColumns count="3">
    <tableColumn id="1" xr3:uid="{F3E7E89B-8196-4CDC-A23E-947DB3CEA07C}" name="OS" dataDxfId="534"/>
    <tableColumn id="2" xr3:uid="{D705822D-AFE1-401D-A8C8-7D7BB7A4C86C}" name="Parcelas" dataDxfId="533"/>
    <tableColumn id="3" xr3:uid="{C528E7A1-6466-4E27-8A7C-A46F4678792C}" name="Valor Total" dataDxfId="532"/>
  </tableColumns>
  <tableStyleInfo name="TableStyleMedium2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115FDED-E770-467E-B38A-5937210796C8}" name="vend22" displayName="vend22" ref="E5:I22" totalsRowShown="0" headerRowDxfId="531" dataDxfId="529" headerRowBorderDxfId="530" tableBorderDxfId="528" totalsRowBorderDxfId="52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EB3AA9A-E950-4032-815D-1C6025225C99}" name="Nº Venda" dataDxfId="526" dataCellStyle="Moeda"/>
    <tableColumn id="5" xr3:uid="{935EFB73-C7DF-4DB2-A9CA-2CCBA3650F22}" name="Cliente" dataDxfId="525" dataCellStyle="Moeda"/>
    <tableColumn id="2" xr3:uid="{869122A0-3CC2-4E92-8EFB-746E8E8CB311}" name="Forma de Pgto" dataDxfId="524" dataCellStyle="Moeda"/>
    <tableColumn id="3" xr3:uid="{6DA3B9FE-BCC2-4503-9E60-EA0ED444B7A6}" name="Valor Venda" dataDxfId="523" dataCellStyle="Porcentagem"/>
    <tableColumn id="4" xr3:uid="{A8A1A79C-5DE2-48A0-9D24-1DA382BBF42E}" name="Entrada" dataDxfId="522" dataCellStyle="Porcentagem"/>
  </tableColumns>
  <tableStyleInfo name="TableStyleMedium2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EA71A676-B8B8-4F40-BB34-00D84FAD619B}" name="desp22" displayName="desp22" ref="K5:M11" totalsRowShown="0" headerRowDxfId="521" dataDxfId="519" headerRowBorderDxfId="520" tableBorderDxfId="518" totalsRowBorderDxfId="517">
  <autoFilter ref="K5:M11" xr:uid="{00000000-0009-0000-0100-000015000000}"/>
  <tableColumns count="3">
    <tableColumn id="1" xr3:uid="{3E8535D4-7B2A-41EF-B25F-D96FCA746C77}" name="Descrição" dataDxfId="516"/>
    <tableColumn id="2" xr3:uid="{29FD7EBB-FAB4-46A7-8D0C-8DEF811BE03C}" name="Tipo de Pagto" dataDxfId="515"/>
    <tableColumn id="3" xr3:uid="{42A84199-904C-48CF-9EA1-668D5693A5E1}" name="Valor" dataDxfId="514"/>
  </tableColumns>
  <tableStyleInfo name="TableStyleMedium2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9ED5FA4C-FA87-48CC-9A0E-74F117B575FB}" name="rest_entr22" displayName="rest_entr22" ref="E25:I31" totalsRowShown="0" headerRowDxfId="513" dataDxfId="511" headerRowBorderDxfId="512" tableBorderDxfId="510" totalsRowBorderDxfId="50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467CA9A-F1D7-403C-83C4-6A84B83C7157}" name="Nº Venda" dataDxfId="508"/>
    <tableColumn id="2" xr3:uid="{06FD4E8A-ECFC-46A5-9546-F18D5C7CCF46}" name="Cliente" dataDxfId="507"/>
    <tableColumn id="3" xr3:uid="{393434A3-085F-407B-B651-4C537A1C4DCA}" name="Forma de Pgto" dataDxfId="506" dataCellStyle="Moeda"/>
    <tableColumn id="4" xr3:uid="{D08FA6C2-56D1-4A76-94C1-132618C070F2}" name="Valor Venda" dataDxfId="505" dataCellStyle="Porcentagem"/>
    <tableColumn id="5" xr3:uid="{A94780A1-5426-454F-8950-AFE4D356071F}" name="Entrada" dataDxfId="504" dataCellStyle="Porcentagem"/>
  </tableColumns>
  <tableStyleInfo name="TableStyleMedium2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7D990396-DCB6-4E80-922B-FDB4DEFC071F}" name="os_entr_dia22" displayName="os_entr_dia22" ref="K14:M31" totalsRowShown="0" headerRowDxfId="503" dataDxfId="501" headerRowBorderDxfId="502" tableBorderDxfId="500" totalsRowBorderDxfId="499">
  <autoFilter ref="K14:M31" xr:uid="{C83FE64B-E221-4DAA-89EA-5307A7BC98B3}"/>
  <tableColumns count="3">
    <tableColumn id="1" xr3:uid="{5F81F202-5A63-416E-B66A-BC7A70C51944}" name="OS" dataDxfId="498"/>
    <tableColumn id="2" xr3:uid="{74527326-0E45-44AC-976A-01AD354EEF97}" name="Vendedor" dataDxfId="497"/>
    <tableColumn id="3" xr3:uid="{7E368C39-6290-45A4-8C60-3E0B6BEC860E}" name="CARNE" dataDxfId="496"/>
  </tableColumns>
  <tableStyleInfo name="TableStyleMedium2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71FC91D6-7D37-4170-BCB4-BD281ACDEE5B}" name="rec_carn22" displayName="rec_carn22" ref="E34:I41" totalsRowShown="0" headerRowDxfId="495" dataDxfId="493" headerRowBorderDxfId="494" tableBorderDxfId="492" totalsRowBorderDxfId="49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7737CB8-CCB0-49CE-AC97-9BACC99F1ECB}" name="OS" dataDxfId="490"/>
    <tableColumn id="2" xr3:uid="{5FB18F19-64B5-46AA-955B-A301C651C0F2}" name="Cliente" dataDxfId="489"/>
    <tableColumn id="3" xr3:uid="{51F731CD-986B-4FF6-A861-83997E66998E}" name="Forma de Pgto" dataDxfId="488" dataCellStyle="Moeda"/>
    <tableColumn id="4" xr3:uid="{BD861052-26CD-48E9-91C6-0A6DF7C6A099}" name="Valor Parcela" dataDxfId="487" dataCellStyle="Porcentagem"/>
    <tableColumn id="5" xr3:uid="{8A5D6765-7637-45A4-9660-09EDBB031EC1}" name="Nº Parcela" dataDxfId="486" dataCellStyle="Porcentagem"/>
  </tableColumns>
  <tableStyleInfo name="TableStyleMedium2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4E11CF43-1F04-40E9-A14D-906275A2CF4B}" name="entr_carn22" displayName="entr_carn22" ref="K34:M41" totalsRowShown="0" headerRowDxfId="485" headerRowBorderDxfId="484" tableBorderDxfId="483" totalsRowBorderDxfId="482">
  <autoFilter ref="K34:M41" xr:uid="{1B8643D4-6AC3-4029-882A-C62E9D7CB225}"/>
  <tableColumns count="3">
    <tableColumn id="1" xr3:uid="{96F2F5A7-6005-4604-8B24-0E2838B4DD29}" name="OS" dataDxfId="481"/>
    <tableColumn id="2" xr3:uid="{ED904B68-5D9C-4B50-96BA-96CAD5E34CF1}" name="Parcelas" dataDxfId="480"/>
    <tableColumn id="3" xr3:uid="{317680F4-80F7-44BC-B3EF-4EFC6A803CAC}" name="Valor Total" dataDxfId="479"/>
  </tableColumns>
  <tableStyleInfo name="TableStyleMedium2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514260-CF4F-45F6-831A-9ABA2A5A0A75}" name="vend23" displayName="vend23" ref="E5:I22" totalsRowShown="0" headerRowDxfId="478" dataDxfId="476" headerRowBorderDxfId="477" tableBorderDxfId="475" totalsRowBorderDxfId="47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E09C67DE-99E0-403C-8D3B-A0AB9A5B930B}" name="Nº Venda" dataDxfId="473" dataCellStyle="Moeda"/>
    <tableColumn id="5" xr3:uid="{8C950723-3D74-47BB-96EF-8D7D6A2189F6}" name="Cliente" dataDxfId="472" dataCellStyle="Moeda"/>
    <tableColumn id="2" xr3:uid="{891A7678-229E-4FF4-AD78-C00F149C7AB3}" name="Forma de Pgto" dataDxfId="471" dataCellStyle="Moeda"/>
    <tableColumn id="3" xr3:uid="{C1AD64CF-D636-4D0B-90AF-998E65C41E3B}" name="Valor Venda" dataDxfId="470" dataCellStyle="Porcentagem"/>
    <tableColumn id="4" xr3:uid="{4674130B-789D-479A-9F01-407FB3322D27}" name="Entrada" dataDxfId="469" dataCellStyle="Porcentagem"/>
  </tableColumns>
  <tableStyleInfo name="TableStyleMedium2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C4062060-F5F7-450A-87E2-6378D65C30FD}" name="desp23" displayName="desp23" ref="K5:M11" totalsRowShown="0" headerRowDxfId="468" dataDxfId="466" headerRowBorderDxfId="467" tableBorderDxfId="465" totalsRowBorderDxfId="464">
  <autoFilter ref="K5:M11" xr:uid="{00000000-0009-0000-0100-000015000000}"/>
  <tableColumns count="3">
    <tableColumn id="1" xr3:uid="{558DC85F-C627-4F48-82AA-C24727E75A42}" name="Descrição" dataDxfId="463"/>
    <tableColumn id="2" xr3:uid="{8346B0E0-FB0D-4ED3-ABBC-3816B7CB40C9}" name="Tipo de Pagto" dataDxfId="462"/>
    <tableColumn id="3" xr3:uid="{362F9934-CC54-4E70-A26F-6CDF66DEB838}" name="Valor" dataDxfId="461"/>
  </tableColumns>
  <tableStyleInfo name="TableStyleMedium2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94FF40F4-8859-4374-9A10-9E0807A2CC15}" name="rest_entr23" displayName="rest_entr23" ref="E25:I31" totalsRowShown="0" headerRowDxfId="460" dataDxfId="458" headerRowBorderDxfId="459" tableBorderDxfId="457" totalsRowBorderDxfId="45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99D035-1B62-4CAF-ADEB-0BA45FECA1B3}" name="Nº Venda" dataDxfId="455"/>
    <tableColumn id="2" xr3:uid="{B711E4E6-0AE5-42C8-8015-A72C2855CDFB}" name="Cliente" dataDxfId="454"/>
    <tableColumn id="3" xr3:uid="{016D3713-BA29-48F8-8683-6E42C1C8BDFE}" name="Forma de Pgto" dataDxfId="453" dataCellStyle="Moeda"/>
    <tableColumn id="4" xr3:uid="{66F30211-F047-40DA-B134-05B87A798574}" name="Valor Venda" dataDxfId="452" dataCellStyle="Porcentagem"/>
    <tableColumn id="5" xr3:uid="{2FB6AB3C-AA9E-4034-AF4B-12D9A3ECBBCA}" name="Entrada" dataDxfId="451" dataCellStyle="Porcentagem"/>
  </tableColumns>
  <tableStyleInfo name="TableStyleMedium2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736E6AB9-0183-448B-956C-BDD0D1FF2713}" name="os_entr_dia23" displayName="os_entr_dia23" ref="K14:M31" totalsRowShown="0" headerRowDxfId="450" dataDxfId="448" headerRowBorderDxfId="449" tableBorderDxfId="447" totalsRowBorderDxfId="446">
  <autoFilter ref="K14:M31" xr:uid="{C83FE64B-E221-4DAA-89EA-5307A7BC98B3}"/>
  <tableColumns count="3">
    <tableColumn id="1" xr3:uid="{D6DF1477-46D1-47E2-A070-9A33886E6137}" name="OS" dataDxfId="445"/>
    <tableColumn id="2" xr3:uid="{C4215FA6-4F2C-444A-8E0B-4F99AEEE9430}" name="Vendedor" dataDxfId="444"/>
    <tableColumn id="3" xr3:uid="{7B8AD675-F389-4803-BFFB-8166F703E829}" name="CARNE" dataDxfId="443"/>
  </tableColumns>
  <tableStyleInfo name="TableStyleMedium2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3051F564-D8E3-4192-B1DD-718069626E9C}" name="rec_carn23" displayName="rec_carn23" ref="E34:I41" totalsRowShown="0" headerRowDxfId="442" dataDxfId="440" headerRowBorderDxfId="441" tableBorderDxfId="439" totalsRowBorderDxfId="43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CFAD720-C5AA-463A-B79B-1DE35FD6561C}" name="OS" dataDxfId="437"/>
    <tableColumn id="2" xr3:uid="{45674E96-72EC-433B-9141-E40A07A72A19}" name="Cliente" dataDxfId="436"/>
    <tableColumn id="3" xr3:uid="{22102B96-8607-4584-B5A3-C1EE639E0F4C}" name="Forma de Pgto" dataDxfId="435" dataCellStyle="Moeda"/>
    <tableColumn id="4" xr3:uid="{DC2E9D15-91B3-4478-AA38-B98773D1B0DA}" name="Valor Parcela" dataDxfId="434" dataCellStyle="Porcentagem"/>
    <tableColumn id="5" xr3:uid="{ABCCDEDB-69A0-4492-A24A-12A60E76A2F8}" name="Nº Parcela" dataDxfId="433" dataCellStyle="Porcentagem"/>
  </tableColumns>
  <tableStyleInfo name="TableStyleMedium2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8140B424-AF7B-482C-B56D-BCC7CB0969E5}" name="entr_carn23" displayName="entr_carn23" ref="K34:M41" totalsRowShown="0" headerRowDxfId="432" headerRowBorderDxfId="431" tableBorderDxfId="430" totalsRowBorderDxfId="429">
  <autoFilter ref="K34:M41" xr:uid="{1B8643D4-6AC3-4029-882A-C62E9D7CB225}"/>
  <tableColumns count="3">
    <tableColumn id="1" xr3:uid="{96E4A694-A16C-4FAB-8484-5D1DCD513FF1}" name="OS" dataDxfId="428"/>
    <tableColumn id="2" xr3:uid="{CEC7F98C-5986-47BB-824E-5616D5A150E4}" name="Parcelas" dataDxfId="427"/>
    <tableColumn id="3" xr3:uid="{A82CBD0B-203D-4ED5-BDE4-3B77ECED5860}" name="Valor Total" dataDxfId="426"/>
  </tableColumns>
  <tableStyleInfo name="TableStyleMedium2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6260B2C0-C402-4EC7-8426-207780B3D6BC}" name="vend24" displayName="vend24" ref="E5:I22" totalsRowShown="0" headerRowDxfId="425" dataDxfId="423" headerRowBorderDxfId="424" tableBorderDxfId="422" totalsRowBorderDxfId="42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41BDFAE-EFE1-4042-A5B7-F4E003471969}" name="Nº Venda" dataDxfId="420" dataCellStyle="Moeda"/>
    <tableColumn id="5" xr3:uid="{28960474-C27A-4147-BD99-7BB60462B8B0}" name="Cliente" dataDxfId="419" dataCellStyle="Moeda"/>
    <tableColumn id="2" xr3:uid="{67D37C1F-FE45-48AD-BED8-2CFECE89FEA0}" name="Forma de Pgto" dataDxfId="418" dataCellStyle="Moeda"/>
    <tableColumn id="3" xr3:uid="{9D53CA59-8DC0-45C1-B948-0BC9CE105A46}" name="Valor Venda" dataDxfId="417" dataCellStyle="Porcentagem"/>
    <tableColumn id="4" xr3:uid="{63C5EED9-C4FA-4177-B2B7-18053322A958}" name="Entrada" dataDxfId="416" dataCellStyle="Porcentagem"/>
  </tableColumns>
  <tableStyleInfo name="TableStyleMedium2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B66379B6-359A-4839-8933-E21E4BCBBEB8}" name="desp24" displayName="desp24" ref="K5:M11" totalsRowShown="0" headerRowDxfId="415" dataDxfId="413" headerRowBorderDxfId="414" tableBorderDxfId="412" totalsRowBorderDxfId="411">
  <autoFilter ref="K5:M11" xr:uid="{00000000-0009-0000-0100-000015000000}"/>
  <tableColumns count="3">
    <tableColumn id="1" xr3:uid="{EA5469B7-1D8E-40E9-95A2-35DAC9D5EC13}" name="Descrição" dataDxfId="410"/>
    <tableColumn id="2" xr3:uid="{6149AE8A-4EBC-4D73-8258-5E25710E3A30}" name="Tipo de Pagto" dataDxfId="409"/>
    <tableColumn id="3" xr3:uid="{6872D867-5B80-4E69-B012-87CC7B75B649}" name="Valor" dataDxfId="408"/>
  </tableColumns>
  <tableStyleInfo name="TableStyleMedium2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FF9C2500-01A7-44EB-BE45-504AB26ED975}" name="rest_entr24" displayName="rest_entr24" ref="E25:I31" totalsRowShown="0" headerRowDxfId="407" dataDxfId="405" headerRowBorderDxfId="406" tableBorderDxfId="404" totalsRowBorderDxfId="40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4544C8B-3A64-4CB9-9650-0C20D5671D78}" name="Nº Venda" dataDxfId="402"/>
    <tableColumn id="2" xr3:uid="{83BEE3E3-D5E6-4B4E-B0F3-B7D166EBC951}" name="Cliente" dataDxfId="401"/>
    <tableColumn id="3" xr3:uid="{D56D36FF-3364-4C9B-95E8-FF48852EB70B}" name="Forma de Pgto" dataDxfId="400" dataCellStyle="Moeda"/>
    <tableColumn id="4" xr3:uid="{E2E76570-BF3A-47F8-A702-0FE2FE405B33}" name="Valor Venda" dataDxfId="399" dataCellStyle="Porcentagem"/>
    <tableColumn id="5" xr3:uid="{19FD5054-F0CE-4B30-BF14-7D86B666A44E}" name="Entrada" dataDxfId="398" dataCellStyle="Porcentagem"/>
  </tableColumns>
  <tableStyleInfo name="TableStyleMedium2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9DFB063B-359B-454A-8228-448B3AFCB5CA}" name="os_entr_dia24" displayName="os_entr_dia24" ref="K14:M31" totalsRowShown="0" headerRowDxfId="397" dataDxfId="395" headerRowBorderDxfId="396" tableBorderDxfId="394" totalsRowBorderDxfId="393">
  <autoFilter ref="K14:M31" xr:uid="{C83FE64B-E221-4DAA-89EA-5307A7BC98B3}"/>
  <tableColumns count="3">
    <tableColumn id="1" xr3:uid="{2A900AC2-CDD6-4655-B7AF-13F9A8DDD9FF}" name="OS" dataDxfId="392"/>
    <tableColumn id="2" xr3:uid="{D566D654-CC7D-40A6-874D-6CD6342DEC3B}" name="Vendedor" dataDxfId="391"/>
    <tableColumn id="3" xr3:uid="{E8D97BA9-0913-40AD-B2A5-0F60E6A0BE95}" name="CARNE" dataDxfId="390"/>
  </tableColumns>
  <tableStyleInfo name="TableStyleMedium2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A903AE0E-9288-419F-AA48-3F4D20D1DB71}" name="rec_carn24" displayName="rec_carn24" ref="E34:I41" totalsRowShown="0" headerRowDxfId="389" dataDxfId="387" headerRowBorderDxfId="388" tableBorderDxfId="386" totalsRowBorderDxfId="38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47CA804-F934-4585-817C-7FAB1CA7FE33}" name="OS" dataDxfId="384"/>
    <tableColumn id="2" xr3:uid="{CDAD5229-EE1B-4727-8C27-8A17FEDA1C5C}" name="Cliente" dataDxfId="383"/>
    <tableColumn id="3" xr3:uid="{93224419-805E-4D8C-A296-80DA02CCC413}" name="Forma de Pgto" dataDxfId="382" dataCellStyle="Moeda"/>
    <tableColumn id="4" xr3:uid="{40C77CE6-762C-49C9-94EB-7D5AFC9A73A4}" name="Valor Parcela" dataDxfId="381" dataCellStyle="Porcentagem"/>
    <tableColumn id="5" xr3:uid="{8A7914AB-189B-4928-860C-9AB79BAA232D}" name="Nº Parcela" dataDxfId="380" dataCellStyle="Porcentagem"/>
  </tableColumns>
  <tableStyleInfo name="TableStyleMedium2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4EBC20F-2250-4ED8-AB2E-9C59E3F94A31}" name="entr_carn24" displayName="entr_carn24" ref="K34:M41" totalsRowShown="0" headerRowDxfId="379" headerRowBorderDxfId="378" tableBorderDxfId="377" totalsRowBorderDxfId="376">
  <autoFilter ref="K34:M41" xr:uid="{1B8643D4-6AC3-4029-882A-C62E9D7CB225}"/>
  <tableColumns count="3">
    <tableColumn id="1" xr3:uid="{C92D7BD7-E114-41CE-802D-B41EFFA721F2}" name="OS" dataDxfId="375"/>
    <tableColumn id="2" xr3:uid="{C67ABBBE-4637-4653-928F-36D0678D64F6}" name="Parcelas" dataDxfId="374"/>
    <tableColumn id="3" xr3:uid="{2217F874-8724-4CC1-9542-1585CC1817E3}" name="Valor Total" dataDxfId="373"/>
  </tableColumns>
  <tableStyleInfo name="TableStyleMedium2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D1D969BE-B3DA-4DE5-BABD-7CC03DDFCBC7}" name="vend25" displayName="vend25" ref="E5:I22" totalsRowShown="0" headerRowDxfId="372" dataDxfId="370" headerRowBorderDxfId="371" tableBorderDxfId="369" totalsRowBorderDxfId="36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10C1500-6F59-4483-B92C-0E8E87C13A81}" name="Nº Venda" dataDxfId="367" dataCellStyle="Moeda"/>
    <tableColumn id="5" xr3:uid="{EA7582FE-FEFF-4011-BD42-218C3664E6AB}" name="Cliente" dataDxfId="366" dataCellStyle="Moeda"/>
    <tableColumn id="2" xr3:uid="{F90F407A-44F2-4B25-95B2-7FFF747C7AA1}" name="Forma de Pgto" dataDxfId="365" dataCellStyle="Moeda"/>
    <tableColumn id="3" xr3:uid="{3ED51D07-27C8-4437-A49E-867C7274BC65}" name="Valor Venda" dataDxfId="364" dataCellStyle="Porcentagem"/>
    <tableColumn id="4" xr3:uid="{42C92817-5DF0-4DE7-B430-03840EF6E852}" name="Entrada" dataDxfId="363" dataCellStyle="Porcentagem"/>
  </tableColumns>
  <tableStyleInfo name="TableStyleMedium2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1F9F579A-8F4E-4F89-8C7F-EBF3B830A7DA}" name="desp25" displayName="desp25" ref="K5:M11" totalsRowShown="0" headerRowDxfId="362" dataDxfId="360" headerRowBorderDxfId="361" tableBorderDxfId="359" totalsRowBorderDxfId="358">
  <autoFilter ref="K5:M11" xr:uid="{00000000-0009-0000-0100-000015000000}"/>
  <tableColumns count="3">
    <tableColumn id="1" xr3:uid="{BCDA9109-FE1B-43D0-A775-F187BA433103}" name="Descrição" dataDxfId="357"/>
    <tableColumn id="2" xr3:uid="{6200DB38-1340-49E2-8DB4-68F203C169F1}" name="Tipo de Pagto" dataDxfId="356"/>
    <tableColumn id="3" xr3:uid="{27595B27-AB97-40C9-BECE-DEB4EF2576B7}" name="Valor" dataDxfId="355"/>
  </tableColumns>
  <tableStyleInfo name="TableStyleMedium2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D596162D-57A9-487E-97A5-41172C4CA4C2}" name="rest_entr25" displayName="rest_entr25" ref="E25:I31" totalsRowShown="0" headerRowDxfId="354" dataDxfId="352" headerRowBorderDxfId="353" tableBorderDxfId="351" totalsRowBorderDxfId="35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8188E60-6E07-44B4-9D93-7FE928B4E99F}" name="Nº Venda" dataDxfId="349"/>
    <tableColumn id="2" xr3:uid="{2547CEAB-188F-4407-8B89-F3536432D0FA}" name="Cliente" dataDxfId="348"/>
    <tableColumn id="3" xr3:uid="{54CBD340-AB1A-4F98-A129-037389C3E236}" name="Forma de Pgto" dataDxfId="347" dataCellStyle="Moeda"/>
    <tableColumn id="4" xr3:uid="{CB0BC571-5837-4C35-AFDD-D5873CE23AE9}" name="Valor Venda" dataDxfId="346" dataCellStyle="Porcentagem"/>
    <tableColumn id="5" xr3:uid="{517A77AC-A76A-4CE7-B5D1-3FEFDF7B8722}" name="Entrada" dataDxfId="345" dataCellStyle="Porcentagem"/>
  </tableColumns>
  <tableStyleInfo name="TableStyleMedium2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C8FD46D8-3918-4AE7-BAAD-CADF4496424B}" name="os_entr_dia25" displayName="os_entr_dia25" ref="K14:M31" totalsRowShown="0" headerRowDxfId="344" dataDxfId="342" headerRowBorderDxfId="343" tableBorderDxfId="341" totalsRowBorderDxfId="340">
  <autoFilter ref="K14:M31" xr:uid="{C83FE64B-E221-4DAA-89EA-5307A7BC98B3}"/>
  <tableColumns count="3">
    <tableColumn id="1" xr3:uid="{71C4392B-8887-40B1-9A7B-C600C91C0A9F}" name="OS" dataDxfId="339"/>
    <tableColumn id="2" xr3:uid="{EAC02F14-380C-4B61-8944-E4F1EC6C2572}" name="Vendedor" dataDxfId="338"/>
    <tableColumn id="3" xr3:uid="{04750BAB-2533-45E4-AD1A-4273DBA80CF4}" name="CARNE" dataDxfId="337"/>
  </tableColumns>
  <tableStyleInfo name="TableStyleMedium2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96B77B5F-B845-42CC-9842-A4003D160D1B}" name="rec_carn25" displayName="rec_carn25" ref="E34:I41" totalsRowShown="0" headerRowDxfId="336" dataDxfId="334" headerRowBorderDxfId="335" tableBorderDxfId="333" totalsRowBorderDxfId="33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6DB368D-3FCA-4385-B47B-DCFD7582F352}" name="OS" dataDxfId="331"/>
    <tableColumn id="2" xr3:uid="{C78ED1A0-4ABC-4C46-9011-9E7D40E53828}" name="Cliente" dataDxfId="330"/>
    <tableColumn id="3" xr3:uid="{5CDE3049-7EDA-4337-9E8E-58F0DB4CFDD5}" name="Forma de Pgto" dataDxfId="329" dataCellStyle="Moeda"/>
    <tableColumn id="4" xr3:uid="{7ACCAB16-AFFF-4B9D-A25F-B45F3BBA93B9}" name="Valor Parcela" dataDxfId="328" dataCellStyle="Porcentagem"/>
    <tableColumn id="5" xr3:uid="{15EC4276-5957-4146-877A-2D9AF52832DE}" name="Nº Parcela" dataDxfId="327" dataCellStyle="Porcentagem"/>
  </tableColumns>
  <tableStyleInfo name="TableStyleMedium2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F650CE07-AED3-4192-A626-22891BB4D0AA}" name="entr_carn25" displayName="entr_carn25" ref="K34:M41" totalsRowShown="0" headerRowDxfId="326" headerRowBorderDxfId="325" tableBorderDxfId="324" totalsRowBorderDxfId="323">
  <autoFilter ref="K34:M41" xr:uid="{1B8643D4-6AC3-4029-882A-C62E9D7CB225}"/>
  <tableColumns count="3">
    <tableColumn id="1" xr3:uid="{509FE920-B0D4-48CC-8AFC-C231084014ED}" name="OS" dataDxfId="322"/>
    <tableColumn id="2" xr3:uid="{648797DA-323D-4F7C-95F3-3223D3A08821}" name="Parcelas" dataDxfId="321"/>
    <tableColumn id="3" xr3:uid="{0684A7C0-4163-4297-B332-DFFBB65E266D}" name="Valor Total" dataDxfId="320"/>
  </tableColumns>
  <tableStyleInfo name="TableStyleMedium2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352388E3-A356-4027-8557-0A9B2CECFB11}" name="vend26" displayName="vend26" ref="E5:I22" totalsRowShown="0" headerRowDxfId="319" dataDxfId="317" headerRowBorderDxfId="318" tableBorderDxfId="316" totalsRowBorderDxfId="31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DBEBF7D-240A-4221-9B43-9204D90F8954}" name="Nº Venda" dataDxfId="314" dataCellStyle="Moeda"/>
    <tableColumn id="5" xr3:uid="{FA1FA1DC-5352-4524-9AB2-369222C4BDD1}" name="Cliente" dataDxfId="313" dataCellStyle="Moeda"/>
    <tableColumn id="2" xr3:uid="{A73B5E06-AB1F-48ED-B61C-8853446A4F5E}" name="Forma de Pgto" dataDxfId="312" dataCellStyle="Moeda"/>
    <tableColumn id="3" xr3:uid="{E5231A7F-7D20-4503-A786-BF9FC0E23F42}" name="Valor Venda" dataDxfId="311" dataCellStyle="Porcentagem"/>
    <tableColumn id="4" xr3:uid="{86DAF072-A11E-464D-A335-9A5F5FF09F8D}" name="Entrada" dataDxfId="310" dataCellStyle="Porcentagem"/>
  </tableColumns>
  <tableStyleInfo name="TableStyleMedium2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D80ADF3C-7CA0-453E-9DF8-2628D34A02FD}" name="desp26" displayName="desp26" ref="K5:M11" totalsRowShown="0" headerRowDxfId="309" dataDxfId="307" headerRowBorderDxfId="308" tableBorderDxfId="306" totalsRowBorderDxfId="305">
  <autoFilter ref="K5:M11" xr:uid="{00000000-0009-0000-0100-000015000000}"/>
  <tableColumns count="3">
    <tableColumn id="1" xr3:uid="{0C299E65-9391-4336-8CF7-2EC1702B221E}" name="Descrição" dataDxfId="304"/>
    <tableColumn id="2" xr3:uid="{45EA8371-50DD-4161-8CE6-AE739B48843A}" name="Tipo de Pagto" dataDxfId="303"/>
    <tableColumn id="3" xr3:uid="{4D98764C-873C-4A32-9ABD-121372723463}" name="Valor" dataDxfId="302"/>
  </tableColumns>
  <tableStyleInfo name="TableStyleMedium2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52DB98AF-7E1A-41BE-90CA-B74CCEAA2A2B}" name="rest_entr26" displayName="rest_entr26" ref="E25:I31" totalsRowShown="0" headerRowDxfId="301" dataDxfId="299" headerRowBorderDxfId="300" tableBorderDxfId="298" totalsRowBorderDxfId="29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901EF9E-BAC2-4D7C-A819-D9CA83F0CD47}" name="Nº Venda" dataDxfId="296"/>
    <tableColumn id="2" xr3:uid="{212BE65F-3FA5-419B-B9A4-58240EFDEBFA}" name="Cliente" dataDxfId="295"/>
    <tableColumn id="3" xr3:uid="{1EE1E2AC-25F1-4013-8D38-A0638CF454DB}" name="Forma de Pgto" dataDxfId="294" dataCellStyle="Moeda"/>
    <tableColumn id="4" xr3:uid="{38D98562-880F-4C00-A26B-F40D7F6C9E67}" name="Valor Venda" dataDxfId="293" dataCellStyle="Porcentagem"/>
    <tableColumn id="5" xr3:uid="{183B778F-EB01-4FDA-BD28-D4D361F688C4}" name="Entrada" dataDxfId="292" dataCellStyle="Porcentagem"/>
  </tableColumns>
  <tableStyleInfo name="TableStyleMedium2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6622D3F4-46EF-4ABB-8E65-317107966848}" name="os_entr_dia26" displayName="os_entr_dia26" ref="K14:M31" totalsRowShown="0" headerRowDxfId="291" dataDxfId="289" headerRowBorderDxfId="290" tableBorderDxfId="288" totalsRowBorderDxfId="287">
  <autoFilter ref="K14:M31" xr:uid="{C83FE64B-E221-4DAA-89EA-5307A7BC98B3}"/>
  <tableColumns count="3">
    <tableColumn id="1" xr3:uid="{21BA2342-0EF4-4D12-8CEB-D5F98AF1E43D}" name="OS" dataDxfId="286"/>
    <tableColumn id="2" xr3:uid="{8EC3F5A2-9325-43BD-A364-C3D24B7F492B}" name="Vendedor" dataDxfId="285"/>
    <tableColumn id="3" xr3:uid="{60B7BB21-2E30-4BF0-9109-7C61A6F8023E}" name="CARNE" dataDxfId="284"/>
  </tableColumns>
  <tableStyleInfo name="TableStyleMedium2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5CF4F760-A758-4597-9232-5F3288A7433A}" name="rec_carn26" displayName="rec_carn26" ref="E34:I41" totalsRowShown="0" headerRowDxfId="283" dataDxfId="281" headerRowBorderDxfId="282" tableBorderDxfId="280" totalsRowBorderDxfId="27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9933A13-F3B6-4FDC-8733-5BAE705BF626}" name="OS" dataDxfId="278"/>
    <tableColumn id="2" xr3:uid="{FEC021D0-C21F-4087-AA46-92F79B0BD15C}" name="Cliente" dataDxfId="277"/>
    <tableColumn id="3" xr3:uid="{B057DFD4-3A13-40AD-95B0-7A4A6D2F12EA}" name="Forma de Pgto" dataDxfId="276" dataCellStyle="Moeda"/>
    <tableColumn id="4" xr3:uid="{8571FA4F-3615-40B7-87DD-4A3572C756ED}" name="Valor Parcela" dataDxfId="275" dataCellStyle="Porcentagem"/>
    <tableColumn id="5" xr3:uid="{32F42922-7FF4-44E6-8FE1-CF1D84ED2607}" name="Nº Parcela" dataDxfId="274" dataCellStyle="Porcentagem"/>
  </tableColumns>
  <tableStyleInfo name="TableStyleMedium2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22A05C68-0704-431A-8388-CAEB0BAC85F8}" name="entr_carn26" displayName="entr_carn26" ref="K34:M41" totalsRowShown="0" headerRowDxfId="273" headerRowBorderDxfId="272" tableBorderDxfId="271" totalsRowBorderDxfId="270">
  <autoFilter ref="K34:M41" xr:uid="{1B8643D4-6AC3-4029-882A-C62E9D7CB225}"/>
  <tableColumns count="3">
    <tableColumn id="1" xr3:uid="{239C8B86-39AD-48DE-8CD4-9E298F831595}" name="OS" dataDxfId="269"/>
    <tableColumn id="2" xr3:uid="{52A4913C-562E-40FD-8422-19A5A2E9F3E9}" name="Parcelas" dataDxfId="268"/>
    <tableColumn id="3" xr3:uid="{A2980378-BECE-4786-B65D-94F14F69AE6B}" name="Valor Total" dataDxfId="267"/>
  </tableColumns>
  <tableStyleInfo name="TableStyleMedium2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54799540-3015-47F8-AED4-345FBE834D61}" name="vend27" displayName="vend27" ref="E5:I22" totalsRowShown="0" headerRowDxfId="266" dataDxfId="264" headerRowBorderDxfId="265" tableBorderDxfId="263" totalsRowBorderDxfId="26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36A956F5-CDCF-41AF-A246-E354B48D7697}" name="Nº Venda" dataDxfId="261" dataCellStyle="Moeda"/>
    <tableColumn id="5" xr3:uid="{570F0DA8-D686-4E48-AB43-770DB49D735A}" name="Cliente" dataDxfId="260" dataCellStyle="Moeda"/>
    <tableColumn id="2" xr3:uid="{80EB692B-CEF9-4384-93C3-D0C2D659D8B9}" name="Forma de Pgto" dataDxfId="259" dataCellStyle="Moeda"/>
    <tableColumn id="3" xr3:uid="{C072FA33-E65C-46A1-9619-122C55ADB543}" name="Valor Venda" dataDxfId="258" dataCellStyle="Porcentagem"/>
    <tableColumn id="4" xr3:uid="{A6AD7AE2-A356-40B6-8551-4661FBEB3F51}" name="Entrada" dataDxfId="257" dataCellStyle="Porcentagem"/>
  </tableColumns>
  <tableStyleInfo name="TableStyleMedium2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3FBB4AFA-734B-456E-9E8D-2AC04D7E80BD}" name="desp27" displayName="desp27" ref="K5:M11" totalsRowShown="0" headerRowDxfId="256" dataDxfId="254" headerRowBorderDxfId="255" tableBorderDxfId="253" totalsRowBorderDxfId="252">
  <autoFilter ref="K5:M11" xr:uid="{00000000-0009-0000-0100-000015000000}"/>
  <tableColumns count="3">
    <tableColumn id="1" xr3:uid="{B332CB19-9163-40A3-A95C-B96A1582E073}" name="Descrição" dataDxfId="251"/>
    <tableColumn id="2" xr3:uid="{61F5EE7F-73F4-42E2-A9DC-23449B0C3C01}" name="Tipo de Pagto" dataDxfId="250"/>
    <tableColumn id="3" xr3:uid="{DA89D608-9609-4843-A5C1-DE0E1200E4A8}" name="Valor" dataDxfId="249"/>
  </tableColumns>
  <tableStyleInfo name="TableStyleMedium2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C463F6D3-F2C2-4036-95EE-D45E6B881E54}" name="rest_entr27" displayName="rest_entr27" ref="E25:I31" totalsRowShown="0" headerRowDxfId="248" dataDxfId="246" headerRowBorderDxfId="247" tableBorderDxfId="245" totalsRowBorderDxfId="24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40196BB-F9D2-4320-AB25-7C3A831C7DDD}" name="Nº Venda" dataDxfId="243"/>
    <tableColumn id="2" xr3:uid="{AC5BDFCE-FCF6-4AAB-9202-5F41FD623E7A}" name="Cliente" dataDxfId="242"/>
    <tableColumn id="3" xr3:uid="{60B29A82-92C4-41E9-85E9-1CB47FDC0F48}" name="Forma de Pgto" dataDxfId="241" dataCellStyle="Moeda"/>
    <tableColumn id="4" xr3:uid="{77AEFEA3-2B2A-45D9-B420-2C503790CB98}" name="Valor Venda" dataDxfId="240" dataCellStyle="Porcentagem"/>
    <tableColumn id="5" xr3:uid="{ADAFB771-5146-4657-B325-26E81CB97F70}" name="Entrada" dataDxfId="239" dataCellStyle="Porcentagem"/>
  </tableColumns>
  <tableStyleInfo name="TableStyleMedium2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894A702F-0922-4D91-9D9A-65A1EF37A94F}" name="os_entr_dia27" displayName="os_entr_dia27" ref="K14:M31" totalsRowShown="0" headerRowDxfId="238" dataDxfId="236" headerRowBorderDxfId="237" tableBorderDxfId="235" totalsRowBorderDxfId="234">
  <autoFilter ref="K14:M31" xr:uid="{C83FE64B-E221-4DAA-89EA-5307A7BC98B3}"/>
  <tableColumns count="3">
    <tableColumn id="1" xr3:uid="{A681CC1B-EF00-4702-9240-49A1F9CD0ED9}" name="OS" dataDxfId="233"/>
    <tableColumn id="2" xr3:uid="{CACBAC13-6FB8-41CD-B9DA-E0BF6545625A}" name="Vendedor" dataDxfId="232"/>
    <tableColumn id="3" xr3:uid="{62DBFAEA-33ED-481B-88FE-D480C79BD70A}" name="CARNE" dataDxfId="231"/>
  </tableColumns>
  <tableStyleInfo name="TableStyleMedium2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4CA909A0-A836-43E0-A9E8-ED55F30E06E8}" name="rec_carn27" displayName="rec_carn27" ref="E34:I41" totalsRowShown="0" headerRowDxfId="230" dataDxfId="228" headerRowBorderDxfId="229" tableBorderDxfId="227" totalsRowBorderDxfId="22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6069355-97F2-4655-9A91-E044756F3432}" name="OS" dataDxfId="225"/>
    <tableColumn id="2" xr3:uid="{84774BA8-817B-4BB4-B330-18FC2D74BEBD}" name="Cliente" dataDxfId="224"/>
    <tableColumn id="3" xr3:uid="{B445E0F1-2EE3-48E4-A8D9-FA43238816EF}" name="Forma de Pgto" dataDxfId="223" dataCellStyle="Moeda"/>
    <tableColumn id="4" xr3:uid="{ABB960AB-65AE-4F15-BF53-C9D07E2FDA8B}" name="Valor Parcela" dataDxfId="222" dataCellStyle="Porcentagem"/>
    <tableColumn id="5" xr3:uid="{89825584-3833-4995-A86E-D7E4080CB9BB}" name="Nº Parcela" dataDxfId="221" dataCellStyle="Porcentagem"/>
  </tableColumns>
  <tableStyleInfo name="TableStyleMedium2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26DA7ECD-2A4F-4D1A-B35B-7B260DA71825}" name="entr_carn27" displayName="entr_carn27" ref="K34:M41" totalsRowShown="0" headerRowDxfId="220" headerRowBorderDxfId="219" tableBorderDxfId="218" totalsRowBorderDxfId="217">
  <autoFilter ref="K34:M41" xr:uid="{1B8643D4-6AC3-4029-882A-C62E9D7CB225}"/>
  <tableColumns count="3">
    <tableColumn id="1" xr3:uid="{EAA08E73-C7D6-46EB-8CB3-0B41DCC95916}" name="OS" dataDxfId="216"/>
    <tableColumn id="2" xr3:uid="{706D1FAA-0C88-4CDF-B8E1-15AD01A2E582}" name="Parcelas" dataDxfId="215"/>
    <tableColumn id="3" xr3:uid="{98D05923-385E-4F7C-ADF4-C1FB7F5B5CC5}" name="Valor Total" dataDxfId="214"/>
  </tableColumns>
  <tableStyleInfo name="TableStyleMedium2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D4A5981A-4065-4B1B-9693-695EE6AFCC70}" name="vend28" displayName="vend28" ref="E5:I22" totalsRowShown="0" headerRowDxfId="213" dataDxfId="211" headerRowBorderDxfId="212" tableBorderDxfId="210" totalsRowBorderDxfId="20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97BA206-BE12-404D-8404-891008185697}" name="Nº Venda" dataDxfId="208" dataCellStyle="Moeda"/>
    <tableColumn id="5" xr3:uid="{57575EBC-6B68-41EF-9676-918A4ABDCB4D}" name="Cliente" dataDxfId="207" dataCellStyle="Moeda"/>
    <tableColumn id="2" xr3:uid="{85714B76-869D-4DF7-8709-20EB0FE90848}" name="Forma de Pgto" dataDxfId="206" dataCellStyle="Moeda"/>
    <tableColumn id="3" xr3:uid="{A556487C-0FB8-4138-908B-0692480ED40F}" name="Valor Venda" dataDxfId="205" dataCellStyle="Porcentagem"/>
    <tableColumn id="4" xr3:uid="{2437A1CF-1861-42F2-9B6F-020480542B91}" name="Entrada" dataDxfId="204" dataCellStyle="Porcentagem"/>
  </tableColumns>
  <tableStyleInfo name="TableStyleMedium2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E1D00E2E-4BD5-422D-8C2E-8E730F02637C}" name="desp28" displayName="desp28" ref="K5:M11" totalsRowShown="0" headerRowDxfId="203" dataDxfId="201" headerRowBorderDxfId="202" tableBorderDxfId="200" totalsRowBorderDxfId="199">
  <autoFilter ref="K5:M11" xr:uid="{00000000-0009-0000-0100-000015000000}"/>
  <tableColumns count="3">
    <tableColumn id="1" xr3:uid="{EA498FD3-4549-4930-A7C5-2A6A697F86CC}" name="Descrição" dataDxfId="198"/>
    <tableColumn id="2" xr3:uid="{8748D917-3F00-4700-B7E5-7700540A331D}" name="Tipo de Pagto" dataDxfId="197"/>
    <tableColumn id="3" xr3:uid="{42A9985B-0743-4482-AA4C-D8FD0E0F72A5}" name="Valor" dataDxfId="196"/>
  </tableColumns>
  <tableStyleInfo name="TableStyleMedium2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54EC9B6A-7257-47D2-85FC-6ABFFCFFA876}" name="rest_entr28" displayName="rest_entr28" ref="E25:I31" totalsRowShown="0" headerRowDxfId="195" dataDxfId="193" headerRowBorderDxfId="194" tableBorderDxfId="192" totalsRowBorderDxfId="19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920349F-5D17-4073-86B5-57371E3A0CF5}" name="Nº Venda" dataDxfId="190"/>
    <tableColumn id="2" xr3:uid="{FE587643-BC52-4E6E-AF00-724AEF5CF68E}" name="Cliente" dataDxfId="189"/>
    <tableColumn id="3" xr3:uid="{7FE7D67C-9631-4982-8037-006DC6383D49}" name="Forma de Pgto" dataDxfId="188" dataCellStyle="Moeda"/>
    <tableColumn id="4" xr3:uid="{F211FF52-FD8A-4441-B1F6-EDB12BA108C0}" name="Valor Venda" dataDxfId="187" dataCellStyle="Porcentagem"/>
    <tableColumn id="5" xr3:uid="{16E4261B-0737-47FE-A7D3-731BFAF25FF7}" name="Entrada" dataDxfId="186" dataCellStyle="Porcentagem"/>
  </tableColumns>
  <tableStyleInfo name="TableStyleMedium2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367290F0-CEF8-43A9-9956-3ECCD464E965}" name="os_entr_dia28" displayName="os_entr_dia28" ref="K14:M31" totalsRowShown="0" headerRowDxfId="185" dataDxfId="183" headerRowBorderDxfId="184" tableBorderDxfId="182" totalsRowBorderDxfId="181">
  <autoFilter ref="K14:M31" xr:uid="{C83FE64B-E221-4DAA-89EA-5307A7BC98B3}"/>
  <tableColumns count="3">
    <tableColumn id="1" xr3:uid="{8E54EB92-C776-41FF-A0DB-06AF704A4887}" name="OS" dataDxfId="180"/>
    <tableColumn id="2" xr3:uid="{6868B7F3-9EF7-46C7-BEF9-654E8E36ED1C}" name="Vendedor" dataDxfId="179"/>
    <tableColumn id="3" xr3:uid="{1350521A-D743-40D9-A465-2D8D4BFE6A10}" name="CARNE" dataDxfId="178"/>
  </tableColumns>
  <tableStyleInfo name="TableStyleMedium2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14BC063E-DA86-49FD-B540-95243D3ED653}" name="rec_carn28" displayName="rec_carn28" ref="E34:I41" totalsRowShown="0" headerRowDxfId="177" dataDxfId="175" headerRowBorderDxfId="176" tableBorderDxfId="174" totalsRowBorderDxfId="17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7426E5F-2D5D-4034-A4B5-4D246C1BD56A}" name="OS" dataDxfId="172"/>
    <tableColumn id="2" xr3:uid="{85BDCF85-AA6C-42E1-B1B7-C516556DBDB9}" name="Cliente" dataDxfId="171"/>
    <tableColumn id="3" xr3:uid="{9F8DE4E4-D5E2-48B5-8EAA-40EB197D32AC}" name="Forma de Pgto" dataDxfId="170" dataCellStyle="Moeda"/>
    <tableColumn id="4" xr3:uid="{C6290D95-7284-445D-8939-C5FD7951996B}" name="Valor Parcela" dataDxfId="169" dataCellStyle="Porcentagem"/>
    <tableColumn id="5" xr3:uid="{52285BEC-0F7D-418F-A98F-3BC424F4B159}" name="Nº Parcela" dataDxfId="168" dataCellStyle="Porcentagem"/>
  </tableColumns>
  <tableStyleInfo name="TableStyleMedium2"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34D04D55-9BC2-4167-8009-8BAE593E7A6D}" name="entr_carn28" displayName="entr_carn28" ref="K34:M41" totalsRowShown="0" headerRowDxfId="167" headerRowBorderDxfId="166" tableBorderDxfId="165" totalsRowBorderDxfId="164">
  <autoFilter ref="K34:M41" xr:uid="{1B8643D4-6AC3-4029-882A-C62E9D7CB225}"/>
  <tableColumns count="3">
    <tableColumn id="1" xr3:uid="{2CBB75AA-30A1-4E7B-931E-A32395F87AA4}" name="OS" dataDxfId="163"/>
    <tableColumn id="2" xr3:uid="{9C8D7AA6-CFE0-4494-82DC-042A052CAAA0}" name="Parcelas" dataDxfId="162"/>
    <tableColumn id="3" xr3:uid="{57D19216-198A-4E06-835D-91E30A9FE599}" name="Valor Total" dataDxfId="161"/>
  </tableColumns>
  <tableStyleInfo name="TableStyleMedium2"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25598E40-C0D4-40A8-9256-2A06AB18BD41}" name="vend29" displayName="vend29" ref="E5:I22" totalsRowShown="0" headerRowDxfId="160" dataDxfId="158" headerRowBorderDxfId="159" tableBorderDxfId="157" totalsRowBorderDxfId="15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18F476E-8CE9-4275-95B6-67D7E993B146}" name="Nº Venda" dataDxfId="155" dataCellStyle="Moeda"/>
    <tableColumn id="5" xr3:uid="{B57FE100-D980-4793-9BEF-6EB81A189BDF}" name="Cliente" dataDxfId="154" dataCellStyle="Moeda"/>
    <tableColumn id="2" xr3:uid="{E3E7153F-994D-48FC-90C4-2CBF846DD020}" name="Forma de Pgto" dataDxfId="153" dataCellStyle="Moeda"/>
    <tableColumn id="3" xr3:uid="{665F1580-FA55-4C7F-BD41-C142CAFE3223}" name="Valor Venda" dataDxfId="152" dataCellStyle="Porcentagem"/>
    <tableColumn id="4" xr3:uid="{6F1E523A-10ED-4EDD-B2CA-D0C7AD019914}" name="Entrada" dataDxfId="151" dataCellStyle="Porcentagem"/>
  </tableColumns>
  <tableStyleInfo name="TableStyleMedium2"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DE228C5B-2430-481C-95EB-938A64F60278}" name="desp29" displayName="desp29" ref="K5:M11" totalsRowShown="0" headerRowDxfId="150" dataDxfId="148" headerRowBorderDxfId="149" tableBorderDxfId="147" totalsRowBorderDxfId="146">
  <autoFilter ref="K5:M11" xr:uid="{00000000-0009-0000-0100-000015000000}"/>
  <tableColumns count="3">
    <tableColumn id="1" xr3:uid="{8A51E802-CECA-43FB-B82C-E6736A43EA3D}" name="Descrição" dataDxfId="145"/>
    <tableColumn id="2" xr3:uid="{5BCD8607-AADC-48F8-8E37-0466420D4FCD}" name="Tipo de Pagto" dataDxfId="144"/>
    <tableColumn id="3" xr3:uid="{4723FDE3-A519-42AE-9778-8C9E4D87D4F8}" name="Valor" dataDxfId="143"/>
  </tableColumns>
  <tableStyleInfo name="TableStyleMedium2"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CC148017-4CE0-4FAA-9BFD-559FC7FDD1A4}" name="rest_entr29" displayName="rest_entr29" ref="E25:I31" totalsRowShown="0" headerRowDxfId="142" dataDxfId="140" headerRowBorderDxfId="141" tableBorderDxfId="139" totalsRowBorderDxfId="13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E3621FA-69DA-435E-B678-CBE7F3D0A83F}" name="Nº Venda" dataDxfId="137"/>
    <tableColumn id="2" xr3:uid="{DD36027F-0205-4159-9C6C-7703DD9F61D1}" name="Cliente" dataDxfId="136"/>
    <tableColumn id="3" xr3:uid="{C8916D40-C533-47FF-A39E-183396744611}" name="Forma de Pgto" dataDxfId="135" dataCellStyle="Moeda"/>
    <tableColumn id="4" xr3:uid="{80EB5638-1F44-4817-8C1B-9EB07004D4CA}" name="Valor Venda" dataDxfId="134" dataCellStyle="Porcentagem"/>
    <tableColumn id="5" xr3:uid="{B4816614-99C6-4C2F-BA88-5290B6B734E3}" name="Entrada" dataDxfId="133" dataCellStyle="Porcentagem"/>
  </tableColumns>
  <tableStyleInfo name="TableStyleMedium2"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14A7C6E0-E220-47F7-A458-4061E9D2FB5B}" name="os_entr_dia29" displayName="os_entr_dia29" ref="K14:M31" totalsRowShown="0" headerRowDxfId="132" dataDxfId="130" headerRowBorderDxfId="131" tableBorderDxfId="129" totalsRowBorderDxfId="128">
  <autoFilter ref="K14:M31" xr:uid="{C83FE64B-E221-4DAA-89EA-5307A7BC98B3}"/>
  <tableColumns count="3">
    <tableColumn id="1" xr3:uid="{DCFC0FAB-C428-42CC-A79B-6BBC4C4E77BA}" name="OS" dataDxfId="127"/>
    <tableColumn id="2" xr3:uid="{55C72FAB-171A-4E5F-A55F-BBFBE0F4AF66}" name="Vendedor" dataDxfId="126"/>
    <tableColumn id="3" xr3:uid="{DCD6A944-16B4-44C6-9625-37A26D7A1151}" name="CARNE" dataDxfId="125"/>
  </tableColumns>
  <tableStyleInfo name="TableStyleMedium2" showFirstColumn="0" showLastColumn="0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10A5815E-A567-476D-B1F3-735D77E3ACAF}" name="rec_carn29" displayName="rec_carn29" ref="E34:I41" totalsRowShown="0" headerRowDxfId="124" dataDxfId="122" headerRowBorderDxfId="123" tableBorderDxfId="121" totalsRowBorderDxfId="12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DF6EDFC-3FFD-429A-9DDC-C536FE5B75E7}" name="OS" dataDxfId="119"/>
    <tableColumn id="2" xr3:uid="{D2E85D99-F671-4642-9D56-7BBD7EADC926}" name="Cliente" dataDxfId="118"/>
    <tableColumn id="3" xr3:uid="{B8D270E5-112A-4D49-B21F-9055AF1F02FC}" name="Forma de Pgto" dataDxfId="117" dataCellStyle="Moeda"/>
    <tableColumn id="4" xr3:uid="{BA14CF36-FD33-4C35-B77D-D8C5207F906C}" name="Valor Parcela" dataDxfId="116" dataCellStyle="Porcentagem"/>
    <tableColumn id="5" xr3:uid="{2E862B2B-4705-4EDB-B528-4C423CDCC317}" name="Nº Parcela" dataDxfId="115" dataCellStyle="Porcentagem"/>
  </tableColumns>
  <tableStyleInfo name="TableStyleMedium2" showFirstColumn="0" showLastColumn="0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1F2BF1A7-E50B-4C50-93F0-EE9C3AD1D2C7}" name="entr_carn29" displayName="entr_carn29" ref="K34:M41" totalsRowShown="0" headerRowDxfId="114" headerRowBorderDxfId="113" tableBorderDxfId="112" totalsRowBorderDxfId="111">
  <autoFilter ref="K34:M41" xr:uid="{1B8643D4-6AC3-4029-882A-C62E9D7CB225}"/>
  <tableColumns count="3">
    <tableColumn id="1" xr3:uid="{2092375F-825B-4295-AC07-BBBA3650EB3F}" name="OS" dataDxfId="110"/>
    <tableColumn id="2" xr3:uid="{8614B6AF-F25C-401B-AE51-F9959608EB4A}" name="Parcelas" dataDxfId="109"/>
    <tableColumn id="3" xr3:uid="{9702475E-64D8-4282-B5F4-F45E7E7B1891}" name="Valor Total" dataDxfId="108"/>
  </tableColumns>
  <tableStyleInfo name="TableStyleMedium2" showFirstColumn="0" showLastColumn="0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8AB5D0E8-F858-4DEC-ACCB-E5003B9AC69D}" name="vend30" displayName="vend30" ref="E5:I22" totalsRowShown="0" headerRowDxfId="107" dataDxfId="105" headerRowBorderDxfId="106" tableBorderDxfId="104" totalsRowBorderDxfId="10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6F81CDF-5944-473B-BB49-405DC0015F99}" name="Nº Venda" dataDxfId="102" dataCellStyle="Moeda"/>
    <tableColumn id="5" xr3:uid="{6DA19713-2E98-46D3-97C5-9220DCA239CF}" name="Cliente" dataDxfId="101" dataCellStyle="Moeda"/>
    <tableColumn id="2" xr3:uid="{88459FA3-E39A-4E24-BE6F-5B43DDEA2A4A}" name="Forma de Pgto" dataDxfId="100" dataCellStyle="Moeda"/>
    <tableColumn id="3" xr3:uid="{D7168B7C-70C2-4F65-A7A3-4909E88C1A7B}" name="Valor Venda" dataDxfId="99" dataCellStyle="Porcentagem"/>
    <tableColumn id="4" xr3:uid="{ADF4588D-7BC9-4314-A427-3D24958DACCC}" name="Entrada" dataDxfId="98" dataCellStyle="Porcentagem"/>
  </tableColumns>
  <tableStyleInfo name="TableStyleMedium2" showFirstColumn="0" showLastColumn="0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C1B79FCE-A1AA-4DB9-A594-6D6DB0401488}" name="desp30" displayName="desp30" ref="K5:M11" totalsRowShown="0" headerRowDxfId="97" dataDxfId="95" headerRowBorderDxfId="96" tableBorderDxfId="94" totalsRowBorderDxfId="93">
  <autoFilter ref="K5:M11" xr:uid="{00000000-0009-0000-0100-000015000000}"/>
  <tableColumns count="3">
    <tableColumn id="1" xr3:uid="{E442CE4D-8AE5-41ED-A914-7256B88EAC73}" name="Descrição" dataDxfId="92"/>
    <tableColumn id="2" xr3:uid="{1E7FE08B-850F-4E9F-8B47-9536C8F5EC41}" name="Tipo de Pagto" dataDxfId="91"/>
    <tableColumn id="3" xr3:uid="{3DF1C1DC-F67A-43FF-B2A1-DF3622684536}" name="Valor" dataDxfId="90"/>
  </tableColumns>
  <tableStyleInfo name="TableStyleMedium2" showFirstColumn="0" showLastColumn="0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8F068CA9-E2A7-4E96-B043-97F7B6722AA7}" name="rest_entr30" displayName="rest_entr30" ref="E25:I31" totalsRowShown="0" headerRowDxfId="89" dataDxfId="87" headerRowBorderDxfId="88" tableBorderDxfId="86" totalsRowBorderDxfId="8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CE2E3F1-D50A-47D6-AACD-F83F3D0CE2B8}" name="Nº Venda" dataDxfId="84"/>
    <tableColumn id="2" xr3:uid="{7751C919-065D-412F-B8A7-F92A54826246}" name="Cliente" dataDxfId="83"/>
    <tableColumn id="3" xr3:uid="{22CEA33D-E4AE-4795-B81E-F00AEE0259C7}" name="Forma de Pgto" dataDxfId="82" dataCellStyle="Moeda"/>
    <tableColumn id="4" xr3:uid="{111A6D3D-9DF3-48E3-B298-6A078CD9958A}" name="Valor Venda" dataDxfId="81" dataCellStyle="Porcentagem"/>
    <tableColumn id="5" xr3:uid="{6FAC4EB6-9A05-4962-BE54-D649C18DF277}" name="Entrada" dataDxfId="80" dataCellStyle="Porcentagem"/>
  </tableColumns>
  <tableStyleInfo name="TableStyleMedium2" showFirstColumn="0" showLastColumn="0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FB7587A8-9AC5-4DCE-9847-F86093657769}" name="os_entr_dia30" displayName="os_entr_dia30" ref="K14:M31" totalsRowShown="0" headerRowDxfId="79" dataDxfId="77" headerRowBorderDxfId="78" tableBorderDxfId="76" totalsRowBorderDxfId="75">
  <autoFilter ref="K14:M31" xr:uid="{C83FE64B-E221-4DAA-89EA-5307A7BC98B3}"/>
  <tableColumns count="3">
    <tableColumn id="1" xr3:uid="{70EC0554-ECDB-4BBB-8EC8-2A8F33D6CFC6}" name="OS" dataDxfId="74"/>
    <tableColumn id="2" xr3:uid="{7B162083-69E8-4F3B-A78B-AAB824AC7351}" name="Vendedor" dataDxfId="73"/>
    <tableColumn id="3" xr3:uid="{A73D781B-1144-472F-AB4F-C1B60353EA62}" name="CARNE" dataDxfId="72"/>
  </tableColumns>
  <tableStyleInfo name="TableStyleMedium2" showFirstColumn="0" showLastColumn="0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280B210A-3F86-40FD-951E-FCC53075251F}" name="rec_carn30" displayName="rec_carn30" ref="E34:I41" totalsRowShown="0" headerRowDxfId="71" dataDxfId="69" headerRowBorderDxfId="70" tableBorderDxfId="68" totalsRowBorderDxfId="6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AD3C0498-252B-437A-9A16-3112A87FF46D}" name="OS" dataDxfId="66"/>
    <tableColumn id="2" xr3:uid="{20C66877-6F9A-47B0-A475-B6BCD966BCDE}" name="Cliente" dataDxfId="65"/>
    <tableColumn id="3" xr3:uid="{0B1C76D4-E380-4017-B2F1-2785D2AA0EB8}" name="Forma de Pgto" dataDxfId="64" dataCellStyle="Moeda"/>
    <tableColumn id="4" xr3:uid="{B7ACF4A8-9732-43AF-BAA1-9675D326ADFE}" name="Valor Parcela" dataDxfId="63" dataCellStyle="Porcentagem"/>
    <tableColumn id="5" xr3:uid="{D3AA6A31-6891-4F0D-A789-213423B77F89}" name="Nº Parcela" dataDxfId="62" dataCellStyle="Porcentagem"/>
  </tableColumns>
  <tableStyleInfo name="TableStyleMedium2" showFirstColumn="0" showLastColumn="0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B9964E62-D4D3-483D-BC32-B49AA72FD1A4}" name="entr_carn30" displayName="entr_carn30" ref="K34:M41" totalsRowShown="0" headerRowDxfId="61" headerRowBorderDxfId="60" tableBorderDxfId="59" totalsRowBorderDxfId="58">
  <autoFilter ref="K34:M41" xr:uid="{1B8643D4-6AC3-4029-882A-C62E9D7CB225}"/>
  <tableColumns count="3">
    <tableColumn id="1" xr3:uid="{2F82B378-0FB6-4745-B866-67CFE9774172}" name="OS" dataDxfId="57"/>
    <tableColumn id="2" xr3:uid="{BC22F8A2-3A5C-41B3-B76F-5C0070F63051}" name="Parcelas" dataDxfId="56"/>
    <tableColumn id="3" xr3:uid="{4BD95DAA-0D20-4678-8E3E-53FA905C70F9}" name="Valor Total" dataDxfId="55"/>
  </tableColumns>
  <tableStyleInfo name="TableStyleMedium2" showFirstColumn="0" showLastColumn="0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688F5438-2C4E-400E-8BCD-6FFA28E7593E}" name="vend31" displayName="vend31" ref="E5:I22" totalsRowShown="0" headerRowDxfId="54" dataDxfId="52" headerRowBorderDxfId="53" tableBorderDxfId="51" totalsRowBorderDxfId="5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04B4AEF-4684-49C9-B752-A5C7DB4E3834}" name="Nº Venda" dataDxfId="49" dataCellStyle="Moeda"/>
    <tableColumn id="5" xr3:uid="{B349F75C-FD83-42BC-AC89-09AA029D8EFE}" name="Cliente" dataDxfId="48" dataCellStyle="Moeda"/>
    <tableColumn id="2" xr3:uid="{5AC8E623-19E4-4450-B04F-87D3C51A3106}" name="Forma de Pgto" dataDxfId="47" dataCellStyle="Moeda"/>
    <tableColumn id="3" xr3:uid="{B508839F-67B8-4567-A0E7-F626D9292F0F}" name="Valor Venda" dataDxfId="46" dataCellStyle="Porcentagem"/>
    <tableColumn id="4" xr3:uid="{EEC337BF-1756-4A9B-AD25-186C19F608E4}" name="Entrada" dataDxfId="45" dataCellStyle="Porcentagem"/>
  </tableColumns>
  <tableStyleInfo name="TableStyleMedium2" showFirstColumn="0" showLastColumn="0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802B9C6E-272A-4298-B1D4-50F34EE00E58}" name="desp31" displayName="desp31" ref="K5:M11" totalsRowShown="0" headerRowDxfId="44" dataDxfId="42" headerRowBorderDxfId="43" tableBorderDxfId="41" totalsRowBorderDxfId="40">
  <autoFilter ref="K5:M11" xr:uid="{00000000-0009-0000-0100-000015000000}"/>
  <tableColumns count="3">
    <tableColumn id="1" xr3:uid="{3592BEEC-943B-4302-A978-B56ADB08BED9}" name="Descrição" dataDxfId="39"/>
    <tableColumn id="2" xr3:uid="{49221644-AE32-4BF9-BB52-77A3EABD5F0C}" name="Tipo de Pagto" dataDxfId="38"/>
    <tableColumn id="3" xr3:uid="{88361A78-CF3F-4DCF-8424-AE46053C75E6}" name="Valor" dataDxfId="37"/>
  </tableColumns>
  <tableStyleInfo name="TableStyleMedium2" showFirstColumn="0" showLastColumn="0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53C8B5B1-965F-4FEB-9916-3ECB4201942A}" name="rest_entr31" displayName="rest_entr31" ref="E25:I31" totalsRowShown="0" headerRowDxfId="36" dataDxfId="34" headerRowBorderDxfId="35" tableBorderDxfId="33" totalsRowBorderDxfId="3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AE46D6A-D209-493D-B582-44349BA9496C}" name="Nº Venda" dataDxfId="31"/>
    <tableColumn id="2" xr3:uid="{97DD3132-3804-4C47-A6DB-7DC40600EC8C}" name="Cliente" dataDxfId="30"/>
    <tableColumn id="3" xr3:uid="{1BC70869-3856-4ED9-8F16-5BD65C3868A7}" name="Forma de Pgto" dataDxfId="29" dataCellStyle="Moeda"/>
    <tableColumn id="4" xr3:uid="{C05A5EE1-AECF-408D-AE83-591D903C7D3B}" name="Valor Venda" dataDxfId="28" dataCellStyle="Porcentagem"/>
    <tableColumn id="5" xr3:uid="{1797FF6E-998A-42EF-B971-6F5AF105380C}" name="Entrada" dataDxfId="27" dataCellStyle="Porcentagem"/>
  </tableColumns>
  <tableStyleInfo name="TableStyleMedium2" showFirstColumn="0" showLastColumn="0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6564DBE8-CB00-4D15-886D-12F29CC4B2B4}" name="os_entr_dia31" displayName="os_entr_dia31" ref="K14:M31" totalsRowShown="0" headerRowDxfId="26" dataDxfId="24" headerRowBorderDxfId="25" tableBorderDxfId="23" totalsRowBorderDxfId="22">
  <autoFilter ref="K14:M31" xr:uid="{C83FE64B-E221-4DAA-89EA-5307A7BC98B3}"/>
  <tableColumns count="3">
    <tableColumn id="1" xr3:uid="{9DE4A889-248F-459E-8992-681934B06197}" name="OS" dataDxfId="21"/>
    <tableColumn id="2" xr3:uid="{02C1F889-1B21-460D-A9B5-23882A34C610}" name="Vendedor" dataDxfId="20"/>
    <tableColumn id="3" xr3:uid="{7BA38CB9-A108-482C-89FC-5BAC0E16D20B}" name="CARNE" dataDxfId="19"/>
  </tableColumns>
  <tableStyleInfo name="TableStyleMedium2" showFirstColumn="0" showLastColumn="0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64524176-DCEF-465D-A23E-603D56F6FD7D}" name="rec_carn31" displayName="rec_carn31" ref="E34:I41" totalsRowShown="0" headerRowDxfId="18" dataDxfId="16" headerRowBorderDxfId="17" tableBorderDxfId="15" totalsRowBorderDxfId="1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EDB42C2-479C-4AED-AA73-EB192F6D526F}" name="OS" dataDxfId="13"/>
    <tableColumn id="2" xr3:uid="{0384488B-A6E8-45B8-95DF-1AFC546D97F7}" name="Cliente" dataDxfId="12"/>
    <tableColumn id="3" xr3:uid="{27D144F0-AF87-462E-9717-001979EED817}" name="Forma de Pgto" dataDxfId="11" dataCellStyle="Moeda"/>
    <tableColumn id="4" xr3:uid="{53029C9F-CBAD-4B52-99B7-2C6ECD96CA7E}" name="Valor Parcela" dataDxfId="10" dataCellStyle="Porcentagem"/>
    <tableColumn id="5" xr3:uid="{6A53694F-D9A9-435C-8BF9-62A66BB6F1AD}" name="Nº Parcela" dataDxfId="9" dataCellStyle="Porcentagem"/>
  </tableColumns>
  <tableStyleInfo name="TableStyleMedium2" showFirstColumn="0" showLastColumn="0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531258EC-B92C-4244-A9CC-BC354F582B31}" name="entr_carn31" displayName="entr_carn31" ref="K34:M41" totalsRowShown="0" headerRowDxfId="8" headerRowBorderDxfId="7" tableBorderDxfId="6" totalsRowBorderDxfId="5">
  <autoFilter ref="K34:M41" xr:uid="{1B8643D4-6AC3-4029-882A-C62E9D7CB225}"/>
  <tableColumns count="3">
    <tableColumn id="1" xr3:uid="{020197BA-2A99-4121-9009-08C7A97AAB2F}" name="OS" dataDxfId="4"/>
    <tableColumn id="2" xr3:uid="{49A38415-1806-416E-A85E-CB9375CEB636}" name="Parcelas" dataDxfId="3"/>
    <tableColumn id="3" xr3:uid="{C6C0E4B4-CF56-4449-80ED-8D397C1D20D4}" name="Valor Total" dataDxfId="2"/>
  </tableColumns>
  <tableStyleInfo name="TableStyleMedium2" showFirstColumn="0" showLastColumn="0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48000000}" name="Tabela2" displayName="Tabela2" ref="A1:B9" totalsRowShown="0" headerRowDxfId="1">
  <autoFilter ref="A1:B9" xr:uid="{00000000-0009-0000-0100-000001000000}"/>
  <tableColumns count="2">
    <tableColumn id="1" xr3:uid="{00000000-0010-0000-4800-000001000000}" name="Tipo Pagto"/>
    <tableColumn id="2" xr3:uid="{00000000-0010-0000-4800-000002000000}" name="descricao"/>
  </tableColumns>
  <tableStyleInfo name="TableStyleMedium9" showFirstColumn="0" showLastColumn="0" showRowStripes="1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6BE37564-8FE4-4B51-AE59-6CAF1E6C101C}" name="Tabela188" displayName="Tabela188" ref="E1:E79" totalsRowShown="0" headerRowDxfId="0">
  <autoFilter ref="E1:E79" xr:uid="{6BE37564-8FE4-4B51-AE59-6CAF1E6C101C}"/>
  <tableColumns count="1">
    <tableColumn id="1" xr3:uid="{5CE7ED3B-998C-4EB4-BBFA-E056C644139F}" name="Parcelas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7" Type="http://schemas.openxmlformats.org/officeDocument/2006/relationships/table" Target="../tables/table12.xml"/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1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7" Type="http://schemas.openxmlformats.org/officeDocument/2006/relationships/table" Target="../tables/table18.xml"/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7.xml"/><Relationship Id="rId5" Type="http://schemas.openxmlformats.org/officeDocument/2006/relationships/table" Target="../tables/table16.xml"/><Relationship Id="rId4" Type="http://schemas.openxmlformats.org/officeDocument/2006/relationships/table" Target="../tables/table1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7" Type="http://schemas.openxmlformats.org/officeDocument/2006/relationships/table" Target="../tables/table24.xml"/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23.xml"/><Relationship Id="rId5" Type="http://schemas.openxmlformats.org/officeDocument/2006/relationships/table" Target="../tables/table22.xml"/><Relationship Id="rId4" Type="http://schemas.openxmlformats.org/officeDocument/2006/relationships/table" Target="../tables/table2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6.xml"/><Relationship Id="rId7" Type="http://schemas.openxmlformats.org/officeDocument/2006/relationships/table" Target="../tables/table30.xml"/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29.xml"/><Relationship Id="rId5" Type="http://schemas.openxmlformats.org/officeDocument/2006/relationships/table" Target="../tables/table28.xml"/><Relationship Id="rId4" Type="http://schemas.openxmlformats.org/officeDocument/2006/relationships/table" Target="../tables/table27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2.xml"/><Relationship Id="rId7" Type="http://schemas.openxmlformats.org/officeDocument/2006/relationships/table" Target="../tables/table36.xml"/><Relationship Id="rId2" Type="http://schemas.openxmlformats.org/officeDocument/2006/relationships/table" Target="../tables/table31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35.xml"/><Relationship Id="rId5" Type="http://schemas.openxmlformats.org/officeDocument/2006/relationships/table" Target="../tables/table34.xml"/><Relationship Id="rId4" Type="http://schemas.openxmlformats.org/officeDocument/2006/relationships/table" Target="../tables/table3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8.xml"/><Relationship Id="rId7" Type="http://schemas.openxmlformats.org/officeDocument/2006/relationships/table" Target="../tables/table42.xml"/><Relationship Id="rId2" Type="http://schemas.openxmlformats.org/officeDocument/2006/relationships/table" Target="../tables/table37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41.xml"/><Relationship Id="rId5" Type="http://schemas.openxmlformats.org/officeDocument/2006/relationships/table" Target="../tables/table40.xml"/><Relationship Id="rId4" Type="http://schemas.openxmlformats.org/officeDocument/2006/relationships/table" Target="../tables/table39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4.xml"/><Relationship Id="rId7" Type="http://schemas.openxmlformats.org/officeDocument/2006/relationships/table" Target="../tables/table48.xml"/><Relationship Id="rId2" Type="http://schemas.openxmlformats.org/officeDocument/2006/relationships/table" Target="../tables/table43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47.xml"/><Relationship Id="rId5" Type="http://schemas.openxmlformats.org/officeDocument/2006/relationships/table" Target="../tables/table46.xml"/><Relationship Id="rId4" Type="http://schemas.openxmlformats.org/officeDocument/2006/relationships/table" Target="../tables/table45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0.xml"/><Relationship Id="rId7" Type="http://schemas.openxmlformats.org/officeDocument/2006/relationships/table" Target="../tables/table54.xml"/><Relationship Id="rId2" Type="http://schemas.openxmlformats.org/officeDocument/2006/relationships/table" Target="../tables/table49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53.xml"/><Relationship Id="rId5" Type="http://schemas.openxmlformats.org/officeDocument/2006/relationships/table" Target="../tables/table52.xml"/><Relationship Id="rId4" Type="http://schemas.openxmlformats.org/officeDocument/2006/relationships/table" Target="../tables/table51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6.xml"/><Relationship Id="rId7" Type="http://schemas.openxmlformats.org/officeDocument/2006/relationships/table" Target="../tables/table60.xml"/><Relationship Id="rId2" Type="http://schemas.openxmlformats.org/officeDocument/2006/relationships/table" Target="../tables/table55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59.xml"/><Relationship Id="rId5" Type="http://schemas.openxmlformats.org/officeDocument/2006/relationships/table" Target="../tables/table58.xml"/><Relationship Id="rId4" Type="http://schemas.openxmlformats.org/officeDocument/2006/relationships/table" Target="../tables/table57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2.xml"/><Relationship Id="rId7" Type="http://schemas.openxmlformats.org/officeDocument/2006/relationships/table" Target="../tables/table66.xml"/><Relationship Id="rId2" Type="http://schemas.openxmlformats.org/officeDocument/2006/relationships/table" Target="../tables/table61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65.xml"/><Relationship Id="rId5" Type="http://schemas.openxmlformats.org/officeDocument/2006/relationships/table" Target="../tables/table64.xml"/><Relationship Id="rId4" Type="http://schemas.openxmlformats.org/officeDocument/2006/relationships/table" Target="../tables/table63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8.xml"/><Relationship Id="rId7" Type="http://schemas.openxmlformats.org/officeDocument/2006/relationships/table" Target="../tables/table72.xml"/><Relationship Id="rId2" Type="http://schemas.openxmlformats.org/officeDocument/2006/relationships/table" Target="../tables/table67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71.xml"/><Relationship Id="rId5" Type="http://schemas.openxmlformats.org/officeDocument/2006/relationships/table" Target="../tables/table70.xml"/><Relationship Id="rId4" Type="http://schemas.openxmlformats.org/officeDocument/2006/relationships/table" Target="../tables/table69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4.xml"/><Relationship Id="rId7" Type="http://schemas.openxmlformats.org/officeDocument/2006/relationships/table" Target="../tables/table78.xml"/><Relationship Id="rId2" Type="http://schemas.openxmlformats.org/officeDocument/2006/relationships/table" Target="../tables/table73.x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77.xml"/><Relationship Id="rId5" Type="http://schemas.openxmlformats.org/officeDocument/2006/relationships/table" Target="../tables/table76.xml"/><Relationship Id="rId4" Type="http://schemas.openxmlformats.org/officeDocument/2006/relationships/table" Target="../tables/table75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0.xml"/><Relationship Id="rId7" Type="http://schemas.openxmlformats.org/officeDocument/2006/relationships/table" Target="../tables/table84.xml"/><Relationship Id="rId2" Type="http://schemas.openxmlformats.org/officeDocument/2006/relationships/table" Target="../tables/table79.xml"/><Relationship Id="rId1" Type="http://schemas.openxmlformats.org/officeDocument/2006/relationships/printerSettings" Target="../printerSettings/printerSettings14.bin"/><Relationship Id="rId6" Type="http://schemas.openxmlformats.org/officeDocument/2006/relationships/table" Target="../tables/table83.xml"/><Relationship Id="rId5" Type="http://schemas.openxmlformats.org/officeDocument/2006/relationships/table" Target="../tables/table82.xml"/><Relationship Id="rId4" Type="http://schemas.openxmlformats.org/officeDocument/2006/relationships/table" Target="../tables/table81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6.xml"/><Relationship Id="rId7" Type="http://schemas.openxmlformats.org/officeDocument/2006/relationships/table" Target="../tables/table90.xml"/><Relationship Id="rId2" Type="http://schemas.openxmlformats.org/officeDocument/2006/relationships/table" Target="../tables/table85.xml"/><Relationship Id="rId1" Type="http://schemas.openxmlformats.org/officeDocument/2006/relationships/printerSettings" Target="../printerSettings/printerSettings15.bin"/><Relationship Id="rId6" Type="http://schemas.openxmlformats.org/officeDocument/2006/relationships/table" Target="../tables/table89.xml"/><Relationship Id="rId5" Type="http://schemas.openxmlformats.org/officeDocument/2006/relationships/table" Target="../tables/table88.xml"/><Relationship Id="rId4" Type="http://schemas.openxmlformats.org/officeDocument/2006/relationships/table" Target="../tables/table87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2.xml"/><Relationship Id="rId7" Type="http://schemas.openxmlformats.org/officeDocument/2006/relationships/table" Target="../tables/table96.xml"/><Relationship Id="rId2" Type="http://schemas.openxmlformats.org/officeDocument/2006/relationships/table" Target="../tables/table91.xml"/><Relationship Id="rId1" Type="http://schemas.openxmlformats.org/officeDocument/2006/relationships/printerSettings" Target="../printerSettings/printerSettings16.bin"/><Relationship Id="rId6" Type="http://schemas.openxmlformats.org/officeDocument/2006/relationships/table" Target="../tables/table95.xml"/><Relationship Id="rId5" Type="http://schemas.openxmlformats.org/officeDocument/2006/relationships/table" Target="../tables/table94.xml"/><Relationship Id="rId4" Type="http://schemas.openxmlformats.org/officeDocument/2006/relationships/table" Target="../tables/table93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8.xml"/><Relationship Id="rId7" Type="http://schemas.openxmlformats.org/officeDocument/2006/relationships/table" Target="../tables/table102.xml"/><Relationship Id="rId2" Type="http://schemas.openxmlformats.org/officeDocument/2006/relationships/table" Target="../tables/table97.xml"/><Relationship Id="rId1" Type="http://schemas.openxmlformats.org/officeDocument/2006/relationships/printerSettings" Target="../printerSettings/printerSettings17.bin"/><Relationship Id="rId6" Type="http://schemas.openxmlformats.org/officeDocument/2006/relationships/table" Target="../tables/table101.xml"/><Relationship Id="rId5" Type="http://schemas.openxmlformats.org/officeDocument/2006/relationships/table" Target="../tables/table100.xml"/><Relationship Id="rId4" Type="http://schemas.openxmlformats.org/officeDocument/2006/relationships/table" Target="../tables/table99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4.xml"/><Relationship Id="rId7" Type="http://schemas.openxmlformats.org/officeDocument/2006/relationships/table" Target="../tables/table108.xml"/><Relationship Id="rId2" Type="http://schemas.openxmlformats.org/officeDocument/2006/relationships/table" Target="../tables/table103.xml"/><Relationship Id="rId1" Type="http://schemas.openxmlformats.org/officeDocument/2006/relationships/printerSettings" Target="../printerSettings/printerSettings18.bin"/><Relationship Id="rId6" Type="http://schemas.openxmlformats.org/officeDocument/2006/relationships/table" Target="../tables/table107.xml"/><Relationship Id="rId5" Type="http://schemas.openxmlformats.org/officeDocument/2006/relationships/table" Target="../tables/table106.xml"/><Relationship Id="rId4" Type="http://schemas.openxmlformats.org/officeDocument/2006/relationships/table" Target="../tables/table105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0.xml"/><Relationship Id="rId7" Type="http://schemas.openxmlformats.org/officeDocument/2006/relationships/table" Target="../tables/table114.xml"/><Relationship Id="rId2" Type="http://schemas.openxmlformats.org/officeDocument/2006/relationships/table" Target="../tables/table109.xml"/><Relationship Id="rId1" Type="http://schemas.openxmlformats.org/officeDocument/2006/relationships/printerSettings" Target="../printerSettings/printerSettings19.bin"/><Relationship Id="rId6" Type="http://schemas.openxmlformats.org/officeDocument/2006/relationships/table" Target="../tables/table113.xml"/><Relationship Id="rId5" Type="http://schemas.openxmlformats.org/officeDocument/2006/relationships/table" Target="../tables/table112.xml"/><Relationship Id="rId4" Type="http://schemas.openxmlformats.org/officeDocument/2006/relationships/table" Target="../tables/table111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6.xml"/><Relationship Id="rId7" Type="http://schemas.openxmlformats.org/officeDocument/2006/relationships/table" Target="../tables/table120.xml"/><Relationship Id="rId2" Type="http://schemas.openxmlformats.org/officeDocument/2006/relationships/table" Target="../tables/table115.xml"/><Relationship Id="rId1" Type="http://schemas.openxmlformats.org/officeDocument/2006/relationships/printerSettings" Target="../printerSettings/printerSettings20.bin"/><Relationship Id="rId6" Type="http://schemas.openxmlformats.org/officeDocument/2006/relationships/table" Target="../tables/table119.xml"/><Relationship Id="rId5" Type="http://schemas.openxmlformats.org/officeDocument/2006/relationships/table" Target="../tables/table118.xml"/><Relationship Id="rId4" Type="http://schemas.openxmlformats.org/officeDocument/2006/relationships/table" Target="../tables/table117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2.xml"/><Relationship Id="rId7" Type="http://schemas.openxmlformats.org/officeDocument/2006/relationships/table" Target="../tables/table126.xml"/><Relationship Id="rId2" Type="http://schemas.openxmlformats.org/officeDocument/2006/relationships/table" Target="../tables/table121.xml"/><Relationship Id="rId1" Type="http://schemas.openxmlformats.org/officeDocument/2006/relationships/printerSettings" Target="../printerSettings/printerSettings21.bin"/><Relationship Id="rId6" Type="http://schemas.openxmlformats.org/officeDocument/2006/relationships/table" Target="../tables/table125.xml"/><Relationship Id="rId5" Type="http://schemas.openxmlformats.org/officeDocument/2006/relationships/table" Target="../tables/table124.xml"/><Relationship Id="rId4" Type="http://schemas.openxmlformats.org/officeDocument/2006/relationships/table" Target="../tables/table123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8.xml"/><Relationship Id="rId7" Type="http://schemas.openxmlformats.org/officeDocument/2006/relationships/table" Target="../tables/table132.xml"/><Relationship Id="rId2" Type="http://schemas.openxmlformats.org/officeDocument/2006/relationships/table" Target="../tables/table127.xml"/><Relationship Id="rId1" Type="http://schemas.openxmlformats.org/officeDocument/2006/relationships/printerSettings" Target="../printerSettings/printerSettings22.bin"/><Relationship Id="rId6" Type="http://schemas.openxmlformats.org/officeDocument/2006/relationships/table" Target="../tables/table131.xml"/><Relationship Id="rId5" Type="http://schemas.openxmlformats.org/officeDocument/2006/relationships/table" Target="../tables/table130.xml"/><Relationship Id="rId4" Type="http://schemas.openxmlformats.org/officeDocument/2006/relationships/table" Target="../tables/table129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4.xml"/><Relationship Id="rId7" Type="http://schemas.openxmlformats.org/officeDocument/2006/relationships/table" Target="../tables/table138.xml"/><Relationship Id="rId2" Type="http://schemas.openxmlformats.org/officeDocument/2006/relationships/table" Target="../tables/table133.xml"/><Relationship Id="rId1" Type="http://schemas.openxmlformats.org/officeDocument/2006/relationships/printerSettings" Target="../printerSettings/printerSettings23.bin"/><Relationship Id="rId6" Type="http://schemas.openxmlformats.org/officeDocument/2006/relationships/table" Target="../tables/table137.xml"/><Relationship Id="rId5" Type="http://schemas.openxmlformats.org/officeDocument/2006/relationships/table" Target="../tables/table136.xml"/><Relationship Id="rId4" Type="http://schemas.openxmlformats.org/officeDocument/2006/relationships/table" Target="../tables/table135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0.xml"/><Relationship Id="rId7" Type="http://schemas.openxmlformats.org/officeDocument/2006/relationships/table" Target="../tables/table144.xml"/><Relationship Id="rId2" Type="http://schemas.openxmlformats.org/officeDocument/2006/relationships/table" Target="../tables/table139.xml"/><Relationship Id="rId1" Type="http://schemas.openxmlformats.org/officeDocument/2006/relationships/printerSettings" Target="../printerSettings/printerSettings24.bin"/><Relationship Id="rId6" Type="http://schemas.openxmlformats.org/officeDocument/2006/relationships/table" Target="../tables/table143.xml"/><Relationship Id="rId5" Type="http://schemas.openxmlformats.org/officeDocument/2006/relationships/table" Target="../tables/table142.xml"/><Relationship Id="rId4" Type="http://schemas.openxmlformats.org/officeDocument/2006/relationships/table" Target="../tables/table141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6.xml"/><Relationship Id="rId7" Type="http://schemas.openxmlformats.org/officeDocument/2006/relationships/table" Target="../tables/table150.xml"/><Relationship Id="rId2" Type="http://schemas.openxmlformats.org/officeDocument/2006/relationships/table" Target="../tables/table145.xml"/><Relationship Id="rId1" Type="http://schemas.openxmlformats.org/officeDocument/2006/relationships/printerSettings" Target="../printerSettings/printerSettings25.bin"/><Relationship Id="rId6" Type="http://schemas.openxmlformats.org/officeDocument/2006/relationships/table" Target="../tables/table149.xml"/><Relationship Id="rId5" Type="http://schemas.openxmlformats.org/officeDocument/2006/relationships/table" Target="../tables/table148.xml"/><Relationship Id="rId4" Type="http://schemas.openxmlformats.org/officeDocument/2006/relationships/table" Target="../tables/table147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2.xml"/><Relationship Id="rId7" Type="http://schemas.openxmlformats.org/officeDocument/2006/relationships/table" Target="../tables/table156.xml"/><Relationship Id="rId2" Type="http://schemas.openxmlformats.org/officeDocument/2006/relationships/table" Target="../tables/table151.xml"/><Relationship Id="rId1" Type="http://schemas.openxmlformats.org/officeDocument/2006/relationships/printerSettings" Target="../printerSettings/printerSettings26.bin"/><Relationship Id="rId6" Type="http://schemas.openxmlformats.org/officeDocument/2006/relationships/table" Target="../tables/table155.xml"/><Relationship Id="rId5" Type="http://schemas.openxmlformats.org/officeDocument/2006/relationships/table" Target="../tables/table154.xml"/><Relationship Id="rId4" Type="http://schemas.openxmlformats.org/officeDocument/2006/relationships/table" Target="../tables/table153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8.xml"/><Relationship Id="rId7" Type="http://schemas.openxmlformats.org/officeDocument/2006/relationships/table" Target="../tables/table162.xml"/><Relationship Id="rId2" Type="http://schemas.openxmlformats.org/officeDocument/2006/relationships/table" Target="../tables/table157.xml"/><Relationship Id="rId1" Type="http://schemas.openxmlformats.org/officeDocument/2006/relationships/printerSettings" Target="../printerSettings/printerSettings27.bin"/><Relationship Id="rId6" Type="http://schemas.openxmlformats.org/officeDocument/2006/relationships/table" Target="../tables/table161.xml"/><Relationship Id="rId5" Type="http://schemas.openxmlformats.org/officeDocument/2006/relationships/table" Target="../tables/table160.xml"/><Relationship Id="rId4" Type="http://schemas.openxmlformats.org/officeDocument/2006/relationships/table" Target="../tables/table159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4.xml"/><Relationship Id="rId7" Type="http://schemas.openxmlformats.org/officeDocument/2006/relationships/table" Target="../tables/table168.xml"/><Relationship Id="rId2" Type="http://schemas.openxmlformats.org/officeDocument/2006/relationships/table" Target="../tables/table163.xml"/><Relationship Id="rId1" Type="http://schemas.openxmlformats.org/officeDocument/2006/relationships/printerSettings" Target="../printerSettings/printerSettings28.bin"/><Relationship Id="rId6" Type="http://schemas.openxmlformats.org/officeDocument/2006/relationships/table" Target="../tables/table167.xml"/><Relationship Id="rId5" Type="http://schemas.openxmlformats.org/officeDocument/2006/relationships/table" Target="../tables/table166.xml"/><Relationship Id="rId4" Type="http://schemas.openxmlformats.org/officeDocument/2006/relationships/table" Target="../tables/table165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0.xml"/><Relationship Id="rId7" Type="http://schemas.openxmlformats.org/officeDocument/2006/relationships/table" Target="../tables/table174.xml"/><Relationship Id="rId2" Type="http://schemas.openxmlformats.org/officeDocument/2006/relationships/table" Target="../tables/table169.xml"/><Relationship Id="rId1" Type="http://schemas.openxmlformats.org/officeDocument/2006/relationships/printerSettings" Target="../printerSettings/printerSettings29.bin"/><Relationship Id="rId6" Type="http://schemas.openxmlformats.org/officeDocument/2006/relationships/table" Target="../tables/table173.xml"/><Relationship Id="rId5" Type="http://schemas.openxmlformats.org/officeDocument/2006/relationships/table" Target="../tables/table172.xml"/><Relationship Id="rId4" Type="http://schemas.openxmlformats.org/officeDocument/2006/relationships/table" Target="../tables/table171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6.xml"/><Relationship Id="rId7" Type="http://schemas.openxmlformats.org/officeDocument/2006/relationships/table" Target="../tables/table180.xml"/><Relationship Id="rId2" Type="http://schemas.openxmlformats.org/officeDocument/2006/relationships/table" Target="../tables/table175.xml"/><Relationship Id="rId1" Type="http://schemas.openxmlformats.org/officeDocument/2006/relationships/printerSettings" Target="../printerSettings/printerSettings30.bin"/><Relationship Id="rId6" Type="http://schemas.openxmlformats.org/officeDocument/2006/relationships/table" Target="../tables/table179.xml"/><Relationship Id="rId5" Type="http://schemas.openxmlformats.org/officeDocument/2006/relationships/table" Target="../tables/table178.xml"/><Relationship Id="rId4" Type="http://schemas.openxmlformats.org/officeDocument/2006/relationships/table" Target="../tables/table177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2.xml"/><Relationship Id="rId7" Type="http://schemas.openxmlformats.org/officeDocument/2006/relationships/table" Target="../tables/table186.xml"/><Relationship Id="rId2" Type="http://schemas.openxmlformats.org/officeDocument/2006/relationships/table" Target="../tables/table181.xml"/><Relationship Id="rId1" Type="http://schemas.openxmlformats.org/officeDocument/2006/relationships/printerSettings" Target="../printerSettings/printerSettings31.bin"/><Relationship Id="rId6" Type="http://schemas.openxmlformats.org/officeDocument/2006/relationships/table" Target="../tables/table185.xml"/><Relationship Id="rId5" Type="http://schemas.openxmlformats.org/officeDocument/2006/relationships/table" Target="../tables/table184.xml"/><Relationship Id="rId4" Type="http://schemas.openxmlformats.org/officeDocument/2006/relationships/table" Target="../tables/table183.x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8.xml"/><Relationship Id="rId1" Type="http://schemas.openxmlformats.org/officeDocument/2006/relationships/table" Target="../tables/table18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3903C-F29A-46F5-907F-E7FC849D4E81}">
  <dimension ref="A2:B18"/>
  <sheetViews>
    <sheetView workbookViewId="0">
      <selection activeCell="B4" sqref="B4"/>
    </sheetView>
  </sheetViews>
  <sheetFormatPr defaultColWidth="21.28515625" defaultRowHeight="12.75" x14ac:dyDescent="0.2"/>
  <cols>
    <col min="2" max="2" width="22.7109375" customWidth="1"/>
  </cols>
  <sheetData>
    <row r="2" spans="1:2" ht="15" x14ac:dyDescent="0.2">
      <c r="A2" s="19" t="s">
        <v>1</v>
      </c>
      <c r="B2" s="20">
        <v>0</v>
      </c>
    </row>
    <row r="3" spans="1:2" ht="15" x14ac:dyDescent="0.25">
      <c r="A3" s="23" t="s">
        <v>2</v>
      </c>
      <c r="B3" s="24">
        <f>SUM('01'!C5,'02'!C5,'03'!C5,'04'!C5,'05'!C5,'06'!C5,'07'!C5,'08'!C5,'09'!C5,'10'!C5,'11'!C5,'12'!C5,'13'!C5,'14'!C5,'15'!C5,'16'!C5,'17'!C5,'18'!C5,'19'!C5,'20'!C5,'21'!C5,'22'!C5,'23'!C5,'24'!C5,'25'!C5,'26'!C5,'27'!C5,'28'!C5,'29'!C5,'30'!C5,'31'!C5)</f>
        <v>9714.7000000000007</v>
      </c>
    </row>
    <row r="4" spans="1:2" ht="15" x14ac:dyDescent="0.25">
      <c r="A4" s="23" t="s">
        <v>8</v>
      </c>
      <c r="B4" s="24">
        <f>SUM('01'!C6,'02'!C6,'03'!C6,'04'!C6,'05'!C6,'06'!C6,'07'!C6,'08'!C6,'09'!C6,'10'!C6,'11'!C6,'12'!C6,'13'!C6,'14'!C6,'15'!C6,'16'!C6,'17'!C6,'18'!C6,'19'!C6,'20'!C6,'21'!C6,'22'!C6,'23'!C6,'24'!C6,'25'!C6,'26'!C6,'27'!C6,'28'!C6,'29'!C6,'30'!C6,'31'!C6)</f>
        <v>3978.7</v>
      </c>
    </row>
    <row r="5" spans="1:2" ht="15" x14ac:dyDescent="0.25">
      <c r="A5" s="23" t="s">
        <v>3</v>
      </c>
      <c r="B5" s="24">
        <f>SUM('01'!C7,'02'!C7,'03'!C7,'04'!C7,'05'!C7,'06'!C7,'07'!C7,'08'!C7,'09'!C7,'10'!C7,'11'!C7,'12'!C7,'13'!C7,'14'!C7,'15'!C7,'16'!C7,'17'!C7,'18'!C7,'19'!C7,'20'!C7,'21'!C7,'22'!C7,'23'!C7,'24'!C7,'25'!C7,'26'!C7,'27'!C7,'28'!C7,'29'!C7,'30'!C7,'31'!C7)</f>
        <v>24</v>
      </c>
    </row>
    <row r="6" spans="1:2" ht="15.75" x14ac:dyDescent="0.25">
      <c r="A6" s="28" t="s">
        <v>123</v>
      </c>
      <c r="B6" s="29">
        <f>SUM(B4:B5)</f>
        <v>4002.7</v>
      </c>
    </row>
    <row r="7" spans="1:2" ht="15" x14ac:dyDescent="0.25">
      <c r="A7" s="2"/>
      <c r="B7" s="2"/>
    </row>
    <row r="8" spans="1:2" ht="15" x14ac:dyDescent="0.2">
      <c r="A8" s="75" t="s">
        <v>16</v>
      </c>
      <c r="B8" s="75"/>
    </row>
    <row r="9" spans="1:2" ht="15" x14ac:dyDescent="0.25">
      <c r="A9" s="30" t="s">
        <v>12</v>
      </c>
      <c r="B9" s="24">
        <f>SUM('01'!C11,'02'!C11,'03'!C11,'04'!C11,'05'!C11,'06'!C11,'07'!C11,'08'!C11,'09'!C11,'10'!C11,'11'!C11,'12'!C11,'13'!C11,'14'!C11,'15'!C11,'16'!C11,'17'!C11,'18'!C11,'19'!C11,'20'!C11,'21'!C11,'22'!C11,'23'!C11,'24'!C11,'25'!C11,'26'!C11,'27'!C11,'28'!C11,'29'!C11,'30'!C11,'31'!C11)</f>
        <v>1100</v>
      </c>
    </row>
    <row r="10" spans="1:2" ht="15" x14ac:dyDescent="0.25">
      <c r="A10" s="30" t="s">
        <v>17</v>
      </c>
      <c r="B10" s="24">
        <f>SUM('01'!C12,'02'!C12,'03'!C12,'04'!C12,'05'!C12,'06'!C12,'07'!C12,'08'!C12,'09'!C12,'10'!C12,'11'!C12,'12'!C12,'13'!C12,'14'!C12,'15'!C12,'16'!C12,'17'!C12,'18'!C12,'19'!C12,'20'!C12,'21'!C12,'22'!C12,'23'!C12,'24'!C12,'25'!C12,'26'!C12,'27'!C12,'28'!C12,'29'!C12,'30'!C12,'31'!C12)</f>
        <v>1662.2</v>
      </c>
    </row>
    <row r="11" spans="1:2" ht="15" x14ac:dyDescent="0.25">
      <c r="A11" s="30" t="s">
        <v>18</v>
      </c>
      <c r="B11" s="24">
        <f>SUM('01'!C13,'02'!C13,'03'!C13,'04'!C13,'05'!C13,'06'!C13,'07'!C13,'08'!C13,'09'!C13,'10'!C13,'11'!C13,'12'!C13,'13'!C13,'14'!C13,'15'!C13,'16'!C13,'17'!C13,'18'!C13,'19'!C13,'20'!C13,'21'!C13,'22'!C13,'23'!C13,'24'!C13,'25'!C13,'26'!C13,'27'!C13,'28'!C13,'29'!C13,'30'!C13,'31'!C13)</f>
        <v>50</v>
      </c>
    </row>
    <row r="12" spans="1:2" ht="15" x14ac:dyDescent="0.25">
      <c r="A12" s="30" t="s">
        <v>15</v>
      </c>
      <c r="B12" s="24">
        <f>SUM('01'!C14,'02'!C14,'03'!C14,'04'!C14,'05'!C14,'06'!C14,'07'!C14,'08'!C14,'09'!C14,'10'!C14,'11'!C14,'12'!C14,'13'!C14,'14'!C14,'15'!C14,'16'!C14,'17'!C14,'18'!C14,'19'!C14,'20'!C14,'21'!C14,'22'!C14,'23'!C14,'24'!C14,'25'!C14,'26'!C14,'27'!C14,'28'!C14,'29'!C14,'30'!C14,'31'!C14)</f>
        <v>1950</v>
      </c>
    </row>
    <row r="13" spans="1:2" ht="15" x14ac:dyDescent="0.25">
      <c r="A13" s="30" t="s">
        <v>13</v>
      </c>
      <c r="B13" s="24">
        <f>SUM('01'!C15,'02'!C15,'03'!C15,'04'!C15,'05'!C15,'06'!C15,'07'!C15,'08'!C15,'09'!C15,'10'!C15,'11'!C15,'12'!C15,'13'!C15,'14'!C15,'15'!C15,'16'!C15,'17'!C15,'18'!C15,'19'!C15,'20'!C15,'21'!C15,'22'!C15,'23'!C15,'24'!C15,'25'!C15,'26'!C15,'27'!C15,'28'!C15,'29'!C15,'30'!C15,'31'!C15)</f>
        <v>1153.3499999999999</v>
      </c>
    </row>
    <row r="14" spans="1:2" ht="15.75" x14ac:dyDescent="0.25">
      <c r="A14" s="28" t="s">
        <v>19</v>
      </c>
      <c r="B14" s="32">
        <f>SUM(B9:B13)</f>
        <v>5915.5499999999993</v>
      </c>
    </row>
    <row r="15" spans="1:2" ht="15" x14ac:dyDescent="0.25">
      <c r="A15" s="2"/>
      <c r="B15" s="2"/>
    </row>
    <row r="16" spans="1:2" ht="15" x14ac:dyDescent="0.2">
      <c r="A16" s="75" t="s">
        <v>35</v>
      </c>
      <c r="B16" s="75"/>
    </row>
    <row r="17" spans="1:2" ht="15" x14ac:dyDescent="0.25">
      <c r="A17" s="30">
        <f>COUNT(entr_carn1[OS])</f>
        <v>1</v>
      </c>
      <c r="B17" s="24">
        <f>SUM('01'!C19,'02'!C19,'03'!C19,'04'!C19,'05'!C19,'06'!C19,'07'!C19,'08'!C19,'09'!C19,'10'!C19,'11'!C19,'12'!C19,'13'!C19,'14'!C19,'15'!C19,'16'!C19,'17'!C19,'18'!C19,'19'!C19,'20'!C19,'21'!C19,'22'!C19,'23'!C19,'24'!C19,'25'!C19,'26'!C19,'27'!C19,'28'!C19,'29'!C19,'30'!C19,'31'!C19)</f>
        <v>1330</v>
      </c>
    </row>
    <row r="18" spans="1:2" ht="15.75" x14ac:dyDescent="0.25">
      <c r="A18" s="28" t="s">
        <v>19</v>
      </c>
      <c r="B18" s="32">
        <f>SUM(B17:B17)</f>
        <v>1330</v>
      </c>
    </row>
  </sheetData>
  <mergeCells count="2">
    <mergeCell ref="A8:B8"/>
    <mergeCell ref="A16:B16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0F78-C142-4765-ADB4-0CE0C6EB1A55}">
  <dimension ref="B1:R41"/>
  <sheetViews>
    <sheetView showGridLines="0" zoomScale="80" zoomScaleNormal="80" workbookViewId="0">
      <selection activeCell="E6" sqref="E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v>45231</v>
      </c>
    </row>
    <row r="2" spans="2:18" ht="18.75" x14ac:dyDescent="0.2">
      <c r="B2" s="80" t="s">
        <v>0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83" t="s">
        <v>2</v>
      </c>
      <c r="F4" s="83"/>
      <c r="G4" s="83"/>
      <c r="H4" s="83"/>
      <c r="I4" s="83"/>
      <c r="J4" s="22"/>
      <c r="K4" s="77" t="s">
        <v>3</v>
      </c>
      <c r="L4" s="78"/>
      <c r="M4" s="79"/>
    </row>
    <row r="5" spans="2:18" ht="15" x14ac:dyDescent="0.2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0</v>
      </c>
      <c r="D6" s="2"/>
      <c r="E6" s="18">
        <v>800</v>
      </c>
      <c r="F6" s="25" t="s">
        <v>124</v>
      </c>
      <c r="G6" s="48" t="s">
        <v>23</v>
      </c>
      <c r="H6" s="8">
        <v>0</v>
      </c>
      <c r="I6" s="8">
        <v>0</v>
      </c>
      <c r="J6" s="2"/>
      <c r="K6" s="25"/>
      <c r="L6" s="9"/>
      <c r="M6" s="16"/>
      <c r="R6" s="1">
        <f>IF(vend1[[#This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8"/>
      <c r="H7" s="8"/>
      <c r="I7" s="8"/>
      <c r="J7" s="2"/>
      <c r="K7" s="25"/>
      <c r="L7" s="9"/>
      <c r="M7" s="16"/>
      <c r="R7" s="1">
        <f>IF(vend1[[#This Row],[Nº Venda]]&gt;1,1,0)</f>
        <v>0</v>
      </c>
    </row>
    <row r="8" spans="2:18" ht="15.75" x14ac:dyDescent="0.25">
      <c r="B8" s="28" t="s">
        <v>14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IF(vend1[[#This Row],[Nº Venda]]&gt;1,1,0)</f>
        <v>0</v>
      </c>
    </row>
    <row r="10" spans="2:18" ht="15.75" x14ac:dyDescent="0.25">
      <c r="B10" s="75" t="s">
        <v>16</v>
      </c>
      <c r="C10" s="7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7" t="s">
        <v>36</v>
      </c>
      <c r="L13" s="78"/>
      <c r="M13" s="79"/>
      <c r="R13" s="1">
        <f>IF(vend1[[#This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IF(vend1[[#This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788</v>
      </c>
      <c r="L15" s="9" t="s">
        <v>125</v>
      </c>
      <c r="M15" s="16" t="s">
        <v>126</v>
      </c>
      <c r="R15" s="1">
        <f>IF(vend1[[#This Row],[Nº Venda]]&gt;1,1,0)</f>
        <v>0</v>
      </c>
    </row>
    <row r="16" spans="2:18" ht="15.75" x14ac:dyDescent="0.25">
      <c r="B16" s="28" t="s">
        <v>19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>
        <v>791</v>
      </c>
      <c r="L16" s="9" t="s">
        <v>127</v>
      </c>
      <c r="M16" s="16" t="s">
        <v>126</v>
      </c>
      <c r="R16" s="1">
        <f>IF(vend1[[#This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792</v>
      </c>
      <c r="L17" s="9" t="s">
        <v>125</v>
      </c>
      <c r="M17" s="16" t="s">
        <v>128</v>
      </c>
      <c r="R17" s="1">
        <f>IF(vend1[[#This Row],[Nº Venda]]&gt;1,1,0)</f>
        <v>0</v>
      </c>
    </row>
    <row r="18" spans="2:18" ht="15.75" x14ac:dyDescent="0.25">
      <c r="B18" s="75" t="s">
        <v>35</v>
      </c>
      <c r="C18" s="7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IF(vend1[[#This Row],[Nº Venda]]&gt;1,1,0)</f>
        <v>0</v>
      </c>
    </row>
    <row r="19" spans="2:18" ht="15.75" x14ac:dyDescent="0.25">
      <c r="B19" s="30">
        <f>COUNT(entr_carn1[OS])</f>
        <v>1</v>
      </c>
      <c r="C19" s="31">
        <f>SUM(entr_carn1[Valor Total])</f>
        <v>100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IF(vend1[[#This Row],[Nº Venda]]&gt;1,1,0)</f>
        <v>0</v>
      </c>
    </row>
    <row r="20" spans="2:18" ht="15.75" x14ac:dyDescent="0.25">
      <c r="B20" s="28" t="s">
        <v>19</v>
      </c>
      <c r="C20" s="32">
        <f>SUM(C19:C19)</f>
        <v>100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6" t="s">
        <v>22</v>
      </c>
      <c r="F24" s="76"/>
      <c r="G24" s="76"/>
      <c r="H24" s="76"/>
      <c r="I24" s="76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</row>
    <row r="33" spans="2:18" ht="15" x14ac:dyDescent="0.25">
      <c r="B33" s="2"/>
      <c r="C33" s="2"/>
      <c r="E33" s="76" t="s">
        <v>39</v>
      </c>
      <c r="F33" s="76"/>
      <c r="G33" s="76"/>
      <c r="H33" s="76"/>
      <c r="I33" s="76"/>
      <c r="K33" s="77" t="s">
        <v>35</v>
      </c>
      <c r="L33" s="78"/>
      <c r="M33" s="79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6" t="s">
        <v>31</v>
      </c>
      <c r="L34" s="6" t="s">
        <v>37</v>
      </c>
      <c r="M34" s="6" t="s">
        <v>38</v>
      </c>
    </row>
    <row r="35" spans="2:18" ht="15.75" x14ac:dyDescent="0.25">
      <c r="E35" s="18"/>
      <c r="F35" s="25"/>
      <c r="G35" s="26"/>
      <c r="H35" s="8"/>
      <c r="I35" s="8"/>
      <c r="K35" s="25">
        <v>788</v>
      </c>
      <c r="L35" s="42">
        <v>2</v>
      </c>
      <c r="M35" s="9">
        <v>100</v>
      </c>
    </row>
    <row r="36" spans="2:18" ht="15.75" x14ac:dyDescent="0.25">
      <c r="E36" s="18"/>
      <c r="F36" s="25"/>
      <c r="G36" s="26"/>
      <c r="H36" s="8"/>
      <c r="I36" s="8"/>
      <c r="K36" s="25"/>
      <c r="L36" s="42"/>
      <c r="M36" s="9"/>
    </row>
    <row r="37" spans="2:18" ht="15.75" x14ac:dyDescent="0.25">
      <c r="E37" s="18"/>
      <c r="F37" s="25"/>
      <c r="G37" s="26"/>
      <c r="H37" s="8"/>
      <c r="I37" s="8"/>
      <c r="K37" s="25"/>
      <c r="L37" s="42"/>
      <c r="M37" s="9"/>
    </row>
    <row r="38" spans="2:18" ht="15.75" x14ac:dyDescent="0.25">
      <c r="E38" s="18"/>
      <c r="F38" s="25"/>
      <c r="G38" s="26"/>
      <c r="H38" s="8"/>
      <c r="I38" s="8"/>
      <c r="K38" s="25"/>
      <c r="L38" s="42"/>
      <c r="M38" s="9"/>
    </row>
    <row r="39" spans="2:18" ht="15.75" x14ac:dyDescent="0.25">
      <c r="E39" s="18"/>
      <c r="F39" s="39"/>
      <c r="G39" s="26"/>
      <c r="H39" s="8"/>
      <c r="I39" s="8"/>
      <c r="K39" s="25"/>
      <c r="L39" s="42"/>
      <c r="M39" s="9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6"/>
      <c r="Q40" s="1" t="s">
        <v>21</v>
      </c>
      <c r="R40" s="1">
        <f>SUM(R6:R21)</f>
        <v>1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B9E8C973-B569-473E-B3AD-6625014B3F11}">
      <formula1>"Sim, Não"</formula1>
    </dataValidation>
    <dataValidation type="list" allowBlank="1" showInputMessage="1" showErrorMessage="1" sqref="L35:L41" xr:uid="{32E4DE01-A2CD-476A-9C98-B0D2534CFCA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DF793E2-38F7-4579-A22B-98E7D403DA4A}">
          <x14:formula1>
            <xm:f>base!$A$2:$A$9</xm:f>
          </x14:formula1>
          <xm:sqref>G6:G22</xm:sqref>
        </x14:dataValidation>
        <x14:dataValidation type="list" allowBlank="1" showInputMessage="1" showErrorMessage="1" xr:uid="{FD257D2C-A5BC-473A-B29B-93AD45CBE7AC}">
          <x14:formula1>
            <xm:f>base!$A$2:$A$6</xm:f>
          </x14:formula1>
          <xm:sqref>G26:G31 G35:G41</xm:sqref>
        </x14:dataValidation>
        <x14:dataValidation type="list" allowBlank="1" showInputMessage="1" showErrorMessage="1" xr:uid="{70DCF8B5-4EB0-44F2-BDDB-9A2C128AFE70}">
          <x14:formula1>
            <xm:f>base!$E$2:$E$79</xm:f>
          </x14:formula1>
          <xm:sqref>I35:I41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6C9CA-A8B8-4A85-9820-83619F53D57A}">
  <dimension ref="B1:R41"/>
  <sheetViews>
    <sheetView showGridLines="0" zoomScale="80" zoomScaleNormal="80" workbookViewId="0">
      <selection activeCell="C15" sqref="C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'01'!B1+1</f>
        <v>45232</v>
      </c>
    </row>
    <row r="2" spans="2:18" ht="18.75" x14ac:dyDescent="0.2">
      <c r="B2" s="80" t="s">
        <v>0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83" t="s">
        <v>2</v>
      </c>
      <c r="F4" s="83"/>
      <c r="G4" s="83"/>
      <c r="H4" s="83"/>
      <c r="I4" s="83"/>
      <c r="J4" s="22"/>
      <c r="K4" s="77" t="s">
        <v>3</v>
      </c>
      <c r="L4" s="78"/>
      <c r="M4" s="79"/>
    </row>
    <row r="5" spans="2:18" ht="15" x14ac:dyDescent="0.2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0</v>
      </c>
      <c r="D6" s="2"/>
      <c r="E6" s="18"/>
      <c r="F6" s="25"/>
      <c r="G6" s="48"/>
      <c r="H6" s="8"/>
      <c r="I6" s="8"/>
      <c r="J6" s="2"/>
      <c r="K6" s="25"/>
      <c r="L6" s="9"/>
      <c r="M6" s="16"/>
      <c r="R6" s="1">
        <f>IF(vend2[[#This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8"/>
      <c r="H7" s="8"/>
      <c r="I7" s="8"/>
      <c r="J7" s="2"/>
      <c r="K7" s="25"/>
      <c r="L7" s="9"/>
      <c r="M7" s="16"/>
      <c r="R7" s="1">
        <f>IF(vend2[[#This Row],[Nº Venda]]&gt;1,1,0)</f>
        <v>0</v>
      </c>
    </row>
    <row r="8" spans="2:18" ht="15.75" x14ac:dyDescent="0.25">
      <c r="B8" s="28" t="s">
        <v>14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IF(vend2[[#This Row],[Nº Venda]]&gt;1,1,0)</f>
        <v>0</v>
      </c>
    </row>
    <row r="10" spans="2:18" ht="15.75" x14ac:dyDescent="0.25">
      <c r="B10" s="75" t="s">
        <v>16</v>
      </c>
      <c r="C10" s="7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7" t="s">
        <v>36</v>
      </c>
      <c r="L13" s="78"/>
      <c r="M13" s="79"/>
      <c r="R13" s="1">
        <f>IF(vend2[[#This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IF(vend2[[#This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IF(vend2[[#This Row],[Nº Venda]]&gt;1,1,0)</f>
        <v>0</v>
      </c>
    </row>
    <row r="16" spans="2:18" ht="15.75" x14ac:dyDescent="0.25">
      <c r="B16" s="28" t="s">
        <v>19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IF(vend2[[#This Row],[Nº Venda]]&gt;1,1,0)</f>
        <v>0</v>
      </c>
    </row>
    <row r="18" spans="2:18" ht="15.75" x14ac:dyDescent="0.25">
      <c r="B18" s="75" t="s">
        <v>35</v>
      </c>
      <c r="C18" s="7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IF(vend2[[#This Row],[Nº Venda]]&gt;1,1,0)</f>
        <v>0</v>
      </c>
    </row>
    <row r="19" spans="2:18" ht="15.75" x14ac:dyDescent="0.25">
      <c r="B19" s="30">
        <f>COUNT(entr_carn2[OS])</f>
        <v>0</v>
      </c>
      <c r="C19" s="31">
        <f>SUM(entr_carn2[Valor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6" t="s">
        <v>22</v>
      </c>
      <c r="F24" s="76"/>
      <c r="G24" s="76"/>
      <c r="H24" s="76"/>
      <c r="I24" s="76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6" t="s">
        <v>39</v>
      </c>
      <c r="F33" s="76"/>
      <c r="G33" s="76"/>
      <c r="H33" s="76"/>
      <c r="I33" s="76"/>
      <c r="K33" s="77" t="s">
        <v>35</v>
      </c>
      <c r="L33" s="78"/>
      <c r="M33" s="79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5CF9F4C-05E1-4D52-B82E-35C388E118E4}">
      <formula1>"1,2,3,4,5,6,7,8,9,10"</formula1>
    </dataValidation>
    <dataValidation type="list" allowBlank="1" showInputMessage="1" showErrorMessage="1" sqref="M15:M31" xr:uid="{21B4D207-A000-45A9-B6D4-06BCE073BAF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E95BB8A-1768-4CAA-AEF8-5923B3598C9D}">
          <x14:formula1>
            <xm:f>base!$A$2:$A$6</xm:f>
          </x14:formula1>
          <xm:sqref>G26:G31 G35:G41</xm:sqref>
        </x14:dataValidation>
        <x14:dataValidation type="list" allowBlank="1" showInputMessage="1" showErrorMessage="1" xr:uid="{80DA3FBF-4FB8-4E09-B0FB-84F10F353689}">
          <x14:formula1>
            <xm:f>base!$A$2:$A$9</xm:f>
          </x14:formula1>
          <xm:sqref>G6:G22</xm:sqref>
        </x14:dataValidation>
        <x14:dataValidation type="list" allowBlank="1" showInputMessage="1" showErrorMessage="1" xr:uid="{A2B9F027-D836-4E31-93BF-F82D204CFF43}">
          <x14:formula1>
            <xm:f>base!$E$2:$E$79</xm:f>
          </x14:formula1>
          <xm:sqref>I35:I41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078E4-E7B4-42D4-9CFD-FA991E537436}">
  <dimension ref="B1:R41"/>
  <sheetViews>
    <sheetView showGridLines="0" zoomScale="80" zoomScaleNormal="80" workbookViewId="0">
      <selection activeCell="C15" sqref="C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'02'!B1+1</f>
        <v>45233</v>
      </c>
    </row>
    <row r="2" spans="2:18" ht="18.75" x14ac:dyDescent="0.2">
      <c r="B2" s="80" t="s">
        <v>0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83" t="s">
        <v>2</v>
      </c>
      <c r="F4" s="83"/>
      <c r="G4" s="83"/>
      <c r="H4" s="83"/>
      <c r="I4" s="83"/>
      <c r="J4" s="22"/>
      <c r="K4" s="77" t="s">
        <v>3</v>
      </c>
      <c r="L4" s="78"/>
      <c r="M4" s="79"/>
    </row>
    <row r="5" spans="2:18" ht="15" x14ac:dyDescent="0.2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0</v>
      </c>
      <c r="D6" s="2"/>
      <c r="E6" s="18"/>
      <c r="F6" s="25"/>
      <c r="G6" s="48"/>
      <c r="H6" s="8"/>
      <c r="I6" s="8"/>
      <c r="J6" s="2"/>
      <c r="K6" s="25"/>
      <c r="L6" s="9"/>
      <c r="M6" s="16"/>
      <c r="R6" s="1">
        <f>IF(vend3[[#This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IF(vend3[[#This Row],[Nº Venda]]&gt;1,1,0)</f>
        <v>0</v>
      </c>
    </row>
    <row r="8" spans="2:18" ht="15.75" x14ac:dyDescent="0.25">
      <c r="B8" s="28" t="s">
        <v>14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IF(vend3[[#This Row],[Nº Venda]]&gt;1,1,0)</f>
        <v>0</v>
      </c>
    </row>
    <row r="10" spans="2:18" ht="15.75" x14ac:dyDescent="0.25">
      <c r="B10" s="75" t="s">
        <v>16</v>
      </c>
      <c r="C10" s="7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IF(vend3[[#This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IF(vend3[[#This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7" t="s">
        <v>36</v>
      </c>
      <c r="L13" s="78"/>
      <c r="M13" s="79"/>
      <c r="R13" s="1">
        <f>IF(vend3[[#This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IF(vend3[[#This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IF(vend3[[#This Row],[Nº Venda]]&gt;1,1,0)</f>
        <v>0</v>
      </c>
    </row>
    <row r="16" spans="2:18" ht="15.75" x14ac:dyDescent="0.25">
      <c r="B16" s="28" t="s">
        <v>19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IF(vend3[[#This Row],[Nº Venda]]&gt;1,1,0)</f>
        <v>0</v>
      </c>
    </row>
    <row r="18" spans="2:18" ht="15.75" x14ac:dyDescent="0.25">
      <c r="B18" s="75" t="s">
        <v>35</v>
      </c>
      <c r="C18" s="7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IF(vend3[[#This Row],[Nº Venda]]&gt;1,1,0)</f>
        <v>0</v>
      </c>
    </row>
    <row r="19" spans="2:18" ht="15.75" x14ac:dyDescent="0.25">
      <c r="B19" s="30">
        <f>COUNT(entr_carn3[OS])</f>
        <v>0</v>
      </c>
      <c r="C19" s="31">
        <f>SUM(entr_carn3[Valor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6" t="s">
        <v>22</v>
      </c>
      <c r="F24" s="76"/>
      <c r="G24" s="76"/>
      <c r="H24" s="76"/>
      <c r="I24" s="76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8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6" t="s">
        <v>39</v>
      </c>
      <c r="F33" s="76"/>
      <c r="G33" s="76"/>
      <c r="H33" s="76"/>
      <c r="I33" s="76"/>
      <c r="K33" s="77" t="s">
        <v>35</v>
      </c>
      <c r="L33" s="78"/>
      <c r="M33" s="79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99A6EAA7-4027-42CA-84E7-6254EC3B3688}">
      <formula1>"Sim, Não"</formula1>
    </dataValidation>
    <dataValidation type="list" allowBlank="1" showInputMessage="1" showErrorMessage="1" sqref="L35:L41" xr:uid="{024BBA61-E968-4A20-87E8-A426CA317EE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27AE46E-77AF-4B05-BD74-FF72E5E2EAE3}">
          <x14:formula1>
            <xm:f>base!$A$2:$A$9</xm:f>
          </x14:formula1>
          <xm:sqref>G6:G22</xm:sqref>
        </x14:dataValidation>
        <x14:dataValidation type="list" allowBlank="1" showInputMessage="1" showErrorMessage="1" xr:uid="{4F30B11A-8329-4338-9914-D21F8F0C2615}">
          <x14:formula1>
            <xm:f>base!$A$2:$A$6</xm:f>
          </x14:formula1>
          <xm:sqref>G26:G31 G35:G41</xm:sqref>
        </x14:dataValidation>
        <x14:dataValidation type="list" allowBlank="1" showInputMessage="1" showErrorMessage="1" xr:uid="{2C72B55E-E645-40AF-B663-A157B0ECB6D8}">
          <x14:formula1>
            <xm:f>base!$E$2:$E$79</xm:f>
          </x14:formula1>
          <xm:sqref>I35:I41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0468D-76C3-4832-B355-D74D7F6D1F00}">
  <dimension ref="B1:R41"/>
  <sheetViews>
    <sheetView showGridLines="0" zoomScale="80" zoomScaleNormal="80" workbookViewId="0">
      <selection activeCell="C15" sqref="C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'03'!B1+1</f>
        <v>45234</v>
      </c>
    </row>
    <row r="2" spans="2:18" ht="18.75" x14ac:dyDescent="0.2">
      <c r="B2" s="80" t="s">
        <v>0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83" t="s">
        <v>2</v>
      </c>
      <c r="F4" s="83"/>
      <c r="G4" s="83"/>
      <c r="H4" s="83"/>
      <c r="I4" s="83"/>
      <c r="J4" s="22"/>
      <c r="K4" s="77" t="s">
        <v>3</v>
      </c>
      <c r="L4" s="78"/>
      <c r="M4" s="79"/>
    </row>
    <row r="5" spans="2:18" ht="15" x14ac:dyDescent="0.2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0</v>
      </c>
      <c r="D6" s="2"/>
      <c r="E6" s="18"/>
      <c r="F6" s="25"/>
      <c r="G6" s="48"/>
      <c r="H6" s="8"/>
      <c r="I6" s="8"/>
      <c r="J6" s="2"/>
      <c r="K6" s="25"/>
      <c r="L6" s="9"/>
      <c r="M6" s="16"/>
      <c r="R6" s="1">
        <f>IF(vend4[[#This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8"/>
      <c r="H7" s="8"/>
      <c r="I7" s="8"/>
      <c r="J7" s="2"/>
      <c r="K7" s="25"/>
      <c r="L7" s="9"/>
      <c r="M7" s="16"/>
      <c r="R7" s="1">
        <f>IF(vend4[[#This Row],[Nº Venda]]&gt;1,1,0)</f>
        <v>0</v>
      </c>
    </row>
    <row r="8" spans="2:18" ht="15.75" x14ac:dyDescent="0.25">
      <c r="B8" s="28" t="s">
        <v>14</v>
      </c>
      <c r="C8" s="29">
        <f>SUM(C6:C7)</f>
        <v>0</v>
      </c>
      <c r="D8" s="2"/>
      <c r="E8" s="18"/>
      <c r="F8" s="25"/>
      <c r="G8" s="48"/>
      <c r="H8" s="8"/>
      <c r="I8" s="8"/>
      <c r="J8" s="2"/>
      <c r="K8" s="25"/>
      <c r="L8" s="9"/>
      <c r="M8" s="16"/>
      <c r="R8" s="1">
        <f>IF(vend4[[#This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48"/>
      <c r="H9" s="8"/>
      <c r="I9" s="8"/>
      <c r="J9" s="2"/>
      <c r="K9" s="25"/>
      <c r="L9" s="9"/>
      <c r="M9" s="16"/>
      <c r="R9" s="1">
        <f>IF(vend4[[#This Row],[Nº Venda]]&gt;1,1,0)</f>
        <v>0</v>
      </c>
    </row>
    <row r="10" spans="2:18" ht="15.75" x14ac:dyDescent="0.25">
      <c r="B10" s="75" t="s">
        <v>16</v>
      </c>
      <c r="C10" s="7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IF(vend4[[#This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IF(vend4[[#This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IF(vend4[[#This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7" t="s">
        <v>36</v>
      </c>
      <c r="L13" s="78"/>
      <c r="M13" s="79"/>
      <c r="R13" s="1">
        <f>IF(vend4[[#This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IF(vend4[[#This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IF(vend4[[#This Row],[Nº Venda]]&gt;1,1,0)</f>
        <v>0</v>
      </c>
    </row>
    <row r="16" spans="2:18" ht="15.75" x14ac:dyDescent="0.25">
      <c r="B16" s="28" t="s">
        <v>19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IF(vend4[[#This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IF(vend4[[#This Row],[Nº Venda]]&gt;1,1,0)</f>
        <v>0</v>
      </c>
    </row>
    <row r="18" spans="2:18" ht="15.75" x14ac:dyDescent="0.25">
      <c r="B18" s="75" t="s">
        <v>35</v>
      </c>
      <c r="C18" s="7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IF(vend4[[#This Row],[Nº Venda]]&gt;1,1,0)</f>
        <v>0</v>
      </c>
    </row>
    <row r="19" spans="2:18" ht="15.75" x14ac:dyDescent="0.25">
      <c r="B19" s="30">
        <f>COUNT(entr_carn4[OS])</f>
        <v>0</v>
      </c>
      <c r="C19" s="31">
        <f>SUM(entr_carn4[Valor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IF(vend4[[#This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6" t="s">
        <v>22</v>
      </c>
      <c r="F24" s="76"/>
      <c r="G24" s="76"/>
      <c r="H24" s="76"/>
      <c r="I24" s="76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8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8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8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6" t="s">
        <v>39</v>
      </c>
      <c r="F33" s="76"/>
      <c r="G33" s="76"/>
      <c r="H33" s="76"/>
      <c r="I33" s="76"/>
      <c r="K33" s="77" t="s">
        <v>35</v>
      </c>
      <c r="L33" s="78"/>
      <c r="M33" s="79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E2283DAB-DA4F-4606-B122-D93497328894}">
      <formula1>"1,2,3,4,5,6,7,8,9,10"</formula1>
    </dataValidation>
    <dataValidation type="list" allowBlank="1" showInputMessage="1" showErrorMessage="1" sqref="M15:M31" xr:uid="{BF6B2BBA-A2EE-4BDF-9C10-36726A0319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86F74FE-C589-48B3-8098-7D63287AC7AD}">
          <x14:formula1>
            <xm:f>base!$A$2:$A$6</xm:f>
          </x14:formula1>
          <xm:sqref>G26:G31 G35:G41</xm:sqref>
        </x14:dataValidation>
        <x14:dataValidation type="list" allowBlank="1" showInputMessage="1" showErrorMessage="1" xr:uid="{56AE2317-1125-4FA0-9EB5-CBA180660B01}">
          <x14:formula1>
            <xm:f>base!$A$2:$A$9</xm:f>
          </x14:formula1>
          <xm:sqref>G6:G22</xm:sqref>
        </x14:dataValidation>
        <x14:dataValidation type="list" allowBlank="1" showInputMessage="1" showErrorMessage="1" xr:uid="{DE2B24B0-A4D1-48A0-A8BE-AACDED7AD6A0}">
          <x14:formula1>
            <xm:f>base!$E$2:$E$79</xm:f>
          </x14:formula1>
          <xm:sqref>I35:I41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9287-0C33-4AF2-9169-C89E7A36C195}">
  <dimension ref="B1:R41"/>
  <sheetViews>
    <sheetView showGridLines="0" zoomScale="80" zoomScaleNormal="80" workbookViewId="0">
      <selection activeCell="C15" sqref="C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'04'!B1+1</f>
        <v>45235</v>
      </c>
    </row>
    <row r="2" spans="2:18" ht="18.75" x14ac:dyDescent="0.2">
      <c r="B2" s="80" t="s">
        <v>0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83" t="s">
        <v>2</v>
      </c>
      <c r="F4" s="83"/>
      <c r="G4" s="83"/>
      <c r="H4" s="83"/>
      <c r="I4" s="83"/>
      <c r="J4" s="22"/>
      <c r="K4" s="77" t="s">
        <v>3</v>
      </c>
      <c r="L4" s="78"/>
      <c r="M4" s="79"/>
    </row>
    <row r="5" spans="2:18" ht="15" x14ac:dyDescent="0.2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0</v>
      </c>
      <c r="D6" s="2"/>
      <c r="E6" s="18"/>
      <c r="F6" s="25"/>
      <c r="G6" s="48"/>
      <c r="H6" s="8"/>
      <c r="I6" s="8"/>
      <c r="J6" s="2"/>
      <c r="K6" s="25"/>
      <c r="L6" s="9"/>
      <c r="M6" s="16"/>
      <c r="R6" s="1">
        <f>IF(vend5[[#This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8"/>
      <c r="H7" s="8"/>
      <c r="I7" s="8"/>
      <c r="J7" s="2"/>
      <c r="K7" s="25"/>
      <c r="L7" s="9"/>
      <c r="M7" s="16"/>
      <c r="R7" s="1">
        <f>IF(vend5[[#This Row],[Nº Venda]]&gt;1,1,0)</f>
        <v>0</v>
      </c>
    </row>
    <row r="8" spans="2:18" ht="15.75" x14ac:dyDescent="0.25">
      <c r="B8" s="28" t="s">
        <v>14</v>
      </c>
      <c r="C8" s="29">
        <f>SUM(C6:C7)</f>
        <v>0</v>
      </c>
      <c r="D8" s="2"/>
      <c r="E8" s="18"/>
      <c r="F8" s="25"/>
      <c r="G8" s="48"/>
      <c r="H8" s="8"/>
      <c r="I8" s="8"/>
      <c r="J8" s="2"/>
      <c r="K8" s="25"/>
      <c r="L8" s="9"/>
      <c r="M8" s="16"/>
      <c r="R8" s="1">
        <f>IF(vend5[[#This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48"/>
      <c r="H9" s="8"/>
      <c r="I9" s="8"/>
      <c r="J9" s="2"/>
      <c r="K9" s="25"/>
      <c r="L9" s="9"/>
      <c r="M9" s="16"/>
      <c r="R9" s="1">
        <f>IF(vend5[[#This Row],[Nº Venda]]&gt;1,1,0)</f>
        <v>0</v>
      </c>
    </row>
    <row r="10" spans="2:18" ht="15.75" x14ac:dyDescent="0.25">
      <c r="B10" s="75" t="s">
        <v>16</v>
      </c>
      <c r="C10" s="75"/>
      <c r="D10" s="2"/>
      <c r="E10" s="18"/>
      <c r="F10" s="25"/>
      <c r="G10" s="48"/>
      <c r="H10" s="8"/>
      <c r="I10" s="8"/>
      <c r="J10" s="2"/>
      <c r="K10" s="25"/>
      <c r="L10" s="9"/>
      <c r="M10" s="16"/>
      <c r="R10" s="1">
        <f>IF(vend5[[#This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48"/>
      <c r="H11" s="8"/>
      <c r="I11" s="8"/>
      <c r="J11" s="2"/>
      <c r="K11" s="27"/>
      <c r="L11" s="9"/>
      <c r="M11" s="16"/>
      <c r="O11" s="1">
        <f>IF(C16=0,0,1)</f>
        <v>0</v>
      </c>
      <c r="R11" s="1">
        <f>IF(vend5[[#This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IF(vend5[[#This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7" t="s">
        <v>36</v>
      </c>
      <c r="L13" s="78"/>
      <c r="M13" s="79"/>
      <c r="R13" s="1">
        <f>IF(vend5[[#This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IF(vend5[[#This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IF(vend5[[#This Row],[Nº Venda]]&gt;1,1,0)</f>
        <v>0</v>
      </c>
    </row>
    <row r="16" spans="2:18" ht="15.75" x14ac:dyDescent="0.25">
      <c r="B16" s="28" t="s">
        <v>19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IF(vend5[[#This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IF(vend5[[#This Row],[Nº Venda]]&gt;1,1,0)</f>
        <v>0</v>
      </c>
    </row>
    <row r="18" spans="2:18" ht="15.75" x14ac:dyDescent="0.25">
      <c r="B18" s="75" t="s">
        <v>35</v>
      </c>
      <c r="C18" s="7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IF(vend5[[#This Row],[Nº Venda]]&gt;1,1,0)</f>
        <v>0</v>
      </c>
    </row>
    <row r="19" spans="2:18" ht="15.75" x14ac:dyDescent="0.25">
      <c r="B19" s="30">
        <f>COUNT(entr_carn5[OS])</f>
        <v>0</v>
      </c>
      <c r="C19" s="31">
        <f>SUM(entr_carn5[Valor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IF(vend5[[#This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6" t="s">
        <v>22</v>
      </c>
      <c r="F24" s="76"/>
      <c r="G24" s="76"/>
      <c r="H24" s="76"/>
      <c r="I24" s="76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8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8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8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6" t="s">
        <v>39</v>
      </c>
      <c r="F33" s="76"/>
      <c r="G33" s="76"/>
      <c r="H33" s="76"/>
      <c r="I33" s="76"/>
      <c r="K33" s="77" t="s">
        <v>35</v>
      </c>
      <c r="L33" s="78"/>
      <c r="M33" s="79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5F91EB2E-234E-45A9-80A1-E7D0A7E98ABE}">
      <formula1>"Sim, Não"</formula1>
    </dataValidation>
    <dataValidation type="list" allowBlank="1" showInputMessage="1" showErrorMessage="1" sqref="L35:L41" xr:uid="{5A7F020F-5D4E-4796-A3BF-D2BAB2F1E76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B84582F-523D-44A4-9068-CEA44BF623CE}">
          <x14:formula1>
            <xm:f>base!$A$2:$A$9</xm:f>
          </x14:formula1>
          <xm:sqref>G6:G22</xm:sqref>
        </x14:dataValidation>
        <x14:dataValidation type="list" allowBlank="1" showInputMessage="1" showErrorMessage="1" xr:uid="{9648BD7E-FC0A-4420-B31E-A1CA1F1A1DAF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69758D-2F91-4C06-9E2F-F98A5BDC1DCA}">
          <x14:formula1>
            <xm:f>base!$E$2:$E$79</xm:f>
          </x14:formula1>
          <xm:sqref>I35:I41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475D5-90A1-417A-9C19-23BF702F573A}">
  <dimension ref="B1:R41"/>
  <sheetViews>
    <sheetView showGridLines="0" zoomScale="80" zoomScaleNormal="80" workbookViewId="0">
      <selection activeCell="E7" sqref="E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'05'!B1+1</f>
        <v>45236</v>
      </c>
    </row>
    <row r="2" spans="2:18" ht="18.75" x14ac:dyDescent="0.2">
      <c r="B2" s="80" t="s">
        <v>0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83" t="s">
        <v>2</v>
      </c>
      <c r="F4" s="83"/>
      <c r="G4" s="83"/>
      <c r="H4" s="83"/>
      <c r="I4" s="83"/>
      <c r="J4" s="22"/>
      <c r="K4" s="77" t="s">
        <v>3</v>
      </c>
      <c r="L4" s="78"/>
      <c r="M4" s="79"/>
    </row>
    <row r="5" spans="2:18" ht="15" x14ac:dyDescent="0.25">
      <c r="B5" s="23" t="s">
        <v>2</v>
      </c>
      <c r="C5" s="24">
        <f>SUMIF(I6:I31,"&gt;0",H6:H31)</f>
        <v>800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200</v>
      </c>
      <c r="D6" s="2"/>
      <c r="E6" s="18">
        <v>801</v>
      </c>
      <c r="F6" s="25" t="s">
        <v>130</v>
      </c>
      <c r="G6" s="26" t="s">
        <v>12</v>
      </c>
      <c r="H6" s="8">
        <v>800</v>
      </c>
      <c r="I6" s="8">
        <v>200</v>
      </c>
      <c r="J6" s="2"/>
      <c r="K6" s="25" t="s">
        <v>129</v>
      </c>
      <c r="L6" s="9" t="s">
        <v>13</v>
      </c>
      <c r="M6" s="16">
        <v>12</v>
      </c>
      <c r="R6" s="1">
        <f>IF(vend[[#This Row],[Nº Venda]]&gt;1,1,0)</f>
        <v>1</v>
      </c>
    </row>
    <row r="7" spans="2:18" ht="15.75" x14ac:dyDescent="0.25">
      <c r="B7" s="23" t="s">
        <v>3</v>
      </c>
      <c r="C7" s="24">
        <f>SUM(M6:M11)</f>
        <v>12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IF(vend[[#This Row],[Nº Venda]]&gt;1,1,0)</f>
        <v>0</v>
      </c>
    </row>
    <row r="8" spans="2:18" ht="15.75" x14ac:dyDescent="0.25">
      <c r="B8" s="28" t="s">
        <v>14</v>
      </c>
      <c r="C8" s="29">
        <f>SUM(C6:C7)</f>
        <v>212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IF(vend[[#This Row],[Nº Venda]]&gt;1,1,0)</f>
        <v>0</v>
      </c>
    </row>
    <row r="10" spans="2:18" ht="15.75" x14ac:dyDescent="0.25">
      <c r="B10" s="75" t="s">
        <v>16</v>
      </c>
      <c r="C10" s="7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200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7" t="s">
        <v>36</v>
      </c>
      <c r="L13" s="78"/>
      <c r="M13" s="79"/>
      <c r="R13" s="1">
        <f>IF(vend[[#This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IF(vend[[#This Row],[Nº Venda]]&gt;1,1,0)</f>
        <v>0</v>
      </c>
    </row>
    <row r="16" spans="2:18" ht="15.75" x14ac:dyDescent="0.25">
      <c r="B16" s="28" t="s">
        <v>19</v>
      </c>
      <c r="C16" s="32">
        <f>SUM(C11:C15)</f>
        <v>200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IF(vend[[#This Row],[Nº Venda]]&gt;1,1,0)</f>
        <v>0</v>
      </c>
    </row>
    <row r="18" spans="2:18" ht="15.75" x14ac:dyDescent="0.25">
      <c r="B18" s="75" t="s">
        <v>35</v>
      </c>
      <c r="C18" s="7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IF(vend[[#This Row],[Nº Venda]]&gt;1,1,0)</f>
        <v>0</v>
      </c>
    </row>
    <row r="19" spans="2:18" ht="15.75" x14ac:dyDescent="0.25">
      <c r="B19" s="30">
        <f>COUNT(entr_carn6[OS])</f>
        <v>0</v>
      </c>
      <c r="C19" s="31">
        <f>SUM(entr_carn6[Valor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800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6" t="s">
        <v>22</v>
      </c>
      <c r="F24" s="76"/>
      <c r="G24" s="76"/>
      <c r="H24" s="76"/>
      <c r="I24" s="76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6" t="s">
        <v>39</v>
      </c>
      <c r="F33" s="76"/>
      <c r="G33" s="76"/>
      <c r="H33" s="76"/>
      <c r="I33" s="76"/>
      <c r="K33" s="77" t="s">
        <v>35</v>
      </c>
      <c r="L33" s="78"/>
      <c r="M33" s="79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1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6993633-5100-43CF-8F1E-F4FEAAD9AAFB}">
      <formula1>"1,2,3,4,5,6,7,8,9,10"</formula1>
    </dataValidation>
    <dataValidation type="list" allowBlank="1" showInputMessage="1" showErrorMessage="1" sqref="M15:M31" xr:uid="{3687B962-37D3-4645-82D4-7A1CB45C2297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C348BBC-F96F-469C-BB6E-1E38A0DB31CA}">
          <x14:formula1>
            <xm:f>base!$A$2:$A$6</xm:f>
          </x14:formula1>
          <xm:sqref>G26:G31 G35:G41</xm:sqref>
        </x14:dataValidation>
        <x14:dataValidation type="list" allowBlank="1" showInputMessage="1" showErrorMessage="1" xr:uid="{CE08D887-C590-40CC-8020-A1D540338CDB}">
          <x14:formula1>
            <xm:f>base!$A$2:$A$9</xm:f>
          </x14:formula1>
          <xm:sqref>G6:G22</xm:sqref>
        </x14:dataValidation>
        <x14:dataValidation type="list" allowBlank="1" showInputMessage="1" showErrorMessage="1" xr:uid="{D613BFD4-5C0B-49B8-8716-AFCD23BA89F7}">
          <x14:formula1>
            <xm:f>base!$E$2:$E$79</xm:f>
          </x14:formula1>
          <xm:sqref>I35:I41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R41"/>
  <sheetViews>
    <sheetView showGridLines="0" zoomScale="80" zoomScaleNormal="80" workbookViewId="0">
      <selection activeCell="C12" sqref="C1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'06'!B1+1</f>
        <v>45237</v>
      </c>
    </row>
    <row r="2" spans="2:18" ht="18.75" x14ac:dyDescent="0.2">
      <c r="B2" s="80" t="s">
        <v>0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83" t="s">
        <v>2</v>
      </c>
      <c r="F4" s="83"/>
      <c r="G4" s="83"/>
      <c r="H4" s="83"/>
      <c r="I4" s="83"/>
      <c r="J4" s="22"/>
      <c r="K4" s="77" t="s">
        <v>3</v>
      </c>
      <c r="L4" s="78"/>
      <c r="M4" s="79"/>
    </row>
    <row r="5" spans="2:18" ht="15" x14ac:dyDescent="0.2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" x14ac:dyDescent="0.25">
      <c r="B6" s="23" t="s">
        <v>8</v>
      </c>
      <c r="C6" s="24">
        <f>SUM(I6:I41)</f>
        <v>150</v>
      </c>
      <c r="D6" s="2"/>
      <c r="E6" s="53"/>
      <c r="F6" s="51"/>
      <c r="G6" s="51"/>
      <c r="H6" s="52"/>
      <c r="I6" s="52"/>
      <c r="J6" s="2"/>
      <c r="K6" s="25"/>
      <c r="L6" s="9"/>
      <c r="M6" s="16"/>
      <c r="R6" s="1">
        <f>IF(vend7[[#This Row],[Nº Venda]]&gt;1,1,0)</f>
        <v>0</v>
      </c>
    </row>
    <row r="7" spans="2:18" ht="15" x14ac:dyDescent="0.25">
      <c r="B7" s="23" t="s">
        <v>3</v>
      </c>
      <c r="C7" s="24">
        <f>SUM(M6:M11)</f>
        <v>0</v>
      </c>
      <c r="D7" s="2"/>
      <c r="E7" s="54"/>
      <c r="F7" s="50"/>
      <c r="G7" s="50"/>
      <c r="H7" s="49"/>
      <c r="I7" s="49"/>
      <c r="J7" s="2"/>
      <c r="K7" s="25"/>
      <c r="L7" s="9"/>
      <c r="M7" s="16"/>
      <c r="R7" s="1">
        <f>IF(vend7[[#This Row],[Nº Venda]]&gt;1,1,0)</f>
        <v>0</v>
      </c>
    </row>
    <row r="8" spans="2:18" ht="15.75" x14ac:dyDescent="0.25">
      <c r="B8" s="28" t="s">
        <v>14</v>
      </c>
      <c r="C8" s="29">
        <f>SUM(C6:C7)</f>
        <v>150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IF(vend7[[#This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IF(vend7[[#This Row],[Nº Venda]]&gt;1,1,0)</f>
        <v>0</v>
      </c>
    </row>
    <row r="10" spans="2:18" ht="15.75" x14ac:dyDescent="0.25">
      <c r="B10" s="75" t="s">
        <v>16</v>
      </c>
      <c r="C10" s="7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IF(vend7[[#This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IF(vend7[[#This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150</v>
      </c>
      <c r="D12" s="2"/>
      <c r="E12" s="18"/>
      <c r="F12" s="25"/>
      <c r="G12" s="26"/>
      <c r="H12" s="8"/>
      <c r="I12" s="8"/>
      <c r="J12" s="2"/>
      <c r="R12" s="1">
        <f>IF(vend7[[#This Row],[Nº Venda]]&gt;1,1,0)</f>
        <v>0</v>
      </c>
    </row>
    <row r="13" spans="2:18" ht="15.75" x14ac:dyDescent="0.25">
      <c r="B13" s="30" t="s">
        <v>18</v>
      </c>
      <c r="C13" s="31">
        <f t="shared" si="0"/>
        <v>50</v>
      </c>
      <c r="D13" s="2"/>
      <c r="E13" s="18"/>
      <c r="F13" s="25"/>
      <c r="G13" s="26"/>
      <c r="H13" s="8"/>
      <c r="I13" s="8"/>
      <c r="J13" s="2"/>
      <c r="K13" s="77" t="s">
        <v>36</v>
      </c>
      <c r="L13" s="78"/>
      <c r="M13" s="79"/>
      <c r="R13" s="1">
        <f>IF(vend7[[#This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IF(vend7[[#This Row],[Nº Venda]]&gt;1,1,0)</f>
        <v>0</v>
      </c>
    </row>
    <row r="15" spans="2:18" ht="15.75" x14ac:dyDescent="0.25">
      <c r="B15" s="30" t="s">
        <v>13</v>
      </c>
      <c r="C15" s="31">
        <f t="shared" si="0"/>
        <v>100</v>
      </c>
      <c r="D15" s="2"/>
      <c r="E15" s="18"/>
      <c r="F15" s="25"/>
      <c r="G15" s="26"/>
      <c r="H15" s="8"/>
      <c r="I15" s="8"/>
      <c r="J15" s="2"/>
      <c r="K15" s="55"/>
      <c r="L15" s="60"/>
      <c r="M15" s="61"/>
      <c r="R15" s="1">
        <f>IF(vend7[[#This Row],[Nº Venda]]&gt;1,1,0)</f>
        <v>0</v>
      </c>
    </row>
    <row r="16" spans="2:18" ht="15.75" x14ac:dyDescent="0.25">
      <c r="B16" s="28" t="s">
        <v>19</v>
      </c>
      <c r="C16" s="32">
        <f>SUM(C11:C15)</f>
        <v>300</v>
      </c>
      <c r="D16" s="2"/>
      <c r="E16" s="18"/>
      <c r="F16" s="25"/>
      <c r="G16" s="26"/>
      <c r="H16" s="8"/>
      <c r="I16" s="8"/>
      <c r="J16" s="2"/>
      <c r="K16" s="47"/>
      <c r="L16" s="9"/>
      <c r="M16" s="16"/>
      <c r="R16" s="1">
        <f>IF(vend7[[#This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47"/>
      <c r="L17" s="9"/>
      <c r="M17" s="16"/>
      <c r="R17" s="1">
        <f>IF(vend7[[#This Row],[Nº Venda]]&gt;1,1,0)</f>
        <v>0</v>
      </c>
    </row>
    <row r="18" spans="2:18" ht="15.75" x14ac:dyDescent="0.25">
      <c r="B18" s="75" t="s">
        <v>35</v>
      </c>
      <c r="C18" s="75"/>
      <c r="D18" s="2"/>
      <c r="E18" s="18"/>
      <c r="F18" s="25"/>
      <c r="G18" s="26"/>
      <c r="H18" s="8"/>
      <c r="I18" s="8"/>
      <c r="J18" s="2"/>
      <c r="K18" s="47"/>
      <c r="L18" s="9"/>
      <c r="M18" s="16"/>
      <c r="R18" s="1">
        <f>IF(vend7[[#This Row],[Nº Venda]]&gt;1,1,0)</f>
        <v>0</v>
      </c>
    </row>
    <row r="19" spans="2:18" ht="15.75" x14ac:dyDescent="0.25">
      <c r="B19" s="30">
        <f>COUNT(entr_carn7[OS])</f>
        <v>0</v>
      </c>
      <c r="C19" s="31">
        <f>SUM(entr_carn7[Valor Total])</f>
        <v>0</v>
      </c>
      <c r="D19" s="2"/>
      <c r="E19" s="18"/>
      <c r="F19" s="25"/>
      <c r="G19" s="26"/>
      <c r="H19" s="8"/>
      <c r="I19" s="8"/>
      <c r="J19" s="2"/>
      <c r="K19" s="47"/>
      <c r="L19" s="9"/>
      <c r="M19" s="16"/>
      <c r="R19" s="1">
        <f>IF(vend7[[#This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47"/>
      <c r="L20" s="9"/>
      <c r="M20" s="16"/>
      <c r="R20" s="1">
        <f>IF(vend7[[#This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47"/>
      <c r="L21" s="9"/>
      <c r="M21" s="16"/>
    </row>
    <row r="22" spans="2:18" ht="15.75" x14ac:dyDescent="0.2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47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47"/>
      <c r="L23" s="9"/>
      <c r="M23" s="16"/>
    </row>
    <row r="24" spans="2:18" ht="15" x14ac:dyDescent="0.25">
      <c r="B24" s="2"/>
      <c r="C24" s="2"/>
      <c r="D24" s="2"/>
      <c r="E24" s="76" t="s">
        <v>22</v>
      </c>
      <c r="F24" s="76"/>
      <c r="G24" s="76"/>
      <c r="H24" s="76"/>
      <c r="I24" s="76"/>
      <c r="J24" s="2"/>
      <c r="K24" s="47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47"/>
      <c r="L25" s="9"/>
      <c r="M25" s="16"/>
    </row>
    <row r="26" spans="2:18" ht="15.75" x14ac:dyDescent="0.25">
      <c r="B26" s="2"/>
      <c r="C26" s="2"/>
      <c r="D26" s="2"/>
      <c r="E26" s="56">
        <v>797</v>
      </c>
      <c r="F26" s="57" t="s">
        <v>131</v>
      </c>
      <c r="G26" s="58" t="s">
        <v>18</v>
      </c>
      <c r="H26" s="59"/>
      <c r="I26" s="59">
        <v>50</v>
      </c>
      <c r="J26" s="2"/>
      <c r="K26" s="47"/>
      <c r="L26" s="9"/>
      <c r="M26" s="16"/>
    </row>
    <row r="27" spans="2:18" ht="15.75" x14ac:dyDescent="0.25">
      <c r="B27" s="2"/>
      <c r="C27" s="2"/>
      <c r="D27" s="2"/>
      <c r="E27" s="18">
        <v>768</v>
      </c>
      <c r="F27" s="25" t="s">
        <v>132</v>
      </c>
      <c r="G27" s="26" t="s">
        <v>13</v>
      </c>
      <c r="H27" s="8"/>
      <c r="I27" s="8">
        <v>100</v>
      </c>
      <c r="J27" s="2"/>
      <c r="K27" s="47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47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47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47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47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6" t="s">
        <v>39</v>
      </c>
      <c r="F33" s="76"/>
      <c r="G33" s="76"/>
      <c r="H33" s="76"/>
      <c r="I33" s="76"/>
      <c r="K33" s="77" t="s">
        <v>35</v>
      </c>
      <c r="L33" s="78"/>
      <c r="M33" s="79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>
        <v>757</v>
      </c>
      <c r="F35" s="25" t="s">
        <v>133</v>
      </c>
      <c r="G35" s="26" t="s">
        <v>17</v>
      </c>
      <c r="H35" s="8">
        <v>150</v>
      </c>
      <c r="I35" s="8" t="s">
        <v>51</v>
      </c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33:I33"/>
    <mergeCell ref="K33:M33"/>
    <mergeCell ref="B18:C18"/>
    <mergeCell ref="B2:M2"/>
    <mergeCell ref="E4:I4"/>
    <mergeCell ref="K4:M4"/>
    <mergeCell ref="B10:C10"/>
    <mergeCell ref="E24:I24"/>
    <mergeCell ref="K13:M13"/>
  </mergeCells>
  <dataValidations count="2">
    <dataValidation type="list" allowBlank="1" showInputMessage="1" showErrorMessage="1" sqref="M15:M31" xr:uid="{7A7EDE32-0639-4059-8C39-32B054D33947}">
      <formula1>"Sim, Não"</formula1>
    </dataValidation>
    <dataValidation type="list" allowBlank="1" showInputMessage="1" showErrorMessage="1" sqref="L35:L41" xr:uid="{CDA85C58-BE7A-4A59-8AD6-31FD9BCF6D4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300-000000000000}">
          <x14:formula1>
            <xm:f>base!$A$2:$A$9</xm:f>
          </x14:formula1>
          <xm:sqref>G6:G22</xm:sqref>
        </x14:dataValidation>
        <x14:dataValidation type="list" allowBlank="1" showInputMessage="1" showErrorMessage="1" xr:uid="{016C119B-3F22-4C20-9014-F432B2D1E545}">
          <x14:formula1>
            <xm:f>base!$A$2:$A$6</xm:f>
          </x14:formula1>
          <xm:sqref>G26:G31 G35:G41</xm:sqref>
        </x14:dataValidation>
        <x14:dataValidation type="list" allowBlank="1" showInputMessage="1" showErrorMessage="1" xr:uid="{B3BCD739-962B-486C-BA84-FC6867355622}">
          <x14:formula1>
            <xm:f>base!$E$2:$E$79</xm:f>
          </x14:formula1>
          <xm:sqref>I35:I41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3788-0C3A-491E-93B4-883C999117C7}">
  <dimension ref="B1:R41"/>
  <sheetViews>
    <sheetView showGridLines="0" zoomScale="80" zoomScaleNormal="80" workbookViewId="0">
      <selection activeCell="C15" sqref="C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'07'!B1+1</f>
        <v>45238</v>
      </c>
    </row>
    <row r="2" spans="2:18" ht="18.75" x14ac:dyDescent="0.2">
      <c r="B2" s="80" t="s">
        <v>0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83" t="s">
        <v>2</v>
      </c>
      <c r="F4" s="83"/>
      <c r="G4" s="83"/>
      <c r="H4" s="83"/>
      <c r="I4" s="83"/>
      <c r="J4" s="22"/>
      <c r="K4" s="77" t="s">
        <v>3</v>
      </c>
      <c r="L4" s="78"/>
      <c r="M4" s="79"/>
    </row>
    <row r="5" spans="2:18" ht="15" x14ac:dyDescent="0.2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" x14ac:dyDescent="0.25">
      <c r="B6" s="23" t="s">
        <v>8</v>
      </c>
      <c r="C6" s="24">
        <f>SUM(I6:I41)</f>
        <v>0</v>
      </c>
      <c r="D6" s="2"/>
      <c r="E6" s="62"/>
      <c r="F6" s="8"/>
      <c r="G6" s="8"/>
      <c r="H6" s="8"/>
      <c r="I6" s="8"/>
      <c r="J6" s="2"/>
      <c r="K6" s="25"/>
      <c r="L6" s="9"/>
      <c r="M6" s="16"/>
      <c r="R6" s="1">
        <f>IF(vend8[[#This Row],[Nº Venda]]&gt;1,1,0)</f>
        <v>0</v>
      </c>
    </row>
    <row r="7" spans="2:18" ht="15" x14ac:dyDescent="0.25">
      <c r="B7" s="23" t="s">
        <v>3</v>
      </c>
      <c r="C7" s="24">
        <f>SUM(M6:M11)</f>
        <v>0</v>
      </c>
      <c r="D7" s="2"/>
      <c r="E7" s="62"/>
      <c r="F7" s="8"/>
      <c r="G7" s="8"/>
      <c r="H7" s="8"/>
      <c r="I7" s="8"/>
      <c r="J7" s="2"/>
      <c r="K7" s="25"/>
      <c r="L7" s="9"/>
      <c r="M7" s="16"/>
      <c r="R7" s="1">
        <f>IF(vend8[[#This Row],[Nº Venda]]&gt;1,1,0)</f>
        <v>0</v>
      </c>
    </row>
    <row r="8" spans="2:18" ht="15.75" x14ac:dyDescent="0.25">
      <c r="B8" s="28" t="s">
        <v>14</v>
      </c>
      <c r="C8" s="29">
        <f>SUM(C6:C7)</f>
        <v>0</v>
      </c>
      <c r="D8" s="2"/>
      <c r="E8" s="62"/>
      <c r="F8" s="8"/>
      <c r="G8" s="8"/>
      <c r="H8" s="8"/>
      <c r="I8" s="8"/>
      <c r="J8" s="2"/>
      <c r="K8" s="25"/>
      <c r="L8" s="9"/>
      <c r="M8" s="16"/>
      <c r="R8" s="1">
        <f>IF(vend8[[#This Row],[Nº Venda]]&gt;1,1,0)</f>
        <v>0</v>
      </c>
    </row>
    <row r="9" spans="2:18" ht="15" x14ac:dyDescent="0.25">
      <c r="B9" s="2"/>
      <c r="C9" s="2"/>
      <c r="D9" s="2"/>
      <c r="E9" s="62"/>
      <c r="F9" s="8"/>
      <c r="G9" s="8"/>
      <c r="H9" s="8"/>
      <c r="I9" s="8"/>
      <c r="J9" s="2"/>
      <c r="K9" s="25"/>
      <c r="L9" s="9"/>
      <c r="M9" s="16"/>
      <c r="R9" s="1">
        <f>IF(vend8[[#This Row],[Nº Venda]]&gt;1,1,0)</f>
        <v>0</v>
      </c>
    </row>
    <row r="10" spans="2:18" ht="15.75" x14ac:dyDescent="0.25">
      <c r="B10" s="75" t="s">
        <v>16</v>
      </c>
      <c r="C10" s="7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IF(vend8[[#This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IF(vend8[[#This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IF(vend8[[#This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7" t="s">
        <v>36</v>
      </c>
      <c r="L13" s="78"/>
      <c r="M13" s="79"/>
      <c r="R13" s="1">
        <f>IF(vend8[[#This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IF(vend8[[#This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IF(vend8[[#This Row],[Nº Venda]]&gt;1,1,0)</f>
        <v>0</v>
      </c>
    </row>
    <row r="16" spans="2:18" ht="15.75" x14ac:dyDescent="0.25">
      <c r="B16" s="28" t="s">
        <v>19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IF(vend8[[#This Row],[Nº Venda]]&gt;1,1,0)</f>
        <v>0</v>
      </c>
    </row>
    <row r="18" spans="2:18" ht="15.75" x14ac:dyDescent="0.25">
      <c r="B18" s="75" t="s">
        <v>35</v>
      </c>
      <c r="C18" s="7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IF(vend8[[#This Row],[Nº Venda]]&gt;1,1,0)</f>
        <v>0</v>
      </c>
    </row>
    <row r="19" spans="2:18" ht="15.75" x14ac:dyDescent="0.25">
      <c r="B19" s="30">
        <f>COUNT(entr_carn8[OS])</f>
        <v>0</v>
      </c>
      <c r="C19" s="31">
        <f>SUM(entr_carn8[Valor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IF(vend8[[#This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6" t="s">
        <v>22</v>
      </c>
      <c r="F24" s="76"/>
      <c r="G24" s="76"/>
      <c r="H24" s="76"/>
      <c r="I24" s="76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56"/>
      <c r="F26" s="57"/>
      <c r="G26" s="58"/>
      <c r="H26" s="59"/>
      <c r="I26" s="59"/>
      <c r="J26" s="2"/>
      <c r="K26" s="25"/>
      <c r="L26" s="9"/>
      <c r="M26" s="16"/>
    </row>
    <row r="27" spans="2:18" ht="15.75" x14ac:dyDescent="0.25">
      <c r="B27" s="2"/>
      <c r="C27" s="2"/>
      <c r="D27" s="2"/>
      <c r="E27" s="65"/>
      <c r="F27" s="66"/>
      <c r="G27" s="63"/>
      <c r="H27" s="64"/>
      <c r="I27" s="64"/>
      <c r="J27" s="2"/>
      <c r="K27" s="25"/>
      <c r="L27" s="9"/>
      <c r="M27" s="16"/>
    </row>
    <row r="28" spans="2:18" ht="15.75" x14ac:dyDescent="0.25">
      <c r="B28" s="2"/>
      <c r="C28" s="2"/>
      <c r="D28" s="2"/>
      <c r="E28" s="65"/>
      <c r="F28" s="66"/>
      <c r="G28" s="63"/>
      <c r="H28" s="64"/>
      <c r="I28" s="64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6" t="s">
        <v>39</v>
      </c>
      <c r="F33" s="76"/>
      <c r="G33" s="76"/>
      <c r="H33" s="76"/>
      <c r="I33" s="76"/>
      <c r="K33" s="77" t="s">
        <v>35</v>
      </c>
      <c r="L33" s="78"/>
      <c r="M33" s="79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E2389F-542B-43B9-B8E9-B9CA57CC5548}">
      <formula1>"1,2,3,4,5,6,7,8,9,10"</formula1>
    </dataValidation>
    <dataValidation type="list" allowBlank="1" showInputMessage="1" showErrorMessage="1" sqref="M15:M31" xr:uid="{2A95B0A3-6616-4703-9FA4-E213CFB16A2D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DEDD930-861F-47CC-BD5B-46BF4A7AEB54}">
          <x14:formula1>
            <xm:f>base!$A$2:$A$6</xm:f>
          </x14:formula1>
          <xm:sqref>G26:G31 G35:G41</xm:sqref>
        </x14:dataValidation>
        <x14:dataValidation type="list" allowBlank="1" showInputMessage="1" showErrorMessage="1" xr:uid="{E78E1FEE-B5EA-4CBB-B060-8AE6DE0B6C31}">
          <x14:formula1>
            <xm:f>base!$A$2:$A$9</xm:f>
          </x14:formula1>
          <xm:sqref>G6:G22</xm:sqref>
        </x14:dataValidation>
        <x14:dataValidation type="list" allowBlank="1" showInputMessage="1" showErrorMessage="1" xr:uid="{23D5943B-C733-4E59-92F6-7382BCD9A03B}">
          <x14:formula1>
            <xm:f>base!$E$2:$E$79</xm:f>
          </x14:formula1>
          <xm:sqref>I35:I41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F22A-9670-4C16-A00D-88E1807D4A54}">
  <dimension ref="B1:R41"/>
  <sheetViews>
    <sheetView showGridLines="0" tabSelected="1" zoomScale="80" zoomScaleNormal="80" workbookViewId="0">
      <selection activeCell="L23" sqref="L23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'08'!B1+1</f>
        <v>45239</v>
      </c>
    </row>
    <row r="2" spans="2:18" ht="18.75" x14ac:dyDescent="0.2">
      <c r="B2" s="80" t="s">
        <v>0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83" t="s">
        <v>2</v>
      </c>
      <c r="F4" s="83"/>
      <c r="G4" s="83"/>
      <c r="H4" s="83"/>
      <c r="I4" s="83"/>
      <c r="J4" s="22"/>
      <c r="K4" s="77" t="s">
        <v>3</v>
      </c>
      <c r="L4" s="78"/>
      <c r="M4" s="79"/>
    </row>
    <row r="5" spans="2:18" ht="15" x14ac:dyDescent="0.25">
      <c r="B5" s="23" t="s">
        <v>2</v>
      </c>
      <c r="C5" s="24">
        <f>SUMIF(I6:I31,"&gt;0",H6:H31)</f>
        <v>690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220</v>
      </c>
      <c r="D6" s="2"/>
      <c r="E6" s="18"/>
      <c r="F6" s="25"/>
      <c r="G6" s="48"/>
      <c r="H6" s="8"/>
      <c r="I6" s="8"/>
      <c r="J6" s="2"/>
      <c r="K6" s="25"/>
      <c r="L6" s="9"/>
      <c r="M6" s="16"/>
      <c r="R6" s="1">
        <f>IF(vend9[[#This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IF(vend9[[#This Row],[Nº Venda]]&gt;1,1,0)</f>
        <v>0</v>
      </c>
    </row>
    <row r="8" spans="2:18" ht="15.75" x14ac:dyDescent="0.25">
      <c r="B8" s="28" t="s">
        <v>14</v>
      </c>
      <c r="C8" s="29">
        <f>SUM(C6:C7)</f>
        <v>220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IF(vend9[[#This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IF(vend9[[#This Row],[Nº Venda]]&gt;1,1,0)</f>
        <v>0</v>
      </c>
    </row>
    <row r="10" spans="2:18" ht="15.75" x14ac:dyDescent="0.25">
      <c r="B10" s="75" t="s">
        <v>16</v>
      </c>
      <c r="C10" s="7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IF(vend9[[#This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IF(vend9[[#This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285</v>
      </c>
      <c r="D12" s="2"/>
      <c r="E12" s="18"/>
      <c r="F12" s="25"/>
      <c r="G12" s="26"/>
      <c r="H12" s="8"/>
      <c r="I12" s="8"/>
      <c r="J12" s="2"/>
      <c r="R12" s="1">
        <f>IF(vend9[[#This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7" t="s">
        <v>36</v>
      </c>
      <c r="L13" s="78"/>
      <c r="M13" s="79"/>
      <c r="R13" s="1">
        <f>IF(vend9[[#This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IF(vend9[[#This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773</v>
      </c>
      <c r="L15" s="9" t="s">
        <v>125</v>
      </c>
      <c r="M15" s="16" t="s">
        <v>128</v>
      </c>
      <c r="R15" s="1">
        <f>IF(vend9[[#This Row],[Nº Venda]]&gt;1,1,0)</f>
        <v>0</v>
      </c>
    </row>
    <row r="16" spans="2:18" ht="15.75" x14ac:dyDescent="0.25">
      <c r="B16" s="28" t="s">
        <v>19</v>
      </c>
      <c r="C16" s="32">
        <f>SUM(C11:C15)</f>
        <v>285</v>
      </c>
      <c r="D16" s="2"/>
      <c r="E16" s="18"/>
      <c r="F16" s="25"/>
      <c r="G16" s="26"/>
      <c r="H16" s="8"/>
      <c r="I16" s="8"/>
      <c r="J16" s="2"/>
      <c r="K16" s="25">
        <v>775</v>
      </c>
      <c r="L16" s="9" t="s">
        <v>125</v>
      </c>
      <c r="M16" s="16" t="s">
        <v>128</v>
      </c>
      <c r="R16" s="1">
        <f>IF(vend9[[#This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IF(vend9[[#This Row],[Nº Venda]]&gt;1,1,0)</f>
        <v>0</v>
      </c>
    </row>
    <row r="18" spans="2:18" ht="15.75" x14ac:dyDescent="0.25">
      <c r="B18" s="75" t="s">
        <v>35</v>
      </c>
      <c r="C18" s="7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IF(vend9[[#This Row],[Nº Venda]]&gt;1,1,0)</f>
        <v>0</v>
      </c>
    </row>
    <row r="19" spans="2:18" ht="15.75" x14ac:dyDescent="0.25">
      <c r="B19" s="30">
        <f>COUNT(entr_carn9[OS])</f>
        <v>1</v>
      </c>
      <c r="C19" s="31">
        <f>SUM(entr_carn9[Valor Total])</f>
        <v>470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IF(vend9[[#This Row],[Nº Venda]]&gt;1,1,0)</f>
        <v>0</v>
      </c>
    </row>
    <row r="20" spans="2:18" ht="15.75" x14ac:dyDescent="0.25">
      <c r="B20" s="28" t="s">
        <v>19</v>
      </c>
      <c r="C20" s="32">
        <f>SUM(C19:C19)</f>
        <v>470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IF(vend9[[#This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690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6" t="s">
        <v>22</v>
      </c>
      <c r="F24" s="76"/>
      <c r="G24" s="76"/>
      <c r="H24" s="76"/>
      <c r="I24" s="76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773</v>
      </c>
      <c r="F26" s="25" t="s">
        <v>135</v>
      </c>
      <c r="G26" s="48" t="s">
        <v>17</v>
      </c>
      <c r="H26" s="8">
        <v>690</v>
      </c>
      <c r="I26" s="8">
        <v>120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775</v>
      </c>
      <c r="F27" s="25" t="s">
        <v>135</v>
      </c>
      <c r="G27" s="26" t="s">
        <v>17</v>
      </c>
      <c r="H27" s="8">
        <v>0</v>
      </c>
      <c r="I27" s="8">
        <v>100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6" t="s">
        <v>39</v>
      </c>
      <c r="F33" s="76"/>
      <c r="G33" s="76"/>
      <c r="H33" s="76"/>
      <c r="I33" s="76"/>
      <c r="K33" s="77" t="s">
        <v>35</v>
      </c>
      <c r="L33" s="78"/>
      <c r="M33" s="79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>
        <v>757</v>
      </c>
      <c r="F35" s="25" t="s">
        <v>134</v>
      </c>
      <c r="G35" s="26" t="s">
        <v>17</v>
      </c>
      <c r="H35" s="8">
        <v>65</v>
      </c>
      <c r="I35" s="8" t="s">
        <v>60</v>
      </c>
      <c r="K35" s="25">
        <v>773</v>
      </c>
      <c r="L35" s="42">
        <v>4</v>
      </c>
      <c r="M35" s="16">
        <v>470</v>
      </c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EE2B9B6-C80B-4EFA-9C0F-B76FABFFBCA4}">
      <formula1>"Sim, Não"</formula1>
    </dataValidation>
    <dataValidation type="list" allowBlank="1" showInputMessage="1" showErrorMessage="1" sqref="L35:L41" xr:uid="{024BA941-0030-4A6F-924B-0FFD9C04B41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2AFCA31-3D3D-4524-8B45-1A8AA92BC219}">
          <x14:formula1>
            <xm:f>base!$A$2:$A$9</xm:f>
          </x14:formula1>
          <xm:sqref>G6:G22</xm:sqref>
        </x14:dataValidation>
        <x14:dataValidation type="list" allowBlank="1" showInputMessage="1" showErrorMessage="1" xr:uid="{29BF03D5-085C-4D3D-8B9C-DD8775542C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ADFF7E4-4584-48B2-844D-3DA81E973A80}">
          <x14:formula1>
            <xm:f>base!$E$2:$E$79</xm:f>
          </x14:formula1>
          <xm:sqref>I35:I41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3603-D4B4-4B0F-B066-9C2D71271416}">
  <dimension ref="B1:R41"/>
  <sheetViews>
    <sheetView showGridLines="0" zoomScale="80" zoomScaleNormal="80" workbookViewId="0">
      <selection activeCell="E6" sqref="E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'09'!B1+1</f>
        <v>45240</v>
      </c>
    </row>
    <row r="2" spans="2:18" ht="18.75" x14ac:dyDescent="0.2">
      <c r="B2" s="80" t="s">
        <v>0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83" t="s">
        <v>2</v>
      </c>
      <c r="F4" s="83"/>
      <c r="G4" s="83"/>
      <c r="H4" s="83"/>
      <c r="I4" s="83"/>
      <c r="J4" s="22"/>
      <c r="K4" s="77" t="s">
        <v>3</v>
      </c>
      <c r="L4" s="78"/>
      <c r="M4" s="79"/>
    </row>
    <row r="5" spans="2:18" ht="15" x14ac:dyDescent="0.2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140</v>
      </c>
      <c r="D6" s="2"/>
      <c r="E6" s="18"/>
      <c r="F6" s="25"/>
      <c r="G6" s="48"/>
      <c r="H6" s="8"/>
      <c r="I6" s="8"/>
      <c r="J6" s="2"/>
      <c r="K6" s="25"/>
      <c r="L6" s="9"/>
      <c r="M6" s="16"/>
      <c r="R6" s="1">
        <f>IF(vend10[[#This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8"/>
      <c r="H7" s="8"/>
      <c r="I7" s="8"/>
      <c r="J7" s="2"/>
      <c r="K7" s="25"/>
      <c r="L7" s="9"/>
      <c r="M7" s="16"/>
      <c r="R7" s="1">
        <f>IF(vend10[[#This Row],[Nº Venda]]&gt;1,1,0)</f>
        <v>0</v>
      </c>
    </row>
    <row r="8" spans="2:18" ht="15.75" x14ac:dyDescent="0.25">
      <c r="B8" s="28" t="s">
        <v>14</v>
      </c>
      <c r="C8" s="29">
        <f>SUM(C6:C7)</f>
        <v>140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IF(vend10[[#This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IF(vend10[[#This Row],[Nº Venda]]&gt;1,1,0)</f>
        <v>0</v>
      </c>
    </row>
    <row r="10" spans="2:18" ht="15.75" x14ac:dyDescent="0.25">
      <c r="B10" s="75" t="s">
        <v>16</v>
      </c>
      <c r="C10" s="7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IF(vend10[[#This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200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IF(vend10[[#This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IF(vend10[[#This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7" t="s">
        <v>36</v>
      </c>
      <c r="L13" s="78"/>
      <c r="M13" s="79"/>
      <c r="R13" s="1">
        <f>IF(vend10[[#This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IF(vend10[[#This Row],[Nº Venda]]&gt;1,1,0)</f>
        <v>0</v>
      </c>
    </row>
    <row r="15" spans="2:18" ht="15.75" x14ac:dyDescent="0.25">
      <c r="B15" s="30" t="s">
        <v>13</v>
      </c>
      <c r="C15" s="31">
        <f t="shared" si="0"/>
        <v>239.85</v>
      </c>
      <c r="D15" s="2"/>
      <c r="E15" s="18"/>
      <c r="F15" s="25"/>
      <c r="G15" s="26"/>
      <c r="H15" s="8"/>
      <c r="I15" s="8"/>
      <c r="J15" s="2"/>
      <c r="K15" s="25">
        <v>799</v>
      </c>
      <c r="L15" s="9" t="s">
        <v>125</v>
      </c>
      <c r="M15" s="16" t="s">
        <v>128</v>
      </c>
      <c r="R15" s="1">
        <f>IF(vend10[[#This Row],[Nº Venda]]&gt;1,1,0)</f>
        <v>0</v>
      </c>
    </row>
    <row r="16" spans="2:18" ht="15.75" x14ac:dyDescent="0.25">
      <c r="B16" s="28" t="s">
        <v>19</v>
      </c>
      <c r="C16" s="32">
        <f>SUM(C11:C15)</f>
        <v>439.85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IF(vend10[[#This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IF(vend10[[#This Row],[Nº Venda]]&gt;1,1,0)</f>
        <v>0</v>
      </c>
    </row>
    <row r="18" spans="2:18" ht="15.75" x14ac:dyDescent="0.25">
      <c r="B18" s="75" t="s">
        <v>35</v>
      </c>
      <c r="C18" s="7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IF(vend10[[#This Row],[Nº Venda]]&gt;1,1,0)</f>
        <v>0</v>
      </c>
    </row>
    <row r="19" spans="2:18" ht="15.75" x14ac:dyDescent="0.25">
      <c r="B19" s="30">
        <f>COUNT(entr_carn10[OS])</f>
        <v>0</v>
      </c>
      <c r="C19" s="31">
        <f>SUM(entr_carn10[Valor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IF(vend10[[#This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IF(vend10[[#This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6" t="s">
        <v>22</v>
      </c>
      <c r="F24" s="76"/>
      <c r="G24" s="76"/>
      <c r="H24" s="76"/>
      <c r="I24" s="76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799</v>
      </c>
      <c r="F26" s="25" t="s">
        <v>138</v>
      </c>
      <c r="G26" s="48" t="s">
        <v>13</v>
      </c>
      <c r="H26" s="8"/>
      <c r="I26" s="8">
        <v>140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8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8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6" t="s">
        <v>39</v>
      </c>
      <c r="F33" s="76"/>
      <c r="G33" s="76"/>
      <c r="H33" s="76"/>
      <c r="I33" s="76"/>
      <c r="K33" s="77" t="s">
        <v>35</v>
      </c>
      <c r="L33" s="78"/>
      <c r="M33" s="79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>
        <v>718</v>
      </c>
      <c r="F35" s="25" t="s">
        <v>136</v>
      </c>
      <c r="G35" s="26" t="s">
        <v>13</v>
      </c>
      <c r="H35" s="8">
        <v>99.85</v>
      </c>
      <c r="I35" s="8" t="s">
        <v>69</v>
      </c>
      <c r="K35" s="25"/>
      <c r="L35" s="42"/>
      <c r="M35" s="16"/>
    </row>
    <row r="36" spans="2:18" ht="15.75" x14ac:dyDescent="0.25">
      <c r="E36" s="18">
        <v>727</v>
      </c>
      <c r="F36" s="25" t="s">
        <v>137</v>
      </c>
      <c r="G36" s="26" t="s">
        <v>12</v>
      </c>
      <c r="H36" s="8">
        <v>200</v>
      </c>
      <c r="I36" s="8" t="s">
        <v>53</v>
      </c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AD9A0320-9A30-41B2-9FAF-D01289640E0B}">
      <formula1>"1,2,3,4,5,6,7,8,9,10"</formula1>
    </dataValidation>
    <dataValidation type="list" allowBlank="1" showInputMessage="1" showErrorMessage="1" sqref="M15:M31" xr:uid="{D6DC696E-CA3B-41BE-A6D2-E856E1562E1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80BA27C-92FA-4E44-B45B-142D61BB934F}">
          <x14:formula1>
            <xm:f>base!$A$2:$A$6</xm:f>
          </x14:formula1>
          <xm:sqref>G26:G31 G35:G41</xm:sqref>
        </x14:dataValidation>
        <x14:dataValidation type="list" allowBlank="1" showInputMessage="1" showErrorMessage="1" xr:uid="{F59B2027-2773-449E-ABFB-BF6543795358}">
          <x14:formula1>
            <xm:f>base!$A$2:$A$9</xm:f>
          </x14:formula1>
          <xm:sqref>G6:G22</xm:sqref>
        </x14:dataValidation>
        <x14:dataValidation type="list" allowBlank="1" showInputMessage="1" showErrorMessage="1" xr:uid="{48D97D3E-6B86-4588-A52D-7BC165A36619}">
          <x14:formula1>
            <xm:f>base!$E$2:$E$79</xm:f>
          </x14:formula1>
          <xm:sqref>I35:I41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C4B6-866E-483C-8613-40944C68F61C}">
  <dimension ref="B1:R41"/>
  <sheetViews>
    <sheetView showGridLines="0" zoomScale="80" zoomScaleNormal="80" workbookViewId="0">
      <selection activeCell="E7" sqref="E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'10'!B1+1</f>
        <v>45241</v>
      </c>
    </row>
    <row r="2" spans="2:18" ht="18.75" x14ac:dyDescent="0.2">
      <c r="B2" s="80" t="s">
        <v>0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83" t="s">
        <v>2</v>
      </c>
      <c r="F4" s="83"/>
      <c r="G4" s="83"/>
      <c r="H4" s="83"/>
      <c r="I4" s="83"/>
      <c r="J4" s="22"/>
      <c r="K4" s="77" t="s">
        <v>3</v>
      </c>
      <c r="L4" s="78"/>
      <c r="M4" s="79"/>
    </row>
    <row r="5" spans="2:18" ht="15" x14ac:dyDescent="0.25">
      <c r="B5" s="23" t="s">
        <v>2</v>
      </c>
      <c r="C5" s="24">
        <f>SUMIF(I6:I31,"&gt;0",H6:H31)</f>
        <v>650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650</v>
      </c>
      <c r="D6" s="2"/>
      <c r="E6" s="18">
        <v>802</v>
      </c>
      <c r="F6" s="25" t="s">
        <v>139</v>
      </c>
      <c r="G6" s="26" t="s">
        <v>15</v>
      </c>
      <c r="H6" s="8">
        <v>650</v>
      </c>
      <c r="I6" s="8">
        <v>650</v>
      </c>
      <c r="J6" s="2"/>
      <c r="K6" s="25"/>
      <c r="L6" s="9"/>
      <c r="M6" s="16"/>
      <c r="R6" s="1">
        <f>IF(vend11[[#This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IF(vend11[[#This Row],[Nº Venda]]&gt;1,1,0)</f>
        <v>0</v>
      </c>
    </row>
    <row r="8" spans="2:18" ht="15.75" x14ac:dyDescent="0.25">
      <c r="B8" s="28" t="s">
        <v>14</v>
      </c>
      <c r="C8" s="29">
        <f>SUM(C6:C7)</f>
        <v>650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IF(vend11[[#This Row],[Nº Venda]]&gt;1,1,0)</f>
        <v>0</v>
      </c>
    </row>
    <row r="10" spans="2:18" ht="15.75" x14ac:dyDescent="0.25">
      <c r="B10" s="75" t="s">
        <v>16</v>
      </c>
      <c r="C10" s="7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IF(vend11[[#This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IF(vend11[[#This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212.5</v>
      </c>
      <c r="D12" s="2"/>
      <c r="E12" s="18"/>
      <c r="F12" s="25"/>
      <c r="G12" s="26"/>
      <c r="H12" s="8"/>
      <c r="I12" s="8"/>
      <c r="J12" s="2"/>
      <c r="R12" s="1">
        <f>IF(vend11[[#This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7" t="s">
        <v>36</v>
      </c>
      <c r="L13" s="78"/>
      <c r="M13" s="79"/>
      <c r="R13" s="1">
        <f>IF(vend11[[#This Row],[Nº Venda]]&gt;1,1,0)</f>
        <v>0</v>
      </c>
    </row>
    <row r="14" spans="2:18" ht="15.75" x14ac:dyDescent="0.25">
      <c r="B14" s="30" t="s">
        <v>15</v>
      </c>
      <c r="C14" s="31">
        <f t="shared" si="0"/>
        <v>650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IF(vend11[[#This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IF(vend11[[#This Row],[Nº Venda]]&gt;1,1,0)</f>
        <v>0</v>
      </c>
    </row>
    <row r="16" spans="2:18" ht="15.75" x14ac:dyDescent="0.25">
      <c r="B16" s="28" t="s">
        <v>19</v>
      </c>
      <c r="C16" s="32">
        <f>SUM(C11:C15)</f>
        <v>862.5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IF(vend11[[#This Row],[Nº Venda]]&gt;1,1,0)</f>
        <v>0</v>
      </c>
    </row>
    <row r="18" spans="2:18" ht="15.75" x14ac:dyDescent="0.25">
      <c r="B18" s="75" t="s">
        <v>35</v>
      </c>
      <c r="C18" s="7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IF(vend11[[#This Row],[Nº Venda]]&gt;1,1,0)</f>
        <v>0</v>
      </c>
    </row>
    <row r="19" spans="2:18" ht="15.75" x14ac:dyDescent="0.25">
      <c r="B19" s="30">
        <f>COUNT(entr_carn11[OS])</f>
        <v>0</v>
      </c>
      <c r="C19" s="31">
        <f>SUM(entr_carn11[Valor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IF(vend11[[#This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650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6" t="s">
        <v>22</v>
      </c>
      <c r="F24" s="76"/>
      <c r="G24" s="76"/>
      <c r="H24" s="76"/>
      <c r="I24" s="76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8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6" t="s">
        <v>39</v>
      </c>
      <c r="F33" s="76"/>
      <c r="G33" s="76"/>
      <c r="H33" s="76"/>
      <c r="I33" s="76"/>
      <c r="K33" s="77" t="s">
        <v>35</v>
      </c>
      <c r="L33" s="78"/>
      <c r="M33" s="79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>
        <v>720</v>
      </c>
      <c r="F35" s="25" t="s">
        <v>140</v>
      </c>
      <c r="G35" s="26" t="s">
        <v>17</v>
      </c>
      <c r="H35" s="8">
        <v>100</v>
      </c>
      <c r="I35" s="8" t="s">
        <v>58</v>
      </c>
      <c r="K35" s="25"/>
      <c r="L35" s="42"/>
      <c r="M35" s="16"/>
    </row>
    <row r="36" spans="2:18" ht="15.75" x14ac:dyDescent="0.25">
      <c r="E36" s="18">
        <v>757</v>
      </c>
      <c r="F36" s="25" t="s">
        <v>141</v>
      </c>
      <c r="G36" s="26" t="s">
        <v>17</v>
      </c>
      <c r="H36" s="8">
        <v>112.5</v>
      </c>
      <c r="I36" s="8" t="s">
        <v>74</v>
      </c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1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1B6C18E-B3C2-425C-BAF6-9D43E4000CFC}">
      <formula1>"1,2,3,4,5,6,7,8,9,10"</formula1>
    </dataValidation>
    <dataValidation type="list" allowBlank="1" showInputMessage="1" showErrorMessage="1" sqref="M15:M31" xr:uid="{0998D85F-E668-4980-AE2B-957057DB5A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C041720-F84D-4B31-8C64-E922AB78D0E6}">
          <x14:formula1>
            <xm:f>base!$A$2:$A$6</xm:f>
          </x14:formula1>
          <xm:sqref>G26:G31 G35:G41</xm:sqref>
        </x14:dataValidation>
        <x14:dataValidation type="list" allowBlank="1" showInputMessage="1" showErrorMessage="1" xr:uid="{49A2BD87-4443-46B8-B2FC-3AFC393A58CA}">
          <x14:formula1>
            <xm:f>base!$A$2:$A$9</xm:f>
          </x14:formula1>
          <xm:sqref>G6:G22</xm:sqref>
        </x14:dataValidation>
        <x14:dataValidation type="list" allowBlank="1" showInputMessage="1" showErrorMessage="1" xr:uid="{7BE128C0-3189-41A9-89FA-450A0877DC2D}">
          <x14:formula1>
            <xm:f>base!$E$2:$E$79</xm:f>
          </x14:formula1>
          <xm:sqref>I35:I41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4FA64-7392-4CD9-9709-37DE10500091}">
  <dimension ref="B1:R41"/>
  <sheetViews>
    <sheetView showGridLines="0" zoomScale="80" zoomScaleNormal="80" workbookViewId="0">
      <selection activeCell="C15" sqref="C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'11'!B1+1</f>
        <v>45242</v>
      </c>
    </row>
    <row r="2" spans="2:18" ht="18.75" x14ac:dyDescent="0.2">
      <c r="B2" s="80" t="s">
        <v>0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83" t="s">
        <v>2</v>
      </c>
      <c r="F4" s="83"/>
      <c r="G4" s="83"/>
      <c r="H4" s="83"/>
      <c r="I4" s="83"/>
      <c r="J4" s="22"/>
      <c r="K4" s="77" t="s">
        <v>3</v>
      </c>
      <c r="L4" s="78"/>
      <c r="M4" s="79"/>
    </row>
    <row r="5" spans="2:18" ht="15" x14ac:dyDescent="0.2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" x14ac:dyDescent="0.25">
      <c r="B6" s="23" t="s">
        <v>8</v>
      </c>
      <c r="C6" s="24">
        <f>SUM(I6:I41)</f>
        <v>0</v>
      </c>
      <c r="D6" s="2"/>
      <c r="E6" s="67"/>
      <c r="F6" s="68"/>
      <c r="G6" s="68"/>
      <c r="H6" s="69"/>
      <c r="I6" s="69"/>
      <c r="J6" s="2"/>
      <c r="K6" s="25"/>
      <c r="L6" s="9"/>
      <c r="M6" s="16"/>
      <c r="R6" s="1">
        <f>IF(vend12[[#This Row],[Nº Venda]]&gt;1,1,0)</f>
        <v>0</v>
      </c>
    </row>
    <row r="7" spans="2:18" ht="15" x14ac:dyDescent="0.25">
      <c r="B7" s="23" t="s">
        <v>3</v>
      </c>
      <c r="C7" s="24">
        <f>SUM(M6:M11)</f>
        <v>0</v>
      </c>
      <c r="D7" s="2"/>
      <c r="E7" s="70"/>
      <c r="F7" s="71"/>
      <c r="G7" s="71"/>
      <c r="H7" s="72"/>
      <c r="I7" s="72"/>
      <c r="J7" s="2"/>
      <c r="K7" s="25"/>
      <c r="L7" s="9"/>
      <c r="M7" s="16"/>
      <c r="R7" s="1">
        <f>IF(vend12[[#This Row],[Nº Venda]]&gt;1,1,0)</f>
        <v>0</v>
      </c>
    </row>
    <row r="8" spans="2:18" ht="15.75" x14ac:dyDescent="0.25">
      <c r="B8" s="28" t="s">
        <v>14</v>
      </c>
      <c r="C8" s="29">
        <f>SUM(C6:C7)</f>
        <v>0</v>
      </c>
      <c r="D8" s="2"/>
      <c r="E8" s="74"/>
      <c r="F8" s="71"/>
      <c r="G8" s="71"/>
      <c r="H8" s="72"/>
      <c r="I8" s="72"/>
      <c r="J8" s="2"/>
      <c r="K8" s="25"/>
      <c r="L8" s="9"/>
      <c r="M8" s="16"/>
      <c r="R8" s="1">
        <f>IF(vend12[[#This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IF(vend12[[#This Row],[Nº Venda]]&gt;1,1,0)</f>
        <v>0</v>
      </c>
    </row>
    <row r="10" spans="2:18" ht="15.75" x14ac:dyDescent="0.25">
      <c r="B10" s="75" t="s">
        <v>16</v>
      </c>
      <c r="C10" s="7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IF(vend12[[#This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IF(vend12[[#This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IF(vend12[[#This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7" t="s">
        <v>36</v>
      </c>
      <c r="L13" s="78"/>
      <c r="M13" s="79"/>
      <c r="R13" s="1">
        <f>IF(vend12[[#This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IF(vend12[[#This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IF(vend12[[#This Row],[Nº Venda]]&gt;1,1,0)</f>
        <v>0</v>
      </c>
    </row>
    <row r="16" spans="2:18" ht="15.75" x14ac:dyDescent="0.25">
      <c r="B16" s="28" t="s">
        <v>19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IF(vend12[[#This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IF(vend12[[#This Row],[Nº Venda]]&gt;1,1,0)</f>
        <v>0</v>
      </c>
    </row>
    <row r="18" spans="2:18" ht="15.75" x14ac:dyDescent="0.25">
      <c r="B18" s="75" t="s">
        <v>35</v>
      </c>
      <c r="C18" s="7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IF(vend12[[#This Row],[Nº Venda]]&gt;1,1,0)</f>
        <v>0</v>
      </c>
    </row>
    <row r="19" spans="2:18" ht="15.75" x14ac:dyDescent="0.25">
      <c r="B19" s="30">
        <f>COUNT(entr_carn12[OS])</f>
        <v>0</v>
      </c>
      <c r="C19" s="31">
        <f>SUM(entr_carn12[Valor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IF(vend12[[#This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6" t="s">
        <v>22</v>
      </c>
      <c r="F24" s="76"/>
      <c r="G24" s="76"/>
      <c r="H24" s="76"/>
      <c r="I24" s="76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73"/>
      <c r="G26" s="48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6" t="s">
        <v>39</v>
      </c>
      <c r="F33" s="76"/>
      <c r="G33" s="76"/>
      <c r="H33" s="76"/>
      <c r="I33" s="76"/>
      <c r="K33" s="77" t="s">
        <v>35</v>
      </c>
      <c r="L33" s="78"/>
      <c r="M33" s="79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23E708D8-CE05-4F3E-91DE-80C9C11E79AB}">
      <formula1>"1,2,3,4,5,6,7,8,9,10"</formula1>
    </dataValidation>
    <dataValidation type="list" allowBlank="1" showInputMessage="1" showErrorMessage="1" sqref="M15:M31" xr:uid="{4901C78D-38A0-4118-858E-E81855C38C42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6DAD829-EB77-41C4-8A8D-E5F987FD24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D193BEB-28B6-40A8-9FB9-575E5B631CB9}">
          <x14:formula1>
            <xm:f>base!$A$2:$A$9</xm:f>
          </x14:formula1>
          <xm:sqref>G6:G22</xm:sqref>
        </x14:dataValidation>
        <x14:dataValidation type="list" allowBlank="1" showInputMessage="1" showErrorMessage="1" xr:uid="{4A15E569-82C4-4CBD-A2BF-C66422D802EC}">
          <x14:formula1>
            <xm:f>base!$E$2:$E$79</xm:f>
          </x14:formula1>
          <xm:sqref>I35:I41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2918-B223-4FF8-8888-A29B9CD9E99C}">
  <dimension ref="B1:R41"/>
  <sheetViews>
    <sheetView showGridLines="0" zoomScale="80" zoomScaleNormal="80" workbookViewId="0">
      <selection activeCell="E7" sqref="E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'12'!B1+1</f>
        <v>45243</v>
      </c>
    </row>
    <row r="2" spans="2:18" ht="18.75" x14ac:dyDescent="0.2">
      <c r="B2" s="80" t="s">
        <v>0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83" t="s">
        <v>2</v>
      </c>
      <c r="F4" s="83"/>
      <c r="G4" s="83"/>
      <c r="H4" s="83"/>
      <c r="I4" s="83"/>
      <c r="J4" s="22"/>
      <c r="K4" s="77" t="s">
        <v>3</v>
      </c>
      <c r="L4" s="78"/>
      <c r="M4" s="79"/>
    </row>
    <row r="5" spans="2:18" ht="15" x14ac:dyDescent="0.25">
      <c r="B5" s="23" t="s">
        <v>2</v>
      </c>
      <c r="C5" s="24">
        <f>SUMIF(I6:I31,"&gt;0",H6:H31)</f>
        <v>3180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1350</v>
      </c>
      <c r="D6" s="2"/>
      <c r="E6" s="18">
        <v>803</v>
      </c>
      <c r="F6" s="25" t="s">
        <v>142</v>
      </c>
      <c r="G6" s="26" t="s">
        <v>15</v>
      </c>
      <c r="H6" s="8">
        <v>450</v>
      </c>
      <c r="I6" s="8">
        <v>450</v>
      </c>
      <c r="J6" s="2"/>
      <c r="K6" s="25"/>
      <c r="L6" s="9"/>
      <c r="M6" s="16"/>
      <c r="R6" s="1">
        <f>IF(vend13[[#This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804</v>
      </c>
      <c r="F7" s="25" t="s">
        <v>143</v>
      </c>
      <c r="G7" s="26" t="s">
        <v>15</v>
      </c>
      <c r="H7" s="8">
        <v>850</v>
      </c>
      <c r="I7" s="8">
        <v>850</v>
      </c>
      <c r="J7" s="2"/>
      <c r="K7" s="25"/>
      <c r="L7" s="9"/>
      <c r="M7" s="16"/>
      <c r="R7" s="1">
        <f>IF(vend13[[#This Row],[Nº Venda]]&gt;1,1,0)</f>
        <v>1</v>
      </c>
    </row>
    <row r="8" spans="2:18" ht="15.75" x14ac:dyDescent="0.25">
      <c r="B8" s="28" t="s">
        <v>14</v>
      </c>
      <c r="C8" s="29">
        <f>SUM(C6:C7)</f>
        <v>1350</v>
      </c>
      <c r="D8" s="2"/>
      <c r="E8" s="18">
        <v>805</v>
      </c>
      <c r="F8" s="25" t="s">
        <v>144</v>
      </c>
      <c r="G8" s="26" t="s">
        <v>12</v>
      </c>
      <c r="H8" s="8">
        <v>890</v>
      </c>
      <c r="I8" s="8">
        <v>20</v>
      </c>
      <c r="J8" s="2"/>
      <c r="K8" s="25"/>
      <c r="L8" s="9"/>
      <c r="M8" s="16"/>
      <c r="R8" s="1">
        <f>IF(vend13[[#This Row],[Nº Venda]]&gt;1,1,0)</f>
        <v>1</v>
      </c>
    </row>
    <row r="9" spans="2:18" ht="15.75" x14ac:dyDescent="0.25">
      <c r="B9" s="2"/>
      <c r="C9" s="2"/>
      <c r="D9" s="2"/>
      <c r="E9" s="18">
        <v>806</v>
      </c>
      <c r="F9" s="25" t="s">
        <v>145</v>
      </c>
      <c r="G9" s="26" t="s">
        <v>12</v>
      </c>
      <c r="H9" s="8">
        <v>290</v>
      </c>
      <c r="I9" s="8">
        <v>10</v>
      </c>
      <c r="J9" s="2"/>
      <c r="K9" s="25"/>
      <c r="L9" s="9"/>
      <c r="M9" s="16"/>
      <c r="R9" s="1">
        <f>IF(vend13[[#This Row],[Nº Venda]]&gt;1,1,0)</f>
        <v>1</v>
      </c>
    </row>
    <row r="10" spans="2:18" ht="15.75" x14ac:dyDescent="0.25">
      <c r="B10" s="75" t="s">
        <v>16</v>
      </c>
      <c r="C10" s="75"/>
      <c r="D10" s="2"/>
      <c r="E10" s="18">
        <v>807</v>
      </c>
      <c r="F10" s="25" t="s">
        <v>144</v>
      </c>
      <c r="G10" s="26" t="s">
        <v>12</v>
      </c>
      <c r="H10" s="8">
        <v>700</v>
      </c>
      <c r="I10" s="8">
        <v>20</v>
      </c>
      <c r="J10" s="2"/>
      <c r="K10" s="25"/>
      <c r="L10" s="9"/>
      <c r="M10" s="16"/>
      <c r="R10" s="1">
        <f>IF(vend13[[#This Row],[Nº Venda]]&gt;1,1,0)</f>
        <v>1</v>
      </c>
    </row>
    <row r="11" spans="2:18" ht="15.75" x14ac:dyDescent="0.25">
      <c r="B11" s="30" t="s">
        <v>12</v>
      </c>
      <c r="C11" s="31">
        <f>(SUMIF($G$2:$G$31,B11,$I$2:$I$31))+(SUMIF($G$35:$G$41,B11,$H$35:$H$41))</f>
        <v>50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IF(vend13[[#This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IF(vend13[[#This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7" t="s">
        <v>36</v>
      </c>
      <c r="L13" s="78"/>
      <c r="M13" s="79"/>
      <c r="R13" s="1">
        <f>IF(vend13[[#This Row],[Nº Venda]]&gt;1,1,0)</f>
        <v>0</v>
      </c>
    </row>
    <row r="14" spans="2:18" ht="15.75" x14ac:dyDescent="0.25">
      <c r="B14" s="30" t="s">
        <v>15</v>
      </c>
      <c r="C14" s="31">
        <f t="shared" si="0"/>
        <v>1300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IF(vend13[[#This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IF(vend13[[#This Row],[Nº Venda]]&gt;1,1,0)</f>
        <v>0</v>
      </c>
    </row>
    <row r="16" spans="2:18" ht="15.75" x14ac:dyDescent="0.25">
      <c r="B16" s="28" t="s">
        <v>19</v>
      </c>
      <c r="C16" s="32">
        <f>SUM(C11:C15)</f>
        <v>1350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IF(vend13[[#This Row],[Nº Venda]]&gt;1,1,0)</f>
        <v>0</v>
      </c>
    </row>
    <row r="18" spans="2:18" ht="15.75" x14ac:dyDescent="0.25">
      <c r="B18" s="75" t="s">
        <v>35</v>
      </c>
      <c r="C18" s="7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IF(vend13[[#This Row],[Nº Venda]]&gt;1,1,0)</f>
        <v>0</v>
      </c>
    </row>
    <row r="19" spans="2:18" ht="15.75" x14ac:dyDescent="0.25">
      <c r="B19" s="30">
        <f>COUNT(entr_carn13[OS])</f>
        <v>0</v>
      </c>
      <c r="C19" s="31">
        <f>SUM(entr_carn13[Valor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IF(vend13[[#This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3180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6" t="s">
        <v>22</v>
      </c>
      <c r="F24" s="76"/>
      <c r="G24" s="76"/>
      <c r="H24" s="76"/>
      <c r="I24" s="76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6" t="s">
        <v>39</v>
      </c>
      <c r="F33" s="76"/>
      <c r="G33" s="76"/>
      <c r="H33" s="76"/>
      <c r="I33" s="76"/>
      <c r="K33" s="77" t="s">
        <v>35</v>
      </c>
      <c r="L33" s="78"/>
      <c r="M33" s="79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5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disablePrompts="1" count="2">
    <dataValidation type="list" allowBlank="1" showInputMessage="1" showErrorMessage="1" sqref="M15:M31" xr:uid="{F335A261-ABBD-4C95-A2F8-7B0C89DA4F4E}">
      <formula1>"Sim, Não"</formula1>
    </dataValidation>
    <dataValidation type="list" allowBlank="1" showInputMessage="1" showErrorMessage="1" sqref="L35:L41" xr:uid="{5FBAD0B9-A947-4F99-A786-E5507FB6A4B3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245BDF35-8AB3-43D0-BD06-D449F65BEBB8}">
          <x14:formula1>
            <xm:f>base!$A$2:$A$9</xm:f>
          </x14:formula1>
          <xm:sqref>G6:G22</xm:sqref>
        </x14:dataValidation>
        <x14:dataValidation type="list" allowBlank="1" showInputMessage="1" showErrorMessage="1" xr:uid="{C2119B4F-A091-415F-B810-84755357089F}">
          <x14:formula1>
            <xm:f>base!$A$2:$A$6</xm:f>
          </x14:formula1>
          <xm:sqref>G26:G31 G35:G41</xm:sqref>
        </x14:dataValidation>
        <x14:dataValidation type="list" allowBlank="1" showInputMessage="1" showErrorMessage="1" xr:uid="{87485B5A-F59A-4123-B6B3-1C4132270F61}">
          <x14:formula1>
            <xm:f>base!$E$2:$E$79</xm:f>
          </x14:formula1>
          <xm:sqref>I35:I41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4E10-658F-4047-91D5-775F7232F182}">
  <dimension ref="B1:R41"/>
  <sheetViews>
    <sheetView showGridLines="0" zoomScale="80" zoomScaleNormal="80" workbookViewId="0">
      <selection activeCell="E6" sqref="E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'13'!B1+1</f>
        <v>45244</v>
      </c>
    </row>
    <row r="2" spans="2:18" ht="18.75" x14ac:dyDescent="0.2">
      <c r="B2" s="80" t="s">
        <v>0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83" t="s">
        <v>2</v>
      </c>
      <c r="F4" s="83"/>
      <c r="G4" s="83"/>
      <c r="H4" s="83"/>
      <c r="I4" s="83"/>
      <c r="J4" s="22"/>
      <c r="K4" s="77" t="s">
        <v>3</v>
      </c>
      <c r="L4" s="78"/>
      <c r="M4" s="79"/>
    </row>
    <row r="5" spans="2:18" ht="15" x14ac:dyDescent="0.2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0</v>
      </c>
      <c r="D6" s="2"/>
      <c r="E6" s="18"/>
      <c r="F6" s="25"/>
      <c r="G6" s="48"/>
      <c r="H6" s="8"/>
      <c r="I6" s="8"/>
      <c r="J6" s="2"/>
      <c r="K6" s="25"/>
      <c r="L6" s="9"/>
      <c r="M6" s="16"/>
      <c r="R6" s="1">
        <f>IF(vend14[[#This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8"/>
      <c r="H7" s="8"/>
      <c r="I7" s="8"/>
      <c r="J7" s="2"/>
      <c r="K7" s="25"/>
      <c r="L7" s="9"/>
      <c r="M7" s="16"/>
      <c r="R7" s="1">
        <f>IF(vend14[[#This Row],[Nº Venda]]&gt;1,1,0)</f>
        <v>0</v>
      </c>
    </row>
    <row r="8" spans="2:18" ht="15.75" x14ac:dyDescent="0.25">
      <c r="B8" s="28" t="s">
        <v>14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IF(vend14[[#This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IF(vend14[[#This Row],[Nº Venda]]&gt;1,1,0)</f>
        <v>0</v>
      </c>
    </row>
    <row r="10" spans="2:18" ht="15.75" x14ac:dyDescent="0.25">
      <c r="B10" s="75" t="s">
        <v>16</v>
      </c>
      <c r="C10" s="7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IF(vend14[[#This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IF(vend14[[#This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IF(vend14[[#This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7" t="s">
        <v>36</v>
      </c>
      <c r="L13" s="78"/>
      <c r="M13" s="79"/>
      <c r="R13" s="1">
        <f>IF(vend14[[#This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IF(vend14[[#This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IF(vend14[[#This Row],[Nº Venda]]&gt;1,1,0)</f>
        <v>0</v>
      </c>
    </row>
    <row r="16" spans="2:18" ht="15.75" x14ac:dyDescent="0.25">
      <c r="B16" s="28" t="s">
        <v>19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IF(vend14[[#This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IF(vend14[[#This Row],[Nº Venda]]&gt;1,1,0)</f>
        <v>0</v>
      </c>
    </row>
    <row r="18" spans="2:18" ht="15.75" x14ac:dyDescent="0.25">
      <c r="B18" s="75" t="s">
        <v>35</v>
      </c>
      <c r="C18" s="7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IF(vend14[[#This Row],[Nº Venda]]&gt;1,1,0)</f>
        <v>0</v>
      </c>
    </row>
    <row r="19" spans="2:18" ht="15.75" x14ac:dyDescent="0.25">
      <c r="B19" s="30">
        <f>COUNT(entr_carn14[OS])</f>
        <v>0</v>
      </c>
      <c r="C19" s="31">
        <f>SUM(entr_carn14[Valor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IF(vend14[[#This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6" t="s">
        <v>22</v>
      </c>
      <c r="F24" s="76"/>
      <c r="G24" s="76"/>
      <c r="H24" s="76"/>
      <c r="I24" s="76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6" t="s">
        <v>39</v>
      </c>
      <c r="F33" s="76"/>
      <c r="G33" s="76"/>
      <c r="H33" s="76"/>
      <c r="I33" s="76"/>
      <c r="K33" s="77" t="s">
        <v>35</v>
      </c>
      <c r="L33" s="78"/>
      <c r="M33" s="79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076E88-D544-499C-A8D6-AAD25E81279E}">
      <formula1>"Sim, Não"</formula1>
    </dataValidation>
    <dataValidation type="list" allowBlank="1" showInputMessage="1" showErrorMessage="1" sqref="L35:L41" xr:uid="{CDA105C2-2824-4365-874F-167D3A85690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A6D97E3-5A16-4AA2-81E6-E08B3CD71B30}">
          <x14:formula1>
            <xm:f>base!$A$2:$A$9</xm:f>
          </x14:formula1>
          <xm:sqref>G6:G22</xm:sqref>
        </x14:dataValidation>
        <x14:dataValidation type="list" allowBlank="1" showInputMessage="1" showErrorMessage="1" xr:uid="{FBE837E2-14B1-4046-BA1C-EBF965C29AA9}">
          <x14:formula1>
            <xm:f>base!$A$2:$A$6</xm:f>
          </x14:formula1>
          <xm:sqref>G26:G31 G35:G41</xm:sqref>
        </x14:dataValidation>
        <x14:dataValidation type="list" allowBlank="1" showInputMessage="1" showErrorMessage="1" xr:uid="{6E30717C-0425-4E35-A7D9-CC7EDCB6F407}">
          <x14:formula1>
            <xm:f>base!$E$2:$E$79</xm:f>
          </x14:formula1>
          <xm:sqref>I35:I41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2E5C-3226-4A4A-9E35-36F6578EF674}">
  <dimension ref="B1:R41"/>
  <sheetViews>
    <sheetView showGridLines="0" zoomScale="80" zoomScaleNormal="80" workbookViewId="0">
      <selection activeCell="C15" sqref="C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'14'!B1+1</f>
        <v>45245</v>
      </c>
    </row>
    <row r="2" spans="2:18" ht="18.75" x14ac:dyDescent="0.2">
      <c r="B2" s="80" t="s">
        <v>0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83" t="s">
        <v>2</v>
      </c>
      <c r="F4" s="83"/>
      <c r="G4" s="83"/>
      <c r="H4" s="83"/>
      <c r="I4" s="83"/>
      <c r="J4" s="22"/>
      <c r="K4" s="77" t="s">
        <v>3</v>
      </c>
      <c r="L4" s="78"/>
      <c r="M4" s="79"/>
    </row>
    <row r="5" spans="2:18" ht="15" x14ac:dyDescent="0.2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0</v>
      </c>
      <c r="D6" s="2"/>
      <c r="E6" s="18"/>
      <c r="F6" s="25"/>
      <c r="G6" s="48"/>
      <c r="H6" s="8"/>
      <c r="I6" s="8"/>
      <c r="J6" s="2"/>
      <c r="K6" s="25"/>
      <c r="L6" s="9"/>
      <c r="M6" s="16"/>
      <c r="R6" s="1">
        <f>IF(vend15[[#This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8"/>
      <c r="H7" s="8"/>
      <c r="I7" s="8"/>
      <c r="J7" s="2"/>
      <c r="K7" s="25"/>
      <c r="L7" s="9"/>
      <c r="M7" s="16"/>
      <c r="R7" s="1">
        <f>IF(vend15[[#This Row],[Nº Venda]]&gt;1,1,0)</f>
        <v>0</v>
      </c>
    </row>
    <row r="8" spans="2:18" ht="15.75" x14ac:dyDescent="0.25">
      <c r="B8" s="28" t="s">
        <v>14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IF(vend15[[#This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IF(vend15[[#This Row],[Nº Venda]]&gt;1,1,0)</f>
        <v>0</v>
      </c>
    </row>
    <row r="10" spans="2:18" ht="15.75" x14ac:dyDescent="0.25">
      <c r="B10" s="75" t="s">
        <v>16</v>
      </c>
      <c r="C10" s="7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IF(vend15[[#This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IF(vend15[[#This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IF(vend15[[#This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7" t="s">
        <v>36</v>
      </c>
      <c r="L13" s="78"/>
      <c r="M13" s="79"/>
      <c r="R13" s="1">
        <f>IF(vend15[[#This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IF(vend15[[#This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IF(vend15[[#This Row],[Nº Venda]]&gt;1,1,0)</f>
        <v>0</v>
      </c>
    </row>
    <row r="16" spans="2:18" ht="15.75" x14ac:dyDescent="0.25">
      <c r="B16" s="28" t="s">
        <v>19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IF(vend15[[#This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IF(vend15[[#This Row],[Nº Venda]]&gt;1,1,0)</f>
        <v>0</v>
      </c>
    </row>
    <row r="18" spans="2:18" ht="15.75" x14ac:dyDescent="0.25">
      <c r="B18" s="75" t="s">
        <v>35</v>
      </c>
      <c r="C18" s="7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IF(vend15[[#This Row],[Nº Venda]]&gt;1,1,0)</f>
        <v>0</v>
      </c>
    </row>
    <row r="19" spans="2:18" ht="15.75" x14ac:dyDescent="0.25">
      <c r="B19" s="30">
        <f>COUNT(entr_carn15[OS])</f>
        <v>0</v>
      </c>
      <c r="C19" s="31">
        <f>SUM(entr_carn15[Valor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IF(vend15[[#This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6" t="s">
        <v>22</v>
      </c>
      <c r="F24" s="76"/>
      <c r="G24" s="76"/>
      <c r="H24" s="76"/>
      <c r="I24" s="76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8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6" t="s">
        <v>39</v>
      </c>
      <c r="F33" s="76"/>
      <c r="G33" s="76"/>
      <c r="H33" s="76"/>
      <c r="I33" s="76"/>
      <c r="K33" s="77" t="s">
        <v>35</v>
      </c>
      <c r="L33" s="78"/>
      <c r="M33" s="79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4D2AB157-8FC1-452B-BEC1-01103E4F7766}">
      <formula1>"Sim, Não"</formula1>
    </dataValidation>
    <dataValidation type="list" allowBlank="1" showInputMessage="1" showErrorMessage="1" sqref="L35:L41" xr:uid="{214A2D01-7958-491D-9467-1BF469F9CB2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2E9574C-8978-4987-B70B-5E6645EF0D63}">
          <x14:formula1>
            <xm:f>base!$A$2:$A$9</xm:f>
          </x14:formula1>
          <xm:sqref>G6:G22</xm:sqref>
        </x14:dataValidation>
        <x14:dataValidation type="list" allowBlank="1" showInputMessage="1" showErrorMessage="1" xr:uid="{648FDA10-4DC9-4E67-8051-7788C0919D43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4237BB-720F-45E5-9006-1FA22A305EA7}">
          <x14:formula1>
            <xm:f>base!$E$2:$E$79</xm:f>
          </x14:formula1>
          <xm:sqref>I35:I41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7A0F4-6E60-4E3C-B373-63466EEC6E0D}">
  <dimension ref="B1:R41"/>
  <sheetViews>
    <sheetView showGridLines="0" zoomScale="80" zoomScaleNormal="80" workbookViewId="0">
      <selection activeCell="E6" sqref="E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'15'!B1+1</f>
        <v>45246</v>
      </c>
    </row>
    <row r="2" spans="2:18" ht="18.75" x14ac:dyDescent="0.2">
      <c r="B2" s="80" t="s">
        <v>0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83" t="s">
        <v>2</v>
      </c>
      <c r="F4" s="83"/>
      <c r="G4" s="83"/>
      <c r="H4" s="83"/>
      <c r="I4" s="83"/>
      <c r="J4" s="22"/>
      <c r="K4" s="77" t="s">
        <v>3</v>
      </c>
      <c r="L4" s="78"/>
      <c r="M4" s="79"/>
    </row>
    <row r="5" spans="2:18" ht="15" x14ac:dyDescent="0.2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200</v>
      </c>
      <c r="D6" s="2"/>
      <c r="E6" s="18"/>
      <c r="F6" s="25"/>
      <c r="G6" s="48"/>
      <c r="H6" s="8"/>
      <c r="I6" s="8"/>
      <c r="J6" s="2"/>
      <c r="K6" s="25"/>
      <c r="L6" s="9"/>
      <c r="M6" s="16"/>
      <c r="R6" s="1">
        <f>IF(vend16[[#This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8"/>
      <c r="H7" s="8"/>
      <c r="I7" s="8"/>
      <c r="J7" s="2"/>
      <c r="K7" s="25"/>
      <c r="L7" s="9"/>
      <c r="M7" s="16"/>
      <c r="R7" s="1">
        <f>IF(vend16[[#This Row],[Nº Venda]]&gt;1,1,0)</f>
        <v>0</v>
      </c>
    </row>
    <row r="8" spans="2:18" ht="15.75" x14ac:dyDescent="0.25">
      <c r="B8" s="28" t="s">
        <v>14</v>
      </c>
      <c r="C8" s="29">
        <f>SUM(C6:C7)</f>
        <v>200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IF(vend16[[#This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IF(vend16[[#This Row],[Nº Venda]]&gt;1,1,0)</f>
        <v>0</v>
      </c>
    </row>
    <row r="10" spans="2:18" ht="15.75" x14ac:dyDescent="0.25">
      <c r="B10" s="75" t="s">
        <v>16</v>
      </c>
      <c r="C10" s="7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IF(vend16[[#This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200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IF(vend16[[#This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IF(vend16[[#This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7" t="s">
        <v>36</v>
      </c>
      <c r="L13" s="78"/>
      <c r="M13" s="79"/>
      <c r="R13" s="1">
        <f>IF(vend16[[#This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IF(vend16[[#This Row],[Nº Venda]]&gt;1,1,0)</f>
        <v>0</v>
      </c>
    </row>
    <row r="15" spans="2:18" ht="15.75" x14ac:dyDescent="0.25">
      <c r="B15" s="30" t="s">
        <v>13</v>
      </c>
      <c r="C15" s="31">
        <f t="shared" si="0"/>
        <v>82</v>
      </c>
      <c r="D15" s="2"/>
      <c r="E15" s="18"/>
      <c r="F15" s="25"/>
      <c r="G15" s="26"/>
      <c r="H15" s="8"/>
      <c r="I15" s="8"/>
      <c r="J15" s="2"/>
      <c r="K15" s="25">
        <v>801</v>
      </c>
      <c r="L15" s="9" t="s">
        <v>148</v>
      </c>
      <c r="M15" s="16" t="s">
        <v>128</v>
      </c>
      <c r="R15" s="1">
        <f>IF(vend16[[#This Row],[Nº Venda]]&gt;1,1,0)</f>
        <v>0</v>
      </c>
    </row>
    <row r="16" spans="2:18" ht="15.75" x14ac:dyDescent="0.25">
      <c r="B16" s="28" t="s">
        <v>19</v>
      </c>
      <c r="C16" s="32">
        <f>SUM(C11:C15)</f>
        <v>282</v>
      </c>
      <c r="D16" s="2"/>
      <c r="E16" s="18"/>
      <c r="F16" s="25"/>
      <c r="G16" s="26"/>
      <c r="H16" s="8"/>
      <c r="I16" s="8"/>
      <c r="J16" s="2"/>
      <c r="K16" s="25">
        <v>800</v>
      </c>
      <c r="L16" s="9" t="s">
        <v>124</v>
      </c>
      <c r="M16" s="16" t="s">
        <v>126</v>
      </c>
      <c r="R16" s="1">
        <f>IF(vend16[[#This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IF(vend16[[#This Row],[Nº Venda]]&gt;1,1,0)</f>
        <v>0</v>
      </c>
    </row>
    <row r="18" spans="2:18" ht="15.75" x14ac:dyDescent="0.25">
      <c r="B18" s="75" t="s">
        <v>35</v>
      </c>
      <c r="C18" s="7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IF(vend16[[#This Row],[Nº Venda]]&gt;1,1,0)</f>
        <v>0</v>
      </c>
    </row>
    <row r="19" spans="2:18" ht="15.75" x14ac:dyDescent="0.25">
      <c r="B19" s="30">
        <f>COUNT(entr_carn16[OS])</f>
        <v>1</v>
      </c>
      <c r="C19" s="31">
        <f>SUM(entr_carn16[Valor Total])</f>
        <v>400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IF(vend16[[#This Row],[Nº Venda]]&gt;1,1,0)</f>
        <v>0</v>
      </c>
    </row>
    <row r="20" spans="2:18" ht="15.75" x14ac:dyDescent="0.25">
      <c r="B20" s="28" t="s">
        <v>19</v>
      </c>
      <c r="C20" s="32">
        <f>SUM(C19:C19)</f>
        <v>400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IF(vend16[[#This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6" t="s">
        <v>22</v>
      </c>
      <c r="F24" s="76"/>
      <c r="G24" s="76"/>
      <c r="H24" s="76"/>
      <c r="I24" s="76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801</v>
      </c>
      <c r="F26" s="25" t="s">
        <v>147</v>
      </c>
      <c r="G26" s="48" t="s">
        <v>12</v>
      </c>
      <c r="H26" s="8"/>
      <c r="I26" s="8">
        <v>200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6" t="s">
        <v>39</v>
      </c>
      <c r="F33" s="76"/>
      <c r="G33" s="76"/>
      <c r="H33" s="76"/>
      <c r="I33" s="76"/>
      <c r="K33" s="77" t="s">
        <v>35</v>
      </c>
      <c r="L33" s="78"/>
      <c r="M33" s="79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>
        <v>757</v>
      </c>
      <c r="F35" s="25" t="s">
        <v>146</v>
      </c>
      <c r="G35" s="26" t="s">
        <v>13</v>
      </c>
      <c r="H35" s="8">
        <v>82</v>
      </c>
      <c r="I35" s="8" t="s">
        <v>48</v>
      </c>
      <c r="K35" s="25">
        <v>801</v>
      </c>
      <c r="L35" s="42">
        <v>3</v>
      </c>
      <c r="M35" s="16">
        <v>400</v>
      </c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FEFC3AE-6033-4AAA-B363-E1EC2443C103}">
      <formula1>"1,2,3,4,5,6,7,8,9,10"</formula1>
    </dataValidation>
    <dataValidation type="list" allowBlank="1" showInputMessage="1" showErrorMessage="1" sqref="M15:M31" xr:uid="{FFE3004D-AEDE-4582-808B-505FA6FA15D1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3DBB679-1465-4AE3-9464-4632F880272C}">
          <x14:formula1>
            <xm:f>base!$A$2:$A$6</xm:f>
          </x14:formula1>
          <xm:sqref>G26:G31 G35:G41</xm:sqref>
        </x14:dataValidation>
        <x14:dataValidation type="list" allowBlank="1" showInputMessage="1" showErrorMessage="1" xr:uid="{AC1B8A61-46DA-47D7-8931-52D178371FB1}">
          <x14:formula1>
            <xm:f>base!$A$2:$A$9</xm:f>
          </x14:formula1>
          <xm:sqref>G6:G22</xm:sqref>
        </x14:dataValidation>
        <x14:dataValidation type="list" allowBlank="1" showInputMessage="1" showErrorMessage="1" xr:uid="{B84AB3BB-64A9-4A8F-8C95-AC4CD289CB0A}">
          <x14:formula1>
            <xm:f>base!$E$2:$E$79</xm:f>
          </x14:formula1>
          <xm:sqref>I35:I41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0523-818A-4C03-AEAF-4D1D9E68475C}">
  <dimension ref="B1:R41"/>
  <sheetViews>
    <sheetView showGridLines="0" zoomScale="80" zoomScaleNormal="80" workbookViewId="0">
      <selection activeCell="E7" sqref="E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'16'!B1+1</f>
        <v>45247</v>
      </c>
    </row>
    <row r="2" spans="2:18" ht="18.75" x14ac:dyDescent="0.2">
      <c r="B2" s="80" t="s">
        <v>0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83" t="s">
        <v>2</v>
      </c>
      <c r="F4" s="83"/>
      <c r="G4" s="83"/>
      <c r="H4" s="83"/>
      <c r="I4" s="83"/>
      <c r="J4" s="22"/>
      <c r="K4" s="77" t="s">
        <v>3</v>
      </c>
      <c r="L4" s="78"/>
      <c r="M4" s="79"/>
    </row>
    <row r="5" spans="2:18" ht="15" x14ac:dyDescent="0.25">
      <c r="B5" s="23" t="s">
        <v>2</v>
      </c>
      <c r="C5" s="24">
        <f>SUMIF(I6:I31,"&gt;0",H6:H31)</f>
        <v>599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150</v>
      </c>
      <c r="D6" s="2"/>
      <c r="E6" s="18">
        <v>808</v>
      </c>
      <c r="F6" s="25" t="s">
        <v>149</v>
      </c>
      <c r="G6" s="26" t="s">
        <v>12</v>
      </c>
      <c r="H6" s="8">
        <v>599</v>
      </c>
      <c r="I6" s="8">
        <v>20</v>
      </c>
      <c r="J6" s="2"/>
      <c r="K6" s="25"/>
      <c r="L6" s="9"/>
      <c r="M6" s="16"/>
      <c r="R6" s="1">
        <f>IF(vend17[[#This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IF(vend17[[#This Row],[Nº Venda]]&gt;1,1,0)</f>
        <v>0</v>
      </c>
    </row>
    <row r="8" spans="2:18" ht="15.75" x14ac:dyDescent="0.25">
      <c r="B8" s="28" t="s">
        <v>14</v>
      </c>
      <c r="C8" s="29">
        <f>SUM(C6:C7)</f>
        <v>150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IF(vend17[[#This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IF(vend17[[#This Row],[Nº Venda]]&gt;1,1,0)</f>
        <v>0</v>
      </c>
    </row>
    <row r="10" spans="2:18" ht="15.75" x14ac:dyDescent="0.25">
      <c r="B10" s="75" t="s">
        <v>16</v>
      </c>
      <c r="C10" s="7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IF(vend17[[#This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120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IF(vend17[[#This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IF(vend17[[#This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7" t="s">
        <v>36</v>
      </c>
      <c r="L13" s="78"/>
      <c r="M13" s="79"/>
      <c r="R13" s="1">
        <f>IF(vend17[[#This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IF(vend17[[#This Row],[Nº Venda]]&gt;1,1,0)</f>
        <v>0</v>
      </c>
    </row>
    <row r="15" spans="2:18" ht="15.75" x14ac:dyDescent="0.25">
      <c r="B15" s="30" t="s">
        <v>13</v>
      </c>
      <c r="C15" s="31">
        <f t="shared" si="0"/>
        <v>30</v>
      </c>
      <c r="D15" s="2"/>
      <c r="E15" s="18"/>
      <c r="F15" s="25"/>
      <c r="G15" s="26"/>
      <c r="H15" s="8"/>
      <c r="I15" s="8"/>
      <c r="J15" s="2"/>
      <c r="K15" s="25">
        <v>768</v>
      </c>
      <c r="L15" s="9" t="s">
        <v>125</v>
      </c>
      <c r="M15" s="16" t="s">
        <v>128</v>
      </c>
      <c r="R15" s="1">
        <f>IF(vend17[[#This Row],[Nº Venda]]&gt;1,1,0)</f>
        <v>0</v>
      </c>
    </row>
    <row r="16" spans="2:18" ht="15.75" x14ac:dyDescent="0.25">
      <c r="B16" s="28" t="s">
        <v>19</v>
      </c>
      <c r="C16" s="32">
        <f>SUM(C11:C15)</f>
        <v>150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IF(vend17[[#This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IF(vend17[[#This Row],[Nº Venda]]&gt;1,1,0)</f>
        <v>0</v>
      </c>
    </row>
    <row r="18" spans="2:18" ht="15.75" x14ac:dyDescent="0.25">
      <c r="B18" s="75" t="s">
        <v>35</v>
      </c>
      <c r="C18" s="7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IF(vend17[[#This Row],[Nº Venda]]&gt;1,1,0)</f>
        <v>0</v>
      </c>
    </row>
    <row r="19" spans="2:18" ht="15.75" x14ac:dyDescent="0.25">
      <c r="B19" s="30">
        <f>COUNT(entr_carn17[OS])</f>
        <v>1</v>
      </c>
      <c r="C19" s="31">
        <f>SUM(entr_carn17[Valor Total])</f>
        <v>360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IF(vend17[[#This Row],[Nº Venda]]&gt;1,1,0)</f>
        <v>0</v>
      </c>
    </row>
    <row r="20" spans="2:18" ht="15.75" x14ac:dyDescent="0.25">
      <c r="B20" s="28" t="s">
        <v>19</v>
      </c>
      <c r="C20" s="32">
        <f>SUM(C19:C19)</f>
        <v>360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599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6" t="s">
        <v>22</v>
      </c>
      <c r="F24" s="76"/>
      <c r="G24" s="76"/>
      <c r="H24" s="76"/>
      <c r="I24" s="76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768</v>
      </c>
      <c r="F26" s="25" t="s">
        <v>132</v>
      </c>
      <c r="G26" s="26" t="s">
        <v>12</v>
      </c>
      <c r="H26" s="8"/>
      <c r="I26" s="8">
        <v>100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768</v>
      </c>
      <c r="F27" s="25" t="s">
        <v>132</v>
      </c>
      <c r="G27" s="26" t="s">
        <v>13</v>
      </c>
      <c r="H27" s="8"/>
      <c r="I27" s="8">
        <v>30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6" t="s">
        <v>39</v>
      </c>
      <c r="F33" s="76"/>
      <c r="G33" s="76"/>
      <c r="H33" s="76"/>
      <c r="I33" s="76"/>
      <c r="K33" s="77" t="s">
        <v>35</v>
      </c>
      <c r="L33" s="78"/>
      <c r="M33" s="79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>
        <v>768</v>
      </c>
      <c r="L35" s="42">
        <v>4</v>
      </c>
      <c r="M35" s="16">
        <v>360</v>
      </c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1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2ECFD6D-AAA2-464D-ABCC-9F1527C5B22E}">
      <formula1>"Sim, Não"</formula1>
    </dataValidation>
    <dataValidation type="list" allowBlank="1" showInputMessage="1" showErrorMessage="1" sqref="L35:L41" xr:uid="{B86B54EC-CF73-4554-B7AC-FA3797BE9092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1FDB922-3E57-4990-B691-641DA5F97512}">
          <x14:formula1>
            <xm:f>base!$A$2:$A$9</xm:f>
          </x14:formula1>
          <xm:sqref>G6:G22</xm:sqref>
        </x14:dataValidation>
        <x14:dataValidation type="list" allowBlank="1" showInputMessage="1" showErrorMessage="1" xr:uid="{DD5660C6-C0D5-4F2B-A331-57FE031E6444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E3C37F-FD70-4401-8F50-00C59752E4DA}">
          <x14:formula1>
            <xm:f>base!$E$2:$E$79</xm:f>
          </x14:formula1>
          <xm:sqref>I35:I41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B8A4E-BEE6-4177-9410-3D8EC1F40197}">
  <dimension ref="B1:R41"/>
  <sheetViews>
    <sheetView showGridLines="0" zoomScale="80" zoomScaleNormal="80" workbookViewId="0">
      <selection activeCell="E6" sqref="E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'17'!B1+1</f>
        <v>45248</v>
      </c>
    </row>
    <row r="2" spans="2:18" ht="18.75" x14ac:dyDescent="0.2">
      <c r="B2" s="80" t="s">
        <v>0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83" t="s">
        <v>2</v>
      </c>
      <c r="F4" s="83"/>
      <c r="G4" s="83"/>
      <c r="H4" s="83"/>
      <c r="I4" s="83"/>
      <c r="J4" s="22"/>
      <c r="K4" s="77" t="s">
        <v>3</v>
      </c>
      <c r="L4" s="78"/>
      <c r="M4" s="79"/>
    </row>
    <row r="5" spans="2:18" ht="15" x14ac:dyDescent="0.2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IF(vend18[[#This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IF(vend18[[#This Row],[Nº Venda]]&gt;1,1,0)</f>
        <v>0</v>
      </c>
    </row>
    <row r="8" spans="2:18" ht="15.75" x14ac:dyDescent="0.25">
      <c r="B8" s="28" t="s">
        <v>14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IF(vend18[[#This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IF(vend18[[#This Row],[Nº Venda]]&gt;1,1,0)</f>
        <v>0</v>
      </c>
    </row>
    <row r="10" spans="2:18" ht="15.75" x14ac:dyDescent="0.25">
      <c r="B10" s="75" t="s">
        <v>16</v>
      </c>
      <c r="C10" s="7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IF(vend18[[#This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IF(vend18[[#This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IF(vend18[[#This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7" t="s">
        <v>36</v>
      </c>
      <c r="L13" s="78"/>
      <c r="M13" s="79"/>
      <c r="R13" s="1">
        <f>IF(vend18[[#This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IF(vend18[[#This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787</v>
      </c>
      <c r="L15" s="9" t="s">
        <v>150</v>
      </c>
      <c r="M15" s="16" t="s">
        <v>126</v>
      </c>
      <c r="R15" s="1">
        <f>IF(vend18[[#This Row],[Nº Venda]]&gt;1,1,0)</f>
        <v>0</v>
      </c>
    </row>
    <row r="16" spans="2:18" ht="15.75" x14ac:dyDescent="0.25">
      <c r="B16" s="28" t="s">
        <v>19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IF(vend18[[#This Row],[Nº Venda]]&gt;1,1,0)</f>
        <v>0</v>
      </c>
    </row>
    <row r="18" spans="2:18" ht="15.75" x14ac:dyDescent="0.25">
      <c r="B18" s="75" t="s">
        <v>35</v>
      </c>
      <c r="C18" s="7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IF(vend18[[#This Row],[Nº Venda]]&gt;1,1,0)</f>
        <v>0</v>
      </c>
    </row>
    <row r="19" spans="2:18" ht="15.75" x14ac:dyDescent="0.25">
      <c r="B19" s="30">
        <f>COUNT(entr_carn18[OS])</f>
        <v>0</v>
      </c>
      <c r="C19" s="31">
        <f>SUM(entr_carn18[Valor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IF(vend18[[#This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6" t="s">
        <v>22</v>
      </c>
      <c r="F24" s="76"/>
      <c r="G24" s="76"/>
      <c r="H24" s="76"/>
      <c r="I24" s="76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6" t="s">
        <v>39</v>
      </c>
      <c r="F33" s="76"/>
      <c r="G33" s="76"/>
      <c r="H33" s="76"/>
      <c r="I33" s="76"/>
      <c r="K33" s="77" t="s">
        <v>35</v>
      </c>
      <c r="L33" s="78"/>
      <c r="M33" s="79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301AA0-8872-4E99-88E3-B0DCCACD71E9}">
      <formula1>"1,2,3,4,5,6,7,8,9,10"</formula1>
    </dataValidation>
    <dataValidation type="list" allowBlank="1" showInputMessage="1" showErrorMessage="1" sqref="M15:M31" xr:uid="{8B641964-3C57-4D7B-99BF-0E97A3B79626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85A6D07-781D-4F76-AFED-B220484140B1}">
          <x14:formula1>
            <xm:f>base!$A$2:$A$6</xm:f>
          </x14:formula1>
          <xm:sqref>G26:G31 G35:G41</xm:sqref>
        </x14:dataValidation>
        <x14:dataValidation type="list" allowBlank="1" showInputMessage="1" showErrorMessage="1" xr:uid="{EC23DCBF-2BC2-4EDC-B71E-67D0621F60A7}">
          <x14:formula1>
            <xm:f>base!$A$2:$A$9</xm:f>
          </x14:formula1>
          <xm:sqref>G6:G22</xm:sqref>
        </x14:dataValidation>
        <x14:dataValidation type="list" allowBlank="1" showInputMessage="1" showErrorMessage="1" xr:uid="{B40B55E0-E601-410E-AF3D-73260874004B}">
          <x14:formula1>
            <xm:f>base!$E$2:$E$79</xm:f>
          </x14:formula1>
          <xm:sqref>I35:I41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DC3CD-D65C-4B62-8794-93FA938DB70E}">
  <dimension ref="B1:R41"/>
  <sheetViews>
    <sheetView showGridLines="0" zoomScale="80" zoomScaleNormal="80" workbookViewId="0">
      <selection activeCell="C15" sqref="C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'18'!B1+1</f>
        <v>45249</v>
      </c>
    </row>
    <row r="2" spans="2:18" ht="18.75" x14ac:dyDescent="0.2">
      <c r="B2" s="80" t="s">
        <v>0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83" t="s">
        <v>2</v>
      </c>
      <c r="F4" s="83"/>
      <c r="G4" s="83"/>
      <c r="H4" s="83"/>
      <c r="I4" s="83"/>
      <c r="J4" s="22"/>
      <c r="K4" s="77" t="s">
        <v>3</v>
      </c>
      <c r="L4" s="78"/>
      <c r="M4" s="79"/>
    </row>
    <row r="5" spans="2:18" ht="15" x14ac:dyDescent="0.2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IF(vend19[[#This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IF(vend19[[#This Row],[Nº Venda]]&gt;1,1,0)</f>
        <v>0</v>
      </c>
    </row>
    <row r="8" spans="2:18" ht="15.75" x14ac:dyDescent="0.25">
      <c r="B8" s="28" t="s">
        <v>14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IF(vend19[[#This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IF(vend19[[#This Row],[Nº Venda]]&gt;1,1,0)</f>
        <v>0</v>
      </c>
    </row>
    <row r="10" spans="2:18" ht="15.75" x14ac:dyDescent="0.25">
      <c r="B10" s="75" t="s">
        <v>16</v>
      </c>
      <c r="C10" s="7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IF(vend19[[#This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IF(vend19[[#This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IF(vend19[[#This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7" t="s">
        <v>36</v>
      </c>
      <c r="L13" s="78"/>
      <c r="M13" s="79"/>
      <c r="R13" s="1">
        <f>IF(vend19[[#This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IF(vend19[[#This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IF(vend19[[#This Row],[Nº Venda]]&gt;1,1,0)</f>
        <v>0</v>
      </c>
    </row>
    <row r="16" spans="2:18" ht="15.75" x14ac:dyDescent="0.25">
      <c r="B16" s="28" t="s">
        <v>19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IF(vend19[[#This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IF(vend19[[#This Row],[Nº Venda]]&gt;1,1,0)</f>
        <v>0</v>
      </c>
    </row>
    <row r="18" spans="2:18" ht="15.75" x14ac:dyDescent="0.25">
      <c r="B18" s="75" t="s">
        <v>35</v>
      </c>
      <c r="C18" s="7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IF(vend19[[#This Row],[Nº Venda]]&gt;1,1,0)</f>
        <v>0</v>
      </c>
    </row>
    <row r="19" spans="2:18" ht="15.75" x14ac:dyDescent="0.25">
      <c r="B19" s="30">
        <f>COUNT(entr_carn19[OS])</f>
        <v>0</v>
      </c>
      <c r="C19" s="31">
        <f>SUM(entr_carn19[Valor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IF(vend19[[#This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IF(vend19[[#This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6" t="s">
        <v>22</v>
      </c>
      <c r="F24" s="76"/>
      <c r="G24" s="76"/>
      <c r="H24" s="76"/>
      <c r="I24" s="76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6" t="s">
        <v>39</v>
      </c>
      <c r="F33" s="76"/>
      <c r="G33" s="76"/>
      <c r="H33" s="76"/>
      <c r="I33" s="76"/>
      <c r="K33" s="77" t="s">
        <v>35</v>
      </c>
      <c r="L33" s="78"/>
      <c r="M33" s="79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988D43E2-7ED5-4AED-8294-900AB2A4734B}">
      <formula1>"1,2,3,4,5,6,7,8,9,10"</formula1>
    </dataValidation>
    <dataValidation type="list" allowBlank="1" showInputMessage="1" showErrorMessage="1" sqref="M15:M31" xr:uid="{899A71DC-F21C-4243-8CDE-EB9E13AFCC6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55B2DC7-1842-4C90-945B-7820B2C63E70}">
          <x14:formula1>
            <xm:f>base!$A$2:$A$6</xm:f>
          </x14:formula1>
          <xm:sqref>G26:G31 G35:G41</xm:sqref>
        </x14:dataValidation>
        <x14:dataValidation type="list" allowBlank="1" showInputMessage="1" showErrorMessage="1" xr:uid="{E8E38C9D-005E-41B9-810F-BB230AC9AE3C}">
          <x14:formula1>
            <xm:f>base!$A$2:$A$9</xm:f>
          </x14:formula1>
          <xm:sqref>G6:G22</xm:sqref>
        </x14:dataValidation>
        <x14:dataValidation type="list" allowBlank="1" showInputMessage="1" showErrorMessage="1" xr:uid="{E4FA591C-AF28-4E3F-B0C0-60D83AB466A2}">
          <x14:formula1>
            <xm:f>base!$E$2:$E$79</xm:f>
          </x14:formula1>
          <xm:sqref>I35:I41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7A20-FBB9-4010-87D3-44F52A1E73BC}">
  <dimension ref="B1:R41"/>
  <sheetViews>
    <sheetView showGridLines="0" zoomScale="80" zoomScaleNormal="80" workbookViewId="0">
      <selection activeCell="C15" sqref="C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'19'!B1+1</f>
        <v>45250</v>
      </c>
    </row>
    <row r="2" spans="2:18" ht="18.75" x14ac:dyDescent="0.2">
      <c r="B2" s="80" t="s">
        <v>0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83" t="s">
        <v>2</v>
      </c>
      <c r="F4" s="83"/>
      <c r="G4" s="83"/>
      <c r="H4" s="83"/>
      <c r="I4" s="83"/>
      <c r="J4" s="22"/>
      <c r="K4" s="77" t="s">
        <v>3</v>
      </c>
      <c r="L4" s="78"/>
      <c r="M4" s="79"/>
    </row>
    <row r="5" spans="2:18" ht="15" x14ac:dyDescent="0.2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IF(vend20[[#This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IF(vend20[[#This Row],[Nº Venda]]&gt;1,1,0)</f>
        <v>0</v>
      </c>
    </row>
    <row r="8" spans="2:18" ht="15.75" x14ac:dyDescent="0.25">
      <c r="B8" s="28" t="s">
        <v>14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IF(vend20[[#This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IF(vend20[[#This Row],[Nº Venda]]&gt;1,1,0)</f>
        <v>0</v>
      </c>
    </row>
    <row r="10" spans="2:18" ht="15.75" x14ac:dyDescent="0.25">
      <c r="B10" s="75" t="s">
        <v>16</v>
      </c>
      <c r="C10" s="7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IF(vend20[[#This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IF(vend20[[#This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IF(vend20[[#This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7" t="s">
        <v>36</v>
      </c>
      <c r="L13" s="78"/>
      <c r="M13" s="79"/>
      <c r="R13" s="1">
        <f>IF(vend20[[#This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IF(vend20[[#This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IF(vend20[[#This Row],[Nº Venda]]&gt;1,1,0)</f>
        <v>0</v>
      </c>
    </row>
    <row r="16" spans="2:18" ht="15.75" x14ac:dyDescent="0.25">
      <c r="B16" s="28" t="s">
        <v>19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IF(vend20[[#This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IF(vend20[[#This Row],[Nº Venda]]&gt;1,1,0)</f>
        <v>0</v>
      </c>
    </row>
    <row r="18" spans="2:18" ht="15.75" x14ac:dyDescent="0.25">
      <c r="B18" s="75" t="s">
        <v>35</v>
      </c>
      <c r="C18" s="7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IF(vend20[[#This Row],[Nº Venda]]&gt;1,1,0)</f>
        <v>0</v>
      </c>
    </row>
    <row r="19" spans="2:18" ht="15.75" x14ac:dyDescent="0.25">
      <c r="B19" s="30">
        <f>COUNT(entr_carn20[OS])</f>
        <v>0</v>
      </c>
      <c r="C19" s="31">
        <f>SUM(entr_carn20[Valor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IF(vend20[[#This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IF(vend20[[#This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6" t="s">
        <v>22</v>
      </c>
      <c r="F24" s="76"/>
      <c r="G24" s="76"/>
      <c r="H24" s="76"/>
      <c r="I24" s="76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6" t="s">
        <v>39</v>
      </c>
      <c r="F33" s="76"/>
      <c r="G33" s="76"/>
      <c r="H33" s="76"/>
      <c r="I33" s="76"/>
      <c r="K33" s="77" t="s">
        <v>35</v>
      </c>
      <c r="L33" s="78"/>
      <c r="M33" s="79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7FBDCA6-D578-449A-9C20-074ACF8DD285}">
      <formula1>"1,2,3,4,5,6,7,8,9,10"</formula1>
    </dataValidation>
    <dataValidation type="list" allowBlank="1" showInputMessage="1" showErrorMessage="1" sqref="M15:M31" xr:uid="{23B9F99D-EFE0-4998-90F8-FF7EE36598C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C4842A4-1C90-4E23-9C1F-C83AC9F81898}">
          <x14:formula1>
            <xm:f>base!$A$2:$A$6</xm:f>
          </x14:formula1>
          <xm:sqref>G26:G31 G35:G41</xm:sqref>
        </x14:dataValidation>
        <x14:dataValidation type="list" allowBlank="1" showInputMessage="1" showErrorMessage="1" xr:uid="{1BF51D9B-6B84-41CB-A438-D9DFDDF36BB7}">
          <x14:formula1>
            <xm:f>base!$A$2:$A$9</xm:f>
          </x14:formula1>
          <xm:sqref>G6:G22</xm:sqref>
        </x14:dataValidation>
        <x14:dataValidation type="list" allowBlank="1" showInputMessage="1" showErrorMessage="1" xr:uid="{055D8BA3-2CB3-4168-B964-DF9BD6084B91}">
          <x14:formula1>
            <xm:f>base!$E$2:$E$79</xm:f>
          </x14:formula1>
          <xm:sqref>I35:I41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1D5-5A71-46F3-A4F4-154B85A1F735}">
  <dimension ref="B1:R41"/>
  <sheetViews>
    <sheetView showGridLines="0" zoomScale="80" zoomScaleNormal="80" workbookViewId="0">
      <selection activeCell="E6" sqref="E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'20'!B1+1</f>
        <v>45251</v>
      </c>
    </row>
    <row r="2" spans="2:18" ht="18.75" x14ac:dyDescent="0.2">
      <c r="B2" s="80" t="s">
        <v>0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83" t="s">
        <v>2</v>
      </c>
      <c r="F4" s="83"/>
      <c r="G4" s="83"/>
      <c r="H4" s="83"/>
      <c r="I4" s="83"/>
      <c r="J4" s="22"/>
      <c r="K4" s="77" t="s">
        <v>3</v>
      </c>
      <c r="L4" s="78"/>
      <c r="M4" s="79"/>
    </row>
    <row r="5" spans="2:18" ht="15" x14ac:dyDescent="0.2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IF(vend21[[#This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IF(vend21[[#This Row],[Nº Venda]]&gt;1,1,0)</f>
        <v>0</v>
      </c>
    </row>
    <row r="8" spans="2:18" ht="15.75" x14ac:dyDescent="0.25">
      <c r="B8" s="28" t="s">
        <v>14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IF(vend21[[#This Row],[Nº Venda]]&gt;1,1,0)</f>
        <v>0</v>
      </c>
    </row>
    <row r="10" spans="2:18" ht="15.75" x14ac:dyDescent="0.25">
      <c r="B10" s="75" t="s">
        <v>16</v>
      </c>
      <c r="C10" s="7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IF(vend21[[#This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IF(vend21[[#This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IF(vend21[[#This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7" t="s">
        <v>36</v>
      </c>
      <c r="L13" s="78"/>
      <c r="M13" s="79"/>
      <c r="R13" s="1">
        <f>IF(vend21[[#This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IF(vend21[[#This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IF(vend21[[#This Row],[Nº Venda]]&gt;1,1,0)</f>
        <v>0</v>
      </c>
    </row>
    <row r="16" spans="2:18" ht="15.75" x14ac:dyDescent="0.25">
      <c r="B16" s="28" t="s">
        <v>19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IF(vend21[[#This Row],[Nº Venda]]&gt;1,1,0)</f>
        <v>0</v>
      </c>
    </row>
    <row r="18" spans="2:18" ht="15.75" x14ac:dyDescent="0.25">
      <c r="B18" s="75" t="s">
        <v>35</v>
      </c>
      <c r="C18" s="7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IF(vend21[[#This Row],[Nº Venda]]&gt;1,1,0)</f>
        <v>0</v>
      </c>
    </row>
    <row r="19" spans="2:18" ht="15.75" x14ac:dyDescent="0.25">
      <c r="B19" s="30">
        <f>COUNT(entr_carn21[OS])</f>
        <v>0</v>
      </c>
      <c r="C19" s="31">
        <f>SUM(entr_carn21[Valor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IF(vend21[[#This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6" t="s">
        <v>22</v>
      </c>
      <c r="F24" s="76"/>
      <c r="G24" s="76"/>
      <c r="H24" s="76"/>
      <c r="I24" s="76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6" t="s">
        <v>39</v>
      </c>
      <c r="F33" s="76"/>
      <c r="G33" s="76"/>
      <c r="H33" s="76"/>
      <c r="I33" s="76"/>
      <c r="K33" s="77" t="s">
        <v>35</v>
      </c>
      <c r="L33" s="78"/>
      <c r="M33" s="79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A9468D-9A0E-4773-837C-1A275C408B7C}">
      <formula1>"Sim, Não"</formula1>
    </dataValidation>
    <dataValidation type="list" allowBlank="1" showInputMessage="1" showErrorMessage="1" sqref="L35:L41" xr:uid="{DC142002-7ABF-4515-A04D-49EA680A91BD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12AC7CD-ADD6-4750-8A3B-76F63CB62447}">
          <x14:formula1>
            <xm:f>base!$A$2:$A$9</xm:f>
          </x14:formula1>
          <xm:sqref>G6:G22</xm:sqref>
        </x14:dataValidation>
        <x14:dataValidation type="list" allowBlank="1" showInputMessage="1" showErrorMessage="1" xr:uid="{E3E37F0E-21A1-4DE8-BED5-A17FD3FC6F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F39F4555-721D-452F-A5BB-EB1C44A3613A}">
          <x14:formula1>
            <xm:f>base!$E$2:$E$79</xm:f>
          </x14:formula1>
          <xm:sqref>I35:I41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01A9-347F-4D64-A6D9-393D43C49E86}">
  <dimension ref="B1:R41"/>
  <sheetViews>
    <sheetView showGridLines="0" zoomScale="80" zoomScaleNormal="80" workbookViewId="0">
      <selection activeCell="E7" sqref="E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'21'!B1+1</f>
        <v>45252</v>
      </c>
    </row>
    <row r="2" spans="2:18" ht="18.75" x14ac:dyDescent="0.2">
      <c r="B2" s="80" t="s">
        <v>0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83" t="s">
        <v>2</v>
      </c>
      <c r="F4" s="83"/>
      <c r="G4" s="83"/>
      <c r="H4" s="83"/>
      <c r="I4" s="83"/>
      <c r="J4" s="22"/>
      <c r="K4" s="77" t="s">
        <v>3</v>
      </c>
      <c r="L4" s="78"/>
      <c r="M4" s="79"/>
    </row>
    <row r="5" spans="2:18" ht="15" x14ac:dyDescent="0.25">
      <c r="B5" s="23" t="s">
        <v>2</v>
      </c>
      <c r="C5" s="24">
        <f>SUMIF(I6:I31,"&gt;0",H6:H31)</f>
        <v>1739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420</v>
      </c>
      <c r="D6" s="2"/>
      <c r="E6" s="18">
        <v>809</v>
      </c>
      <c r="F6" s="25" t="s">
        <v>153</v>
      </c>
      <c r="G6" s="26" t="s">
        <v>17</v>
      </c>
      <c r="H6" s="8">
        <v>1739</v>
      </c>
      <c r="I6" s="8">
        <v>340</v>
      </c>
      <c r="J6" s="2"/>
      <c r="K6" s="25"/>
      <c r="L6" s="9"/>
      <c r="M6" s="16"/>
      <c r="R6" s="1">
        <f>IF(vend22[[#This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IF(vend22[[#This Row],[Nº Venda]]&gt;1,1,0)</f>
        <v>0</v>
      </c>
    </row>
    <row r="8" spans="2:18" ht="15.75" x14ac:dyDescent="0.25">
      <c r="B8" s="28" t="s">
        <v>14</v>
      </c>
      <c r="C8" s="29">
        <f>SUM(C6:C7)</f>
        <v>420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IF(vend22[[#This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IF(vend22[[#This Row],[Nº Venda]]&gt;1,1,0)</f>
        <v>0</v>
      </c>
    </row>
    <row r="10" spans="2:18" ht="15.75" x14ac:dyDescent="0.25">
      <c r="B10" s="75" t="s">
        <v>16</v>
      </c>
      <c r="C10" s="7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IF(vend22[[#This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80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IF(vend22[[#This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650</v>
      </c>
      <c r="D12" s="2"/>
      <c r="E12" s="18"/>
      <c r="F12" s="25"/>
      <c r="G12" s="26"/>
      <c r="H12" s="8"/>
      <c r="I12" s="8"/>
      <c r="J12" s="2"/>
      <c r="R12" s="1">
        <f>IF(vend22[[#This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7" t="s">
        <v>36</v>
      </c>
      <c r="L13" s="78"/>
      <c r="M13" s="79"/>
      <c r="R13" s="1">
        <f>IF(vend22[[#This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IF(vend22[[#This Row],[Nº Venda]]&gt;1,1,0)</f>
        <v>0</v>
      </c>
    </row>
    <row r="15" spans="2:18" ht="15.75" x14ac:dyDescent="0.25">
      <c r="B15" s="30" t="s">
        <v>13</v>
      </c>
      <c r="C15" s="31">
        <f t="shared" si="0"/>
        <v>235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IF(vend22[[#This Row],[Nº Venda]]&gt;1,1,0)</f>
        <v>0</v>
      </c>
    </row>
    <row r="16" spans="2:18" ht="15.75" x14ac:dyDescent="0.25">
      <c r="B16" s="28" t="s">
        <v>19</v>
      </c>
      <c r="C16" s="32">
        <f>SUM(C11:C15)</f>
        <v>965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IF(vend22[[#This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IF(vend22[[#This Row],[Nº Venda]]&gt;1,1,0)</f>
        <v>0</v>
      </c>
    </row>
    <row r="18" spans="2:18" ht="15.75" x14ac:dyDescent="0.25">
      <c r="B18" s="75" t="s">
        <v>35</v>
      </c>
      <c r="C18" s="7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IF(vend22[[#This Row],[Nº Venda]]&gt;1,1,0)</f>
        <v>0</v>
      </c>
    </row>
    <row r="19" spans="2:18" ht="15.75" x14ac:dyDescent="0.25">
      <c r="B19" s="30">
        <f>COUNT(entr_carn22[OS])</f>
        <v>0</v>
      </c>
      <c r="C19" s="31">
        <f>SUM(entr_carn22[Valor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IF(vend22[[#This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1739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6" t="s">
        <v>22</v>
      </c>
      <c r="F24" s="76"/>
      <c r="G24" s="76"/>
      <c r="H24" s="76"/>
      <c r="I24" s="76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808</v>
      </c>
      <c r="F26" s="25" t="s">
        <v>149</v>
      </c>
      <c r="G26" s="26" t="s">
        <v>12</v>
      </c>
      <c r="H26" s="8"/>
      <c r="I26" s="8">
        <v>80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6" t="s">
        <v>39</v>
      </c>
      <c r="F33" s="76"/>
      <c r="G33" s="76"/>
      <c r="H33" s="76"/>
      <c r="I33" s="76"/>
      <c r="K33" s="77" t="s">
        <v>35</v>
      </c>
      <c r="L33" s="78"/>
      <c r="M33" s="79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>
        <v>715</v>
      </c>
      <c r="F35" s="25" t="s">
        <v>151</v>
      </c>
      <c r="G35" s="26" t="s">
        <v>13</v>
      </c>
      <c r="H35" s="8">
        <v>90</v>
      </c>
      <c r="I35" s="8" t="s">
        <v>58</v>
      </c>
      <c r="K35" s="25"/>
      <c r="L35" s="42"/>
      <c r="M35" s="16"/>
    </row>
    <row r="36" spans="2:18" ht="15.75" x14ac:dyDescent="0.25">
      <c r="E36" s="18">
        <v>794</v>
      </c>
      <c r="F36" s="25" t="s">
        <v>152</v>
      </c>
      <c r="G36" s="26" t="s">
        <v>17</v>
      </c>
      <c r="H36" s="8">
        <v>80</v>
      </c>
      <c r="I36" s="8" t="s">
        <v>49</v>
      </c>
      <c r="K36" s="25"/>
      <c r="L36" s="42"/>
      <c r="M36" s="16"/>
    </row>
    <row r="37" spans="2:18" ht="15.75" x14ac:dyDescent="0.25">
      <c r="E37" s="18">
        <v>794</v>
      </c>
      <c r="F37" s="25" t="s">
        <v>152</v>
      </c>
      <c r="G37" s="26" t="s">
        <v>17</v>
      </c>
      <c r="H37" s="8">
        <v>80</v>
      </c>
      <c r="I37" s="8" t="s">
        <v>50</v>
      </c>
      <c r="K37" s="25"/>
      <c r="L37" s="42"/>
      <c r="M37" s="16"/>
    </row>
    <row r="38" spans="2:18" ht="15.75" x14ac:dyDescent="0.25">
      <c r="E38" s="18">
        <v>772</v>
      </c>
      <c r="F38" s="25" t="s">
        <v>133</v>
      </c>
      <c r="G38" s="26" t="s">
        <v>17</v>
      </c>
      <c r="H38" s="8">
        <v>150</v>
      </c>
      <c r="I38" s="8" t="s">
        <v>56</v>
      </c>
      <c r="K38" s="25"/>
      <c r="L38" s="42"/>
      <c r="M38" s="16"/>
    </row>
    <row r="39" spans="2:18" ht="15.75" x14ac:dyDescent="0.25">
      <c r="E39" s="18">
        <v>743</v>
      </c>
      <c r="F39" s="39" t="s">
        <v>154</v>
      </c>
      <c r="G39" s="26" t="s">
        <v>13</v>
      </c>
      <c r="H39" s="8">
        <v>145</v>
      </c>
      <c r="I39" s="8" t="s">
        <v>47</v>
      </c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1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75CA8B1-5DF8-460F-BC14-D020B570F96C}">
      <formula1>"1,2,3,4,5,6,7,8,9,10"</formula1>
    </dataValidation>
    <dataValidation type="list" allowBlank="1" showInputMessage="1" showErrorMessage="1" sqref="M15:M31" xr:uid="{3611A617-AB12-4C73-BA67-A91EE127F13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A269FE1-C817-46B6-91D2-B2E7EC645BEF}">
          <x14:formula1>
            <xm:f>base!$A$2:$A$6</xm:f>
          </x14:formula1>
          <xm:sqref>G26:G31 G35:G41</xm:sqref>
        </x14:dataValidation>
        <x14:dataValidation type="list" allowBlank="1" showInputMessage="1" showErrorMessage="1" xr:uid="{AB5F3EF7-D944-42D1-9B92-44255DDC8ACC}">
          <x14:formula1>
            <xm:f>base!$A$2:$A$9</xm:f>
          </x14:formula1>
          <xm:sqref>G6:G22</xm:sqref>
        </x14:dataValidation>
        <x14:dataValidation type="list" allowBlank="1" showInputMessage="1" showErrorMessage="1" xr:uid="{05829BC4-1F80-4BFA-B1AE-D69960E392AB}">
          <x14:formula1>
            <xm:f>base!$E$2:$E$79</xm:f>
          </x14:formula1>
          <xm:sqref>I35:I41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88D6-63BF-4279-8CE7-C58CE72E4570}">
  <dimension ref="B1:R41"/>
  <sheetViews>
    <sheetView showGridLines="0" zoomScale="80" zoomScaleNormal="80" workbookViewId="0">
      <selection activeCell="E7" sqref="E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'22'!B1+1</f>
        <v>45253</v>
      </c>
    </row>
    <row r="2" spans="2:18" ht="18.75" x14ac:dyDescent="0.2">
      <c r="B2" s="80" t="s">
        <v>0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83" t="s">
        <v>2</v>
      </c>
      <c r="F4" s="83"/>
      <c r="G4" s="83"/>
      <c r="H4" s="83"/>
      <c r="I4" s="83"/>
      <c r="J4" s="22"/>
      <c r="K4" s="77" t="s">
        <v>3</v>
      </c>
      <c r="L4" s="78"/>
      <c r="M4" s="79"/>
    </row>
    <row r="5" spans="2:18" ht="15" x14ac:dyDescent="0.25">
      <c r="B5" s="23" t="s">
        <v>2</v>
      </c>
      <c r="C5" s="24">
        <f>SUMIF(I6:I31,"&gt;0",H6:H31)</f>
        <v>150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40</v>
      </c>
      <c r="D6" s="2"/>
      <c r="E6" s="18">
        <v>810</v>
      </c>
      <c r="F6" s="25" t="s">
        <v>159</v>
      </c>
      <c r="G6" s="26" t="s">
        <v>13</v>
      </c>
      <c r="H6" s="8">
        <v>150</v>
      </c>
      <c r="I6" s="8">
        <v>40</v>
      </c>
      <c r="J6" s="2"/>
      <c r="K6" s="25" t="s">
        <v>155</v>
      </c>
      <c r="L6" s="9" t="s">
        <v>156</v>
      </c>
      <c r="M6" s="16">
        <v>12</v>
      </c>
      <c r="R6" s="1">
        <f>IF(vend23[[#This Row],[Nº Venda]]&gt;1,1,0)</f>
        <v>1</v>
      </c>
    </row>
    <row r="7" spans="2:18" ht="15.75" x14ac:dyDescent="0.25">
      <c r="B7" s="23" t="s">
        <v>3</v>
      </c>
      <c r="C7" s="24">
        <f>SUM(M6:M11)</f>
        <v>12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IF(vend23[[#This Row],[Nº Venda]]&gt;1,1,0)</f>
        <v>0</v>
      </c>
    </row>
    <row r="8" spans="2:18" ht="15.75" x14ac:dyDescent="0.25">
      <c r="B8" s="28" t="s">
        <v>14</v>
      </c>
      <c r="C8" s="29">
        <f>SUM(C6:C7)</f>
        <v>52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IF(vend23[[#This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IF(vend23[[#This Row],[Nº Venda]]&gt;1,1,0)</f>
        <v>0</v>
      </c>
    </row>
    <row r="10" spans="2:18" ht="15.75" x14ac:dyDescent="0.25">
      <c r="B10" s="75" t="s">
        <v>16</v>
      </c>
      <c r="C10" s="7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IF(vend23[[#This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IF(vend23[[#This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50</v>
      </c>
      <c r="D12" s="2"/>
      <c r="E12" s="18"/>
      <c r="F12" s="25"/>
      <c r="G12" s="26"/>
      <c r="H12" s="8"/>
      <c r="I12" s="8"/>
      <c r="J12" s="2"/>
      <c r="R12" s="1">
        <f>IF(vend23[[#This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7" t="s">
        <v>36</v>
      </c>
      <c r="L13" s="78"/>
      <c r="M13" s="79"/>
      <c r="R13" s="1">
        <f>IF(vend23[[#This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IF(vend23[[#This Row],[Nº Venda]]&gt;1,1,0)</f>
        <v>0</v>
      </c>
    </row>
    <row r="15" spans="2:18" ht="15.75" x14ac:dyDescent="0.25">
      <c r="B15" s="30" t="s">
        <v>13</v>
      </c>
      <c r="C15" s="31">
        <f t="shared" si="0"/>
        <v>40</v>
      </c>
      <c r="D15" s="2"/>
      <c r="E15" s="18"/>
      <c r="F15" s="25"/>
      <c r="G15" s="26"/>
      <c r="H15" s="8"/>
      <c r="I15" s="8"/>
      <c r="J15" s="2"/>
      <c r="K15" s="25">
        <v>802</v>
      </c>
      <c r="L15" s="9" t="s">
        <v>157</v>
      </c>
      <c r="M15" s="16" t="s">
        <v>126</v>
      </c>
      <c r="R15" s="1">
        <f>IF(vend23[[#This Row],[Nº Venda]]&gt;1,1,0)</f>
        <v>0</v>
      </c>
    </row>
    <row r="16" spans="2:18" ht="15.75" x14ac:dyDescent="0.25">
      <c r="B16" s="28" t="s">
        <v>19</v>
      </c>
      <c r="C16" s="32">
        <f>SUM(C11:C15)</f>
        <v>90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IF(vend23[[#This Row],[Nº Venda]]&gt;1,1,0)</f>
        <v>0</v>
      </c>
    </row>
    <row r="18" spans="2:18" ht="15.75" x14ac:dyDescent="0.25">
      <c r="B18" s="75" t="s">
        <v>35</v>
      </c>
      <c r="C18" s="7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IF(vend23[[#This Row],[Nº Venda]]&gt;1,1,0)</f>
        <v>0</v>
      </c>
    </row>
    <row r="19" spans="2:18" ht="15.75" x14ac:dyDescent="0.25">
      <c r="B19" s="30">
        <f>COUNT(entr_carn23[OS])</f>
        <v>0</v>
      </c>
      <c r="C19" s="31">
        <f>SUM(entr_carn23[Valor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IF(vend23[[#This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150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6" t="s">
        <v>22</v>
      </c>
      <c r="F24" s="76"/>
      <c r="G24" s="76"/>
      <c r="H24" s="76"/>
      <c r="I24" s="76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6" t="s">
        <v>39</v>
      </c>
      <c r="F33" s="76"/>
      <c r="G33" s="76"/>
      <c r="H33" s="76"/>
      <c r="I33" s="76"/>
      <c r="K33" s="77" t="s">
        <v>35</v>
      </c>
      <c r="L33" s="78"/>
      <c r="M33" s="79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>
        <v>766</v>
      </c>
      <c r="F35" s="25" t="s">
        <v>158</v>
      </c>
      <c r="G35" s="26" t="s">
        <v>17</v>
      </c>
      <c r="H35" s="8">
        <v>50</v>
      </c>
      <c r="I35" s="8" t="s">
        <v>56</v>
      </c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1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BDEA3950-C241-47C9-8E1D-1BCE53C6B7CC}">
      <formula1>"Sim, Não"</formula1>
    </dataValidation>
    <dataValidation type="list" allowBlank="1" showInputMessage="1" showErrorMessage="1" sqref="L35:L41" xr:uid="{F5E46328-453D-44EA-9A4C-B34018425C9E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91A013F-B5AB-4066-9C5C-FC038E017C5E}">
          <x14:formula1>
            <xm:f>base!$A$2:$A$9</xm:f>
          </x14:formula1>
          <xm:sqref>G6:G22</xm:sqref>
        </x14:dataValidation>
        <x14:dataValidation type="list" allowBlank="1" showInputMessage="1" showErrorMessage="1" xr:uid="{862B750D-1351-4F8E-A574-49932EE9AC3F}">
          <x14:formula1>
            <xm:f>base!$A$2:$A$6</xm:f>
          </x14:formula1>
          <xm:sqref>G26:G31 G35:G41</xm:sqref>
        </x14:dataValidation>
        <x14:dataValidation type="list" allowBlank="1" showInputMessage="1" showErrorMessage="1" xr:uid="{452016EB-B3F3-4E72-938F-B715086C6EB1}">
          <x14:formula1>
            <xm:f>base!$E$2:$E$79</xm:f>
          </x14:formula1>
          <xm:sqref>I35:I41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DAFF-EEC6-44EA-89E7-81D3A0EA8542}">
  <dimension ref="B1:R41"/>
  <sheetViews>
    <sheetView showGridLines="0" zoomScale="80" zoomScaleNormal="80" workbookViewId="0">
      <selection activeCell="C15" sqref="C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'23'!B1+1</f>
        <v>45254</v>
      </c>
    </row>
    <row r="2" spans="2:18" ht="18.75" x14ac:dyDescent="0.2">
      <c r="B2" s="80" t="s">
        <v>0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83" t="s">
        <v>2</v>
      </c>
      <c r="F4" s="83"/>
      <c r="G4" s="83"/>
      <c r="H4" s="83"/>
      <c r="I4" s="83"/>
      <c r="J4" s="22"/>
      <c r="K4" s="77" t="s">
        <v>3</v>
      </c>
      <c r="L4" s="78"/>
      <c r="M4" s="79"/>
    </row>
    <row r="5" spans="2:18" ht="15" x14ac:dyDescent="0.2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IF(vend24[[#This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IF(vend24[[#This Row],[Nº Venda]]&gt;1,1,0)</f>
        <v>0</v>
      </c>
    </row>
    <row r="8" spans="2:18" ht="15.75" x14ac:dyDescent="0.25">
      <c r="B8" s="28" t="s">
        <v>14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IF(vend24[[#This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IF(vend24[[#This Row],[Nº Venda]]&gt;1,1,0)</f>
        <v>0</v>
      </c>
    </row>
    <row r="10" spans="2:18" ht="15.75" x14ac:dyDescent="0.25">
      <c r="B10" s="75" t="s">
        <v>16</v>
      </c>
      <c r="C10" s="7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IF(vend24[[#This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IF(vend24[[#This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IF(vend24[[#This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7" t="s">
        <v>36</v>
      </c>
      <c r="L13" s="78"/>
      <c r="M13" s="79"/>
      <c r="R13" s="1">
        <f>IF(vend24[[#This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IF(vend24[[#This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IF(vend24[[#This Row],[Nº Venda]]&gt;1,1,0)</f>
        <v>0</v>
      </c>
    </row>
    <row r="16" spans="2:18" ht="15.75" x14ac:dyDescent="0.25">
      <c r="B16" s="28" t="s">
        <v>19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IF(vend24[[#This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IF(vend24[[#This Row],[Nº Venda]]&gt;1,1,0)</f>
        <v>0</v>
      </c>
    </row>
    <row r="18" spans="2:18" ht="15.75" x14ac:dyDescent="0.25">
      <c r="B18" s="75" t="s">
        <v>35</v>
      </c>
      <c r="C18" s="7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IF(vend24[[#This Row],[Nº Venda]]&gt;1,1,0)</f>
        <v>0</v>
      </c>
    </row>
    <row r="19" spans="2:18" ht="15.75" x14ac:dyDescent="0.25">
      <c r="B19" s="30">
        <f>COUNT(entr_carn24[OS])</f>
        <v>0</v>
      </c>
      <c r="C19" s="31">
        <f>SUM(entr_carn24[Valor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IF(vend24[[#This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6" t="s">
        <v>22</v>
      </c>
      <c r="F24" s="76"/>
      <c r="G24" s="76"/>
      <c r="H24" s="76"/>
      <c r="I24" s="76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6" t="s">
        <v>39</v>
      </c>
      <c r="F33" s="76"/>
      <c r="G33" s="76"/>
      <c r="H33" s="76"/>
      <c r="I33" s="76"/>
      <c r="K33" s="77" t="s">
        <v>35</v>
      </c>
      <c r="L33" s="78"/>
      <c r="M33" s="79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D247495-8FC6-4FD0-AFBF-086A0464979F}">
      <formula1>"Sim, Não"</formula1>
    </dataValidation>
    <dataValidation type="list" allowBlank="1" showInputMessage="1" showErrorMessage="1" sqref="L35:L41" xr:uid="{B5E2F884-8C4F-469E-8FB6-72D5A797D30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8A6F7EE-195C-4324-9E05-F5B94E183D0C}">
          <x14:formula1>
            <xm:f>base!$A$2:$A$9</xm:f>
          </x14:formula1>
          <xm:sqref>G6:G22</xm:sqref>
        </x14:dataValidation>
        <x14:dataValidation type="list" allowBlank="1" showInputMessage="1" showErrorMessage="1" xr:uid="{F90C7FF6-529A-4BDD-9AC6-A56F081A8F3B}">
          <x14:formula1>
            <xm:f>base!$A$2:$A$6</xm:f>
          </x14:formula1>
          <xm:sqref>G26:G31 G35:G41</xm:sqref>
        </x14:dataValidation>
        <x14:dataValidation type="list" allowBlank="1" showInputMessage="1" showErrorMessage="1" xr:uid="{6DEF63FC-1ACD-47D5-93F4-FB1C9A8EBC93}">
          <x14:formula1>
            <xm:f>base!$E$2:$E$79</xm:f>
          </x14:formula1>
          <xm:sqref>I35:I41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7764-9A74-4280-B7B5-EE0E6FFC7849}">
  <dimension ref="B1:R41"/>
  <sheetViews>
    <sheetView showGridLines="0" zoomScale="80" zoomScaleNormal="80" workbookViewId="0">
      <selection activeCell="I13" sqref="I13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'24'!B1+1</f>
        <v>45255</v>
      </c>
    </row>
    <row r="2" spans="2:18" ht="18.75" x14ac:dyDescent="0.2">
      <c r="B2" s="80" t="s">
        <v>0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83" t="s">
        <v>2</v>
      </c>
      <c r="F4" s="83"/>
      <c r="G4" s="83"/>
      <c r="H4" s="83"/>
      <c r="I4" s="83"/>
      <c r="J4" s="22"/>
      <c r="K4" s="77" t="s">
        <v>3</v>
      </c>
      <c r="L4" s="78"/>
      <c r="M4" s="79"/>
    </row>
    <row r="5" spans="2:18" ht="15" x14ac:dyDescent="0.25">
      <c r="B5" s="23" t="s">
        <v>2</v>
      </c>
      <c r="C5" s="24">
        <f>SUMIF(I6:I31,"&gt;0",H6:H31)</f>
        <v>1748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300</v>
      </c>
      <c r="D6" s="2"/>
      <c r="E6" s="18">
        <v>811</v>
      </c>
      <c r="F6" s="25" t="s">
        <v>160</v>
      </c>
      <c r="G6" s="26" t="s">
        <v>17</v>
      </c>
      <c r="H6" s="8">
        <v>829</v>
      </c>
      <c r="I6" s="8">
        <v>70</v>
      </c>
      <c r="J6" s="2"/>
      <c r="K6" s="25"/>
      <c r="L6" s="9"/>
      <c r="M6" s="16"/>
      <c r="R6" s="1">
        <f>IF(vend25[[#This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812</v>
      </c>
      <c r="F7" s="25" t="s">
        <v>160</v>
      </c>
      <c r="G7" s="26" t="s">
        <v>17</v>
      </c>
      <c r="H7" s="8">
        <v>299</v>
      </c>
      <c r="I7" s="8">
        <v>30</v>
      </c>
      <c r="J7" s="2"/>
      <c r="K7" s="25"/>
      <c r="L7" s="9"/>
      <c r="M7" s="16"/>
      <c r="R7" s="1">
        <f>IF(vend25[[#This Row],[Nº Venda]]&gt;1,1,0)</f>
        <v>1</v>
      </c>
    </row>
    <row r="8" spans="2:18" ht="15.75" x14ac:dyDescent="0.25">
      <c r="B8" s="28" t="s">
        <v>14</v>
      </c>
      <c r="C8" s="29">
        <f>SUM(C6:C7)</f>
        <v>300</v>
      </c>
      <c r="D8" s="2"/>
      <c r="E8" s="18">
        <v>813</v>
      </c>
      <c r="F8" s="25" t="s">
        <v>161</v>
      </c>
      <c r="G8" s="26" t="s">
        <v>13</v>
      </c>
      <c r="H8" s="8">
        <v>310</v>
      </c>
      <c r="I8" s="8">
        <v>100</v>
      </c>
      <c r="J8" s="2"/>
      <c r="K8" s="25"/>
      <c r="L8" s="9"/>
      <c r="M8" s="16"/>
      <c r="R8" s="1">
        <f>IF(vend25[[#This Row],[Nº Venda]]&gt;1,1,0)</f>
        <v>1</v>
      </c>
    </row>
    <row r="9" spans="2:18" ht="15.75" x14ac:dyDescent="0.25">
      <c r="B9" s="2"/>
      <c r="C9" s="2"/>
      <c r="D9" s="2"/>
      <c r="E9" s="18">
        <v>814</v>
      </c>
      <c r="F9" s="25" t="s">
        <v>161</v>
      </c>
      <c r="G9" s="26" t="s">
        <v>13</v>
      </c>
      <c r="H9" s="8">
        <v>310</v>
      </c>
      <c r="I9" s="8">
        <v>100</v>
      </c>
      <c r="J9" s="2"/>
      <c r="K9" s="25"/>
      <c r="L9" s="9"/>
      <c r="M9" s="16"/>
      <c r="R9" s="1">
        <f>IF(vend25[[#This Row],[Nº Venda]]&gt;1,1,0)</f>
        <v>1</v>
      </c>
    </row>
    <row r="10" spans="2:18" ht="15.75" x14ac:dyDescent="0.25">
      <c r="B10" s="75" t="s">
        <v>16</v>
      </c>
      <c r="C10" s="7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IF(vend25[[#This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IF(vend25[[#This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100</v>
      </c>
      <c r="D12" s="2"/>
      <c r="E12" s="18"/>
      <c r="F12" s="25"/>
      <c r="G12" s="26"/>
      <c r="H12" s="8"/>
      <c r="I12" s="8"/>
      <c r="J12" s="2"/>
      <c r="R12" s="1">
        <f>IF(vend25[[#This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7" t="s">
        <v>36</v>
      </c>
      <c r="L13" s="78"/>
      <c r="M13" s="79"/>
      <c r="R13" s="1">
        <f>IF(vend25[[#This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IF(vend25[[#This Row],[Nº Venda]]&gt;1,1,0)</f>
        <v>0</v>
      </c>
    </row>
    <row r="15" spans="2:18" ht="15.75" x14ac:dyDescent="0.25">
      <c r="B15" s="30" t="s">
        <v>13</v>
      </c>
      <c r="C15" s="31">
        <f t="shared" si="0"/>
        <v>200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IF(vend25[[#This Row],[Nº Venda]]&gt;1,1,0)</f>
        <v>0</v>
      </c>
    </row>
    <row r="16" spans="2:18" ht="15.75" x14ac:dyDescent="0.25">
      <c r="B16" s="28" t="s">
        <v>19</v>
      </c>
      <c r="C16" s="32">
        <f>SUM(C11:C15)</f>
        <v>300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IF(vend25[[#This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IF(vend25[[#This Row],[Nº Venda]]&gt;1,1,0)</f>
        <v>0</v>
      </c>
    </row>
    <row r="18" spans="2:18" ht="15.75" x14ac:dyDescent="0.25">
      <c r="B18" s="75" t="s">
        <v>35</v>
      </c>
      <c r="C18" s="7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IF(vend25[[#This Row],[Nº Venda]]&gt;1,1,0)</f>
        <v>0</v>
      </c>
    </row>
    <row r="19" spans="2:18" ht="15.75" x14ac:dyDescent="0.25">
      <c r="B19" s="30">
        <f>COUNT(entr_carn25[OS])</f>
        <v>0</v>
      </c>
      <c r="C19" s="31">
        <f>SUM(entr_carn25[Valor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IF(vend25[[#This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1748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6" t="s">
        <v>22</v>
      </c>
      <c r="F24" s="76"/>
      <c r="G24" s="76"/>
      <c r="H24" s="76"/>
      <c r="I24" s="76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6" t="s">
        <v>39</v>
      </c>
      <c r="F33" s="76"/>
      <c r="G33" s="76"/>
      <c r="H33" s="76"/>
      <c r="I33" s="76"/>
      <c r="K33" s="77" t="s">
        <v>35</v>
      </c>
      <c r="L33" s="78"/>
      <c r="M33" s="79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4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862D1144-9D06-4CC7-8C6A-6AC966F73514}">
      <formula1>"Sim, Não"</formula1>
    </dataValidation>
    <dataValidation type="list" allowBlank="1" showInputMessage="1" showErrorMessage="1" sqref="L35:L41" xr:uid="{AFEB7990-BE8B-42D5-94C8-B001EFD8E9F1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3CC645E-DE03-4B8F-AE0F-BD5DB3BEFCE4}">
          <x14:formula1>
            <xm:f>base!$A$2:$A$9</xm:f>
          </x14:formula1>
          <xm:sqref>G6:G22</xm:sqref>
        </x14:dataValidation>
        <x14:dataValidation type="list" allowBlank="1" showInputMessage="1" showErrorMessage="1" xr:uid="{6DB9A50A-B98E-4A87-A81E-FA60D4671D23}">
          <x14:formula1>
            <xm:f>base!$A$2:$A$6</xm:f>
          </x14:formula1>
          <xm:sqref>G26:G31 G35:G41</xm:sqref>
        </x14:dataValidation>
        <x14:dataValidation type="list" allowBlank="1" showInputMessage="1" showErrorMessage="1" xr:uid="{89F1FDF7-1547-405B-9F80-4C7D9F52D5AD}">
          <x14:formula1>
            <xm:f>base!$E$2:$E$79</xm:f>
          </x14:formula1>
          <xm:sqref>I35:I41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A679-B824-4EEA-A9D8-FA08D2376FE5}">
  <dimension ref="B1:R41"/>
  <sheetViews>
    <sheetView showGridLines="0" zoomScale="80" zoomScaleNormal="80" workbookViewId="0">
      <selection activeCell="F17" sqref="F1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'25'!B1+1</f>
        <v>45256</v>
      </c>
    </row>
    <row r="2" spans="2:18" ht="18.75" x14ac:dyDescent="0.2">
      <c r="B2" s="80" t="s">
        <v>0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83" t="s">
        <v>2</v>
      </c>
      <c r="F4" s="83"/>
      <c r="G4" s="83"/>
      <c r="H4" s="83"/>
      <c r="I4" s="83"/>
      <c r="J4" s="22"/>
      <c r="K4" s="77" t="s">
        <v>3</v>
      </c>
      <c r="L4" s="78"/>
      <c r="M4" s="79"/>
    </row>
    <row r="5" spans="2:18" ht="15" x14ac:dyDescent="0.2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IF(vend26[[#This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IF(vend26[[#This Row],[Nº Venda]]&gt;1,1,0)</f>
        <v>0</v>
      </c>
    </row>
    <row r="8" spans="2:18" ht="15.75" x14ac:dyDescent="0.25">
      <c r="B8" s="28" t="s">
        <v>14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IF(vend26[[#This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IF(vend26[[#This Row],[Nº Venda]]&gt;1,1,0)</f>
        <v>0</v>
      </c>
    </row>
    <row r="10" spans="2:18" ht="15.75" x14ac:dyDescent="0.25">
      <c r="B10" s="75" t="s">
        <v>16</v>
      </c>
      <c r="C10" s="7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IF(vend26[[#This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IF(vend26[[#This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IF(vend26[[#This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7" t="s">
        <v>36</v>
      </c>
      <c r="L13" s="78"/>
      <c r="M13" s="79"/>
      <c r="R13" s="1">
        <f>IF(vend26[[#This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IF(vend26[[#This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IF(vend26[[#This Row],[Nº Venda]]&gt;1,1,0)</f>
        <v>0</v>
      </c>
    </row>
    <row r="16" spans="2:18" ht="15.75" x14ac:dyDescent="0.25">
      <c r="B16" s="28" t="s">
        <v>19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IF(vend26[[#This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IF(vend26[[#This Row],[Nº Venda]]&gt;1,1,0)</f>
        <v>0</v>
      </c>
    </row>
    <row r="18" spans="2:18" ht="15.75" x14ac:dyDescent="0.25">
      <c r="B18" s="75" t="s">
        <v>35</v>
      </c>
      <c r="C18" s="7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IF(vend26[[#This Row],[Nº Venda]]&gt;1,1,0)</f>
        <v>0</v>
      </c>
    </row>
    <row r="19" spans="2:18" ht="15.75" x14ac:dyDescent="0.25">
      <c r="B19" s="30">
        <f>COUNT(entr_carn26[OS])</f>
        <v>0</v>
      </c>
      <c r="C19" s="31">
        <f>SUM(entr_carn26[Valor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IF(vend26[[#This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IF(vend26[[#This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6" t="s">
        <v>22</v>
      </c>
      <c r="F24" s="76"/>
      <c r="G24" s="76"/>
      <c r="H24" s="76"/>
      <c r="I24" s="76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6" t="s">
        <v>39</v>
      </c>
      <c r="F33" s="76"/>
      <c r="G33" s="76"/>
      <c r="H33" s="76"/>
      <c r="I33" s="76"/>
      <c r="K33" s="77" t="s">
        <v>35</v>
      </c>
      <c r="L33" s="78"/>
      <c r="M33" s="79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1DDAF4B-C170-4B24-8151-3C5FD4A065AA}">
      <formula1>"1,2,3,4,5,6,7,8,9,10"</formula1>
    </dataValidation>
    <dataValidation type="list" allowBlank="1" showInputMessage="1" showErrorMessage="1" sqref="M15:M31" xr:uid="{553D6276-B119-4785-8399-9CBB503257E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25EF7E0-5BB3-4CF1-9B17-26FA036353B2}">
          <x14:formula1>
            <xm:f>base!$A$2:$A$6</xm:f>
          </x14:formula1>
          <xm:sqref>G26:G31 G35:G41</xm:sqref>
        </x14:dataValidation>
        <x14:dataValidation type="list" allowBlank="1" showInputMessage="1" showErrorMessage="1" xr:uid="{1FB652C6-BDE9-4F9C-BB27-2485321F545B}">
          <x14:formula1>
            <xm:f>base!$A$2:$A$9</xm:f>
          </x14:formula1>
          <xm:sqref>G6:G22</xm:sqref>
        </x14:dataValidation>
        <x14:dataValidation type="list" allowBlank="1" showInputMessage="1" showErrorMessage="1" xr:uid="{2508188E-17EC-4234-8FB8-532760DD3016}">
          <x14:formula1>
            <xm:f>base!$E$2:$E$79</xm:f>
          </x14:formula1>
          <xm:sqref>I35:I41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8CB1F-CC8C-4546-A9A6-CF5215B8DC84}">
  <dimension ref="B1:R41"/>
  <sheetViews>
    <sheetView showGridLines="0" zoomScale="80" zoomScaleNormal="80" workbookViewId="0">
      <selection activeCell="E6" sqref="E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'26'!B1+1</f>
        <v>45257</v>
      </c>
    </row>
    <row r="2" spans="2:18" ht="18.75" x14ac:dyDescent="0.2">
      <c r="B2" s="80" t="s">
        <v>0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83" t="s">
        <v>2</v>
      </c>
      <c r="F4" s="83"/>
      <c r="G4" s="83"/>
      <c r="H4" s="83"/>
      <c r="I4" s="83"/>
      <c r="J4" s="22"/>
      <c r="K4" s="77" t="s">
        <v>3</v>
      </c>
      <c r="L4" s="78"/>
      <c r="M4" s="79"/>
    </row>
    <row r="5" spans="2:18" ht="15" x14ac:dyDescent="0.2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IF(vend27[[#This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IF(vend27[[#This Row],[Nº Venda]]&gt;1,1,0)</f>
        <v>0</v>
      </c>
    </row>
    <row r="8" spans="2:18" ht="15.75" x14ac:dyDescent="0.25">
      <c r="B8" s="28" t="s">
        <v>14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IF(vend27[[#This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IF(vend27[[#This Row],[Nº Venda]]&gt;1,1,0)</f>
        <v>0</v>
      </c>
    </row>
    <row r="10" spans="2:18" ht="15.75" x14ac:dyDescent="0.25">
      <c r="B10" s="75" t="s">
        <v>16</v>
      </c>
      <c r="C10" s="7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IF(vend27[[#This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IF(vend27[[#This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IF(vend27[[#This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7" t="s">
        <v>36</v>
      </c>
      <c r="L13" s="78"/>
      <c r="M13" s="79"/>
      <c r="R13" s="1">
        <f>IF(vend27[[#This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IF(vend27[[#This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IF(vend27[[#This Row],[Nº Venda]]&gt;1,1,0)</f>
        <v>0</v>
      </c>
    </row>
    <row r="16" spans="2:18" ht="15.75" x14ac:dyDescent="0.25">
      <c r="B16" s="28" t="s">
        <v>19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IF(vend27[[#This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IF(vend27[[#This Row],[Nº Venda]]&gt;1,1,0)</f>
        <v>0</v>
      </c>
    </row>
    <row r="18" spans="2:18" ht="15.75" x14ac:dyDescent="0.25">
      <c r="B18" s="75" t="s">
        <v>35</v>
      </c>
      <c r="C18" s="7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IF(vend27[[#This Row],[Nº Venda]]&gt;1,1,0)</f>
        <v>0</v>
      </c>
    </row>
    <row r="19" spans="2:18" ht="15.75" x14ac:dyDescent="0.25">
      <c r="B19" s="30">
        <f>COUNT(entr_carn27[OS])</f>
        <v>0</v>
      </c>
      <c r="C19" s="31">
        <f>SUM(entr_carn27[Valor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IF(vend27[[#This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6" t="s">
        <v>22</v>
      </c>
      <c r="F24" s="76"/>
      <c r="G24" s="76"/>
      <c r="H24" s="76"/>
      <c r="I24" s="76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6" t="s">
        <v>39</v>
      </c>
      <c r="F33" s="76"/>
      <c r="G33" s="76"/>
      <c r="H33" s="76"/>
      <c r="I33" s="76"/>
      <c r="K33" s="77" t="s">
        <v>35</v>
      </c>
      <c r="L33" s="78"/>
      <c r="M33" s="79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8AD08715-CA81-4378-97B4-1E9A5F964BE8}">
      <formula1>"1,2,3,4,5,6,7,8,9,10"</formula1>
    </dataValidation>
    <dataValidation type="list" allowBlank="1" showInputMessage="1" showErrorMessage="1" sqref="M15:M31" xr:uid="{6E04F0F4-7C1E-4169-8999-206E3A11EB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98E5996-9497-4006-B937-DD7511465A6E}">
          <x14:formula1>
            <xm:f>base!$A$2:$A$6</xm:f>
          </x14:formula1>
          <xm:sqref>G26:G31 G35:G41</xm:sqref>
        </x14:dataValidation>
        <x14:dataValidation type="list" allowBlank="1" showInputMessage="1" showErrorMessage="1" xr:uid="{279E54C8-7C93-429D-89A5-A79D36951357}">
          <x14:formula1>
            <xm:f>base!$A$2:$A$9</xm:f>
          </x14:formula1>
          <xm:sqref>G6:G22</xm:sqref>
        </x14:dataValidation>
        <x14:dataValidation type="list" allowBlank="1" showInputMessage="1" showErrorMessage="1" xr:uid="{1CF82999-CFE7-4112-B370-617F641FEBA9}">
          <x14:formula1>
            <xm:f>base!$E$2:$E$79</xm:f>
          </x14:formula1>
          <xm:sqref>I35:I41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2A55-CA27-40C2-8923-481EBC4CD4DF}">
  <dimension ref="B1:R41"/>
  <sheetViews>
    <sheetView showGridLines="0" zoomScale="80" zoomScaleNormal="80" workbookViewId="0">
      <selection activeCell="E8" sqref="E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'27'!B1+1</f>
        <v>45258</v>
      </c>
    </row>
    <row r="2" spans="2:18" ht="18.75" x14ac:dyDescent="0.2">
      <c r="B2" s="80" t="s">
        <v>0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83" t="s">
        <v>2</v>
      </c>
      <c r="F4" s="83"/>
      <c r="G4" s="83"/>
      <c r="H4" s="83"/>
      <c r="I4" s="83"/>
      <c r="J4" s="22"/>
      <c r="K4" s="77" t="s">
        <v>3</v>
      </c>
      <c r="L4" s="78"/>
      <c r="M4" s="79"/>
    </row>
    <row r="5" spans="2:18" ht="15" x14ac:dyDescent="0.25">
      <c r="B5" s="23" t="s">
        <v>2</v>
      </c>
      <c r="C5" s="24">
        <f>SUMIF(I6:I31,"&gt;0",H6:H31)</f>
        <v>99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99</v>
      </c>
      <c r="D6" s="2"/>
      <c r="E6" s="18">
        <v>815</v>
      </c>
      <c r="F6" s="25" t="s">
        <v>137</v>
      </c>
      <c r="G6" s="26" t="s">
        <v>12</v>
      </c>
      <c r="H6" s="8">
        <v>49</v>
      </c>
      <c r="I6" s="8">
        <v>49</v>
      </c>
      <c r="J6" s="2"/>
      <c r="K6" s="25"/>
      <c r="L6" s="9"/>
      <c r="M6" s="16"/>
      <c r="R6" s="1">
        <f>IF(vend28[[#This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816</v>
      </c>
      <c r="F7" s="25" t="s">
        <v>162</v>
      </c>
      <c r="G7" s="26" t="s">
        <v>17</v>
      </c>
      <c r="H7" s="8">
        <v>50</v>
      </c>
      <c r="I7" s="8">
        <v>50</v>
      </c>
      <c r="J7" s="2"/>
      <c r="K7" s="25"/>
      <c r="L7" s="9"/>
      <c r="M7" s="16"/>
      <c r="R7" s="1">
        <f>IF(vend28[[#This Row],[Nº Venda]]&gt;1,1,0)</f>
        <v>1</v>
      </c>
    </row>
    <row r="8" spans="2:18" ht="15.75" x14ac:dyDescent="0.25">
      <c r="B8" s="28" t="s">
        <v>14</v>
      </c>
      <c r="C8" s="29">
        <f>SUM(C6:C7)</f>
        <v>99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IF(vend28[[#This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IF(vend28[[#This Row],[Nº Venda]]&gt;1,1,0)</f>
        <v>0</v>
      </c>
    </row>
    <row r="10" spans="2:18" ht="15.75" x14ac:dyDescent="0.25">
      <c r="B10" s="75" t="s">
        <v>16</v>
      </c>
      <c r="C10" s="7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IF(vend28[[#This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250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IF(vend28[[#This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50</v>
      </c>
      <c r="D12" s="2"/>
      <c r="E12" s="18"/>
      <c r="F12" s="25"/>
      <c r="G12" s="26"/>
      <c r="H12" s="8"/>
      <c r="I12" s="8"/>
      <c r="J12" s="2"/>
      <c r="R12" s="1">
        <f>IF(vend28[[#This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7" t="s">
        <v>36</v>
      </c>
      <c r="L13" s="78"/>
      <c r="M13" s="79"/>
      <c r="R13" s="1">
        <f>IF(vend28[[#This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IF(vend28[[#This Row],[Nº Venda]]&gt;1,1,0)</f>
        <v>0</v>
      </c>
    </row>
    <row r="15" spans="2:18" ht="15.75" x14ac:dyDescent="0.25">
      <c r="B15" s="30" t="s">
        <v>13</v>
      </c>
      <c r="C15" s="31">
        <f t="shared" si="0"/>
        <v>14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IF(vend28[[#This Row],[Nº Venda]]&gt;1,1,0)</f>
        <v>0</v>
      </c>
    </row>
    <row r="16" spans="2:18" ht="15.75" x14ac:dyDescent="0.25">
      <c r="B16" s="28" t="s">
        <v>19</v>
      </c>
      <c r="C16" s="32">
        <f>SUM(C11:C15)</f>
        <v>314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IF(vend28[[#This Row],[Nº Venda]]&gt;1,1,0)</f>
        <v>0</v>
      </c>
    </row>
    <row r="18" spans="2:18" ht="15.75" x14ac:dyDescent="0.25">
      <c r="B18" s="75" t="s">
        <v>35</v>
      </c>
      <c r="C18" s="7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IF(vend28[[#This Row],[Nº Venda]]&gt;1,1,0)</f>
        <v>0</v>
      </c>
    </row>
    <row r="19" spans="2:18" ht="15.75" x14ac:dyDescent="0.25">
      <c r="B19" s="30">
        <f>COUNT(entr_carn28[OS])</f>
        <v>0</v>
      </c>
      <c r="C19" s="31">
        <f>SUM(entr_carn28[Valor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IF(vend28[[#This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99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6" t="s">
        <v>22</v>
      </c>
      <c r="F24" s="76"/>
      <c r="G24" s="76"/>
      <c r="H24" s="76"/>
      <c r="I24" s="76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6" t="s">
        <v>39</v>
      </c>
      <c r="F33" s="76"/>
      <c r="G33" s="76"/>
      <c r="H33" s="76"/>
      <c r="I33" s="76"/>
      <c r="K33" s="77" t="s">
        <v>35</v>
      </c>
      <c r="L33" s="78"/>
      <c r="M33" s="79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>
        <v>727</v>
      </c>
      <c r="F35" s="25" t="s">
        <v>137</v>
      </c>
      <c r="G35" s="26" t="s">
        <v>12</v>
      </c>
      <c r="H35" s="8">
        <v>201</v>
      </c>
      <c r="I35" s="8" t="s">
        <v>54</v>
      </c>
      <c r="K35" s="25"/>
      <c r="L35" s="42"/>
      <c r="M35" s="16"/>
    </row>
    <row r="36" spans="2:18" ht="15.75" x14ac:dyDescent="0.25">
      <c r="E36" s="18">
        <v>727</v>
      </c>
      <c r="F36" s="25" t="s">
        <v>137</v>
      </c>
      <c r="G36" s="26" t="s">
        <v>13</v>
      </c>
      <c r="H36" s="8">
        <v>14</v>
      </c>
      <c r="I36" s="8" t="s">
        <v>54</v>
      </c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2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E66592B-41E9-4133-A969-6FB6D7F67674}">
      <formula1>"Sim, Não"</formula1>
    </dataValidation>
    <dataValidation type="list" allowBlank="1" showInputMessage="1" showErrorMessage="1" sqref="L35:L41" xr:uid="{E93C8EC6-7382-4798-9E64-347C2600C797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4CC2420-F7B8-4106-A4AD-F26F4A00FCE6}">
          <x14:formula1>
            <xm:f>base!$A$2:$A$9</xm:f>
          </x14:formula1>
          <xm:sqref>G6:G22</xm:sqref>
        </x14:dataValidation>
        <x14:dataValidation type="list" allowBlank="1" showInputMessage="1" showErrorMessage="1" xr:uid="{A1A9B9A8-4F4C-4B2C-8E87-4C4137D176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7A9BC3-B8D3-4BCD-A475-30FE2433A263}">
          <x14:formula1>
            <xm:f>base!$E$2:$E$79</xm:f>
          </x14:formula1>
          <xm:sqref>I35:I41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280B9-FFFA-4BFC-B437-9A1C13256F66}">
  <dimension ref="B1:R41"/>
  <sheetViews>
    <sheetView showGridLines="0" zoomScale="80" zoomScaleNormal="80" workbookViewId="0">
      <selection activeCell="E8" sqref="E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'28'!B1+1</f>
        <v>45259</v>
      </c>
    </row>
    <row r="2" spans="2:18" ht="18.75" x14ac:dyDescent="0.2">
      <c r="B2" s="80" t="s">
        <v>0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83" t="s">
        <v>2</v>
      </c>
      <c r="F4" s="83"/>
      <c r="G4" s="83"/>
      <c r="H4" s="83"/>
      <c r="I4" s="83"/>
      <c r="J4" s="22"/>
      <c r="K4" s="77" t="s">
        <v>3</v>
      </c>
      <c r="L4" s="78"/>
      <c r="M4" s="79"/>
    </row>
    <row r="5" spans="2:18" ht="15" x14ac:dyDescent="0.25">
      <c r="B5" s="23" t="s">
        <v>2</v>
      </c>
      <c r="C5" s="24">
        <f>SUMIF(I6:I31,"&gt;0",H6:H31)</f>
        <v>59.7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59.7</v>
      </c>
      <c r="D6" s="2"/>
      <c r="E6" s="18">
        <v>817</v>
      </c>
      <c r="F6" s="25" t="s">
        <v>163</v>
      </c>
      <c r="G6" s="26" t="s">
        <v>17</v>
      </c>
      <c r="H6" s="8">
        <v>59.7</v>
      </c>
      <c r="I6" s="8">
        <v>59.7</v>
      </c>
      <c r="J6" s="2"/>
      <c r="K6" s="25"/>
      <c r="L6" s="9"/>
      <c r="M6" s="16"/>
      <c r="R6" s="1">
        <f>IF(vend29[[#This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IF(vend29[[#This Row],[Nº Venda]]&gt;1,1,0)</f>
        <v>0</v>
      </c>
    </row>
    <row r="8" spans="2:18" ht="15.75" x14ac:dyDescent="0.25">
      <c r="B8" s="28" t="s">
        <v>14</v>
      </c>
      <c r="C8" s="29">
        <f>SUM(C6:C7)</f>
        <v>59.7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IF(vend29[[#This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IF(vend29[[#This Row],[Nº Venda]]&gt;1,1,0)</f>
        <v>0</v>
      </c>
    </row>
    <row r="10" spans="2:18" ht="15.75" x14ac:dyDescent="0.25">
      <c r="B10" s="75" t="s">
        <v>16</v>
      </c>
      <c r="C10" s="7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IF(vend29[[#This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IF(vend29[[#This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164.7</v>
      </c>
      <c r="D12" s="2"/>
      <c r="E12" s="18"/>
      <c r="F12" s="25"/>
      <c r="G12" s="26"/>
      <c r="H12" s="8"/>
      <c r="I12" s="8"/>
      <c r="J12" s="2"/>
      <c r="R12" s="1">
        <f>IF(vend29[[#This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7" t="s">
        <v>36</v>
      </c>
      <c r="L13" s="78"/>
      <c r="M13" s="79"/>
      <c r="R13" s="1">
        <f>IF(vend29[[#This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IF(vend29[[#This Row],[Nº Venda]]&gt;1,1,0)</f>
        <v>0</v>
      </c>
    </row>
    <row r="15" spans="2:18" ht="15.75" x14ac:dyDescent="0.25">
      <c r="B15" s="30" t="s">
        <v>13</v>
      </c>
      <c r="C15" s="31">
        <f t="shared" si="0"/>
        <v>212.5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IF(vend29[[#This Row],[Nº Venda]]&gt;1,1,0)</f>
        <v>0</v>
      </c>
    </row>
    <row r="16" spans="2:18" ht="15.75" x14ac:dyDescent="0.25">
      <c r="B16" s="28" t="s">
        <v>19</v>
      </c>
      <c r="C16" s="32">
        <f>SUM(C11:C15)</f>
        <v>377.2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IF(vend29[[#This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IF(vend29[[#This Row],[Nº Venda]]&gt;1,1,0)</f>
        <v>0</v>
      </c>
    </row>
    <row r="18" spans="2:18" ht="15.75" x14ac:dyDescent="0.25">
      <c r="B18" s="75" t="s">
        <v>35</v>
      </c>
      <c r="C18" s="7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IF(vend29[[#This Row],[Nº Venda]]&gt;1,1,0)</f>
        <v>0</v>
      </c>
    </row>
    <row r="19" spans="2:18" ht="15.75" x14ac:dyDescent="0.25">
      <c r="B19" s="30">
        <f>COUNT(entr_carn29[OS])</f>
        <v>0</v>
      </c>
      <c r="C19" s="31">
        <f>SUM(entr_carn29[Valor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IF(vend29[[#This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IF(vend29[[#This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59.7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6" t="s">
        <v>22</v>
      </c>
      <c r="F24" s="76"/>
      <c r="G24" s="76"/>
      <c r="H24" s="76"/>
      <c r="I24" s="76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6" t="s">
        <v>39</v>
      </c>
      <c r="F33" s="76"/>
      <c r="G33" s="76"/>
      <c r="H33" s="76"/>
      <c r="I33" s="76"/>
      <c r="K33" s="77" t="s">
        <v>35</v>
      </c>
      <c r="L33" s="78"/>
      <c r="M33" s="79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>
        <v>785</v>
      </c>
      <c r="F35" s="25" t="s">
        <v>164</v>
      </c>
      <c r="G35" s="26" t="s">
        <v>13</v>
      </c>
      <c r="H35" s="8">
        <v>212.5</v>
      </c>
      <c r="I35" s="8" t="s">
        <v>73</v>
      </c>
      <c r="K35" s="25"/>
      <c r="L35" s="42"/>
      <c r="M35" s="16"/>
    </row>
    <row r="36" spans="2:18" ht="15.75" x14ac:dyDescent="0.25">
      <c r="E36" s="18">
        <v>779</v>
      </c>
      <c r="F36" s="25" t="s">
        <v>163</v>
      </c>
      <c r="G36" s="26" t="s">
        <v>17</v>
      </c>
      <c r="H36" s="8">
        <v>105</v>
      </c>
      <c r="I36" s="8" t="s">
        <v>51</v>
      </c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1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45B5B1-0693-4367-9737-273EC4739B37}">
      <formula1>"1,2,3,4,5,6,7,8,9,10"</formula1>
    </dataValidation>
    <dataValidation type="list" allowBlank="1" showInputMessage="1" showErrorMessage="1" sqref="M15:M31" xr:uid="{FB123D8D-B5AF-466A-A005-3B0D491DB949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82420CE-1467-422A-964B-18F1EC928A68}">
          <x14:formula1>
            <xm:f>base!$A$2:$A$6</xm:f>
          </x14:formula1>
          <xm:sqref>G26:G31 G35:G41</xm:sqref>
        </x14:dataValidation>
        <x14:dataValidation type="list" allowBlank="1" showInputMessage="1" showErrorMessage="1" xr:uid="{7344FCE5-B76F-41D2-899A-DC40E0AAB6E6}">
          <x14:formula1>
            <xm:f>base!$A$2:$A$9</xm:f>
          </x14:formula1>
          <xm:sqref>G6:G22</xm:sqref>
        </x14:dataValidation>
        <x14:dataValidation type="list" allowBlank="1" showInputMessage="1" showErrorMessage="1" xr:uid="{B6D808A1-FE0A-4480-9874-ED9610483F15}">
          <x14:formula1>
            <xm:f>base!$E$2:$E$79</xm:f>
          </x14:formula1>
          <xm:sqref>I35:I41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6629-A4FE-469C-9E18-443C09B5B427}">
  <dimension ref="B1:R41"/>
  <sheetViews>
    <sheetView showGridLines="0" zoomScale="80" zoomScaleNormal="80" workbookViewId="0">
      <selection activeCell="E6" sqref="E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'29'!B1+1</f>
        <v>45260</v>
      </c>
    </row>
    <row r="2" spans="2:18" ht="18.75" x14ac:dyDescent="0.2">
      <c r="B2" s="80" t="s">
        <v>0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83" t="s">
        <v>2</v>
      </c>
      <c r="F4" s="83"/>
      <c r="G4" s="83"/>
      <c r="H4" s="83"/>
      <c r="I4" s="83"/>
      <c r="J4" s="22"/>
      <c r="K4" s="77" t="s">
        <v>3</v>
      </c>
      <c r="L4" s="78"/>
      <c r="M4" s="79"/>
    </row>
    <row r="5" spans="2:18" ht="15" x14ac:dyDescent="0.2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IF(vend30[[#This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IF(vend30[[#This Row],[Nº Venda]]&gt;1,1,0)</f>
        <v>0</v>
      </c>
    </row>
    <row r="8" spans="2:18" ht="15.75" x14ac:dyDescent="0.25">
      <c r="B8" s="28" t="s">
        <v>14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IF(vend30[[#This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IF(vend30[[#This Row],[Nº Venda]]&gt;1,1,0)</f>
        <v>0</v>
      </c>
    </row>
    <row r="10" spans="2:18" ht="15.75" x14ac:dyDescent="0.25">
      <c r="B10" s="75" t="s">
        <v>16</v>
      </c>
      <c r="C10" s="7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IF(vend30[[#This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IF(vend30[[#This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IF(vend30[[#This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7" t="s">
        <v>36</v>
      </c>
      <c r="L13" s="78"/>
      <c r="M13" s="79"/>
      <c r="R13" s="1">
        <f>IF(vend30[[#This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IF(vend30[[#This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IF(vend30[[#This Row],[Nº Venda]]&gt;1,1,0)</f>
        <v>0</v>
      </c>
    </row>
    <row r="16" spans="2:18" ht="15.75" x14ac:dyDescent="0.25">
      <c r="B16" s="28" t="s">
        <v>19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IF(vend30[[#This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IF(vend30[[#This Row],[Nº Venda]]&gt;1,1,0)</f>
        <v>0</v>
      </c>
    </row>
    <row r="18" spans="2:18" ht="15.75" x14ac:dyDescent="0.25">
      <c r="B18" s="75" t="s">
        <v>35</v>
      </c>
      <c r="C18" s="7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IF(vend30[[#This Row],[Nº Venda]]&gt;1,1,0)</f>
        <v>0</v>
      </c>
    </row>
    <row r="19" spans="2:18" ht="15.75" x14ac:dyDescent="0.25">
      <c r="B19" s="30">
        <f>COUNT(entr_carn30[OS])</f>
        <v>0</v>
      </c>
      <c r="C19" s="31">
        <f>SUM(entr_carn30[Valor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IF(vend30[[#This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IF(vend30[[#This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6" t="s">
        <v>22</v>
      </c>
      <c r="F24" s="76"/>
      <c r="G24" s="76"/>
      <c r="H24" s="76"/>
      <c r="I24" s="76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6" t="s">
        <v>39</v>
      </c>
      <c r="F33" s="76"/>
      <c r="G33" s="76"/>
      <c r="H33" s="76"/>
      <c r="I33" s="76"/>
      <c r="K33" s="77" t="s">
        <v>35</v>
      </c>
      <c r="L33" s="78"/>
      <c r="M33" s="79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EF9B162-39EA-493C-B4F3-B25C6A8C043D}">
      <formula1>"1,2,3,4,5,6,7,8,9,10"</formula1>
    </dataValidation>
    <dataValidation type="list" allowBlank="1" showInputMessage="1" showErrorMessage="1" sqref="M15:M31" xr:uid="{E45DD44D-C7A7-4BE2-8E93-03182589DF4C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54549B3-C2F1-4A35-B7FA-A3C6892C967B}">
          <x14:formula1>
            <xm:f>base!$A$2:$A$6</xm:f>
          </x14:formula1>
          <xm:sqref>G26:G31 G35:G41</xm:sqref>
        </x14:dataValidation>
        <x14:dataValidation type="list" allowBlank="1" showInputMessage="1" showErrorMessage="1" xr:uid="{BCD073E2-7B8F-4DF5-ADB5-B5FA95249863}">
          <x14:formula1>
            <xm:f>base!$A$2:$A$9</xm:f>
          </x14:formula1>
          <xm:sqref>G6:G22</xm:sqref>
        </x14:dataValidation>
        <x14:dataValidation type="list" allowBlank="1" showInputMessage="1" showErrorMessage="1" xr:uid="{21719EB7-C711-49E1-AEB8-47B209B77CD6}">
          <x14:formula1>
            <xm:f>base!$E$2:$E$79</xm:f>
          </x14:formula1>
          <xm:sqref>I35:I41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64775-134F-47AB-9CDF-B43D4A66B632}">
  <dimension ref="B1:R41"/>
  <sheetViews>
    <sheetView showGridLines="0" zoomScale="80" zoomScaleNormal="80" workbookViewId="0">
      <selection activeCell="C15" sqref="C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'30'!B1+1</f>
        <v>45261</v>
      </c>
    </row>
    <row r="2" spans="2:18" ht="18.75" x14ac:dyDescent="0.2">
      <c r="B2" s="80" t="s">
        <v>0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83" t="s">
        <v>2</v>
      </c>
      <c r="F4" s="83"/>
      <c r="G4" s="83"/>
      <c r="H4" s="83"/>
      <c r="I4" s="83"/>
      <c r="J4" s="22"/>
      <c r="K4" s="77" t="s">
        <v>3</v>
      </c>
      <c r="L4" s="78"/>
      <c r="M4" s="79"/>
    </row>
    <row r="5" spans="2:18" ht="15" x14ac:dyDescent="0.2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IF(vend31[[#This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IF(vend31[[#This Row],[Nº Venda]]&gt;1,1,0)</f>
        <v>0</v>
      </c>
    </row>
    <row r="8" spans="2:18" ht="15.75" x14ac:dyDescent="0.25">
      <c r="B8" s="28" t="s">
        <v>14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IF(vend31[[#This Row],[Nº Venda]]&gt;1,1,0)</f>
        <v>0</v>
      </c>
    </row>
    <row r="10" spans="2:18" ht="15.75" x14ac:dyDescent="0.25">
      <c r="B10" s="75" t="s">
        <v>16</v>
      </c>
      <c r="C10" s="7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IF(vend31[[#This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IF(vend31[[#This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IF(vend31[[#This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7" t="s">
        <v>36</v>
      </c>
      <c r="L13" s="78"/>
      <c r="M13" s="79"/>
      <c r="R13" s="1">
        <f>IF(vend31[[#This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IF(vend31[[#This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IF(vend31[[#This Row],[Nº Venda]]&gt;1,1,0)</f>
        <v>0</v>
      </c>
    </row>
    <row r="16" spans="2:18" ht="15.75" x14ac:dyDescent="0.25">
      <c r="B16" s="28" t="s">
        <v>19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IF(vend31[[#This Row],[Nº Venda]]&gt;1,1,0)</f>
        <v>0</v>
      </c>
    </row>
    <row r="18" spans="2:18" ht="15.75" x14ac:dyDescent="0.25">
      <c r="B18" s="75" t="s">
        <v>35</v>
      </c>
      <c r="C18" s="7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IF(vend31[[#This Row],[Nº Venda]]&gt;1,1,0)</f>
        <v>0</v>
      </c>
    </row>
    <row r="19" spans="2:18" ht="15.75" x14ac:dyDescent="0.25">
      <c r="B19" s="30">
        <f>COUNT(entr_carn31[OS])</f>
        <v>0</v>
      </c>
      <c r="C19" s="31">
        <f>SUM(entr_carn31[Valor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IF(vend31[[#This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6" t="s">
        <v>22</v>
      </c>
      <c r="F24" s="76"/>
      <c r="G24" s="76"/>
      <c r="H24" s="76"/>
      <c r="I24" s="76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6" t="s">
        <v>39</v>
      </c>
      <c r="F33" s="76"/>
      <c r="G33" s="76"/>
      <c r="H33" s="76"/>
      <c r="I33" s="76"/>
      <c r="K33" s="77" t="s">
        <v>35</v>
      </c>
      <c r="L33" s="78"/>
      <c r="M33" s="79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6090A6C7-106F-41D7-80FC-EA9E044377F6}">
      <formula1>"Sim, Não"</formula1>
    </dataValidation>
    <dataValidation type="list" allowBlank="1" showInputMessage="1" showErrorMessage="1" sqref="L35:L41" xr:uid="{FEA4CAD7-5B04-4C7E-B1F0-54C6262C867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8896A60-CF65-4297-AD79-D88F13BF7A80}">
          <x14:formula1>
            <xm:f>base!$A$2:$A$9</xm:f>
          </x14:formula1>
          <xm:sqref>G6:G22</xm:sqref>
        </x14:dataValidation>
        <x14:dataValidation type="list" allowBlank="1" showInputMessage="1" showErrorMessage="1" xr:uid="{3584BD8C-1C30-4601-B9E9-422089BBF873}">
          <x14:formula1>
            <xm:f>base!$A$2:$A$6</xm:f>
          </x14:formula1>
          <xm:sqref>G26:G31 G35:G41</xm:sqref>
        </x14:dataValidation>
        <x14:dataValidation type="list" allowBlank="1" showInputMessage="1" showErrorMessage="1" xr:uid="{B283B497-8240-4E96-A4F3-AFE85C528C63}">
          <x14:formula1>
            <xm:f>base!$E$2:$E$79</xm:f>
          </x14:formula1>
          <xm:sqref>I35:I41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79"/>
  <sheetViews>
    <sheetView workbookViewId="0">
      <selection activeCell="G12" sqref="G12"/>
    </sheetView>
  </sheetViews>
  <sheetFormatPr defaultRowHeight="12.75" x14ac:dyDescent="0.2"/>
  <cols>
    <col min="1" max="1" width="13.140625" bestFit="1" customWidth="1"/>
    <col min="2" max="2" width="22.140625" bestFit="1" customWidth="1"/>
    <col min="5" max="5" width="11.5703125" customWidth="1"/>
  </cols>
  <sheetData>
    <row r="1" spans="1:5" x14ac:dyDescent="0.2">
      <c r="A1" s="38" t="s">
        <v>24</v>
      </c>
      <c r="B1" s="38" t="s">
        <v>25</v>
      </c>
      <c r="E1" s="38" t="s">
        <v>44</v>
      </c>
    </row>
    <row r="2" spans="1:5" x14ac:dyDescent="0.2">
      <c r="A2" s="38" t="s">
        <v>12</v>
      </c>
      <c r="B2" s="38" t="s">
        <v>26</v>
      </c>
      <c r="E2" t="s">
        <v>45</v>
      </c>
    </row>
    <row r="3" spans="1:5" x14ac:dyDescent="0.2">
      <c r="A3" s="38" t="s">
        <v>17</v>
      </c>
      <c r="B3" s="38" t="s">
        <v>27</v>
      </c>
      <c r="E3" t="s">
        <v>46</v>
      </c>
    </row>
    <row r="4" spans="1:5" x14ac:dyDescent="0.2">
      <c r="A4" s="38" t="s">
        <v>18</v>
      </c>
      <c r="B4" s="38" t="s">
        <v>28</v>
      </c>
      <c r="E4" t="s">
        <v>47</v>
      </c>
    </row>
    <row r="5" spans="1:5" x14ac:dyDescent="0.2">
      <c r="A5" s="38" t="s">
        <v>15</v>
      </c>
      <c r="B5" s="38" t="s">
        <v>29</v>
      </c>
      <c r="E5" t="s">
        <v>48</v>
      </c>
    </row>
    <row r="6" spans="1:5" x14ac:dyDescent="0.2">
      <c r="A6" s="38" t="s">
        <v>13</v>
      </c>
      <c r="B6" s="38" t="s">
        <v>13</v>
      </c>
      <c r="E6" t="s">
        <v>49</v>
      </c>
    </row>
    <row r="7" spans="1:5" x14ac:dyDescent="0.2">
      <c r="A7" s="38" t="s">
        <v>23</v>
      </c>
      <c r="B7" s="38" t="s">
        <v>30</v>
      </c>
      <c r="E7" t="s">
        <v>50</v>
      </c>
    </row>
    <row r="8" spans="1:5" x14ac:dyDescent="0.2">
      <c r="A8" t="s">
        <v>32</v>
      </c>
      <c r="B8" t="s">
        <v>33</v>
      </c>
      <c r="E8" t="s">
        <v>51</v>
      </c>
    </row>
    <row r="9" spans="1:5" x14ac:dyDescent="0.2">
      <c r="A9" s="38" t="s">
        <v>42</v>
      </c>
      <c r="B9" s="38" t="s">
        <v>43</v>
      </c>
      <c r="E9" t="s">
        <v>52</v>
      </c>
    </row>
    <row r="10" spans="1:5" x14ac:dyDescent="0.2">
      <c r="E10" t="s">
        <v>53</v>
      </c>
    </row>
    <row r="11" spans="1:5" x14ac:dyDescent="0.2">
      <c r="E11" t="s">
        <v>54</v>
      </c>
    </row>
    <row r="12" spans="1:5" x14ac:dyDescent="0.2">
      <c r="E12" t="s">
        <v>55</v>
      </c>
    </row>
    <row r="13" spans="1:5" x14ac:dyDescent="0.2">
      <c r="E13" t="s">
        <v>56</v>
      </c>
    </row>
    <row r="14" spans="1:5" x14ac:dyDescent="0.2">
      <c r="E14" t="s">
        <v>57</v>
      </c>
    </row>
    <row r="15" spans="1:5" x14ac:dyDescent="0.2">
      <c r="E15" t="s">
        <v>58</v>
      </c>
    </row>
    <row r="16" spans="1:5" x14ac:dyDescent="0.2">
      <c r="E16" t="s">
        <v>59</v>
      </c>
    </row>
    <row r="17" spans="5:5" x14ac:dyDescent="0.2">
      <c r="E17" t="s">
        <v>60</v>
      </c>
    </row>
    <row r="18" spans="5:5" x14ac:dyDescent="0.2">
      <c r="E18" t="s">
        <v>61</v>
      </c>
    </row>
    <row r="19" spans="5:5" x14ac:dyDescent="0.2">
      <c r="E19" t="s">
        <v>62</v>
      </c>
    </row>
    <row r="20" spans="5:5" x14ac:dyDescent="0.2">
      <c r="E20" t="s">
        <v>63</v>
      </c>
    </row>
    <row r="21" spans="5:5" x14ac:dyDescent="0.2">
      <c r="E21" t="s">
        <v>64</v>
      </c>
    </row>
    <row r="22" spans="5:5" x14ac:dyDescent="0.2">
      <c r="E22" t="s">
        <v>65</v>
      </c>
    </row>
    <row r="23" spans="5:5" x14ac:dyDescent="0.2">
      <c r="E23" t="s">
        <v>66</v>
      </c>
    </row>
    <row r="24" spans="5:5" x14ac:dyDescent="0.2">
      <c r="E24" t="s">
        <v>67</v>
      </c>
    </row>
    <row r="25" spans="5:5" x14ac:dyDescent="0.2">
      <c r="E25" t="s">
        <v>68</v>
      </c>
    </row>
    <row r="26" spans="5:5" x14ac:dyDescent="0.2">
      <c r="E26" t="s">
        <v>69</v>
      </c>
    </row>
    <row r="27" spans="5:5" x14ac:dyDescent="0.2">
      <c r="E27" t="s">
        <v>70</v>
      </c>
    </row>
    <row r="28" spans="5:5" x14ac:dyDescent="0.2">
      <c r="E28" t="s">
        <v>71</v>
      </c>
    </row>
    <row r="29" spans="5:5" x14ac:dyDescent="0.2">
      <c r="E29" t="s">
        <v>72</v>
      </c>
    </row>
    <row r="30" spans="5:5" x14ac:dyDescent="0.2">
      <c r="E30" t="s">
        <v>73</v>
      </c>
    </row>
    <row r="31" spans="5:5" x14ac:dyDescent="0.2">
      <c r="E31" t="s">
        <v>74</v>
      </c>
    </row>
    <row r="32" spans="5:5" x14ac:dyDescent="0.2">
      <c r="E32" t="s">
        <v>75</v>
      </c>
    </row>
    <row r="33" spans="5:5" x14ac:dyDescent="0.2">
      <c r="E33" t="s">
        <v>76</v>
      </c>
    </row>
    <row r="34" spans="5:5" x14ac:dyDescent="0.2">
      <c r="E34" t="s">
        <v>77</v>
      </c>
    </row>
    <row r="35" spans="5:5" x14ac:dyDescent="0.2">
      <c r="E35" t="s">
        <v>78</v>
      </c>
    </row>
    <row r="36" spans="5:5" x14ac:dyDescent="0.2">
      <c r="E36" t="s">
        <v>79</v>
      </c>
    </row>
    <row r="37" spans="5:5" x14ac:dyDescent="0.2">
      <c r="E37" t="s">
        <v>80</v>
      </c>
    </row>
    <row r="38" spans="5:5" x14ac:dyDescent="0.2">
      <c r="E38" t="s">
        <v>81</v>
      </c>
    </row>
    <row r="39" spans="5:5" x14ac:dyDescent="0.2">
      <c r="E39" t="s">
        <v>82</v>
      </c>
    </row>
    <row r="40" spans="5:5" x14ac:dyDescent="0.2">
      <c r="E40" t="s">
        <v>83</v>
      </c>
    </row>
    <row r="41" spans="5:5" x14ac:dyDescent="0.2">
      <c r="E41" t="s">
        <v>84</v>
      </c>
    </row>
    <row r="42" spans="5:5" x14ac:dyDescent="0.2">
      <c r="E42" t="s">
        <v>85</v>
      </c>
    </row>
    <row r="43" spans="5:5" x14ac:dyDescent="0.2">
      <c r="E43" t="s">
        <v>86</v>
      </c>
    </row>
    <row r="44" spans="5:5" x14ac:dyDescent="0.2">
      <c r="E44" t="s">
        <v>87</v>
      </c>
    </row>
    <row r="45" spans="5:5" x14ac:dyDescent="0.2">
      <c r="E45" t="s">
        <v>88</v>
      </c>
    </row>
    <row r="46" spans="5:5" x14ac:dyDescent="0.2">
      <c r="E46" t="s">
        <v>89</v>
      </c>
    </row>
    <row r="47" spans="5:5" x14ac:dyDescent="0.2">
      <c r="E47" t="s">
        <v>90</v>
      </c>
    </row>
    <row r="48" spans="5:5" x14ac:dyDescent="0.2">
      <c r="E48" t="s">
        <v>91</v>
      </c>
    </row>
    <row r="49" spans="5:5" x14ac:dyDescent="0.2">
      <c r="E49" t="s">
        <v>92</v>
      </c>
    </row>
    <row r="50" spans="5:5" x14ac:dyDescent="0.2">
      <c r="E50" t="s">
        <v>93</v>
      </c>
    </row>
    <row r="51" spans="5:5" x14ac:dyDescent="0.2">
      <c r="E51" t="s">
        <v>94</v>
      </c>
    </row>
    <row r="52" spans="5:5" x14ac:dyDescent="0.2">
      <c r="E52" t="s">
        <v>95</v>
      </c>
    </row>
    <row r="53" spans="5:5" x14ac:dyDescent="0.2">
      <c r="E53" t="s">
        <v>96</v>
      </c>
    </row>
    <row r="54" spans="5:5" x14ac:dyDescent="0.2">
      <c r="E54" t="s">
        <v>97</v>
      </c>
    </row>
    <row r="55" spans="5:5" x14ac:dyDescent="0.2">
      <c r="E55" t="s">
        <v>98</v>
      </c>
    </row>
    <row r="56" spans="5:5" x14ac:dyDescent="0.2">
      <c r="E56" t="s">
        <v>99</v>
      </c>
    </row>
    <row r="57" spans="5:5" x14ac:dyDescent="0.2">
      <c r="E57" t="s">
        <v>100</v>
      </c>
    </row>
    <row r="58" spans="5:5" x14ac:dyDescent="0.2">
      <c r="E58" t="s">
        <v>101</v>
      </c>
    </row>
    <row r="59" spans="5:5" x14ac:dyDescent="0.2">
      <c r="E59" t="s">
        <v>102</v>
      </c>
    </row>
    <row r="60" spans="5:5" x14ac:dyDescent="0.2">
      <c r="E60" t="s">
        <v>103</v>
      </c>
    </row>
    <row r="61" spans="5:5" x14ac:dyDescent="0.2">
      <c r="E61" t="s">
        <v>104</v>
      </c>
    </row>
    <row r="62" spans="5:5" x14ac:dyDescent="0.2">
      <c r="E62" t="s">
        <v>105</v>
      </c>
    </row>
    <row r="63" spans="5:5" x14ac:dyDescent="0.2">
      <c r="E63" t="s">
        <v>106</v>
      </c>
    </row>
    <row r="64" spans="5:5" x14ac:dyDescent="0.2">
      <c r="E64" t="s">
        <v>107</v>
      </c>
    </row>
    <row r="65" spans="5:5" x14ac:dyDescent="0.2">
      <c r="E65" t="s">
        <v>108</v>
      </c>
    </row>
    <row r="66" spans="5:5" x14ac:dyDescent="0.2">
      <c r="E66" t="s">
        <v>109</v>
      </c>
    </row>
    <row r="67" spans="5:5" x14ac:dyDescent="0.2">
      <c r="E67" t="s">
        <v>110</v>
      </c>
    </row>
    <row r="68" spans="5:5" x14ac:dyDescent="0.2">
      <c r="E68" t="s">
        <v>111</v>
      </c>
    </row>
    <row r="69" spans="5:5" x14ac:dyDescent="0.2">
      <c r="E69" t="s">
        <v>112</v>
      </c>
    </row>
    <row r="70" spans="5:5" x14ac:dyDescent="0.2">
      <c r="E70" t="s">
        <v>113</v>
      </c>
    </row>
    <row r="71" spans="5:5" x14ac:dyDescent="0.2">
      <c r="E71" t="s">
        <v>114</v>
      </c>
    </row>
    <row r="72" spans="5:5" x14ac:dyDescent="0.2">
      <c r="E72" t="s">
        <v>115</v>
      </c>
    </row>
    <row r="73" spans="5:5" x14ac:dyDescent="0.2">
      <c r="E73" t="s">
        <v>116</v>
      </c>
    </row>
    <row r="74" spans="5:5" x14ac:dyDescent="0.2">
      <c r="E74" t="s">
        <v>117</v>
      </c>
    </row>
    <row r="75" spans="5:5" x14ac:dyDescent="0.2">
      <c r="E75" t="s">
        <v>118</v>
      </c>
    </row>
    <row r="76" spans="5:5" x14ac:dyDescent="0.2">
      <c r="E76" t="s">
        <v>119</v>
      </c>
    </row>
    <row r="77" spans="5:5" x14ac:dyDescent="0.2">
      <c r="E77" t="s">
        <v>120</v>
      </c>
    </row>
    <row r="78" spans="5:5" x14ac:dyDescent="0.2">
      <c r="E78" t="s">
        <v>121</v>
      </c>
    </row>
    <row r="79" spans="5:5" x14ac:dyDescent="0.2">
      <c r="E79" t="s">
        <v>122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498805-5990-423E-8B82-605B2B196B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33</vt:i4>
      </vt:variant>
    </vt:vector>
  </HeadingPairs>
  <TitlesOfParts>
    <vt:vector size="33" baseType="lpstr">
      <vt:lpstr>resumo_cx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ANALISE DE BALANÇO</dc:title>
  <dc:subject>ANALISE DE BALANÇO DE 5 ANOS</dc:subject>
  <dc:creator>Marcelo</dc:creator>
  <cp:keywords/>
  <dc:description/>
  <cp:lastModifiedBy>DCL - Kayllaine</cp:lastModifiedBy>
  <cp:revision/>
  <cp:lastPrinted>2023-11-30T19:51:48Z</cp:lastPrinted>
  <dcterms:created xsi:type="dcterms:W3CDTF">2004-04-07T20:43:43Z</dcterms:created>
  <dcterms:modified xsi:type="dcterms:W3CDTF">2024-09-26T18:46:44Z</dcterms:modified>
  <cp:category/>
  <cp:contentStatus/>
</cp:coreProperties>
</file>