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1057" documentId="13_ncr:1_{0402BA61-346E-4614-9EF8-32644BD0418E}" xr6:coauthVersionLast="47" xr6:coauthVersionMax="47" xr10:uidLastSave="{DB47E3B6-3F5E-488A-AC74-CDC1BC6A8C38}"/>
  <bookViews>
    <workbookView xWindow="-120" yWindow="330" windowWidth="20730" windowHeight="11310" tabRatio="895" firstSheet="10" activeTab="2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Planilha1" sheetId="201" r:id="rId33"/>
    <sheet name="Planilha2" sheetId="202" r:id="rId34"/>
    <sheet name="base" sheetId="36" state="hidden" r:id="rId35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R7" i="190"/>
  <c r="R8" i="190"/>
  <c r="R12" i="190"/>
  <c r="R16" i="190"/>
  <c r="R20" i="190"/>
  <c r="C12" i="188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6" i="185" s="1"/>
  <c r="O11" i="185" s="1"/>
  <c r="C11" i="186"/>
  <c r="C16" i="186" s="1"/>
  <c r="O11" i="186" s="1"/>
  <c r="C11" i="187"/>
  <c r="C11" i="189"/>
  <c r="C11" i="190"/>
  <c r="C16" i="190" s="1"/>
  <c r="O11" i="190" s="1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8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8" i="193" s="1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 s="1"/>
  <c r="C5" i="181"/>
  <c r="C22" i="181"/>
  <c r="C5" i="179"/>
  <c r="C5" i="184"/>
  <c r="C22" i="184"/>
  <c r="C5" i="185"/>
  <c r="C22" i="185"/>
  <c r="C5" i="186"/>
  <c r="C22" i="186"/>
  <c r="C5" i="187"/>
  <c r="C22" i="187" s="1"/>
  <c r="C5" i="189"/>
  <c r="C22" i="189" s="1"/>
  <c r="C5" i="190"/>
  <c r="C22" i="190" s="1"/>
  <c r="C5" i="191"/>
  <c r="C22" i="191"/>
  <c r="C5" i="188"/>
  <c r="C22" i="188"/>
  <c r="C5" i="193"/>
  <c r="C22" i="193"/>
  <c r="C5" i="195"/>
  <c r="C22" i="195"/>
  <c r="C5" i="194"/>
  <c r="C22" i="194"/>
  <c r="C5" i="197"/>
  <c r="C22" i="197" s="1"/>
  <c r="C5" i="196"/>
  <c r="C22" i="196" s="1"/>
  <c r="C5" i="192"/>
  <c r="C22" i="192"/>
  <c r="C5" i="199"/>
  <c r="C22" i="199"/>
  <c r="C5" i="198"/>
  <c r="C22" i="198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8" i="183" s="1"/>
  <c r="C6" i="181"/>
  <c r="C6" i="179"/>
  <c r="C8" i="179" s="1"/>
  <c r="C6" i="184"/>
  <c r="C6" i="185"/>
  <c r="C6" i="186"/>
  <c r="C6" i="187"/>
  <c r="C8" i="187" s="1"/>
  <c r="C6" i="189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/>
  <c r="C6" i="198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19" i="190"/>
  <c r="C19" i="190"/>
  <c r="C20" i="190"/>
  <c r="B19" i="190"/>
  <c r="R18" i="190"/>
  <c r="R17" i="190"/>
  <c r="R15" i="190"/>
  <c r="R14" i="190"/>
  <c r="R13" i="190"/>
  <c r="R11" i="190"/>
  <c r="R10" i="190"/>
  <c r="R9" i="190"/>
  <c r="R6" i="190"/>
  <c r="R40" i="190" s="1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40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40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40" i="179" s="1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86"/>
  <c r="C8" i="173"/>
  <c r="C8" i="176"/>
  <c r="C8" i="192"/>
  <c r="C8" i="175"/>
  <c r="R40" i="194"/>
  <c r="C8" i="191"/>
  <c r="R40" i="198"/>
  <c r="B17" i="200"/>
  <c r="B18" i="200"/>
  <c r="R40" i="191"/>
  <c r="R40" i="193"/>
  <c r="R40" i="195"/>
  <c r="R40" i="180"/>
  <c r="R40" i="186"/>
  <c r="R40" i="188"/>
  <c r="R40" i="199"/>
  <c r="C8" i="188"/>
  <c r="C16" i="170"/>
  <c r="O11" i="170"/>
  <c r="R40" i="170"/>
  <c r="C16" i="175"/>
  <c r="O11" i="175"/>
  <c r="R40" i="175"/>
  <c r="R40" i="184"/>
  <c r="R40" i="177"/>
  <c r="R40" i="178"/>
  <c r="R40" i="172"/>
  <c r="R40" i="173"/>
  <c r="R40" i="174"/>
  <c r="R40" i="176"/>
  <c r="C16" i="171"/>
  <c r="O11" i="171"/>
  <c r="R40" i="171"/>
  <c r="B5" i="200"/>
  <c r="C16" i="188"/>
  <c r="O11" i="188"/>
  <c r="C8" i="195"/>
  <c r="C8" i="178"/>
  <c r="C8" i="198"/>
  <c r="C8" i="185"/>
  <c r="C8" i="181"/>
  <c r="C8" i="170"/>
  <c r="C8" i="177"/>
  <c r="C16" i="198"/>
  <c r="O11" i="198"/>
  <c r="C16" i="192"/>
  <c r="O11" i="192"/>
  <c r="C16" i="193"/>
  <c r="O11" i="193"/>
  <c r="C16" i="191"/>
  <c r="O11" i="191"/>
  <c r="C16" i="184"/>
  <c r="O11" i="184"/>
  <c r="C8" i="184"/>
  <c r="C16" i="181"/>
  <c r="O11" i="181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 s="1"/>
  <c r="B1" i="195" s="1"/>
  <c r="B1" i="194" s="1"/>
  <c r="B1" i="197" s="1"/>
  <c r="B1" i="196" s="1"/>
  <c r="B1" i="192" s="1"/>
  <c r="B1" i="199" s="1"/>
  <c r="B1" i="198" s="1"/>
  <c r="C16" i="199" l="1"/>
  <c r="O11" i="199" s="1"/>
  <c r="C16" i="196"/>
  <c r="O11" i="196" s="1"/>
  <c r="R40" i="196"/>
  <c r="C16" i="197"/>
  <c r="O11" i="197" s="1"/>
  <c r="C16" i="194"/>
  <c r="O11" i="194" s="1"/>
  <c r="B13" i="200"/>
  <c r="C8" i="189"/>
  <c r="B10" i="200"/>
  <c r="C16" i="189"/>
  <c r="O11" i="189" s="1"/>
  <c r="C16" i="187"/>
  <c r="O11" i="187" s="1"/>
  <c r="B11" i="200"/>
  <c r="B12" i="200"/>
  <c r="B3" i="200"/>
  <c r="C16" i="183"/>
  <c r="O11" i="183" s="1"/>
  <c r="B4" i="200"/>
  <c r="B6" i="200" s="1"/>
  <c r="C16" i="179"/>
  <c r="O11" i="179" s="1"/>
  <c r="C22" i="179"/>
  <c r="B9" i="200"/>
  <c r="C16" i="195"/>
  <c r="O11" i="195" s="1"/>
  <c r="B14" i="200" l="1"/>
</calcChain>
</file>

<file path=xl/sharedStrings.xml><?xml version="1.0" encoding="utf-8"?>
<sst xmlns="http://schemas.openxmlformats.org/spreadsheetml/2006/main" count="1717" uniqueCount="174">
  <si>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</si>
  <si>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</si>
  <si>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</si>
  <si>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</si>
  <si>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</si>
  <si>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</si>
  <si>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</si>
  <si>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</si>
  <si>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</si>
  <si>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</si>
  <si>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</si>
  <si>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</si>
  <si>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</si>
  <si>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 - Escritório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</si>
  <si>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</si>
  <si>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</si>
  <si>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</si>
  <si>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</si>
  <si>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</si>
  <si>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</si>
  <si>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</si>
  <si>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ISSABELLA MONTENEGRO DE MEDEIROS</t>
  </si>
  <si>
    <t>RODRIGO JOSE MONTENEGRO RAMOS</t>
  </si>
  <si>
    <t>Total  entrada</t>
  </si>
  <si>
    <t>ROSELI APARECIDA NUMES ROSA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</si>
  <si>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</si>
  <si>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</si>
  <si>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</si>
  <si>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</si>
  <si>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</si>
  <si>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</si>
  <si>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</si>
  <si>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</si>
  <si>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</si>
  <si>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</si>
  <si>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</si>
  <si>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 xml:space="preserve">IVANI DIAS DE OLIVEIRA </t>
  </si>
  <si>
    <t>PARC. 2/5</t>
  </si>
  <si>
    <t>Total de OS</t>
  </si>
  <si>
    <t>Fechamento Diário do Caixa</t>
  </si>
  <si>
    <t xml:space="preserve"> V</t>
  </si>
  <si>
    <t>ROBERTO RODRIGUES MORATO</t>
  </si>
  <si>
    <t xml:space="preserve">AGUA </t>
  </si>
  <si>
    <t>FELIPE</t>
  </si>
  <si>
    <t>Não</t>
  </si>
  <si>
    <t>DAVI SILVA</t>
  </si>
  <si>
    <t>MATEUS SILVA</t>
  </si>
  <si>
    <t>PEDRO HENRIQUE ARMILATO DOS SANTOS</t>
  </si>
  <si>
    <t>PARC. 1/6</t>
  </si>
  <si>
    <t>ROQUE SOARES DE SENA</t>
  </si>
  <si>
    <t>Sim</t>
  </si>
  <si>
    <t xml:space="preserve"> </t>
  </si>
  <si>
    <t xml:space="preserve">        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</si>
  <si>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</si>
  <si>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</si>
  <si>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</si>
  <si>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</si>
  <si>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</si>
  <si>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</si>
  <si>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</si>
  <si>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</si>
  <si>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</si>
  <si>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</si>
  <si>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</si>
  <si>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</si>
  <si>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SS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</si>
  <si>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</si>
  <si>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</si>
  <si>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</si>
  <si>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</si>
  <si>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</si>
  <si>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</si>
  <si>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</si>
  <si>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</si>
  <si>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</si>
  <si>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</si>
  <si>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3/5</t>
  </si>
  <si>
    <t>PARC. 4/5</t>
  </si>
  <si>
    <t>PARC. 5/5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</si>
  <si>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</si>
  <si>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</si>
  <si>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</si>
  <si>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</si>
  <si>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</si>
  <si>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</si>
  <si>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</si>
  <si>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</si>
  <si>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</si>
  <si>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</si>
  <si>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</si>
  <si>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</si>
  <si>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</si>
  <si>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</si>
  <si>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</si>
  <si>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</si>
  <si>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</si>
  <si>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</si>
  <si>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</si>
  <si>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</si>
  <si>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</si>
  <si>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</si>
  <si>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</si>
  <si>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</si>
  <si>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</si>
  <si>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</si>
  <si>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</si>
  <si>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</si>
  <si>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</si>
  <si>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</si>
  <si>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</si>
  <si>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</si>
  <si>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</si>
  <si>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</si>
  <si>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</si>
  <si>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</si>
  <si>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</si>
  <si>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</si>
  <si>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</si>
  <si>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</si>
  <si>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</si>
  <si>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</si>
  <si>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</si>
  <si>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</si>
  <si>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</si>
  <si>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</si>
  <si>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</si>
  <si>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</si>
  <si>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</si>
  <si>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</si>
  <si>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</si>
  <si>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</si>
  <si>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</si>
  <si>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</si>
  <si>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</si>
  <si>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</si>
  <si>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</si>
  <si>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</si>
  <si>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</si>
  <si>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</si>
  <si>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</si>
  <si>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</si>
  <si>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CLAUDETE ZAPATER TEODORO</t>
  </si>
  <si>
    <t>ROSEMEIRE SANT ANA</t>
  </si>
  <si>
    <t>HERCULANO DA SILVA</t>
  </si>
  <si>
    <t>ROZENI MENDES SOUZA SILVA</t>
  </si>
  <si>
    <t>FELIPE MIRANDA</t>
  </si>
  <si>
    <t>JOSE EDUARDO HOHNE</t>
  </si>
  <si>
    <t>CLARISSA MARINS RODRIGUES</t>
  </si>
  <si>
    <t>2K CONSERTOS</t>
  </si>
  <si>
    <t>EVERTON DONHA</t>
  </si>
  <si>
    <t>TALITHA CECILIA LAU COSTA SOUZA</t>
  </si>
  <si>
    <t>GERRALDO CONRADO DOS SANTOS</t>
  </si>
  <si>
    <t>BENEDITA APARECIDA CALDOMANIS DE MELLO</t>
  </si>
  <si>
    <t xml:space="preserve">CRISTIANE APARECIDA DE MELLO FERNANDES </t>
  </si>
  <si>
    <t>VALERIA DA SILVA PINTO</t>
  </si>
  <si>
    <t xml:space="preserve">DONIZETE RIBEIRO DE OLIVEIRA </t>
  </si>
  <si>
    <t>EDUARDO BOAVENTURA DA CRUZ</t>
  </si>
  <si>
    <t>LETICIA CRISTINA VITURIANO</t>
  </si>
  <si>
    <t>ADRIANA ALVES DOS SANTOS</t>
  </si>
  <si>
    <t>2 K</t>
  </si>
  <si>
    <t>TROCA DE MOLA</t>
  </si>
  <si>
    <t>RAHYANE FREITA VEIRA</t>
  </si>
  <si>
    <t>Kayllaine Pereira Alves de Araujo</t>
  </si>
  <si>
    <t>ROSELI APARECIDA NUNES ROSA</t>
  </si>
  <si>
    <t>GERALDO CONRADO DOS SANTOS</t>
  </si>
  <si>
    <t>MARIA ZULEIDE BARBOSA</t>
  </si>
  <si>
    <t>ANTONIO ESTANISLAU DA SILVEIRA</t>
  </si>
  <si>
    <t>VALDECIR SOUZA LIMA</t>
  </si>
  <si>
    <t>ANTONIO MARCOS DA SILVA</t>
  </si>
  <si>
    <t>ELIZABATE SILVA RODRIGUES</t>
  </si>
  <si>
    <t xml:space="preserve">RAIMUNDO NONATO JARDIM RODRIGUES </t>
  </si>
  <si>
    <t>EDNA FERREIRA PIRES</t>
  </si>
  <si>
    <t>WEVILLY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</si>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</sst>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20"/>
      <name val="Arial Black"/>
      <family val="2"/>
    </font>
    <font>
      <u/>
      <sz val="24"/>
      <name val="Castellar"/>
      <family val="1"/>
    </font>
    <font>
      <sz val="24"/>
      <name val="Castellar"/>
      <family val="1"/>
    </font>
    <font>
      <b/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Arial Black"/>
      <family val="2"/>
    </font>
    <font>
      <sz val="12"/>
      <name val="Arial Black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3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2" borderId="0"/>
    <xf numFmtId="0" fontId="15" fillId="3" borderId="0"/>
    <xf numFmtId="0" fontId="14" fillId="0" borderId="0" applyNumberFormat="0" applyBorder="0" applyAlignment="0" applyProtection="0"/>
    <xf numFmtId="44" fontId="18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22" fillId="4" borderId="14">
      <alignment horizontal="center"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 applyNumberFormat="0" applyBorder="0" applyAlignment="0" applyProtection="0"/>
    <xf numFmtId="44" fontId="18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3" fillId="0" borderId="15">
      <alignment horizontal="left" vertical="center" indent="2"/>
    </xf>
    <xf numFmtId="9" fontId="6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8" fontId="26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18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 applyAlignment="1">
      <alignment horizontal="center"/>
    </xf>
    <xf numFmtId="165" fontId="12" fillId="5" borderId="13" xfId="0" applyNumberFormat="1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4" fontId="12" fillId="5" borderId="10" xfId="2" applyFont="1" applyFill="1" applyBorder="1" applyAlignment="1">
      <alignment horizontal="center"/>
    </xf>
    <xf numFmtId="164" fontId="12" fillId="5" borderId="13" xfId="2" applyFont="1" applyFill="1" applyBorder="1" applyAlignment="1">
      <alignment horizontal="center"/>
    </xf>
    <xf numFmtId="165" fontId="12" fillId="5" borderId="13" xfId="4" applyNumberFormat="1" applyFont="1" applyFill="1" applyBorder="1" applyAlignment="1">
      <alignment horizontal="center"/>
    </xf>
    <xf numFmtId="165" fontId="12" fillId="5" borderId="9" xfId="4" applyNumberFormat="1" applyFont="1" applyFill="1" applyBorder="1" applyAlignment="1">
      <alignment horizontal="center"/>
    </xf>
    <xf numFmtId="165" fontId="12" fillId="5" borderId="10" xfId="0" applyNumberFormat="1" applyFont="1" applyFill="1" applyBorder="1" applyAlignment="1">
      <alignment horizontal="center"/>
    </xf>
    <xf numFmtId="165" fontId="12" fillId="5" borderId="9" xfId="0" applyNumberFormat="1" applyFont="1" applyFill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21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0" fontId="5" fillId="0" borderId="0" xfId="0" applyFont="1"/>
    <xf numFmtId="164" fontId="21" fillId="0" borderId="17" xfId="2" applyFont="1" applyFill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64" fontId="27" fillId="0" borderId="17" xfId="2" applyFont="1" applyFill="1" applyBorder="1" applyAlignment="1">
      <alignment horizontal="center"/>
    </xf>
    <xf numFmtId="165" fontId="21" fillId="0" borderId="17" xfId="0" applyNumberFormat="1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4" fontId="28" fillId="0" borderId="0" xfId="0" applyNumberFormat="1" applyFont="1" applyAlignment="1">
      <alignment horizontal="center"/>
    </xf>
    <xf numFmtId="14" fontId="30" fillId="0" borderId="0" xfId="0" applyNumberFormat="1" applyFont="1" applyAlignment="1">
      <alignment horizontal="center"/>
    </xf>
    <xf numFmtId="14" fontId="31" fillId="0" borderId="0" xfId="0" applyNumberFormat="1" applyFont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0" fontId="33" fillId="0" borderId="17" xfId="0" applyFont="1" applyBorder="1" applyAlignment="1">
      <alignment horizontal="center"/>
    </xf>
    <xf numFmtId="164" fontId="11" fillId="0" borderId="17" xfId="2" applyFont="1" applyFill="1" applyBorder="1" applyAlignment="1">
      <alignment horizontal="center"/>
    </xf>
    <xf numFmtId="165" fontId="11" fillId="0" borderId="17" xfId="4" applyNumberFormat="1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11" fillId="0" borderId="17" xfId="0" applyNumberFormat="1" applyFont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164" fontId="34" fillId="0" borderId="2" xfId="2" applyFont="1" applyFill="1" applyBorder="1" applyAlignment="1">
      <alignment horizontal="center"/>
    </xf>
    <xf numFmtId="164" fontId="34" fillId="0" borderId="0" xfId="2" applyFont="1" applyFill="1" applyBorder="1" applyAlignment="1">
      <alignment horizontal="center"/>
    </xf>
    <xf numFmtId="165" fontId="34" fillId="0" borderId="11" xfId="4" applyNumberFormat="1" applyFont="1" applyFill="1" applyBorder="1" applyAlignment="1">
      <alignment horizontal="center"/>
    </xf>
    <xf numFmtId="165" fontId="34" fillId="0" borderId="0" xfId="4" applyNumberFormat="1" applyFont="1" applyFill="1" applyBorder="1" applyAlignment="1">
      <alignment horizontal="center"/>
    </xf>
    <xf numFmtId="164" fontId="21" fillId="0" borderId="3" xfId="2" applyFont="1" applyFill="1" applyBorder="1" applyAlignment="1">
      <alignment horizontal="center"/>
    </xf>
    <xf numFmtId="0" fontId="35" fillId="0" borderId="17" xfId="0" applyFont="1" applyBorder="1" applyAlignment="1">
      <alignment horizontal="center"/>
    </xf>
    <xf numFmtId="164" fontId="35" fillId="0" borderId="2" xfId="2" applyFont="1" applyFill="1" applyBorder="1" applyAlignment="1">
      <alignment horizontal="center"/>
    </xf>
    <xf numFmtId="164" fontId="35" fillId="0" borderId="0" xfId="2" applyFont="1" applyFill="1" applyBorder="1" applyAlignment="1">
      <alignment horizontal="center"/>
    </xf>
    <xf numFmtId="165" fontId="35" fillId="0" borderId="11" xfId="4" applyNumberFormat="1" applyFont="1" applyFill="1" applyBorder="1" applyAlignment="1">
      <alignment horizontal="center"/>
    </xf>
    <xf numFmtId="165" fontId="35" fillId="0" borderId="0" xfId="4" applyNumberFormat="1" applyFont="1" applyFill="1" applyBorder="1" applyAlignment="1">
      <alignment horizontal="center"/>
    </xf>
    <xf numFmtId="0" fontId="35" fillId="0" borderId="3" xfId="0" applyFont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0" fontId="21" fillId="0" borderId="0" xfId="0" applyFont="1"/>
    <xf numFmtId="0" fontId="5" fillId="0" borderId="0" xfId="0" applyFont="1" applyAlignment="1">
      <alignment horizontal="center"/>
    </xf>
    <xf numFmtId="164" fontId="5" fillId="0" borderId="0" xfId="2" applyFont="1" applyFill="1" applyBorder="1" applyAlignment="1">
      <alignment horizontal="center"/>
    </xf>
    <xf numFmtId="165" fontId="5" fillId="0" borderId="0" xfId="4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7" fillId="7" borderId="6" xfId="0" applyFont="1" applyFill="1" applyBorder="1" applyAlignment="1">
      <alignment horizontal="center"/>
    </xf>
    <xf numFmtId="165" fontId="37" fillId="7" borderId="8" xfId="0" applyNumberFormat="1" applyFont="1" applyFill="1" applyBorder="1" applyAlignment="1">
      <alignment horizontal="center"/>
    </xf>
    <xf numFmtId="164" fontId="5" fillId="5" borderId="0" xfId="2" applyFont="1" applyFill="1" applyBorder="1" applyAlignment="1">
      <alignment horizontal="center"/>
    </xf>
    <xf numFmtId="164" fontId="37" fillId="7" borderId="6" xfId="2" applyFont="1" applyFill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65" fontId="5" fillId="0" borderId="11" xfId="4" applyNumberFormat="1" applyFont="1" applyFill="1" applyBorder="1" applyAlignment="1">
      <alignment horizontal="center"/>
    </xf>
    <xf numFmtId="0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165" fontId="35" fillId="0" borderId="0" xfId="0" applyNumberFormat="1" applyFont="1" applyAlignment="1">
      <alignment horizontal="center"/>
    </xf>
    <xf numFmtId="44" fontId="21" fillId="0" borderId="17" xfId="39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35" fillId="0" borderId="17" xfId="4" applyNumberFormat="1" applyFont="1" applyFill="1" applyBorder="1" applyAlignment="1">
      <alignment horizontal="center"/>
    </xf>
    <xf numFmtId="0" fontId="35" fillId="0" borderId="13" xfId="0" applyFont="1" applyBorder="1" applyAlignment="1">
      <alignment horizontal="center"/>
    </xf>
    <xf numFmtId="164" fontId="21" fillId="0" borderId="13" xfId="2" applyFont="1" applyFill="1" applyBorder="1" applyAlignment="1">
      <alignment horizontal="center"/>
    </xf>
    <xf numFmtId="164" fontId="12" fillId="0" borderId="13" xfId="2" applyFont="1" applyFill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165" fontId="35" fillId="0" borderId="17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44" fontId="12" fillId="0" borderId="13" xfId="39" applyFont="1" applyFill="1" applyBorder="1" applyAlignment="1">
      <alignment horizontal="center"/>
    </xf>
    <xf numFmtId="165" fontId="35" fillId="0" borderId="9" xfId="0" applyNumberFormat="1" applyFont="1" applyBorder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37" fillId="7" borderId="6" xfId="2" applyFont="1" applyFill="1" applyBorder="1" applyAlignment="1" applyProtection="1">
      <alignment horizontal="center"/>
    </xf>
    <xf numFmtId="44" fontId="11" fillId="0" borderId="17" xfId="39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65" fontId="40" fillId="0" borderId="0" xfId="0" applyNumberFormat="1" applyFont="1" applyAlignment="1">
      <alignment horizontal="center"/>
    </xf>
    <xf numFmtId="164" fontId="33" fillId="0" borderId="17" xfId="2" applyFont="1" applyFill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164" fontId="11" fillId="0" borderId="3" xfId="2" applyFont="1" applyFill="1" applyBorder="1" applyAlignment="1">
      <alignment horizontal="center"/>
    </xf>
    <xf numFmtId="165" fontId="11" fillId="0" borderId="3" xfId="4" applyNumberFormat="1" applyFont="1" applyFill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65" fontId="33" fillId="0" borderId="17" xfId="0" applyNumberFormat="1" applyFont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64" fontId="34" fillId="0" borderId="3" xfId="2" applyFont="1" applyFill="1" applyBorder="1" applyAlignment="1">
      <alignment horizontal="center"/>
    </xf>
    <xf numFmtId="165" fontId="34" fillId="0" borderId="3" xfId="4" applyNumberFormat="1" applyFont="1" applyFill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165" fontId="34" fillId="0" borderId="0" xfId="0" applyNumberFormat="1" applyFont="1" applyAlignment="1">
      <alignment horizontal="center"/>
    </xf>
    <xf numFmtId="164" fontId="41" fillId="0" borderId="17" xfId="2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5" fontId="43" fillId="0" borderId="17" xfId="0" applyNumberFormat="1" applyFont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0" fontId="42" fillId="0" borderId="0" xfId="0" applyFont="1" applyAlignment="1">
      <alignment horizontal="center"/>
    </xf>
    <xf numFmtId="165" fontId="44" fillId="0" borderId="0" xfId="0" applyNumberFormat="1" applyFont="1" applyAlignment="1">
      <alignment horizontal="center"/>
    </xf>
    <xf numFmtId="164" fontId="33" fillId="0" borderId="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5" fillId="7" borderId="3" xfId="0" applyFont="1" applyFill="1" applyBorder="1" applyAlignment="1">
      <alignment horizontal="center"/>
    </xf>
    <xf numFmtId="165" fontId="15" fillId="7" borderId="5" xfId="0" applyNumberFormat="1" applyFont="1" applyFill="1" applyBorder="1" applyAlignment="1">
      <alignment horizontal="center"/>
    </xf>
    <xf numFmtId="165" fontId="15" fillId="7" borderId="4" xfId="0" applyNumberFormat="1" applyFont="1" applyFill="1" applyBorder="1" applyAlignment="1">
      <alignment horizontal="center"/>
    </xf>
    <xf numFmtId="165" fontId="15" fillId="7" borderId="12" xfId="0" applyNumberFormat="1" applyFont="1" applyFill="1" applyBorder="1" applyAlignment="1">
      <alignment horizontal="center"/>
    </xf>
    <xf numFmtId="0" fontId="36" fillId="7" borderId="6" xfId="0" applyFont="1" applyFill="1" applyBorder="1" applyAlignment="1">
      <alignment horizontal="center" vertical="center"/>
    </xf>
    <xf numFmtId="0" fontId="36" fillId="7" borderId="7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H18"/>
  <sheetViews>
    <sheetView workbookViewId="0">
      <selection activeCell="G19" sqref="G19"/>
    </sheetView>
  </sheetViews>
  <sheetFormatPr defaultColWidth="21.28515625" defaultRowHeight="12.75" x14ac:dyDescent="0.2"/>
  <cols>
    <col min="1" max="1" width="21.28515625" style="24"/>
    <col min="2" max="2" width="22.7109375" style="24" customWidth="1"/>
    <col min="3" max="16384" width="21.28515625" style="24"/>
  </cols>
  <sheetData>
    <row r="2" spans="1:8" ht="15" x14ac:dyDescent="0.2">
      <c r="A2" s="62" t="s">
        <v>0</v>
      </c>
      <c r="B2" s="97">
        <v>0</v>
      </c>
    </row>
    <row r="3" spans="1:8" ht="15" x14ac:dyDescent="0.25">
      <c r="A3" s="14" t="s">
        <v>1</v>
      </c>
      <c r="B3" s="15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9710</v>
      </c>
    </row>
    <row r="4" spans="1:8" ht="15" x14ac:dyDescent="0.25">
      <c r="A4" s="14" t="s">
        <v>2</v>
      </c>
      <c r="B4" s="15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7782.8</v>
      </c>
    </row>
    <row r="5" spans="1:8" ht="15" x14ac:dyDescent="0.25">
      <c r="A5" s="14" t="s">
        <v>3</v>
      </c>
      <c r="B5" s="15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62</v>
      </c>
    </row>
    <row r="6" spans="1:8" ht="15.75" x14ac:dyDescent="0.25">
      <c r="A6" s="65" t="s">
        <v>4</v>
      </c>
      <c r="B6" s="66">
        <f>SUM(B4:B5)</f>
        <v>7844.8</v>
      </c>
    </row>
    <row r="7" spans="1:8" ht="15" x14ac:dyDescent="0.25">
      <c r="A7" s="1"/>
      <c r="B7" s="1"/>
    </row>
    <row r="8" spans="1:8" ht="15" x14ac:dyDescent="0.2">
      <c r="A8" s="123" t="s">
        <v>5</v>
      </c>
      <c r="B8" s="123"/>
    </row>
    <row r="9" spans="1:8" ht="15" x14ac:dyDescent="0.25">
      <c r="A9" s="19" t="s">
        <v>6</v>
      </c>
      <c r="B9" s="15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2659.3399999999997</v>
      </c>
    </row>
    <row r="10" spans="1:8" ht="15" x14ac:dyDescent="0.25">
      <c r="A10" s="19" t="s">
        <v>7</v>
      </c>
      <c r="B10" s="15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1518.8</v>
      </c>
    </row>
    <row r="11" spans="1:8" ht="15" x14ac:dyDescent="0.25">
      <c r="A11" s="19" t="s">
        <v>8</v>
      </c>
      <c r="B11" s="15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3467</v>
      </c>
    </row>
    <row r="12" spans="1:8" ht="15" x14ac:dyDescent="0.25">
      <c r="A12" s="19" t="s">
        <v>9</v>
      </c>
      <c r="B12" s="15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</row>
    <row r="13" spans="1:8" ht="15" x14ac:dyDescent="0.25">
      <c r="A13" s="19" t="s">
        <v>10</v>
      </c>
      <c r="B13" s="15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1887.38</v>
      </c>
    </row>
    <row r="14" spans="1:8" ht="15.75" x14ac:dyDescent="0.25">
      <c r="A14" s="65" t="s">
        <v>11</v>
      </c>
      <c r="B14" s="98">
        <f ca="1">SUM(B9:B13)</f>
        <v>9532.52</v>
      </c>
      <c r="H14" s="56"/>
    </row>
    <row r="15" spans="1:8" ht="15" x14ac:dyDescent="0.25">
      <c r="A15" s="1"/>
      <c r="B15" s="1"/>
    </row>
    <row r="16" spans="1:8" ht="15" x14ac:dyDescent="0.2">
      <c r="A16" s="123" t="s">
        <v>12</v>
      </c>
      <c r="B16" s="123"/>
    </row>
    <row r="17" spans="1:2" ht="15" x14ac:dyDescent="0.25">
      <c r="A17" s="19">
        <f>COUNT(#REF!)</f>
        <v>0</v>
      </c>
      <c r="B17" s="15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197</v>
      </c>
    </row>
    <row r="18" spans="1:2" ht="15.75" x14ac:dyDescent="0.25">
      <c r="A18" s="65" t="s">
        <v>11</v>
      </c>
      <c r="B18" s="98">
        <f>SUM(B17:B17)</f>
        <v>197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14" zoomScale="80" zoomScaleNormal="80" workbookViewId="0">
      <selection activeCell="E4" sqref="E4:I4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0.85546875" style="57" customWidth="1"/>
    <col min="5" max="5" width="15.5703125" style="58" customWidth="1"/>
    <col min="6" max="6" width="39.140625" style="58" bestFit="1" customWidth="1"/>
    <col min="7" max="7" width="17.28515625" style="58" customWidth="1"/>
    <col min="8" max="8" width="19.140625" style="59" customWidth="1"/>
    <col min="9" max="9" width="15.5703125" style="59" customWidth="1"/>
    <col min="10" max="10" width="1.28515625" style="57" customWidth="1"/>
    <col min="11" max="11" width="21.7109375" style="60" customWidth="1"/>
    <col min="12" max="12" width="24.28515625" style="60" bestFit="1" customWidth="1"/>
    <col min="13" max="13" width="12.1406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v>45444</v>
      </c>
    </row>
    <row r="2" spans="2:18" ht="18.75" x14ac:dyDescent="0.2">
      <c r="B2" s="128" t="s">
        <v>13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1797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.75" x14ac:dyDescent="0.25">
      <c r="B6" s="14" t="s">
        <v>2</v>
      </c>
      <c r="C6" s="15">
        <f>SUM(I6:I41)</f>
        <v>1000</v>
      </c>
      <c r="D6" s="1"/>
      <c r="E6" s="13">
        <v>939</v>
      </c>
      <c r="F6" s="16" t="s">
        <v>21</v>
      </c>
      <c r="G6" s="17" t="s">
        <v>8</v>
      </c>
      <c r="H6" s="3">
        <v>523</v>
      </c>
      <c r="I6" s="3">
        <v>523</v>
      </c>
      <c r="J6" s="1"/>
      <c r="K6" s="16"/>
      <c r="L6" s="4"/>
      <c r="M6" s="11"/>
      <c r="R6" s="57">
        <f>IF(vend1[[#This Row],[Nº Venda]]&gt;1,1,0)</f>
        <v>1</v>
      </c>
    </row>
    <row r="7" spans="2:18" ht="15.75" x14ac:dyDescent="0.25">
      <c r="B7" s="14" t="s">
        <v>3</v>
      </c>
      <c r="C7" s="15">
        <f>SUM(M6:M11)</f>
        <v>0</v>
      </c>
      <c r="D7" s="1"/>
      <c r="E7" s="13">
        <v>940</v>
      </c>
      <c r="F7" s="16" t="s">
        <v>22</v>
      </c>
      <c r="G7" s="17" t="s">
        <v>8</v>
      </c>
      <c r="H7" s="3">
        <v>377</v>
      </c>
      <c r="I7" s="3">
        <v>377</v>
      </c>
      <c r="J7" s="1"/>
      <c r="K7" s="16"/>
      <c r="L7" s="4"/>
      <c r="M7" s="11"/>
      <c r="R7" s="57">
        <f>IF(vend1[[#This Row],[Nº Venda]]&gt;1,1,0)</f>
        <v>1</v>
      </c>
    </row>
    <row r="8" spans="2:18" ht="15.75" x14ac:dyDescent="0.25">
      <c r="B8" s="65" t="s">
        <v>23</v>
      </c>
      <c r="C8" s="66">
        <f>SUM(C6:C7)</f>
        <v>1000</v>
      </c>
      <c r="D8" s="1"/>
      <c r="E8" s="13">
        <v>941</v>
      </c>
      <c r="F8" s="16" t="s">
        <v>24</v>
      </c>
      <c r="G8" s="17" t="s">
        <v>7</v>
      </c>
      <c r="H8" s="3">
        <v>897</v>
      </c>
      <c r="I8" s="3">
        <v>100</v>
      </c>
      <c r="J8" s="1"/>
      <c r="K8" s="16"/>
      <c r="L8" s="4"/>
      <c r="M8" s="11"/>
      <c r="R8" s="57">
        <f>IF(vend1[[#This Row],[Nº Venda]]&gt;1,1,0)</f>
        <v>1</v>
      </c>
    </row>
    <row r="9" spans="2:18" ht="15.75" x14ac:dyDescent="0.25">
      <c r="B9" s="1"/>
      <c r="C9" s="1"/>
      <c r="D9" s="1"/>
      <c r="E9" s="13"/>
      <c r="F9" s="16"/>
      <c r="G9" s="17"/>
      <c r="H9" s="3"/>
      <c r="I9" s="3"/>
      <c r="J9" s="1"/>
      <c r="K9" s="16"/>
      <c r="L9" s="4"/>
      <c r="M9" s="11"/>
      <c r="R9" s="57">
        <f>IF(vend1[[#This Row],[Nº Venda]]&gt;1,1,0)</f>
        <v>0</v>
      </c>
    </row>
    <row r="10" spans="2:18" ht="15.75" x14ac:dyDescent="0.25">
      <c r="B10" s="123" t="s">
        <v>5</v>
      </c>
      <c r="C10" s="123"/>
      <c r="D10" s="1"/>
      <c r="E10" s="13"/>
      <c r="F10" s="16"/>
      <c r="G10" s="17"/>
      <c r="H10" s="3"/>
      <c r="I10" s="3"/>
      <c r="J10" s="1"/>
      <c r="K10" s="16"/>
      <c r="L10" s="4"/>
      <c r="M10" s="11"/>
      <c r="R10" s="57">
        <f>IF(vend1[[#This Row],[Nº Venda]]&gt;1,1,0)</f>
        <v>0</v>
      </c>
    </row>
    <row r="11" spans="2:18" ht="15.75" x14ac:dyDescent="0.25">
      <c r="B11" s="19" t="s">
        <v>6</v>
      </c>
      <c r="C11" s="20">
        <f>(SUMIF($G$2:$G$31,B11,$I$2:$I$31))+(SUMIF($G$35:$G$41,B11,$H$35:$H$41))</f>
        <v>197.4</v>
      </c>
      <c r="D11" s="1"/>
      <c r="E11" s="13"/>
      <c r="F11" s="16"/>
      <c r="G11" s="17"/>
      <c r="H11" s="3"/>
      <c r="I11" s="3"/>
      <c r="J11" s="1"/>
      <c r="K11" s="18"/>
      <c r="L11" s="4"/>
      <c r="M11" s="11"/>
      <c r="O11" s="57">
        <f>IF(C16=0,0,1)</f>
        <v>1</v>
      </c>
      <c r="R11" s="57">
        <f>IF(vend1[[#This Row],[Nº Venda]]&gt;1,1,0)</f>
        <v>0</v>
      </c>
    </row>
    <row r="12" spans="2:18" ht="15.75" x14ac:dyDescent="0.25">
      <c r="B12" s="19" t="s">
        <v>7</v>
      </c>
      <c r="C12" s="20">
        <f t="shared" ref="C12:C15" si="0">(SUMIF($G$2:$G$31,B12,$I$2:$I$31))+(SUMIF($G$35:$G$41,B12,$H$35:$H$41))</f>
        <v>100</v>
      </c>
      <c r="D12" s="1"/>
      <c r="E12" s="13"/>
      <c r="F12" s="16"/>
      <c r="G12" s="17"/>
      <c r="H12" s="3"/>
      <c r="I12" s="3"/>
      <c r="J12" s="1"/>
      <c r="R12" s="57">
        <f>IF(vend1[[#This Row],[Nº Venda]]&gt;1,1,0)</f>
        <v>0</v>
      </c>
    </row>
    <row r="13" spans="2:18" ht="15.75" x14ac:dyDescent="0.25">
      <c r="B13" s="19" t="s">
        <v>8</v>
      </c>
      <c r="C13" s="20">
        <f t="shared" si="0"/>
        <v>900</v>
      </c>
      <c r="D13" s="1"/>
      <c r="E13" s="13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IF(vend1[[#This Row],[Nº Venda]]&gt;1,1,0)</f>
        <v>0</v>
      </c>
    </row>
    <row r="14" spans="2:18" ht="15.75" x14ac:dyDescent="0.25">
      <c r="B14" s="19" t="s">
        <v>9</v>
      </c>
      <c r="C14" s="20">
        <f t="shared" si="0"/>
        <v>0</v>
      </c>
      <c r="D14" s="1"/>
      <c r="E14" s="13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IF(vend1[[#This Row],[Nº Venda]]&gt;1,1,0)</f>
        <v>0</v>
      </c>
    </row>
    <row r="15" spans="2:18" ht="15.75" x14ac:dyDescent="0.25">
      <c r="B15" s="19" t="s">
        <v>10</v>
      </c>
      <c r="C15" s="20">
        <f t="shared" si="0"/>
        <v>0</v>
      </c>
      <c r="D15" s="1"/>
      <c r="E15" s="13"/>
      <c r="F15" s="16"/>
      <c r="G15" s="17"/>
      <c r="H15" s="3"/>
      <c r="I15" s="3"/>
      <c r="J15" s="1"/>
      <c r="K15" s="16"/>
      <c r="L15" s="4"/>
      <c r="M15" s="11"/>
      <c r="R15" s="57">
        <f>IF(vend1[[#This Row],[Nº Venda]]&gt;1,1,0)</f>
        <v>0</v>
      </c>
    </row>
    <row r="16" spans="2:18" ht="15.75" x14ac:dyDescent="0.25">
      <c r="B16" s="65" t="s">
        <v>11</v>
      </c>
      <c r="C16" s="68">
        <f>SUM(C11:C15)</f>
        <v>1197.4000000000001</v>
      </c>
      <c r="D16" s="1"/>
      <c r="E16" s="13"/>
      <c r="F16" s="16"/>
      <c r="G16" s="17"/>
      <c r="H16" s="3"/>
      <c r="I16" s="3"/>
      <c r="J16" s="1"/>
      <c r="K16" s="16"/>
      <c r="L16" s="4"/>
      <c r="M16" s="11"/>
      <c r="R16" s="57">
        <f>IF(vend1[[#This Row],[Nº Venda]]&gt;1,1,0)</f>
        <v>0</v>
      </c>
    </row>
    <row r="17" spans="2:18" ht="15.75" x14ac:dyDescent="0.25">
      <c r="B17" s="1"/>
      <c r="C17" s="1"/>
      <c r="D17" s="1"/>
      <c r="E17" s="13"/>
      <c r="F17" s="16"/>
      <c r="G17" s="17"/>
      <c r="H17" s="3"/>
      <c r="I17" s="3"/>
      <c r="J17" s="1"/>
      <c r="K17" s="16"/>
      <c r="L17" s="4"/>
      <c r="M17" s="11"/>
      <c r="R17" s="57">
        <f>IF(vend1[[#This Row],[Nº Venda]]&gt;1,1,0)</f>
        <v>0</v>
      </c>
    </row>
    <row r="18" spans="2:18" ht="15.75" x14ac:dyDescent="0.25">
      <c r="B18" s="123" t="s">
        <v>12</v>
      </c>
      <c r="C18" s="123"/>
      <c r="D18" s="1"/>
      <c r="E18" s="13"/>
      <c r="F18" s="16"/>
      <c r="G18" s="17"/>
      <c r="H18" s="3"/>
      <c r="I18" s="3"/>
      <c r="J18" s="1"/>
      <c r="K18" s="16"/>
      <c r="L18" s="4"/>
      <c r="M18" s="11"/>
      <c r="R18" s="57">
        <f>IF(vend1[[#This Row],[Nº Venda]]&gt;1,1,0)</f>
        <v>0</v>
      </c>
    </row>
    <row r="19" spans="2:18" ht="15.75" x14ac:dyDescent="0.25">
      <c r="B19" s="19">
        <f>COUNT(entr_carn31195[OS])</f>
        <v>0</v>
      </c>
      <c r="C19" s="20">
        <f>SUM(entr_carn31195[Valor Total])</f>
        <v>0</v>
      </c>
      <c r="D19" s="1"/>
      <c r="E19" s="13"/>
      <c r="F19" s="16"/>
      <c r="G19" s="17"/>
      <c r="H19" s="3"/>
      <c r="I19" s="3"/>
      <c r="J19" s="1"/>
      <c r="K19" s="16"/>
      <c r="L19" s="4"/>
      <c r="M19" s="11"/>
      <c r="R19" s="57">
        <f>IF(vend1[[#This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13"/>
      <c r="F20" s="17"/>
      <c r="G20" s="17"/>
      <c r="H20" s="3"/>
      <c r="I20" s="3"/>
      <c r="J20" s="1"/>
      <c r="K20" s="16"/>
      <c r="L20" s="4"/>
      <c r="M20" s="11"/>
      <c r="R20" s="57">
        <f>IF(vend1[[#This Row],[Nº Venda]]&gt;1,1,0)</f>
        <v>0</v>
      </c>
    </row>
    <row r="21" spans="2:18" ht="15.75" x14ac:dyDescent="0.25">
      <c r="B21" s="1"/>
      <c r="C21" s="1"/>
      <c r="D21" s="1"/>
      <c r="E21" s="13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1797</v>
      </c>
      <c r="D22" s="1"/>
      <c r="E22" s="13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.75" x14ac:dyDescent="0.25">
      <c r="B26" s="1"/>
      <c r="C26" s="1"/>
      <c r="D26" s="1"/>
      <c r="E26" s="13"/>
      <c r="F26" s="16"/>
      <c r="G26" s="17"/>
      <c r="H26" s="3"/>
      <c r="I26" s="3"/>
      <c r="J26" s="1"/>
      <c r="K26" s="16"/>
      <c r="L26" s="4"/>
      <c r="M26" s="11"/>
    </row>
    <row r="27" spans="2:18" ht="15.75" x14ac:dyDescent="0.25">
      <c r="B27" s="1"/>
      <c r="C27" s="1"/>
      <c r="D27" s="1"/>
      <c r="E27" s="13"/>
      <c r="F27" s="16"/>
      <c r="G27" s="17"/>
      <c r="H27" s="3"/>
      <c r="I27" s="3"/>
      <c r="J27" s="1"/>
      <c r="K27" s="16"/>
      <c r="L27" s="4"/>
      <c r="M27" s="11"/>
    </row>
    <row r="28" spans="2:18" ht="15.75" x14ac:dyDescent="0.25">
      <c r="B28" s="1"/>
      <c r="C28" s="1"/>
      <c r="D28" s="1"/>
      <c r="E28" s="13"/>
      <c r="F28" s="16"/>
      <c r="G28" s="17"/>
      <c r="H28" s="3"/>
      <c r="I28" s="3"/>
      <c r="J28" s="1"/>
      <c r="K28" s="16"/>
      <c r="L28" s="4"/>
      <c r="M28" s="11"/>
    </row>
    <row r="29" spans="2:18" ht="15.75" x14ac:dyDescent="0.25">
      <c r="B29" s="1"/>
      <c r="C29" s="1"/>
      <c r="D29" s="1"/>
      <c r="E29" s="13"/>
      <c r="F29" s="16"/>
      <c r="G29" s="17"/>
      <c r="H29" s="3"/>
      <c r="I29" s="3"/>
      <c r="J29" s="1"/>
      <c r="K29" s="16"/>
      <c r="L29" s="4"/>
      <c r="M29" s="11"/>
    </row>
    <row r="30" spans="2:18" ht="15.75" x14ac:dyDescent="0.25">
      <c r="B30" s="1"/>
      <c r="C30" s="1"/>
      <c r="D30" s="1"/>
      <c r="E30" s="13"/>
      <c r="F30" s="25"/>
      <c r="G30" s="17"/>
      <c r="H30" s="3"/>
      <c r="I30" s="3"/>
      <c r="J30" s="1"/>
      <c r="K30" s="16"/>
      <c r="L30" s="4"/>
      <c r="M30" s="11"/>
    </row>
    <row r="31" spans="2:18" ht="15.75" x14ac:dyDescent="0.25">
      <c r="B31" s="1"/>
      <c r="C31" s="1"/>
      <c r="D31" s="1"/>
      <c r="E31" s="21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>
        <v>906</v>
      </c>
      <c r="F35" s="16" t="s">
        <v>36</v>
      </c>
      <c r="G35" s="17" t="s">
        <v>6</v>
      </c>
      <c r="H35" s="3">
        <v>197.4</v>
      </c>
      <c r="I35" s="3" t="s">
        <v>37</v>
      </c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3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9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7" zoomScale="80" zoomScaleNormal="80" workbookViewId="0">
      <selection activeCell="G19" sqref="G19"/>
    </sheetView>
  </sheetViews>
  <sheetFormatPr defaultColWidth="9.140625" defaultRowHeight="12.75" x14ac:dyDescent="0.2"/>
  <cols>
    <col min="1" max="1" width="1.140625" style="57" customWidth="1"/>
    <col min="2" max="2" width="29.42578125" style="57" bestFit="1" customWidth="1"/>
    <col min="3" max="3" width="11.5703125" style="57" customWidth="1"/>
    <col min="4" max="4" width="0.855468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1.14062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6">
        <f>'01'!B1+1</f>
        <v>45445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.75" x14ac:dyDescent="0.25">
      <c r="B6" s="14" t="s">
        <v>2</v>
      </c>
      <c r="C6" s="15">
        <f>SUM(I6:I41)</f>
        <v>0</v>
      </c>
      <c r="D6" s="1"/>
      <c r="E6" s="13"/>
      <c r="F6" s="16"/>
      <c r="G6" s="31"/>
      <c r="H6" s="3"/>
      <c r="I6" s="3"/>
      <c r="J6" s="1"/>
      <c r="K6" s="16"/>
      <c r="L6" s="4"/>
      <c r="M6" s="11"/>
      <c r="R6" s="57">
        <f>IF(vend2[[#This Row],[Nº Venda]]&gt;1,1,0)</f>
        <v>0</v>
      </c>
    </row>
    <row r="7" spans="2:18" ht="15.75" x14ac:dyDescent="0.25">
      <c r="B7" s="14" t="s">
        <v>3</v>
      </c>
      <c r="C7" s="15">
        <f>SUM(M6:M11)</f>
        <v>0</v>
      </c>
      <c r="D7" s="1"/>
      <c r="E7" s="13"/>
      <c r="F7" s="16"/>
      <c r="G7" s="31"/>
      <c r="H7" s="3"/>
      <c r="I7" s="3"/>
      <c r="J7" s="1"/>
      <c r="K7" s="16"/>
      <c r="L7" s="4"/>
      <c r="M7" s="11"/>
      <c r="R7" s="57">
        <f>IF(vend2[[#This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13"/>
      <c r="F8" s="16"/>
      <c r="G8" s="17"/>
      <c r="H8" s="3"/>
      <c r="I8" s="3"/>
      <c r="J8" s="1"/>
      <c r="K8" s="16"/>
      <c r="L8" s="4"/>
      <c r="M8" s="11"/>
      <c r="R8" s="57">
        <f>IF(vend2[[#This Row],[Nº Venda]]&gt;1,1,0)</f>
        <v>0</v>
      </c>
    </row>
    <row r="9" spans="2:18" ht="15.75" x14ac:dyDescent="0.25">
      <c r="B9" s="1"/>
      <c r="C9" s="1"/>
      <c r="D9" s="1"/>
      <c r="E9" s="13"/>
      <c r="F9" s="16"/>
      <c r="G9" s="17"/>
      <c r="H9" s="3"/>
      <c r="I9" s="3"/>
      <c r="J9" s="1"/>
      <c r="K9" s="16"/>
      <c r="L9" s="4"/>
      <c r="M9" s="11"/>
      <c r="R9" s="57">
        <f>IF(vend2[[#This Row],[Nº Venda]]&gt;1,1,0)</f>
        <v>0</v>
      </c>
    </row>
    <row r="10" spans="2:18" ht="15.75" x14ac:dyDescent="0.25">
      <c r="B10" s="123" t="s">
        <v>5</v>
      </c>
      <c r="C10" s="123"/>
      <c r="D10" s="1"/>
      <c r="E10" s="13"/>
      <c r="F10" s="16"/>
      <c r="G10" s="17"/>
      <c r="H10" s="3"/>
      <c r="I10" s="3"/>
      <c r="J10" s="1"/>
      <c r="K10" s="16"/>
      <c r="L10" s="4"/>
      <c r="M10" s="11"/>
      <c r="R10" s="57">
        <f>IF(vend2[[#This Row],[Nº Venda]]&gt;1,1,0)</f>
        <v>0</v>
      </c>
    </row>
    <row r="11" spans="2:18" ht="15.75" x14ac:dyDescent="0.25">
      <c r="B11" s="19" t="s">
        <v>6</v>
      </c>
      <c r="C11" s="20">
        <f>(SUMIF($G$2:$G$31,B11,$I$2:$I$31))+(SUMIF($G$35:$G$41,B11,$H$35:$H$41))</f>
        <v>0</v>
      </c>
      <c r="D11" s="1"/>
      <c r="E11" s="13"/>
      <c r="F11" s="16"/>
      <c r="G11" s="17"/>
      <c r="H11" s="3"/>
      <c r="I11" s="3"/>
      <c r="J11" s="1"/>
      <c r="K11" s="18"/>
      <c r="L11" s="4"/>
      <c r="M11" s="11"/>
      <c r="O11" s="57">
        <f>IF(C16=0,0,1)</f>
        <v>0</v>
      </c>
      <c r="R11" s="57">
        <f>IF(vend2[[#This Row],[Nº Venda]]&gt;1,1,0)</f>
        <v>0</v>
      </c>
    </row>
    <row r="12" spans="2:18" ht="15.7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13"/>
      <c r="F12" s="16"/>
      <c r="G12" s="17"/>
      <c r="H12" s="3"/>
      <c r="I12" s="3"/>
      <c r="J12" s="1"/>
      <c r="R12" s="57">
        <f>IF(vend2[[#This Row],[Nº Venda]]&gt;1,1,0)</f>
        <v>0</v>
      </c>
    </row>
    <row r="13" spans="2:18" ht="15.75" x14ac:dyDescent="0.25">
      <c r="B13" s="19" t="s">
        <v>8</v>
      </c>
      <c r="C13" s="20">
        <f t="shared" si="0"/>
        <v>0</v>
      </c>
      <c r="D13" s="1"/>
      <c r="E13" s="13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IF(vend2[[#This Row],[Nº Venda]]&gt;1,1,0)</f>
        <v>0</v>
      </c>
    </row>
    <row r="14" spans="2:18" ht="15.75" x14ac:dyDescent="0.25">
      <c r="B14" s="19" t="s">
        <v>9</v>
      </c>
      <c r="C14" s="20">
        <f t="shared" si="0"/>
        <v>0</v>
      </c>
      <c r="D14" s="1"/>
      <c r="E14" s="13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IF(vend2[[#This Row],[Nº Venda]]&gt;1,1,0)</f>
        <v>0</v>
      </c>
    </row>
    <row r="15" spans="2:18" ht="15.75" x14ac:dyDescent="0.25">
      <c r="B15" s="19" t="s">
        <v>10</v>
      </c>
      <c r="C15" s="20">
        <f t="shared" si="0"/>
        <v>0</v>
      </c>
      <c r="D15" s="1"/>
      <c r="E15" s="13"/>
      <c r="F15" s="16"/>
      <c r="G15" s="17"/>
      <c r="H15" s="3"/>
      <c r="I15" s="3"/>
      <c r="J15" s="1"/>
      <c r="K15" s="16"/>
      <c r="L15" s="4"/>
      <c r="M15" s="11"/>
      <c r="R15" s="57">
        <f>IF(vend2[[#This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13"/>
      <c r="F16" s="16"/>
      <c r="G16" s="17"/>
      <c r="H16" s="3"/>
      <c r="I16" s="3"/>
      <c r="J16" s="1"/>
      <c r="K16" s="16"/>
      <c r="L16" s="4"/>
      <c r="M16" s="11"/>
      <c r="R16" s="57">
        <f>IF(vend2[[#This Row],[Nº Venda]]&gt;1,1,0)</f>
        <v>0</v>
      </c>
    </row>
    <row r="17" spans="2:18" ht="15.75" x14ac:dyDescent="0.25">
      <c r="B17" s="1"/>
      <c r="C17" s="1"/>
      <c r="D17" s="1"/>
      <c r="E17" s="13"/>
      <c r="F17" s="16"/>
      <c r="G17" s="17"/>
      <c r="H17" s="3"/>
      <c r="I17" s="3"/>
      <c r="J17" s="1"/>
      <c r="K17" s="16"/>
      <c r="L17" s="4"/>
      <c r="M17" s="11"/>
      <c r="R17" s="57">
        <f>IF(vend2[[#This Row],[Nº Venda]]&gt;1,1,0)</f>
        <v>0</v>
      </c>
    </row>
    <row r="18" spans="2:18" ht="15.75" x14ac:dyDescent="0.25">
      <c r="B18" s="123" t="s">
        <v>12</v>
      </c>
      <c r="C18" s="123"/>
      <c r="D18" s="1"/>
      <c r="E18" s="13"/>
      <c r="F18" s="16"/>
      <c r="G18" s="17"/>
      <c r="H18" s="3"/>
      <c r="I18" s="3"/>
      <c r="J18" s="1"/>
      <c r="K18" s="16"/>
      <c r="L18" s="4"/>
      <c r="M18" s="11"/>
      <c r="R18" s="57">
        <f>IF(vend2[[#This Row],[Nº Venda]]&gt;1,1,0)</f>
        <v>0</v>
      </c>
    </row>
    <row r="19" spans="2:18" ht="15.75" x14ac:dyDescent="0.25">
      <c r="B19" s="19">
        <f>COUNT(entr_carn2[OS])</f>
        <v>0</v>
      </c>
      <c r="C19" s="20">
        <f>SUM(entr_carn2[Valor Total])</f>
        <v>0</v>
      </c>
      <c r="D19" s="1"/>
      <c r="E19" s="13"/>
      <c r="F19" s="16"/>
      <c r="G19" s="17"/>
      <c r="H19" s="3"/>
      <c r="I19" s="3"/>
      <c r="J19" s="1"/>
      <c r="K19" s="16"/>
      <c r="L19" s="4"/>
      <c r="M19" s="11"/>
      <c r="R19" s="57">
        <f>IF(vend2[[#This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13"/>
      <c r="F20" s="17"/>
      <c r="G20" s="17"/>
      <c r="H20" s="3"/>
      <c r="I20" s="3"/>
      <c r="J20" s="1"/>
      <c r="K20" s="16"/>
      <c r="L20" s="4"/>
      <c r="M20" s="11"/>
      <c r="R20" s="57">
        <f>IF(vend2[[#This Row],[Nº Venda]]&gt;1,1,0)</f>
        <v>0</v>
      </c>
    </row>
    <row r="21" spans="2:18" ht="15.75" x14ac:dyDescent="0.25">
      <c r="B21" s="1"/>
      <c r="C21" s="1"/>
      <c r="D21" s="1"/>
      <c r="E21" s="13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13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.75" x14ac:dyDescent="0.25">
      <c r="B26" s="1"/>
      <c r="C26" s="1"/>
      <c r="D26" s="1"/>
      <c r="E26" s="13"/>
      <c r="F26" s="16"/>
      <c r="G26" s="17"/>
      <c r="H26" s="3"/>
      <c r="I26" s="3"/>
      <c r="J26" s="1"/>
      <c r="K26" s="16"/>
      <c r="L26" s="4"/>
      <c r="M26" s="11"/>
    </row>
    <row r="27" spans="2:18" ht="15.75" x14ac:dyDescent="0.25">
      <c r="B27" s="1"/>
      <c r="C27" s="1"/>
      <c r="D27" s="1"/>
      <c r="E27" s="13"/>
      <c r="F27" s="16"/>
      <c r="G27" s="17"/>
      <c r="H27" s="3"/>
      <c r="I27" s="3"/>
      <c r="J27" s="1"/>
      <c r="K27" s="16"/>
      <c r="L27" s="4"/>
      <c r="M27" s="11"/>
    </row>
    <row r="28" spans="2:18" ht="15.75" x14ac:dyDescent="0.25">
      <c r="B28" s="1"/>
      <c r="C28" s="1"/>
      <c r="D28" s="1"/>
      <c r="E28" s="13"/>
      <c r="F28" s="16"/>
      <c r="G28" s="17"/>
      <c r="H28" s="3"/>
      <c r="I28" s="3"/>
      <c r="J28" s="1"/>
      <c r="K28" s="16"/>
      <c r="L28" s="4"/>
      <c r="M28" s="11"/>
    </row>
    <row r="29" spans="2:18" ht="15.75" x14ac:dyDescent="0.25">
      <c r="B29" s="1"/>
      <c r="C29" s="1"/>
      <c r="D29" s="1"/>
      <c r="E29" s="13"/>
      <c r="F29" s="16"/>
      <c r="G29" s="17"/>
      <c r="H29" s="3"/>
      <c r="I29" s="3"/>
      <c r="J29" s="1"/>
      <c r="K29" s="16"/>
      <c r="L29" s="4"/>
      <c r="M29" s="11"/>
    </row>
    <row r="30" spans="2:18" ht="15.75" x14ac:dyDescent="0.25">
      <c r="B30" s="1"/>
      <c r="C30" s="1"/>
      <c r="D30" s="1"/>
      <c r="E30" s="13"/>
      <c r="F30" s="25"/>
      <c r="G30" s="17"/>
      <c r="H30" s="3"/>
      <c r="I30" s="3"/>
      <c r="J30" s="1"/>
      <c r="K30" s="16"/>
      <c r="L30" s="4"/>
      <c r="M30" s="11"/>
    </row>
    <row r="31" spans="2:18" ht="15.75" x14ac:dyDescent="0.25">
      <c r="B31" s="1"/>
      <c r="C31" s="1"/>
      <c r="D31" s="1"/>
      <c r="E31" s="21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21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21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  <c r="U34" s="57" t="s">
        <v>40</v>
      </c>
    </row>
    <row r="35" spans="2:21" ht="15.75" x14ac:dyDescent="0.25">
      <c r="E35" s="13"/>
      <c r="F35" s="16"/>
      <c r="G35" s="17"/>
      <c r="H35" s="3"/>
      <c r="I35" s="3"/>
      <c r="K35" s="16"/>
      <c r="L35" s="27"/>
      <c r="M35" s="11"/>
    </row>
    <row r="36" spans="2:21" ht="15.75" x14ac:dyDescent="0.25">
      <c r="E36" s="13"/>
      <c r="F36" s="16"/>
      <c r="G36" s="17"/>
      <c r="H36" s="3"/>
      <c r="I36" s="3"/>
      <c r="K36" s="16"/>
      <c r="L36" s="27"/>
      <c r="M36" s="11"/>
    </row>
    <row r="37" spans="2:21" ht="15.75" x14ac:dyDescent="0.25">
      <c r="E37" s="13"/>
      <c r="F37" s="16"/>
      <c r="G37" s="17"/>
      <c r="H37" s="3"/>
      <c r="I37" s="3"/>
      <c r="K37" s="16"/>
      <c r="L37" s="27"/>
      <c r="M37" s="11"/>
    </row>
    <row r="38" spans="2:21" ht="15.75" x14ac:dyDescent="0.25">
      <c r="E38" s="13"/>
      <c r="F38" s="16"/>
      <c r="G38" s="17"/>
      <c r="H38" s="3"/>
      <c r="I38" s="3"/>
      <c r="K38" s="16"/>
      <c r="L38" s="27"/>
      <c r="M38" s="11"/>
    </row>
    <row r="39" spans="2:21" ht="15.75" x14ac:dyDescent="0.25">
      <c r="E39" s="13"/>
      <c r="F39" s="25"/>
      <c r="G39" s="17"/>
      <c r="H39" s="3"/>
      <c r="I39" s="3"/>
      <c r="K39" s="16"/>
      <c r="L39" s="27"/>
      <c r="M39" s="11"/>
    </row>
    <row r="40" spans="2:21" ht="15.75" x14ac:dyDescent="0.25">
      <c r="E40" s="21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21" ht="15.75" x14ac:dyDescent="0.25">
      <c r="E41" s="29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7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'02'!B1+1</f>
        <v>45446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1307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950</v>
      </c>
      <c r="D6" s="1"/>
      <c r="E6" s="49">
        <v>942</v>
      </c>
      <c r="F6" s="16" t="s">
        <v>41</v>
      </c>
      <c r="G6" s="31" t="s">
        <v>6</v>
      </c>
      <c r="H6" s="3">
        <v>1307</v>
      </c>
      <c r="I6" s="3">
        <v>150</v>
      </c>
      <c r="J6" s="1"/>
      <c r="K6" s="16" t="s">
        <v>42</v>
      </c>
      <c r="L6" s="4" t="s">
        <v>10</v>
      </c>
      <c r="M6" s="11">
        <v>12</v>
      </c>
      <c r="R6" s="57">
        <f>IF(vend3[[#This Row],[Nº Venda]]&gt;1,1,0)</f>
        <v>1</v>
      </c>
    </row>
    <row r="7" spans="2:18" ht="15" x14ac:dyDescent="0.25">
      <c r="B7" s="14" t="s">
        <v>3</v>
      </c>
      <c r="C7" s="15">
        <f>SUM(M6:M11)</f>
        <v>12</v>
      </c>
      <c r="D7" s="1"/>
      <c r="E7" s="49"/>
      <c r="F7" s="16"/>
      <c r="G7" s="17"/>
      <c r="H7" s="3"/>
      <c r="I7" s="3"/>
      <c r="J7" s="1"/>
      <c r="K7" s="16"/>
      <c r="L7" s="4"/>
      <c r="M7" s="11"/>
      <c r="R7" s="57">
        <f>IF(vend3[[#This Row],[Nº Venda]]&gt;1,1,0)</f>
        <v>0</v>
      </c>
    </row>
    <row r="8" spans="2:18" ht="15.75" x14ac:dyDescent="0.25">
      <c r="B8" s="65" t="s">
        <v>23</v>
      </c>
      <c r="C8" s="66">
        <f>SUM(C6:C7)</f>
        <v>962</v>
      </c>
      <c r="D8" s="1"/>
      <c r="E8" s="49"/>
      <c r="F8" s="16"/>
      <c r="G8" s="17"/>
      <c r="H8" s="3"/>
      <c r="I8" s="3"/>
      <c r="J8" s="1"/>
      <c r="K8" s="16"/>
      <c r="L8" s="4"/>
      <c r="M8" s="11"/>
      <c r="R8" s="57">
        <f>IF(vend3[[#This Row],[Nº Venda]]&gt;1,1,0)</f>
        <v>0</v>
      </c>
    </row>
    <row r="9" spans="2:18" ht="15" x14ac:dyDescent="0.25">
      <c r="B9" s="1"/>
      <c r="C9" s="1"/>
      <c r="D9" s="1"/>
      <c r="E9" s="49"/>
      <c r="F9" s="16"/>
      <c r="G9" s="17"/>
      <c r="H9" s="3"/>
      <c r="I9" s="3"/>
      <c r="J9" s="1"/>
      <c r="K9" s="16"/>
      <c r="L9" s="4"/>
      <c r="M9" s="11"/>
      <c r="R9" s="57">
        <f>IF(vend3[[#This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16"/>
      <c r="G10" s="17"/>
      <c r="H10" s="3"/>
      <c r="I10" s="3"/>
      <c r="J10" s="1"/>
      <c r="K10" s="16"/>
      <c r="L10" s="4"/>
      <c r="M10" s="11"/>
      <c r="R10" s="57">
        <f>IF(vend3[[#This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150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>IF(C16=0,0,1)</f>
        <v>1</v>
      </c>
      <c r="R11" s="57">
        <f>IF(vend3[[#This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9"/>
      <c r="F12" s="16"/>
      <c r="G12" s="17"/>
      <c r="H12" s="3"/>
      <c r="I12" s="3"/>
      <c r="J12" s="1"/>
      <c r="R12" s="57">
        <f>IF(vend3[[#This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IF(vend3[[#This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IF(vend3[[#This Row],[Nº Venda]]&gt;1,1,0)</f>
        <v>0</v>
      </c>
    </row>
    <row r="15" spans="2:18" ht="15" x14ac:dyDescent="0.25">
      <c r="B15" s="19" t="s">
        <v>10</v>
      </c>
      <c r="C15" s="20">
        <f t="shared" si="0"/>
        <v>891.5</v>
      </c>
      <c r="D15" s="1"/>
      <c r="E15" s="49"/>
      <c r="F15" s="16"/>
      <c r="G15" s="17"/>
      <c r="H15" s="3"/>
      <c r="I15" s="3"/>
      <c r="J15" s="1"/>
      <c r="K15" s="16">
        <v>929</v>
      </c>
      <c r="L15" s="4" t="s">
        <v>43</v>
      </c>
      <c r="M15" s="11" t="s">
        <v>44</v>
      </c>
      <c r="R15" s="57">
        <f>IF(vend3[[#This Row],[Nº Venda]]&gt;1,1,0)</f>
        <v>0</v>
      </c>
    </row>
    <row r="16" spans="2:18" ht="15.75" x14ac:dyDescent="0.25">
      <c r="B16" s="65" t="s">
        <v>11</v>
      </c>
      <c r="C16" s="68">
        <f>SUM(C11:C15)</f>
        <v>1041.5</v>
      </c>
      <c r="D16" s="1"/>
      <c r="E16" s="49"/>
      <c r="F16" s="16"/>
      <c r="G16" s="17"/>
      <c r="H16" s="3"/>
      <c r="I16" s="3"/>
      <c r="J16" s="1"/>
      <c r="K16" s="16">
        <v>930</v>
      </c>
      <c r="L16" s="4" t="s">
        <v>43</v>
      </c>
      <c r="M16" s="11" t="s">
        <v>44</v>
      </c>
      <c r="R16" s="57">
        <f>IF(vend3[[#This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16"/>
      <c r="L17" s="4"/>
      <c r="M17" s="11"/>
      <c r="R17" s="57">
        <f>IF(vend3[[#This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16"/>
      <c r="L18" s="4"/>
      <c r="M18" s="11"/>
      <c r="R18" s="57">
        <f>IF(vend3[[#This Row],[Nº Venda]]&gt;1,1,0)</f>
        <v>0</v>
      </c>
    </row>
    <row r="19" spans="2:18" ht="15" x14ac:dyDescent="0.25">
      <c r="B19" s="19">
        <f>COUNT(entr_carn3[OS])</f>
        <v>0</v>
      </c>
      <c r="C19" s="20">
        <f>SUM(entr_carn3[Valor Total])</f>
        <v>0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IF(vend3[[#This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IF(vend3[[#This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1307</v>
      </c>
      <c r="D22" s="1"/>
      <c r="E22" s="49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9">
        <v>929</v>
      </c>
      <c r="F26" s="16" t="s">
        <v>45</v>
      </c>
      <c r="G26" s="31" t="s">
        <v>10</v>
      </c>
      <c r="H26" s="3"/>
      <c r="I26" s="3">
        <v>400</v>
      </c>
      <c r="J26" s="1"/>
      <c r="K26" s="16"/>
      <c r="L26" s="4"/>
      <c r="M26" s="11"/>
    </row>
    <row r="27" spans="2:18" ht="15" x14ac:dyDescent="0.25">
      <c r="B27" s="1"/>
      <c r="C27" s="1"/>
      <c r="D27" s="1"/>
      <c r="E27" s="49">
        <v>930</v>
      </c>
      <c r="F27" s="16" t="s">
        <v>46</v>
      </c>
      <c r="G27" s="17" t="s">
        <v>10</v>
      </c>
      <c r="H27" s="3"/>
      <c r="I27" s="3">
        <v>400</v>
      </c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17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>
        <v>923</v>
      </c>
      <c r="F35" s="16" t="s">
        <v>47</v>
      </c>
      <c r="G35" s="17" t="s">
        <v>10</v>
      </c>
      <c r="H35" s="3">
        <v>91.5</v>
      </c>
      <c r="I35" s="3" t="s">
        <v>48</v>
      </c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1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7" zoomScale="80" zoomScaleNormal="80" workbookViewId="0">
      <selection activeCell="G5" sqref="G5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0.7109375" style="57" customWidth="1"/>
    <col min="5" max="5" width="15.5703125" style="58" customWidth="1"/>
    <col min="6" max="6" width="35.85546875" style="58" bestFit="1" customWidth="1"/>
    <col min="7" max="7" width="17.28515625" style="58" customWidth="1"/>
    <col min="8" max="8" width="19.140625" style="59" customWidth="1"/>
    <col min="9" max="9" width="15.5703125" style="59" customWidth="1"/>
    <col min="10" max="10" width="0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'03'!B1+1</f>
        <v>45447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9"/>
      <c r="F6" s="16"/>
      <c r="G6" s="31"/>
      <c r="H6" s="3"/>
      <c r="I6" s="3"/>
      <c r="J6" s="1"/>
      <c r="K6" s="16"/>
      <c r="L6" s="4"/>
      <c r="M6" s="11"/>
      <c r="R6" s="57">
        <f>IF(vend4[[#This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9"/>
      <c r="F7" s="16"/>
      <c r="G7" s="31"/>
      <c r="H7" s="3"/>
      <c r="I7" s="3"/>
      <c r="J7" s="1"/>
      <c r="K7" s="16"/>
      <c r="L7" s="4"/>
      <c r="M7" s="11"/>
      <c r="R7" s="57">
        <f>IF(vend4[[#This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9"/>
      <c r="F8" s="16"/>
      <c r="G8" s="31"/>
      <c r="H8" s="3"/>
      <c r="I8" s="3"/>
      <c r="J8" s="1"/>
      <c r="K8" s="16"/>
      <c r="L8" s="4"/>
      <c r="M8" s="11"/>
      <c r="R8" s="57">
        <f>IF(vend4[[#This Row],[Nº Venda]]&gt;1,1,0)</f>
        <v>0</v>
      </c>
    </row>
    <row r="9" spans="2:18" ht="15" x14ac:dyDescent="0.25">
      <c r="B9" s="1"/>
      <c r="C9" s="1"/>
      <c r="D9" s="1"/>
      <c r="E9" s="49"/>
      <c r="F9" s="16"/>
      <c r="G9" s="31"/>
      <c r="H9" s="3"/>
      <c r="I9" s="3"/>
      <c r="J9" s="1"/>
      <c r="K9" s="16"/>
      <c r="L9" s="4"/>
      <c r="M9" s="11"/>
      <c r="R9" s="57">
        <f>IF(vend4[[#This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16"/>
      <c r="G10" s="17"/>
      <c r="H10" s="3"/>
      <c r="I10" s="3"/>
      <c r="J10" s="1"/>
      <c r="K10" s="16"/>
      <c r="L10" s="4"/>
      <c r="M10" s="11"/>
      <c r="R10" s="57">
        <f>IF(vend4[[#This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>IF(C16=0,0,1)</f>
        <v>0</v>
      </c>
      <c r="R11" s="57">
        <f>IF(vend4[[#This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9"/>
      <c r="F12" s="16"/>
      <c r="G12" s="17"/>
      <c r="H12" s="3"/>
      <c r="I12" s="3"/>
      <c r="J12" s="1"/>
      <c r="R12" s="57">
        <f>IF(vend4[[#This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IF(vend4[[#This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IF(vend4[[#This Row],[Nº Venda]]&gt;1,1,0)</f>
        <v>0</v>
      </c>
    </row>
    <row r="15" spans="2:18" ht="18.75" x14ac:dyDescent="0.4">
      <c r="B15" s="19" t="s">
        <v>10</v>
      </c>
      <c r="C15" s="20">
        <f t="shared" si="0"/>
        <v>0</v>
      </c>
      <c r="D15" s="1"/>
      <c r="E15" s="49"/>
      <c r="F15" s="16"/>
      <c r="G15" s="17"/>
      <c r="H15" s="3"/>
      <c r="I15" s="3"/>
      <c r="J15" s="1"/>
      <c r="K15" s="93">
        <v>931</v>
      </c>
      <c r="L15" s="94" t="s">
        <v>43</v>
      </c>
      <c r="M15" s="95" t="s">
        <v>44</v>
      </c>
      <c r="R15" s="57">
        <f>IF(vend4[[#This Row],[Nº Venda]]&gt;1,1,0)</f>
        <v>0</v>
      </c>
    </row>
    <row r="16" spans="2:18" ht="19.5" x14ac:dyDescent="0.4">
      <c r="B16" s="65" t="s">
        <v>11</v>
      </c>
      <c r="C16" s="68">
        <f>SUM(C11:C15)</f>
        <v>0</v>
      </c>
      <c r="D16" s="1"/>
      <c r="E16" s="49"/>
      <c r="F16" s="16"/>
      <c r="G16" s="17"/>
      <c r="H16" s="3"/>
      <c r="I16" s="3"/>
      <c r="J16" s="1"/>
      <c r="K16" s="96"/>
      <c r="L16" s="93"/>
      <c r="M16" s="95"/>
      <c r="R16" s="57">
        <f>IF(vend4[[#This Row],[Nº Venda]]&gt;1,1,0)</f>
        <v>0</v>
      </c>
    </row>
    <row r="17" spans="2:18" ht="18.75" x14ac:dyDescent="0.4">
      <c r="B17" s="1"/>
      <c r="C17" s="1"/>
      <c r="D17" s="1"/>
      <c r="E17" s="49"/>
      <c r="F17" s="16"/>
      <c r="G17" s="17"/>
      <c r="H17" s="3"/>
      <c r="I17" s="3"/>
      <c r="J17" s="1"/>
      <c r="K17" s="93"/>
      <c r="L17" s="94"/>
      <c r="M17" s="95"/>
      <c r="R17" s="57">
        <f>IF(vend4[[#This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16"/>
      <c r="L18" s="4"/>
      <c r="M18" s="11"/>
      <c r="R18" s="57">
        <f>IF(vend4[[#This Row],[Nº Venda]]&gt;1,1,0)</f>
        <v>0</v>
      </c>
    </row>
    <row r="19" spans="2:18" ht="15" x14ac:dyDescent="0.25">
      <c r="B19" s="19">
        <f>COUNT(entr_carn4[OS])</f>
        <v>0</v>
      </c>
      <c r="C19" s="20">
        <f>SUM(entr_carn4[Valor Total])</f>
        <v>0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IF(vend4[[#This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IF(vend4[[#This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13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9"/>
      <c r="F26" s="16"/>
      <c r="G26" s="31"/>
      <c r="H26" s="3"/>
      <c r="I26" s="3"/>
      <c r="J26" s="1"/>
      <c r="K26" s="16"/>
      <c r="L26" s="4"/>
      <c r="M26" s="11"/>
    </row>
    <row r="27" spans="2:18" ht="15" x14ac:dyDescent="0.25">
      <c r="B27" s="1"/>
      <c r="C27" s="1"/>
      <c r="D27" s="1"/>
      <c r="E27" s="49"/>
      <c r="F27" s="16"/>
      <c r="G27" s="31"/>
      <c r="H27" s="3"/>
      <c r="I27" s="3"/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31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/>
      <c r="F35" s="16"/>
      <c r="G35" s="17"/>
      <c r="H35" s="3"/>
      <c r="I35" s="3"/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7" zoomScale="80" zoomScaleNormal="80" workbookViewId="0">
      <selection activeCell="G19" sqref="G19"/>
    </sheetView>
  </sheetViews>
  <sheetFormatPr defaultColWidth="9.140625" defaultRowHeight="12.75" x14ac:dyDescent="0.2"/>
  <cols>
    <col min="1" max="1" width="1.85546875" style="57" customWidth="1"/>
    <col min="2" max="2" width="29.140625" style="57" bestFit="1" customWidth="1"/>
    <col min="3" max="3" width="14" style="57" customWidth="1"/>
    <col min="4" max="4" width="1.140625" style="57" customWidth="1"/>
    <col min="5" max="5" width="15.5703125" style="58" customWidth="1"/>
    <col min="6" max="6" width="32.140625" style="58" bestFit="1" customWidth="1"/>
    <col min="7" max="7" width="17.28515625" style="58" customWidth="1"/>
    <col min="8" max="8" width="19.140625" style="59" customWidth="1"/>
    <col min="9" max="9" width="15.5703125" style="59" customWidth="1"/>
    <col min="10" max="10" width="0.7109375" style="57" customWidth="1"/>
    <col min="11" max="11" width="19.42578125" style="60" customWidth="1"/>
    <col min="12" max="12" width="21.28515625" style="60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6">
        <f>'04'!B1+1</f>
        <v>45448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9"/>
      <c r="F6" s="16"/>
      <c r="G6" s="31"/>
      <c r="H6" s="3"/>
      <c r="I6" s="3"/>
      <c r="J6" s="1"/>
      <c r="K6" s="16"/>
      <c r="L6" s="4"/>
      <c r="M6" s="11"/>
      <c r="R6" s="57">
        <f>IF(vend5[[#This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9"/>
      <c r="F7" s="16"/>
      <c r="G7" s="31"/>
      <c r="H7" s="3"/>
      <c r="I7" s="3"/>
      <c r="J7" s="1"/>
      <c r="K7" s="16"/>
      <c r="L7" s="4"/>
      <c r="M7" s="11"/>
      <c r="R7" s="57">
        <f>IF(vend5[[#This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9"/>
      <c r="F8" s="16"/>
      <c r="G8" s="31"/>
      <c r="H8" s="3"/>
      <c r="I8" s="3"/>
      <c r="J8" s="1"/>
      <c r="K8" s="16"/>
      <c r="L8" s="4"/>
      <c r="M8" s="11"/>
      <c r="R8" s="57">
        <f>IF(vend5[[#This Row],[Nº Venda]]&gt;1,1,0)</f>
        <v>0</v>
      </c>
    </row>
    <row r="9" spans="2:18" ht="15" x14ac:dyDescent="0.25">
      <c r="B9" s="1"/>
      <c r="C9" s="1"/>
      <c r="D9" s="1"/>
      <c r="E9" s="49"/>
      <c r="F9" s="16"/>
      <c r="G9" s="31"/>
      <c r="H9" s="3"/>
      <c r="I9" s="3"/>
      <c r="J9" s="1"/>
      <c r="K9" s="16"/>
      <c r="L9" s="4"/>
      <c r="M9" s="11"/>
      <c r="R9" s="57">
        <f>IF(vend5[[#This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16"/>
      <c r="G10" s="31"/>
      <c r="H10" s="3"/>
      <c r="I10" s="3"/>
      <c r="J10" s="1"/>
      <c r="K10" s="16"/>
      <c r="L10" s="4"/>
      <c r="M10" s="11"/>
      <c r="R10" s="57">
        <f>IF(vend5[[#This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9"/>
      <c r="F11" s="16"/>
      <c r="G11" s="31"/>
      <c r="H11" s="3"/>
      <c r="I11" s="3"/>
      <c r="J11" s="1"/>
      <c r="K11" s="18"/>
      <c r="L11" s="4"/>
      <c r="M11" s="11"/>
      <c r="O11" s="57">
        <f>IF(C16=0,0,1)</f>
        <v>0</v>
      </c>
      <c r="R11" s="57">
        <f>IF(vend5[[#This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9"/>
      <c r="F12" s="16"/>
      <c r="G12" s="17"/>
      <c r="H12" s="3"/>
      <c r="I12" s="3"/>
      <c r="J12" s="1"/>
      <c r="R12" s="57">
        <f>IF(vend5[[#This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IF(vend5[[#This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IF(vend5[[#This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9"/>
      <c r="F15" s="16"/>
      <c r="G15" s="17"/>
      <c r="H15" s="3"/>
      <c r="I15" s="3"/>
      <c r="J15" s="1"/>
      <c r="K15" s="16"/>
      <c r="L15" s="4"/>
      <c r="M15" s="91"/>
      <c r="N15" s="11"/>
      <c r="R15" s="57">
        <f>IF(vend5[[#This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9"/>
      <c r="F16" s="16"/>
      <c r="G16" s="17"/>
      <c r="H16" s="3"/>
      <c r="I16" s="3"/>
      <c r="J16" s="1"/>
      <c r="K16" s="16"/>
      <c r="L16" s="4"/>
      <c r="M16" s="92"/>
      <c r="N16" s="11"/>
      <c r="R16" s="57">
        <f>IF(vend5[[#This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16"/>
      <c r="L17" s="4"/>
      <c r="M17" s="11"/>
      <c r="R17" s="57">
        <f>IF(vend5[[#This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16"/>
      <c r="L18" s="4"/>
      <c r="M18" s="11"/>
      <c r="R18" s="57">
        <f>IF(vend5[[#This Row],[Nº Venda]]&gt;1,1,0)</f>
        <v>0</v>
      </c>
    </row>
    <row r="19" spans="2:18" ht="15" x14ac:dyDescent="0.25">
      <c r="B19" s="19">
        <f>COUNT(entr_carn5[OS])</f>
        <v>0</v>
      </c>
      <c r="C19" s="20">
        <f>SUM(entr_carn5[Valor Total])</f>
        <v>0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IF(vend5[[#This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IF(vend5[[#This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49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9"/>
      <c r="F26" s="16"/>
      <c r="G26" s="31"/>
      <c r="H26" s="3"/>
      <c r="I26" s="3"/>
      <c r="J26" s="1"/>
      <c r="K26" s="16"/>
      <c r="L26" s="4"/>
      <c r="M26" s="11"/>
    </row>
    <row r="27" spans="2:18" ht="15" x14ac:dyDescent="0.25">
      <c r="B27" s="1"/>
      <c r="C27" s="1"/>
      <c r="D27" s="1"/>
      <c r="E27" s="49"/>
      <c r="F27" s="16"/>
      <c r="G27" s="31"/>
      <c r="H27" s="3"/>
      <c r="I27" s="3"/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31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/>
      <c r="F35" s="16"/>
      <c r="G35" s="17"/>
      <c r="H35" s="3"/>
      <c r="I35" s="3"/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20" zoomScale="80" zoomScaleNormal="80" workbookViewId="0">
      <selection activeCell="G19" sqref="G19"/>
    </sheetView>
  </sheetViews>
  <sheetFormatPr defaultColWidth="9.140625" defaultRowHeight="12.75" x14ac:dyDescent="0.2"/>
  <cols>
    <col min="1" max="1" width="1.7109375" style="57" customWidth="1"/>
    <col min="2" max="2" width="23.28515625" style="57" bestFit="1" customWidth="1"/>
    <col min="3" max="3" width="14" style="57" customWidth="1"/>
    <col min="4" max="4" width="1.140625" style="57" customWidth="1"/>
    <col min="5" max="5" width="15.5703125" style="58" customWidth="1"/>
    <col min="6" max="6" width="34.28515625" style="58" bestFit="1" customWidth="1"/>
    <col min="7" max="7" width="17.28515625" style="58" customWidth="1"/>
    <col min="8" max="8" width="19.140625" style="59" customWidth="1"/>
    <col min="9" max="9" width="15.5703125" style="59" customWidth="1"/>
    <col min="10" max="10" width="1.140625" style="57" customWidth="1"/>
    <col min="11" max="11" width="21.7109375" style="60" customWidth="1"/>
    <col min="12" max="12" width="27.710937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'05'!B1+1</f>
        <v>45449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9"/>
      <c r="F6" s="72"/>
      <c r="G6" s="72"/>
      <c r="H6" s="73"/>
      <c r="I6" s="73"/>
      <c r="J6" s="1"/>
      <c r="K6" s="16"/>
      <c r="L6" s="4"/>
      <c r="M6" s="11"/>
      <c r="R6" s="57">
        <f>IF(vend[[#This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9"/>
      <c r="F7" s="16"/>
      <c r="G7" s="17"/>
      <c r="H7" s="3"/>
      <c r="I7" s="3"/>
      <c r="J7" s="1"/>
      <c r="K7" s="16"/>
      <c r="L7" s="4"/>
      <c r="M7" s="11"/>
      <c r="R7" s="57">
        <f>IF(vend[[#This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9"/>
      <c r="F8" s="16"/>
      <c r="G8" s="17"/>
      <c r="H8" s="3"/>
      <c r="I8" s="3"/>
      <c r="J8" s="1"/>
      <c r="K8" s="16"/>
      <c r="L8" s="4"/>
      <c r="M8" s="11"/>
      <c r="R8" s="57">
        <f>IF(vend[[#This Row],[Nº Venda]]&gt;1,1,0)</f>
        <v>0</v>
      </c>
    </row>
    <row r="9" spans="2:18" ht="15" x14ac:dyDescent="0.25">
      <c r="B9" s="1"/>
      <c r="C9" s="1"/>
      <c r="D9" s="1"/>
      <c r="E9" s="49"/>
      <c r="F9" s="16"/>
      <c r="G9" s="17"/>
      <c r="H9" s="3"/>
      <c r="I9" s="3"/>
      <c r="J9" s="1"/>
      <c r="K9" s="16"/>
      <c r="L9" s="4"/>
      <c r="M9" s="11"/>
      <c r="R9" s="57">
        <f>IF(vend[[#This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55"/>
      <c r="G10" s="17"/>
      <c r="H10" s="3"/>
      <c r="I10" s="3"/>
      <c r="J10" s="1"/>
      <c r="K10" s="16"/>
      <c r="L10" s="4"/>
      <c r="M10" s="11"/>
      <c r="R10" s="57">
        <f>IF(vend[[#This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>IF(C16=0,0,1)</f>
        <v>0</v>
      </c>
      <c r="R11" s="57">
        <f>IF(vend[[#This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9"/>
      <c r="F12" s="16"/>
      <c r="G12" s="17"/>
      <c r="H12" s="3"/>
      <c r="I12" s="3"/>
      <c r="J12" s="1"/>
      <c r="R12" s="57">
        <f>IF(vend[[#This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9"/>
      <c r="F15" s="16"/>
      <c r="G15" s="17"/>
      <c r="H15" s="3"/>
      <c r="I15" s="3"/>
      <c r="J15" s="1"/>
      <c r="K15" s="49"/>
      <c r="L15" s="16"/>
      <c r="M15" s="11"/>
      <c r="R15" s="57">
        <f>IF(vend[[#This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9"/>
      <c r="F16" s="16"/>
      <c r="G16" s="17"/>
      <c r="H16" s="3"/>
      <c r="I16" s="3"/>
      <c r="J16" s="1"/>
      <c r="K16" s="16"/>
      <c r="L16" s="4"/>
      <c r="M16" s="11"/>
      <c r="R16" s="57">
        <f>IF(vend[[#This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16"/>
      <c r="L17" s="4"/>
      <c r="M17" s="11"/>
      <c r="R17" s="57">
        <f>IF(vend[[#This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16"/>
      <c r="L18" s="4"/>
      <c r="M18" s="11"/>
      <c r="R18" s="57">
        <f>IF(vend[[#This Row],[Nº Venda]]&gt;1,1,0)</f>
        <v>0</v>
      </c>
    </row>
    <row r="19" spans="2:18" ht="15" x14ac:dyDescent="0.25">
      <c r="B19" s="19">
        <f>COUNT(entr_carn6[OS])</f>
        <v>0</v>
      </c>
      <c r="C19" s="20">
        <f>SUM(entr_carn6[Valor Total])</f>
        <v>0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49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50"/>
      <c r="F23" s="51"/>
      <c r="G23" s="51"/>
      <c r="H23" s="52"/>
      <c r="I23" s="53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9"/>
      <c r="F26" s="16"/>
      <c r="G26" s="17"/>
      <c r="H26" s="3"/>
      <c r="I26" s="3"/>
      <c r="J26" s="1"/>
      <c r="K26" s="16"/>
      <c r="L26" s="4"/>
      <c r="M26" s="11"/>
    </row>
    <row r="27" spans="2:18" ht="15" x14ac:dyDescent="0.25">
      <c r="B27" s="1"/>
      <c r="C27" s="1"/>
      <c r="D27" s="1"/>
      <c r="E27" s="49"/>
      <c r="F27" s="16"/>
      <c r="G27" s="17"/>
      <c r="H27" s="3"/>
      <c r="I27" s="3"/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17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50"/>
      <c r="F32" s="51"/>
      <c r="G32" s="51"/>
      <c r="H32" s="53"/>
      <c r="I32" s="53"/>
      <c r="K32" s="77"/>
      <c r="L32" s="77"/>
      <c r="M32" s="77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/>
      <c r="F35" s="16"/>
      <c r="G35" s="17"/>
      <c r="H35" s="3"/>
      <c r="I35" s="3"/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" zoomScale="80" zoomScaleNormal="80" workbookViewId="0">
      <selection activeCell="F29" sqref="F28:F29"/>
    </sheetView>
  </sheetViews>
  <sheetFormatPr defaultColWidth="9.140625" defaultRowHeight="12.75" x14ac:dyDescent="0.2"/>
  <cols>
    <col min="1" max="1" width="1.42578125" style="57" customWidth="1"/>
    <col min="2" max="2" width="29.42578125" style="57" bestFit="1" customWidth="1"/>
    <col min="3" max="3" width="14" style="57" customWidth="1"/>
    <col min="4" max="4" width="1.14062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0.855468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21" ht="31.5" x14ac:dyDescent="0.5">
      <c r="B1" s="36">
        <f>'06'!B1+1</f>
        <v>45450</v>
      </c>
    </row>
    <row r="2" spans="2:21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21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21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  <c r="U4" s="57">
        <v>0</v>
      </c>
    </row>
    <row r="5" spans="2:21" ht="15" x14ac:dyDescent="0.25">
      <c r="B5" s="14" t="s">
        <v>1</v>
      </c>
      <c r="C5" s="15">
        <f>SUMIF(I6:I31,"&gt;0",H6:H31)</f>
        <v>697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21" ht="15" x14ac:dyDescent="0.25">
      <c r="B6" s="14" t="s">
        <v>2</v>
      </c>
      <c r="C6" s="15">
        <f>SUM(I6:I41)</f>
        <v>242.8</v>
      </c>
      <c r="D6" s="1"/>
      <c r="E6" s="49">
        <v>944</v>
      </c>
      <c r="F6" s="72" t="s">
        <v>49</v>
      </c>
      <c r="G6" s="72" t="s">
        <v>6</v>
      </c>
      <c r="H6" s="73">
        <v>697</v>
      </c>
      <c r="I6" s="73">
        <v>70</v>
      </c>
      <c r="J6" s="1"/>
      <c r="K6" s="16"/>
      <c r="L6" s="4"/>
      <c r="M6" s="11"/>
      <c r="R6" s="57">
        <f>IF(vend7[[#This Row],[Nº Venda]]&gt;1,1,0)</f>
        <v>1</v>
      </c>
    </row>
    <row r="7" spans="2:21" ht="15" x14ac:dyDescent="0.25">
      <c r="B7" s="14" t="s">
        <v>3</v>
      </c>
      <c r="C7" s="15">
        <f>SUM(M6:M11)</f>
        <v>0</v>
      </c>
      <c r="D7" s="1"/>
      <c r="E7" s="49"/>
      <c r="F7" s="75"/>
      <c r="G7" s="75"/>
      <c r="H7" s="76"/>
      <c r="I7" s="76"/>
      <c r="J7" s="1"/>
      <c r="K7" s="16"/>
      <c r="L7" s="4"/>
      <c r="M7" s="11"/>
      <c r="R7" s="57">
        <f>IF(vend7[[#This Row],[Nº Venda]]&gt;1,1,0)</f>
        <v>0</v>
      </c>
    </row>
    <row r="8" spans="2:21" ht="15.75" x14ac:dyDescent="0.25">
      <c r="B8" s="65" t="s">
        <v>23</v>
      </c>
      <c r="C8" s="66">
        <f>SUM(C6:C7)</f>
        <v>242.8</v>
      </c>
      <c r="D8" s="1"/>
      <c r="E8" s="49"/>
      <c r="F8" s="16"/>
      <c r="G8" s="17"/>
      <c r="H8" s="3"/>
      <c r="I8" s="3"/>
      <c r="J8" s="1"/>
      <c r="K8" s="16"/>
      <c r="L8" s="4"/>
      <c r="M8" s="11"/>
      <c r="R8" s="57">
        <f>IF(vend7[[#This Row],[Nº Venda]]&gt;1,1,0)</f>
        <v>0</v>
      </c>
    </row>
    <row r="9" spans="2:21" ht="15" x14ac:dyDescent="0.25">
      <c r="B9" s="1"/>
      <c r="C9" s="1"/>
      <c r="D9" s="1"/>
      <c r="E9" s="49"/>
      <c r="F9" s="16"/>
      <c r="G9" s="17"/>
      <c r="H9" s="3"/>
      <c r="I9" s="3"/>
      <c r="J9" s="1"/>
      <c r="K9" s="16"/>
      <c r="L9" s="4"/>
      <c r="M9" s="11"/>
      <c r="R9" s="57">
        <f>IF(vend7[[#This Row],[Nº Venda]]&gt;1,1,0)</f>
        <v>0</v>
      </c>
    </row>
    <row r="10" spans="2:21" ht="15" x14ac:dyDescent="0.25">
      <c r="B10" s="123" t="s">
        <v>5</v>
      </c>
      <c r="C10" s="123"/>
      <c r="D10" s="1"/>
      <c r="E10" s="49"/>
      <c r="F10" s="16"/>
      <c r="G10" s="17"/>
      <c r="H10" s="3"/>
      <c r="I10" s="3"/>
      <c r="J10" s="1"/>
      <c r="K10" s="16"/>
      <c r="L10" s="4"/>
      <c r="M10" s="11"/>
      <c r="R10" s="57">
        <f>IF(vend7[[#This Row],[Nº Venda]]&gt;1,1,0)</f>
        <v>0</v>
      </c>
    </row>
    <row r="11" spans="2:21" ht="15" x14ac:dyDescent="0.25">
      <c r="B11" s="19" t="s">
        <v>6</v>
      </c>
      <c r="C11" s="20">
        <f>(SUMIF($G$2:$G$31,B11,$I$2:$I$31))+(SUMIF($G$35:$G$41,B11,$H$35:$H$41))</f>
        <v>170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>IF(C16=0,0,1)</f>
        <v>1</v>
      </c>
      <c r="R11" s="57">
        <f>IF(vend7[[#This Row],[Nº Venda]]&gt;1,1,0)</f>
        <v>0</v>
      </c>
    </row>
    <row r="12" spans="2:21" ht="15" x14ac:dyDescent="0.25">
      <c r="B12" s="19" t="s">
        <v>7</v>
      </c>
      <c r="C12" s="20">
        <f t="shared" ref="C12:C15" si="0">(SUMIF($G$2:$G$31,B12,$I$2:$I$31))+(SUMIF($G$35:$G$41,B12,$H$35:$H$41))</f>
        <v>72.8</v>
      </c>
      <c r="D12" s="1"/>
      <c r="E12" s="49"/>
      <c r="F12" s="16"/>
      <c r="G12" s="17"/>
      <c r="H12" s="3"/>
      <c r="I12" s="3"/>
      <c r="J12" s="1"/>
      <c r="R12" s="57">
        <f>IF(vend7[[#This Row],[Nº Venda]]&gt;1,1,0)</f>
        <v>0</v>
      </c>
    </row>
    <row r="13" spans="2:21" ht="15" x14ac:dyDescent="0.25">
      <c r="B13" s="19" t="s">
        <v>8</v>
      </c>
      <c r="C13" s="20">
        <f t="shared" si="0"/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IF(vend7[[#This Row],[Nº Venda]]&gt;1,1,0)</f>
        <v>0</v>
      </c>
    </row>
    <row r="14" spans="2:21" ht="15" x14ac:dyDescent="0.25">
      <c r="B14" s="19" t="s">
        <v>9</v>
      </c>
      <c r="C14" s="20">
        <f t="shared" si="0"/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IF(vend7[[#This Row],[Nº Venda]]&gt;1,1,0)</f>
        <v>0</v>
      </c>
    </row>
    <row r="15" spans="2:21" ht="15" x14ac:dyDescent="0.25">
      <c r="B15" s="19" t="s">
        <v>10</v>
      </c>
      <c r="C15" s="20">
        <f t="shared" si="0"/>
        <v>0</v>
      </c>
      <c r="D15" s="1"/>
      <c r="E15" s="49"/>
      <c r="F15" s="16"/>
      <c r="G15" s="17"/>
      <c r="H15" s="3"/>
      <c r="I15" s="3"/>
      <c r="J15" s="1"/>
      <c r="K15" s="84">
        <v>935</v>
      </c>
      <c r="L15" s="85" t="s">
        <v>43</v>
      </c>
      <c r="M15" s="86" t="s">
        <v>50</v>
      </c>
      <c r="R15" s="57">
        <f>IF(vend7[[#This Row],[Nº Venda]]&gt;1,1,0)</f>
        <v>0</v>
      </c>
    </row>
    <row r="16" spans="2:21" ht="15.75" x14ac:dyDescent="0.25">
      <c r="B16" s="65" t="s">
        <v>11</v>
      </c>
      <c r="C16" s="68">
        <f>SUM(C11:C15)</f>
        <v>242.8</v>
      </c>
      <c r="D16" s="1"/>
      <c r="E16" s="49"/>
      <c r="F16" s="16"/>
      <c r="G16" s="17"/>
      <c r="H16" s="3"/>
      <c r="I16" s="3"/>
      <c r="J16" s="1"/>
      <c r="K16" s="87"/>
      <c r="L16" s="4"/>
      <c r="M16" s="11"/>
      <c r="R16" s="57">
        <f>IF(vend7[[#This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87"/>
      <c r="L17" s="4"/>
      <c r="M17" s="11"/>
      <c r="R17" s="57">
        <f>IF(vend7[[#This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87"/>
      <c r="L18" s="4"/>
      <c r="M18" s="11"/>
      <c r="R18" s="57">
        <f>IF(vend7[[#This Row],[Nº Venda]]&gt;1,1,0)</f>
        <v>0</v>
      </c>
    </row>
    <row r="19" spans="2:18" ht="15" x14ac:dyDescent="0.25">
      <c r="B19" s="19">
        <f>COUNT(entr_carn7[OS])</f>
        <v>0</v>
      </c>
      <c r="C19" s="20">
        <f>SUM(entr_carn7[Valor Total])</f>
        <v>0</v>
      </c>
      <c r="D19" s="1"/>
      <c r="E19" s="49"/>
      <c r="F19" s="16"/>
      <c r="G19" s="17"/>
      <c r="H19" s="3"/>
      <c r="I19" s="3"/>
      <c r="J19" s="1"/>
      <c r="K19" s="87"/>
      <c r="L19" s="4"/>
      <c r="M19" s="11"/>
      <c r="R19" s="57">
        <f>IF(vend7[[#This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87"/>
      <c r="L20" s="4"/>
      <c r="M20" s="11"/>
      <c r="R20" s="57">
        <f>IF(vend7[[#This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87"/>
      <c r="L21" s="88"/>
      <c r="M21" s="11"/>
    </row>
    <row r="22" spans="2:18" ht="15.75" x14ac:dyDescent="0.25">
      <c r="B22" s="65" t="s">
        <v>29</v>
      </c>
      <c r="C22" s="68">
        <f>C5</f>
        <v>697</v>
      </c>
      <c r="D22" s="1"/>
      <c r="E22" s="49"/>
      <c r="F22" s="16"/>
      <c r="G22" s="17"/>
      <c r="H22" s="3"/>
      <c r="I22" s="3"/>
      <c r="J22" s="1"/>
      <c r="K22" s="87"/>
      <c r="L22" s="4"/>
      <c r="M22" s="11"/>
    </row>
    <row r="23" spans="2:18" ht="15" x14ac:dyDescent="0.25">
      <c r="B23" s="1"/>
      <c r="C23" s="1"/>
      <c r="D23" s="1"/>
      <c r="E23" s="50"/>
      <c r="F23" s="51"/>
      <c r="G23" s="51"/>
      <c r="H23" s="52"/>
      <c r="I23" s="53"/>
      <c r="J23" s="1"/>
      <c r="K23" s="87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87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87"/>
      <c r="L25" s="4"/>
      <c r="M25" s="11"/>
    </row>
    <row r="26" spans="2:18" ht="15" x14ac:dyDescent="0.25">
      <c r="B26" s="1"/>
      <c r="C26" s="1"/>
      <c r="D26" s="1"/>
      <c r="E26" s="81">
        <v>942</v>
      </c>
      <c r="F26" s="89" t="s">
        <v>41</v>
      </c>
      <c r="G26" s="90" t="s">
        <v>7</v>
      </c>
      <c r="H26" s="35"/>
      <c r="I26" s="35">
        <v>72.8</v>
      </c>
      <c r="J26" s="1"/>
      <c r="K26" s="87"/>
      <c r="L26" s="4"/>
      <c r="M26" s="11"/>
    </row>
    <row r="27" spans="2:18" ht="15" x14ac:dyDescent="0.25">
      <c r="B27" s="1"/>
      <c r="C27" s="1"/>
      <c r="D27" s="1"/>
      <c r="E27" s="49"/>
      <c r="F27" s="16" t="s">
        <v>173</v>
      </c>
      <c r="G27" s="17" t="s">
        <v>6</v>
      </c>
      <c r="H27" s="3"/>
      <c r="I27" s="3">
        <v>100</v>
      </c>
      <c r="J27" s="1"/>
      <c r="K27" s="87"/>
      <c r="L27" s="4"/>
      <c r="M27" s="11"/>
    </row>
    <row r="28" spans="2:18" ht="15" x14ac:dyDescent="0.25">
      <c r="B28" s="1"/>
      <c r="C28" s="1"/>
      <c r="D28" s="1"/>
      <c r="E28" s="49"/>
      <c r="F28" s="16"/>
      <c r="G28" s="17"/>
      <c r="H28" s="3"/>
      <c r="I28" s="3"/>
      <c r="J28" s="1"/>
      <c r="K28" s="87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87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87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87"/>
      <c r="L31" s="4"/>
      <c r="M31" s="11"/>
    </row>
    <row r="32" spans="2:18" ht="15" x14ac:dyDescent="0.25">
      <c r="B32" s="1"/>
      <c r="C32" s="1"/>
      <c r="E32" s="50"/>
      <c r="F32" s="51"/>
      <c r="G32" s="51"/>
      <c r="H32" s="53"/>
      <c r="I32" s="53"/>
      <c r="K32" s="77"/>
      <c r="L32" s="77"/>
      <c r="M32" s="77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/>
      <c r="F35" s="16"/>
      <c r="G35" s="17"/>
      <c r="H35" s="3"/>
      <c r="I35" s="3"/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1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7" zoomScale="80" zoomScaleNormal="80" workbookViewId="0">
      <selection activeCell="G19" sqref="G19"/>
    </sheetView>
  </sheetViews>
  <sheetFormatPr defaultColWidth="9.140625" defaultRowHeight="12.75" x14ac:dyDescent="0.2"/>
  <cols>
    <col min="1" max="1" width="1.5703125" style="57" customWidth="1"/>
    <col min="2" max="2" width="29.85546875" style="57" bestFit="1" customWidth="1"/>
    <col min="3" max="3" width="13.42578125" style="57" customWidth="1"/>
    <col min="4" max="4" width="1.140625" style="57" customWidth="1"/>
    <col min="5" max="5" width="15.5703125" style="58" customWidth="1"/>
    <col min="6" max="6" width="28.57031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1.140625" style="57" customWidth="1"/>
    <col min="11" max="11" width="20.140625" style="60" customWidth="1"/>
    <col min="12" max="12" width="20" style="60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6">
        <f>'07'!B1+1</f>
        <v>45451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80"/>
      <c r="F6" s="3"/>
      <c r="G6" s="3"/>
      <c r="H6" s="3"/>
      <c r="I6" s="3"/>
      <c r="J6" s="1"/>
      <c r="K6" s="16"/>
      <c r="L6" s="4"/>
      <c r="M6" s="11"/>
      <c r="R6" s="57">
        <f>IF(vend8[[#This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80"/>
      <c r="F7" s="3"/>
      <c r="G7" s="3"/>
      <c r="H7" s="3"/>
      <c r="I7" s="3"/>
      <c r="J7" s="1"/>
      <c r="K7" s="16"/>
      <c r="L7" s="4"/>
      <c r="M7" s="11"/>
      <c r="R7" s="57">
        <f>IF(vend8[[#This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80"/>
      <c r="F8" s="3"/>
      <c r="G8" s="3"/>
      <c r="H8" s="3"/>
      <c r="I8" s="3"/>
      <c r="J8" s="1"/>
      <c r="K8" s="16"/>
      <c r="L8" s="4"/>
      <c r="M8" s="11"/>
      <c r="R8" s="57">
        <f>IF(vend8[[#This Row],[Nº Venda]]&gt;1,1,0)</f>
        <v>0</v>
      </c>
    </row>
    <row r="9" spans="2:18" ht="15" x14ac:dyDescent="0.25">
      <c r="B9" s="1"/>
      <c r="C9" s="1"/>
      <c r="D9" s="1"/>
      <c r="E9" s="80"/>
      <c r="F9" s="3"/>
      <c r="G9" s="3"/>
      <c r="H9" s="3"/>
      <c r="I9" s="3"/>
      <c r="J9" s="1"/>
      <c r="K9" s="16"/>
      <c r="L9" s="4"/>
      <c r="M9" s="11"/>
      <c r="R9" s="57">
        <f>IF(vend8[[#This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16"/>
      <c r="G10" s="17"/>
      <c r="H10" s="3"/>
      <c r="I10" s="3"/>
      <c r="J10" s="1"/>
      <c r="K10" s="16"/>
      <c r="L10" s="4"/>
      <c r="M10" s="11"/>
      <c r="R10" s="57">
        <f>IF(vend8[[#This Row],[Nº Venda]]&gt;1,1,0)</f>
        <v>0</v>
      </c>
    </row>
    <row r="11" spans="2:18" ht="15" x14ac:dyDescent="0.25">
      <c r="B11" s="19" t="s">
        <v>6</v>
      </c>
      <c r="C11" s="67">
        <f>(SUMIF($G$2:$G$31,B11,$I$2:$I$31))+(SUMIF($G$35:$G$42,B11,$H$35:$H$42))</f>
        <v>0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>IF(C16=0,0,1)</f>
        <v>1</v>
      </c>
      <c r="R11" s="57">
        <f>IF(vend8[[#This Row],[Nº Venda]]&gt;1,1,0)</f>
        <v>0</v>
      </c>
    </row>
    <row r="12" spans="2:18" ht="15" x14ac:dyDescent="0.25">
      <c r="B12" s="19" t="s">
        <v>7</v>
      </c>
      <c r="C12" s="67">
        <f>(SUMIF($G$2:$G$31,B12,$I$2:$I$31))+(SUMIF($G$35:$G$42,B12,$H$35:$H$42))</f>
        <v>0</v>
      </c>
      <c r="D12" s="1"/>
      <c r="E12" s="49"/>
      <c r="F12" s="16"/>
      <c r="G12" s="17"/>
      <c r="H12" s="3"/>
      <c r="I12" s="3"/>
      <c r="J12" s="1"/>
      <c r="R12" s="57">
        <f>IF(vend8[[#This Row],[Nº Venda]]&gt;1,1,0)</f>
        <v>0</v>
      </c>
    </row>
    <row r="13" spans="2:18" ht="15" x14ac:dyDescent="0.25">
      <c r="B13" s="19" t="s">
        <v>8</v>
      </c>
      <c r="C13" s="67">
        <f>(SUMIF($G$2:$G$31,B13,$I$2:$I$31))+(SUMIF($G$35:$G$42,B13,$H$35:$H$42))</f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IF(vend8[[#This Row],[Nº Venda]]&gt;1,1,0)</f>
        <v>0</v>
      </c>
    </row>
    <row r="14" spans="2:18" ht="15" x14ac:dyDescent="0.25">
      <c r="B14" s="19" t="s">
        <v>9</v>
      </c>
      <c r="C14" s="67">
        <f>(SUMIF($G$2:$G$31,B14,$I$2:$I$31))+(SUMIF($G$35:$G$42,B14,$H$35:$H$42))</f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IF(vend8[[#This Row],[Nº Venda]]&gt;1,1,0)</f>
        <v>0</v>
      </c>
    </row>
    <row r="15" spans="2:18" ht="15" x14ac:dyDescent="0.25">
      <c r="B15" s="19" t="s">
        <v>10</v>
      </c>
      <c r="C15" s="67">
        <f>(SUMIF($G$2:$G$31,B15,$I$2:$I$31))+(SUMIF($G$35:$G$42,B15,$H$35:$H$42))</f>
        <v>113</v>
      </c>
      <c r="D15" s="1"/>
      <c r="E15" s="49"/>
      <c r="F15" s="16"/>
      <c r="G15" s="17"/>
      <c r="H15" s="3"/>
      <c r="I15" s="3"/>
      <c r="J15" s="1"/>
      <c r="K15" s="16"/>
      <c r="L15" s="4"/>
      <c r="M15" s="11"/>
      <c r="R15" s="57">
        <f>IF(vend8[[#This Row],[Nº Venda]]&gt;1,1,0)</f>
        <v>0</v>
      </c>
    </row>
    <row r="16" spans="2:18" ht="15.75" x14ac:dyDescent="0.25">
      <c r="B16" s="65" t="s">
        <v>11</v>
      </c>
      <c r="C16" s="68">
        <f>SUM(C11:C15)</f>
        <v>113</v>
      </c>
      <c r="D16" s="1"/>
      <c r="E16" s="49"/>
      <c r="F16" s="16"/>
      <c r="G16" s="17"/>
      <c r="H16" s="3"/>
      <c r="I16" s="3"/>
      <c r="J16" s="1"/>
      <c r="K16" s="16"/>
      <c r="L16" s="4"/>
      <c r="M16" s="11"/>
      <c r="R16" s="57">
        <f>IF(vend8[[#This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16"/>
      <c r="L17" s="4"/>
      <c r="M17" s="11"/>
      <c r="R17" s="57">
        <f>IF(vend8[[#This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16"/>
      <c r="L18" s="4"/>
      <c r="M18" s="11"/>
      <c r="R18" s="57">
        <f>IF(vend8[[#This Row],[Nº Venda]]&gt;1,1,0)</f>
        <v>0</v>
      </c>
    </row>
    <row r="19" spans="2:18" ht="15" x14ac:dyDescent="0.25">
      <c r="B19" s="19">
        <f>COUNT(entr_carn8[OS])</f>
        <v>0</v>
      </c>
      <c r="C19" s="20">
        <f>SUM(entr_carn8[Valor Total])</f>
        <v>0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IF(vend8[[#This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IF(vend8[[#This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49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50"/>
      <c r="F23" s="51"/>
      <c r="G23" s="51"/>
      <c r="H23" s="52"/>
      <c r="I23" s="53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81"/>
      <c r="F26" s="82"/>
      <c r="G26" s="83"/>
      <c r="H26" s="35"/>
      <c r="I26" s="35"/>
      <c r="J26" s="1"/>
      <c r="K26" s="16"/>
      <c r="L26" s="4"/>
      <c r="M26" s="11"/>
    </row>
    <row r="27" spans="2:18" ht="15" x14ac:dyDescent="0.25">
      <c r="B27" s="1"/>
      <c r="C27" s="1"/>
      <c r="D27" s="1"/>
      <c r="E27" s="49"/>
      <c r="F27" s="16"/>
      <c r="G27" s="31"/>
      <c r="H27" s="3"/>
      <c r="I27" s="3"/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31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31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16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50"/>
      <c r="F32" s="51"/>
      <c r="G32" s="51"/>
      <c r="H32" s="53"/>
      <c r="I32" s="53"/>
      <c r="K32" s="77"/>
      <c r="L32" s="77"/>
      <c r="M32" s="77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>
        <v>811</v>
      </c>
      <c r="F35" s="16" t="s">
        <v>141</v>
      </c>
      <c r="G35" s="17" t="s">
        <v>10</v>
      </c>
      <c r="H35" s="3">
        <v>113</v>
      </c>
      <c r="I35" s="3" t="s">
        <v>83</v>
      </c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4"/>
      <c r="F41" s="25"/>
      <c r="G41" s="17"/>
      <c r="H41" s="3"/>
      <c r="I41" s="3"/>
      <c r="K41" s="30"/>
      <c r="L41" s="27"/>
      <c r="M41" s="26"/>
    </row>
    <row r="42" spans="2:18" ht="15" x14ac:dyDescent="0.25">
      <c r="E42" s="54"/>
      <c r="F42" s="48"/>
      <c r="G42" s="23"/>
      <c r="H42" s="12"/>
      <c r="I42" s="1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9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5.28515625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22" ht="27" x14ac:dyDescent="0.5">
      <c r="B1" s="32">
        <f>'08'!B1+1</f>
        <v>45452</v>
      </c>
    </row>
    <row r="2" spans="2:22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22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22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22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22" ht="15.75" x14ac:dyDescent="0.25">
      <c r="B6" s="14" t="s">
        <v>2</v>
      </c>
      <c r="C6" s="15">
        <f>SUM(I6:I41)</f>
        <v>0</v>
      </c>
      <c r="D6" s="1"/>
      <c r="E6" s="13"/>
      <c r="F6" s="16"/>
      <c r="G6" s="31"/>
      <c r="H6" s="3"/>
      <c r="I6" s="3"/>
      <c r="J6" s="1"/>
      <c r="K6" s="16"/>
      <c r="L6" s="4"/>
      <c r="M6" s="11"/>
      <c r="R6" s="57">
        <f>IF(vend9[[#This Row],[Nº Venda]]&gt;1,1,0)</f>
        <v>0</v>
      </c>
    </row>
    <row r="7" spans="2:22" ht="15.75" x14ac:dyDescent="0.25">
      <c r="B7" s="14" t="s">
        <v>3</v>
      </c>
      <c r="C7" s="15">
        <f>SUM(M6:M11)</f>
        <v>0</v>
      </c>
      <c r="D7" s="1"/>
      <c r="E7" s="13"/>
      <c r="F7" s="16"/>
      <c r="G7" s="31"/>
      <c r="H7" s="3"/>
      <c r="I7" s="3"/>
      <c r="J7" s="1"/>
      <c r="K7" s="16"/>
      <c r="L7" s="4"/>
      <c r="M7" s="11"/>
      <c r="R7" s="57">
        <f>IF(vend9[[#This Row],[Nº Venda]]&gt;1,1,0)</f>
        <v>0</v>
      </c>
    </row>
    <row r="8" spans="2:22" ht="15.75" x14ac:dyDescent="0.25">
      <c r="B8" s="65" t="s">
        <v>23</v>
      </c>
      <c r="C8" s="66">
        <f>SUM(C6:C7)</f>
        <v>0</v>
      </c>
      <c r="D8" s="1"/>
      <c r="E8" s="13"/>
      <c r="F8" s="16"/>
      <c r="G8" s="17"/>
      <c r="H8" s="3"/>
      <c r="I8" s="3"/>
      <c r="J8" s="1"/>
      <c r="K8" s="16"/>
      <c r="L8" s="4"/>
      <c r="M8" s="11"/>
      <c r="R8" s="57">
        <f>IF(vend9[[#This Row],[Nº Venda]]&gt;1,1,0)</f>
        <v>0</v>
      </c>
    </row>
    <row r="9" spans="2:22" ht="15.75" x14ac:dyDescent="0.25">
      <c r="B9" s="1"/>
      <c r="C9" s="1"/>
      <c r="D9" s="1"/>
      <c r="E9" s="13"/>
      <c r="F9" s="16"/>
      <c r="G9" s="17"/>
      <c r="H9" s="3"/>
      <c r="I9" s="3"/>
      <c r="J9" s="1"/>
      <c r="K9" s="16"/>
      <c r="L9" s="4"/>
      <c r="M9" s="11"/>
      <c r="R9" s="57">
        <f>IF(vend9[[#This Row],[Nº Venda]]&gt;1,1,0)</f>
        <v>0</v>
      </c>
    </row>
    <row r="10" spans="2:22" ht="15.75" x14ac:dyDescent="0.25">
      <c r="B10" s="123" t="s">
        <v>5</v>
      </c>
      <c r="C10" s="123"/>
      <c r="D10" s="1"/>
      <c r="E10" s="13"/>
      <c r="F10" s="16"/>
      <c r="G10" s="17"/>
      <c r="H10" s="3"/>
      <c r="I10" s="3"/>
      <c r="J10" s="1"/>
      <c r="K10" s="16"/>
      <c r="L10" s="4"/>
      <c r="M10" s="11"/>
      <c r="R10" s="57">
        <f>IF(vend9[[#This Row],[Nº Venda]]&gt;1,1,0)</f>
        <v>0</v>
      </c>
    </row>
    <row r="11" spans="2:22" ht="15.75" x14ac:dyDescent="0.25">
      <c r="B11" s="19" t="s">
        <v>6</v>
      </c>
      <c r="C11" s="20">
        <f>(SUMIF($G$2:$G$31,B11,$I$2:$I$31))+(SUMIF($G$35:$G$41,B11,$H$35:$H$41))</f>
        <v>0</v>
      </c>
      <c r="D11" s="1"/>
      <c r="E11" s="13"/>
      <c r="F11" s="16"/>
      <c r="G11" s="17"/>
      <c r="H11" s="3"/>
      <c r="I11" s="3"/>
      <c r="J11" s="1"/>
      <c r="K11" s="18"/>
      <c r="L11" s="4"/>
      <c r="M11" s="11"/>
      <c r="O11" s="57">
        <f>IF(C16=0,0,1)</f>
        <v>0</v>
      </c>
      <c r="R11" s="57">
        <f>IF(vend9[[#This Row],[Nº Venda]]&gt;1,1,0)</f>
        <v>0</v>
      </c>
    </row>
    <row r="12" spans="2:22" ht="15.7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13"/>
      <c r="F12" s="16"/>
      <c r="G12" s="17"/>
      <c r="H12" s="3"/>
      <c r="I12" s="3"/>
      <c r="J12" s="1"/>
      <c r="R12" s="57">
        <f>IF(vend9[[#This Row],[Nº Venda]]&gt;1,1,0)</f>
        <v>0</v>
      </c>
      <c r="V12" s="57">
        <v>0</v>
      </c>
    </row>
    <row r="13" spans="2:22" ht="15.75" x14ac:dyDescent="0.25">
      <c r="B13" s="19" t="s">
        <v>8</v>
      </c>
      <c r="C13" s="20">
        <f t="shared" si="0"/>
        <v>0</v>
      </c>
      <c r="D13" s="1"/>
      <c r="E13" s="13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IF(vend9[[#This Row],[Nº Venda]]&gt;1,1,0)</f>
        <v>0</v>
      </c>
    </row>
    <row r="14" spans="2:22" ht="15.75" x14ac:dyDescent="0.25">
      <c r="B14" s="19" t="s">
        <v>9</v>
      </c>
      <c r="C14" s="20">
        <f t="shared" si="0"/>
        <v>0</v>
      </c>
      <c r="D14" s="1"/>
      <c r="E14" s="13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IF(vend9[[#This Row],[Nº Venda]]&gt;1,1,0)</f>
        <v>0</v>
      </c>
    </row>
    <row r="15" spans="2:22" ht="15.75" x14ac:dyDescent="0.25">
      <c r="B15" s="19" t="s">
        <v>10</v>
      </c>
      <c r="C15" s="20">
        <f t="shared" si="0"/>
        <v>0</v>
      </c>
      <c r="D15" s="1"/>
      <c r="E15" s="13"/>
      <c r="F15" s="16"/>
      <c r="G15" s="17"/>
      <c r="H15" s="3"/>
      <c r="I15" s="3"/>
      <c r="J15" s="1"/>
      <c r="K15" s="16"/>
      <c r="L15" s="4"/>
      <c r="M15" s="11"/>
      <c r="R15" s="57">
        <f>IF(vend9[[#This Row],[Nº Venda]]&gt;1,1,0)</f>
        <v>0</v>
      </c>
    </row>
    <row r="16" spans="2:22" ht="15.75" x14ac:dyDescent="0.25">
      <c r="B16" s="65" t="s">
        <v>11</v>
      </c>
      <c r="C16" s="68">
        <f>SUM(C11:C15)</f>
        <v>0</v>
      </c>
      <c r="D16" s="1"/>
      <c r="E16" s="13"/>
      <c r="F16" s="16"/>
      <c r="G16" s="17"/>
      <c r="H16" s="3"/>
      <c r="I16" s="3"/>
      <c r="J16" s="1"/>
      <c r="K16" s="16"/>
      <c r="L16" s="4"/>
      <c r="M16" s="11"/>
      <c r="R16" s="57">
        <f>IF(vend9[[#This Row],[Nº Venda]]&gt;1,1,0)</f>
        <v>0</v>
      </c>
    </row>
    <row r="17" spans="2:18" ht="15.75" x14ac:dyDescent="0.25">
      <c r="B17" s="1"/>
      <c r="C17" s="1"/>
      <c r="D17" s="1"/>
      <c r="E17" s="13"/>
      <c r="F17" s="16"/>
      <c r="G17" s="17"/>
      <c r="H17" s="3"/>
      <c r="I17" s="3"/>
      <c r="J17" s="1"/>
      <c r="K17" s="16"/>
      <c r="L17" s="4"/>
      <c r="M17" s="11"/>
      <c r="R17" s="57">
        <f>IF(vend9[[#This Row],[Nº Venda]]&gt;1,1,0)</f>
        <v>0</v>
      </c>
    </row>
    <row r="18" spans="2:18" ht="15.75" x14ac:dyDescent="0.25">
      <c r="B18" s="123" t="s">
        <v>12</v>
      </c>
      <c r="C18" s="123"/>
      <c r="D18" s="1"/>
      <c r="E18" s="13"/>
      <c r="F18" s="16"/>
      <c r="G18" s="17"/>
      <c r="H18" s="3"/>
      <c r="I18" s="3"/>
      <c r="J18" s="1"/>
      <c r="K18" s="16"/>
      <c r="L18" s="4"/>
      <c r="M18" s="11"/>
      <c r="R18" s="57">
        <f>IF(vend9[[#This Row],[Nº Venda]]&gt;1,1,0)</f>
        <v>0</v>
      </c>
    </row>
    <row r="19" spans="2:18" ht="15.75" x14ac:dyDescent="0.25">
      <c r="B19" s="19">
        <f>COUNT(entr_carn9[OS])</f>
        <v>0</v>
      </c>
      <c r="C19" s="20">
        <f>SUM(entr_carn9[Valor Total])</f>
        <v>0</v>
      </c>
      <c r="D19" s="1"/>
      <c r="E19" s="13"/>
      <c r="F19" s="16"/>
      <c r="G19" s="17"/>
      <c r="H19" s="3"/>
      <c r="I19" s="3"/>
      <c r="J19" s="1"/>
      <c r="K19" s="16"/>
      <c r="L19" s="4"/>
      <c r="M19" s="11"/>
      <c r="R19" s="57">
        <f>IF(vend9[[#This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13"/>
      <c r="F20" s="16"/>
      <c r="G20" s="17"/>
      <c r="H20" s="3"/>
      <c r="I20" s="3"/>
      <c r="J20" s="1"/>
      <c r="K20" s="16"/>
      <c r="L20" s="4"/>
      <c r="M20" s="11"/>
      <c r="R20" s="57">
        <f>IF(vend9[[#This Row],[Nº Venda]]&gt;1,1,0)</f>
        <v>0</v>
      </c>
    </row>
    <row r="21" spans="2:18" ht="15.75" x14ac:dyDescent="0.25">
      <c r="B21" s="1"/>
      <c r="C21" s="1"/>
      <c r="D21" s="1"/>
      <c r="E21" s="13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13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.75" x14ac:dyDescent="0.25">
      <c r="B26" s="1"/>
      <c r="C26" s="1"/>
      <c r="D26" s="1"/>
      <c r="E26" s="13"/>
      <c r="F26" s="16"/>
      <c r="G26" s="31"/>
      <c r="H26" s="3"/>
      <c r="I26" s="3"/>
      <c r="J26" s="1"/>
      <c r="K26" s="16"/>
      <c r="L26" s="4"/>
      <c r="M26" s="11"/>
    </row>
    <row r="27" spans="2:18" ht="15.75" x14ac:dyDescent="0.25">
      <c r="B27" s="1"/>
      <c r="C27" s="1"/>
      <c r="D27" s="1"/>
      <c r="E27" s="13"/>
      <c r="F27" s="16"/>
      <c r="G27" s="17"/>
      <c r="H27" s="3"/>
      <c r="I27" s="3"/>
      <c r="J27" s="1"/>
      <c r="K27" s="16"/>
      <c r="L27" s="4"/>
      <c r="M27" s="11"/>
    </row>
    <row r="28" spans="2:18" ht="15.75" x14ac:dyDescent="0.25">
      <c r="B28" s="1"/>
      <c r="C28" s="1"/>
      <c r="D28" s="1"/>
      <c r="E28" s="13"/>
      <c r="F28" s="16"/>
      <c r="G28" s="17"/>
      <c r="H28" s="3"/>
      <c r="I28" s="3"/>
      <c r="J28" s="1"/>
      <c r="K28" s="16"/>
      <c r="L28" s="4"/>
      <c r="M28" s="11"/>
    </row>
    <row r="29" spans="2:18" ht="15.75" x14ac:dyDescent="0.25">
      <c r="B29" s="1"/>
      <c r="C29" s="1"/>
      <c r="D29" s="1"/>
      <c r="E29" s="13"/>
      <c r="F29" s="16"/>
      <c r="G29" s="17"/>
      <c r="H29" s="3"/>
      <c r="I29" s="3"/>
      <c r="J29" s="1"/>
      <c r="K29" s="16"/>
      <c r="L29" s="4"/>
      <c r="M29" s="11"/>
    </row>
    <row r="30" spans="2:18" ht="15.75" x14ac:dyDescent="0.25">
      <c r="B30" s="1"/>
      <c r="C30" s="1"/>
      <c r="D30" s="1"/>
      <c r="E30" s="13"/>
      <c r="F30" s="25"/>
      <c r="G30" s="17"/>
      <c r="H30" s="3"/>
      <c r="I30" s="3"/>
      <c r="J30" s="1"/>
      <c r="K30" s="16"/>
      <c r="L30" s="4"/>
      <c r="M30" s="11"/>
    </row>
    <row r="31" spans="2:18" ht="15.75" x14ac:dyDescent="0.25">
      <c r="B31" s="1"/>
      <c r="C31" s="1"/>
      <c r="D31" s="1"/>
      <c r="E31" s="21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.75" x14ac:dyDescent="0.25">
      <c r="E35" s="13"/>
      <c r="F35" s="16"/>
      <c r="G35" s="17"/>
      <c r="H35" s="3"/>
      <c r="I35" s="3"/>
      <c r="K35" s="16"/>
      <c r="L35" s="27"/>
      <c r="M35" s="11"/>
    </row>
    <row r="36" spans="2:18" ht="15.75" x14ac:dyDescent="0.25">
      <c r="E36" s="13"/>
      <c r="F36" s="16"/>
      <c r="G36" s="17"/>
      <c r="H36" s="3"/>
      <c r="I36" s="3"/>
      <c r="K36" s="16"/>
      <c r="L36" s="27"/>
      <c r="M36" s="11"/>
    </row>
    <row r="37" spans="2:18" ht="15.75" x14ac:dyDescent="0.25">
      <c r="E37" s="13"/>
      <c r="F37" s="16"/>
      <c r="G37" s="17"/>
      <c r="H37" s="3"/>
      <c r="I37" s="3"/>
      <c r="K37" s="16"/>
      <c r="L37" s="27"/>
      <c r="M37" s="11"/>
    </row>
    <row r="38" spans="2:18" ht="15.75" x14ac:dyDescent="0.25">
      <c r="E38" s="13"/>
      <c r="F38" s="16"/>
      <c r="G38" s="17"/>
      <c r="H38" s="3"/>
      <c r="I38" s="3"/>
      <c r="K38" s="16"/>
      <c r="L38" s="27"/>
      <c r="M38" s="11"/>
    </row>
    <row r="39" spans="2:18" ht="15.75" x14ac:dyDescent="0.25">
      <c r="E39" s="13"/>
      <c r="F39" s="25"/>
      <c r="G39" s="17"/>
      <c r="H39" s="3"/>
      <c r="I39" s="3"/>
      <c r="K39" s="16"/>
      <c r="L39" s="27"/>
      <c r="M39" s="11"/>
    </row>
    <row r="40" spans="2:18" ht="15.75" x14ac:dyDescent="0.25">
      <c r="E40" s="21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.75" x14ac:dyDescent="0.25">
      <c r="E41" s="29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5" zoomScale="80" zoomScaleNormal="80" workbookViewId="0">
      <selection activeCell="G19" sqref="G19"/>
    </sheetView>
  </sheetViews>
  <sheetFormatPr defaultColWidth="9.140625" defaultRowHeight="12.75" x14ac:dyDescent="0.2"/>
  <cols>
    <col min="1" max="1" width="2.28515625" style="57" customWidth="1"/>
    <col min="2" max="2" width="23.28515625" style="57" bestFit="1" customWidth="1"/>
    <col min="3" max="3" width="14" style="57" customWidth="1"/>
    <col min="4" max="4" width="1.42578125" style="57" customWidth="1"/>
    <col min="5" max="5" width="15.5703125" style="58" customWidth="1"/>
    <col min="6" max="6" width="32.140625" style="58" bestFit="1" customWidth="1"/>
    <col min="7" max="7" width="17.28515625" style="58" customWidth="1"/>
    <col min="8" max="8" width="19.140625" style="59" customWidth="1"/>
    <col min="9" max="9" width="15.5703125" style="59" customWidth="1"/>
    <col min="10" max="10" width="1.2851562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'09'!B1+1</f>
        <v>45453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SUMIF(I6:I32,"&gt;0",H6:H32)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SUM(I6:I42)</f>
        <v>1147</v>
      </c>
      <c r="D6" s="1"/>
      <c r="E6" s="49"/>
      <c r="F6" s="16"/>
      <c r="G6" s="31"/>
      <c r="H6" s="3"/>
      <c r="I6" s="3"/>
      <c r="J6" s="1"/>
      <c r="K6" s="16"/>
      <c r="L6" s="4"/>
      <c r="M6" s="11"/>
      <c r="R6" s="57">
        <f>IF(vend10[[#This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9"/>
      <c r="F7" s="16"/>
      <c r="G7" s="31"/>
      <c r="H7" s="3"/>
      <c r="I7" s="3"/>
      <c r="J7" s="1"/>
      <c r="K7" s="16"/>
      <c r="L7" s="4"/>
      <c r="M7" s="11"/>
      <c r="R7" s="57">
        <f>IF(vend10[[#This Row],[Nº Venda]]&gt;1,1,0)</f>
        <v>0</v>
      </c>
    </row>
    <row r="8" spans="2:18" ht="15.75" x14ac:dyDescent="0.25">
      <c r="B8" s="65" t="s">
        <v>23</v>
      </c>
      <c r="C8" s="66">
        <f>SUM(C6:C7)</f>
        <v>1147</v>
      </c>
      <c r="D8" s="1"/>
      <c r="E8" s="49"/>
      <c r="F8" s="16"/>
      <c r="G8" s="17"/>
      <c r="H8" s="3"/>
      <c r="I8" s="3"/>
      <c r="J8" s="1"/>
      <c r="K8" s="16"/>
      <c r="L8" s="4"/>
      <c r="M8" s="11"/>
      <c r="R8" s="57">
        <f>IF(vend10[[#This Row],[Nº Venda]]&gt;1,1,0)</f>
        <v>0</v>
      </c>
    </row>
    <row r="9" spans="2:18" ht="15" x14ac:dyDescent="0.25">
      <c r="B9" s="1"/>
      <c r="C9" s="1"/>
      <c r="D9" s="1"/>
      <c r="E9" s="49"/>
      <c r="F9" s="16"/>
      <c r="G9" s="17"/>
      <c r="H9" s="3"/>
      <c r="I9" s="3"/>
      <c r="J9" s="1"/>
      <c r="K9" s="16"/>
      <c r="L9" s="4"/>
      <c r="M9" s="11"/>
      <c r="R9" s="57">
        <f>IF(vend10[[#This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16"/>
      <c r="G10" s="17"/>
      <c r="H10" s="3"/>
      <c r="I10" s="3"/>
      <c r="J10" s="1"/>
      <c r="K10" s="16"/>
      <c r="L10" s="4"/>
      <c r="M10" s="11"/>
      <c r="R10" s="57">
        <f>IF(vend10[[#This Row],[Nº Venda]]&gt;1,1,0)</f>
        <v>0</v>
      </c>
    </row>
    <row r="11" spans="2:18" ht="15" x14ac:dyDescent="0.25">
      <c r="B11" s="19" t="s">
        <v>6</v>
      </c>
      <c r="C11" s="20">
        <f>(SUMIF($G$2:$G$32,B11,$I$2:$I$32))+(SUMIF($G$36:$G$42,B11,$H$36:$H$42))</f>
        <v>0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>IF(C16=0,0,1)</f>
        <v>1</v>
      </c>
      <c r="R11" s="57">
        <f>IF(vend10[[#This Row],[Nº Venda]]&gt;1,1,0)</f>
        <v>0</v>
      </c>
    </row>
    <row r="12" spans="2:18" ht="15" x14ac:dyDescent="0.25">
      <c r="B12" s="19" t="s">
        <v>7</v>
      </c>
      <c r="C12" s="20">
        <f>(SUMIF($G$2:$G$32,B12,$I$2:$I$32))+(SUMIF($G$36:$G$42,B12,$H$36:$H$42))</f>
        <v>1147</v>
      </c>
      <c r="D12" s="1"/>
      <c r="E12" s="49"/>
      <c r="F12" s="16"/>
      <c r="G12" s="17"/>
      <c r="H12" s="3"/>
      <c r="I12" s="3"/>
      <c r="J12" s="1"/>
      <c r="R12" s="57">
        <f>IF(vend10[[#This Row],[Nº Venda]]&gt;1,1,0)</f>
        <v>0</v>
      </c>
    </row>
    <row r="13" spans="2:18" ht="15" x14ac:dyDescent="0.25">
      <c r="B13" s="19" t="s">
        <v>8</v>
      </c>
      <c r="C13" s="20">
        <f>(SUMIF($G$2:$G$32,B13,$I$2:$I$32))+(SUMIF($G$36:$G$42,B13,$H$36:$H$42))</f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IF(vend10[[#This Row],[Nº Venda]]&gt;1,1,0)</f>
        <v>0</v>
      </c>
    </row>
    <row r="14" spans="2:18" ht="15" x14ac:dyDescent="0.25">
      <c r="B14" s="19" t="s">
        <v>9</v>
      </c>
      <c r="C14" s="20">
        <f>(SUMIF($G$2:$G$32,B14,$I$2:$I$32))+(SUMIF($G$36:$G$42,B14,$H$36:$H$42))</f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IF(vend10[[#This Row],[Nº Venda]]&gt;1,1,0)</f>
        <v>0</v>
      </c>
    </row>
    <row r="15" spans="2:18" ht="15" x14ac:dyDescent="0.25">
      <c r="B15" s="19" t="s">
        <v>10</v>
      </c>
      <c r="C15" s="20">
        <f>(SUMIF($G$2:$G$32,B15,$I$2:$I$32))+(SUMIF($G$36:$G$42,B15,$H$36:$H$42))</f>
        <v>235.95</v>
      </c>
      <c r="D15" s="1"/>
      <c r="E15" s="49"/>
      <c r="F15" s="16"/>
      <c r="G15" s="17"/>
      <c r="H15" s="3"/>
      <c r="I15" s="3"/>
      <c r="J15" s="1"/>
      <c r="K15" s="16">
        <v>937</v>
      </c>
      <c r="L15" s="4" t="s">
        <v>145</v>
      </c>
      <c r="M15" s="11" t="s">
        <v>44</v>
      </c>
      <c r="R15" s="57">
        <f>IF(vend10[[#This Row],[Nº Venda]]&gt;1,1,0)</f>
        <v>0</v>
      </c>
    </row>
    <row r="16" spans="2:18" ht="15.75" x14ac:dyDescent="0.25">
      <c r="B16" s="65" t="s">
        <v>11</v>
      </c>
      <c r="C16" s="68">
        <f>SUM(C11:C15)</f>
        <v>1382.95</v>
      </c>
      <c r="D16" s="1"/>
      <c r="E16" s="49"/>
      <c r="F16" s="16"/>
      <c r="G16" s="17"/>
      <c r="H16" s="3"/>
      <c r="I16" s="3"/>
      <c r="J16" s="1"/>
      <c r="K16" s="16"/>
      <c r="L16" s="4"/>
      <c r="M16" s="79"/>
      <c r="R16" s="57">
        <f>IF(vend10[[#This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16"/>
      <c r="L17" s="4"/>
      <c r="M17" s="11"/>
      <c r="R17" s="57">
        <f>IF(vend10[[#This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16"/>
      <c r="L18" s="4"/>
      <c r="M18" s="11"/>
      <c r="R18" s="57">
        <f>IF(vend10[[#This Row],[Nº Venda]]&gt;1,1,0)</f>
        <v>0</v>
      </c>
    </row>
    <row r="19" spans="2:18" ht="15" x14ac:dyDescent="0.25">
      <c r="B19" s="19">
        <f>COUNT(entr_carn10[OS])</f>
        <v>0</v>
      </c>
      <c r="C19" s="20">
        <f>SUM(entr_carn10[Valor Total])</f>
        <v>0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IF(vend10[[#This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IF(vend10[[#This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49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50"/>
      <c r="F23" s="51"/>
      <c r="G23" s="51"/>
      <c r="H23" s="52"/>
      <c r="I23" s="53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9">
        <v>936</v>
      </c>
      <c r="F26" s="16" t="s">
        <v>143</v>
      </c>
      <c r="G26" s="31" t="s">
        <v>7</v>
      </c>
      <c r="H26" s="3"/>
      <c r="I26" s="3">
        <v>175</v>
      </c>
      <c r="J26" s="1"/>
      <c r="K26" s="16"/>
      <c r="L26" s="4"/>
      <c r="M26" s="11"/>
    </row>
    <row r="27" spans="2:18" ht="15" x14ac:dyDescent="0.25">
      <c r="B27" s="1"/>
      <c r="C27" s="1"/>
      <c r="D27" s="1"/>
      <c r="E27" s="49">
        <v>937</v>
      </c>
      <c r="F27" s="16" t="s">
        <v>144</v>
      </c>
      <c r="G27" s="31" t="s">
        <v>7</v>
      </c>
      <c r="H27" s="3"/>
      <c r="I27" s="3">
        <v>972</v>
      </c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31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49"/>
      <c r="F32" s="25"/>
      <c r="G32" s="17"/>
      <c r="H32" s="3"/>
      <c r="I32" s="3"/>
    </row>
    <row r="33" spans="2:18" ht="15" x14ac:dyDescent="0.25">
      <c r="B33" s="1"/>
      <c r="C33" s="1"/>
      <c r="E33" s="50"/>
      <c r="F33" s="51"/>
      <c r="G33" s="51"/>
      <c r="H33" s="53"/>
      <c r="I33" s="53"/>
      <c r="K33" s="125" t="s">
        <v>12</v>
      </c>
      <c r="L33" s="126"/>
      <c r="M33" s="127"/>
    </row>
    <row r="34" spans="2:18" ht="15" x14ac:dyDescent="0.25">
      <c r="E34" s="124" t="s">
        <v>31</v>
      </c>
      <c r="F34" s="124"/>
      <c r="G34" s="124"/>
      <c r="H34" s="124"/>
      <c r="I34" s="124"/>
      <c r="K34" s="9" t="s">
        <v>26</v>
      </c>
      <c r="L34" s="2" t="s">
        <v>34</v>
      </c>
      <c r="M34" s="10" t="s">
        <v>35</v>
      </c>
    </row>
    <row r="35" spans="2:18" ht="15" x14ac:dyDescent="0.25">
      <c r="E35" s="5" t="s">
        <v>26</v>
      </c>
      <c r="F35" s="5" t="s">
        <v>15</v>
      </c>
      <c r="G35" s="6" t="s">
        <v>16</v>
      </c>
      <c r="H35" s="7" t="s">
        <v>32</v>
      </c>
      <c r="I35" s="8" t="s">
        <v>33</v>
      </c>
      <c r="K35" s="16"/>
      <c r="L35" s="27"/>
      <c r="M35" s="11"/>
    </row>
    <row r="36" spans="2:18" ht="15" x14ac:dyDescent="0.25">
      <c r="E36" s="49">
        <v>838</v>
      </c>
      <c r="F36" s="16" t="s">
        <v>142</v>
      </c>
      <c r="G36" s="17" t="s">
        <v>10</v>
      </c>
      <c r="H36" s="3">
        <v>235.95</v>
      </c>
      <c r="I36" s="3" t="s">
        <v>59</v>
      </c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16"/>
      <c r="G39" s="17"/>
      <c r="H39" s="3"/>
      <c r="I39" s="3"/>
      <c r="K39" s="16"/>
      <c r="L39" s="27"/>
      <c r="M39" s="11"/>
    </row>
    <row r="40" spans="2:18" ht="15" x14ac:dyDescent="0.25">
      <c r="E40" s="49"/>
      <c r="F40" s="25"/>
      <c r="G40" s="17"/>
      <c r="H40" s="3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4"/>
      <c r="F41" s="22"/>
      <c r="G41" s="23"/>
      <c r="H41" s="12"/>
      <c r="I41" s="3"/>
      <c r="K41" s="30"/>
      <c r="L41" s="27"/>
      <c r="M41" s="26"/>
    </row>
    <row r="42" spans="2:18" ht="15" x14ac:dyDescent="0.25">
      <c r="E42" s="55"/>
      <c r="F42" s="25"/>
      <c r="G42" s="17"/>
      <c r="H42" s="3"/>
      <c r="I42" s="3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B17" zoomScale="80" zoomScaleNormal="80" workbookViewId="0">
      <selection activeCell="E26" sqref="E26:I28"/>
    </sheetView>
  </sheetViews>
  <sheetFormatPr defaultColWidth="9.140625" defaultRowHeight="12.75" x14ac:dyDescent="0.2"/>
  <cols>
    <col min="1" max="1" width="3.7109375" style="57" customWidth="1"/>
    <col min="2" max="2" width="27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6">
        <f>'10'!B1+1</f>
        <v>45454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299</v>
      </c>
      <c r="D6" s="1"/>
      <c r="E6" s="49"/>
      <c r="F6" s="16"/>
      <c r="G6" s="17"/>
      <c r="H6" s="3"/>
      <c r="I6" s="3"/>
      <c r="J6" s="1"/>
      <c r="K6" s="16"/>
      <c r="L6" s="4"/>
      <c r="M6" s="11"/>
      <c r="R6" s="57">
        <f>IF(vend11[[#This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9"/>
      <c r="F7" s="16"/>
      <c r="G7" s="17"/>
      <c r="H7" s="3"/>
      <c r="I7" s="3"/>
      <c r="J7" s="1"/>
      <c r="K7" s="16"/>
      <c r="L7" s="4"/>
      <c r="M7" s="11"/>
      <c r="R7" s="57">
        <f>IF(vend11[[#This Row],[Nº Venda]]&gt;1,1,0)</f>
        <v>0</v>
      </c>
    </row>
    <row r="8" spans="2:18" ht="15.75" x14ac:dyDescent="0.25">
      <c r="B8" s="65" t="s">
        <v>23</v>
      </c>
      <c r="C8" s="66">
        <f>SUM(C6:C7)</f>
        <v>299</v>
      </c>
      <c r="D8" s="1"/>
      <c r="E8" s="49"/>
      <c r="F8" s="16"/>
      <c r="G8" s="17"/>
      <c r="H8" s="3"/>
      <c r="I8" s="3"/>
      <c r="J8" s="1"/>
      <c r="K8" s="16"/>
      <c r="L8" s="4"/>
      <c r="M8" s="11"/>
      <c r="R8" s="57">
        <f>IF(vend11[[#This Row],[Nº Venda]]&gt;1,1,0)</f>
        <v>0</v>
      </c>
    </row>
    <row r="9" spans="2:18" ht="15" x14ac:dyDescent="0.25">
      <c r="B9" s="1"/>
      <c r="C9" s="1"/>
      <c r="D9" s="1"/>
      <c r="E9" s="49"/>
      <c r="F9" s="16"/>
      <c r="G9" s="17"/>
      <c r="H9" s="3"/>
      <c r="I9" s="3"/>
      <c r="J9" s="1"/>
      <c r="K9" s="16"/>
      <c r="L9" s="4"/>
      <c r="M9" s="11"/>
      <c r="R9" s="57">
        <f>IF(vend11[[#This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16"/>
      <c r="G10" s="17"/>
      <c r="H10" s="3"/>
      <c r="I10" s="3"/>
      <c r="J10" s="1"/>
      <c r="K10" s="16"/>
      <c r="L10" s="4"/>
      <c r="M10" s="11"/>
      <c r="R10" s="57">
        <f>IF(vend11[[#This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200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>IF(C16=0,0,1)</f>
        <v>1</v>
      </c>
      <c r="R11" s="57">
        <f>IF(vend11[[#This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99</v>
      </c>
      <c r="D12" s="1"/>
      <c r="E12" s="49"/>
      <c r="F12" s="16"/>
      <c r="G12" s="17"/>
      <c r="H12" s="3"/>
      <c r="I12" s="3"/>
      <c r="J12" s="1"/>
      <c r="R12" s="57">
        <f>IF(vend11[[#This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IF(vend11[[#This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IF(vend11[[#This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9"/>
      <c r="F15" s="16"/>
      <c r="G15" s="17"/>
      <c r="H15" s="3"/>
      <c r="I15" s="3"/>
      <c r="J15" s="1"/>
      <c r="K15" s="37">
        <v>939</v>
      </c>
      <c r="L15" s="41" t="s">
        <v>145</v>
      </c>
      <c r="M15" s="42" t="s">
        <v>44</v>
      </c>
      <c r="R15" s="57">
        <f>IF(vend11[[#This Row],[Nº Venda]]&gt;1,1,0)</f>
        <v>0</v>
      </c>
    </row>
    <row r="16" spans="2:18" ht="15.75" x14ac:dyDescent="0.25">
      <c r="B16" s="65" t="s">
        <v>11</v>
      </c>
      <c r="C16" s="68">
        <f>SUM(C11:C15)</f>
        <v>299</v>
      </c>
      <c r="D16" s="1"/>
      <c r="E16" s="49"/>
      <c r="F16" s="16"/>
      <c r="G16" s="17"/>
      <c r="H16" s="3"/>
      <c r="I16" s="3"/>
      <c r="J16" s="1"/>
      <c r="K16" s="37">
        <v>940</v>
      </c>
      <c r="L16" s="41" t="s">
        <v>145</v>
      </c>
      <c r="M16" s="42" t="s">
        <v>44</v>
      </c>
      <c r="R16" s="57">
        <f>IF(vend11[[#This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37">
        <v>928</v>
      </c>
      <c r="L17" s="41" t="s">
        <v>145</v>
      </c>
      <c r="M17" s="42" t="s">
        <v>50</v>
      </c>
      <c r="R17" s="57">
        <f>IF(vend11[[#This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37">
        <v>938</v>
      </c>
      <c r="L18" s="41" t="s">
        <v>145</v>
      </c>
      <c r="M18" s="42" t="s">
        <v>44</v>
      </c>
      <c r="R18" s="57">
        <f>IF(vend11[[#This Row],[Nº Venda]]&gt;1,1,0)</f>
        <v>0</v>
      </c>
    </row>
    <row r="19" spans="2:18" ht="15" x14ac:dyDescent="0.25">
      <c r="B19" s="19">
        <f>COUNT(entr_carn11[OS])</f>
        <v>1</v>
      </c>
      <c r="C19" s="20">
        <f>SUM(entr_carn11[Valor Total])</f>
        <v>197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IF(vend11[[#This Row],[Nº Venda]]&gt;1,1,0)</f>
        <v>0</v>
      </c>
    </row>
    <row r="20" spans="2:18" ht="15.75" x14ac:dyDescent="0.25">
      <c r="B20" s="65" t="s">
        <v>11</v>
      </c>
      <c r="C20" s="68">
        <f>SUM(C19:C19)</f>
        <v>197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IF(vend11[[#This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49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50"/>
      <c r="F23" s="51"/>
      <c r="G23" s="51"/>
      <c r="H23" s="52"/>
      <c r="I23" s="53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0">
        <v>928</v>
      </c>
      <c r="F26" s="37" t="s">
        <v>146</v>
      </c>
      <c r="G26" s="99" t="s">
        <v>6</v>
      </c>
      <c r="H26" s="39"/>
      <c r="I26" s="39">
        <v>100</v>
      </c>
      <c r="J26" s="1"/>
      <c r="K26" s="16"/>
      <c r="L26" s="4"/>
      <c r="M26" s="11"/>
    </row>
    <row r="27" spans="2:18" ht="15" x14ac:dyDescent="0.25">
      <c r="B27" s="1"/>
      <c r="C27" s="1"/>
      <c r="D27" s="1"/>
      <c r="E27" s="40">
        <v>938</v>
      </c>
      <c r="F27" s="37" t="s">
        <v>147</v>
      </c>
      <c r="G27" s="38" t="s">
        <v>6</v>
      </c>
      <c r="H27" s="39"/>
      <c r="I27" s="39">
        <v>100</v>
      </c>
      <c r="J27" s="1"/>
      <c r="K27" s="16"/>
      <c r="L27" s="4"/>
      <c r="M27" s="11"/>
    </row>
    <row r="28" spans="2:18" ht="15" x14ac:dyDescent="0.25">
      <c r="B28" s="1"/>
      <c r="C28" s="1"/>
      <c r="D28" s="1"/>
      <c r="E28" s="40">
        <v>938</v>
      </c>
      <c r="F28" s="37" t="s">
        <v>147</v>
      </c>
      <c r="G28" s="38" t="s">
        <v>7</v>
      </c>
      <c r="H28" s="39"/>
      <c r="I28" s="39">
        <v>99</v>
      </c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50"/>
      <c r="F32" s="51"/>
      <c r="G32" s="51"/>
      <c r="H32" s="53"/>
      <c r="I32" s="53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/>
      <c r="F35" s="16"/>
      <c r="G35" s="17"/>
      <c r="H35" s="3"/>
      <c r="I35" s="3"/>
      <c r="K35" s="37">
        <v>928</v>
      </c>
      <c r="L35" s="43">
        <v>1</v>
      </c>
      <c r="M35" s="42">
        <v>197</v>
      </c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6" zoomScale="80" zoomScaleNormal="80" workbookViewId="0">
      <selection activeCell="K6" sqref="K6:M7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'11'!B1+1</f>
        <v>45455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71"/>
      <c r="F6" s="72"/>
      <c r="G6" s="72"/>
      <c r="H6" s="73"/>
      <c r="I6" s="73"/>
      <c r="J6" s="1"/>
      <c r="K6" s="37" t="s">
        <v>42</v>
      </c>
      <c r="L6" s="41" t="s">
        <v>10</v>
      </c>
      <c r="M6" s="42">
        <v>13</v>
      </c>
      <c r="R6" s="57">
        <f>IF(vend12[[#This Row],[Nº Venda]]&gt;1,1,0)</f>
        <v>0</v>
      </c>
    </row>
    <row r="7" spans="2:18" ht="15" x14ac:dyDescent="0.25">
      <c r="B7" s="14" t="s">
        <v>3</v>
      </c>
      <c r="C7" s="15">
        <f>SUM(M6:M11)</f>
        <v>25</v>
      </c>
      <c r="D7" s="1"/>
      <c r="E7" s="74"/>
      <c r="F7" s="75"/>
      <c r="G7" s="75"/>
      <c r="H7" s="76"/>
      <c r="I7" s="76"/>
      <c r="J7" s="1"/>
      <c r="K7" s="37" t="s">
        <v>148</v>
      </c>
      <c r="L7" s="41" t="s">
        <v>10</v>
      </c>
      <c r="M7" s="42">
        <v>12</v>
      </c>
      <c r="R7" s="57">
        <f>IF(vend12[[#This Row],[Nº Venda]]&gt;1,1,0)</f>
        <v>0</v>
      </c>
    </row>
    <row r="8" spans="2:18" ht="15.75" x14ac:dyDescent="0.25">
      <c r="B8" s="65" t="s">
        <v>23</v>
      </c>
      <c r="C8" s="66">
        <f>SUM(C6:C7)</f>
        <v>25</v>
      </c>
      <c r="D8" s="1"/>
      <c r="E8" s="74"/>
      <c r="F8" s="75"/>
      <c r="G8" s="75"/>
      <c r="H8" s="76"/>
      <c r="I8" s="76"/>
      <c r="J8" s="1"/>
      <c r="K8" s="16"/>
      <c r="L8" s="4"/>
      <c r="M8" s="11"/>
      <c r="R8" s="57">
        <f>IF(vend12[[#This Row],[Nº Venda]]&gt;1,1,0)</f>
        <v>0</v>
      </c>
    </row>
    <row r="9" spans="2:18" ht="15.75" x14ac:dyDescent="0.25">
      <c r="B9" s="1"/>
      <c r="C9" s="1"/>
      <c r="D9" s="1"/>
      <c r="E9" s="13"/>
      <c r="F9" s="16"/>
      <c r="G9" s="17"/>
      <c r="H9" s="3"/>
      <c r="I9" s="3"/>
      <c r="J9" s="1"/>
      <c r="K9" s="16"/>
      <c r="L9" s="4"/>
      <c r="M9" s="11"/>
      <c r="R9" s="57">
        <f>IF(vend12[[#This Row],[Nº Venda]]&gt;1,1,0)</f>
        <v>0</v>
      </c>
    </row>
    <row r="10" spans="2:18" ht="15.75" x14ac:dyDescent="0.25">
      <c r="B10" s="123" t="s">
        <v>5</v>
      </c>
      <c r="C10" s="123"/>
      <c r="D10" s="1"/>
      <c r="E10" s="13"/>
      <c r="F10" s="16"/>
      <c r="G10" s="17"/>
      <c r="H10" s="3"/>
      <c r="I10" s="3"/>
      <c r="J10" s="1"/>
      <c r="K10" s="16"/>
      <c r="L10" s="4"/>
      <c r="M10" s="11"/>
      <c r="R10" s="57">
        <f>IF(vend12[[#This Row],[Nº Venda]]&gt;1,1,0)</f>
        <v>0</v>
      </c>
    </row>
    <row r="11" spans="2:18" ht="15.75" x14ac:dyDescent="0.25">
      <c r="B11" s="19" t="s">
        <v>6</v>
      </c>
      <c r="C11" s="20">
        <f>(SUMIF($G$2:$G$31,B11,$I$2:$I$31))+(SUMIF($G$35:$G$41,B11,$H$35:$H$41))</f>
        <v>0</v>
      </c>
      <c r="D11" s="1"/>
      <c r="E11" s="13"/>
      <c r="F11" s="16"/>
      <c r="G11" s="17"/>
      <c r="H11" s="3"/>
      <c r="I11" s="3"/>
      <c r="J11" s="1"/>
      <c r="K11" s="18"/>
      <c r="L11" s="4"/>
      <c r="M11" s="11"/>
      <c r="O11" s="57">
        <f>IF(C16=0,0,1)</f>
        <v>0</v>
      </c>
      <c r="R11" s="57">
        <f>IF(vend12[[#This Row],[Nº Venda]]&gt;1,1,0)</f>
        <v>0</v>
      </c>
    </row>
    <row r="12" spans="2:18" ht="15.7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13"/>
      <c r="F12" s="16"/>
      <c r="G12" s="17"/>
      <c r="H12" s="3"/>
      <c r="I12" s="3"/>
      <c r="J12" s="1"/>
      <c r="K12" s="77"/>
      <c r="L12" s="77"/>
      <c r="M12" s="77"/>
      <c r="R12" s="57">
        <f>IF(vend12[[#This Row],[Nº Venda]]&gt;1,1,0)</f>
        <v>0</v>
      </c>
    </row>
    <row r="13" spans="2:18" ht="15.75" x14ac:dyDescent="0.25">
      <c r="B13" s="19" t="s">
        <v>8</v>
      </c>
      <c r="C13" s="20">
        <f t="shared" si="0"/>
        <v>0</v>
      </c>
      <c r="D13" s="1"/>
      <c r="E13" s="13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IF(vend12[[#This Row],[Nº Venda]]&gt;1,1,0)</f>
        <v>0</v>
      </c>
    </row>
    <row r="14" spans="2:18" ht="15.75" x14ac:dyDescent="0.25">
      <c r="B14" s="19" t="s">
        <v>9</v>
      </c>
      <c r="C14" s="20">
        <f t="shared" si="0"/>
        <v>0</v>
      </c>
      <c r="D14" s="1"/>
      <c r="E14" s="13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IF(vend12[[#This Row],[Nº Venda]]&gt;1,1,0)</f>
        <v>0</v>
      </c>
    </row>
    <row r="15" spans="2:18" ht="15.75" x14ac:dyDescent="0.25">
      <c r="B15" s="19" t="s">
        <v>10</v>
      </c>
      <c r="C15" s="20">
        <f t="shared" si="0"/>
        <v>0</v>
      </c>
      <c r="D15" s="1"/>
      <c r="E15" s="13"/>
      <c r="F15" s="16"/>
      <c r="G15" s="17"/>
      <c r="H15" s="3"/>
      <c r="I15" s="3"/>
      <c r="J15" s="1"/>
      <c r="K15" s="16"/>
      <c r="L15" s="4"/>
      <c r="M15" s="11"/>
      <c r="R15" s="57">
        <f>IF(vend12[[#This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13"/>
      <c r="F16" s="16"/>
      <c r="G16" s="17"/>
      <c r="H16" s="3"/>
      <c r="I16" s="3"/>
      <c r="J16" s="1"/>
      <c r="K16" s="16"/>
      <c r="L16" s="4"/>
      <c r="M16" s="11"/>
      <c r="R16" s="57">
        <f>IF(vend12[[#This Row],[Nº Venda]]&gt;1,1,0)</f>
        <v>0</v>
      </c>
    </row>
    <row r="17" spans="2:18" ht="15.75" x14ac:dyDescent="0.25">
      <c r="B17" s="1"/>
      <c r="C17" s="1"/>
      <c r="D17" s="1"/>
      <c r="E17" s="13"/>
      <c r="F17" s="16"/>
      <c r="G17" s="17"/>
      <c r="H17" s="3"/>
      <c r="I17" s="3"/>
      <c r="J17" s="1"/>
      <c r="K17" s="16"/>
      <c r="L17" s="4"/>
      <c r="M17" s="11"/>
      <c r="R17" s="57">
        <f>IF(vend12[[#This Row],[Nº Venda]]&gt;1,1,0)</f>
        <v>0</v>
      </c>
    </row>
    <row r="18" spans="2:18" ht="15.75" x14ac:dyDescent="0.25">
      <c r="B18" s="123" t="s">
        <v>12</v>
      </c>
      <c r="C18" s="123"/>
      <c r="D18" s="1"/>
      <c r="E18" s="13"/>
      <c r="F18" s="16"/>
      <c r="G18" s="17"/>
      <c r="H18" s="3"/>
      <c r="I18" s="3"/>
      <c r="J18" s="1"/>
      <c r="K18" s="16"/>
      <c r="L18" s="4"/>
      <c r="M18" s="11"/>
      <c r="R18" s="57">
        <f>IF(vend12[[#This Row],[Nº Venda]]&gt;1,1,0)</f>
        <v>0</v>
      </c>
    </row>
    <row r="19" spans="2:18" ht="15.75" x14ac:dyDescent="0.25">
      <c r="B19" s="19">
        <f>COUNT(entr_carn12[OS])</f>
        <v>0</v>
      </c>
      <c r="C19" s="20">
        <f>SUM(entr_carn12[Valor Total])</f>
        <v>0</v>
      </c>
      <c r="D19" s="1"/>
      <c r="E19" s="13"/>
      <c r="F19" s="16"/>
      <c r="G19" s="17"/>
      <c r="H19" s="3"/>
      <c r="I19" s="3"/>
      <c r="J19" s="1"/>
      <c r="K19" s="16"/>
      <c r="L19" s="4"/>
      <c r="M19" s="11"/>
      <c r="R19" s="57">
        <f>IF(vend12[[#This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13"/>
      <c r="F20" s="17"/>
      <c r="G20" s="17"/>
      <c r="H20" s="3"/>
      <c r="I20" s="3"/>
      <c r="J20" s="1"/>
      <c r="K20" s="16"/>
      <c r="L20" s="4"/>
      <c r="M20" s="11"/>
      <c r="R20" s="57">
        <f>IF(vend12[[#This Row],[Nº Venda]]&gt;1,1,0)</f>
        <v>0</v>
      </c>
    </row>
    <row r="21" spans="2:18" ht="15.75" x14ac:dyDescent="0.25">
      <c r="B21" s="1"/>
      <c r="C21" s="1"/>
      <c r="D21" s="1"/>
      <c r="E21" s="13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13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9"/>
      <c r="F26" s="78"/>
      <c r="G26" s="31"/>
      <c r="H26" s="3"/>
      <c r="I26" s="3"/>
      <c r="J26" s="1"/>
      <c r="K26" s="16"/>
      <c r="L26" s="4"/>
      <c r="M26" s="11"/>
    </row>
    <row r="27" spans="2:18" ht="15" x14ac:dyDescent="0.25">
      <c r="B27" s="1"/>
      <c r="C27" s="1"/>
      <c r="D27" s="1"/>
      <c r="E27" s="49"/>
      <c r="F27" s="16"/>
      <c r="G27" s="17"/>
      <c r="H27" s="3"/>
      <c r="I27" s="3"/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17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50"/>
      <c r="F32" s="51"/>
      <c r="G32" s="51"/>
      <c r="H32" s="53"/>
      <c r="I32" s="53"/>
      <c r="K32" s="77"/>
      <c r="L32" s="77"/>
      <c r="M32" s="77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/>
      <c r="F35" s="16"/>
      <c r="G35" s="17"/>
      <c r="H35" s="3"/>
      <c r="I35" s="3"/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1" zoomScale="80" zoomScaleNormal="80" workbookViewId="0">
      <selection activeCell="H7" sqref="H7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'12'!B1+1</f>
        <v>45456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40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40</v>
      </c>
      <c r="D6" s="1"/>
      <c r="E6" s="40">
        <v>945</v>
      </c>
      <c r="F6" s="37" t="s">
        <v>149</v>
      </c>
      <c r="G6" s="38" t="s">
        <v>6</v>
      </c>
      <c r="H6" s="39">
        <v>40</v>
      </c>
      <c r="I6" s="39">
        <v>20</v>
      </c>
      <c r="J6" s="1"/>
      <c r="K6" s="16"/>
      <c r="L6" s="4"/>
      <c r="M6" s="11"/>
      <c r="R6" s="57">
        <f>IF(vend13[[#This Row],[Nº Venda]]&gt;1,1,0)</f>
        <v>1</v>
      </c>
    </row>
    <row r="7" spans="2:18" ht="15" x14ac:dyDescent="0.25">
      <c r="B7" s="14" t="s">
        <v>3</v>
      </c>
      <c r="C7" s="15">
        <f>SUM(M6:M11)</f>
        <v>0</v>
      </c>
      <c r="D7" s="1"/>
      <c r="E7" s="40">
        <v>945</v>
      </c>
      <c r="F7" s="37" t="s">
        <v>149</v>
      </c>
      <c r="G7" s="38" t="s">
        <v>10</v>
      </c>
      <c r="H7" s="39"/>
      <c r="I7" s="39">
        <v>20</v>
      </c>
      <c r="J7" s="1"/>
      <c r="K7" s="16"/>
      <c r="L7" s="4"/>
      <c r="M7" s="11"/>
      <c r="R7" s="57">
        <f>IF(vend13[[#This Row],[Nº Venda]]&gt;1,1,0)</f>
        <v>1</v>
      </c>
    </row>
    <row r="8" spans="2:18" ht="15.75" x14ac:dyDescent="0.25">
      <c r="B8" s="65" t="s">
        <v>23</v>
      </c>
      <c r="C8" s="66">
        <f>SUM(C6:C7)</f>
        <v>40</v>
      </c>
      <c r="D8" s="1"/>
      <c r="E8" s="40"/>
      <c r="F8" s="37"/>
      <c r="G8" s="38"/>
      <c r="H8" s="39"/>
      <c r="I8" s="39"/>
      <c r="J8" s="1"/>
      <c r="K8" s="16"/>
      <c r="L8" s="4"/>
      <c r="M8" s="11"/>
      <c r="R8" s="57">
        <f>IF(vend13[[#This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16"/>
      <c r="L9" s="4"/>
      <c r="M9" s="11"/>
      <c r="R9" s="57">
        <f>IF(vend13[[#This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16"/>
      <c r="L10" s="4"/>
      <c r="M10" s="11"/>
      <c r="R10" s="57">
        <f>IF(vend13[[#This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20</v>
      </c>
      <c r="D11" s="1"/>
      <c r="E11" s="40"/>
      <c r="F11" s="37"/>
      <c r="G11" s="38"/>
      <c r="H11" s="39"/>
      <c r="I11" s="39"/>
      <c r="J11" s="1"/>
      <c r="K11" s="18"/>
      <c r="L11" s="4"/>
      <c r="M11" s="11"/>
      <c r="O11" s="57">
        <f>IF(C16=0,0,1)</f>
        <v>1</v>
      </c>
      <c r="R11" s="57">
        <f>IF(vend13[[#This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R12" s="57">
        <f>IF(vend13[[#This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IF(vend13[[#This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 t="s">
        <v>51</v>
      </c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IF(vend13[[#This Row],[Nº Venda]]&gt;1,1,0)</f>
        <v>0</v>
      </c>
    </row>
    <row r="15" spans="2:18" ht="15" x14ac:dyDescent="0.25">
      <c r="B15" s="19" t="s">
        <v>10</v>
      </c>
      <c r="C15" s="20">
        <f t="shared" si="0"/>
        <v>20</v>
      </c>
      <c r="D15" s="1"/>
      <c r="E15" s="40"/>
      <c r="F15" s="37"/>
      <c r="G15" s="38"/>
      <c r="H15" s="39"/>
      <c r="I15" s="39"/>
      <c r="J15" s="1"/>
      <c r="K15" s="37">
        <v>945</v>
      </c>
      <c r="L15" s="41" t="s">
        <v>145</v>
      </c>
      <c r="M15" s="42" t="s">
        <v>44</v>
      </c>
      <c r="R15" s="57">
        <f>IF(vend13[[#This Row],[Nº Venda]]&gt;1,1,0)</f>
        <v>0</v>
      </c>
    </row>
    <row r="16" spans="2:18" ht="15.75" x14ac:dyDescent="0.25">
      <c r="B16" s="65" t="s">
        <v>11</v>
      </c>
      <c r="C16" s="68">
        <f>SUM(C11:C15)</f>
        <v>40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IF(vend13[[#This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IF(vend13[[#This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IF(vend13[[#This Row],[Nº Venda]]&gt;1,1,0)</f>
        <v>0</v>
      </c>
    </row>
    <row r="19" spans="2:18" ht="15" x14ac:dyDescent="0.25">
      <c r="B19" s="19">
        <f>COUNT(entr_carn13[OS])</f>
        <v>0</v>
      </c>
      <c r="C19" s="20">
        <f>SUM(entr_carn13[Valor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IF(vend13[[#This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IF(vend13[[#This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40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9"/>
      <c r="F26" s="16"/>
      <c r="G26" s="17"/>
      <c r="H26" s="3"/>
      <c r="I26" s="3"/>
      <c r="J26" s="1"/>
      <c r="K26" s="37"/>
      <c r="L26" s="41"/>
      <c r="M26" s="42"/>
    </row>
    <row r="27" spans="2:18" ht="15" x14ac:dyDescent="0.25">
      <c r="B27" s="1"/>
      <c r="C27" s="1"/>
      <c r="D27" s="1"/>
      <c r="E27" s="49"/>
      <c r="F27" s="16"/>
      <c r="G27" s="17"/>
      <c r="H27" s="3"/>
      <c r="I27" s="3"/>
      <c r="J27" s="1"/>
      <c r="K27" s="37"/>
      <c r="L27" s="41"/>
      <c r="M27" s="42"/>
    </row>
    <row r="28" spans="2:18" ht="15" x14ac:dyDescent="0.25">
      <c r="B28" s="1"/>
      <c r="C28" s="1"/>
      <c r="D28" s="1"/>
      <c r="E28" s="49"/>
      <c r="F28" s="16"/>
      <c r="G28" s="17"/>
      <c r="H28" s="3"/>
      <c r="I28" s="3"/>
      <c r="J28" s="1"/>
      <c r="K28" s="37"/>
      <c r="L28" s="41"/>
      <c r="M28" s="42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37"/>
      <c r="L29" s="41"/>
      <c r="M29" s="42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37"/>
      <c r="L30" s="41"/>
      <c r="M30" s="42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37"/>
      <c r="L31" s="41"/>
      <c r="M31" s="42"/>
    </row>
    <row r="32" spans="2:18" ht="15" x14ac:dyDescent="0.25">
      <c r="B32" s="1"/>
      <c r="C32" s="1"/>
      <c r="E32" s="50"/>
      <c r="F32" s="51"/>
      <c r="G32" s="51"/>
      <c r="H32" s="53"/>
      <c r="I32" s="53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/>
      <c r="F35" s="16"/>
      <c r="G35" s="17"/>
      <c r="H35" s="3"/>
      <c r="I35" s="3"/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2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4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9.425781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'13'!B1+1</f>
        <v>45457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/>
      <c r="F6" s="37"/>
      <c r="G6" s="99"/>
      <c r="H6" s="39"/>
      <c r="I6" s="39"/>
      <c r="J6" s="1"/>
      <c r="K6" s="37"/>
      <c r="L6" s="41"/>
      <c r="M6" s="42"/>
      <c r="R6" s="57">
        <f>IF(vend14[[#This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99"/>
      <c r="H7" s="39"/>
      <c r="I7" s="39"/>
      <c r="J7" s="1"/>
      <c r="K7" s="37"/>
      <c r="L7" s="41"/>
      <c r="M7" s="42"/>
      <c r="R7" s="57">
        <f>IF(vend14[[#This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IF(vend14[[#This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IF(vend14[[#This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IF(vend14[[#This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0</v>
      </c>
      <c r="R11" s="57">
        <f>IF(vend14[[#This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IF(vend14[[#This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IF(vend14[[#This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IF(vend14[[#This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>
        <v>936</v>
      </c>
      <c r="L15" s="41" t="s">
        <v>145</v>
      </c>
      <c r="M15" s="42" t="s">
        <v>44</v>
      </c>
      <c r="R15" s="57">
        <f>IF(vend14[[#This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IF(vend14[[#This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IF(vend14[[#This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IF(vend14[[#This Row],[Nº Venda]]&gt;1,1,0)</f>
        <v>0</v>
      </c>
    </row>
    <row r="19" spans="2:18" ht="15" x14ac:dyDescent="0.25">
      <c r="B19" s="19">
        <f>COUNT(entr_carn14[OS])</f>
        <v>0</v>
      </c>
      <c r="C19" s="20">
        <f>SUM(entr_carn14[Valor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IF(vend14[[#This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IF(vend14[[#This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9" zoomScale="80" zoomScaleNormal="80" workbookViewId="0">
      <selection activeCell="F36" sqref="F36"/>
    </sheetView>
  </sheetViews>
  <sheetFormatPr defaultColWidth="9.140625" defaultRowHeight="12.75" x14ac:dyDescent="0.2"/>
  <cols>
    <col min="1" max="1" width="3.7109375" style="57" customWidth="1"/>
    <col min="2" max="2" width="27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6">
        <f>'14'!B1+1</f>
        <v>45458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2535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770</v>
      </c>
      <c r="D6" s="1"/>
      <c r="E6" s="40">
        <v>946</v>
      </c>
      <c r="F6" s="37" t="s">
        <v>152</v>
      </c>
      <c r="G6" s="99" t="s">
        <v>6</v>
      </c>
      <c r="H6" s="39">
        <v>782</v>
      </c>
      <c r="I6" s="39">
        <v>391</v>
      </c>
      <c r="J6" s="1"/>
      <c r="K6" s="16"/>
      <c r="L6" s="4"/>
      <c r="M6" s="11"/>
      <c r="R6" s="57">
        <f>IF(vend15[[#This Row],[Nº Venda]]&gt;1,1,0)</f>
        <v>1</v>
      </c>
    </row>
    <row r="7" spans="2:18" ht="15" x14ac:dyDescent="0.25">
      <c r="B7" s="14" t="s">
        <v>3</v>
      </c>
      <c r="C7" s="15">
        <f>SUM(M6:M11)</f>
        <v>0</v>
      </c>
      <c r="D7" s="1"/>
      <c r="E7" s="40">
        <v>947</v>
      </c>
      <c r="F7" s="37" t="s">
        <v>153</v>
      </c>
      <c r="G7" s="99" t="s">
        <v>6</v>
      </c>
      <c r="H7" s="39">
        <v>1753</v>
      </c>
      <c r="I7" s="39">
        <v>379</v>
      </c>
      <c r="J7" s="1"/>
      <c r="K7" s="16"/>
      <c r="L7" s="4"/>
      <c r="M7" s="11"/>
      <c r="R7" s="57">
        <f>IF(vend15[[#This Row],[Nº Venda]]&gt;1,1,0)</f>
        <v>1</v>
      </c>
    </row>
    <row r="8" spans="2:18" ht="15.75" x14ac:dyDescent="0.25">
      <c r="B8" s="65" t="s">
        <v>23</v>
      </c>
      <c r="C8" s="66">
        <f>SUM(C6:C7)</f>
        <v>770</v>
      </c>
      <c r="D8" s="1"/>
      <c r="E8" s="40"/>
      <c r="F8" s="37"/>
      <c r="G8" s="38"/>
      <c r="H8" s="39"/>
      <c r="I8" s="39"/>
      <c r="J8" s="1"/>
      <c r="K8" s="16"/>
      <c r="L8" s="4"/>
      <c r="M8" s="11"/>
      <c r="R8" s="57">
        <f>IF(vend15[[#This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16"/>
      <c r="L9" s="4"/>
      <c r="M9" s="11"/>
      <c r="R9" s="57">
        <f>IF(vend15[[#This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16"/>
      <c r="L10" s="4"/>
      <c r="M10" s="11"/>
      <c r="R10" s="57">
        <f>IF(vend15[[#This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984</v>
      </c>
      <c r="D11" s="1"/>
      <c r="E11" s="40"/>
      <c r="F11" s="37"/>
      <c r="G11" s="38"/>
      <c r="H11" s="39"/>
      <c r="I11" s="39"/>
      <c r="J11" s="1"/>
      <c r="K11" s="18"/>
      <c r="L11" s="4"/>
      <c r="M11" s="11"/>
      <c r="O11" s="57">
        <f>IF(C16=0,0,1)</f>
        <v>1</v>
      </c>
      <c r="R11" s="57">
        <f>IF(vend15[[#This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R12" s="57">
        <f>IF(vend15[[#This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IF(vend15[[#This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IF(vend15[[#This Row],[Nº Venda]]&gt;1,1,0)</f>
        <v>0</v>
      </c>
    </row>
    <row r="15" spans="2:18" ht="15" x14ac:dyDescent="0.25">
      <c r="B15" s="19" t="s">
        <v>10</v>
      </c>
      <c r="C15" s="20">
        <f t="shared" si="0"/>
        <v>100</v>
      </c>
      <c r="D15" s="1"/>
      <c r="E15" s="40"/>
      <c r="F15" s="37"/>
      <c r="G15" s="38"/>
      <c r="H15" s="39"/>
      <c r="I15" s="39"/>
      <c r="J15" s="1"/>
      <c r="K15" s="16"/>
      <c r="L15" s="4"/>
      <c r="M15" s="11"/>
      <c r="R15" s="57">
        <f>IF(vend15[[#This Row],[Nº Venda]]&gt;1,1,0)</f>
        <v>0</v>
      </c>
    </row>
    <row r="16" spans="2:18" ht="15.75" x14ac:dyDescent="0.25">
      <c r="B16" s="65" t="s">
        <v>11</v>
      </c>
      <c r="C16" s="68">
        <f>SUM(C11:C15)</f>
        <v>1084</v>
      </c>
      <c r="D16" s="1"/>
      <c r="E16" s="40"/>
      <c r="F16" s="37"/>
      <c r="G16" s="38"/>
      <c r="H16" s="39"/>
      <c r="I16" s="39"/>
      <c r="J16" s="1"/>
      <c r="K16" s="16"/>
      <c r="L16" s="4"/>
      <c r="M16" s="11"/>
      <c r="R16" s="57">
        <f>IF(vend15[[#This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16"/>
      <c r="L17" s="4"/>
      <c r="M17" s="11"/>
      <c r="R17" s="57">
        <f>IF(vend15[[#This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16"/>
      <c r="L18" s="4"/>
      <c r="M18" s="11"/>
      <c r="R18" s="57">
        <f>IF(vend15[[#This Row],[Nº Venda]]&gt;1,1,0)</f>
        <v>0</v>
      </c>
    </row>
    <row r="19" spans="2:18" ht="15" x14ac:dyDescent="0.25">
      <c r="B19" s="19">
        <f>COUNT(entr_carn15[OS])</f>
        <v>0</v>
      </c>
      <c r="C19" s="20">
        <f>SUM(entr_carn15[Valor Total])</f>
        <v>0</v>
      </c>
      <c r="D19" s="1"/>
      <c r="E19" s="40"/>
      <c r="F19" s="37"/>
      <c r="G19" s="38"/>
      <c r="H19" s="39"/>
      <c r="I19" s="39"/>
      <c r="J19" s="1"/>
      <c r="K19" s="16"/>
      <c r="L19" s="4"/>
      <c r="M19" s="11"/>
      <c r="R19" s="57">
        <f>IF(vend15[[#This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16"/>
      <c r="L20" s="4"/>
      <c r="M20" s="11"/>
      <c r="R20" s="57">
        <f>IF(vend15[[#This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2535</v>
      </c>
      <c r="D22" s="1"/>
      <c r="E22" s="40"/>
      <c r="F22" s="37"/>
      <c r="G22" s="38"/>
      <c r="H22" s="39"/>
      <c r="I22" s="39"/>
      <c r="J22" s="1"/>
      <c r="K22" s="16"/>
      <c r="L22" s="4"/>
      <c r="M22" s="11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.75" x14ac:dyDescent="0.25">
      <c r="B26" s="1"/>
      <c r="C26" s="1"/>
      <c r="D26" s="1"/>
      <c r="E26" s="13"/>
      <c r="F26" s="16"/>
      <c r="G26" s="31"/>
      <c r="H26" s="3"/>
      <c r="I26" s="3"/>
      <c r="J26" s="1"/>
      <c r="K26" s="16"/>
      <c r="L26" s="4"/>
      <c r="M26" s="11"/>
    </row>
    <row r="27" spans="2:18" ht="15.75" x14ac:dyDescent="0.25">
      <c r="B27" s="1"/>
      <c r="C27" s="1"/>
      <c r="D27" s="1"/>
      <c r="E27" s="13"/>
      <c r="F27" s="16"/>
      <c r="G27" s="17"/>
      <c r="H27" s="3"/>
      <c r="I27" s="3"/>
      <c r="J27" s="1"/>
      <c r="K27" s="16"/>
      <c r="L27" s="4"/>
      <c r="M27" s="11"/>
    </row>
    <row r="28" spans="2:18" ht="15.75" x14ac:dyDescent="0.25">
      <c r="B28" s="1"/>
      <c r="C28" s="1"/>
      <c r="D28" s="1"/>
      <c r="E28" s="13"/>
      <c r="F28" s="16"/>
      <c r="G28" s="17"/>
      <c r="H28" s="3"/>
      <c r="I28" s="3"/>
      <c r="J28" s="1"/>
      <c r="K28" s="16"/>
      <c r="L28" s="4"/>
      <c r="M28" s="11"/>
    </row>
    <row r="29" spans="2:18" ht="15.75" x14ac:dyDescent="0.25">
      <c r="B29" s="1"/>
      <c r="C29" s="1"/>
      <c r="D29" s="1"/>
      <c r="E29" s="13"/>
      <c r="F29" s="16"/>
      <c r="G29" s="17"/>
      <c r="H29" s="3"/>
      <c r="I29" s="3"/>
      <c r="J29" s="1"/>
      <c r="K29" s="16"/>
      <c r="L29" s="4"/>
      <c r="M29" s="11"/>
    </row>
    <row r="30" spans="2:18" ht="15.75" x14ac:dyDescent="0.25">
      <c r="B30" s="1"/>
      <c r="C30" s="1"/>
      <c r="D30" s="1"/>
      <c r="E30" s="13"/>
      <c r="F30" s="25"/>
      <c r="G30" s="17"/>
      <c r="H30" s="3"/>
      <c r="I30" s="3"/>
      <c r="J30" s="1"/>
      <c r="K30" s="16"/>
      <c r="L30" s="4"/>
      <c r="M30" s="11"/>
    </row>
    <row r="31" spans="2:18" ht="15.75" x14ac:dyDescent="0.25">
      <c r="B31" s="1"/>
      <c r="C31" s="1"/>
      <c r="D31" s="1"/>
      <c r="E31" s="21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>
        <v>865</v>
      </c>
      <c r="F35" s="37" t="s">
        <v>151</v>
      </c>
      <c r="G35" s="38" t="s">
        <v>6</v>
      </c>
      <c r="H35" s="39">
        <v>214</v>
      </c>
      <c r="I35" s="39" t="s">
        <v>86</v>
      </c>
      <c r="K35" s="16"/>
      <c r="L35" s="27"/>
      <c r="M35" s="11"/>
    </row>
    <row r="36" spans="2:18" ht="15" x14ac:dyDescent="0.25">
      <c r="E36" s="40">
        <v>921</v>
      </c>
      <c r="F36" s="37" t="s">
        <v>150</v>
      </c>
      <c r="G36" s="38" t="s">
        <v>10</v>
      </c>
      <c r="H36" s="39">
        <v>100</v>
      </c>
      <c r="I36" s="39" t="s">
        <v>48</v>
      </c>
      <c r="K36" s="16"/>
      <c r="L36" s="27"/>
      <c r="M36" s="11"/>
    </row>
    <row r="37" spans="2:18" ht="15" x14ac:dyDescent="0.25">
      <c r="E37" s="40"/>
      <c r="F37" s="37"/>
      <c r="G37" s="38"/>
      <c r="H37" s="39"/>
      <c r="I37" s="39"/>
      <c r="K37" s="16"/>
      <c r="L37" s="27"/>
      <c r="M37" s="11"/>
    </row>
    <row r="38" spans="2:18" ht="15" x14ac:dyDescent="0.25">
      <c r="E38" s="40"/>
      <c r="F38" s="37"/>
      <c r="G38" s="38"/>
      <c r="H38" s="39"/>
      <c r="I38" s="39"/>
      <c r="K38" s="16"/>
      <c r="L38" s="27"/>
      <c r="M38" s="11"/>
    </row>
    <row r="39" spans="2:18" ht="15" x14ac:dyDescent="0.25">
      <c r="E39" s="40"/>
      <c r="F39" s="102"/>
      <c r="G39" s="38"/>
      <c r="H39" s="39"/>
      <c r="I39" s="39"/>
      <c r="K39" s="16"/>
      <c r="L39" s="27"/>
      <c r="M39" s="11"/>
    </row>
    <row r="40" spans="2:18" ht="15" x14ac:dyDescent="0.25">
      <c r="E40" s="103"/>
      <c r="F40" s="104"/>
      <c r="G40" s="105"/>
      <c r="H40" s="106"/>
      <c r="I40" s="39"/>
      <c r="K40" s="22"/>
      <c r="L40" s="28"/>
      <c r="M40" s="26"/>
      <c r="Q40" s="57" t="s">
        <v>38</v>
      </c>
      <c r="R40" s="57">
        <f>SUM(R6:R21)</f>
        <v>2</v>
      </c>
    </row>
    <row r="41" spans="2:18" ht="15" x14ac:dyDescent="0.25">
      <c r="E41" s="110"/>
      <c r="F41" s="102"/>
      <c r="G41" s="38"/>
      <c r="H41" s="39"/>
      <c r="I41" s="39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1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57" customWidth="1"/>
    <col min="2" max="2" width="27.8554687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6">
        <f>'15'!B1+1</f>
        <v>45459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.75" x14ac:dyDescent="0.25">
      <c r="B6" s="14" t="s">
        <v>2</v>
      </c>
      <c r="C6" s="15">
        <f>SUM(I6:I41)</f>
        <v>0</v>
      </c>
      <c r="D6" s="1"/>
      <c r="E6" s="13"/>
      <c r="F6" s="16"/>
      <c r="G6" s="31"/>
      <c r="H6" s="3"/>
      <c r="I6" s="3"/>
      <c r="J6" s="1"/>
      <c r="K6" s="16"/>
      <c r="L6" s="4"/>
      <c r="M6" s="11"/>
      <c r="R6" s="57">
        <f>IF(vend16[[#This Row],[Nº Venda]]&gt;1,1,0)</f>
        <v>0</v>
      </c>
    </row>
    <row r="7" spans="2:18" ht="15.75" x14ac:dyDescent="0.25">
      <c r="B7" s="14" t="s">
        <v>3</v>
      </c>
      <c r="C7" s="15">
        <f>SUM(M6:M11)</f>
        <v>0</v>
      </c>
      <c r="D7" s="1"/>
      <c r="E7" s="13"/>
      <c r="F7" s="16"/>
      <c r="G7" s="31"/>
      <c r="H7" s="3"/>
      <c r="I7" s="3"/>
      <c r="J7" s="1"/>
      <c r="K7" s="16"/>
      <c r="L7" s="4"/>
      <c r="M7" s="11"/>
      <c r="R7" s="57">
        <f>IF(vend16[[#This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13"/>
      <c r="F8" s="16"/>
      <c r="G8" s="17"/>
      <c r="H8" s="3"/>
      <c r="I8" s="3"/>
      <c r="J8" s="1"/>
      <c r="K8" s="16"/>
      <c r="L8" s="4"/>
      <c r="M8" s="11"/>
      <c r="R8" s="57">
        <f>IF(vend16[[#This Row],[Nº Venda]]&gt;1,1,0)</f>
        <v>0</v>
      </c>
    </row>
    <row r="9" spans="2:18" ht="15.75" x14ac:dyDescent="0.25">
      <c r="B9" s="1"/>
      <c r="C9" s="1"/>
      <c r="D9" s="1"/>
      <c r="E9" s="13"/>
      <c r="F9" s="16"/>
      <c r="G9" s="17"/>
      <c r="H9" s="3"/>
      <c r="I9" s="3"/>
      <c r="J9" s="1"/>
      <c r="K9" s="16"/>
      <c r="L9" s="4"/>
      <c r="M9" s="11"/>
      <c r="R9" s="57">
        <f>IF(vend16[[#This Row],[Nº Venda]]&gt;1,1,0)</f>
        <v>0</v>
      </c>
    </row>
    <row r="10" spans="2:18" ht="15.75" x14ac:dyDescent="0.25">
      <c r="B10" s="123" t="s">
        <v>5</v>
      </c>
      <c r="C10" s="123"/>
      <c r="D10" s="1"/>
      <c r="E10" s="13"/>
      <c r="F10" s="16"/>
      <c r="G10" s="17"/>
      <c r="H10" s="3"/>
      <c r="I10" s="3"/>
      <c r="J10" s="1"/>
      <c r="K10" s="16"/>
      <c r="L10" s="4"/>
      <c r="M10" s="11"/>
      <c r="R10" s="57">
        <f>IF(vend16[[#This Row],[Nº Venda]]&gt;1,1,0)</f>
        <v>0</v>
      </c>
    </row>
    <row r="11" spans="2:18" ht="15.75" x14ac:dyDescent="0.25">
      <c r="B11" s="19" t="s">
        <v>6</v>
      </c>
      <c r="C11" s="20">
        <f>(SUMIF($G$2:$G$31,B11,$I$2:$I$31))+(SUMIF($G$35:$G$41,B11,$H$35:$H$41))</f>
        <v>0</v>
      </c>
      <c r="D11" s="1"/>
      <c r="E11" s="13"/>
      <c r="F11" s="16"/>
      <c r="G11" s="17"/>
      <c r="H11" s="3"/>
      <c r="I11" s="3"/>
      <c r="J11" s="1"/>
      <c r="K11" s="18"/>
      <c r="L11" s="4"/>
      <c r="M11" s="11"/>
      <c r="O11" s="57">
        <f>IF(C16=0,0,1)</f>
        <v>0</v>
      </c>
      <c r="R11" s="57">
        <f>IF(vend16[[#This Row],[Nº Venda]]&gt;1,1,0)</f>
        <v>0</v>
      </c>
    </row>
    <row r="12" spans="2:18" ht="15.7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13"/>
      <c r="F12" s="16"/>
      <c r="G12" s="17"/>
      <c r="H12" s="3"/>
      <c r="I12" s="3"/>
      <c r="J12" s="1"/>
      <c r="R12" s="57">
        <f>IF(vend16[[#This Row],[Nº Venda]]&gt;1,1,0)</f>
        <v>0</v>
      </c>
    </row>
    <row r="13" spans="2:18" ht="15.75" x14ac:dyDescent="0.25">
      <c r="B13" s="19" t="s">
        <v>8</v>
      </c>
      <c r="C13" s="20">
        <f t="shared" si="0"/>
        <v>0</v>
      </c>
      <c r="D13" s="1"/>
      <c r="E13" s="13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IF(vend16[[#This Row],[Nº Venda]]&gt;1,1,0)</f>
        <v>0</v>
      </c>
    </row>
    <row r="14" spans="2:18" ht="15.75" x14ac:dyDescent="0.25">
      <c r="B14" s="19" t="s">
        <v>9</v>
      </c>
      <c r="C14" s="20">
        <f t="shared" si="0"/>
        <v>0</v>
      </c>
      <c r="D14" s="1"/>
      <c r="E14" s="13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IF(vend16[[#This Row],[Nº Venda]]&gt;1,1,0)</f>
        <v>0</v>
      </c>
    </row>
    <row r="15" spans="2:18" ht="15.75" x14ac:dyDescent="0.25">
      <c r="B15" s="19" t="s">
        <v>10</v>
      </c>
      <c r="C15" s="20">
        <f t="shared" si="0"/>
        <v>0</v>
      </c>
      <c r="D15" s="1"/>
      <c r="E15" s="13"/>
      <c r="F15" s="16"/>
      <c r="G15" s="17"/>
      <c r="H15" s="3"/>
      <c r="I15" s="3"/>
      <c r="J15" s="1"/>
      <c r="K15" s="16"/>
      <c r="L15" s="4"/>
      <c r="M15" s="11"/>
      <c r="R15" s="57">
        <f>IF(vend16[[#This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13"/>
      <c r="F16" s="16"/>
      <c r="G16" s="17"/>
      <c r="H16" s="3"/>
      <c r="I16" s="3"/>
      <c r="J16" s="1"/>
      <c r="K16" s="16"/>
      <c r="L16" s="4"/>
      <c r="M16" s="11"/>
      <c r="R16" s="57">
        <f>IF(vend16[[#This Row],[Nº Venda]]&gt;1,1,0)</f>
        <v>0</v>
      </c>
    </row>
    <row r="17" spans="2:18" ht="15.75" x14ac:dyDescent="0.25">
      <c r="B17" s="1"/>
      <c r="C17" s="1"/>
      <c r="D17" s="1"/>
      <c r="E17" s="13"/>
      <c r="F17" s="16"/>
      <c r="G17" s="17"/>
      <c r="H17" s="3"/>
      <c r="I17" s="3"/>
      <c r="J17" s="1"/>
      <c r="K17" s="16"/>
      <c r="L17" s="4"/>
      <c r="M17" s="11"/>
      <c r="R17" s="57">
        <f>IF(vend16[[#This Row],[Nº Venda]]&gt;1,1,0)</f>
        <v>0</v>
      </c>
    </row>
    <row r="18" spans="2:18" ht="15.75" x14ac:dyDescent="0.25">
      <c r="B18" s="123" t="s">
        <v>12</v>
      </c>
      <c r="C18" s="123"/>
      <c r="D18" s="1"/>
      <c r="E18" s="13"/>
      <c r="F18" s="16"/>
      <c r="G18" s="17"/>
      <c r="H18" s="3"/>
      <c r="I18" s="3"/>
      <c r="J18" s="1"/>
      <c r="K18" s="16"/>
      <c r="L18" s="4"/>
      <c r="M18" s="11"/>
      <c r="R18" s="57">
        <f>IF(vend16[[#This Row],[Nº Venda]]&gt;1,1,0)</f>
        <v>0</v>
      </c>
    </row>
    <row r="19" spans="2:18" ht="15.75" x14ac:dyDescent="0.25">
      <c r="B19" s="19">
        <f>COUNT(entr_carn16[OS])</f>
        <v>0</v>
      </c>
      <c r="C19" s="20">
        <f>SUM(entr_carn16[Valor Total])</f>
        <v>0</v>
      </c>
      <c r="D19" s="1"/>
      <c r="E19" s="13"/>
      <c r="F19" s="16"/>
      <c r="G19" s="17"/>
      <c r="H19" s="3"/>
      <c r="I19" s="3"/>
      <c r="J19" s="1"/>
      <c r="K19" s="16"/>
      <c r="L19" s="4"/>
      <c r="M19" s="11"/>
      <c r="R19" s="57">
        <f>IF(vend16[[#This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13"/>
      <c r="F20" s="17"/>
      <c r="G20" s="17"/>
      <c r="H20" s="3"/>
      <c r="I20" s="3"/>
      <c r="J20" s="1"/>
      <c r="K20" s="16"/>
      <c r="L20" s="4"/>
      <c r="M20" s="11"/>
      <c r="R20" s="57">
        <f>IF(vend16[[#This Row],[Nº Venda]]&gt;1,1,0)</f>
        <v>0</v>
      </c>
    </row>
    <row r="21" spans="2:18" ht="15.75" x14ac:dyDescent="0.25">
      <c r="B21" s="1"/>
      <c r="C21" s="1"/>
      <c r="D21" s="1"/>
      <c r="E21" s="13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13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.75" x14ac:dyDescent="0.25">
      <c r="B26" s="1"/>
      <c r="C26" s="1"/>
      <c r="D26" s="1"/>
      <c r="E26" s="13"/>
      <c r="F26" s="16"/>
      <c r="G26" s="31"/>
      <c r="H26" s="3"/>
      <c r="I26" s="3"/>
      <c r="J26" s="1"/>
      <c r="K26" s="16"/>
      <c r="L26" s="4"/>
      <c r="M26" s="11"/>
    </row>
    <row r="27" spans="2:18" ht="15.75" x14ac:dyDescent="0.25">
      <c r="B27" s="1"/>
      <c r="C27" s="1"/>
      <c r="D27" s="1"/>
      <c r="E27" s="13"/>
      <c r="F27" s="16"/>
      <c r="G27" s="17"/>
      <c r="H27" s="3"/>
      <c r="I27" s="3"/>
      <c r="J27" s="1"/>
      <c r="K27" s="16"/>
      <c r="L27" s="4"/>
      <c r="M27" s="11"/>
    </row>
    <row r="28" spans="2:18" ht="15.75" x14ac:dyDescent="0.25">
      <c r="B28" s="1"/>
      <c r="C28" s="1"/>
      <c r="D28" s="1"/>
      <c r="E28" s="13"/>
      <c r="F28" s="16"/>
      <c r="G28" s="17"/>
      <c r="H28" s="3"/>
      <c r="I28" s="3"/>
      <c r="J28" s="1"/>
      <c r="K28" s="16"/>
      <c r="L28" s="4"/>
      <c r="M28" s="11"/>
    </row>
    <row r="29" spans="2:18" ht="15.75" x14ac:dyDescent="0.25">
      <c r="B29" s="1"/>
      <c r="C29" s="1"/>
      <c r="D29" s="1"/>
      <c r="E29" s="13"/>
      <c r="F29" s="16"/>
      <c r="G29" s="17"/>
      <c r="H29" s="3"/>
      <c r="I29" s="3"/>
      <c r="J29" s="1"/>
      <c r="K29" s="16"/>
      <c r="L29" s="4"/>
      <c r="M29" s="11"/>
    </row>
    <row r="30" spans="2:18" ht="15.75" x14ac:dyDescent="0.25">
      <c r="B30" s="1"/>
      <c r="C30" s="1"/>
      <c r="D30" s="1"/>
      <c r="E30" s="13"/>
      <c r="F30" s="25"/>
      <c r="G30" s="17"/>
      <c r="H30" s="3"/>
      <c r="I30" s="3"/>
      <c r="J30" s="1"/>
      <c r="K30" s="16"/>
      <c r="L30" s="4"/>
      <c r="M30" s="11"/>
    </row>
    <row r="31" spans="2:18" ht="15.75" x14ac:dyDescent="0.25">
      <c r="B31" s="1"/>
      <c r="C31" s="1"/>
      <c r="D31" s="1"/>
      <c r="E31" s="21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.75" x14ac:dyDescent="0.25">
      <c r="E35" s="13"/>
      <c r="F35" s="16"/>
      <c r="G35" s="17"/>
      <c r="H35" s="3"/>
      <c r="I35" s="3"/>
      <c r="K35" s="16"/>
      <c r="L35" s="27"/>
      <c r="M35" s="11"/>
    </row>
    <row r="36" spans="2:18" ht="15.75" x14ac:dyDescent="0.25">
      <c r="E36" s="13"/>
      <c r="F36" s="16"/>
      <c r="G36" s="17"/>
      <c r="H36" s="3"/>
      <c r="I36" s="3"/>
      <c r="K36" s="16"/>
      <c r="L36" s="27"/>
      <c r="M36" s="11"/>
    </row>
    <row r="37" spans="2:18" ht="15.75" x14ac:dyDescent="0.25">
      <c r="E37" s="13"/>
      <c r="F37" s="16"/>
      <c r="G37" s="17"/>
      <c r="H37" s="3"/>
      <c r="I37" s="3"/>
      <c r="K37" s="16"/>
      <c r="L37" s="27"/>
      <c r="M37" s="11"/>
    </row>
    <row r="38" spans="2:18" ht="15.75" x14ac:dyDescent="0.25">
      <c r="E38" s="13"/>
      <c r="F38" s="16"/>
      <c r="G38" s="17"/>
      <c r="H38" s="3"/>
      <c r="I38" s="3"/>
      <c r="K38" s="16"/>
      <c r="L38" s="27"/>
      <c r="M38" s="11"/>
    </row>
    <row r="39" spans="2:18" ht="15.75" x14ac:dyDescent="0.25">
      <c r="E39" s="13"/>
      <c r="F39" s="25"/>
      <c r="G39" s="17"/>
      <c r="H39" s="3"/>
      <c r="I39" s="3"/>
      <c r="K39" s="16"/>
      <c r="L39" s="27"/>
      <c r="M39" s="11"/>
    </row>
    <row r="40" spans="2:18" ht="15.75" x14ac:dyDescent="0.25">
      <c r="E40" s="21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.75" x14ac:dyDescent="0.25">
      <c r="E41" s="29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2" zoomScale="80" zoomScaleNormal="80" workbookViewId="0">
      <selection activeCell="H6" sqref="H6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'16'!B1+1</f>
        <v>45460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>
        <v>948</v>
      </c>
      <c r="F6" s="37" t="s">
        <v>154</v>
      </c>
      <c r="G6" s="38" t="s">
        <v>70</v>
      </c>
      <c r="H6" s="39"/>
      <c r="I6" s="39"/>
      <c r="J6" s="1"/>
      <c r="K6" s="37"/>
      <c r="L6" s="41"/>
      <c r="M6" s="42"/>
      <c r="R6" s="57">
        <f>IF(vend17[[#This Row],[Nº Venda]]&gt;1,1,0)</f>
        <v>1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IF(vend17[[#This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IF(vend17[[#This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IF(vend17[[#This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IF(vend17[[#This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0</v>
      </c>
      <c r="R11" s="57">
        <f>IF(vend17[[#This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IF(vend17[[#This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IF(vend17[[#This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IF(vend17[[#This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IF(vend17[[#This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IF(vend17[[#This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IF(vend17[[#This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IF(vend17[[#This Row],[Nº Venda]]&gt;1,1,0)</f>
        <v>0</v>
      </c>
    </row>
    <row r="19" spans="2:18" ht="15" x14ac:dyDescent="0.25">
      <c r="B19" s="19">
        <f>COUNT(entr_carn17[OS])</f>
        <v>0</v>
      </c>
      <c r="C19" s="20">
        <f>SUM(entr_carn17[Valor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IF(vend17[[#This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IF(vend17[[#This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11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1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2" zoomScale="80" zoomScaleNormal="80" workbookViewId="0">
      <selection activeCell="F35" sqref="F35"/>
    </sheetView>
  </sheetViews>
  <sheetFormatPr defaultColWidth="9.140625" defaultRowHeight="12.75" x14ac:dyDescent="0.2"/>
  <cols>
    <col min="1" max="1" width="3.7109375" style="57" customWidth="1"/>
    <col min="2" max="2" width="27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4">
        <f>'17'!B1+1</f>
        <v>45461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/>
      <c r="F6" s="37"/>
      <c r="G6" s="38"/>
      <c r="H6" s="39"/>
      <c r="I6" s="39"/>
      <c r="J6" s="1"/>
      <c r="K6" s="37"/>
      <c r="L6" s="113"/>
      <c r="M6" s="42"/>
      <c r="R6" s="57">
        <f>IF(vend18[[#This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IF(vend18[[#This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IF(vend18[[#This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IF(vend18[[#This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IF(vend18[[#This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78.2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1</v>
      </c>
      <c r="R11" s="57">
        <f>IF(vend18[[#This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IF(vend18[[#This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IF(vend18[[#This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IF(vend18[[#This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IF(vend18[[#This Row],[Nº Venda]]&gt;1,1,0)</f>
        <v>0</v>
      </c>
    </row>
    <row r="16" spans="2:18" ht="15.75" x14ac:dyDescent="0.25">
      <c r="B16" s="65" t="s">
        <v>11</v>
      </c>
      <c r="C16" s="68">
        <f>SUM(C11:C15)</f>
        <v>78.2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IF(vend18[[#This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IF(vend18[[#This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IF(vend18[[#This Row],[Nº Venda]]&gt;1,1,0)</f>
        <v>0</v>
      </c>
    </row>
    <row r="19" spans="2:18" ht="15" x14ac:dyDescent="0.25">
      <c r="B19" s="19">
        <f>COUNT(entr_carn18[OS])</f>
        <v>0</v>
      </c>
      <c r="C19" s="20">
        <f>SUM(entr_carn18[Valor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IF(vend18[[#This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IF(vend18[[#This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111"/>
      <c r="F23" s="111"/>
      <c r="G23" s="111"/>
      <c r="H23" s="112"/>
      <c r="I23" s="112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>
        <v>859</v>
      </c>
      <c r="F35" s="37" t="s">
        <v>155</v>
      </c>
      <c r="G35" s="38" t="s">
        <v>6</v>
      </c>
      <c r="H35" s="39">
        <v>78.2</v>
      </c>
      <c r="I35" s="39" t="s">
        <v>111</v>
      </c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6"/>
  <sheetViews>
    <sheetView showGridLines="0" topLeftCell="A13" zoomScale="80" zoomScaleNormal="80" zoomScaleSheetLayoutView="70" workbookViewId="0">
      <selection activeCell="F6" sqref="F6"/>
    </sheetView>
  </sheetViews>
  <sheetFormatPr defaultColWidth="9.140625" defaultRowHeight="12.75" x14ac:dyDescent="0.2"/>
  <cols>
    <col min="1" max="1" width="1.42578125" style="57" customWidth="1"/>
    <col min="2" max="2" width="27.85546875" style="57" bestFit="1" customWidth="1"/>
    <col min="3" max="3" width="14" style="57" customWidth="1"/>
    <col min="4" max="4" width="1.2851562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1.140625" style="57" customWidth="1"/>
    <col min="11" max="11" width="19.7109375" style="60" customWidth="1"/>
    <col min="12" max="12" width="20.7109375" style="60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6">
        <f>'18'!B1+1</f>
        <v>45462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50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50</v>
      </c>
      <c r="D6" s="1"/>
      <c r="E6" s="40">
        <v>949</v>
      </c>
      <c r="F6" s="37" t="s">
        <v>156</v>
      </c>
      <c r="G6" s="38" t="s">
        <v>10</v>
      </c>
      <c r="H6" s="39">
        <v>50</v>
      </c>
      <c r="I6" s="39">
        <v>50</v>
      </c>
      <c r="J6" s="1"/>
      <c r="K6" s="37"/>
      <c r="L6" s="41"/>
      <c r="M6" s="42"/>
      <c r="R6" s="57">
        <f>IF(vend19[[#This Row],[Nº Venda]]&gt;1,1,0)</f>
        <v>1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114"/>
      <c r="I7" s="39"/>
      <c r="J7" s="1"/>
      <c r="K7" s="37"/>
      <c r="L7" s="41"/>
      <c r="M7" s="42"/>
      <c r="R7" s="57">
        <f>IF(vend19[[#This Row],[Nº Venda]]&gt;1,1,0)</f>
        <v>0</v>
      </c>
    </row>
    <row r="8" spans="2:18" ht="15.75" x14ac:dyDescent="0.25">
      <c r="B8" s="65" t="s">
        <v>23</v>
      </c>
      <c r="C8" s="66">
        <f>SUM(C6:C7)</f>
        <v>50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IF(vend19[[#This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IF(vend19[[#This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IF(vend19[[#This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1</v>
      </c>
      <c r="R11" s="57">
        <f>IF(vend19[[#This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15"/>
      <c r="L12" s="115"/>
      <c r="M12" s="115"/>
      <c r="R12" s="57">
        <f>IF(vend19[[#This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IF(vend19[[#This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IF(vend19[[#This Row],[Nº Venda]]&gt;1,1,0)</f>
        <v>0</v>
      </c>
    </row>
    <row r="15" spans="2:18" ht="15" x14ac:dyDescent="0.25">
      <c r="B15" s="19" t="s">
        <v>10</v>
      </c>
      <c r="C15" s="20">
        <f t="shared" si="0"/>
        <v>99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IF(vend19[[#This Row],[Nº Venda]]&gt;1,1,0)</f>
        <v>0</v>
      </c>
    </row>
    <row r="16" spans="2:18" ht="15.75" x14ac:dyDescent="0.25">
      <c r="B16" s="65" t="s">
        <v>11</v>
      </c>
      <c r="C16" s="68">
        <f>SUM(C11:C15)</f>
        <v>99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IF(vend19[[#This Row],[Nº Venda]]&gt;1,1,0)</f>
        <v>0</v>
      </c>
    </row>
    <row r="17" spans="2:22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IF(vend19[[#This Row],[Nº Venda]]&gt;1,1,0)</f>
        <v>0</v>
      </c>
    </row>
    <row r="18" spans="2:22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IF(vend19[[#This Row],[Nº Venda]]&gt;1,1,0)</f>
        <v>0</v>
      </c>
    </row>
    <row r="19" spans="2:22" ht="15" x14ac:dyDescent="0.25">
      <c r="B19" s="19">
        <f>COUNT(entr_carn19[OS])</f>
        <v>0</v>
      </c>
      <c r="C19" s="20">
        <f>SUM(entr_carn19[Valor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IF(vend19[[#This Row],[Nº Venda]]&gt;1,1,0)</f>
        <v>0</v>
      </c>
    </row>
    <row r="20" spans="2:22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IF(vend19[[#This Row],[Nº Venda]]&gt;1,1,0)</f>
        <v>0</v>
      </c>
      <c r="V20" s="57" t="s">
        <v>51</v>
      </c>
    </row>
    <row r="21" spans="2:22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22" ht="15.75" x14ac:dyDescent="0.25">
      <c r="B22" s="65" t="s">
        <v>29</v>
      </c>
      <c r="C22" s="68">
        <f>C5</f>
        <v>50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22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22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22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22" ht="15" x14ac:dyDescent="0.25">
      <c r="B26" s="1"/>
      <c r="C26" s="1"/>
      <c r="D26" s="1"/>
      <c r="E26" s="40"/>
      <c r="F26" s="102"/>
      <c r="G26" s="38"/>
      <c r="H26" s="39"/>
      <c r="I26" s="39"/>
      <c r="J26" s="1"/>
      <c r="K26" s="37"/>
      <c r="L26" s="41"/>
      <c r="M26" s="42"/>
    </row>
    <row r="27" spans="2:22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22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22" ht="15" x14ac:dyDescent="0.25">
      <c r="B29" s="1"/>
      <c r="C29" s="1"/>
      <c r="D29" s="1"/>
      <c r="E29" s="40"/>
      <c r="F29" s="37"/>
      <c r="G29" s="38"/>
      <c r="H29" s="38"/>
      <c r="I29" s="39"/>
      <c r="J29" s="1"/>
      <c r="K29" s="37"/>
      <c r="L29" s="41"/>
      <c r="M29" s="42"/>
    </row>
    <row r="30" spans="2:22" ht="15" x14ac:dyDescent="0.25">
      <c r="B30" s="1"/>
      <c r="C30" s="1"/>
      <c r="D30" s="1"/>
      <c r="E30" s="40"/>
      <c r="F30" s="37"/>
      <c r="G30" s="38"/>
      <c r="H30" s="39"/>
      <c r="I30" s="39"/>
      <c r="J30" s="1"/>
      <c r="K30" s="37"/>
      <c r="L30" s="41"/>
      <c r="M30" s="42"/>
    </row>
    <row r="31" spans="2:22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22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>
        <v>824</v>
      </c>
      <c r="F35" s="37" t="s">
        <v>157</v>
      </c>
      <c r="G35" s="38" t="s">
        <v>10</v>
      </c>
      <c r="H35" s="39">
        <v>49</v>
      </c>
      <c r="I35" s="39" t="s">
        <v>78</v>
      </c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1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  <row r="46" spans="2:18" x14ac:dyDescent="0.2">
      <c r="G46" s="58" t="s">
        <v>51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2" zoomScale="80" zoomScaleNormal="80" workbookViewId="0">
      <selection activeCell="F35" sqref="F35"/>
    </sheetView>
  </sheetViews>
  <sheetFormatPr defaultColWidth="9.140625" defaultRowHeight="12.75" x14ac:dyDescent="0.2"/>
  <cols>
    <col min="1" max="1" width="1.42578125" style="57" customWidth="1"/>
    <col min="2" max="2" width="28.7109375" style="57" bestFit="1" customWidth="1"/>
    <col min="3" max="3" width="14" style="57" customWidth="1"/>
    <col min="4" max="4" width="2.7109375" style="57" customWidth="1"/>
    <col min="5" max="5" width="13.7109375" style="58" customWidth="1"/>
    <col min="6" max="6" width="31.42578125" style="58" customWidth="1"/>
    <col min="7" max="7" width="15.140625" style="58" customWidth="1"/>
    <col min="8" max="8" width="19.140625" style="59" customWidth="1"/>
    <col min="9" max="9" width="15.5703125" style="59" customWidth="1"/>
    <col min="10" max="10" width="1.2851562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5">
      <c r="B1" s="34">
        <f>'19'!B1+1</f>
        <v>45463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190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1987</v>
      </c>
      <c r="D6" s="1"/>
      <c r="E6" s="40">
        <v>950</v>
      </c>
      <c r="F6" s="37" t="s">
        <v>162</v>
      </c>
      <c r="G6" s="38" t="s">
        <v>6</v>
      </c>
      <c r="H6" s="39">
        <v>190</v>
      </c>
      <c r="I6" s="39">
        <v>190</v>
      </c>
      <c r="J6" s="1"/>
      <c r="K6" s="37" t="s">
        <v>159</v>
      </c>
      <c r="L6" s="41" t="s">
        <v>160</v>
      </c>
      <c r="M6" s="42">
        <v>12</v>
      </c>
      <c r="R6" s="57">
        <f>IF(vend20[[#This Row],[Nº Venda]]&gt;1,1,0)</f>
        <v>1</v>
      </c>
    </row>
    <row r="7" spans="2:18" ht="15" x14ac:dyDescent="0.25">
      <c r="B7" s="14" t="s">
        <v>3</v>
      </c>
      <c r="C7" s="15">
        <f>SUM(M6:M11)</f>
        <v>12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IF(vend20[[#This Row],[Nº Venda]]&gt;1,1,0)</f>
        <v>0</v>
      </c>
    </row>
    <row r="8" spans="2:18" ht="15.75" x14ac:dyDescent="0.25">
      <c r="B8" s="65" t="s">
        <v>23</v>
      </c>
      <c r="C8" s="66">
        <f>SUM(C6:C7)</f>
        <v>1999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IF(vend20[[#This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IF(vend20[[#This Row],[Nº Venda]]&gt;1,1,0)</f>
        <v>0</v>
      </c>
    </row>
    <row r="10" spans="2:18" ht="15" x14ac:dyDescent="0.25">
      <c r="B10" s="123" t="s">
        <v>5</v>
      </c>
      <c r="C10" s="123"/>
      <c r="D10" s="1"/>
      <c r="E10" s="110"/>
      <c r="F10" s="37"/>
      <c r="G10" s="38"/>
      <c r="H10" s="39"/>
      <c r="I10" s="39"/>
      <c r="J10" s="1"/>
      <c r="K10" s="37"/>
      <c r="L10" s="41"/>
      <c r="M10" s="42"/>
      <c r="R10" s="57">
        <f>IF(vend20[[#This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312.39999999999998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1</v>
      </c>
      <c r="R11" s="57">
        <f>IF(vend20[[#This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IF(vend20[[#This Row],[Nº Venda]]&gt;1,1,0)</f>
        <v>0</v>
      </c>
    </row>
    <row r="13" spans="2:18" ht="15" x14ac:dyDescent="0.25">
      <c r="B13" s="19" t="s">
        <v>8</v>
      </c>
      <c r="C13" s="20">
        <f t="shared" si="0"/>
        <v>1770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IF(vend20[[#This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IF(vend20[[#This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>
        <v>932</v>
      </c>
      <c r="L15" s="41" t="s">
        <v>145</v>
      </c>
      <c r="M15" s="42" t="s">
        <v>44</v>
      </c>
      <c r="R15" s="57">
        <f>IF(vend20[[#This Row],[Nº Venda]]&gt;1,1,0)</f>
        <v>0</v>
      </c>
    </row>
    <row r="16" spans="2:18" ht="15.75" x14ac:dyDescent="0.25">
      <c r="B16" s="65" t="s">
        <v>11</v>
      </c>
      <c r="C16" s="68">
        <f>SUM(C11:C15)</f>
        <v>2082.4</v>
      </c>
      <c r="D16" s="1"/>
      <c r="E16" s="40"/>
      <c r="F16" s="37"/>
      <c r="G16" s="38"/>
      <c r="H16" s="39"/>
      <c r="I16" s="39"/>
      <c r="J16" s="1"/>
      <c r="K16" s="37">
        <v>944</v>
      </c>
      <c r="L16" s="41" t="s">
        <v>145</v>
      </c>
      <c r="M16" s="42" t="s">
        <v>44</v>
      </c>
      <c r="R16" s="57">
        <f>IF(vend20[[#This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>
        <v>948</v>
      </c>
      <c r="L17" s="41" t="s">
        <v>145</v>
      </c>
      <c r="M17" s="42" t="s">
        <v>44</v>
      </c>
      <c r="R17" s="57">
        <f>IF(vend20[[#This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IF(vend20[[#This Row],[Nº Venda]]&gt;1,1,0)</f>
        <v>0</v>
      </c>
    </row>
    <row r="19" spans="2:18" ht="15" x14ac:dyDescent="0.25">
      <c r="B19" s="19">
        <f>COUNT(entr_carn20[OS])</f>
        <v>0</v>
      </c>
      <c r="C19" s="20">
        <f>SUM(entr_carn20[Valor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IF(vend20[[#This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IF(vend20[[#This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190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>
        <v>932</v>
      </c>
      <c r="F26" s="37" t="s">
        <v>158</v>
      </c>
      <c r="G26" s="38" t="s">
        <v>8</v>
      </c>
      <c r="H26" s="39"/>
      <c r="I26" s="39">
        <v>1170</v>
      </c>
      <c r="J26" s="1"/>
      <c r="K26" s="37"/>
      <c r="L26" s="41"/>
      <c r="M26" s="42"/>
    </row>
    <row r="27" spans="2:18" ht="15" x14ac:dyDescent="0.25">
      <c r="B27" s="1"/>
      <c r="C27" s="1"/>
      <c r="D27" s="1"/>
      <c r="E27" s="40">
        <v>944</v>
      </c>
      <c r="F27" s="37" t="s">
        <v>49</v>
      </c>
      <c r="G27" s="38" t="s">
        <v>8</v>
      </c>
      <c r="H27" s="39"/>
      <c r="I27" s="39">
        <v>600</v>
      </c>
      <c r="J27" s="1"/>
      <c r="K27" s="37"/>
      <c r="L27" s="41"/>
      <c r="M27" s="42"/>
    </row>
    <row r="28" spans="2:18" ht="15" x14ac:dyDescent="0.25">
      <c r="B28" s="1"/>
      <c r="C28" s="1"/>
      <c r="D28" s="1"/>
      <c r="E28" s="40">
        <v>944</v>
      </c>
      <c r="F28" s="37" t="s">
        <v>49</v>
      </c>
      <c r="G28" s="38" t="s">
        <v>6</v>
      </c>
      <c r="H28" s="39"/>
      <c r="I28" s="39">
        <v>27</v>
      </c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50"/>
      <c r="F32" s="51"/>
      <c r="G32" s="51"/>
      <c r="H32" s="53"/>
      <c r="I32" s="53"/>
      <c r="K32" s="115"/>
      <c r="L32" s="115"/>
      <c r="M32" s="115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>
        <v>881</v>
      </c>
      <c r="F35" s="37" t="s">
        <v>161</v>
      </c>
      <c r="G35" s="38" t="s">
        <v>6</v>
      </c>
      <c r="H35" s="39">
        <v>95.4</v>
      </c>
      <c r="I35" s="39" t="s">
        <v>76</v>
      </c>
      <c r="K35" s="16"/>
      <c r="L35" s="27"/>
      <c r="M35" s="11"/>
    </row>
    <row r="36" spans="2:18" ht="15" x14ac:dyDescent="0.25">
      <c r="E36" s="40"/>
      <c r="F36" s="37"/>
      <c r="G36" s="38"/>
      <c r="H36" s="39"/>
      <c r="I36" s="39"/>
      <c r="K36" s="16"/>
      <c r="L36" s="27"/>
      <c r="M36" s="11"/>
    </row>
    <row r="37" spans="2:18" ht="15" x14ac:dyDescent="0.25">
      <c r="E37" s="40"/>
      <c r="F37" s="37"/>
      <c r="G37" s="38"/>
      <c r="H37" s="39"/>
      <c r="I37" s="39"/>
      <c r="K37" s="16"/>
      <c r="L37" s="27"/>
      <c r="M37" s="11"/>
    </row>
    <row r="38" spans="2:18" ht="15" x14ac:dyDescent="0.25">
      <c r="E38" s="40"/>
      <c r="F38" s="37"/>
      <c r="G38" s="38"/>
      <c r="H38" s="39"/>
      <c r="I38" s="39"/>
      <c r="K38" s="16"/>
      <c r="L38" s="27"/>
      <c r="M38" s="11"/>
    </row>
    <row r="39" spans="2:18" ht="15" x14ac:dyDescent="0.25">
      <c r="E39" s="40"/>
      <c r="F39" s="102"/>
      <c r="G39" s="38"/>
      <c r="H39" s="39"/>
      <c r="I39" s="39"/>
      <c r="K39" s="16"/>
      <c r="L39" s="27"/>
      <c r="M39" s="11"/>
    </row>
    <row r="40" spans="2:18" ht="15" x14ac:dyDescent="0.25">
      <c r="E40" s="103"/>
      <c r="F40" s="104"/>
      <c r="G40" s="105"/>
      <c r="H40" s="106"/>
      <c r="I40" s="39"/>
      <c r="K40" s="22"/>
      <c r="L40" s="28"/>
      <c r="M40" s="26"/>
      <c r="Q40" s="57" t="s">
        <v>38</v>
      </c>
      <c r="R40" s="57">
        <f>SUM(R6:R21)</f>
        <v>1</v>
      </c>
    </row>
    <row r="41" spans="2:18" ht="15" x14ac:dyDescent="0.25">
      <c r="E41" s="110"/>
      <c r="F41" s="102"/>
      <c r="G41" s="38"/>
      <c r="H41" s="39"/>
      <c r="I41" s="39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6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'20'!B1+1</f>
        <v>45464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797</v>
      </c>
      <c r="D6" s="1"/>
      <c r="E6" s="40"/>
      <c r="F6" s="37"/>
      <c r="G6" s="38"/>
      <c r="H6" s="39"/>
      <c r="I6" s="39"/>
      <c r="J6" s="1"/>
      <c r="K6" s="37"/>
      <c r="L6" s="41"/>
      <c r="M6" s="42"/>
      <c r="R6" s="57">
        <f>IF(vend21[[#This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IF(vend21[[#This Row],[Nº Venda]]&gt;1,1,0)</f>
        <v>0</v>
      </c>
    </row>
    <row r="8" spans="2:18" ht="15.75" x14ac:dyDescent="0.25">
      <c r="B8" s="65" t="s">
        <v>23</v>
      </c>
      <c r="C8" s="66">
        <f>SUM(C6:C7)</f>
        <v>797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IF(vend21[[#This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IF(vend21[[#This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IF(vend21[[#This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1</v>
      </c>
      <c r="R11" s="57">
        <f>IF(vend21[[#This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15"/>
      <c r="L12" s="115"/>
      <c r="M12" s="115"/>
      <c r="R12" s="57">
        <f>IF(vend21[[#This Row],[Nº Venda]]&gt;1,1,0)</f>
        <v>0</v>
      </c>
    </row>
    <row r="13" spans="2:18" ht="15" x14ac:dyDescent="0.25">
      <c r="B13" s="19" t="s">
        <v>8</v>
      </c>
      <c r="C13" s="20">
        <f t="shared" si="0"/>
        <v>797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IF(vend21[[#This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IF(vend21[[#This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>
        <v>941</v>
      </c>
      <c r="L15" s="41" t="s">
        <v>145</v>
      </c>
      <c r="M15" s="42" t="s">
        <v>44</v>
      </c>
      <c r="R15" s="57">
        <f>IF(vend21[[#This Row],[Nº Venda]]&gt;1,1,0)</f>
        <v>0</v>
      </c>
    </row>
    <row r="16" spans="2:18" ht="15.75" x14ac:dyDescent="0.25">
      <c r="B16" s="65" t="s">
        <v>11</v>
      </c>
      <c r="C16" s="68">
        <f>SUM(C11:C15)</f>
        <v>797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IF(vend21[[#This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IF(vend21[[#This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IF(vend21[[#This Row],[Nº Venda]]&gt;1,1,0)</f>
        <v>0</v>
      </c>
    </row>
    <row r="19" spans="2:18" ht="15" x14ac:dyDescent="0.25">
      <c r="B19" s="19">
        <f>COUNT(entr_carn21[OS])</f>
        <v>0</v>
      </c>
      <c r="C19" s="20">
        <f>SUM(entr_carn21[Valor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IF(vend21[[#This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IF(vend21[[#This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>
        <v>941</v>
      </c>
      <c r="F26" s="37" t="s">
        <v>163</v>
      </c>
      <c r="G26" s="38" t="s">
        <v>8</v>
      </c>
      <c r="H26" s="39"/>
      <c r="I26" s="39">
        <v>797</v>
      </c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15"/>
      <c r="L32" s="115"/>
      <c r="M32" s="115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3" zoomScale="80" zoomScaleNormal="80" workbookViewId="0">
      <selection activeCell="G14" sqref="G14"/>
    </sheetView>
  </sheetViews>
  <sheetFormatPr defaultColWidth="9.140625" defaultRowHeight="12.75" x14ac:dyDescent="0.2"/>
  <cols>
    <col min="1" max="1" width="1.85546875" style="57" customWidth="1"/>
    <col min="2" max="2" width="23.28515625" style="57" bestFit="1" customWidth="1"/>
    <col min="3" max="3" width="14" style="57" customWidth="1"/>
    <col min="4" max="4" width="1.14062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1.4257812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'21'!B1+1</f>
        <v>45465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/>
      <c r="F6" s="37"/>
      <c r="G6" s="38"/>
      <c r="H6" s="39"/>
      <c r="I6" s="39"/>
      <c r="J6" s="1"/>
      <c r="K6" s="37"/>
      <c r="L6" s="41"/>
      <c r="M6" s="42"/>
      <c r="R6" s="57">
        <f>IF(vend22[[#This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IF(vend22[[#This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IF(vend22[[#This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IF(vend22[[#This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IF(vend22[[#This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0</v>
      </c>
      <c r="R11" s="57">
        <f>IF(vend22[[#This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IF(vend22[[#This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IF(vend22[[#This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116"/>
      <c r="G14" s="37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IF(vend22[[#This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IF(vend22[[#This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IF(vend22[[#This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IF(vend22[[#This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IF(vend22[[#This Row],[Nº Venda]]&gt;1,1,0)</f>
        <v>0</v>
      </c>
    </row>
    <row r="19" spans="2:18" ht="15" x14ac:dyDescent="0.25">
      <c r="B19" s="19">
        <f>COUNT(entr_carn22[OS])</f>
        <v>0</v>
      </c>
      <c r="C19" s="20">
        <f>SUM(entr_carn22[Valor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IF(vend22[[#This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IF(vend22[[#This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9" zoomScale="80" zoomScaleNormal="80" workbookViewId="0">
      <selection activeCell="L21" sqref="L21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'22'!B1+1</f>
        <v>45466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.75" x14ac:dyDescent="0.25">
      <c r="B6" s="14" t="s">
        <v>2</v>
      </c>
      <c r="C6" s="15">
        <f>SUM(I6:I41)</f>
        <v>0</v>
      </c>
      <c r="D6" s="1"/>
      <c r="E6" s="40"/>
      <c r="F6" s="37"/>
      <c r="G6" s="38"/>
      <c r="H6" s="39"/>
      <c r="I6" s="39"/>
      <c r="J6" s="1"/>
      <c r="K6" s="117"/>
      <c r="L6" s="118"/>
      <c r="M6" s="119"/>
      <c r="R6" s="57">
        <f>IF(vend23[[#This Row],[Nº Venda]]&gt;1,1,0)</f>
        <v>0</v>
      </c>
    </row>
    <row r="7" spans="2:18" ht="15.7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117"/>
      <c r="L7" s="118"/>
      <c r="M7" s="119"/>
      <c r="R7" s="57">
        <f>IF(vend23[[#This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117"/>
      <c r="L8" s="118"/>
      <c r="M8" s="119"/>
      <c r="R8" s="57">
        <f>IF(vend23[[#This Row],[Nº Venda]]&gt;1,1,0)</f>
        <v>0</v>
      </c>
    </row>
    <row r="9" spans="2:18" ht="15.75" x14ac:dyDescent="0.25">
      <c r="B9" s="1"/>
      <c r="C9" s="1"/>
      <c r="D9" s="1"/>
      <c r="E9" s="40"/>
      <c r="F9" s="37"/>
      <c r="G9" s="38"/>
      <c r="H9" s="39"/>
      <c r="I9" s="39"/>
      <c r="J9" s="1"/>
      <c r="K9" s="117"/>
      <c r="L9" s="118"/>
      <c r="M9" s="119"/>
      <c r="R9" s="57">
        <f>IF(vend23[[#This Row],[Nº Venda]]&gt;1,1,0)</f>
        <v>0</v>
      </c>
    </row>
    <row r="10" spans="2:18" ht="15.7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117"/>
      <c r="L10" s="118"/>
      <c r="M10" s="119"/>
      <c r="R10" s="57">
        <f>IF(vend23[[#This Row],[Nº Venda]]&gt;1,1,0)</f>
        <v>0</v>
      </c>
    </row>
    <row r="11" spans="2:18" ht="15.75" x14ac:dyDescent="0.25">
      <c r="B11" s="19" t="s">
        <v>6</v>
      </c>
      <c r="C11" s="67">
        <f>(SUMIF($G$2:$G$31,B11,$I$2:$I$31))+(SUMIF($G$35:$G$44,B11,$H$35:$H$44))</f>
        <v>0</v>
      </c>
      <c r="D11" s="1"/>
      <c r="E11" s="40"/>
      <c r="F11" s="37"/>
      <c r="G11" s="38"/>
      <c r="H11" s="39"/>
      <c r="I11" s="39"/>
      <c r="J11" s="1"/>
      <c r="K11" s="120"/>
      <c r="L11" s="118"/>
      <c r="M11" s="119"/>
      <c r="O11" s="57">
        <f>IF(C16=0,0,1)</f>
        <v>0</v>
      </c>
      <c r="R11" s="57">
        <f>IF(vend23[[#This Row],[Nº Venda]]&gt;1,1,0)</f>
        <v>0</v>
      </c>
    </row>
    <row r="12" spans="2:18" ht="15.75" x14ac:dyDescent="0.25">
      <c r="B12" s="19" t="s">
        <v>7</v>
      </c>
      <c r="C12" s="67">
        <f>(SUMIF($G$2:$G$31,B12,$I$2:$I$31))+(SUMIF($G$35:$G$44,B12,$H$35:$H$44))</f>
        <v>0</v>
      </c>
      <c r="D12" s="1"/>
      <c r="E12" s="40"/>
      <c r="F12" s="37"/>
      <c r="G12" s="38"/>
      <c r="H12" s="39"/>
      <c r="I12" s="39"/>
      <c r="J12" s="1"/>
      <c r="K12" s="121"/>
      <c r="L12" s="121"/>
      <c r="M12" s="121"/>
      <c r="R12" s="57">
        <f>IF(vend23[[#This Row],[Nº Venda]]&gt;1,1,0)</f>
        <v>0</v>
      </c>
    </row>
    <row r="13" spans="2:18" ht="15" x14ac:dyDescent="0.25">
      <c r="B13" s="19" t="s">
        <v>8</v>
      </c>
      <c r="C13" s="67">
        <f>(SUMIF($G$2:$G$31,B13,$I$2:$I$31))+(SUMIF($G$35:$G$44,B13,$H$35:$H$44))</f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IF(vend23[[#This Row],[Nº Venda]]&gt;1,1,0)</f>
        <v>0</v>
      </c>
    </row>
    <row r="14" spans="2:18" ht="15" x14ac:dyDescent="0.25">
      <c r="B14" s="19" t="s">
        <v>9</v>
      </c>
      <c r="C14" s="67">
        <f>(SUMIF($G$2:$G$31,B14,$I$2:$I$31))+(SUMIF($G$35:$G$44,B14,$H$35:$H$44))</f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IF(vend23[[#This Row],[Nº Venda]]&gt;1,1,0)</f>
        <v>0</v>
      </c>
    </row>
    <row r="15" spans="2:18" ht="15" x14ac:dyDescent="0.25">
      <c r="B15" s="19" t="s">
        <v>10</v>
      </c>
      <c r="C15" s="67">
        <f>(SUMIF($G$2:$G$31,B15,$I$2:$I$31))+(SUMIF($G$35:$G$44,B15,$H$35:$H$44))</f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IF(vend23[[#This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IF(vend23[[#This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IF(vend23[[#This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IF(vend23[[#This Row],[Nº Venda]]&gt;1,1,0)</f>
        <v>0</v>
      </c>
    </row>
    <row r="19" spans="2:18" ht="15" x14ac:dyDescent="0.25">
      <c r="B19" s="19">
        <f>COUNT(entr_carn23[OS])</f>
        <v>0</v>
      </c>
      <c r="C19" s="20">
        <f>SUM(entr_carn23[Valor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IF(vend23[[#This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IF(vend23[[#This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03"/>
      <c r="F41" s="102"/>
      <c r="G41" s="38"/>
      <c r="H41" s="39"/>
      <c r="I41" s="39"/>
      <c r="K41" s="109"/>
      <c r="L41" s="43"/>
      <c r="M41" s="108"/>
    </row>
    <row r="42" spans="2:18" ht="15" x14ac:dyDescent="0.25">
      <c r="E42" s="103"/>
      <c r="F42" s="122"/>
      <c r="G42" s="105"/>
      <c r="H42" s="106"/>
      <c r="I42" s="106"/>
    </row>
    <row r="43" spans="2:18" ht="15" x14ac:dyDescent="0.25">
      <c r="E43" s="103"/>
      <c r="F43" s="102"/>
      <c r="G43" s="38"/>
      <c r="H43" s="39"/>
      <c r="I43" s="39"/>
    </row>
    <row r="44" spans="2:18" ht="15" x14ac:dyDescent="0.25">
      <c r="E44" s="111"/>
      <c r="F44" s="122"/>
      <c r="G44" s="105"/>
      <c r="H44" s="106"/>
      <c r="I44" s="10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8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'23'!B1+1</f>
        <v>45467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.75" x14ac:dyDescent="0.25">
      <c r="B6" s="14" t="s">
        <v>2</v>
      </c>
      <c r="C6" s="15">
        <f>SUM(I6:I41)</f>
        <v>0</v>
      </c>
      <c r="D6" s="1"/>
      <c r="E6" s="13"/>
      <c r="F6" s="16"/>
      <c r="G6" s="17"/>
      <c r="H6" s="3"/>
      <c r="I6" s="3"/>
      <c r="J6" s="1"/>
      <c r="K6" s="37" t="s">
        <v>42</v>
      </c>
      <c r="L6" s="41" t="s">
        <v>10</v>
      </c>
      <c r="M6" s="42">
        <v>13</v>
      </c>
      <c r="R6" s="57">
        <f>IF(vend24[[#This Row],[Nº Venda]]&gt;1,1,0)</f>
        <v>0</v>
      </c>
    </row>
    <row r="7" spans="2:18" ht="15.75" x14ac:dyDescent="0.25">
      <c r="B7" s="14" t="s">
        <v>3</v>
      </c>
      <c r="C7" s="15">
        <f>SUM(M6:M11)</f>
        <v>13</v>
      </c>
      <c r="D7" s="1"/>
      <c r="E7" s="13"/>
      <c r="F7" s="16"/>
      <c r="G7" s="17"/>
      <c r="H7" s="3"/>
      <c r="I7" s="3"/>
      <c r="J7" s="1"/>
      <c r="K7" s="37"/>
      <c r="L7" s="41"/>
      <c r="M7" s="42"/>
      <c r="R7" s="57">
        <f>IF(vend24[[#This Row],[Nº Venda]]&gt;1,1,0)</f>
        <v>0</v>
      </c>
    </row>
    <row r="8" spans="2:18" ht="15.75" x14ac:dyDescent="0.25">
      <c r="B8" s="65" t="s">
        <v>23</v>
      </c>
      <c r="C8" s="66">
        <f>SUM(C6:C7)</f>
        <v>13</v>
      </c>
      <c r="D8" s="1"/>
      <c r="E8" s="13"/>
      <c r="F8" s="16"/>
      <c r="G8" s="17"/>
      <c r="H8" s="3"/>
      <c r="I8" s="3"/>
      <c r="J8" s="1"/>
      <c r="K8" s="37"/>
      <c r="L8" s="41"/>
      <c r="M8" s="42"/>
      <c r="R8" s="57">
        <f>IF(vend24[[#This Row],[Nº Venda]]&gt;1,1,0)</f>
        <v>0</v>
      </c>
    </row>
    <row r="9" spans="2:18" ht="15.75" x14ac:dyDescent="0.25">
      <c r="B9" s="1"/>
      <c r="C9" s="1"/>
      <c r="D9" s="1"/>
      <c r="E9" s="13"/>
      <c r="F9" s="16"/>
      <c r="G9" s="17"/>
      <c r="H9" s="3"/>
      <c r="I9" s="3"/>
      <c r="J9" s="1"/>
      <c r="K9" s="37"/>
      <c r="L9" s="41"/>
      <c r="M9" s="42"/>
      <c r="R9" s="57">
        <f>IF(vend24[[#This Row],[Nº Venda]]&gt;1,1,0)</f>
        <v>0</v>
      </c>
    </row>
    <row r="10" spans="2:18" ht="15.75" x14ac:dyDescent="0.25">
      <c r="B10" s="123" t="s">
        <v>5</v>
      </c>
      <c r="C10" s="123"/>
      <c r="D10" s="1"/>
      <c r="E10" s="13"/>
      <c r="F10" s="16"/>
      <c r="G10" s="17"/>
      <c r="H10" s="3"/>
      <c r="I10" s="3"/>
      <c r="J10" s="1"/>
      <c r="K10" s="37"/>
      <c r="L10" s="41"/>
      <c r="M10" s="42"/>
      <c r="R10" s="57">
        <f>IF(vend24[[#This Row],[Nº Venda]]&gt;1,1,0)</f>
        <v>0</v>
      </c>
    </row>
    <row r="11" spans="2:18" ht="15.75" x14ac:dyDescent="0.25">
      <c r="B11" s="19" t="s">
        <v>6</v>
      </c>
      <c r="C11" s="20">
        <f>(SUMIF($G$2:$G$31,B11,$I$2:$I$31))+(SUMIF($G$35:$G$41,B11,$H$35:$H$41))</f>
        <v>0</v>
      </c>
      <c r="D11" s="1"/>
      <c r="E11" s="13"/>
      <c r="F11" s="16"/>
      <c r="G11" s="17"/>
      <c r="H11" s="3"/>
      <c r="I11" s="3"/>
      <c r="J11" s="1"/>
      <c r="K11" s="100"/>
      <c r="L11" s="41"/>
      <c r="M11" s="42"/>
      <c r="O11" s="57">
        <f>IF(C16=0,0,1)</f>
        <v>0</v>
      </c>
      <c r="R11" s="57">
        <f>IF(vend24[[#This Row],[Nº Venda]]&gt;1,1,0)</f>
        <v>0</v>
      </c>
    </row>
    <row r="12" spans="2:18" ht="15.7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13"/>
      <c r="F12" s="16"/>
      <c r="G12" s="17"/>
      <c r="H12" s="3"/>
      <c r="I12" s="3"/>
      <c r="J12" s="1"/>
      <c r="R12" s="57">
        <f>IF(vend24[[#This Row],[Nº Venda]]&gt;1,1,0)</f>
        <v>0</v>
      </c>
    </row>
    <row r="13" spans="2:18" ht="15.75" x14ac:dyDescent="0.25">
      <c r="B13" s="19" t="s">
        <v>8</v>
      </c>
      <c r="C13" s="20">
        <f t="shared" si="0"/>
        <v>0</v>
      </c>
      <c r="D13" s="1"/>
      <c r="E13" s="13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IF(vend24[[#This Row],[Nº Venda]]&gt;1,1,0)</f>
        <v>0</v>
      </c>
    </row>
    <row r="14" spans="2:18" ht="15.75" x14ac:dyDescent="0.25">
      <c r="B14" s="19" t="s">
        <v>9</v>
      </c>
      <c r="C14" s="20">
        <f t="shared" si="0"/>
        <v>0</v>
      </c>
      <c r="D14" s="1"/>
      <c r="E14" s="13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IF(vend24[[#This Row],[Nº Venda]]&gt;1,1,0)</f>
        <v>0</v>
      </c>
    </row>
    <row r="15" spans="2:18" ht="15.75" x14ac:dyDescent="0.25">
      <c r="B15" s="19" t="s">
        <v>10</v>
      </c>
      <c r="C15" s="20">
        <f t="shared" si="0"/>
        <v>0</v>
      </c>
      <c r="D15" s="1"/>
      <c r="E15" s="13"/>
      <c r="F15" s="16"/>
      <c r="G15" s="17"/>
      <c r="H15" s="3"/>
      <c r="I15" s="3"/>
      <c r="J15" s="1"/>
      <c r="K15" s="16"/>
      <c r="L15" s="4"/>
      <c r="M15" s="11"/>
      <c r="R15" s="57">
        <f>IF(vend24[[#This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13"/>
      <c r="F16" s="16"/>
      <c r="G16" s="17"/>
      <c r="H16" s="3"/>
      <c r="I16" s="3"/>
      <c r="J16" s="1"/>
      <c r="K16" s="16"/>
      <c r="L16" s="4"/>
      <c r="M16" s="11"/>
      <c r="R16" s="57">
        <f>IF(vend24[[#This Row],[Nº Venda]]&gt;1,1,0)</f>
        <v>0</v>
      </c>
    </row>
    <row r="17" spans="2:18" ht="15.75" x14ac:dyDescent="0.25">
      <c r="B17" s="1"/>
      <c r="C17" s="1"/>
      <c r="D17" s="1"/>
      <c r="E17" s="13"/>
      <c r="F17" s="16"/>
      <c r="G17" s="17"/>
      <c r="H17" s="3"/>
      <c r="I17" s="3"/>
      <c r="J17" s="1"/>
      <c r="K17" s="16"/>
      <c r="L17" s="4"/>
      <c r="M17" s="11"/>
      <c r="R17" s="57">
        <f>IF(vend24[[#This Row],[Nº Venda]]&gt;1,1,0)</f>
        <v>0</v>
      </c>
    </row>
    <row r="18" spans="2:18" ht="15.75" x14ac:dyDescent="0.25">
      <c r="B18" s="123" t="s">
        <v>12</v>
      </c>
      <c r="C18" s="123"/>
      <c r="D18" s="1"/>
      <c r="E18" s="13"/>
      <c r="F18" s="16"/>
      <c r="G18" s="17"/>
      <c r="H18" s="3"/>
      <c r="I18" s="3"/>
      <c r="J18" s="1"/>
      <c r="K18" s="16"/>
      <c r="L18" s="4"/>
      <c r="M18" s="11"/>
      <c r="R18" s="57">
        <f>IF(vend24[[#This Row],[Nº Venda]]&gt;1,1,0)</f>
        <v>0</v>
      </c>
    </row>
    <row r="19" spans="2:18" ht="15.75" x14ac:dyDescent="0.25">
      <c r="B19" s="19">
        <f>COUNT(entr_carn24[OS])</f>
        <v>0</v>
      </c>
      <c r="C19" s="20">
        <f>SUM(entr_carn24[Valor Total])</f>
        <v>0</v>
      </c>
      <c r="D19" s="1"/>
      <c r="E19" s="13"/>
      <c r="F19" s="16"/>
      <c r="G19" s="17"/>
      <c r="H19" s="3"/>
      <c r="I19" s="3"/>
      <c r="J19" s="1"/>
      <c r="K19" s="16"/>
      <c r="L19" s="4"/>
      <c r="M19" s="11"/>
      <c r="R19" s="57">
        <f>IF(vend24[[#This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13"/>
      <c r="F20" s="17"/>
      <c r="G20" s="17"/>
      <c r="H20" s="3"/>
      <c r="I20" s="3"/>
      <c r="J20" s="1"/>
      <c r="K20" s="16"/>
      <c r="L20" s="4"/>
      <c r="M20" s="11"/>
      <c r="R20" s="57">
        <f>IF(vend24[[#This Row],[Nº Venda]]&gt;1,1,0)</f>
        <v>0</v>
      </c>
    </row>
    <row r="21" spans="2:18" ht="15.75" x14ac:dyDescent="0.25">
      <c r="B21" s="1"/>
      <c r="C21" s="1"/>
      <c r="D21" s="1"/>
      <c r="E21" s="13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13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69"/>
      <c r="H23" s="70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.75" x14ac:dyDescent="0.25">
      <c r="B26" s="1"/>
      <c r="C26" s="1"/>
      <c r="D26" s="1"/>
      <c r="E26" s="13"/>
      <c r="F26" s="16"/>
      <c r="G26" s="17"/>
      <c r="H26" s="3"/>
      <c r="I26" s="3"/>
      <c r="J26" s="1"/>
      <c r="K26" s="16"/>
      <c r="L26" s="4"/>
      <c r="M26" s="11"/>
    </row>
    <row r="27" spans="2:18" ht="15.75" x14ac:dyDescent="0.25">
      <c r="B27" s="1"/>
      <c r="C27" s="1"/>
      <c r="D27" s="1"/>
      <c r="E27" s="13"/>
      <c r="F27" s="16"/>
      <c r="G27" s="17"/>
      <c r="H27" s="3"/>
      <c r="I27" s="3"/>
      <c r="J27" s="1"/>
      <c r="K27" s="16"/>
      <c r="L27" s="4"/>
      <c r="M27" s="11"/>
    </row>
    <row r="28" spans="2:18" ht="15.75" x14ac:dyDescent="0.25">
      <c r="B28" s="1"/>
      <c r="C28" s="1"/>
      <c r="D28" s="1"/>
      <c r="E28" s="13"/>
      <c r="F28" s="16"/>
      <c r="G28" s="17"/>
      <c r="H28" s="3"/>
      <c r="I28" s="3"/>
      <c r="J28" s="1"/>
      <c r="K28" s="16"/>
      <c r="L28" s="4"/>
      <c r="M28" s="11"/>
    </row>
    <row r="29" spans="2:18" ht="15.75" x14ac:dyDescent="0.25">
      <c r="B29" s="1"/>
      <c r="C29" s="1"/>
      <c r="D29" s="1"/>
      <c r="E29" s="13"/>
      <c r="F29" s="16"/>
      <c r="G29" s="17"/>
      <c r="H29" s="3"/>
      <c r="I29" s="3"/>
      <c r="J29" s="1"/>
      <c r="K29" s="16"/>
      <c r="L29" s="4"/>
      <c r="M29" s="11"/>
    </row>
    <row r="30" spans="2:18" ht="15.75" x14ac:dyDescent="0.25">
      <c r="B30" s="1"/>
      <c r="C30" s="1"/>
      <c r="D30" s="1"/>
      <c r="E30" s="13"/>
      <c r="F30" s="25"/>
      <c r="G30" s="17"/>
      <c r="H30" s="3"/>
      <c r="I30" s="3"/>
      <c r="J30" s="1"/>
      <c r="K30" s="16"/>
      <c r="L30" s="4"/>
      <c r="M30" s="11"/>
    </row>
    <row r="31" spans="2:18" ht="15.75" x14ac:dyDescent="0.25">
      <c r="B31" s="1"/>
      <c r="C31" s="1"/>
      <c r="D31" s="1"/>
      <c r="E31" s="21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69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.75" x14ac:dyDescent="0.25">
      <c r="E35" s="13"/>
      <c r="F35" s="16"/>
      <c r="G35" s="17"/>
      <c r="H35" s="3"/>
      <c r="I35" s="3"/>
      <c r="K35" s="16"/>
      <c r="L35" s="27"/>
      <c r="M35" s="11"/>
    </row>
    <row r="36" spans="2:18" ht="15.75" x14ac:dyDescent="0.25">
      <c r="E36" s="13"/>
      <c r="F36" s="16"/>
      <c r="G36" s="17"/>
      <c r="H36" s="3"/>
      <c r="I36" s="3"/>
      <c r="K36" s="16"/>
      <c r="L36" s="27"/>
      <c r="M36" s="11"/>
    </row>
    <row r="37" spans="2:18" ht="15.75" x14ac:dyDescent="0.25">
      <c r="E37" s="13"/>
      <c r="F37" s="16"/>
      <c r="G37" s="17"/>
      <c r="H37" s="3"/>
      <c r="I37" s="3"/>
      <c r="K37" s="16"/>
      <c r="L37" s="27"/>
      <c r="M37" s="11"/>
    </row>
    <row r="38" spans="2:18" ht="15.75" x14ac:dyDescent="0.25">
      <c r="E38" s="13"/>
      <c r="F38" s="16"/>
      <c r="G38" s="17"/>
      <c r="H38" s="3"/>
      <c r="I38" s="3"/>
      <c r="K38" s="16"/>
      <c r="L38" s="27"/>
      <c r="M38" s="11"/>
    </row>
    <row r="39" spans="2:18" ht="15.75" x14ac:dyDescent="0.25">
      <c r="E39" s="13"/>
      <c r="F39" s="25"/>
      <c r="G39" s="17"/>
      <c r="H39" s="3"/>
      <c r="I39" s="3"/>
      <c r="K39" s="16"/>
      <c r="L39" s="27"/>
      <c r="M39" s="11"/>
    </row>
    <row r="40" spans="2:18" ht="15.75" x14ac:dyDescent="0.25">
      <c r="E40" s="21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.75" x14ac:dyDescent="0.25">
      <c r="E41" s="29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2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42.7109375" style="58" bestFit="1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'24'!B1+1</f>
        <v>45468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9"/>
      <c r="F6" s="16"/>
      <c r="G6" s="17"/>
      <c r="H6" s="3"/>
      <c r="I6" s="3"/>
      <c r="J6" s="1"/>
      <c r="K6" s="16"/>
      <c r="L6" s="4"/>
      <c r="M6" s="11"/>
      <c r="R6" s="57">
        <f>IF(vend25[[#This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9"/>
      <c r="F7" s="16"/>
      <c r="G7" s="17"/>
      <c r="H7" s="3"/>
      <c r="I7" s="3"/>
      <c r="J7" s="1"/>
      <c r="K7" s="16"/>
      <c r="L7" s="4"/>
      <c r="M7" s="11"/>
      <c r="R7" s="57">
        <f>IF(vend25[[#This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9"/>
      <c r="F8" s="16"/>
      <c r="G8" s="17"/>
      <c r="H8" s="3"/>
      <c r="I8" s="3"/>
      <c r="J8" s="1"/>
      <c r="K8" s="16"/>
      <c r="L8" s="4"/>
      <c r="M8" s="11"/>
      <c r="R8" s="57">
        <f>IF(vend25[[#This Row],[Nº Venda]]&gt;1,1,0)</f>
        <v>0</v>
      </c>
    </row>
    <row r="9" spans="2:18" ht="15" x14ac:dyDescent="0.25">
      <c r="B9" s="1"/>
      <c r="C9" s="1"/>
      <c r="D9" s="1"/>
      <c r="E9" s="49"/>
      <c r="F9" s="16"/>
      <c r="G9" s="17"/>
      <c r="H9" s="3"/>
      <c r="I9" s="3"/>
      <c r="J9" s="1"/>
      <c r="K9" s="16"/>
      <c r="L9" s="4"/>
      <c r="M9" s="11"/>
      <c r="R9" s="57">
        <f>IF(vend25[[#This Row],[Nº Venda]]&gt;1,1,0)</f>
        <v>0</v>
      </c>
    </row>
    <row r="10" spans="2:18" ht="15" x14ac:dyDescent="0.25">
      <c r="B10" s="123" t="s">
        <v>5</v>
      </c>
      <c r="C10" s="123"/>
      <c r="D10" s="1"/>
      <c r="E10" s="49"/>
      <c r="F10" s="16"/>
      <c r="G10" s="17"/>
      <c r="H10" s="3"/>
      <c r="I10" s="3"/>
      <c r="J10" s="1"/>
      <c r="K10" s="16"/>
      <c r="L10" s="4"/>
      <c r="M10" s="11"/>
      <c r="R10" s="57">
        <f>IF(vend25[[#This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71</v>
      </c>
      <c r="D11" s="1"/>
      <c r="E11" s="49"/>
      <c r="F11" s="16"/>
      <c r="G11" s="17"/>
      <c r="H11" s="3"/>
      <c r="I11" s="3"/>
      <c r="J11" s="1"/>
      <c r="K11" s="18"/>
      <c r="L11" s="4"/>
      <c r="M11" s="11"/>
      <c r="O11" s="57">
        <f ca="1">IF(C16=0,0,1)</f>
        <v>1</v>
      </c>
      <c r="R11" s="57">
        <f>IF(vend25[[#This Row],[Nº Venda]]&gt;1,1,0)</f>
        <v>0</v>
      </c>
    </row>
    <row r="12" spans="2:18" ht="15" x14ac:dyDescent="0.25">
      <c r="B12" s="19" t="s">
        <v>7</v>
      </c>
      <c r="C12" s="20">
        <f ca="1">(SUMIF($G$2:$G$31,B12,$I$2:$I$31))+(SUMIF($G$35:$G$41,B12,$H$36:$H$41))</f>
        <v>0</v>
      </c>
      <c r="D12" s="1"/>
      <c r="E12" s="49"/>
      <c r="F12" s="16"/>
      <c r="G12" s="17"/>
      <c r="H12" s="3"/>
      <c r="I12" s="3"/>
      <c r="J12" s="1"/>
      <c r="R12" s="57">
        <f>IF(vend25[[#This Row],[Nº Venda]]&gt;1,1,0)</f>
        <v>0</v>
      </c>
    </row>
    <row r="13" spans="2:18" ht="15" x14ac:dyDescent="0.25">
      <c r="B13" s="19" t="s">
        <v>8</v>
      </c>
      <c r="C13" s="20">
        <f ca="1">(SUMIF($G$2:$G$31,B13,$I$2:$I$31))+(SUMIF($G$35:$G$41,B13,$H$36:$H$41))</f>
        <v>0</v>
      </c>
      <c r="D13" s="1"/>
      <c r="E13" s="49"/>
      <c r="F13" s="16"/>
      <c r="G13" s="17"/>
      <c r="H13" s="3"/>
      <c r="I13" s="3"/>
      <c r="J13" s="1"/>
      <c r="K13" s="125" t="s">
        <v>25</v>
      </c>
      <c r="L13" s="126"/>
      <c r="M13" s="127"/>
      <c r="R13" s="57">
        <f>IF(vend25[[#This Row],[Nº Venda]]&gt;1,1,0)</f>
        <v>0</v>
      </c>
    </row>
    <row r="14" spans="2:18" ht="15" x14ac:dyDescent="0.25">
      <c r="B14" s="19" t="s">
        <v>9</v>
      </c>
      <c r="C14" s="20">
        <f ca="1">(SUMIF($G$2:$G$31,B14,$I$2:$I$31))+(SUMIF($G$35:$G$41,B14,$H$36:$H$41))</f>
        <v>0</v>
      </c>
      <c r="D14" s="1"/>
      <c r="E14" s="49"/>
      <c r="F14" s="16"/>
      <c r="G14" s="17"/>
      <c r="H14" s="3"/>
      <c r="I14" s="3"/>
      <c r="J14" s="1"/>
      <c r="K14" s="9" t="s">
        <v>26</v>
      </c>
      <c r="L14" s="2" t="s">
        <v>27</v>
      </c>
      <c r="M14" s="10" t="s">
        <v>28</v>
      </c>
      <c r="R14" s="57">
        <f>IF(vend25[[#This Row],[Nº Venda]]&gt;1,1,0)</f>
        <v>0</v>
      </c>
    </row>
    <row r="15" spans="2:18" ht="15" x14ac:dyDescent="0.25">
      <c r="B15" s="19" t="s">
        <v>10</v>
      </c>
      <c r="C15" s="20">
        <f ca="1">(SUMIF($G$2:$G$31,B15,$I$2:$I$31))+(SUMIF($G$35:$G$41,B15,$H$36:$H$41))</f>
        <v>0</v>
      </c>
      <c r="D15" s="1"/>
      <c r="E15" s="49"/>
      <c r="F15" s="16"/>
      <c r="G15" s="17"/>
      <c r="H15" s="3"/>
      <c r="I15" s="3"/>
      <c r="J15" s="1"/>
      <c r="K15" s="16"/>
      <c r="L15" s="4"/>
      <c r="M15" s="11"/>
      <c r="R15" s="57">
        <f>IF(vend25[[#This Row],[Nº Venda]]&gt;1,1,0)</f>
        <v>0</v>
      </c>
    </row>
    <row r="16" spans="2:18" ht="15.75" x14ac:dyDescent="0.25">
      <c r="B16" s="65" t="s">
        <v>11</v>
      </c>
      <c r="C16" s="68">
        <f ca="1">SUM(C11:C15)</f>
        <v>71</v>
      </c>
      <c r="D16" s="1"/>
      <c r="E16" s="49"/>
      <c r="F16" s="16"/>
      <c r="G16" s="17"/>
      <c r="H16" s="3"/>
      <c r="I16" s="3"/>
      <c r="J16" s="1"/>
      <c r="K16" s="16"/>
      <c r="L16" s="4"/>
      <c r="M16" s="11"/>
      <c r="R16" s="57">
        <f>IF(vend25[[#This Row],[Nº Venda]]&gt;1,1,0)</f>
        <v>0</v>
      </c>
    </row>
    <row r="17" spans="2:18" ht="15" x14ac:dyDescent="0.25">
      <c r="B17" s="1"/>
      <c r="C17" s="1"/>
      <c r="D17" s="1"/>
      <c r="E17" s="49"/>
      <c r="F17" s="16"/>
      <c r="G17" s="17"/>
      <c r="H17" s="3"/>
      <c r="I17" s="3"/>
      <c r="J17" s="1"/>
      <c r="K17" s="16"/>
      <c r="L17" s="4"/>
      <c r="M17" s="11"/>
      <c r="R17" s="57">
        <f>IF(vend25[[#This Row],[Nº Venda]]&gt;1,1,0)</f>
        <v>0</v>
      </c>
    </row>
    <row r="18" spans="2:18" ht="15" x14ac:dyDescent="0.25">
      <c r="B18" s="123" t="s">
        <v>12</v>
      </c>
      <c r="C18" s="123"/>
      <c r="D18" s="1"/>
      <c r="E18" s="49"/>
      <c r="F18" s="16"/>
      <c r="G18" s="17"/>
      <c r="H18" s="3"/>
      <c r="I18" s="3"/>
      <c r="J18" s="1"/>
      <c r="K18" s="16"/>
      <c r="L18" s="4"/>
      <c r="M18" s="11"/>
      <c r="R18" s="57">
        <f>IF(vend25[[#This Row],[Nº Venda]]&gt;1,1,0)</f>
        <v>0</v>
      </c>
    </row>
    <row r="19" spans="2:18" ht="15" x14ac:dyDescent="0.25">
      <c r="B19" s="19">
        <f>COUNT(entr_carn25[OS])</f>
        <v>0</v>
      </c>
      <c r="C19" s="20">
        <f>SUM(entr_carn25[Valor Total])</f>
        <v>0</v>
      </c>
      <c r="D19" s="1"/>
      <c r="E19" s="49"/>
      <c r="F19" s="16"/>
      <c r="G19" s="17"/>
      <c r="H19" s="3"/>
      <c r="I19" s="3"/>
      <c r="J19" s="1"/>
      <c r="K19" s="16"/>
      <c r="L19" s="4"/>
      <c r="M19" s="11"/>
      <c r="R19" s="57">
        <f>IF(vend25[[#This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9"/>
      <c r="F20" s="17"/>
      <c r="G20" s="17"/>
      <c r="H20" s="3"/>
      <c r="I20" s="3"/>
      <c r="J20" s="1"/>
      <c r="K20" s="16"/>
      <c r="L20" s="4"/>
      <c r="M20" s="11"/>
      <c r="R20" s="57">
        <f>IF(vend25[[#This Row],[Nº Venda]]&gt;1,1,0)</f>
        <v>0</v>
      </c>
    </row>
    <row r="21" spans="2:18" ht="15" x14ac:dyDescent="0.25">
      <c r="B21" s="1"/>
      <c r="C21" s="1"/>
      <c r="D21" s="1"/>
      <c r="E21" s="49"/>
      <c r="F21" s="16"/>
      <c r="G21" s="17"/>
      <c r="H21" s="3"/>
      <c r="I21" s="3"/>
      <c r="J21" s="1"/>
      <c r="K21" s="16"/>
      <c r="L21" s="4"/>
      <c r="M21" s="11"/>
    </row>
    <row r="22" spans="2:18" ht="15.75" x14ac:dyDescent="0.25">
      <c r="B22" s="65" t="s">
        <v>29</v>
      </c>
      <c r="C22" s="68">
        <f>C5</f>
        <v>0</v>
      </c>
      <c r="D22" s="1"/>
      <c r="E22" s="49"/>
      <c r="F22" s="16"/>
      <c r="G22" s="17"/>
      <c r="H22" s="3"/>
      <c r="I22" s="3"/>
      <c r="J22" s="1"/>
      <c r="K22" s="16"/>
      <c r="L22" s="4"/>
      <c r="M22" s="11"/>
    </row>
    <row r="23" spans="2:18" ht="15" x14ac:dyDescent="0.25">
      <c r="B23" s="1"/>
      <c r="C23" s="1"/>
      <c r="D23" s="1"/>
      <c r="E23" s="50"/>
      <c r="F23" s="51"/>
      <c r="G23" s="51"/>
      <c r="H23" s="52"/>
      <c r="I23" s="53"/>
      <c r="J23" s="1"/>
      <c r="K23" s="16"/>
      <c r="L23" s="4"/>
      <c r="M23" s="11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16"/>
      <c r="L24" s="4"/>
      <c r="M24" s="11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16"/>
      <c r="L25" s="4"/>
      <c r="M25" s="11"/>
    </row>
    <row r="26" spans="2:18" ht="15" x14ac:dyDescent="0.25">
      <c r="B26" s="1"/>
      <c r="C26" s="1"/>
      <c r="D26" s="1"/>
      <c r="E26" s="49"/>
      <c r="F26" s="16"/>
      <c r="G26" s="17"/>
      <c r="H26" s="3"/>
      <c r="I26" s="3"/>
      <c r="J26" s="1"/>
      <c r="K26" s="16"/>
      <c r="L26" s="4"/>
      <c r="M26" s="11"/>
    </row>
    <row r="27" spans="2:18" ht="15" x14ac:dyDescent="0.25">
      <c r="B27" s="1"/>
      <c r="C27" s="1"/>
      <c r="D27" s="1"/>
      <c r="E27" s="49"/>
      <c r="F27" s="16"/>
      <c r="G27" s="17"/>
      <c r="H27" s="3"/>
      <c r="I27" s="3"/>
      <c r="J27" s="1"/>
      <c r="K27" s="16"/>
      <c r="L27" s="4"/>
      <c r="M27" s="11"/>
    </row>
    <row r="28" spans="2:18" ht="15" x14ac:dyDescent="0.25">
      <c r="B28" s="1"/>
      <c r="C28" s="1"/>
      <c r="D28" s="1"/>
      <c r="E28" s="49"/>
      <c r="F28" s="16"/>
      <c r="G28" s="17"/>
      <c r="H28" s="3"/>
      <c r="I28" s="3"/>
      <c r="J28" s="1"/>
      <c r="K28" s="16"/>
      <c r="L28" s="4"/>
      <c r="M28" s="11"/>
    </row>
    <row r="29" spans="2:18" ht="15" x14ac:dyDescent="0.25">
      <c r="B29" s="1"/>
      <c r="C29" s="1"/>
      <c r="D29" s="1"/>
      <c r="E29" s="49"/>
      <c r="F29" s="16"/>
      <c r="G29" s="17"/>
      <c r="H29" s="3"/>
      <c r="I29" s="3"/>
      <c r="J29" s="1"/>
      <c r="K29" s="16"/>
      <c r="L29" s="4"/>
      <c r="M29" s="11"/>
    </row>
    <row r="30" spans="2:18" ht="15" x14ac:dyDescent="0.25">
      <c r="B30" s="1"/>
      <c r="C30" s="1"/>
      <c r="D30" s="1"/>
      <c r="E30" s="49"/>
      <c r="F30" s="25"/>
      <c r="G30" s="17"/>
      <c r="H30" s="3"/>
      <c r="I30" s="3"/>
      <c r="J30" s="1"/>
      <c r="K30" s="16"/>
      <c r="L30" s="4"/>
      <c r="M30" s="11"/>
    </row>
    <row r="31" spans="2:18" ht="15" x14ac:dyDescent="0.25">
      <c r="B31" s="1"/>
      <c r="C31" s="1"/>
      <c r="D31" s="1"/>
      <c r="E31" s="54"/>
      <c r="F31" s="22"/>
      <c r="G31" s="23"/>
      <c r="H31" s="12"/>
      <c r="I31" s="12"/>
      <c r="J31" s="1"/>
      <c r="K31" s="16"/>
      <c r="L31" s="4"/>
      <c r="M31" s="11"/>
    </row>
    <row r="32" spans="2:18" ht="15" x14ac:dyDescent="0.25">
      <c r="B32" s="1"/>
      <c r="C32" s="1"/>
      <c r="E32" s="50"/>
      <c r="F32" s="51"/>
      <c r="G32" s="51"/>
      <c r="H32" s="53"/>
      <c r="I32" s="53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9">
        <v>864</v>
      </c>
      <c r="F35" s="16" t="s">
        <v>164</v>
      </c>
      <c r="G35" s="17" t="s">
        <v>6</v>
      </c>
      <c r="H35" s="35">
        <v>71</v>
      </c>
      <c r="I35" s="3" t="s">
        <v>86</v>
      </c>
      <c r="K35" s="16"/>
      <c r="L35" s="27"/>
      <c r="M35" s="11"/>
    </row>
    <row r="36" spans="2:18" ht="15" x14ac:dyDescent="0.25">
      <c r="E36" s="49"/>
      <c r="F36" s="16"/>
      <c r="G36" s="17"/>
      <c r="H36" s="3"/>
      <c r="I36" s="3"/>
      <c r="K36" s="16"/>
      <c r="L36" s="27"/>
      <c r="M36" s="11"/>
    </row>
    <row r="37" spans="2:18" ht="15" x14ac:dyDescent="0.25">
      <c r="E37" s="49"/>
      <c r="F37" s="16"/>
      <c r="G37" s="17"/>
      <c r="H37" s="3"/>
      <c r="I37" s="3"/>
      <c r="K37" s="16"/>
      <c r="L37" s="27"/>
      <c r="M37" s="11"/>
    </row>
    <row r="38" spans="2:18" ht="15" x14ac:dyDescent="0.25">
      <c r="E38" s="49"/>
      <c r="F38" s="16"/>
      <c r="G38" s="17"/>
      <c r="H38" s="3"/>
      <c r="I38" s="3"/>
      <c r="K38" s="16"/>
      <c r="L38" s="27"/>
      <c r="M38" s="11"/>
    </row>
    <row r="39" spans="2:18" ht="15" x14ac:dyDescent="0.25">
      <c r="E39" s="49"/>
      <c r="F39" s="25"/>
      <c r="G39" s="17"/>
      <c r="H39" s="3"/>
      <c r="I39" s="3"/>
      <c r="K39" s="16"/>
      <c r="L39" s="27"/>
      <c r="M39" s="11"/>
    </row>
    <row r="40" spans="2:18" ht="15" x14ac:dyDescent="0.25">
      <c r="E40" s="54"/>
      <c r="F40" s="22"/>
      <c r="G40" s="23"/>
      <c r="H40" s="12"/>
      <c r="I40" s="3"/>
      <c r="K40" s="22"/>
      <c r="L40" s="28"/>
      <c r="M40" s="26"/>
      <c r="Q40" s="57" t="s">
        <v>38</v>
      </c>
      <c r="R40" s="57">
        <f>SUM(R6:R21)</f>
        <v>0</v>
      </c>
    </row>
    <row r="41" spans="2:18" ht="15" x14ac:dyDescent="0.25">
      <c r="E41" s="55"/>
      <c r="F41" s="25"/>
      <c r="G41" s="17"/>
      <c r="H41" s="3"/>
      <c r="I41" s="3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2" zoomScale="80" zoomScaleNormal="80" workbookViewId="0">
      <selection activeCell="E5" sqref="E5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'25'!B1+1</f>
        <v>45469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/>
      <c r="F6" s="37"/>
      <c r="G6" s="38"/>
      <c r="H6" s="39"/>
      <c r="I6" s="39"/>
      <c r="J6" s="1"/>
      <c r="K6" s="37"/>
      <c r="L6" s="41"/>
      <c r="M6" s="42"/>
      <c r="R6" s="57">
        <f>IF(vend26[[#This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IF(vend26[[#This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IF(vend26[[#This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IF(vend26[[#This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IF(vend26[[#This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197.64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1</v>
      </c>
      <c r="R11" s="57">
        <f>IF(vend26[[#This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IF(vend26[[#This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IF(vend26[[#This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IF(vend26[[#This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IF(vend26[[#This Row],[Nº Venda]]&gt;1,1,0)</f>
        <v>0</v>
      </c>
    </row>
    <row r="16" spans="2:18" ht="15.75" x14ac:dyDescent="0.25">
      <c r="B16" s="65" t="s">
        <v>11</v>
      </c>
      <c r="C16" s="68">
        <f>SUM(C11:C15)</f>
        <v>197.64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IF(vend26[[#This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IF(vend26[[#This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IF(vend26[[#This Row],[Nº Venda]]&gt;1,1,0)</f>
        <v>0</v>
      </c>
    </row>
    <row r="19" spans="2:18" ht="15" x14ac:dyDescent="0.25">
      <c r="B19" s="19">
        <f>COUNT(entr_carn26[OS])</f>
        <v>0</v>
      </c>
      <c r="C19" s="20">
        <f>SUM(entr_carn26[Valor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IF(vend26[[#This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IF(vend26[[#This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69"/>
      <c r="H23" s="70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>
        <v>924</v>
      </c>
      <c r="F35" s="37" t="s">
        <v>165</v>
      </c>
      <c r="G35" s="38" t="s">
        <v>6</v>
      </c>
      <c r="H35" s="39">
        <v>197.64</v>
      </c>
      <c r="I35" s="39" t="s">
        <v>48</v>
      </c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2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'26'!B1+1</f>
        <v>45470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1097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200</v>
      </c>
      <c r="D6" s="1"/>
      <c r="E6" s="40">
        <v>950</v>
      </c>
      <c r="F6" s="37" t="s">
        <v>166</v>
      </c>
      <c r="G6" s="38" t="s">
        <v>6</v>
      </c>
      <c r="H6" s="39">
        <v>100</v>
      </c>
      <c r="I6" s="39">
        <v>100</v>
      </c>
      <c r="J6" s="1"/>
      <c r="K6" s="37"/>
      <c r="L6" s="41"/>
      <c r="M6" s="42"/>
      <c r="R6" s="57">
        <f>IF(vend27[[#This Row],[Nº Venda]]&gt;1,1,0)</f>
        <v>1</v>
      </c>
    </row>
    <row r="7" spans="2:18" ht="15" x14ac:dyDescent="0.25">
      <c r="B7" s="14" t="s">
        <v>3</v>
      </c>
      <c r="C7" s="15">
        <f>SUM(M6:M11)</f>
        <v>0</v>
      </c>
      <c r="D7" s="1"/>
      <c r="E7" s="40">
        <v>951</v>
      </c>
      <c r="F7" s="37" t="s">
        <v>168</v>
      </c>
      <c r="G7" s="38" t="s">
        <v>7</v>
      </c>
      <c r="H7" s="39">
        <v>997</v>
      </c>
      <c r="I7" s="39">
        <v>100</v>
      </c>
      <c r="J7" s="1"/>
      <c r="K7" s="37"/>
      <c r="L7" s="41"/>
      <c r="M7" s="42"/>
      <c r="R7" s="57">
        <f>IF(vend27[[#This Row],[Nº Venda]]&gt;1,1,0)</f>
        <v>1</v>
      </c>
    </row>
    <row r="8" spans="2:18" ht="15.75" x14ac:dyDescent="0.25">
      <c r="B8" s="65" t="s">
        <v>23</v>
      </c>
      <c r="C8" s="66">
        <f>SUM(C6:C7)</f>
        <v>200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IF(vend27[[#This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IF(vend27[[#This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IF(vend27[[#This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100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1</v>
      </c>
      <c r="R11" s="57">
        <f>IF(vend27[[#This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100</v>
      </c>
      <c r="D12" s="1"/>
      <c r="E12" s="40"/>
      <c r="F12" s="37"/>
      <c r="G12" s="38"/>
      <c r="H12" s="39"/>
      <c r="I12" s="39"/>
      <c r="J12" s="1"/>
      <c r="K12" s="115"/>
      <c r="L12" s="115"/>
      <c r="M12" s="115"/>
      <c r="R12" s="57">
        <f>IF(vend27[[#This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IF(vend27[[#This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IF(vend27[[#This Row],[Nº Venda]]&gt;1,1,0)</f>
        <v>0</v>
      </c>
    </row>
    <row r="15" spans="2:18" ht="15" x14ac:dyDescent="0.25">
      <c r="B15" s="19" t="s">
        <v>10</v>
      </c>
      <c r="C15" s="20">
        <f t="shared" si="0"/>
        <v>427.93</v>
      </c>
      <c r="D15" s="1"/>
      <c r="E15" s="40"/>
      <c r="F15" s="37"/>
      <c r="G15" s="38"/>
      <c r="H15" s="39"/>
      <c r="I15" s="39"/>
      <c r="J15" s="1"/>
      <c r="K15" s="37">
        <v>950</v>
      </c>
      <c r="L15" s="41" t="s">
        <v>145</v>
      </c>
      <c r="M15" s="42" t="s">
        <v>44</v>
      </c>
      <c r="R15" s="57">
        <f>IF(vend27[[#This Row],[Nº Venda]]&gt;1,1,0)</f>
        <v>0</v>
      </c>
    </row>
    <row r="16" spans="2:18" ht="15.75" x14ac:dyDescent="0.25">
      <c r="B16" s="65" t="s">
        <v>11</v>
      </c>
      <c r="C16" s="68">
        <f>SUM(C11:C15)</f>
        <v>627.93000000000006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IF(vend27[[#This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IF(vend27[[#This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IF(vend27[[#This Row],[Nº Venda]]&gt;1,1,0)</f>
        <v>0</v>
      </c>
    </row>
    <row r="19" spans="2:18" ht="15" x14ac:dyDescent="0.25">
      <c r="B19" s="19">
        <f>COUNT(entr_carn27[OS])</f>
        <v>0</v>
      </c>
      <c r="C19" s="20">
        <f>SUM(entr_carn27[Valor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IF(vend27[[#This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IF(vend27[[#This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1097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>
        <v>838</v>
      </c>
      <c r="F35" s="37" t="s">
        <v>142</v>
      </c>
      <c r="G35" s="38" t="s">
        <v>10</v>
      </c>
      <c r="H35" s="39">
        <v>215.43</v>
      </c>
      <c r="I35" s="39" t="s">
        <v>61</v>
      </c>
      <c r="K35" s="16"/>
      <c r="L35" s="27"/>
      <c r="M35" s="11"/>
    </row>
    <row r="36" spans="2:18" ht="15" x14ac:dyDescent="0.25">
      <c r="E36" s="40">
        <v>785</v>
      </c>
      <c r="F36" s="37" t="s">
        <v>167</v>
      </c>
      <c r="G36" s="38" t="s">
        <v>10</v>
      </c>
      <c r="H36" s="39">
        <v>212.5</v>
      </c>
      <c r="I36" s="39" t="s">
        <v>98</v>
      </c>
      <c r="K36" s="16"/>
      <c r="L36" s="27"/>
      <c r="M36" s="11"/>
    </row>
    <row r="37" spans="2:18" ht="15" x14ac:dyDescent="0.25">
      <c r="E37" s="40"/>
      <c r="F37" s="37"/>
      <c r="G37" s="38"/>
      <c r="H37" s="39"/>
      <c r="I37" s="39"/>
      <c r="K37" s="16"/>
      <c r="L37" s="27"/>
      <c r="M37" s="11"/>
    </row>
    <row r="38" spans="2:18" ht="15" x14ac:dyDescent="0.25">
      <c r="E38" s="40"/>
      <c r="F38" s="37"/>
      <c r="G38" s="38"/>
      <c r="H38" s="39"/>
      <c r="I38" s="39"/>
      <c r="K38" s="16"/>
      <c r="L38" s="27"/>
      <c r="M38" s="11"/>
    </row>
    <row r="39" spans="2:18" ht="15" x14ac:dyDescent="0.25">
      <c r="E39" s="40"/>
      <c r="F39" s="102"/>
      <c r="G39" s="38"/>
      <c r="H39" s="39"/>
      <c r="I39" s="39"/>
      <c r="K39" s="16"/>
      <c r="L39" s="27"/>
      <c r="M39" s="11"/>
    </row>
    <row r="40" spans="2:18" ht="15" x14ac:dyDescent="0.25">
      <c r="E40" s="103"/>
      <c r="F40" s="104"/>
      <c r="G40" s="105"/>
      <c r="H40" s="106"/>
      <c r="I40" s="39"/>
      <c r="K40" s="22"/>
      <c r="L40" s="28"/>
      <c r="M40" s="26"/>
      <c r="Q40" s="57" t="s">
        <v>38</v>
      </c>
      <c r="R40" s="57">
        <f>SUM(R6:R21)</f>
        <v>2</v>
      </c>
    </row>
    <row r="41" spans="2:18" ht="15" x14ac:dyDescent="0.25">
      <c r="E41" s="110"/>
      <c r="F41" s="102"/>
      <c r="G41" s="38"/>
      <c r="H41" s="39"/>
      <c r="I41" s="39"/>
      <c r="K41" s="30"/>
      <c r="L41" s="27"/>
      <c r="M41" s="2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7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'27'!B1+1</f>
        <v>45471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1997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300</v>
      </c>
      <c r="D6" s="1"/>
      <c r="E6" s="40">
        <v>952</v>
      </c>
      <c r="F6" s="37" t="s">
        <v>170</v>
      </c>
      <c r="G6" s="38" t="s">
        <v>28</v>
      </c>
      <c r="H6" s="39">
        <v>1117</v>
      </c>
      <c r="I6" s="39">
        <v>150</v>
      </c>
      <c r="J6" s="1"/>
      <c r="K6" s="37"/>
      <c r="L6" s="41"/>
      <c r="M6" s="42"/>
      <c r="R6" s="57">
        <f>IF(vend28[[#This Row],[Nº Venda]]&gt;1,1,0)</f>
        <v>1</v>
      </c>
    </row>
    <row r="7" spans="2:18" ht="15" x14ac:dyDescent="0.25">
      <c r="B7" s="14" t="s">
        <v>3</v>
      </c>
      <c r="C7" s="15">
        <f>SUM(M6:M11)</f>
        <v>0</v>
      </c>
      <c r="D7" s="1"/>
      <c r="E7" s="40">
        <v>953</v>
      </c>
      <c r="F7" s="37" t="s">
        <v>169</v>
      </c>
      <c r="G7" s="38" t="s">
        <v>28</v>
      </c>
      <c r="H7" s="39">
        <v>880</v>
      </c>
      <c r="I7" s="39">
        <v>150</v>
      </c>
      <c r="J7" s="1"/>
      <c r="K7" s="37"/>
      <c r="L7" s="41"/>
      <c r="M7" s="42"/>
      <c r="R7" s="57">
        <f>IF(vend28[[#This Row],[Nº Venda]]&gt;1,1,0)</f>
        <v>1</v>
      </c>
    </row>
    <row r="8" spans="2:18" ht="15.75" x14ac:dyDescent="0.25">
      <c r="B8" s="65" t="s">
        <v>23</v>
      </c>
      <c r="C8" s="66">
        <f>SUM(C6:C7)</f>
        <v>300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IF(vend28[[#This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IF(vend28[[#This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IF(vend28[[#This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178.7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1</v>
      </c>
      <c r="R11" s="57">
        <f>IF(vend28[[#This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IF(vend28[[#This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IF(vend28[[#This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IF(vend28[[#This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IF(vend28[[#This Row],[Nº Venda]]&gt;1,1,0)</f>
        <v>0</v>
      </c>
    </row>
    <row r="16" spans="2:18" ht="15.75" x14ac:dyDescent="0.25">
      <c r="B16" s="65" t="s">
        <v>11</v>
      </c>
      <c r="C16" s="68">
        <f>SUM(C11:C15)</f>
        <v>178.7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IF(vend28[[#This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IF(vend28[[#This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IF(vend28[[#This Row],[Nº Venda]]&gt;1,1,0)</f>
        <v>0</v>
      </c>
    </row>
    <row r="19" spans="2:18" ht="15" x14ac:dyDescent="0.25">
      <c r="B19" s="19">
        <f>COUNT(entr_carn28[OS])</f>
        <v>0</v>
      </c>
      <c r="C19" s="20">
        <f>SUM(entr_carn28[Valor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IF(vend28[[#This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IF(vend28[[#This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1997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>
        <v>925</v>
      </c>
      <c r="F35" s="37" t="s">
        <v>171</v>
      </c>
      <c r="G35" s="38" t="s">
        <v>6</v>
      </c>
      <c r="H35" s="39">
        <v>178.7</v>
      </c>
      <c r="I35" s="39" t="s">
        <v>57</v>
      </c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2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abSelected="1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57" customWidth="1"/>
    <col min="2" max="2" width="25.140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31.5" x14ac:dyDescent="0.6">
      <c r="B1" s="33">
        <f>'28'!B1+1</f>
        <v>45472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/>
      <c r="F6" s="37"/>
      <c r="G6" s="38"/>
      <c r="H6" s="39"/>
      <c r="I6" s="39"/>
      <c r="J6" s="1"/>
      <c r="K6" s="37"/>
      <c r="L6" s="41"/>
      <c r="M6" s="42"/>
      <c r="R6" s="57">
        <f>IF(vend29[[#This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IF(vend29[[#This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IF(vend29[[#This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114"/>
      <c r="I9" s="39"/>
      <c r="J9" s="1"/>
      <c r="K9" s="37"/>
      <c r="L9" s="41"/>
      <c r="M9" s="42"/>
      <c r="R9" s="57">
        <f>IF(vend29[[#This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IF(vend29[[#This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0</v>
      </c>
      <c r="R11" s="57">
        <f>IF(vend29[[#This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IF(vend29[[#This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IF(vend29[[#This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IF(vend29[[#This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>
        <v>899</v>
      </c>
      <c r="L15" s="41" t="s">
        <v>172</v>
      </c>
      <c r="M15" s="42" t="s">
        <v>44</v>
      </c>
      <c r="R15" s="57">
        <f>IF(vend29[[#This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IF(vend29[[#This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IF(vend29[[#This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IF(vend29[[#This Row],[Nº Venda]]&gt;1,1,0)</f>
        <v>0</v>
      </c>
    </row>
    <row r="19" spans="2:18" ht="15" x14ac:dyDescent="0.25">
      <c r="B19" s="19">
        <f>COUNT(entr_carn29[OS])</f>
        <v>0</v>
      </c>
      <c r="C19" s="20">
        <f>SUM(entr_carn29[Valor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IF(vend29[[#This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IF(vend29[[#This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K6" sqref="K6:M12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'29'!B1+1</f>
        <v>45473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/>
      <c r="F6" s="37"/>
      <c r="G6" s="38"/>
      <c r="H6" s="39"/>
      <c r="I6" s="39"/>
      <c r="J6" s="1"/>
      <c r="K6" s="37"/>
      <c r="L6" s="41"/>
      <c r="M6" s="42"/>
      <c r="R6" s="57">
        <f>IF(vend30[[#This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IF(vend30[[#This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IF(vend30[[#This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IF(vend30[[#This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IF(vend30[[#This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0</v>
      </c>
      <c r="R11" s="57">
        <f>IF(vend30[[#This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IF(vend30[[#This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IF(vend30[[#This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IF(vend30[[#This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IF(vend30[[#This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IF(vend30[[#This Row],[Nº Venda]]&gt;1,1,0)</f>
        <v>0</v>
      </c>
    </row>
    <row r="17" spans="2:22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IF(vend30[[#This Row],[Nº Venda]]&gt;1,1,0)</f>
        <v>0</v>
      </c>
    </row>
    <row r="18" spans="2:22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IF(vend30[[#This Row],[Nº Venda]]&gt;1,1,0)</f>
        <v>0</v>
      </c>
    </row>
    <row r="19" spans="2:22" ht="15" x14ac:dyDescent="0.25">
      <c r="B19" s="19">
        <f>COUNT(entr_carn30[OS])</f>
        <v>0</v>
      </c>
      <c r="C19" s="20">
        <f>SUM(entr_carn30[Valor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IF(vend30[[#This Row],[Nº Venda]]&gt;1,1,0)</f>
        <v>0</v>
      </c>
    </row>
    <row r="20" spans="2:22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IF(vend30[[#This Row],[Nº Venda]]&gt;1,1,0)</f>
        <v>0</v>
      </c>
    </row>
    <row r="21" spans="2:22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  <c r="V21" s="57" t="s">
        <v>52</v>
      </c>
    </row>
    <row r="22" spans="2:22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22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22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22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22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22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22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22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22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22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22" ht="15" x14ac:dyDescent="0.25">
      <c r="B32" s="1"/>
      <c r="C32" s="1"/>
      <c r="E32" s="44"/>
      <c r="F32" s="45"/>
      <c r="G32" s="45"/>
      <c r="H32" s="47"/>
      <c r="I32" s="47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8" zoomScale="80" zoomScaleNormal="80" workbookViewId="0">
      <selection activeCell="K6" sqref="K6:M12"/>
    </sheetView>
  </sheetViews>
  <sheetFormatPr defaultColWidth="9.140625" defaultRowHeight="12.75" x14ac:dyDescent="0.2"/>
  <cols>
    <col min="1" max="1" width="3.7109375" style="57" customWidth="1"/>
    <col min="2" max="2" width="23.28515625" style="57" bestFit="1" customWidth="1"/>
    <col min="3" max="3" width="14" style="57" customWidth="1"/>
    <col min="4" max="4" width="2.7109375" style="57" customWidth="1"/>
    <col min="5" max="5" width="15.5703125" style="58" customWidth="1"/>
    <col min="6" max="6" width="26.28515625" style="58" customWidth="1"/>
    <col min="7" max="7" width="17.28515625" style="58" customWidth="1"/>
    <col min="8" max="8" width="19.140625" style="59" customWidth="1"/>
    <col min="9" max="9" width="15.5703125" style="59" customWidth="1"/>
    <col min="10" max="10" width="2.7109375" style="57" customWidth="1"/>
    <col min="11" max="11" width="21.7109375" style="60" customWidth="1"/>
    <col min="12" max="12" width="24.28515625" style="60" bestFit="1" customWidth="1"/>
    <col min="13" max="13" width="15.5703125" style="60" customWidth="1"/>
    <col min="14" max="14" width="4.28515625" style="57" customWidth="1"/>
    <col min="15" max="15" width="2.140625" style="57" hidden="1" customWidth="1"/>
    <col min="16" max="16" width="9.140625" style="57" hidden="1" customWidth="1"/>
    <col min="17" max="17" width="11.42578125" style="57" hidden="1" customWidth="1"/>
    <col min="18" max="18" width="2.42578125" style="57" hidden="1" customWidth="1"/>
    <col min="19" max="20" width="0" style="57" hidden="1" customWidth="1"/>
    <col min="21" max="16384" width="9.140625" style="57"/>
  </cols>
  <sheetData>
    <row r="1" spans="2:18" ht="27" x14ac:dyDescent="0.5">
      <c r="B1" s="32">
        <f>'30'!B1+1</f>
        <v>45474</v>
      </c>
    </row>
    <row r="2" spans="2:18" ht="18.75" x14ac:dyDescent="0.2">
      <c r="B2" s="128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30"/>
    </row>
    <row r="3" spans="2:18" ht="18.75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8" ht="15" x14ac:dyDescent="0.25">
      <c r="B4" s="62" t="s">
        <v>0</v>
      </c>
      <c r="C4" s="63">
        <v>0</v>
      </c>
      <c r="D4" s="64"/>
      <c r="E4" s="131" t="s">
        <v>1</v>
      </c>
      <c r="F4" s="131"/>
      <c r="G4" s="131"/>
      <c r="H4" s="131"/>
      <c r="I4" s="131"/>
      <c r="J4" s="1"/>
      <c r="K4" s="125" t="s">
        <v>3</v>
      </c>
      <c r="L4" s="126"/>
      <c r="M4" s="127"/>
    </row>
    <row r="5" spans="2:18" ht="15" x14ac:dyDescent="0.25">
      <c r="B5" s="14" t="s">
        <v>1</v>
      </c>
      <c r="C5" s="15">
        <f>SUMIF(I6:I31,"&gt;0",H6:H31)</f>
        <v>0</v>
      </c>
      <c r="D5" s="1"/>
      <c r="E5" s="5" t="s">
        <v>14</v>
      </c>
      <c r="F5" s="5" t="s">
        <v>15</v>
      </c>
      <c r="G5" s="6" t="s">
        <v>16</v>
      </c>
      <c r="H5" s="7" t="s">
        <v>17</v>
      </c>
      <c r="I5" s="8" t="s">
        <v>2</v>
      </c>
      <c r="J5" s="1"/>
      <c r="K5" s="9" t="s">
        <v>18</v>
      </c>
      <c r="L5" s="2" t="s">
        <v>19</v>
      </c>
      <c r="M5" s="10" t="s">
        <v>20</v>
      </c>
    </row>
    <row r="6" spans="2:18" ht="15" x14ac:dyDescent="0.25">
      <c r="B6" s="14" t="s">
        <v>2</v>
      </c>
      <c r="C6" s="15">
        <f>SUM(I6:I41)</f>
        <v>0</v>
      </c>
      <c r="D6" s="1"/>
      <c r="E6" s="40"/>
      <c r="F6" s="37"/>
      <c r="G6" s="38"/>
      <c r="H6" s="39"/>
      <c r="I6" s="39"/>
      <c r="J6" s="1"/>
      <c r="K6" s="37"/>
      <c r="L6" s="41"/>
      <c r="M6" s="42"/>
      <c r="R6" s="57">
        <f>IF(vend31[[#This Row],[Nº Venda]]&gt;1,1,0)</f>
        <v>0</v>
      </c>
    </row>
    <row r="7" spans="2:18" ht="15" x14ac:dyDescent="0.25">
      <c r="B7" s="14" t="s">
        <v>3</v>
      </c>
      <c r="C7" s="15">
        <f>SUM(M6:M11)</f>
        <v>0</v>
      </c>
      <c r="D7" s="1"/>
      <c r="E7" s="40"/>
      <c r="F7" s="37"/>
      <c r="G7" s="38"/>
      <c r="H7" s="39"/>
      <c r="I7" s="39"/>
      <c r="J7" s="1"/>
      <c r="K7" s="37"/>
      <c r="L7" s="41"/>
      <c r="M7" s="42"/>
      <c r="R7" s="57">
        <f>IF(vend31[[#This Row],[Nº Venda]]&gt;1,1,0)</f>
        <v>0</v>
      </c>
    </row>
    <row r="8" spans="2:18" ht="15.75" x14ac:dyDescent="0.25">
      <c r="B8" s="65" t="s">
        <v>23</v>
      </c>
      <c r="C8" s="66">
        <f>SUM(C6:C7)</f>
        <v>0</v>
      </c>
      <c r="D8" s="1"/>
      <c r="E8" s="40"/>
      <c r="F8" s="37"/>
      <c r="G8" s="38"/>
      <c r="H8" s="39"/>
      <c r="I8" s="39"/>
      <c r="J8" s="1"/>
      <c r="K8" s="37"/>
      <c r="L8" s="41"/>
      <c r="M8" s="42"/>
      <c r="R8" s="57">
        <f>IF(vend31[[#This Row],[Nº Venda]]&gt;1,1,0)</f>
        <v>0</v>
      </c>
    </row>
    <row r="9" spans="2:18" ht="15" x14ac:dyDescent="0.25">
      <c r="B9" s="1"/>
      <c r="C9" s="1"/>
      <c r="D9" s="1"/>
      <c r="E9" s="40"/>
      <c r="F9" s="37"/>
      <c r="G9" s="38"/>
      <c r="H9" s="39"/>
      <c r="I9" s="39"/>
      <c r="J9" s="1"/>
      <c r="K9" s="37"/>
      <c r="L9" s="41"/>
      <c r="M9" s="42"/>
      <c r="R9" s="57">
        <f>IF(vend31[[#This Row],[Nº Venda]]&gt;1,1,0)</f>
        <v>0</v>
      </c>
    </row>
    <row r="10" spans="2:18" ht="15" x14ac:dyDescent="0.25">
      <c r="B10" s="123" t="s">
        <v>5</v>
      </c>
      <c r="C10" s="123"/>
      <c r="D10" s="1"/>
      <c r="E10" s="40"/>
      <c r="F10" s="37"/>
      <c r="G10" s="38"/>
      <c r="H10" s="39"/>
      <c r="I10" s="39"/>
      <c r="J10" s="1"/>
      <c r="K10" s="37"/>
      <c r="L10" s="41"/>
      <c r="M10" s="42"/>
      <c r="R10" s="57">
        <f>IF(vend31[[#This Row],[Nº Venda]]&gt;1,1,0)</f>
        <v>0</v>
      </c>
    </row>
    <row r="11" spans="2:18" ht="15" x14ac:dyDescent="0.25">
      <c r="B11" s="19" t="s">
        <v>6</v>
      </c>
      <c r="C11" s="20">
        <f>(SUMIF($G$2:$G$31,B11,$I$2:$I$31))+(SUMIF($G$35:$G$41,B11,$H$35:$H$41))</f>
        <v>0</v>
      </c>
      <c r="D11" s="1"/>
      <c r="E11" s="40"/>
      <c r="F11" s="37"/>
      <c r="G11" s="38"/>
      <c r="H11" s="39"/>
      <c r="I11" s="39"/>
      <c r="J11" s="1"/>
      <c r="K11" s="100"/>
      <c r="L11" s="41"/>
      <c r="M11" s="42"/>
      <c r="O11" s="57">
        <f>IF(C16=0,0,1)</f>
        <v>0</v>
      </c>
      <c r="R11" s="57">
        <f>IF(vend31[[#This Row],[Nº Venda]]&gt;1,1,0)</f>
        <v>0</v>
      </c>
    </row>
    <row r="12" spans="2:18" ht="15" x14ac:dyDescent="0.25">
      <c r="B12" s="19" t="s">
        <v>7</v>
      </c>
      <c r="C12" s="20">
        <f t="shared" ref="C12:C15" si="0">(SUMIF($G$2:$G$31,B12,$I$2:$I$31))+(SUMIF($G$35:$G$41,B12,$H$35:$H$41))</f>
        <v>0</v>
      </c>
      <c r="D12" s="1"/>
      <c r="E12" s="40"/>
      <c r="F12" s="37"/>
      <c r="G12" s="38"/>
      <c r="H12" s="39"/>
      <c r="I12" s="39"/>
      <c r="J12" s="1"/>
      <c r="K12" s="101"/>
      <c r="L12" s="101"/>
      <c r="M12" s="101"/>
      <c r="R12" s="57">
        <f>IF(vend31[[#This Row],[Nº Venda]]&gt;1,1,0)</f>
        <v>0</v>
      </c>
    </row>
    <row r="13" spans="2:18" ht="15" x14ac:dyDescent="0.25">
      <c r="B13" s="19" t="s">
        <v>8</v>
      </c>
      <c r="C13" s="20">
        <f t="shared" si="0"/>
        <v>0</v>
      </c>
      <c r="D13" s="1"/>
      <c r="E13" s="40"/>
      <c r="F13" s="37"/>
      <c r="G13" s="38"/>
      <c r="H13" s="39"/>
      <c r="I13" s="39"/>
      <c r="J13" s="1"/>
      <c r="K13" s="125" t="s">
        <v>25</v>
      </c>
      <c r="L13" s="126"/>
      <c r="M13" s="127"/>
      <c r="R13" s="57">
        <f>IF(vend31[[#This Row],[Nº Venda]]&gt;1,1,0)</f>
        <v>0</v>
      </c>
    </row>
    <row r="14" spans="2:18" ht="15" x14ac:dyDescent="0.25">
      <c r="B14" s="19" t="s">
        <v>9</v>
      </c>
      <c r="C14" s="20">
        <f t="shared" si="0"/>
        <v>0</v>
      </c>
      <c r="D14" s="1"/>
      <c r="E14" s="40"/>
      <c r="F14" s="37"/>
      <c r="G14" s="38"/>
      <c r="H14" s="39"/>
      <c r="I14" s="39"/>
      <c r="J14" s="1"/>
      <c r="K14" s="9" t="s">
        <v>26</v>
      </c>
      <c r="L14" s="2" t="s">
        <v>27</v>
      </c>
      <c r="M14" s="10" t="s">
        <v>28</v>
      </c>
      <c r="R14" s="57">
        <f>IF(vend31[[#This Row],[Nº Venda]]&gt;1,1,0)</f>
        <v>0</v>
      </c>
    </row>
    <row r="15" spans="2:18" ht="15" x14ac:dyDescent="0.25">
      <c r="B15" s="19" t="s">
        <v>10</v>
      </c>
      <c r="C15" s="20">
        <f t="shared" si="0"/>
        <v>0</v>
      </c>
      <c r="D15" s="1"/>
      <c r="E15" s="40"/>
      <c r="F15" s="37"/>
      <c r="G15" s="38"/>
      <c r="H15" s="39"/>
      <c r="I15" s="39"/>
      <c r="J15" s="1"/>
      <c r="K15" s="37"/>
      <c r="L15" s="41"/>
      <c r="M15" s="42"/>
      <c r="R15" s="57">
        <f>IF(vend31[[#This Row],[Nº Venda]]&gt;1,1,0)</f>
        <v>0</v>
      </c>
    </row>
    <row r="16" spans="2:18" ht="15.75" x14ac:dyDescent="0.25">
      <c r="B16" s="65" t="s">
        <v>11</v>
      </c>
      <c r="C16" s="68">
        <f>SUM(C11:C15)</f>
        <v>0</v>
      </c>
      <c r="D16" s="1"/>
      <c r="E16" s="40"/>
      <c r="F16" s="37"/>
      <c r="G16" s="38"/>
      <c r="H16" s="39"/>
      <c r="I16" s="39"/>
      <c r="J16" s="1"/>
      <c r="K16" s="37"/>
      <c r="L16" s="41"/>
      <c r="M16" s="42"/>
      <c r="R16" s="57">
        <f>IF(vend31[[#This Row],[Nº Venda]]&gt;1,1,0)</f>
        <v>0</v>
      </c>
    </row>
    <row r="17" spans="2:18" ht="15" x14ac:dyDescent="0.25">
      <c r="B17" s="1"/>
      <c r="C17" s="1"/>
      <c r="D17" s="1"/>
      <c r="E17" s="40"/>
      <c r="F17" s="37"/>
      <c r="G17" s="38"/>
      <c r="H17" s="39"/>
      <c r="I17" s="39"/>
      <c r="J17" s="1"/>
      <c r="K17" s="37"/>
      <c r="L17" s="41"/>
      <c r="M17" s="42"/>
      <c r="R17" s="57">
        <f>IF(vend31[[#This Row],[Nº Venda]]&gt;1,1,0)</f>
        <v>0</v>
      </c>
    </row>
    <row r="18" spans="2:18" ht="15" x14ac:dyDescent="0.25">
      <c r="B18" s="123" t="s">
        <v>12</v>
      </c>
      <c r="C18" s="123"/>
      <c r="D18" s="1"/>
      <c r="E18" s="40"/>
      <c r="F18" s="37"/>
      <c r="G18" s="38"/>
      <c r="H18" s="39"/>
      <c r="I18" s="39"/>
      <c r="J18" s="1"/>
      <c r="K18" s="37"/>
      <c r="L18" s="41"/>
      <c r="M18" s="42"/>
      <c r="R18" s="57">
        <f>IF(vend31[[#This Row],[Nº Venda]]&gt;1,1,0)</f>
        <v>0</v>
      </c>
    </row>
    <row r="19" spans="2:18" ht="15" x14ac:dyDescent="0.25">
      <c r="B19" s="19">
        <f>COUNT(entr_carn31[OS])</f>
        <v>0</v>
      </c>
      <c r="C19" s="20">
        <f>SUM(entr_carn31[Valor Total])</f>
        <v>0</v>
      </c>
      <c r="D19" s="1"/>
      <c r="E19" s="40"/>
      <c r="F19" s="37"/>
      <c r="G19" s="38"/>
      <c r="H19" s="39"/>
      <c r="I19" s="39"/>
      <c r="J19" s="1"/>
      <c r="K19" s="37"/>
      <c r="L19" s="41"/>
      <c r="M19" s="42"/>
      <c r="R19" s="57">
        <f>IF(vend31[[#This Row],[Nº Venda]]&gt;1,1,0)</f>
        <v>0</v>
      </c>
    </row>
    <row r="20" spans="2:18" ht="15.75" x14ac:dyDescent="0.25">
      <c r="B20" s="65" t="s">
        <v>11</v>
      </c>
      <c r="C20" s="68">
        <f>SUM(C19:C19)</f>
        <v>0</v>
      </c>
      <c r="D20" s="1"/>
      <c r="E20" s="40"/>
      <c r="F20" s="38"/>
      <c r="G20" s="38"/>
      <c r="H20" s="39"/>
      <c r="I20" s="39"/>
      <c r="J20" s="1"/>
      <c r="K20" s="37"/>
      <c r="L20" s="41"/>
      <c r="M20" s="42"/>
      <c r="R20" s="57">
        <f>IF(vend31[[#This Row],[Nº Venda]]&gt;1,1,0)</f>
        <v>0</v>
      </c>
    </row>
    <row r="21" spans="2:18" ht="15" x14ac:dyDescent="0.25">
      <c r="B21" s="1"/>
      <c r="C21" s="1"/>
      <c r="D21" s="1"/>
      <c r="E21" s="40"/>
      <c r="F21" s="37"/>
      <c r="G21" s="38"/>
      <c r="H21" s="39"/>
      <c r="I21" s="39"/>
      <c r="J21" s="1"/>
      <c r="K21" s="37"/>
      <c r="L21" s="41"/>
      <c r="M21" s="42"/>
    </row>
    <row r="22" spans="2:18" ht="15.75" x14ac:dyDescent="0.25">
      <c r="B22" s="65" t="s">
        <v>29</v>
      </c>
      <c r="C22" s="68">
        <f>C5</f>
        <v>0</v>
      </c>
      <c r="D22" s="1"/>
      <c r="E22" s="40"/>
      <c r="F22" s="37"/>
      <c r="G22" s="38"/>
      <c r="H22" s="39"/>
      <c r="I22" s="39"/>
      <c r="J22" s="1"/>
      <c r="K22" s="37"/>
      <c r="L22" s="41"/>
      <c r="M22" s="42"/>
    </row>
    <row r="23" spans="2:18" ht="15" x14ac:dyDescent="0.25">
      <c r="B23" s="1"/>
      <c r="C23" s="1"/>
      <c r="D23" s="1"/>
      <c r="E23" s="44"/>
      <c r="F23" s="45"/>
      <c r="G23" s="45"/>
      <c r="H23" s="46"/>
      <c r="I23" s="47"/>
      <c r="J23" s="1"/>
      <c r="K23" s="37"/>
      <c r="L23" s="41"/>
      <c r="M23" s="42"/>
    </row>
    <row r="24" spans="2:18" ht="15" x14ac:dyDescent="0.25">
      <c r="B24" s="1"/>
      <c r="C24" s="1"/>
      <c r="D24" s="1"/>
      <c r="E24" s="124" t="s">
        <v>30</v>
      </c>
      <c r="F24" s="124"/>
      <c r="G24" s="124"/>
      <c r="H24" s="124"/>
      <c r="I24" s="124"/>
      <c r="J24" s="1"/>
      <c r="K24" s="37"/>
      <c r="L24" s="41"/>
      <c r="M24" s="42"/>
    </row>
    <row r="25" spans="2:18" ht="15" x14ac:dyDescent="0.25">
      <c r="B25" s="1"/>
      <c r="C25" s="1"/>
      <c r="D25" s="1"/>
      <c r="E25" s="5" t="s">
        <v>14</v>
      </c>
      <c r="F25" s="5" t="s">
        <v>15</v>
      </c>
      <c r="G25" s="6" t="s">
        <v>16</v>
      </c>
      <c r="H25" s="7" t="s">
        <v>17</v>
      </c>
      <c r="I25" s="8" t="s">
        <v>2</v>
      </c>
      <c r="J25" s="1"/>
      <c r="K25" s="37"/>
      <c r="L25" s="41"/>
      <c r="M25" s="42"/>
    </row>
    <row r="26" spans="2:18" ht="15" x14ac:dyDescent="0.25">
      <c r="B26" s="1"/>
      <c r="C26" s="1"/>
      <c r="D26" s="1"/>
      <c r="E26" s="40"/>
      <c r="F26" s="37"/>
      <c r="G26" s="38"/>
      <c r="H26" s="39"/>
      <c r="I26" s="39"/>
      <c r="J26" s="1"/>
      <c r="K26" s="37"/>
      <c r="L26" s="41"/>
      <c r="M26" s="42"/>
    </row>
    <row r="27" spans="2:18" ht="15" x14ac:dyDescent="0.25">
      <c r="B27" s="1"/>
      <c r="C27" s="1"/>
      <c r="D27" s="1"/>
      <c r="E27" s="40"/>
      <c r="F27" s="37"/>
      <c r="G27" s="38"/>
      <c r="H27" s="39"/>
      <c r="I27" s="39"/>
      <c r="J27" s="1"/>
      <c r="K27" s="37"/>
      <c r="L27" s="41"/>
      <c r="M27" s="42"/>
    </row>
    <row r="28" spans="2:18" ht="15" x14ac:dyDescent="0.25">
      <c r="B28" s="1"/>
      <c r="C28" s="1"/>
      <c r="D28" s="1"/>
      <c r="E28" s="40"/>
      <c r="F28" s="37"/>
      <c r="G28" s="38"/>
      <c r="H28" s="39"/>
      <c r="I28" s="39"/>
      <c r="J28" s="1"/>
      <c r="K28" s="37"/>
      <c r="L28" s="41"/>
      <c r="M28" s="42"/>
    </row>
    <row r="29" spans="2:18" ht="15" x14ac:dyDescent="0.25">
      <c r="B29" s="1"/>
      <c r="C29" s="1"/>
      <c r="D29" s="1"/>
      <c r="E29" s="40"/>
      <c r="F29" s="37"/>
      <c r="G29" s="38"/>
      <c r="H29" s="39"/>
      <c r="I29" s="39"/>
      <c r="J29" s="1"/>
      <c r="K29" s="37"/>
      <c r="L29" s="41"/>
      <c r="M29" s="42"/>
    </row>
    <row r="30" spans="2:18" ht="15" x14ac:dyDescent="0.25">
      <c r="B30" s="1"/>
      <c r="C30" s="1"/>
      <c r="D30" s="1"/>
      <c r="E30" s="40"/>
      <c r="F30" s="102"/>
      <c r="G30" s="38"/>
      <c r="H30" s="39"/>
      <c r="I30" s="39"/>
      <c r="J30" s="1"/>
      <c r="K30" s="37"/>
      <c r="L30" s="41"/>
      <c r="M30" s="42"/>
    </row>
    <row r="31" spans="2:18" ht="15" x14ac:dyDescent="0.25">
      <c r="B31" s="1"/>
      <c r="C31" s="1"/>
      <c r="D31" s="1"/>
      <c r="E31" s="103"/>
      <c r="F31" s="104"/>
      <c r="G31" s="105"/>
      <c r="H31" s="106"/>
      <c r="I31" s="106"/>
      <c r="J31" s="1"/>
      <c r="K31" s="37"/>
      <c r="L31" s="41"/>
      <c r="M31" s="42"/>
    </row>
    <row r="32" spans="2:18" ht="15" x14ac:dyDescent="0.25">
      <c r="B32" s="1"/>
      <c r="C32" s="1"/>
      <c r="E32" s="44"/>
      <c r="F32" s="45"/>
      <c r="G32" s="45"/>
      <c r="H32" s="47"/>
      <c r="I32" s="47"/>
      <c r="K32" s="101"/>
      <c r="L32" s="101"/>
      <c r="M32" s="101"/>
    </row>
    <row r="33" spans="2:18" ht="15" x14ac:dyDescent="0.25">
      <c r="B33" s="1"/>
      <c r="C33" s="1"/>
      <c r="E33" s="124" t="s">
        <v>31</v>
      </c>
      <c r="F33" s="124"/>
      <c r="G33" s="124"/>
      <c r="H33" s="124"/>
      <c r="I33" s="124"/>
      <c r="K33" s="125" t="s">
        <v>12</v>
      </c>
      <c r="L33" s="126"/>
      <c r="M33" s="127"/>
    </row>
    <row r="34" spans="2:18" ht="15" x14ac:dyDescent="0.25">
      <c r="E34" s="5" t="s">
        <v>26</v>
      </c>
      <c r="F34" s="5" t="s">
        <v>15</v>
      </c>
      <c r="G34" s="6" t="s">
        <v>16</v>
      </c>
      <c r="H34" s="7" t="s">
        <v>32</v>
      </c>
      <c r="I34" s="8" t="s">
        <v>33</v>
      </c>
      <c r="K34" s="9" t="s">
        <v>26</v>
      </c>
      <c r="L34" s="2" t="s">
        <v>34</v>
      </c>
      <c r="M34" s="10" t="s">
        <v>35</v>
      </c>
    </row>
    <row r="35" spans="2:18" ht="15" x14ac:dyDescent="0.25">
      <c r="E35" s="40"/>
      <c r="F35" s="37"/>
      <c r="G35" s="38"/>
      <c r="H35" s="39"/>
      <c r="I35" s="39"/>
      <c r="K35" s="37"/>
      <c r="L35" s="43"/>
      <c r="M35" s="42"/>
    </row>
    <row r="36" spans="2:18" ht="15" x14ac:dyDescent="0.25">
      <c r="E36" s="40"/>
      <c r="F36" s="37"/>
      <c r="G36" s="38"/>
      <c r="H36" s="39"/>
      <c r="I36" s="39"/>
      <c r="K36" s="37"/>
      <c r="L36" s="43"/>
      <c r="M36" s="42"/>
    </row>
    <row r="37" spans="2:18" ht="15" x14ac:dyDescent="0.25">
      <c r="E37" s="40"/>
      <c r="F37" s="37"/>
      <c r="G37" s="38"/>
      <c r="H37" s="39"/>
      <c r="I37" s="39"/>
      <c r="K37" s="37"/>
      <c r="L37" s="43"/>
      <c r="M37" s="42"/>
    </row>
    <row r="38" spans="2:18" ht="15" x14ac:dyDescent="0.25">
      <c r="E38" s="40"/>
      <c r="F38" s="37"/>
      <c r="G38" s="38"/>
      <c r="H38" s="39"/>
      <c r="I38" s="39"/>
      <c r="K38" s="37"/>
      <c r="L38" s="43"/>
      <c r="M38" s="42"/>
    </row>
    <row r="39" spans="2:18" ht="15" x14ac:dyDescent="0.25">
      <c r="E39" s="40"/>
      <c r="F39" s="102"/>
      <c r="G39" s="38"/>
      <c r="H39" s="39"/>
      <c r="I39" s="39"/>
      <c r="K39" s="37"/>
      <c r="L39" s="43"/>
      <c r="M39" s="42"/>
    </row>
    <row r="40" spans="2:18" ht="15" x14ac:dyDescent="0.25">
      <c r="E40" s="103"/>
      <c r="F40" s="104"/>
      <c r="G40" s="105"/>
      <c r="H40" s="106"/>
      <c r="I40" s="39"/>
      <c r="K40" s="104"/>
      <c r="L40" s="107"/>
      <c r="M40" s="108"/>
      <c r="Q40" s="57" t="s">
        <v>38</v>
      </c>
      <c r="R40" s="57">
        <f>SUM(R6:R21)</f>
        <v>0</v>
      </c>
    </row>
    <row r="41" spans="2:18" ht="15" x14ac:dyDescent="0.25">
      <c r="E41" s="110"/>
      <c r="F41" s="102"/>
      <c r="G41" s="38"/>
      <c r="H41" s="39"/>
      <c r="I41" s="39"/>
      <c r="K41" s="109"/>
      <c r="L41" s="43"/>
      <c r="M41" s="10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B57F-F442-400C-8E69-DB22FCBD7CB2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F72A-B955-4BF6-9F0B-6B8CFD27DFA8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24" t="s">
        <v>53</v>
      </c>
      <c r="B1" s="24" t="s">
        <v>54</v>
      </c>
      <c r="E1" s="24" t="s">
        <v>55</v>
      </c>
    </row>
    <row r="2" spans="1:5" x14ac:dyDescent="0.2">
      <c r="A2" s="24" t="s">
        <v>6</v>
      </c>
      <c r="B2" s="24" t="s">
        <v>56</v>
      </c>
      <c r="E2" t="s">
        <v>57</v>
      </c>
    </row>
    <row r="3" spans="1:5" x14ac:dyDescent="0.2">
      <c r="A3" s="24" t="s">
        <v>7</v>
      </c>
      <c r="B3" s="24" t="s">
        <v>58</v>
      </c>
      <c r="E3" t="s">
        <v>59</v>
      </c>
    </row>
    <row r="4" spans="1:5" x14ac:dyDescent="0.2">
      <c r="A4" s="24" t="s">
        <v>8</v>
      </c>
      <c r="B4" s="24" t="s">
        <v>60</v>
      </c>
      <c r="E4" t="s">
        <v>61</v>
      </c>
    </row>
    <row r="5" spans="1:5" x14ac:dyDescent="0.2">
      <c r="A5" s="24" t="s">
        <v>9</v>
      </c>
      <c r="B5" s="24" t="s">
        <v>62</v>
      </c>
      <c r="E5" t="s">
        <v>63</v>
      </c>
    </row>
    <row r="6" spans="1:5" x14ac:dyDescent="0.2">
      <c r="A6" s="24" t="s">
        <v>10</v>
      </c>
      <c r="B6" s="24" t="s">
        <v>10</v>
      </c>
      <c r="E6" t="s">
        <v>64</v>
      </c>
    </row>
    <row r="7" spans="1:5" x14ac:dyDescent="0.2">
      <c r="A7" s="24" t="s">
        <v>65</v>
      </c>
      <c r="B7" s="24" t="s">
        <v>66</v>
      </c>
      <c r="E7" t="s">
        <v>67</v>
      </c>
    </row>
    <row r="8" spans="1:5" x14ac:dyDescent="0.2">
      <c r="A8" t="s">
        <v>28</v>
      </c>
      <c r="B8" t="s">
        <v>68</v>
      </c>
      <c r="E8" t="s">
        <v>69</v>
      </c>
    </row>
    <row r="9" spans="1:5" x14ac:dyDescent="0.2">
      <c r="A9" s="24" t="s">
        <v>70</v>
      </c>
      <c r="B9" s="24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75</v>
      </c>
    </row>
    <row r="13" spans="1:5" x14ac:dyDescent="0.2">
      <c r="E13" t="s">
        <v>37</v>
      </c>
    </row>
    <row r="14" spans="1:5" x14ac:dyDescent="0.2">
      <c r="E14" t="s">
        <v>76</v>
      </c>
    </row>
    <row r="15" spans="1:5" x14ac:dyDescent="0.2">
      <c r="E15" t="s">
        <v>77</v>
      </c>
    </row>
    <row r="16" spans="1:5" x14ac:dyDescent="0.2">
      <c r="E16" t="s">
        <v>78</v>
      </c>
    </row>
    <row r="17" spans="5:5" x14ac:dyDescent="0.2">
      <c r="E17" t="s">
        <v>48</v>
      </c>
    </row>
    <row r="18" spans="5:5" x14ac:dyDescent="0.2">
      <c r="E18" t="s">
        <v>79</v>
      </c>
    </row>
    <row r="19" spans="5:5" x14ac:dyDescent="0.2">
      <c r="E19" t="s">
        <v>80</v>
      </c>
    </row>
    <row r="20" spans="5:5" x14ac:dyDescent="0.2">
      <c r="E20" t="s">
        <v>81</v>
      </c>
    </row>
    <row r="21" spans="5:5" x14ac:dyDescent="0.2">
      <c r="E21" t="s">
        <v>82</v>
      </c>
    </row>
    <row r="22" spans="5:5" x14ac:dyDescent="0.2">
      <c r="E22" t="s">
        <v>83</v>
      </c>
    </row>
    <row r="23" spans="5:5" x14ac:dyDescent="0.2">
      <c r="E23" t="s">
        <v>84</v>
      </c>
    </row>
    <row r="24" spans="5:5" x14ac:dyDescent="0.2">
      <c r="E24" t="s">
        <v>85</v>
      </c>
    </row>
    <row r="25" spans="5:5" x14ac:dyDescent="0.2">
      <c r="E25" t="s">
        <v>86</v>
      </c>
    </row>
    <row r="26" spans="5:5" x14ac:dyDescent="0.2">
      <c r="E26" t="s">
        <v>87</v>
      </c>
    </row>
    <row r="27" spans="5:5" x14ac:dyDescent="0.2">
      <c r="E27" t="s">
        <v>88</v>
      </c>
    </row>
    <row r="28" spans="5:5" x14ac:dyDescent="0.2">
      <c r="E28" t="s">
        <v>89</v>
      </c>
    </row>
    <row r="29" spans="5:5" x14ac:dyDescent="0.2">
      <c r="E29" t="s">
        <v>90</v>
      </c>
    </row>
    <row r="30" spans="5:5" x14ac:dyDescent="0.2">
      <c r="E30" t="s">
        <v>91</v>
      </c>
    </row>
    <row r="31" spans="5:5" x14ac:dyDescent="0.2">
      <c r="E31" t="s">
        <v>92</v>
      </c>
    </row>
    <row r="32" spans="5:5" x14ac:dyDescent="0.2">
      <c r="E32" t="s">
        <v>93</v>
      </c>
    </row>
    <row r="33" spans="5:5" x14ac:dyDescent="0.2">
      <c r="E33" t="s">
        <v>94</v>
      </c>
    </row>
    <row r="34" spans="5:5" x14ac:dyDescent="0.2">
      <c r="E34" t="s">
        <v>95</v>
      </c>
    </row>
    <row r="35" spans="5:5" x14ac:dyDescent="0.2">
      <c r="E35" t="s">
        <v>96</v>
      </c>
    </row>
    <row r="36" spans="5:5" x14ac:dyDescent="0.2">
      <c r="E36" t="s">
        <v>97</v>
      </c>
    </row>
    <row r="37" spans="5:5" x14ac:dyDescent="0.2">
      <c r="E37" t="s">
        <v>98</v>
      </c>
    </row>
    <row r="38" spans="5:5" x14ac:dyDescent="0.2">
      <c r="E38" t="s">
        <v>99</v>
      </c>
    </row>
    <row r="39" spans="5:5" x14ac:dyDescent="0.2">
      <c r="E39" t="s">
        <v>100</v>
      </c>
    </row>
    <row r="40" spans="5:5" x14ac:dyDescent="0.2">
      <c r="E40" t="s">
        <v>101</v>
      </c>
    </row>
    <row r="41" spans="5:5" x14ac:dyDescent="0.2">
      <c r="E41" t="s">
        <v>102</v>
      </c>
    </row>
    <row r="42" spans="5:5" x14ac:dyDescent="0.2">
      <c r="E42" t="s">
        <v>103</v>
      </c>
    </row>
    <row r="43" spans="5:5" x14ac:dyDescent="0.2">
      <c r="E43" t="s">
        <v>104</v>
      </c>
    </row>
    <row r="44" spans="5:5" x14ac:dyDescent="0.2">
      <c r="E44" t="s">
        <v>105</v>
      </c>
    </row>
    <row r="45" spans="5:5" x14ac:dyDescent="0.2">
      <c r="E45" t="s">
        <v>106</v>
      </c>
    </row>
    <row r="46" spans="5:5" x14ac:dyDescent="0.2">
      <c r="E46" t="s">
        <v>107</v>
      </c>
    </row>
    <row r="47" spans="5:5" x14ac:dyDescent="0.2">
      <c r="E47" t="s">
        <v>108</v>
      </c>
    </row>
    <row r="48" spans="5:5" x14ac:dyDescent="0.2">
      <c r="E48" t="s">
        <v>109</v>
      </c>
    </row>
    <row r="49" spans="5:5" x14ac:dyDescent="0.2">
      <c r="E49" t="s">
        <v>110</v>
      </c>
    </row>
    <row r="50" spans="5:5" x14ac:dyDescent="0.2">
      <c r="E50" t="s">
        <v>111</v>
      </c>
    </row>
    <row r="51" spans="5:5" x14ac:dyDescent="0.2">
      <c r="E51" t="s">
        <v>112</v>
      </c>
    </row>
    <row r="52" spans="5:5" x14ac:dyDescent="0.2">
      <c r="E52" t="s">
        <v>113</v>
      </c>
    </row>
    <row r="53" spans="5:5" x14ac:dyDescent="0.2">
      <c r="E53" t="s">
        <v>114</v>
      </c>
    </row>
    <row r="54" spans="5:5" x14ac:dyDescent="0.2">
      <c r="E54" t="s">
        <v>115</v>
      </c>
    </row>
    <row r="55" spans="5:5" x14ac:dyDescent="0.2">
      <c r="E55" t="s">
        <v>116</v>
      </c>
    </row>
    <row r="56" spans="5:5" x14ac:dyDescent="0.2">
      <c r="E56" t="s">
        <v>117</v>
      </c>
    </row>
    <row r="57" spans="5:5" x14ac:dyDescent="0.2">
      <c r="E57" t="s">
        <v>118</v>
      </c>
    </row>
    <row r="58" spans="5:5" x14ac:dyDescent="0.2">
      <c r="E58" t="s">
        <v>119</v>
      </c>
    </row>
    <row r="59" spans="5:5" x14ac:dyDescent="0.2">
      <c r="E59" t="s">
        <v>120</v>
      </c>
    </row>
    <row r="60" spans="5:5" x14ac:dyDescent="0.2">
      <c r="E60" t="s">
        <v>121</v>
      </c>
    </row>
    <row r="61" spans="5:5" x14ac:dyDescent="0.2">
      <c r="E61" t="s">
        <v>122</v>
      </c>
    </row>
    <row r="62" spans="5:5" x14ac:dyDescent="0.2">
      <c r="E62" t="s">
        <v>123</v>
      </c>
    </row>
    <row r="63" spans="5:5" x14ac:dyDescent="0.2">
      <c r="E63" t="s">
        <v>124</v>
      </c>
    </row>
    <row r="64" spans="5:5" x14ac:dyDescent="0.2">
      <c r="E64" t="s">
        <v>125</v>
      </c>
    </row>
    <row r="65" spans="5:5" x14ac:dyDescent="0.2">
      <c r="E65" t="s">
        <v>126</v>
      </c>
    </row>
    <row r="66" spans="5:5" x14ac:dyDescent="0.2">
      <c r="E66" t="s">
        <v>127</v>
      </c>
    </row>
    <row r="67" spans="5:5" x14ac:dyDescent="0.2">
      <c r="E67" t="s">
        <v>128</v>
      </c>
    </row>
    <row r="68" spans="5:5" x14ac:dyDescent="0.2">
      <c r="E68" t="s">
        <v>129</v>
      </c>
    </row>
    <row r="69" spans="5:5" x14ac:dyDescent="0.2">
      <c r="E69" t="s">
        <v>130</v>
      </c>
    </row>
    <row r="70" spans="5:5" x14ac:dyDescent="0.2">
      <c r="E70" t="s">
        <v>131</v>
      </c>
    </row>
    <row r="71" spans="5:5" x14ac:dyDescent="0.2">
      <c r="E71" t="s">
        <v>132</v>
      </c>
    </row>
    <row r="72" spans="5:5" x14ac:dyDescent="0.2">
      <c r="E72" t="s">
        <v>133</v>
      </c>
    </row>
    <row r="73" spans="5:5" x14ac:dyDescent="0.2">
      <c r="E73" t="s">
        <v>134</v>
      </c>
    </row>
    <row r="74" spans="5:5" x14ac:dyDescent="0.2">
      <c r="E74" t="s">
        <v>135</v>
      </c>
    </row>
    <row r="75" spans="5:5" x14ac:dyDescent="0.2">
      <c r="E75" t="s">
        <v>136</v>
      </c>
    </row>
    <row r="76" spans="5:5" x14ac:dyDescent="0.2">
      <c r="E76" t="s">
        <v>137</v>
      </c>
    </row>
    <row r="77" spans="5:5" x14ac:dyDescent="0.2">
      <c r="E77" t="s">
        <v>138</v>
      </c>
    </row>
    <row r="78" spans="5:5" x14ac:dyDescent="0.2">
      <c r="E78" t="s">
        <v>139</v>
      </c>
    </row>
    <row r="79" spans="5:5" x14ac:dyDescent="0.2">
      <c r="E79" t="s">
        <v>140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5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Planilha1</vt:lpstr>
      <vt:lpstr>Planilha2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2024-07-01T13:18:34Z</cp:lastPrinted>
  <dcterms:created xsi:type="dcterms:W3CDTF">2004-04-07T20:43:43Z</dcterms:created>
  <dcterms:modified xsi:type="dcterms:W3CDTF">2025-02-06T21:39:17Z</dcterms:modified>
  <cp:category/>
  <cp:contentStatus/>
</cp:coreProperties>
</file>