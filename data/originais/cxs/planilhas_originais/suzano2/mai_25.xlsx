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93" documentId="8_{F535DE3B-E4E2-4C5A-A1D5-298702F815CB}" xr6:coauthVersionLast="47" xr6:coauthVersionMax="47" xr10:uidLastSave="{B96342F2-1654-4439-B443-F8080866F2A0}"/>
  <bookViews>
    <workbookView xWindow="-120" yWindow="-120" windowWidth="29040" windowHeight="15840" tabRatio="895" activeTab="10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4"/>
  <c r="C6" i="173"/>
  <c r="C6" i="172"/>
  <c r="C6" i="171"/>
  <c r="C6" i="103"/>
  <c r="C6" i="178"/>
  <c r="C6" i="177"/>
  <c r="C6" i="180"/>
  <c r="C6" i="181"/>
  <c r="C6" i="184"/>
  <c r="C6" i="185"/>
  <c r="C6" i="186"/>
  <c r="C6" i="193"/>
  <c r="C6" i="194"/>
  <c r="C6" i="197"/>
  <c r="C6" i="196"/>
  <c r="C6" i="192"/>
  <c r="C6" i="199"/>
  <c r="C6" i="198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1"/>
  <c r="C8" i="194"/>
  <c r="C8" i="197"/>
  <c r="C8" i="196"/>
  <c r="C8" i="199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92"/>
  <c r="R40" i="194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C16" i="188"/>
  <c r="C16" i="185"/>
  <c r="O11" i="185" s="1"/>
  <c r="C8" i="193"/>
  <c r="C8" i="178"/>
  <c r="C8" i="198"/>
  <c r="C8" i="185"/>
  <c r="C8" i="181"/>
  <c r="C8" i="177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C6" i="195" s="1"/>
  <c r="C16" i="193"/>
  <c r="O11" i="193" s="1"/>
  <c r="C16" i="191"/>
  <c r="C16" i="190"/>
  <c r="C16" i="187"/>
  <c r="C16" i="186"/>
  <c r="O11" i="186" s="1"/>
  <c r="C16" i="184"/>
  <c r="O11" i="184" s="1"/>
  <c r="C8" i="184"/>
  <c r="C16" i="179"/>
  <c r="C16" i="181"/>
  <c r="O11" i="181" s="1"/>
  <c r="C16" i="183"/>
  <c r="C16" i="182"/>
  <c r="C16" i="180"/>
  <c r="O11" i="180" s="1"/>
  <c r="C16" i="176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70" l="1"/>
  <c r="C6" i="170"/>
  <c r="C8" i="170" s="1"/>
  <c r="O11" i="191"/>
  <c r="C6" i="191"/>
  <c r="C8" i="191" s="1"/>
  <c r="O11" i="190"/>
  <c r="C6" i="190"/>
  <c r="C8" i="190" s="1"/>
  <c r="O11" i="189"/>
  <c r="C6" i="189"/>
  <c r="C8" i="189" s="1"/>
  <c r="O11" i="182"/>
  <c r="C6" i="182"/>
  <c r="C8" i="182" s="1"/>
  <c r="O11" i="183"/>
  <c r="C6" i="183"/>
  <c r="C8" i="183" s="1"/>
  <c r="O11" i="176"/>
  <c r="C6" i="176"/>
  <c r="C8" i="176" s="1"/>
  <c r="O11" i="179"/>
  <c r="C6" i="179"/>
  <c r="C8" i="179" s="1"/>
  <c r="O11" i="187"/>
  <c r="C6" i="187"/>
  <c r="C8" i="187" s="1"/>
  <c r="O11" i="188"/>
  <c r="C6" i="188"/>
  <c r="C8" i="188" s="1"/>
  <c r="O11" i="175"/>
  <c r="C6" i="175"/>
  <c r="C8" i="175" s="1"/>
  <c r="O11" i="195"/>
  <c r="B14" i="200"/>
  <c r="C16" i="103"/>
  <c r="O11" i="103" s="1"/>
  <c r="C8" i="103"/>
  <c r="R40" i="103"/>
  <c r="B4" i="200" l="1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<sst xmlns="http://schemas.openxmlformats.org/spreadsheetml/2006/main" count="1659" uniqueCount="157">
  <si>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</si>
  <si>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</si>
  <si>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</si>
  <si>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</si>
  <si>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</si>
  <si>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</si>
  <si>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</si>
  <si>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</si>
  <si>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</si>
  <si>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</si>
  <si>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</si>
  <si>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</si>
  <si>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</si>
  <si>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</si>
  <si>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</si>
  <si>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</si>
  <si>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</si>
  <si>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</si>
  <si>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</si>
  <si>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</si>
  <si>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</si>
  <si>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</si>
  <si>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</si>
  <si>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</si>
  <si>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</si>
  <si>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</si>
  <si>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</si>
  <si>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</si>
  <si>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</si>
  <si>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</si>
  <si>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</si>
  <si>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</si>
  <si>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</si>
  <si>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</si>
  <si>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</si>
  <si>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</si>
  <si>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</si>
  <si>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</si>
  <si>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</si>
  <si>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</si>
  <si>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</si>
  <si>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</si>
  <si>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</si>
  <si>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</si>
  <si>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</si>
  <si>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</si>
  <si>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</si>
  <si>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</si>
  <si>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</si>
  <si>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</si>
  <si>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</si>
  <si>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</si>
  <si>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</si>
  <si>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</si>
  <si>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</si>
  <si>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</si>
  <si>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</si>
  <si>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</si>
  <si>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</si>
  <si>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</si>
  <si>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</si>
  <si>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</si>
  <si>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</si>
  <si>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</si>
  <si>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</si>
  <si>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</si>
  <si>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</si>
  <si>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</si>
  <si>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</si>
  <si>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</si>
  <si>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</si>
  <si>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</si>
  <si>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</si>
  <si>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</si>
  <si>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</si>
  <si>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</si>
  <si>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</si>
  <si>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</si>
  <si>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</si>
  <si>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</si>
  <si>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</si>
  <si>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</si>
  <si>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</si>
  <si>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</si>
  <si>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</si>
  <si>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</si>
  <si>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</si>
  <si>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</si>
  <si>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</si>
  <si>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</si>
  <si>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</si>
  <si>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</si>
  <si>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</si>
  <si>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</si>
  <si>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</si>
  <si>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</si>
  <si>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</si>
  <si>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</si>
  <si>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</si>
  <si>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</si>
  <si>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</si>
  <si>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</si>
  <si>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</si>
  <si>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</si>
  <si>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</si>
  <si>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</si>
  <si>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</si>
  <si>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</si>
  <si>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</si>
  <si>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</si>
  <si>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</si>
  <si>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</si>
  <si>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</si>
  <si>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</si>
  <si>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</si>
  <si>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</si>
  <si>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</si>
  <si>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</si>
  <si>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</si>
  <si>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</si>
  <si>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</si>
  <si>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</si>
  <si>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</si>
  <si>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</si>
  <si>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</si>
  <si>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</si>
  <si>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</si>
  <si>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</si>
  <si>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</si>
  <si>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</si>
  <si>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</si>
  <si>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</si>
  <si>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</si>
  <si>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</si>
  <si>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</si>
  <si>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</si>
  <si>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</si>
  <si>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</si>
  <si>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</si>
  <si>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</si>
  <si>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</si>
  <si>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</si>
  <si>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</si>
  <si>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</si>
  <si>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2</t>
  </si>
  <si>
    <t xml:space="preserve">LORENZO GUILHERME </t>
  </si>
  <si>
    <t>MARLENE CARDOSO</t>
  </si>
  <si>
    <t>ELAINE FRANÇA DE OLIVEIRA</t>
  </si>
  <si>
    <t>MARIA GOMES DE SIQUEIRA</t>
  </si>
  <si>
    <t>ROMOALDO DE OLIVEIRA</t>
  </si>
  <si>
    <t>Não</t>
  </si>
  <si>
    <t>DEPÓSITO</t>
  </si>
  <si>
    <t>MARIA DA CONCEIÇÃO BENTO</t>
  </si>
  <si>
    <t>NICOLLY ARAUJO NUNES</t>
  </si>
  <si>
    <t>SILVIA FERREIRA ARMIILATO</t>
  </si>
  <si>
    <t>CECILIA LATIFA ZANINIE</t>
  </si>
  <si>
    <t>SARA PATROCÍNIO GONÇALVES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</si>
</sst>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36" fillId="0" borderId="3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4" fontId="40" fillId="0" borderId="12" xfId="2" applyFont="1" applyFill="1" applyBorder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71" dataDxfId="1169" headerRowBorderDxfId="1170" tableBorderDxfId="1168" totalsRowBorderDxfId="11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53" dataDxfId="1151" headerRowBorderDxfId="1152" tableBorderDxfId="1150" totalsRowBorderDxfId="114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zoomScaleNormal="100" workbookViewId="0">
      <selection activeCell="H15" sqref="H15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96"/>
      <c r="C1" s="96"/>
      <c r="L1" s="97" t="s">
        <v>144</v>
      </c>
      <c r="M1" s="97"/>
      <c r="P1" t="s">
        <v>123</v>
      </c>
    </row>
    <row r="2" spans="1:16" ht="15" x14ac:dyDescent="0.2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124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40</v>
      </c>
      <c r="P3" t="s">
        <v>125</v>
      </c>
    </row>
    <row r="4" spans="1:16" ht="15" x14ac:dyDescent="0.25">
      <c r="A4" s="8" t="s">
        <v>2</v>
      </c>
      <c r="B4" s="31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1389.8300000000002</v>
      </c>
      <c r="C4" s="57"/>
      <c r="D4" s="58"/>
      <c r="E4" s="57" t="s">
        <v>137</v>
      </c>
      <c r="F4" s="57"/>
      <c r="G4" s="57"/>
      <c r="H4" s="57"/>
      <c r="I4" s="57"/>
      <c r="J4" s="58"/>
      <c r="K4" s="57" t="s">
        <v>138</v>
      </c>
      <c r="L4" s="57"/>
      <c r="M4" s="57"/>
      <c r="P4" t="s">
        <v>126</v>
      </c>
    </row>
    <row r="5" spans="1:16" ht="15" x14ac:dyDescent="0.25">
      <c r="A5" s="8" t="s">
        <v>3</v>
      </c>
      <c r="B5" s="31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275</v>
      </c>
      <c r="C5" s="57"/>
      <c r="D5" s="58"/>
      <c r="E5" s="58"/>
      <c r="F5" s="58"/>
      <c r="G5" s="58"/>
      <c r="H5" s="58"/>
      <c r="I5" s="58"/>
      <c r="J5" s="58"/>
      <c r="K5" s="58"/>
      <c r="L5" s="58"/>
      <c r="M5" s="58"/>
      <c r="P5" t="s">
        <v>127</v>
      </c>
    </row>
    <row r="6" spans="1:16" ht="15.75" x14ac:dyDescent="0.25">
      <c r="A6" s="10" t="s">
        <v>4</v>
      </c>
      <c r="B6" s="34">
        <f ca="1">SUM(B4:B5)</f>
        <v>1664.8300000000002</v>
      </c>
      <c r="C6" s="57">
        <f>C16</f>
        <v>0</v>
      </c>
      <c r="D6" s="58"/>
      <c r="E6" s="58"/>
      <c r="F6" s="58"/>
      <c r="G6" s="58"/>
      <c r="H6" s="58"/>
      <c r="I6" s="58"/>
      <c r="J6" s="58"/>
      <c r="K6" s="58"/>
      <c r="L6" s="58"/>
      <c r="M6" s="58"/>
      <c r="P6" t="s">
        <v>128</v>
      </c>
    </row>
    <row r="7" spans="1:16" ht="15" x14ac:dyDescent="0.25">
      <c r="A7" s="2"/>
      <c r="B7" s="29"/>
      <c r="C7" s="57"/>
      <c r="D7" s="58"/>
      <c r="E7" s="58"/>
      <c r="F7" s="58"/>
      <c r="G7" s="58"/>
      <c r="H7" s="58"/>
      <c r="I7" s="58"/>
      <c r="J7" s="58"/>
      <c r="K7" s="58"/>
      <c r="L7" s="58"/>
      <c r="M7" s="58"/>
      <c r="P7" t="s">
        <v>129</v>
      </c>
    </row>
    <row r="8" spans="1:16" ht="15" x14ac:dyDescent="0.25">
      <c r="A8" s="93" t="s">
        <v>5</v>
      </c>
      <c r="B8" s="94"/>
      <c r="C8" s="57"/>
      <c r="D8" s="58"/>
      <c r="E8" s="58"/>
      <c r="F8" s="58"/>
      <c r="G8" s="58"/>
      <c r="H8" s="58"/>
      <c r="I8" s="58"/>
      <c r="J8" s="58"/>
      <c r="K8" s="58"/>
      <c r="L8" s="58"/>
      <c r="M8" s="58"/>
      <c r="P8" t="s">
        <v>130</v>
      </c>
    </row>
    <row r="9" spans="1:16" ht="15" x14ac:dyDescent="0.25">
      <c r="A9" s="11" t="s">
        <v>6</v>
      </c>
      <c r="B9" s="31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554.79999999999995</v>
      </c>
      <c r="C9" s="57"/>
      <c r="D9" s="58"/>
      <c r="E9" s="58"/>
      <c r="F9" s="58"/>
      <c r="G9" s="58"/>
      <c r="H9" s="58"/>
      <c r="I9" s="58"/>
      <c r="J9" s="58"/>
      <c r="K9" s="58"/>
      <c r="L9" s="58"/>
      <c r="M9" s="58"/>
      <c r="P9" t="s">
        <v>131</v>
      </c>
    </row>
    <row r="10" spans="1:16" ht="15" x14ac:dyDescent="0.25">
      <c r="A10" s="11" t="s">
        <v>7</v>
      </c>
      <c r="B10" s="67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40</v>
      </c>
      <c r="C10" s="73"/>
      <c r="D10" s="58"/>
      <c r="E10" s="58"/>
      <c r="F10" s="58"/>
      <c r="G10" s="58"/>
      <c r="H10" s="58"/>
      <c r="I10" s="58"/>
      <c r="J10" s="58"/>
      <c r="K10" s="58"/>
      <c r="L10" s="58"/>
      <c r="M10" s="58"/>
      <c r="P10" t="s">
        <v>132</v>
      </c>
    </row>
    <row r="11" spans="1:16" ht="15" x14ac:dyDescent="0.25">
      <c r="A11" s="11" t="s">
        <v>8</v>
      </c>
      <c r="B11" s="68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225.2</v>
      </c>
      <c r="C11" s="64"/>
      <c r="D11" s="58"/>
      <c r="E11" s="58"/>
      <c r="F11" s="58"/>
      <c r="G11" s="58"/>
      <c r="H11" s="58"/>
      <c r="I11" s="58"/>
      <c r="J11" s="58"/>
      <c r="K11" s="58"/>
      <c r="L11" s="58"/>
      <c r="M11" s="58"/>
      <c r="P11" t="s">
        <v>133</v>
      </c>
    </row>
    <row r="12" spans="1:16" ht="15" x14ac:dyDescent="0.25">
      <c r="A12" s="11" t="s">
        <v>9</v>
      </c>
      <c r="B12" s="68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4"/>
      <c r="D12" s="58"/>
      <c r="E12" s="58"/>
      <c r="F12" s="58"/>
      <c r="G12" s="58"/>
      <c r="H12" s="58"/>
      <c r="I12" s="58"/>
      <c r="J12" s="58"/>
      <c r="K12" s="58"/>
      <c r="L12" s="58"/>
      <c r="M12" s="58"/>
      <c r="P12" t="s">
        <v>134</v>
      </c>
    </row>
    <row r="13" spans="1:16" ht="15" x14ac:dyDescent="0.25">
      <c r="A13" s="11" t="s">
        <v>10</v>
      </c>
      <c r="B13" s="68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569.82999999999993</v>
      </c>
      <c r="C13" s="64"/>
      <c r="D13" s="58"/>
      <c r="E13" s="58"/>
      <c r="F13" s="58"/>
      <c r="G13" s="58"/>
      <c r="H13" s="58"/>
      <c r="I13" s="58"/>
      <c r="J13" s="58"/>
      <c r="K13" s="57" t="s">
        <v>142</v>
      </c>
      <c r="L13" s="57"/>
      <c r="M13" s="57"/>
      <c r="P13" t="s">
        <v>135</v>
      </c>
    </row>
    <row r="14" spans="1:16" ht="15.75" x14ac:dyDescent="0.25">
      <c r="A14" s="10" t="s">
        <v>11</v>
      </c>
      <c r="B14" s="59">
        <f ca="1">SUM(B9:B13)</f>
        <v>1389.83</v>
      </c>
      <c r="C14" s="64"/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5" spans="1:16" ht="15" x14ac:dyDescent="0.25">
      <c r="A15" s="2"/>
      <c r="B15" s="69"/>
      <c r="C15" s="64"/>
      <c r="D15" s="58"/>
      <c r="E15" s="58"/>
      <c r="F15" s="58"/>
      <c r="G15" s="58"/>
      <c r="H15" s="58"/>
      <c r="I15" s="58"/>
      <c r="J15" s="58"/>
      <c r="K15" s="58"/>
      <c r="L15" s="58"/>
      <c r="M15" s="58"/>
    </row>
    <row r="16" spans="1:16" ht="15" x14ac:dyDescent="0.25">
      <c r="A16" s="93" t="s">
        <v>12</v>
      </c>
      <c r="B16" s="95"/>
      <c r="C16" s="74"/>
      <c r="D16" s="58"/>
      <c r="E16" s="58"/>
      <c r="F16" s="58"/>
      <c r="G16" s="58"/>
      <c r="H16" s="58"/>
      <c r="I16" s="58"/>
      <c r="J16" s="58"/>
      <c r="K16" s="58"/>
      <c r="L16" s="58"/>
      <c r="M16" s="58"/>
    </row>
    <row r="17" spans="1:13" ht="15" x14ac:dyDescent="0.25">
      <c r="A17" s="11">
        <f>COUNT(#REF!)</f>
        <v>0</v>
      </c>
      <c r="B17" s="31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  <c r="C17" s="57"/>
      <c r="D17" s="58"/>
      <c r="E17" s="58"/>
      <c r="F17" s="58"/>
      <c r="G17" s="58"/>
      <c r="H17" s="58"/>
      <c r="I17" s="58"/>
      <c r="J17" s="58"/>
      <c r="K17" s="58"/>
      <c r="L17" s="58"/>
      <c r="M17" s="58"/>
    </row>
    <row r="18" spans="1:13" ht="15.75" x14ac:dyDescent="0.25">
      <c r="A18" s="10" t="s">
        <v>11</v>
      </c>
      <c r="B18" s="59">
        <f>SUM(B17:B17)</f>
        <v>0</v>
      </c>
      <c r="C18" s="73"/>
      <c r="D18" s="58"/>
      <c r="E18" s="58"/>
      <c r="F18" s="58"/>
      <c r="G18" s="58"/>
      <c r="H18" s="58"/>
      <c r="I18" s="58"/>
      <c r="J18" s="58"/>
      <c r="K18" s="58"/>
      <c r="L18" s="58"/>
      <c r="M18" s="58"/>
    </row>
    <row r="19" spans="1:13" ht="13.5" x14ac:dyDescent="0.25">
      <c r="B19" s="63"/>
      <c r="C19" s="64"/>
      <c r="D19" s="58"/>
      <c r="E19" s="58"/>
      <c r="F19" s="58"/>
      <c r="G19" s="58"/>
      <c r="H19" s="58"/>
      <c r="I19" s="58"/>
      <c r="J19" s="58"/>
      <c r="K19" s="58"/>
      <c r="L19" s="58"/>
      <c r="M19" s="58"/>
    </row>
    <row r="20" spans="1:13" ht="13.5" x14ac:dyDescent="0.25">
      <c r="B20" s="75"/>
      <c r="C20" s="74"/>
      <c r="D20" s="58"/>
      <c r="E20" s="58"/>
      <c r="F20" s="58"/>
      <c r="G20" s="58"/>
      <c r="H20" s="58"/>
      <c r="I20" s="58"/>
      <c r="J20" s="58"/>
      <c r="K20" s="58"/>
      <c r="L20" s="58"/>
      <c r="M20" s="58"/>
    </row>
    <row r="21" spans="1:13" ht="13.5" x14ac:dyDescent="0.25">
      <c r="B21" s="57"/>
      <c r="C21" s="57"/>
      <c r="D21" s="58"/>
      <c r="E21" s="58"/>
      <c r="F21" s="58"/>
      <c r="G21" s="58"/>
      <c r="H21" s="58"/>
      <c r="I21" s="58"/>
      <c r="J21" s="58"/>
      <c r="K21" s="58"/>
      <c r="L21" s="58"/>
      <c r="M21" s="58"/>
    </row>
    <row r="22" spans="1:13" ht="13.5" x14ac:dyDescent="0.25">
      <c r="B22" s="57"/>
      <c r="C22" s="57"/>
      <c r="D22" s="58"/>
      <c r="E22" s="58"/>
      <c r="F22" s="58"/>
      <c r="G22" s="58"/>
      <c r="H22" s="58"/>
      <c r="I22" s="58"/>
      <c r="J22" s="58"/>
      <c r="K22" s="58"/>
      <c r="L22" s="58"/>
      <c r="M22" s="58"/>
    </row>
    <row r="23" spans="1:13" ht="13.5" x14ac:dyDescent="0.25"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</row>
    <row r="24" spans="1:13" ht="13.5" x14ac:dyDescent="0.25">
      <c r="B24" s="58"/>
      <c r="C24" s="58"/>
      <c r="D24" s="58"/>
      <c r="E24" s="63" t="s">
        <v>139</v>
      </c>
      <c r="F24" s="57"/>
      <c r="G24" s="57"/>
      <c r="H24" s="57"/>
      <c r="I24" s="64"/>
      <c r="J24" s="58"/>
      <c r="K24" s="58"/>
      <c r="L24" s="58"/>
      <c r="M24" s="58"/>
    </row>
    <row r="25" spans="1:13" ht="13.5" x14ac:dyDescent="0.25">
      <c r="B25" s="58"/>
      <c r="C25" s="58"/>
      <c r="D25" s="58"/>
      <c r="E25" s="62"/>
      <c r="F25" s="58"/>
      <c r="G25" s="58"/>
      <c r="H25" s="58"/>
      <c r="I25" s="65"/>
      <c r="J25" s="58"/>
      <c r="K25" s="58"/>
      <c r="L25" s="58"/>
      <c r="M25" s="58"/>
    </row>
    <row r="26" spans="1:13" ht="13.5" x14ac:dyDescent="0.25"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</row>
    <row r="27" spans="1:13" ht="13.5" x14ac:dyDescent="0.25"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</row>
    <row r="28" spans="1:13" ht="13.5" x14ac:dyDescent="0.25"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</row>
    <row r="29" spans="1:13" ht="13.5" x14ac:dyDescent="0.25"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</row>
    <row r="30" spans="1:13" ht="13.5" x14ac:dyDescent="0.25"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</row>
    <row r="31" spans="1:13" ht="13.5" x14ac:dyDescent="0.25"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</row>
    <row r="32" spans="1:13" ht="13.5" x14ac:dyDescent="0.25"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</row>
    <row r="33" spans="2:13" ht="13.5" x14ac:dyDescent="0.25">
      <c r="B33" s="58"/>
      <c r="C33" s="58"/>
      <c r="D33" s="58"/>
      <c r="E33" s="63" t="s">
        <v>140</v>
      </c>
      <c r="F33" s="57"/>
      <c r="G33" s="57"/>
      <c r="H33" s="57"/>
      <c r="I33" s="64"/>
      <c r="J33" s="58"/>
      <c r="K33" s="63" t="s">
        <v>141</v>
      </c>
      <c r="L33" s="57"/>
      <c r="M33" s="64"/>
    </row>
    <row r="34" spans="2:13" ht="13.5" x14ac:dyDescent="0.25">
      <c r="B34" s="58"/>
      <c r="C34" s="58"/>
      <c r="D34" s="58"/>
      <c r="E34" s="62"/>
      <c r="F34" s="58"/>
      <c r="G34" s="58"/>
      <c r="H34" s="58"/>
      <c r="I34" s="65"/>
      <c r="J34" s="58"/>
      <c r="K34" s="66"/>
      <c r="L34" s="58"/>
      <c r="M34" s="65"/>
    </row>
    <row r="35" spans="2:13" ht="16.5" customHeight="1" x14ac:dyDescent="0.25"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65"/>
    </row>
    <row r="36" spans="2:13" ht="16.5" customHeight="1" x14ac:dyDescent="0.25"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65"/>
    </row>
    <row r="37" spans="2:13" ht="16.5" customHeight="1" x14ac:dyDescent="0.25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65"/>
    </row>
    <row r="38" spans="2:13" ht="16.5" customHeight="1" x14ac:dyDescent="0.25"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65"/>
    </row>
    <row r="39" spans="2:13" ht="16.5" customHeight="1" x14ac:dyDescent="0.25"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65"/>
    </row>
    <row r="40" spans="2:13" ht="16.5" customHeight="1" x14ac:dyDescent="0.25"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65"/>
    </row>
    <row r="41" spans="2:13" ht="16.5" customHeight="1" x14ac:dyDescent="0.25"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65"/>
    </row>
    <row r="42" spans="2:13" ht="13.5" x14ac:dyDescent="0.25"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</row>
    <row r="43" spans="2:13" ht="13.5" x14ac:dyDescent="0.25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</row>
    <row r="44" spans="2:13" ht="13.5" x14ac:dyDescent="0.25"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</row>
    <row r="45" spans="2:13" ht="13.5" x14ac:dyDescent="0.25"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v>45778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IF(vend1[[#This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IF(vend1[[#This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IF(vend1[[#This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IF(vend1[[#This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IF(vend1[[#This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IF(vend1[[#This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IF(vend1[[#This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IF(vend1[[#This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IF(vend1[[#This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IF(vend1[[#This Row],[Nº Venda]]&gt;1,1,0)</f>
        <v>0</v>
      </c>
    </row>
    <row r="19" spans="2:18" ht="16.5" x14ac:dyDescent="0.3">
      <c r="B19" s="30">
        <f>COUNT(entr_carn1[OS])</f>
        <v>0</v>
      </c>
      <c r="C19" s="70">
        <f>SUM(entr_carn1[Valor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IF(vend1[[#This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IF(vend1[[#This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76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'01'!B1+1</f>
        <v>45779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2"/>
      <c r="H6" s="41"/>
      <c r="I6" s="41"/>
      <c r="J6" s="32"/>
      <c r="K6" s="77"/>
      <c r="L6" s="91"/>
      <c r="M6" s="46"/>
      <c r="R6" s="1">
        <f>IF(vend2[[#This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2"/>
      <c r="H7" s="41"/>
      <c r="I7" s="41"/>
      <c r="J7" s="32"/>
      <c r="K7" s="77"/>
      <c r="L7" s="91"/>
      <c r="M7" s="46"/>
      <c r="R7" s="1">
        <f>IF(vend2[[#This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IF(vend2[[#This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IF(vend2[[#This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IF(vend2[[#This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IF(vend2[[#This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IF(vend2[[#This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IF(vend2[[#This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IF(vend2[[#This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IF(vend2[[#This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IF(vend2[[#This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IF(vend2[[#This Row],[Nº Venda]]&gt;1,1,0)</f>
        <v>0</v>
      </c>
    </row>
    <row r="19" spans="2:18" ht="16.5" x14ac:dyDescent="0.3">
      <c r="B19" s="30">
        <f>COUNT(entr_carn2[OS])</f>
        <v>0</v>
      </c>
      <c r="C19" s="70">
        <f>SUM(entr_carn2[Valor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IF(vend2[[#This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IF(vend2[[#This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76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'02'!B1+1</f>
        <v>45780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2"/>
      <c r="H6" s="41"/>
      <c r="I6" s="41"/>
      <c r="J6" s="32"/>
      <c r="K6" s="77"/>
      <c r="L6" s="91"/>
      <c r="M6" s="46"/>
      <c r="R6" s="1">
        <f>IF(vend3[[#This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IF(vend3[[#This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IF(vend3[[#This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IF(vend3[[#This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IF(vend3[[#This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IF(vend3[[#This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IF(vend3[[#This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IF(vend3[[#This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IF(vend3[[#This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IF(vend3[[#This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IF(vend3[[#This Row],[Nº Venda]]&gt;1,1,0)</f>
        <v>0</v>
      </c>
    </row>
    <row r="19" spans="2:18" ht="16.5" x14ac:dyDescent="0.3">
      <c r="B19" s="30">
        <f>COUNT(entr_carn3[OS])</f>
        <v>0</v>
      </c>
      <c r="C19" s="70">
        <f>SUM(entr_carn3[Valor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IF(vend3[[#This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IF(vend3[[#This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2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76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'03'!B1+1</f>
        <v>45781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2"/>
      <c r="H6" s="41"/>
      <c r="I6" s="41"/>
      <c r="J6" s="32"/>
      <c r="K6" s="77"/>
      <c r="L6" s="91"/>
      <c r="M6" s="46"/>
      <c r="R6" s="1">
        <f>IF(vend4[[#This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2"/>
      <c r="H7" s="41"/>
      <c r="I7" s="41"/>
      <c r="J7" s="32"/>
      <c r="K7" s="77"/>
      <c r="L7" s="91"/>
      <c r="M7" s="46"/>
      <c r="R7" s="1">
        <f>IF(vend4[[#This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2"/>
      <c r="H8" s="41"/>
      <c r="I8" s="41"/>
      <c r="J8" s="32"/>
      <c r="K8" s="77"/>
      <c r="L8" s="91"/>
      <c r="M8" s="46"/>
      <c r="R8" s="1">
        <f>IF(vend4[[#This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2"/>
      <c r="H9" s="41"/>
      <c r="I9" s="41"/>
      <c r="J9" s="32"/>
      <c r="K9" s="77"/>
      <c r="L9" s="91"/>
      <c r="M9" s="46"/>
      <c r="R9" s="1">
        <f>IF(vend4[[#This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IF(vend4[[#This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IF(vend4[[#This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IF(vend4[[#This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IF(vend4[[#This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IF(vend4[[#This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IF(vend4[[#This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IF(vend4[[#This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IF(vend4[[#This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IF(vend4[[#This Row],[Nº Venda]]&gt;1,1,0)</f>
        <v>0</v>
      </c>
    </row>
    <row r="19" spans="2:18" ht="16.5" x14ac:dyDescent="0.3">
      <c r="B19" s="30">
        <f>COUNT(entr_carn4[OS])</f>
        <v>0</v>
      </c>
      <c r="C19" s="70">
        <f>SUM(entr_carn4[Valor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IF(vend4[[#This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IF(vend4[[#This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2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2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2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76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'04'!B1+1</f>
        <v>45782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2"/>
      <c r="H6" s="41"/>
      <c r="I6" s="41"/>
      <c r="J6" s="32"/>
      <c r="K6" s="77"/>
      <c r="L6" s="91"/>
      <c r="M6" s="46"/>
      <c r="R6" s="1">
        <f>IF(vend5[[#This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2"/>
      <c r="H7" s="41"/>
      <c r="I7" s="41"/>
      <c r="J7" s="32"/>
      <c r="K7" s="77"/>
      <c r="L7" s="91"/>
      <c r="M7" s="46"/>
      <c r="R7" s="1">
        <f>IF(vend5[[#This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2"/>
      <c r="H8" s="41"/>
      <c r="I8" s="41"/>
      <c r="J8" s="32"/>
      <c r="K8" s="77"/>
      <c r="L8" s="91"/>
      <c r="M8" s="46"/>
      <c r="R8" s="1">
        <f>IF(vend5[[#This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2"/>
      <c r="H9" s="41"/>
      <c r="I9" s="41"/>
      <c r="J9" s="32"/>
      <c r="K9" s="77"/>
      <c r="L9" s="91"/>
      <c r="M9" s="46"/>
      <c r="R9" s="1">
        <f>IF(vend5[[#This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2"/>
      <c r="H10" s="41"/>
      <c r="I10" s="41"/>
      <c r="J10" s="32"/>
      <c r="K10" s="77"/>
      <c r="L10" s="91"/>
      <c r="M10" s="46"/>
      <c r="R10" s="1">
        <f>IF(vend5[[#This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2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IF(vend5[[#This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IF(vend5[[#This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IF(vend5[[#This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IF(vend5[[#This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56"/>
      <c r="N15" s="6"/>
      <c r="R15" s="1">
        <f>IF(vend5[[#This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N16" s="6"/>
      <c r="R16" s="1">
        <f>IF(vend5[[#This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IF(vend5[[#This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IF(vend5[[#This Row],[Nº Venda]]&gt;1,1,0)</f>
        <v>0</v>
      </c>
    </row>
    <row r="19" spans="2:18" ht="16.5" x14ac:dyDescent="0.3">
      <c r="B19" s="30">
        <f>COUNT(entr_carn5[OS])</f>
        <v>0</v>
      </c>
      <c r="C19" s="70">
        <f>SUM(entr_carn5[Valor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IF(vend5[[#This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IF(vend5[[#This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2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2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2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90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view="pageBreakPreview" zoomScale="6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'05'!B1+1</f>
        <v>45783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125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IF(vend[[#This Row],[Nº Venda]]&gt;1,1,0)</f>
        <v>0</v>
      </c>
    </row>
    <row r="8" spans="2:18" ht="16.5" x14ac:dyDescent="0.3">
      <c r="B8" s="33" t="s">
        <v>21</v>
      </c>
      <c r="C8" s="34">
        <f>SUM(C6:C7)</f>
        <v>125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53"/>
      <c r="G10" s="53"/>
      <c r="H10" s="41"/>
      <c r="I10" s="41"/>
      <c r="J10" s="32"/>
      <c r="K10" s="77"/>
      <c r="L10" s="91"/>
      <c r="M10" s="46"/>
      <c r="R10" s="1">
        <f>IF(vend[[#This Row],[Nº Venda]]&gt;1,1,0)</f>
        <v>0</v>
      </c>
    </row>
    <row r="11" spans="2:18" ht="16.5" x14ac:dyDescent="0.3">
      <c r="B11" s="30" t="s">
        <v>6</v>
      </c>
      <c r="C11" s="72">
        <f>(SUMIF($G$2:$G$31,B11,$I$2:$I$31))+(SUMIF($G$35:$G$41,B11,$H$35:$H$41))</f>
        <v>125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1</v>
      </c>
      <c r="R11" s="1">
        <f>IF(vend[[#This Row],[Nº Venda]]&gt;1,1,0)</f>
        <v>0</v>
      </c>
    </row>
    <row r="12" spans="2:18" ht="16.5" x14ac:dyDescent="0.3">
      <c r="B12" s="30" t="s">
        <v>7</v>
      </c>
      <c r="C12" s="72">
        <f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IF(vend[[#This Row],[Nº Venda]]&gt;1,1,0)</f>
        <v>0</v>
      </c>
    </row>
    <row r="13" spans="2:18" ht="16.5" x14ac:dyDescent="0.3">
      <c r="B13" s="30" t="s">
        <v>8</v>
      </c>
      <c r="C13" s="72">
        <f>(SUMIF($G$2:$G$31,B13,$I$2:$I$31))+(SUMIF($G$35:$G$41,B13,$H$35:$H$41))</f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IF(vend[[#This Row],[Nº Venda]]&gt;1,1,0)</f>
        <v>0</v>
      </c>
    </row>
    <row r="14" spans="2:18" ht="16.5" x14ac:dyDescent="0.3">
      <c r="B14" s="30" t="s">
        <v>9</v>
      </c>
      <c r="C14" s="72">
        <f>(SUMIF($G$2:$G$31,B14,$I$2:$I$31))+(SUMIF($G$35:$G$41,B14,$H$35:$H$41))</f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IF(vend[[#This Row],[Nº Venda]]&gt;1,1,0)</f>
        <v>0</v>
      </c>
    </row>
    <row r="15" spans="2:18" ht="16.5" x14ac:dyDescent="0.3">
      <c r="B15" s="30" t="s">
        <v>10</v>
      </c>
      <c r="C15" s="72">
        <f>(SUMIF($G$2:$G$31,B15,$I$2:$I$31))+(SUMIF($G$35:$G$41,B15,$H$35:$H$41))</f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IF(vend[[#This Row],[Nº Venda]]&gt;1,1,0)</f>
        <v>0</v>
      </c>
    </row>
    <row r="16" spans="2:18" ht="16.5" x14ac:dyDescent="0.3">
      <c r="B16" s="33" t="s">
        <v>11</v>
      </c>
      <c r="C16" s="71">
        <f>SUM(C11:C15)</f>
        <v>125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IF(vend[[#This Row],[Nº Venda]]&gt;1,1,0)</f>
        <v>0</v>
      </c>
    </row>
    <row r="19" spans="2:18" ht="16.5" x14ac:dyDescent="0.3">
      <c r="B19" s="30">
        <f>COUNT(entr_carn6[OS])</f>
        <v>0</v>
      </c>
      <c r="C19" s="70">
        <f>SUM(entr_carn6[Valor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>
        <v>1091</v>
      </c>
      <c r="F35" s="77" t="s">
        <v>155</v>
      </c>
      <c r="G35" s="53" t="s">
        <v>6</v>
      </c>
      <c r="H35" s="41">
        <v>125</v>
      </c>
      <c r="I35" s="41" t="s">
        <v>72</v>
      </c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4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54"/>
      <c r="G42" s="54"/>
      <c r="H42" s="55"/>
      <c r="I42" s="55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98">
        <f>'06'!B1+1</f>
        <v>45784</v>
      </c>
      <c r="C1" s="98"/>
      <c r="L1" s="99" t="s">
        <v>144</v>
      </c>
      <c r="M1" s="99"/>
    </row>
    <row r="2" spans="2:21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  <c r="U4" s="1">
        <v>0</v>
      </c>
    </row>
    <row r="5" spans="2:21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1" ht="16.5" x14ac:dyDescent="0.3">
      <c r="B6" s="30" t="s">
        <v>2</v>
      </c>
      <c r="C6" s="31">
        <f>C16</f>
        <v>0</v>
      </c>
      <c r="D6" s="32"/>
      <c r="E6" s="76"/>
      <c r="F6" s="50"/>
      <c r="G6" s="50"/>
      <c r="H6" s="51"/>
      <c r="I6" s="51"/>
      <c r="J6" s="32"/>
      <c r="K6" s="77"/>
      <c r="L6" s="91"/>
      <c r="M6" s="46"/>
      <c r="R6" s="1">
        <f>IF(vend7[[#This Row],[Nº Venda]]&gt;1,1,0)</f>
        <v>0</v>
      </c>
    </row>
    <row r="7" spans="2:21" ht="16.5" x14ac:dyDescent="0.3">
      <c r="B7" s="30" t="s">
        <v>3</v>
      </c>
      <c r="C7" s="31">
        <f>SUM(M6:M11)</f>
        <v>0</v>
      </c>
      <c r="D7" s="32"/>
      <c r="E7" s="76"/>
      <c r="F7" s="52"/>
      <c r="G7" s="52"/>
      <c r="H7" s="41"/>
      <c r="I7" s="41"/>
      <c r="J7" s="32"/>
      <c r="K7" s="77"/>
      <c r="L7" s="91"/>
      <c r="M7" s="46"/>
      <c r="R7" s="1">
        <f>IF(vend7[[#This Row],[Nº Venda]]&gt;1,1,0)</f>
        <v>0</v>
      </c>
    </row>
    <row r="8" spans="2:21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IF(vend7[[#This Row],[Nº Venda]]&gt;1,1,0)</f>
        <v>0</v>
      </c>
    </row>
    <row r="9" spans="2:21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IF(vend7[[#This Row],[Nº Venda]]&gt;1,1,0)</f>
        <v>0</v>
      </c>
    </row>
    <row r="10" spans="2:21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IF(vend7[[#This Row],[Nº Venda]]&gt;1,1,0)</f>
        <v>0</v>
      </c>
    </row>
    <row r="11" spans="2:21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IF(vend7[[#This Row],[Nº Venda]]&gt;1,1,0)</f>
        <v>0</v>
      </c>
    </row>
    <row r="12" spans="2:21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IF(vend7[[#This Row],[Nº Venda]]&gt;1,1,0)</f>
        <v>0</v>
      </c>
    </row>
    <row r="13" spans="2:21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IF(vend7[[#This Row],[Nº Venda]]&gt;1,1,0)</f>
        <v>0</v>
      </c>
    </row>
    <row r="14" spans="2:21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IF(vend7[[#This Row],[Nº Venda]]&gt;1,1,0)</f>
        <v>0</v>
      </c>
    </row>
    <row r="15" spans="2:21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56"/>
      <c r="R15" s="1">
        <f>IF(vend7[[#This Row],[Nº Venda]]&gt;1,1,0)</f>
        <v>0</v>
      </c>
    </row>
    <row r="16" spans="2:21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IF(vend7[[#This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IF(vend7[[#This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IF(vend7[[#This Row],[Nº Venda]]&gt;1,1,0)</f>
        <v>0</v>
      </c>
    </row>
    <row r="19" spans="2:18" ht="16.5" x14ac:dyDescent="0.3">
      <c r="B19" s="30">
        <f>COUNT(entr_carn7[OS])</f>
        <v>0</v>
      </c>
      <c r="C19" s="70">
        <f>SUM(entr_carn7[Valor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IF(vend7[[#This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IF(vend7[[#This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81"/>
      <c r="G26" s="50"/>
      <c r="H26" s="51"/>
      <c r="I26" s="5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'07'!B1+1</f>
        <v>45785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41"/>
      <c r="G6" s="41"/>
      <c r="H6" s="41"/>
      <c r="I6" s="41"/>
      <c r="J6" s="32"/>
      <c r="K6" s="77"/>
      <c r="L6" s="91"/>
      <c r="M6" s="46"/>
      <c r="R6" s="1">
        <f>IF(vend8[[#This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41"/>
      <c r="G7" s="41"/>
      <c r="H7" s="41"/>
      <c r="I7" s="41"/>
      <c r="J7" s="32"/>
      <c r="K7" s="77"/>
      <c r="L7" s="91"/>
      <c r="M7" s="46"/>
      <c r="R7" s="1">
        <f>IF(vend8[[#This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41"/>
      <c r="G8" s="41"/>
      <c r="H8" s="41"/>
      <c r="I8" s="41"/>
      <c r="J8" s="32"/>
      <c r="K8" s="77"/>
      <c r="L8" s="91"/>
      <c r="M8" s="46"/>
      <c r="R8" s="1">
        <f>IF(vend8[[#This Row],[Nº Venda]]&gt;1,1,0)</f>
        <v>0</v>
      </c>
    </row>
    <row r="9" spans="2:18" ht="16.5" x14ac:dyDescent="0.3">
      <c r="B9" s="29"/>
      <c r="C9" s="29"/>
      <c r="D9" s="32"/>
      <c r="E9" s="76"/>
      <c r="F9" s="41"/>
      <c r="G9" s="41"/>
      <c r="H9" s="41"/>
      <c r="I9" s="41"/>
      <c r="J9" s="32"/>
      <c r="K9" s="77"/>
      <c r="L9" s="91"/>
      <c r="M9" s="46"/>
      <c r="R9" s="1">
        <f>IF(vend8[[#This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IF(vend8[[#This Row],[Nº Venda]]&gt;1,1,0)</f>
        <v>0</v>
      </c>
    </row>
    <row r="11" spans="2:18" ht="16.5" x14ac:dyDescent="0.3">
      <c r="B11" s="30" t="s">
        <v>6</v>
      </c>
      <c r="C11" s="72">
        <f>(SUMIF($G$2:$G$31,B11,$I$2:$I$31))+(SUMIF($G$35:$G$42,B11,$H$35:$H$42))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IF(vend8[[#This Row],[Nº Venda]]&gt;1,1,0)</f>
        <v>0</v>
      </c>
    </row>
    <row r="12" spans="2:18" ht="16.5" x14ac:dyDescent="0.3">
      <c r="B12" s="30" t="s">
        <v>7</v>
      </c>
      <c r="C12" s="72">
        <f>(SUMIF($G$2:$G$31,B12,$I$2:$I$31))+(SUMIF($G$35:$G$42,B12,$H$35:$H$42))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IF(vend8[[#This Row],[Nº Venda]]&gt;1,1,0)</f>
        <v>0</v>
      </c>
    </row>
    <row r="13" spans="2:18" ht="16.5" x14ac:dyDescent="0.3">
      <c r="B13" s="30" t="s">
        <v>8</v>
      </c>
      <c r="C13" s="72">
        <f>(SUMIF($G$2:$G$31,B13,$I$2:$I$31))+(SUMIF($G$35:$G$42,B13,$H$35:$H$42))</f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IF(vend8[[#This Row],[Nº Venda]]&gt;1,1,0)</f>
        <v>0</v>
      </c>
    </row>
    <row r="14" spans="2:18" ht="16.5" x14ac:dyDescent="0.3">
      <c r="B14" s="30" t="s">
        <v>9</v>
      </c>
      <c r="C14" s="72">
        <f>(SUMIF($G$2:$G$31,B14,$I$2:$I$31))+(SUMIF($G$35:$G$42,B14,$H$35:$H$42))</f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IF(vend8[[#This Row],[Nº Venda]]&gt;1,1,0)</f>
        <v>0</v>
      </c>
    </row>
    <row r="15" spans="2:18" ht="16.5" x14ac:dyDescent="0.3">
      <c r="B15" s="30" t="s">
        <v>10</v>
      </c>
      <c r="C15" s="72">
        <f>(SUMIF($G$2:$G$31,B15,$I$2:$I$31))+(SUMIF($G$35:$G$42,B15,$H$35:$H$42))</f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IF(vend8[[#This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IF(vend8[[#This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IF(vend8[[#This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IF(vend8[[#This Row],[Nº Venda]]&gt;1,1,0)</f>
        <v>0</v>
      </c>
    </row>
    <row r="19" spans="2:18" ht="16.5" x14ac:dyDescent="0.3">
      <c r="B19" s="30">
        <f>COUNT(entr_carn8[OS])</f>
        <v>0</v>
      </c>
      <c r="C19" s="70">
        <f>SUM(entr_carn8[Valor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IF(vend8[[#This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IF(vend8[[#This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80"/>
      <c r="G26" s="80"/>
      <c r="H26" s="51"/>
      <c r="I26" s="5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2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2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2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77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4"/>
      <c r="F41" s="53"/>
      <c r="G41" s="53"/>
      <c r="H41" s="41"/>
      <c r="I41" s="41"/>
      <c r="J41" s="40"/>
      <c r="K41" s="76"/>
      <c r="L41" s="76"/>
      <c r="M41" s="92"/>
    </row>
    <row r="42" spans="2:18" ht="17.25" x14ac:dyDescent="0.3">
      <c r="B42" s="40"/>
      <c r="C42" s="40"/>
      <c r="D42" s="40"/>
      <c r="E42" s="42"/>
      <c r="F42" s="22"/>
      <c r="G42" s="22"/>
      <c r="H42" s="23"/>
      <c r="I42" s="23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98">
        <f>'08'!B1+1</f>
        <v>45786</v>
      </c>
      <c r="C1" s="98"/>
      <c r="L1" s="99" t="s">
        <v>144</v>
      </c>
      <c r="M1" s="99"/>
    </row>
    <row r="2" spans="2:22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22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2" ht="16.5" x14ac:dyDescent="0.3">
      <c r="B6" s="30" t="s">
        <v>2</v>
      </c>
      <c r="C6" s="31">
        <f>C16</f>
        <v>0</v>
      </c>
      <c r="D6" s="32"/>
      <c r="E6" s="76"/>
      <c r="F6" s="77"/>
      <c r="G6" s="52"/>
      <c r="H6" s="41"/>
      <c r="I6" s="41"/>
      <c r="J6" s="32"/>
      <c r="K6" s="77"/>
      <c r="L6" s="91"/>
      <c r="M6" s="46"/>
      <c r="R6" s="1">
        <f>IF(vend9[[#This Row],[Nº Venda]]&gt;1,1,0)</f>
        <v>0</v>
      </c>
    </row>
    <row r="7" spans="2:22" ht="16.5" x14ac:dyDescent="0.3">
      <c r="B7" s="30" t="s">
        <v>3</v>
      </c>
      <c r="C7" s="31">
        <f>SUM(M6:M11)</f>
        <v>0</v>
      </c>
      <c r="D7" s="32"/>
      <c r="E7" s="76"/>
      <c r="F7" s="77"/>
      <c r="G7" s="52"/>
      <c r="H7" s="41"/>
      <c r="I7" s="41"/>
      <c r="J7" s="32"/>
      <c r="K7" s="77"/>
      <c r="L7" s="91"/>
      <c r="M7" s="46"/>
      <c r="R7" s="1">
        <f>IF(vend9[[#This Row],[Nº Venda]]&gt;1,1,0)</f>
        <v>0</v>
      </c>
    </row>
    <row r="8" spans="2:22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IF(vend9[[#This Row],[Nº Venda]]&gt;1,1,0)</f>
        <v>0</v>
      </c>
    </row>
    <row r="9" spans="2:22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IF(vend9[[#This Row],[Nº Venda]]&gt;1,1,0)</f>
        <v>0</v>
      </c>
    </row>
    <row r="10" spans="2:22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IF(vend9[[#This Row],[Nº Venda]]&gt;1,1,0)</f>
        <v>0</v>
      </c>
    </row>
    <row r="11" spans="2:22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IF(vend9[[#This Row],[Nº Venda]]&gt;1,1,0)</f>
        <v>0</v>
      </c>
    </row>
    <row r="12" spans="2:22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IF(vend9[[#This Row],[Nº Venda]]&gt;1,1,0)</f>
        <v>0</v>
      </c>
      <c r="V12" s="1">
        <v>0</v>
      </c>
    </row>
    <row r="13" spans="2:22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IF(vend9[[#This Row],[Nº Venda]]&gt;1,1,0)</f>
        <v>0</v>
      </c>
    </row>
    <row r="14" spans="2:22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IF(vend9[[#This Row],[Nº Venda]]&gt;1,1,0)</f>
        <v>0</v>
      </c>
    </row>
    <row r="15" spans="2:22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IF(vend9[[#This Row],[Nº Venda]]&gt;1,1,0)</f>
        <v>0</v>
      </c>
    </row>
    <row r="16" spans="2:22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IF(vend9[[#This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IF(vend9[[#This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IF(vend9[[#This Row],[Nº Venda]]&gt;1,1,0)</f>
        <v>0</v>
      </c>
    </row>
    <row r="19" spans="2:18" ht="16.5" x14ac:dyDescent="0.3">
      <c r="B19" s="30">
        <f>COUNT(entr_carn9[OS])</f>
        <v>0</v>
      </c>
      <c r="C19" s="70">
        <f>SUM(entr_carn9[Valor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IF(vend9[[#This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77"/>
      <c r="G20" s="53"/>
      <c r="H20" s="41"/>
      <c r="I20" s="41"/>
      <c r="J20" s="32"/>
      <c r="K20" s="76"/>
      <c r="L20" s="91"/>
      <c r="M20" s="46"/>
      <c r="R20" s="1">
        <f>IF(vend9[[#This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2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showGridLines="0" tabSelected="1" zoomScale="90" zoomScaleNormal="90" workbookViewId="0">
      <selection activeCell="F18" sqref="F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'09'!B1+1</f>
        <v>45787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225.2</v>
      </c>
      <c r="D6" s="32"/>
      <c r="E6" s="76"/>
      <c r="F6" s="77"/>
      <c r="G6" s="52"/>
      <c r="H6" s="41"/>
      <c r="I6" s="41"/>
      <c r="J6" s="32"/>
      <c r="K6" s="77"/>
      <c r="L6" s="91"/>
      <c r="M6" s="46"/>
      <c r="R6" s="1">
        <f>IF(vend10[[#This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2"/>
      <c r="H7" s="41"/>
      <c r="I7" s="41"/>
      <c r="J7" s="32"/>
      <c r="K7" s="77"/>
      <c r="L7" s="91"/>
      <c r="M7" s="46"/>
      <c r="R7" s="1">
        <f>IF(vend10[[#This Row],[Nº Venda]]&gt;1,1,0)</f>
        <v>0</v>
      </c>
    </row>
    <row r="8" spans="2:18" ht="16.5" x14ac:dyDescent="0.3">
      <c r="B8" s="33" t="s">
        <v>21</v>
      </c>
      <c r="C8" s="34">
        <f>SUM(C6:C7)</f>
        <v>225.2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IF(vend10[[#This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IF(vend10[[#This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IF(vend10[[#This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1</v>
      </c>
      <c r="R11" s="1">
        <f>IF(vend10[[#This Row],[Nº Venda]]&gt;1,1,0)</f>
        <v>0</v>
      </c>
    </row>
    <row r="12" spans="2:18" ht="16.5" x14ac:dyDescent="0.3">
      <c r="B12" s="30" t="s">
        <v>7</v>
      </c>
      <c r="C12" s="70">
        <f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IF(vend10[[#This Row],[Nº Venda]]&gt;1,1,0)</f>
        <v>0</v>
      </c>
    </row>
    <row r="13" spans="2:18" ht="16.5" x14ac:dyDescent="0.3">
      <c r="B13" s="30" t="s">
        <v>8</v>
      </c>
      <c r="C13" s="70">
        <f>(SUMIF($G$2:$G$31,B13,$I$2:$I$31))+(SUMIF($G$35:$G$41,B13,$H$35:$H$41))</f>
        <v>225.2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IF(vend10[[#This Row],[Nº Venda]]&gt;1,1,0)</f>
        <v>0</v>
      </c>
    </row>
    <row r="14" spans="2:18" ht="16.5" x14ac:dyDescent="0.3">
      <c r="B14" s="30" t="s">
        <v>9</v>
      </c>
      <c r="C14" s="70">
        <f>(SUMIF($G$2:$G$31,B14,$I$2:$I$31))+(SUMIF($G$35:$G$41,B14,$H$35:$H$41))</f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IF(vend10[[#This Row],[Nº Venda]]&gt;1,1,0)</f>
        <v>0</v>
      </c>
    </row>
    <row r="15" spans="2:18" ht="16.5" x14ac:dyDescent="0.3">
      <c r="B15" s="30" t="s">
        <v>10</v>
      </c>
      <c r="C15" s="70">
        <f>(SUMIF($G$2:$G$31,B15,$I$2:$I$31))+(SUMIF($G$35:$G$41,B15,$H$35:$H$41))</f>
        <v>0</v>
      </c>
      <c r="D15" s="32"/>
      <c r="E15" s="76"/>
      <c r="F15" s="77"/>
      <c r="G15" s="53"/>
      <c r="H15" s="41"/>
      <c r="I15" s="41"/>
      <c r="J15" s="32"/>
      <c r="K15" s="76">
        <v>1027</v>
      </c>
      <c r="L15" s="91" t="s">
        <v>135</v>
      </c>
      <c r="M15" s="46" t="s">
        <v>150</v>
      </c>
      <c r="R15" s="1">
        <f>IF(vend10[[#This Row],[Nº Venda]]&gt;1,1,0)</f>
        <v>0</v>
      </c>
    </row>
    <row r="16" spans="2:18" ht="16.5" x14ac:dyDescent="0.3">
      <c r="B16" s="33" t="s">
        <v>11</v>
      </c>
      <c r="C16" s="71">
        <f>SUM(C11:C15)</f>
        <v>225.2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IF(vend10[[#This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IF(vend10[[#This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IF(vend10[[#This Row],[Nº Venda]]&gt;1,1,0)</f>
        <v>0</v>
      </c>
    </row>
    <row r="19" spans="2:18" ht="16.5" x14ac:dyDescent="0.3">
      <c r="B19" s="30">
        <f>COUNT(entr_carn10[OS])</f>
        <v>0</v>
      </c>
      <c r="C19" s="70">
        <f>SUM(entr_carn10[Valor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IF(vend10[[#This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IF(vend10[[#This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>
        <v>1025</v>
      </c>
      <c r="F26" s="77" t="s">
        <v>156</v>
      </c>
      <c r="G26" s="52" t="s">
        <v>8</v>
      </c>
      <c r="H26" s="41">
        <v>0</v>
      </c>
      <c r="I26" s="41">
        <v>225.2</v>
      </c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2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2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47"/>
      <c r="F32" s="47"/>
      <c r="G32" s="47"/>
      <c r="H32" s="48"/>
      <c r="I32" s="48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143</v>
      </c>
      <c r="F33" s="101"/>
      <c r="G33" s="101"/>
      <c r="H33" s="101"/>
      <c r="I33" s="100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85" t="s">
        <v>22</v>
      </c>
      <c r="F34" s="86" t="s">
        <v>15</v>
      </c>
      <c r="G34" s="87" t="s">
        <v>16</v>
      </c>
      <c r="H34" s="88" t="s">
        <v>26</v>
      </c>
      <c r="I34" s="89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3">
      <c r="B41" s="40"/>
      <c r="C41" s="40"/>
      <c r="D41" s="40"/>
      <c r="E41" s="49"/>
      <c r="F41" s="20"/>
      <c r="G41" s="20"/>
      <c r="H41" s="21"/>
      <c r="I41" s="2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E41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E34:E40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topLeftCell="A9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'10'!B1+1</f>
        <v>45788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IF(vend11[[#This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IF(vend11[[#This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IF(vend11[[#This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IF(vend11[[#This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IF(vend11[[#This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IF(vend11[[#This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IF(vend11[[#This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IF(vend11[[#This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IF(vend11[[#This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IF(vend11[[#This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IF(vend11[[#This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IF(vend11[[#This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IF(vend11[[#This Row],[Nº Venda]]&gt;1,1,0)</f>
        <v>0</v>
      </c>
    </row>
    <row r="19" spans="2:18" ht="16.5" x14ac:dyDescent="0.3">
      <c r="B19" s="30">
        <f>COUNT(entr_carn11[OS])</f>
        <v>0</v>
      </c>
      <c r="C19" s="70">
        <f>SUM(entr_carn11[Valor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IF(vend11[[#This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IF(vend11[[#This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2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zoomScale="90" zoomScaleNormal="9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'11'!B1+1</f>
        <v>45789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155</v>
      </c>
      <c r="D6" s="32"/>
      <c r="E6" s="76"/>
      <c r="F6" s="50"/>
      <c r="G6" s="50"/>
      <c r="H6" s="51"/>
      <c r="I6" s="51"/>
      <c r="J6" s="32"/>
      <c r="K6" s="77"/>
      <c r="L6" s="91"/>
      <c r="M6" s="46"/>
      <c r="R6" s="1">
        <f>IF(vend12[[#This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52"/>
      <c r="G7" s="52"/>
      <c r="H7" s="41"/>
      <c r="I7" s="41"/>
      <c r="J7" s="32"/>
      <c r="K7" s="77"/>
      <c r="L7" s="91"/>
      <c r="M7" s="46"/>
      <c r="R7" s="1">
        <f>IF(vend12[[#This Row],[Nº Venda]]&gt;1,1,0)</f>
        <v>0</v>
      </c>
    </row>
    <row r="8" spans="2:18" ht="16.5" x14ac:dyDescent="0.3">
      <c r="B8" s="33" t="s">
        <v>21</v>
      </c>
      <c r="C8" s="34">
        <f>SUM(C6:C7)</f>
        <v>155</v>
      </c>
      <c r="D8" s="32"/>
      <c r="E8" s="76"/>
      <c r="F8" s="52"/>
      <c r="G8" s="52"/>
      <c r="H8" s="41"/>
      <c r="I8" s="41"/>
      <c r="J8" s="32"/>
      <c r="K8" s="77"/>
      <c r="L8" s="91"/>
      <c r="M8" s="46"/>
      <c r="R8" s="1">
        <f>IF(vend12[[#This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IF(vend12[[#This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IF(vend12[[#This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155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1</v>
      </c>
      <c r="R11" s="1">
        <f>IF(vend12[[#This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IF(vend12[[#This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IF(vend12[[#This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IF(vend12[[#This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IF(vend12[[#This Row],[Nº Venda]]&gt;1,1,0)</f>
        <v>0</v>
      </c>
    </row>
    <row r="16" spans="2:18" ht="16.5" x14ac:dyDescent="0.3">
      <c r="B16" s="33" t="s">
        <v>11</v>
      </c>
      <c r="C16" s="71">
        <f>SUM(C11:C15)</f>
        <v>155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IF(vend12[[#This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IF(vend12[[#This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IF(vend12[[#This Row],[Nº Venda]]&gt;1,1,0)</f>
        <v>0</v>
      </c>
    </row>
    <row r="19" spans="2:18" ht="16.5" x14ac:dyDescent="0.3">
      <c r="B19" s="30">
        <f>COUNT(entr_carn12[OS])</f>
        <v>0</v>
      </c>
      <c r="C19" s="70">
        <f>SUM(entr_carn12[Valor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IF(vend12[[#This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IF(vend12[[#This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52"/>
      <c r="G26" s="52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>
        <v>1094</v>
      </c>
      <c r="F35" s="77" t="s">
        <v>148</v>
      </c>
      <c r="G35" s="53" t="s">
        <v>6</v>
      </c>
      <c r="H35" s="41">
        <v>155</v>
      </c>
      <c r="I35" s="41" t="s">
        <v>31</v>
      </c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topLeftCell="A9" zoomScale="90" zoomScaleNormal="90" workbookViewId="0">
      <selection activeCell="E35" sqref="E35: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'12'!B1+1</f>
        <v>45790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IF(vend13[[#This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IF(vend13[[#This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IF(vend13[[#This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IF(vend13[[#This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IF(vend13[[#This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IF(vend13[[#This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IF(vend13[[#This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IF(vend13[[#This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IF(vend13[[#This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IF(vend13[[#This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IF(vend13[[#This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IF(vend13[[#This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IF(vend13[[#This Row],[Nº Venda]]&gt;1,1,0)</f>
        <v>0</v>
      </c>
    </row>
    <row r="19" spans="2:18" ht="16.5" x14ac:dyDescent="0.3">
      <c r="B19" s="30">
        <f>COUNT(entr_carn13[OS])</f>
        <v>0</v>
      </c>
      <c r="C19" s="70">
        <f>SUM(entr_carn13[Valor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IF(vend13[[#This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IF(vend13[[#This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'13'!B1+1</f>
        <v>45791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2"/>
      <c r="H6" s="41"/>
      <c r="I6" s="41"/>
      <c r="J6" s="32"/>
      <c r="K6" s="77"/>
      <c r="L6" s="91"/>
      <c r="M6" s="46"/>
      <c r="R6" s="1">
        <f>IF(vend14[[#This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2"/>
      <c r="H7" s="41"/>
      <c r="I7" s="41"/>
      <c r="J7" s="32"/>
      <c r="K7" s="77"/>
      <c r="L7" s="91"/>
      <c r="M7" s="46"/>
      <c r="R7" s="1">
        <f>IF(vend14[[#This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IF(vend14[[#This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IF(vend14[[#This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IF(vend14[[#This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IF(vend14[[#This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IF(vend14[[#This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IF(vend14[[#This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IF(vend14[[#This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IF(vend14[[#This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IF(vend14[[#This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IF(vend14[[#This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IF(vend14[[#This Row],[Nº Venda]]&gt;1,1,0)</f>
        <v>0</v>
      </c>
    </row>
    <row r="19" spans="2:18" ht="16.5" x14ac:dyDescent="0.3">
      <c r="B19" s="30">
        <f>COUNT(entr_carn14[OS])</f>
        <v>0</v>
      </c>
      <c r="C19" s="70">
        <f>SUM(entr_carn14[Valor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IF(vend14[[#This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IF(vend14[[#This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zoomScale="90" zoomScaleNormal="90" workbookViewId="0">
      <selection activeCell="G38" sqref="G38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'14'!B1+1</f>
        <v>45792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477.26</v>
      </c>
      <c r="D6" s="32"/>
      <c r="E6" s="76"/>
      <c r="F6" s="77"/>
      <c r="G6" s="52"/>
      <c r="H6" s="41"/>
      <c r="I6" s="41"/>
      <c r="J6" s="32"/>
      <c r="K6" s="77" t="s">
        <v>151</v>
      </c>
      <c r="L6" s="91" t="s">
        <v>6</v>
      </c>
      <c r="M6" s="46">
        <v>275</v>
      </c>
      <c r="R6" s="1">
        <f>IF(vend15[[#This Row],[Nº Venda]]&gt;1,1,0)</f>
        <v>0</v>
      </c>
    </row>
    <row r="7" spans="2:18" ht="16.5" x14ac:dyDescent="0.3">
      <c r="B7" s="30" t="s">
        <v>3</v>
      </c>
      <c r="C7" s="31">
        <f>SUM(M6:M11)</f>
        <v>275</v>
      </c>
      <c r="D7" s="32"/>
      <c r="E7" s="76"/>
      <c r="F7" s="77"/>
      <c r="G7" s="52"/>
      <c r="H7" s="41"/>
      <c r="I7" s="41"/>
      <c r="J7" s="32"/>
      <c r="K7" s="77"/>
      <c r="L7" s="91"/>
      <c r="M7" s="46"/>
      <c r="R7" s="1">
        <f>IF(vend15[[#This Row],[Nº Venda]]&gt;1,1,0)</f>
        <v>0</v>
      </c>
    </row>
    <row r="8" spans="2:18" ht="16.5" x14ac:dyDescent="0.3">
      <c r="B8" s="33" t="s">
        <v>21</v>
      </c>
      <c r="C8" s="34">
        <f>SUM(C6:C7)</f>
        <v>752.26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IF(vend15[[#This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IF(vend15[[#This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IF(vend15[[#This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274.8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1</v>
      </c>
      <c r="R11" s="1">
        <f>IF(vend15[[#This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IF(vend15[[#This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IF(vend15[[#This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IF(vend15[[#This Row],[Nº Venda]]&gt;1,1,0)</f>
        <v>0</v>
      </c>
    </row>
    <row r="15" spans="2:18" ht="16.5" x14ac:dyDescent="0.3">
      <c r="B15" s="30" t="s">
        <v>10</v>
      </c>
      <c r="C15" s="70">
        <f t="shared" si="0"/>
        <v>202.45999999999998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IF(vend15[[#This Row],[Nº Venda]]&gt;1,1,0)</f>
        <v>0</v>
      </c>
    </row>
    <row r="16" spans="2:18" ht="16.5" x14ac:dyDescent="0.3">
      <c r="B16" s="33" t="s">
        <v>11</v>
      </c>
      <c r="C16" s="71">
        <f>SUM(C11:C15)</f>
        <v>477.26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IF(vend15[[#This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IF(vend15[[#This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IF(vend15[[#This Row],[Nº Venda]]&gt;1,1,0)</f>
        <v>0</v>
      </c>
    </row>
    <row r="19" spans="2:18" ht="16.5" x14ac:dyDescent="0.3">
      <c r="B19" s="30">
        <f>COUNT(entr_carn15[OS])</f>
        <v>0</v>
      </c>
      <c r="C19" s="70">
        <f>SUM(entr_carn15[Valor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IF(vend15[[#This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IF(vend15[[#This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2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>
        <v>1068</v>
      </c>
      <c r="F35" s="77" t="s">
        <v>146</v>
      </c>
      <c r="G35" s="53" t="s">
        <v>6</v>
      </c>
      <c r="H35" s="41">
        <v>145</v>
      </c>
      <c r="I35" s="41" t="s">
        <v>49</v>
      </c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>
        <v>1048</v>
      </c>
      <c r="F36" s="77" t="s">
        <v>147</v>
      </c>
      <c r="G36" s="53" t="s">
        <v>6</v>
      </c>
      <c r="H36" s="41">
        <v>129.80000000000001</v>
      </c>
      <c r="I36" s="41" t="s">
        <v>75</v>
      </c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>
        <v>1060</v>
      </c>
      <c r="F37" s="77" t="s">
        <v>145</v>
      </c>
      <c r="G37" s="53" t="s">
        <v>10</v>
      </c>
      <c r="H37" s="41">
        <v>72.459999999999994</v>
      </c>
      <c r="I37" s="41" t="s">
        <v>74</v>
      </c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>
        <v>1100</v>
      </c>
      <c r="F38" s="77" t="s">
        <v>152</v>
      </c>
      <c r="G38" s="53" t="s">
        <v>10</v>
      </c>
      <c r="H38" s="41">
        <v>130</v>
      </c>
      <c r="I38" s="41" t="s">
        <v>67</v>
      </c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'15'!B1+1</f>
        <v>45793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2"/>
      <c r="H6" s="41"/>
      <c r="I6" s="41"/>
      <c r="J6" s="32"/>
      <c r="K6" s="77"/>
      <c r="L6" s="91"/>
      <c r="M6" s="46"/>
      <c r="R6" s="1">
        <f>IF(vend16[[#This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2"/>
      <c r="H7" s="41"/>
      <c r="I7" s="41"/>
      <c r="J7" s="32"/>
      <c r="K7" s="77"/>
      <c r="L7" s="91"/>
      <c r="M7" s="46"/>
      <c r="R7" s="1">
        <f>IF(vend16[[#This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IF(vend16[[#This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IF(vend16[[#This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IF(vend16[[#This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IF(vend16[[#This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IF(vend16[[#This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IF(vend16[[#This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IF(vend16[[#This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IF(vend16[[#This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IF(vend16[[#This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IF(vend16[[#This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IF(vend16[[#This Row],[Nº Venda]]&gt;1,1,0)</f>
        <v>0</v>
      </c>
    </row>
    <row r="19" spans="2:18" ht="16.5" x14ac:dyDescent="0.3">
      <c r="B19" s="30">
        <f>COUNT(entr_carn16[OS])</f>
        <v>0</v>
      </c>
      <c r="C19" s="70">
        <f>SUM(entr_carn16[Valor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IF(vend16[[#This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IF(vend16[[#This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2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'16'!B1+1</f>
        <v>45794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IF(vend17[[#This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IF(vend17[[#This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IF(vend17[[#This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IF(vend17[[#This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IF(vend17[[#This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IF(vend17[[#This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IF(vend17[[#This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IF(vend17[[#This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IF(vend17[[#This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IF(vend17[[#This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IF(vend17[[#This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IF(vend17[[#This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IF(vend17[[#This Row],[Nº Venda]]&gt;1,1,0)</f>
        <v>0</v>
      </c>
    </row>
    <row r="19" spans="2:18" ht="16.5" x14ac:dyDescent="0.3">
      <c r="B19" s="30">
        <f>COUNT(entr_carn17[OS])</f>
        <v>0</v>
      </c>
      <c r="C19" s="70">
        <f>SUM(entr_carn17[Valor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IF(vend17[[#This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IF(vend17[[#This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1">
        <f>'17'!B1+1</f>
        <v>45795</v>
      </c>
      <c r="C1" s="111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43"/>
      <c r="M6" s="46"/>
      <c r="R6" s="1">
        <f>IF(vend18[[#This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IF(vend18[[#This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IF(vend18[[#This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IF(vend18[[#This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IF(vend18[[#This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IF(vend18[[#This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IF(vend18[[#This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IF(vend18[[#This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IF(vend18[[#This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IF(vend18[[#This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IF(vend18[[#This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IF(vend18[[#This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IF(vend18[[#This Row],[Nº Venda]]&gt;1,1,0)</f>
        <v>0</v>
      </c>
    </row>
    <row r="19" spans="2:18" ht="16.5" x14ac:dyDescent="0.3">
      <c r="B19" s="30">
        <f>COUNT(entr_carn18[OS])</f>
        <v>0</v>
      </c>
      <c r="C19" s="70">
        <f>SUM(entr_carn18[Valor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IF(vend18[[#This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IF(vend18[[#This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61"/>
      <c r="G23" s="44"/>
      <c r="H23" s="45"/>
      <c r="I23" s="45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topLeftCell="A4" zoomScale="90" zoomScaleNormal="90" zoomScaleSheetLayoutView="70" workbookViewId="0">
      <selection activeCell="G37" sqref="G3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'18'!B1+1</f>
        <v>45796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72.459999999999994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IF(vend19[[#This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IF(vend19[[#This Row],[Nº Venda]]&gt;1,1,0)</f>
        <v>0</v>
      </c>
    </row>
    <row r="8" spans="2:18" ht="16.5" x14ac:dyDescent="0.3">
      <c r="B8" s="33" t="s">
        <v>21</v>
      </c>
      <c r="C8" s="34">
        <f>SUM(C6:C7)</f>
        <v>72.459999999999994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IF(vend19[[#This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IF(vend19[[#This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IF(vend19[[#This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1</v>
      </c>
      <c r="R11" s="1">
        <f>IF(vend19[[#This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IF(vend19[[#This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IF(vend19[[#This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IF(vend19[[#This Row],[Nº Venda]]&gt;1,1,0)</f>
        <v>0</v>
      </c>
    </row>
    <row r="15" spans="2:18" ht="16.5" x14ac:dyDescent="0.3">
      <c r="B15" s="30" t="s">
        <v>10</v>
      </c>
      <c r="C15" s="70">
        <f t="shared" si="0"/>
        <v>72.459999999999994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IF(vend19[[#This Row],[Nº Venda]]&gt;1,1,0)</f>
        <v>0</v>
      </c>
    </row>
    <row r="16" spans="2:18" ht="16.5" x14ac:dyDescent="0.3">
      <c r="B16" s="33" t="s">
        <v>11</v>
      </c>
      <c r="C16" s="71">
        <f>SUM(C11:C15)</f>
        <v>72.459999999999994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IF(vend19[[#This Row],[Nº Venda]]&gt;1,1,0)</f>
        <v>0</v>
      </c>
    </row>
    <row r="17" spans="2:22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IF(vend19[[#This Row],[Nº Venda]]&gt;1,1,0)</f>
        <v>0</v>
      </c>
    </row>
    <row r="18" spans="2:22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IF(vend19[[#This Row],[Nº Venda]]&gt;1,1,0)</f>
        <v>0</v>
      </c>
    </row>
    <row r="19" spans="2:22" ht="16.5" x14ac:dyDescent="0.3">
      <c r="B19" s="30">
        <f>COUNT(entr_carn19[OS])</f>
        <v>0</v>
      </c>
      <c r="C19" s="70">
        <f>SUM(entr_carn19[Valor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IF(vend19[[#This Row],[Nº Venda]]&gt;1,1,0)</f>
        <v>0</v>
      </c>
    </row>
    <row r="20" spans="2:22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IF(vend19[[#This Row],[Nº Venda]]&gt;1,1,0)</f>
        <v>0</v>
      </c>
      <c r="V20" s="1" t="s">
        <v>54</v>
      </c>
    </row>
    <row r="21" spans="2:22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22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22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22" ht="16.5" x14ac:dyDescent="0.3">
      <c r="B26" s="32"/>
      <c r="C26" s="32"/>
      <c r="D26" s="32"/>
      <c r="E26" s="76"/>
      <c r="F26" s="53"/>
      <c r="G26" s="53"/>
      <c r="H26" s="41"/>
      <c r="I26" s="41"/>
      <c r="J26" s="32"/>
      <c r="K26" s="76"/>
      <c r="L26" s="91"/>
      <c r="M26" s="46"/>
    </row>
    <row r="27" spans="2:22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22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22" ht="16.5" x14ac:dyDescent="0.3">
      <c r="B29" s="32"/>
      <c r="C29" s="32"/>
      <c r="D29" s="32"/>
      <c r="E29" s="76"/>
      <c r="F29" s="77"/>
      <c r="G29" s="53"/>
      <c r="H29" s="53"/>
      <c r="I29" s="41"/>
      <c r="J29" s="32"/>
      <c r="K29" s="76"/>
      <c r="L29" s="91"/>
      <c r="M29" s="46"/>
    </row>
    <row r="30" spans="2:22" ht="16.5" x14ac:dyDescent="0.3">
      <c r="B30" s="32"/>
      <c r="C30" s="32"/>
      <c r="D30" s="32"/>
      <c r="E30" s="76"/>
      <c r="F30" s="77"/>
      <c r="G30" s="53"/>
      <c r="H30" s="41"/>
      <c r="I30" s="41"/>
      <c r="J30" s="32"/>
      <c r="K30" s="76"/>
      <c r="L30" s="91"/>
      <c r="M30" s="46"/>
    </row>
    <row r="31" spans="2:22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>
        <v>1060</v>
      </c>
      <c r="F35" s="77" t="s">
        <v>145</v>
      </c>
      <c r="G35" s="53" t="s">
        <v>10</v>
      </c>
      <c r="H35" s="41">
        <v>72.459999999999994</v>
      </c>
      <c r="I35" s="41" t="s">
        <v>74</v>
      </c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zoomScale="90" zoomScaleNormal="90" workbookViewId="0">
      <selection activeCell="F28" sqref="F28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1">
        <f>'19'!B1+1</f>
        <v>45797</v>
      </c>
      <c r="C1" s="111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40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40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IF(vend20[[#This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IF(vend20[[#This Row],[Nº Venda]]&gt;1,1,0)</f>
        <v>0</v>
      </c>
    </row>
    <row r="8" spans="2:18" ht="16.5" x14ac:dyDescent="0.3">
      <c r="B8" s="33" t="s">
        <v>21</v>
      </c>
      <c r="C8" s="34">
        <f>SUM(C6:C7)</f>
        <v>40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IF(vend20[[#This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IF(vend20[[#This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IF(vend20[[#This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1</v>
      </c>
      <c r="R11" s="1">
        <f>IF(vend20[[#This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40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IF(vend20[[#This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IF(vend20[[#This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IF(vend20[[#This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>
        <v>1087</v>
      </c>
      <c r="L15" s="91" t="s">
        <v>135</v>
      </c>
      <c r="M15" s="46" t="s">
        <v>150</v>
      </c>
      <c r="R15" s="1">
        <f>IF(vend20[[#This Row],[Nº Venda]]&gt;1,1,0)</f>
        <v>0</v>
      </c>
    </row>
    <row r="16" spans="2:18" ht="16.5" x14ac:dyDescent="0.3">
      <c r="B16" s="33" t="s">
        <v>11</v>
      </c>
      <c r="C16" s="71">
        <f>SUM(C11:C15)</f>
        <v>40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IF(vend20[[#This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IF(vend20[[#This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IF(vend20[[#This Row],[Nº Venda]]&gt;1,1,0)</f>
        <v>0</v>
      </c>
    </row>
    <row r="19" spans="2:18" ht="16.5" x14ac:dyDescent="0.3">
      <c r="B19" s="30">
        <f>COUNT(entr_carn20[OS])</f>
        <v>0</v>
      </c>
      <c r="C19" s="70">
        <f>SUM(entr_carn20[Valor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IF(vend20[[#This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IF(vend20[[#This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40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>
        <v>1087</v>
      </c>
      <c r="F26" s="77" t="s">
        <v>149</v>
      </c>
      <c r="G26" s="53" t="s">
        <v>7</v>
      </c>
      <c r="H26" s="41">
        <v>40</v>
      </c>
      <c r="I26" s="41">
        <v>40</v>
      </c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topLeftCell="A6" zoomScale="9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'20'!B1+1</f>
        <v>45798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113.25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IF(vend21[[#This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IF(vend21[[#This Row],[Nº Venda]]&gt;1,1,0)</f>
        <v>0</v>
      </c>
    </row>
    <row r="8" spans="2:18" ht="16.5" x14ac:dyDescent="0.3">
      <c r="B8" s="33" t="s">
        <v>21</v>
      </c>
      <c r="C8" s="34">
        <f>SUM(C6:C7)</f>
        <v>113.25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IF(vend21[[#This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IF(vend21[[#This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IF(vend21[[#This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1</v>
      </c>
      <c r="R11" s="1">
        <f>IF(vend21[[#This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IF(vend21[[#This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IF(vend21[[#This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IF(vend21[[#This Row],[Nº Venda]]&gt;1,1,0)</f>
        <v>0</v>
      </c>
    </row>
    <row r="15" spans="2:18" ht="16.5" x14ac:dyDescent="0.3">
      <c r="B15" s="30" t="s">
        <v>10</v>
      </c>
      <c r="C15" s="70">
        <f t="shared" si="0"/>
        <v>113.25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IF(vend21[[#This Row],[Nº Venda]]&gt;1,1,0)</f>
        <v>0</v>
      </c>
    </row>
    <row r="16" spans="2:18" ht="16.5" x14ac:dyDescent="0.3">
      <c r="B16" s="33" t="s">
        <v>11</v>
      </c>
      <c r="C16" s="71">
        <f>SUM(C11:C15)</f>
        <v>113.25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IF(vend21[[#This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IF(vend21[[#This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IF(vend21[[#This Row],[Nº Venda]]&gt;1,1,0)</f>
        <v>0</v>
      </c>
    </row>
    <row r="19" spans="2:18" ht="16.5" x14ac:dyDescent="0.3">
      <c r="B19" s="30">
        <f>COUNT(entr_carn21[OS])</f>
        <v>0</v>
      </c>
      <c r="C19" s="70">
        <f>SUM(entr_carn21[Valor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IF(vend21[[#This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IF(vend21[[#This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>
        <v>1075</v>
      </c>
      <c r="F35" s="77" t="s">
        <v>153</v>
      </c>
      <c r="G35" s="53" t="s">
        <v>10</v>
      </c>
      <c r="H35" s="41">
        <v>113.25</v>
      </c>
      <c r="I35" s="41" t="s">
        <v>72</v>
      </c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view="pageBreakPreview" zoomScale="60" zoomScaleNormal="90" workbookViewId="0">
      <selection activeCell="F17" sqref="F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'21'!B1+1</f>
        <v>45799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181.66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IF(vend22[[#This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IF(vend22[[#This Row],[Nº Venda]]&gt;1,1,0)</f>
        <v>0</v>
      </c>
    </row>
    <row r="8" spans="2:18" ht="16.5" x14ac:dyDescent="0.3">
      <c r="B8" s="33" t="s">
        <v>21</v>
      </c>
      <c r="C8" s="34">
        <f>SUM(C6:C7)</f>
        <v>181.66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IF(vend22[[#This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IF(vend22[[#This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IF(vend22[[#This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1</v>
      </c>
      <c r="R11" s="1">
        <f>IF(vend22[[#This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IF(vend22[[#This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IF(vend22[[#This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IF(vend22[[#This Row],[Nº Venda]]&gt;1,1,0)</f>
        <v>0</v>
      </c>
    </row>
    <row r="15" spans="2:18" ht="16.5" x14ac:dyDescent="0.3">
      <c r="B15" s="30" t="s">
        <v>10</v>
      </c>
      <c r="C15" s="70">
        <f t="shared" si="0"/>
        <v>181.66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IF(vend22[[#This Row],[Nº Venda]]&gt;1,1,0)</f>
        <v>0</v>
      </c>
    </row>
    <row r="16" spans="2:18" ht="16.5" x14ac:dyDescent="0.3">
      <c r="B16" s="33" t="s">
        <v>11</v>
      </c>
      <c r="C16" s="71">
        <f>SUM(C11:C15)</f>
        <v>181.66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IF(vend22[[#This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IF(vend22[[#This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IF(vend22[[#This Row],[Nº Venda]]&gt;1,1,0)</f>
        <v>0</v>
      </c>
    </row>
    <row r="19" spans="2:18" ht="16.5" x14ac:dyDescent="0.3">
      <c r="B19" s="30">
        <f>COUNT(entr_carn22[OS])</f>
        <v>0</v>
      </c>
      <c r="C19" s="70">
        <f>SUM(entr_carn22[Valor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IF(vend22[[#This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IF(vend22[[#This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>
        <v>1050</v>
      </c>
      <c r="F35" s="77" t="s">
        <v>154</v>
      </c>
      <c r="G35" s="53" t="s">
        <v>10</v>
      </c>
      <c r="H35" s="41">
        <v>181.66</v>
      </c>
      <c r="I35" s="41" t="s">
        <v>77</v>
      </c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'22'!B1+1</f>
        <v>45800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IF(vend23[[#This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IF(vend23[[#This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IF(vend23[[#This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IF(vend23[[#This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IF(vend23[[#This Row],[Nº Venda]]&gt;1,1,0)</f>
        <v>0</v>
      </c>
    </row>
    <row r="11" spans="2:18" ht="16.5" x14ac:dyDescent="0.3">
      <c r="B11" s="30" t="s">
        <v>6</v>
      </c>
      <c r="C11" s="72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IF(vend23[[#This Row],[Nº Venda]]&gt;1,1,0)</f>
        <v>0</v>
      </c>
    </row>
    <row r="12" spans="2:18" ht="16.5" x14ac:dyDescent="0.3">
      <c r="B12" s="30" t="s">
        <v>7</v>
      </c>
      <c r="C12" s="72">
        <f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IF(vend23[[#This Row],[Nº Venda]]&gt;1,1,0)</f>
        <v>0</v>
      </c>
    </row>
    <row r="13" spans="2:18" ht="16.5" x14ac:dyDescent="0.3">
      <c r="B13" s="30" t="s">
        <v>8</v>
      </c>
      <c r="C13" s="72">
        <f>(SUMIF($G$2:$G$31,B13,$I$2:$I$31))+(SUMIF($G$35:$G$41,B13,$H$35:$H$41))</f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IF(vend23[[#This Row],[Nº Venda]]&gt;1,1,0)</f>
        <v>0</v>
      </c>
    </row>
    <row r="14" spans="2:18" ht="16.5" x14ac:dyDescent="0.3">
      <c r="B14" s="30" t="s">
        <v>9</v>
      </c>
      <c r="C14" s="72">
        <f>(SUMIF($G$2:$G$31,B14,$I$2:$I$31))+(SUMIF($G$35:$G$41,B14,$H$35:$H$41))</f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IF(vend23[[#This Row],[Nº Venda]]&gt;1,1,0)</f>
        <v>0</v>
      </c>
    </row>
    <row r="15" spans="2:18" ht="16.5" x14ac:dyDescent="0.3">
      <c r="B15" s="30" t="s">
        <v>10</v>
      </c>
      <c r="C15" s="72">
        <f>(SUMIF($G$2:$G$31,B15,$I$2:$I$31))+(SUMIF($G$35:$G$41,B15,$H$35:$H$41))</f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IF(vend23[[#This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IF(vend23[[#This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IF(vend23[[#This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IF(vend23[[#This Row],[Nº Venda]]&gt;1,1,0)</f>
        <v>0</v>
      </c>
    </row>
    <row r="19" spans="2:18" ht="16.5" x14ac:dyDescent="0.3">
      <c r="B19" s="30">
        <f>COUNT(entr_carn23[OS])</f>
        <v>0</v>
      </c>
      <c r="C19" s="70">
        <f>SUM(entr_carn23[Valor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IF(vend23[[#This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IF(vend23[[#This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4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'23'!B1+1</f>
        <v>45801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IF(vend24[[#This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IF(vend24[[#This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IF(vend24[[#This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IF(vend24[[#This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IF(vend24[[#This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IF(vend24[[#This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IF(vend24[[#This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IF(vend24[[#This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IF(vend24[[#This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IF(vend24[[#This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IF(vend24[[#This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IF(vend24[[#This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IF(vend24[[#This Row],[Nº Venda]]&gt;1,1,0)</f>
        <v>0</v>
      </c>
    </row>
    <row r="19" spans="2:18" ht="16.5" x14ac:dyDescent="0.3">
      <c r="B19" s="30">
        <f>COUNT(entr_carn24[OS])</f>
        <v>0</v>
      </c>
      <c r="C19" s="70">
        <f>SUM(entr_carn24[Valor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IF(vend24[[#This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IF(vend24[[#This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'24'!B1+1</f>
        <v>45802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 ca="1"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IF(vend25[[#This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IF(vend25[[#This Row],[Nº Venda]]&gt;1,1,0)</f>
        <v>0</v>
      </c>
    </row>
    <row r="8" spans="2:18" ht="16.5" x14ac:dyDescent="0.3">
      <c r="B8" s="33" t="s">
        <v>21</v>
      </c>
      <c r="C8" s="34">
        <f ca="1"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IF(vend25[[#This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IF(vend25[[#This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IF(vend25[[#This Row],[Nº Venda]]&gt;1,1,0)</f>
        <v>0</v>
      </c>
    </row>
    <row r="11" spans="2:18" ht="16.5" x14ac:dyDescent="0.3">
      <c r="B11" s="30" t="s">
        <v>6</v>
      </c>
      <c r="C11" s="70">
        <f ca="1">(SUMIF($G$2:$G$31,B11,$I$2:$I$31))+(SUMIF($G$35:$G$41,B11,$H$36:$H$41))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 ca="1">IF(C16=0,0,1)</f>
        <v>0</v>
      </c>
      <c r="R11" s="1">
        <f>IF(vend25[[#This Row],[Nº Venda]]&gt;1,1,0)</f>
        <v>0</v>
      </c>
    </row>
    <row r="12" spans="2:18" ht="16.5" x14ac:dyDescent="0.3">
      <c r="B12" s="30" t="s">
        <v>7</v>
      </c>
      <c r="C12" s="70">
        <f ca="1">(SUMIF($G$2:$G$31,B12,$I$2:$I$31))+(SUMIF($G$35:$G$41,B12,$H$36:$H$41))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IF(vend25[[#This Row],[Nº Venda]]&gt;1,1,0)</f>
        <v>0</v>
      </c>
    </row>
    <row r="13" spans="2:18" ht="16.5" x14ac:dyDescent="0.3">
      <c r="B13" s="30" t="s">
        <v>8</v>
      </c>
      <c r="C13" s="70">
        <f ca="1">(SUMIF($G$2:$G$31,B13,$I$2:$I$31))+(SUMIF($G$35:$G$41,B13,$H$36:$H$41))</f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IF(vend25[[#This Row],[Nº Venda]]&gt;1,1,0)</f>
        <v>0</v>
      </c>
    </row>
    <row r="14" spans="2:18" ht="16.5" x14ac:dyDescent="0.3">
      <c r="B14" s="30" t="s">
        <v>9</v>
      </c>
      <c r="C14" s="70">
        <f ca="1">(SUMIF($G$2:$G$31,B14,$I$2:$I$31))+(SUMIF($G$35:$G$41,B14,$H$36:$H$41))</f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IF(vend25[[#This Row],[Nº Venda]]&gt;1,1,0)</f>
        <v>0</v>
      </c>
    </row>
    <row r="15" spans="2:18" ht="16.5" x14ac:dyDescent="0.3">
      <c r="B15" s="30" t="s">
        <v>10</v>
      </c>
      <c r="C15" s="70">
        <f ca="1">(SUMIF($G$2:$G$31,B15,$I$2:$I$31))+(SUMIF($G$35:$G$41,B15,$H$36:$H$41))</f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IF(vend25[[#This Row],[Nº Venda]]&gt;1,1,0)</f>
        <v>0</v>
      </c>
    </row>
    <row r="16" spans="2:18" ht="16.5" x14ac:dyDescent="0.3">
      <c r="B16" s="33" t="s">
        <v>11</v>
      </c>
      <c r="C16" s="71">
        <f ca="1"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IF(vend25[[#This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IF(vend25[[#This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IF(vend25[[#This Row],[Nº Venda]]&gt;1,1,0)</f>
        <v>0</v>
      </c>
    </row>
    <row r="19" spans="2:18" ht="16.5" x14ac:dyDescent="0.3">
      <c r="B19" s="30">
        <f>COUNT(entr_carn25[OS])</f>
        <v>0</v>
      </c>
      <c r="C19" s="70">
        <f>SUM(entr_carn25[Valor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IF(vend25[[#This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IF(vend25[[#This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5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'25'!B1+1</f>
        <v>45803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IF(vend26[[#This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IF(vend26[[#This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IF(vend26[[#This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IF(vend26[[#This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IF(vend26[[#This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IF(vend26[[#This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IF(vend26[[#This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IF(vend26[[#This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IF(vend26[[#This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IF(vend26[[#This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IF(vend26[[#This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IF(vend26[[#This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IF(vend26[[#This Row],[Nº Venda]]&gt;1,1,0)</f>
        <v>0</v>
      </c>
    </row>
    <row r="19" spans="2:18" ht="16.5" x14ac:dyDescent="0.3">
      <c r="B19" s="30">
        <f>COUNT(entr_carn26[OS])</f>
        <v>0</v>
      </c>
      <c r="C19" s="70">
        <f>SUM(entr_carn26[Valor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IF(vend26[[#This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IF(vend26[[#This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'26'!B1+1</f>
        <v>45804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IF(vend27[[#This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IF(vend27[[#This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IF(vend27[[#This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IF(vend27[[#This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IF(vend27[[#This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IF(vend27[[#This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IF(vend27[[#This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IF(vend27[[#This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IF(vend27[[#This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IF(vend27[[#This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IF(vend27[[#This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IF(vend27[[#This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IF(vend27[[#This Row],[Nº Venda]]&gt;1,1,0)</f>
        <v>0</v>
      </c>
    </row>
    <row r="19" spans="2:18" ht="16.5" x14ac:dyDescent="0.3">
      <c r="B19" s="30">
        <f>COUNT(entr_carn27[OS])</f>
        <v>0</v>
      </c>
      <c r="C19" s="70">
        <f>SUM(entr_carn27[Valor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IF(vend27[[#This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IF(vend27[[#This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'27'!B1+1</f>
        <v>45805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IF(vend28[[#This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IF(vend28[[#This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IF(vend28[[#This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IF(vend28[[#This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IF(vend28[[#This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IF(vend28[[#This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IF(vend28[[#This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IF(vend28[[#This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IF(vend28[[#This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IF(vend28[[#This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IF(vend28[[#This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IF(vend28[[#This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IF(vend28[[#This Row],[Nº Venda]]&gt;1,1,0)</f>
        <v>0</v>
      </c>
    </row>
    <row r="19" spans="2:18" ht="16.5" x14ac:dyDescent="0.3">
      <c r="B19" s="30">
        <f>COUNT(entr_carn28[OS])</f>
        <v>0</v>
      </c>
      <c r="C19" s="70">
        <f>SUM(entr_carn28[Valor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IF(vend28[[#This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IF(vend28[[#This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'28'!B1+1</f>
        <v>45806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IF(vend29[[#This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IF(vend29[[#This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IF(vend29[[#This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IF(vend29[[#This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IF(vend29[[#This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IF(vend29[[#This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IF(vend29[[#This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IF(vend29[[#This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IF(vend29[[#This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IF(vend29[[#This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IF(vend29[[#This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IF(vend29[[#This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IF(vend29[[#This Row],[Nº Venda]]&gt;1,1,0)</f>
        <v>0</v>
      </c>
    </row>
    <row r="19" spans="2:18" ht="16.5" x14ac:dyDescent="0.3">
      <c r="B19" s="30">
        <f>COUNT(entr_carn29[OS])</f>
        <v>0</v>
      </c>
      <c r="C19" s="70">
        <f>SUM(entr_carn29[Valor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IF(vend29[[#This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IF(vend29[[#This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topLeftCell="A2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'29'!B1+1</f>
        <v>45807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IF(vend30[[#This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IF(vend30[[#This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IF(vend30[[#This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IF(vend30[[#This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IF(vend30[[#This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IF(vend30[[#This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IF(vend30[[#This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IF(vend30[[#This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IF(vend30[[#This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IF(vend30[[#This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IF(vend30[[#This Row],[Nº Venda]]&gt;1,1,0)</f>
        <v>0</v>
      </c>
    </row>
    <row r="17" spans="2:22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IF(vend30[[#This Row],[Nº Venda]]&gt;1,1,0)</f>
        <v>0</v>
      </c>
    </row>
    <row r="18" spans="2:22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IF(vend30[[#This Row],[Nº Venda]]&gt;1,1,0)</f>
        <v>0</v>
      </c>
    </row>
    <row r="19" spans="2:22" ht="16.5" x14ac:dyDescent="0.3">
      <c r="B19" s="30">
        <f>COUNT(entr_carn30[OS])</f>
        <v>0</v>
      </c>
      <c r="C19" s="70">
        <f>SUM(entr_carn30[Valor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IF(vend30[[#This Row],[Nº Venda]]&gt;1,1,0)</f>
        <v>0</v>
      </c>
    </row>
    <row r="20" spans="2:22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IF(vend30[[#This Row],[Nº Venda]]&gt;1,1,0)</f>
        <v>0</v>
      </c>
    </row>
    <row r="21" spans="2:22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  <c r="V21" s="1" t="s">
        <v>122</v>
      </c>
    </row>
    <row r="22" spans="2:22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22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22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22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22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22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22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22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8">
        <f>'30'!B1+1</f>
        <v>45808</v>
      </c>
      <c r="C1" s="98"/>
      <c r="L1" s="99" t="s">
        <v>144</v>
      </c>
      <c r="M1" s="99"/>
    </row>
    <row r="2" spans="2:18" ht="18.75" x14ac:dyDescent="0.2">
      <c r="B2" s="105" t="s">
        <v>13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0"/>
      <c r="E4" s="108" t="s">
        <v>137</v>
      </c>
      <c r="F4" s="108"/>
      <c r="G4" s="108"/>
      <c r="H4" s="108"/>
      <c r="I4" s="108"/>
      <c r="J4" s="32"/>
      <c r="K4" s="102" t="s">
        <v>138</v>
      </c>
      <c r="L4" s="103"/>
      <c r="M4" s="104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76"/>
      <c r="F6" s="77"/>
      <c r="G6" s="53"/>
      <c r="H6" s="41"/>
      <c r="I6" s="41"/>
      <c r="J6" s="32"/>
      <c r="K6" s="77"/>
      <c r="L6" s="91"/>
      <c r="M6" s="46"/>
      <c r="R6" s="1">
        <f>IF(vend31[[#This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76"/>
      <c r="F7" s="77"/>
      <c r="G7" s="53"/>
      <c r="H7" s="41"/>
      <c r="I7" s="41"/>
      <c r="J7" s="32"/>
      <c r="K7" s="77"/>
      <c r="L7" s="91"/>
      <c r="M7" s="46"/>
      <c r="R7" s="1">
        <f>IF(vend31[[#This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76"/>
      <c r="F8" s="77"/>
      <c r="G8" s="53"/>
      <c r="H8" s="41"/>
      <c r="I8" s="41"/>
      <c r="J8" s="32"/>
      <c r="K8" s="77"/>
      <c r="L8" s="91"/>
      <c r="M8" s="46"/>
      <c r="R8" s="1">
        <f>IF(vend31[[#This Row],[Nº Venda]]&gt;1,1,0)</f>
        <v>0</v>
      </c>
    </row>
    <row r="9" spans="2:18" ht="16.5" x14ac:dyDescent="0.3">
      <c r="B9" s="29"/>
      <c r="C9" s="29"/>
      <c r="D9" s="32"/>
      <c r="E9" s="76"/>
      <c r="F9" s="77"/>
      <c r="G9" s="53"/>
      <c r="H9" s="41"/>
      <c r="I9" s="41"/>
      <c r="J9" s="32"/>
      <c r="K9" s="77"/>
      <c r="L9" s="91"/>
      <c r="M9" s="46"/>
      <c r="R9" s="1">
        <f>IF(vend31[[#This Row],[Nº Venda]]&gt;1,1,0)</f>
        <v>0</v>
      </c>
    </row>
    <row r="10" spans="2:18" ht="16.5" x14ac:dyDescent="0.3">
      <c r="B10" s="109" t="s">
        <v>5</v>
      </c>
      <c r="C10" s="110"/>
      <c r="D10" s="32"/>
      <c r="E10" s="76"/>
      <c r="F10" s="77"/>
      <c r="G10" s="53"/>
      <c r="H10" s="41"/>
      <c r="I10" s="41"/>
      <c r="J10" s="32"/>
      <c r="K10" s="77"/>
      <c r="L10" s="91"/>
      <c r="M10" s="46"/>
      <c r="R10" s="1">
        <f>IF(vend31[[#This Row],[Nº Venda]]&gt;1,1,0)</f>
        <v>0</v>
      </c>
    </row>
    <row r="11" spans="2:18" ht="16.5" x14ac:dyDescent="0.3">
      <c r="B11" s="30" t="s">
        <v>6</v>
      </c>
      <c r="C11" s="70">
        <f>(SUMIF($G$2:$G$31,B11,$I$2:$I$31))+(SUMIF($G$35:$G$41,B11,$H$35:$H$41))</f>
        <v>0</v>
      </c>
      <c r="D11" s="32"/>
      <c r="E11" s="76"/>
      <c r="F11" s="77"/>
      <c r="G11" s="53"/>
      <c r="H11" s="41"/>
      <c r="I11" s="41"/>
      <c r="J11" s="32"/>
      <c r="K11" s="40"/>
      <c r="L11" s="91"/>
      <c r="M11" s="46"/>
      <c r="O11" s="1">
        <f>IF(C16=0,0,1)</f>
        <v>0</v>
      </c>
      <c r="R11" s="1">
        <f>IF(vend31[[#This Row],[Nº Venda]]&gt;1,1,0)</f>
        <v>0</v>
      </c>
    </row>
    <row r="12" spans="2:18" ht="16.5" x14ac:dyDescent="0.3">
      <c r="B12" s="30" t="s">
        <v>7</v>
      </c>
      <c r="C12" s="70">
        <f t="shared" ref="C12:C15" si="0">(SUMIF($G$2:$G$31,B12,$I$2:$I$31))+(SUMIF($G$35:$G$41,B12,$H$35:$H$41))</f>
        <v>0</v>
      </c>
      <c r="D12" s="32"/>
      <c r="E12" s="76"/>
      <c r="F12" s="77"/>
      <c r="G12" s="53"/>
      <c r="H12" s="41"/>
      <c r="I12" s="41"/>
      <c r="J12" s="32"/>
      <c r="K12" s="35"/>
      <c r="L12" s="35"/>
      <c r="M12" s="35"/>
      <c r="R12" s="1">
        <f>IF(vend31[[#This Row],[Nº Venda]]&gt;1,1,0)</f>
        <v>0</v>
      </c>
    </row>
    <row r="13" spans="2:18" ht="16.5" x14ac:dyDescent="0.3">
      <c r="B13" s="30" t="s">
        <v>8</v>
      </c>
      <c r="C13" s="70">
        <f t="shared" si="0"/>
        <v>0</v>
      </c>
      <c r="D13" s="32"/>
      <c r="E13" s="76"/>
      <c r="F13" s="77"/>
      <c r="G13" s="53"/>
      <c r="H13" s="41"/>
      <c r="I13" s="41"/>
      <c r="J13" s="32"/>
      <c r="K13" s="102" t="s">
        <v>142</v>
      </c>
      <c r="L13" s="103"/>
      <c r="M13" s="104"/>
      <c r="R13" s="1">
        <f>IF(vend31[[#This Row],[Nº Venda]]&gt;1,1,0)</f>
        <v>0</v>
      </c>
    </row>
    <row r="14" spans="2:18" ht="16.5" x14ac:dyDescent="0.3">
      <c r="B14" s="30" t="s">
        <v>9</v>
      </c>
      <c r="C14" s="70">
        <f t="shared" si="0"/>
        <v>0</v>
      </c>
      <c r="D14" s="32"/>
      <c r="E14" s="76"/>
      <c r="F14" s="77"/>
      <c r="G14" s="53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IF(vend31[[#This Row],[Nº Venda]]&gt;1,1,0)</f>
        <v>0</v>
      </c>
    </row>
    <row r="15" spans="2:18" ht="16.5" x14ac:dyDescent="0.3">
      <c r="B15" s="30" t="s">
        <v>10</v>
      </c>
      <c r="C15" s="70">
        <f t="shared" si="0"/>
        <v>0</v>
      </c>
      <c r="D15" s="32"/>
      <c r="E15" s="76"/>
      <c r="F15" s="77"/>
      <c r="G15" s="53"/>
      <c r="H15" s="41"/>
      <c r="I15" s="41"/>
      <c r="J15" s="32"/>
      <c r="K15" s="76"/>
      <c r="L15" s="91"/>
      <c r="M15" s="46"/>
      <c r="R15" s="1">
        <f>IF(vend31[[#This Row],[Nº Venda]]&gt;1,1,0)</f>
        <v>0</v>
      </c>
    </row>
    <row r="16" spans="2:18" ht="16.5" x14ac:dyDescent="0.3">
      <c r="B16" s="33" t="s">
        <v>11</v>
      </c>
      <c r="C16" s="71">
        <f>SUM(C11:C15)</f>
        <v>0</v>
      </c>
      <c r="D16" s="32"/>
      <c r="E16" s="76"/>
      <c r="F16" s="77"/>
      <c r="G16" s="53"/>
      <c r="H16" s="41"/>
      <c r="I16" s="41"/>
      <c r="J16" s="32"/>
      <c r="K16" s="76"/>
      <c r="L16" s="91"/>
      <c r="M16" s="46"/>
      <c r="R16" s="1">
        <f>IF(vend31[[#This Row],[Nº Venda]]&gt;1,1,0)</f>
        <v>0</v>
      </c>
    </row>
    <row r="17" spans="2:18" ht="16.5" x14ac:dyDescent="0.3">
      <c r="B17" s="29"/>
      <c r="C17" s="29"/>
      <c r="D17" s="32"/>
      <c r="E17" s="76"/>
      <c r="F17" s="77"/>
      <c r="G17" s="53"/>
      <c r="H17" s="41"/>
      <c r="I17" s="41"/>
      <c r="J17" s="32"/>
      <c r="K17" s="76"/>
      <c r="L17" s="91"/>
      <c r="M17" s="46"/>
      <c r="R17" s="1">
        <f>IF(vend31[[#This Row],[Nº Venda]]&gt;1,1,0)</f>
        <v>0</v>
      </c>
    </row>
    <row r="18" spans="2:18" ht="16.5" x14ac:dyDescent="0.3">
      <c r="B18" s="109" t="s">
        <v>12</v>
      </c>
      <c r="C18" s="110"/>
      <c r="D18" s="32"/>
      <c r="E18" s="76"/>
      <c r="F18" s="77"/>
      <c r="G18" s="53"/>
      <c r="H18" s="41"/>
      <c r="I18" s="41"/>
      <c r="J18" s="32"/>
      <c r="K18" s="76"/>
      <c r="L18" s="91"/>
      <c r="M18" s="46"/>
      <c r="R18" s="1">
        <f>IF(vend31[[#This Row],[Nº Venda]]&gt;1,1,0)</f>
        <v>0</v>
      </c>
    </row>
    <row r="19" spans="2:18" ht="16.5" x14ac:dyDescent="0.3">
      <c r="B19" s="30">
        <f>COUNT(entr_carn31[OS])</f>
        <v>0</v>
      </c>
      <c r="C19" s="70">
        <f>SUM(entr_carn31[Valor Total])</f>
        <v>0</v>
      </c>
      <c r="D19" s="32"/>
      <c r="E19" s="76"/>
      <c r="F19" s="77"/>
      <c r="G19" s="53"/>
      <c r="H19" s="41"/>
      <c r="I19" s="41"/>
      <c r="J19" s="32"/>
      <c r="K19" s="76"/>
      <c r="L19" s="91"/>
      <c r="M19" s="46"/>
      <c r="R19" s="1">
        <f>IF(vend31[[#This Row],[Nº Venda]]&gt;1,1,0)</f>
        <v>0</v>
      </c>
    </row>
    <row r="20" spans="2:18" ht="16.5" x14ac:dyDescent="0.3">
      <c r="B20" s="33" t="s">
        <v>11</v>
      </c>
      <c r="C20" s="71">
        <f>SUM(C19:C19)</f>
        <v>0</v>
      </c>
      <c r="D20" s="32"/>
      <c r="E20" s="76"/>
      <c r="F20" s="53"/>
      <c r="G20" s="53"/>
      <c r="H20" s="41"/>
      <c r="I20" s="41"/>
      <c r="J20" s="32"/>
      <c r="K20" s="76"/>
      <c r="L20" s="91"/>
      <c r="M20" s="46"/>
      <c r="R20" s="1">
        <f>IF(vend31[[#This Row],[Nº Venda]]&gt;1,1,0)</f>
        <v>0</v>
      </c>
    </row>
    <row r="21" spans="2:18" ht="16.5" x14ac:dyDescent="0.3">
      <c r="B21" s="29"/>
      <c r="C21" s="29"/>
      <c r="D21" s="32"/>
      <c r="E21" s="76"/>
      <c r="F21" s="77"/>
      <c r="G21" s="53"/>
      <c r="H21" s="41"/>
      <c r="I21" s="41"/>
      <c r="J21" s="32"/>
      <c r="K21" s="76"/>
      <c r="L21" s="91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78"/>
      <c r="F22" s="77"/>
      <c r="G22" s="53"/>
      <c r="H22" s="41"/>
      <c r="I22" s="41"/>
      <c r="J22" s="32"/>
      <c r="K22" s="76"/>
      <c r="L22" s="91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76"/>
      <c r="L23" s="91"/>
      <c r="M23" s="46"/>
    </row>
    <row r="24" spans="2:18" ht="16.5" x14ac:dyDescent="0.3">
      <c r="B24" s="32"/>
      <c r="C24" s="32"/>
      <c r="D24" s="32"/>
      <c r="E24" s="100" t="s">
        <v>139</v>
      </c>
      <c r="F24" s="101"/>
      <c r="G24" s="101"/>
      <c r="H24" s="101"/>
      <c r="I24" s="101"/>
      <c r="J24" s="32"/>
      <c r="K24" s="76"/>
      <c r="L24" s="91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76"/>
      <c r="L25" s="91"/>
      <c r="M25" s="46"/>
    </row>
    <row r="26" spans="2:18" ht="16.5" x14ac:dyDescent="0.3">
      <c r="B26" s="32"/>
      <c r="C26" s="32"/>
      <c r="D26" s="32"/>
      <c r="E26" s="76"/>
      <c r="F26" s="77"/>
      <c r="G26" s="53"/>
      <c r="H26" s="41"/>
      <c r="I26" s="41"/>
      <c r="J26" s="32"/>
      <c r="K26" s="76"/>
      <c r="L26" s="91"/>
      <c r="M26" s="46"/>
    </row>
    <row r="27" spans="2:18" ht="16.5" x14ac:dyDescent="0.3">
      <c r="B27" s="32"/>
      <c r="C27" s="32"/>
      <c r="D27" s="32"/>
      <c r="E27" s="76"/>
      <c r="F27" s="77"/>
      <c r="G27" s="53"/>
      <c r="H27" s="41"/>
      <c r="I27" s="41"/>
      <c r="J27" s="32"/>
      <c r="K27" s="76"/>
      <c r="L27" s="91"/>
      <c r="M27" s="46"/>
    </row>
    <row r="28" spans="2:18" ht="16.5" x14ac:dyDescent="0.3">
      <c r="B28" s="32"/>
      <c r="C28" s="32"/>
      <c r="D28" s="32"/>
      <c r="E28" s="76"/>
      <c r="F28" s="77"/>
      <c r="G28" s="53"/>
      <c r="H28" s="41"/>
      <c r="I28" s="41"/>
      <c r="J28" s="32"/>
      <c r="K28" s="76"/>
      <c r="L28" s="91"/>
      <c r="M28" s="46"/>
    </row>
    <row r="29" spans="2:18" ht="16.5" x14ac:dyDescent="0.3">
      <c r="B29" s="32"/>
      <c r="C29" s="32"/>
      <c r="D29" s="32"/>
      <c r="E29" s="76"/>
      <c r="F29" s="77"/>
      <c r="G29" s="53"/>
      <c r="H29" s="41"/>
      <c r="I29" s="41"/>
      <c r="J29" s="32"/>
      <c r="K29" s="76"/>
      <c r="L29" s="91"/>
      <c r="M29" s="46"/>
    </row>
    <row r="30" spans="2:18" ht="16.5" x14ac:dyDescent="0.3">
      <c r="B30" s="32"/>
      <c r="C30" s="32"/>
      <c r="D30" s="32"/>
      <c r="E30" s="76"/>
      <c r="F30" s="53"/>
      <c r="G30" s="53"/>
      <c r="H30" s="41"/>
      <c r="I30" s="41"/>
      <c r="J30" s="32"/>
      <c r="K30" s="76"/>
      <c r="L30" s="91"/>
      <c r="M30" s="46"/>
    </row>
    <row r="31" spans="2:18" ht="16.5" x14ac:dyDescent="0.3">
      <c r="B31" s="32"/>
      <c r="C31" s="32"/>
      <c r="D31" s="32"/>
      <c r="E31" s="78"/>
      <c r="F31" s="79"/>
      <c r="G31" s="44"/>
      <c r="H31" s="45"/>
      <c r="I31" s="45"/>
      <c r="J31" s="32"/>
      <c r="K31" s="76"/>
      <c r="L31" s="91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0" t="s">
        <v>140</v>
      </c>
      <c r="F33" s="101"/>
      <c r="G33" s="101"/>
      <c r="H33" s="101"/>
      <c r="I33" s="101"/>
      <c r="J33" s="40"/>
      <c r="K33" s="102" t="s">
        <v>141</v>
      </c>
      <c r="L33" s="103"/>
      <c r="M33" s="104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76"/>
      <c r="F35" s="77"/>
      <c r="G35" s="53"/>
      <c r="H35" s="41"/>
      <c r="I35" s="41"/>
      <c r="J35" s="40"/>
      <c r="K35" s="76"/>
      <c r="L35" s="76"/>
      <c r="M35" s="91"/>
    </row>
    <row r="36" spans="2:18" ht="16.5" customHeight="1" x14ac:dyDescent="0.25">
      <c r="B36" s="40"/>
      <c r="C36" s="40"/>
      <c r="D36" s="40"/>
      <c r="E36" s="83"/>
      <c r="F36" s="77"/>
      <c r="G36" s="53"/>
      <c r="H36" s="41"/>
      <c r="I36" s="41"/>
      <c r="J36" s="40"/>
      <c r="K36" s="76"/>
      <c r="L36" s="76"/>
      <c r="M36" s="91"/>
    </row>
    <row r="37" spans="2:18" ht="16.5" customHeight="1" x14ac:dyDescent="0.25">
      <c r="B37" s="40"/>
      <c r="C37" s="40"/>
      <c r="D37" s="40"/>
      <c r="E37" s="76"/>
      <c r="F37" s="77"/>
      <c r="G37" s="53"/>
      <c r="H37" s="41"/>
      <c r="I37" s="41"/>
      <c r="J37" s="40"/>
      <c r="K37" s="76"/>
      <c r="L37" s="76"/>
      <c r="M37" s="91"/>
    </row>
    <row r="38" spans="2:18" ht="16.5" customHeight="1" x14ac:dyDescent="0.25">
      <c r="B38" s="40"/>
      <c r="C38" s="40"/>
      <c r="D38" s="40"/>
      <c r="E38" s="76"/>
      <c r="F38" s="77"/>
      <c r="G38" s="53"/>
      <c r="H38" s="41"/>
      <c r="I38" s="41"/>
      <c r="J38" s="40"/>
      <c r="K38" s="76"/>
      <c r="L38" s="76"/>
      <c r="M38" s="91"/>
    </row>
    <row r="39" spans="2:18" ht="16.5" customHeight="1" x14ac:dyDescent="0.25">
      <c r="B39" s="40"/>
      <c r="C39" s="40"/>
      <c r="D39" s="40"/>
      <c r="E39" s="76"/>
      <c r="F39" s="53"/>
      <c r="G39" s="53"/>
      <c r="H39" s="41"/>
      <c r="I39" s="41"/>
      <c r="J39" s="40"/>
      <c r="K39" s="76"/>
      <c r="L39" s="76"/>
      <c r="M39" s="91"/>
    </row>
    <row r="40" spans="2:18" ht="16.5" customHeight="1" x14ac:dyDescent="0.25">
      <c r="B40" s="40"/>
      <c r="C40" s="40"/>
      <c r="D40" s="40"/>
      <c r="E40" s="78"/>
      <c r="F40" s="79"/>
      <c r="G40" s="44"/>
      <c r="H40" s="45"/>
      <c r="I40" s="41"/>
      <c r="J40" s="40"/>
      <c r="K40" s="78"/>
      <c r="L40" s="78"/>
      <c r="M40" s="92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53"/>
      <c r="G41" s="53"/>
      <c r="H41" s="41"/>
      <c r="I41" s="41"/>
      <c r="J41" s="40"/>
      <c r="K41" s="76"/>
      <c r="L41" s="76"/>
      <c r="M41" s="92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136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58</v>
      </c>
      <c r="B1" s="13" t="s">
        <v>59</v>
      </c>
      <c r="E1" s="13" t="s">
        <v>60</v>
      </c>
    </row>
    <row r="2" spans="1:5" x14ac:dyDescent="0.2">
      <c r="A2" s="13" t="s">
        <v>6</v>
      </c>
      <c r="B2" s="13" t="s">
        <v>61</v>
      </c>
      <c r="E2" t="s">
        <v>42</v>
      </c>
    </row>
    <row r="3" spans="1:5" x14ac:dyDescent="0.2">
      <c r="A3" s="13" t="s">
        <v>7</v>
      </c>
      <c r="B3" s="13" t="s">
        <v>62</v>
      </c>
      <c r="E3" t="s">
        <v>63</v>
      </c>
    </row>
    <row r="4" spans="1:5" x14ac:dyDescent="0.2">
      <c r="A4" s="13" t="s">
        <v>8</v>
      </c>
      <c r="B4" s="13" t="s">
        <v>64</v>
      </c>
      <c r="E4" t="s">
        <v>65</v>
      </c>
    </row>
    <row r="5" spans="1:5" x14ac:dyDescent="0.2">
      <c r="A5" s="13" t="s">
        <v>9</v>
      </c>
      <c r="B5" s="13" t="s">
        <v>66</v>
      </c>
      <c r="E5" t="s">
        <v>67</v>
      </c>
    </row>
    <row r="6" spans="1:5" x14ac:dyDescent="0.2">
      <c r="A6" s="13" t="s">
        <v>10</v>
      </c>
      <c r="B6" s="13" t="s">
        <v>10</v>
      </c>
      <c r="E6" t="s">
        <v>30</v>
      </c>
    </row>
    <row r="7" spans="1:5" x14ac:dyDescent="0.2">
      <c r="A7" s="13" t="s">
        <v>46</v>
      </c>
      <c r="B7" s="13" t="s">
        <v>68</v>
      </c>
      <c r="E7" t="s">
        <v>69</v>
      </c>
    </row>
    <row r="8" spans="1:5" x14ac:dyDescent="0.2">
      <c r="A8" t="s">
        <v>24</v>
      </c>
      <c r="B8" t="s">
        <v>70</v>
      </c>
      <c r="E8" t="s">
        <v>48</v>
      </c>
    </row>
    <row r="9" spans="1:5" x14ac:dyDescent="0.2">
      <c r="A9" s="13" t="s">
        <v>36</v>
      </c>
      <c r="B9" s="13" t="s">
        <v>71</v>
      </c>
      <c r="E9" t="s">
        <v>72</v>
      </c>
    </row>
    <row r="10" spans="1:5" x14ac:dyDescent="0.2">
      <c r="E10" t="s">
        <v>73</v>
      </c>
    </row>
    <row r="11" spans="1:5" x14ac:dyDescent="0.2">
      <c r="E11" t="s">
        <v>74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75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76</v>
      </c>
    </row>
    <row r="21" spans="5:5" x14ac:dyDescent="0.2">
      <c r="E21" t="s">
        <v>77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78</v>
      </c>
    </row>
    <row r="31" spans="5:5" x14ac:dyDescent="0.2">
      <c r="E31" t="s">
        <v>31</v>
      </c>
    </row>
    <row r="32" spans="5:5" x14ac:dyDescent="0.2">
      <c r="E32" t="s">
        <v>79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80</v>
      </c>
    </row>
    <row r="39" spans="5:5" x14ac:dyDescent="0.2">
      <c r="E39" t="s">
        <v>81</v>
      </c>
    </row>
    <row r="40" spans="5:5" x14ac:dyDescent="0.2">
      <c r="E40" t="s">
        <v>82</v>
      </c>
    </row>
    <row r="41" spans="5:5" x14ac:dyDescent="0.2">
      <c r="E41" t="s">
        <v>83</v>
      </c>
    </row>
    <row r="42" spans="5:5" x14ac:dyDescent="0.2">
      <c r="E42" t="s">
        <v>84</v>
      </c>
    </row>
    <row r="43" spans="5:5" x14ac:dyDescent="0.2">
      <c r="E43" t="s">
        <v>85</v>
      </c>
    </row>
    <row r="44" spans="5:5" x14ac:dyDescent="0.2">
      <c r="E44" t="s">
        <v>86</v>
      </c>
    </row>
    <row r="45" spans="5:5" x14ac:dyDescent="0.2">
      <c r="E45" t="s">
        <v>87</v>
      </c>
    </row>
    <row r="46" spans="5:5" x14ac:dyDescent="0.2">
      <c r="E46" t="s">
        <v>88</v>
      </c>
    </row>
    <row r="47" spans="5:5" x14ac:dyDescent="0.2">
      <c r="E47" t="s">
        <v>89</v>
      </c>
    </row>
    <row r="48" spans="5:5" x14ac:dyDescent="0.2">
      <c r="E48" t="s">
        <v>90</v>
      </c>
    </row>
    <row r="49" spans="5:5" x14ac:dyDescent="0.2">
      <c r="E49" t="s">
        <v>91</v>
      </c>
    </row>
    <row r="50" spans="5:5" x14ac:dyDescent="0.2">
      <c r="E50" t="s">
        <v>92</v>
      </c>
    </row>
    <row r="51" spans="5:5" x14ac:dyDescent="0.2">
      <c r="E51" t="s">
        <v>93</v>
      </c>
    </row>
    <row r="52" spans="5:5" x14ac:dyDescent="0.2">
      <c r="E52" t="s">
        <v>94</v>
      </c>
    </row>
    <row r="53" spans="5:5" x14ac:dyDescent="0.2">
      <c r="E53" t="s">
        <v>95</v>
      </c>
    </row>
    <row r="54" spans="5:5" x14ac:dyDescent="0.2">
      <c r="E54" t="s">
        <v>96</v>
      </c>
    </row>
    <row r="55" spans="5:5" x14ac:dyDescent="0.2">
      <c r="E55" t="s">
        <v>97</v>
      </c>
    </row>
    <row r="56" spans="5:5" x14ac:dyDescent="0.2">
      <c r="E56" t="s">
        <v>98</v>
      </c>
    </row>
    <row r="57" spans="5:5" x14ac:dyDescent="0.2">
      <c r="E57" t="s">
        <v>99</v>
      </c>
    </row>
    <row r="58" spans="5:5" x14ac:dyDescent="0.2">
      <c r="E58" t="s">
        <v>100</v>
      </c>
    </row>
    <row r="59" spans="5:5" x14ac:dyDescent="0.2">
      <c r="E59" t="s">
        <v>101</v>
      </c>
    </row>
    <row r="60" spans="5:5" x14ac:dyDescent="0.2">
      <c r="E60" t="s">
        <v>102</v>
      </c>
    </row>
    <row r="61" spans="5:5" x14ac:dyDescent="0.2">
      <c r="E61" t="s">
        <v>103</v>
      </c>
    </row>
    <row r="62" spans="5:5" x14ac:dyDescent="0.2">
      <c r="E62" t="s">
        <v>104</v>
      </c>
    </row>
    <row r="63" spans="5:5" x14ac:dyDescent="0.2">
      <c r="E63" t="s">
        <v>105</v>
      </c>
    </row>
    <row r="64" spans="5:5" x14ac:dyDescent="0.2">
      <c r="E64" t="s">
        <v>106</v>
      </c>
    </row>
    <row r="65" spans="5:5" x14ac:dyDescent="0.2">
      <c r="E65" t="s">
        <v>107</v>
      </c>
    </row>
    <row r="66" spans="5:5" x14ac:dyDescent="0.2">
      <c r="E66" t="s">
        <v>108</v>
      </c>
    </row>
    <row r="67" spans="5:5" x14ac:dyDescent="0.2">
      <c r="E67" t="s">
        <v>109</v>
      </c>
    </row>
    <row r="68" spans="5:5" x14ac:dyDescent="0.2">
      <c r="E68" t="s">
        <v>110</v>
      </c>
    </row>
    <row r="69" spans="5:5" x14ac:dyDescent="0.2">
      <c r="E69" t="s">
        <v>111</v>
      </c>
    </row>
    <row r="70" spans="5:5" x14ac:dyDescent="0.2">
      <c r="E70" t="s">
        <v>112</v>
      </c>
    </row>
    <row r="71" spans="5:5" x14ac:dyDescent="0.2">
      <c r="E71" t="s">
        <v>113</v>
      </c>
    </row>
    <row r="72" spans="5:5" x14ac:dyDescent="0.2">
      <c r="E72" t="s">
        <v>114</v>
      </c>
    </row>
    <row r="73" spans="5:5" x14ac:dyDescent="0.2">
      <c r="E73" t="s">
        <v>115</v>
      </c>
    </row>
    <row r="74" spans="5:5" x14ac:dyDescent="0.2">
      <c r="E74" t="s">
        <v>116</v>
      </c>
    </row>
    <row r="75" spans="5:5" x14ac:dyDescent="0.2">
      <c r="E75" t="s">
        <v>117</v>
      </c>
    </row>
    <row r="76" spans="5:5" x14ac:dyDescent="0.2">
      <c r="E76" t="s">
        <v>118</v>
      </c>
    </row>
    <row r="77" spans="5:5" x14ac:dyDescent="0.2">
      <c r="E77" t="s">
        <v>119</v>
      </c>
    </row>
    <row r="78" spans="5:5" x14ac:dyDescent="0.2">
      <c r="E78" t="s">
        <v>120</v>
      </c>
    </row>
    <row r="79" spans="5:5" x14ac:dyDescent="0.2">
      <c r="E79" t="s">
        <v>121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2025-09-18T19:17:12Z</cp:lastPrinted>
  <dcterms:created xsi:type="dcterms:W3CDTF">2004-04-07T20:43:43Z</dcterms:created>
  <dcterms:modified xsi:type="dcterms:W3CDTF">2025-09-19T16:45:44Z</dcterms:modified>
  <cp:category/>
  <cp:contentStatus/>
</cp:coreProperties>
</file>