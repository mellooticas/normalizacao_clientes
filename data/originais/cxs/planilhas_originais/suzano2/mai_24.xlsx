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1088" documentId="13_ncr:1_{6937559D-0653-497D-B21D-1F51060C9C9A}" xr6:coauthVersionLast="47" xr6:coauthVersionMax="47" xr10:uidLastSave="{6FCE6038-4441-455F-9AB4-87794D8ABB45}"/>
  <bookViews>
    <workbookView xWindow="-120" yWindow="-120" windowWidth="29040" windowHeight="15840" tabRatio="895" activeTab="2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202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02" l="1"/>
  <c r="R40" i="202" s="1"/>
  <c r="R7" i="202"/>
  <c r="R8" i="202"/>
  <c r="R9" i="202"/>
  <c r="R10" i="202"/>
  <c r="R11" i="202"/>
  <c r="R12" i="202"/>
  <c r="R13" i="202"/>
  <c r="R14" i="202"/>
  <c r="R15" i="202"/>
  <c r="R16" i="202"/>
  <c r="R17" i="202"/>
  <c r="R18" i="202"/>
  <c r="R19" i="202"/>
  <c r="R20" i="202"/>
  <c r="C5" i="202"/>
  <c r="C21" i="202" s="1"/>
  <c r="C18" i="202"/>
  <c r="C19" i="202" s="1"/>
  <c r="B18" i="202"/>
  <c r="C11" i="202"/>
  <c r="C12" i="202"/>
  <c r="C13" i="202"/>
  <c r="C14" i="202"/>
  <c r="C6" i="202"/>
  <c r="C8" i="202" s="1"/>
  <c r="C7" i="202"/>
  <c r="C14" i="195"/>
  <c r="C13" i="195"/>
  <c r="C12" i="195"/>
  <c r="C11" i="195"/>
  <c r="C12" i="188"/>
  <c r="C13" i="188"/>
  <c r="C14" i="188"/>
  <c r="C11" i="188"/>
  <c r="C12" i="178"/>
  <c r="C13" i="178"/>
  <c r="C14" i="178"/>
  <c r="C11" i="178"/>
  <c r="R20" i="175"/>
  <c r="R19" i="175"/>
  <c r="C18" i="175"/>
  <c r="C19" i="175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1" i="174"/>
  <c r="C5" i="173"/>
  <c r="C21" i="173"/>
  <c r="C5" i="172"/>
  <c r="C21" i="172"/>
  <c r="C5" i="171"/>
  <c r="C21" i="171"/>
  <c r="C5" i="170"/>
  <c r="C21" i="170"/>
  <c r="C5" i="103"/>
  <c r="C5" i="178"/>
  <c r="C21" i="178"/>
  <c r="C5" i="177"/>
  <c r="C21" i="177"/>
  <c r="C5" i="176"/>
  <c r="C21" i="176"/>
  <c r="C5" i="180"/>
  <c r="C21" i="180"/>
  <c r="C5" i="182"/>
  <c r="C21" i="182"/>
  <c r="C5" i="183"/>
  <c r="C21" i="183"/>
  <c r="C5" i="181"/>
  <c r="C21" i="181"/>
  <c r="C5" i="179"/>
  <c r="C21" i="179"/>
  <c r="C5" i="184"/>
  <c r="C21" i="184"/>
  <c r="C5" i="185"/>
  <c r="C21" i="185"/>
  <c r="C5" i="186"/>
  <c r="C21" i="186" s="1"/>
  <c r="C5" i="187"/>
  <c r="C21" i="187"/>
  <c r="C5" i="189"/>
  <c r="C21" i="189"/>
  <c r="C5" i="190"/>
  <c r="C21" i="190"/>
  <c r="C5" i="191"/>
  <c r="C21" i="191"/>
  <c r="C5" i="188"/>
  <c r="C21" i="188"/>
  <c r="C5" i="193"/>
  <c r="C21" i="193"/>
  <c r="C5" i="195"/>
  <c r="C21" i="195"/>
  <c r="C5" i="194"/>
  <c r="C21" i="194"/>
  <c r="C5" i="197"/>
  <c r="C21" i="197"/>
  <c r="C5" i="196"/>
  <c r="C21" i="196"/>
  <c r="C5" i="192"/>
  <c r="C21" i="192"/>
  <c r="C5" i="199"/>
  <c r="C21" i="199"/>
  <c r="C6" i="174"/>
  <c r="C8" i="174"/>
  <c r="C6" i="173"/>
  <c r="C6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8" i="187"/>
  <c r="C6" i="189"/>
  <c r="C6" i="190"/>
  <c r="C6" i="191"/>
  <c r="C6" i="188"/>
  <c r="C6" i="193"/>
  <c r="C6" i="195"/>
  <c r="C6" i="194"/>
  <c r="C8" i="194"/>
  <c r="C6" i="197"/>
  <c r="C8" i="197"/>
  <c r="C6" i="196"/>
  <c r="C6" i="192"/>
  <c r="C8" i="192" s="1"/>
  <c r="C6" i="199"/>
  <c r="C8" i="199"/>
  <c r="R20" i="199"/>
  <c r="R19" i="199"/>
  <c r="C18" i="199"/>
  <c r="C19" i="199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R20" i="191"/>
  <c r="R19" i="191"/>
  <c r="C18" i="191"/>
  <c r="C19" i="19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8" i="187"/>
  <c r="C19" i="187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9"/>
  <c r="C8" i="190"/>
  <c r="C8" i="196"/>
  <c r="C8" i="189"/>
  <c r="C8" i="172"/>
  <c r="C8" i="180"/>
  <c r="C8" i="186"/>
  <c r="C8" i="173"/>
  <c r="C8" i="176"/>
  <c r="C8" i="183"/>
  <c r="C8" i="175"/>
  <c r="R40" i="194"/>
  <c r="R40" i="190"/>
  <c r="R40" i="183"/>
  <c r="R40" i="196"/>
  <c r="C8" i="191"/>
  <c r="B17" i="200"/>
  <c r="B18" i="200" s="1"/>
  <c r="R40" i="187"/>
  <c r="R40" i="189"/>
  <c r="R40" i="191"/>
  <c r="R40" i="193"/>
  <c r="R40" i="195"/>
  <c r="R40" i="180"/>
  <c r="R40" i="185"/>
  <c r="R40" i="186"/>
  <c r="R40" i="197"/>
  <c r="R40" i="199"/>
  <c r="C8" i="188"/>
  <c r="C15" i="170"/>
  <c r="O11" i="170"/>
  <c r="R40" i="170"/>
  <c r="C15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/>
  <c r="R40" i="171"/>
  <c r="B13" i="200"/>
  <c r="B5" i="200"/>
  <c r="B11" i="200"/>
  <c r="B10" i="200"/>
  <c r="B9" i="200"/>
  <c r="B14" i="200" s="1"/>
  <c r="B3" i="200"/>
  <c r="B4" i="200"/>
  <c r="B6" i="200" s="1"/>
  <c r="B12" i="200"/>
  <c r="C15" i="196"/>
  <c r="O11" i="196"/>
  <c r="C15" i="189"/>
  <c r="O11" i="189"/>
  <c r="C15" i="185"/>
  <c r="O11" i="185"/>
  <c r="C8" i="195"/>
  <c r="C8" i="193"/>
  <c r="C8" i="178"/>
  <c r="C8" i="185"/>
  <c r="C8" i="181"/>
  <c r="C8" i="170"/>
  <c r="C8" i="177"/>
  <c r="C8" i="182"/>
  <c r="C15" i="199"/>
  <c r="O11" i="199"/>
  <c r="C15" i="197"/>
  <c r="O11" i="197"/>
  <c r="C15" i="194"/>
  <c r="O11" i="194"/>
  <c r="C15" i="195"/>
  <c r="O11" i="195"/>
  <c r="C15" i="193"/>
  <c r="O11" i="193"/>
  <c r="C15" i="191"/>
  <c r="O11" i="191"/>
  <c r="C15" i="187"/>
  <c r="O11" i="187"/>
  <c r="C15" i="186"/>
  <c r="O11" i="186"/>
  <c r="C15" i="184"/>
  <c r="O11" i="184"/>
  <c r="C8" i="184"/>
  <c r="C15" i="179"/>
  <c r="O11" i="179"/>
  <c r="C15" i="181"/>
  <c r="O11" i="181"/>
  <c r="C15" i="183"/>
  <c r="O11" i="183"/>
  <c r="C15" i="182"/>
  <c r="O11" i="182"/>
  <c r="C15" i="180"/>
  <c r="O11" i="180"/>
  <c r="C15" i="176"/>
  <c r="O11" i="176"/>
  <c r="C15" i="177"/>
  <c r="O11" i="177"/>
  <c r="C15" i="178"/>
  <c r="O11" i="178"/>
  <c r="C15" i="172"/>
  <c r="O11" i="172"/>
  <c r="C15" i="173"/>
  <c r="O11" i="173"/>
  <c r="C15" i="174"/>
  <c r="O11" i="174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C15" i="103"/>
  <c r="O11" i="103" s="1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 s="1"/>
  <c r="B1" i="195" s="1"/>
  <c r="B1" i="194" s="1"/>
  <c r="B1" i="197" s="1"/>
  <c r="B1" i="196" s="1"/>
  <c r="B1" i="192" s="1"/>
  <c r="B1" i="199" s="1"/>
  <c r="B1" i="202" s="1"/>
  <c r="C15" i="188" l="1"/>
  <c r="O11" i="188" s="1"/>
  <c r="C15" i="190"/>
  <c r="O11" i="190" s="1"/>
  <c r="C15" i="192"/>
  <c r="O11" i="192" s="1"/>
  <c r="C15" i="202"/>
  <c r="O11" i="20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tc={B467AB8E-3A75-4829-AD49-EF8A1D004C1C}</author>
  </authors>
  <commentList>
    <comment ref="H6" authorId="0" shapeId="0" xr:uid="{B467AB8E-3A75-4829-AD49-EF8A1D004C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lançado no CX errado, o valor já mudei, estava R$ 720,00 e a OS R$ 877,00, Aline quando chegar o CX conferir, por gentileza.
Junior</t>
      </text>
    </comment>
  </commentList>
</comments>
</file>

<file path=xl/sharedStrings.xml><?xml version="1.0" encoding="utf-8"?>
<sst xmlns="http://schemas.openxmlformats.org/spreadsheetml/2006/main" count="1699" uniqueCount="179">
  <si>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</si>
  <si>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</si>
  <si>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</si>
  <si>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</si>
  <si>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</si>
  <si>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</si>
  <si>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</si>
  <si>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</si>
  <si>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</si>
  <si>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</si>
  <si>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</si>
  <si>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</si>
  <si>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</si>
  <si>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</si>
  <si>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</si>
  <si>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</si>
  <si>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</si>
  <si>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</si>
  <si>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</si>
  <si>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</si>
  <si>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</si>
  <si>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</si>
  <si>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</si>
  <si>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</si>
  <si>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</si>
  <si>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</si>
  <si>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</si>
  <si>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</si>
  <si>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</si>
  <si>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</si>
  <si>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</si>
  <si>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</si>
  <si>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</si>
  <si>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</si>
  <si>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</si>
  <si>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</si>
  <si>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</si>
  <si>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</si>
  <si>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</si>
  <si>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</si>
  <si>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</si>
  <si>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</si>
  <si>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</si>
  <si>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</si>
  <si>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</si>
  <si>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</si>
  <si>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</si>
  <si>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</si>
  <si>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</si>
  <si>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</si>
  <si>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</si>
  <si>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</si>
  <si>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</si>
  <si>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</si>
  <si>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</si>
  <si>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</si>
  <si>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</si>
  <si>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</si>
  <si>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</si>
  <si>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</si>
  <si>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</si>
  <si>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</si>
  <si>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</si>
  <si>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</si>
  <si>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</si>
  <si>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</si>
  <si>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</si>
  <si>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</si>
  <si>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</si>
  <si>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</si>
  <si>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</si>
  <si>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</si>
  <si>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</si>
  <si>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</si>
  <si>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</si>
  <si>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</si>
  <si>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</si>
  <si>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</si>
  <si>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</si>
  <si>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</si>
  <si>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</si>
  <si>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</si>
  <si>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</si>
  <si>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</si>
  <si>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</si>
  <si>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</si>
  <si>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</si>
  <si>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</si>
  <si>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</si>
  <si>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</si>
  <si>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</si>
  <si>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</si>
  <si>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</si>
  <si>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</si>
  <si>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</si>
  <si>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</si>
  <si>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</si>
  <si>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</si>
  <si>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</si>
  <si>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</si>
  <si>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</si>
  <si>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</si>
  <si>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</si>
  <si>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</si>
  <si>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</si>
  <si>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</si>
  <si>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</si>
  <si>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</si>
  <si>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</si>
  <si>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</si>
  <si>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</si>
  <si>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</si>
  <si>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</si>
  <si>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</si>
  <si>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</si>
  <si>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</si>
  <si>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</si>
  <si>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</si>
  <si>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</si>
  <si>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</si>
  <si>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</si>
  <si>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</si>
  <si>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</si>
  <si>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</si>
  <si>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Coluna1</t>
  </si>
  <si>
    <t>Coluna2</t>
  </si>
  <si>
    <t>Coluna3</t>
  </si>
  <si>
    <t>Coluna4</t>
  </si>
  <si>
    <t>Coluna5</t>
  </si>
  <si>
    <t>MARIA SANTOS SILVA</t>
  </si>
  <si>
    <t>Não</t>
  </si>
  <si>
    <t>SILVANA MENDES CARDOSO</t>
  </si>
  <si>
    <t>IVANI DIAS DE OLIVEIRA</t>
  </si>
  <si>
    <t>Sim</t>
  </si>
  <si>
    <t>SILVIA REGINA DE CAPRIO RACHID</t>
  </si>
  <si>
    <t>JOSINEIDE MARIA TEOTONIO SILVA</t>
  </si>
  <si>
    <t>TALITHA CECILIA LAU COSTA SOUZA</t>
  </si>
  <si>
    <t xml:space="preserve">   </t>
  </si>
  <si>
    <t xml:space="preserve">LUIZ PENHA MEDEIRI </t>
  </si>
  <si>
    <t>LUIZ PENHA MEDEIRI</t>
  </si>
  <si>
    <t>CLEONICE FAGUNDES</t>
  </si>
  <si>
    <t>WEVILLY</t>
  </si>
  <si>
    <t>AGUA</t>
  </si>
  <si>
    <t>Claudete Zapater Teodoro</t>
  </si>
  <si>
    <t>VIVIANE OLIVEIRA SILVA FERNANDES</t>
  </si>
  <si>
    <t>PEDRO HENRIQUE ARMILATO DOS SANTOS</t>
  </si>
  <si>
    <t>MARIA ZULEIDE BARBOSA</t>
  </si>
  <si>
    <t>EDNA FERREIRA PIRES</t>
  </si>
  <si>
    <t>TATY</t>
  </si>
  <si>
    <t>THAYMARA CRISTIANE DE MEDEIROS</t>
  </si>
  <si>
    <t>MANOEL ALVES FEITOSA FOLHO</t>
  </si>
  <si>
    <t>VALERIA ANASTACIO MARTINS</t>
  </si>
  <si>
    <t>GERALDO CONRADO DOS SANTOS</t>
  </si>
  <si>
    <t>JOSE EDUARDO HOHNE</t>
  </si>
  <si>
    <t>DAVI SILVA</t>
  </si>
  <si>
    <t>MATEUS</t>
  </si>
  <si>
    <t xml:space="preserve">DONIZETE RIBEIRO DE OLIVEIRA </t>
  </si>
  <si>
    <t>MARIA DO CARMO SOCORRO VIANA SANTOS</t>
  </si>
  <si>
    <t>ADRIANA ALVES DOS SANTOS</t>
  </si>
  <si>
    <t>MARIO ROSA LIMA JUNIOR</t>
  </si>
  <si>
    <t>FRANCINETO NUNES VIEIRA</t>
  </si>
  <si>
    <t>ALBA  MARIA DA SILVA</t>
  </si>
  <si>
    <t>MICHAELLE DA SILVA OLIVEIRA</t>
  </si>
  <si>
    <t>RONALDO APARECIDO DE ALMEIDA</t>
  </si>
  <si>
    <t>ADRIANA SOUZA SILVA</t>
  </si>
  <si>
    <t>HERCULANO DA SILVA</t>
  </si>
  <si>
    <t>ROZENI MENDES SOUZA SILVA</t>
  </si>
  <si>
    <t>AMANDA NOGUEIRA DA SILVA</t>
  </si>
  <si>
    <t xml:space="preserve">VALDECIR SOUZA LIMA </t>
  </si>
  <si>
    <t>ANDREIA BELMIRO</t>
  </si>
  <si>
    <t>FERNANDA SILVA DE OLIVEIRA</t>
  </si>
  <si>
    <t xml:space="preserve">ALBA  MARIA DA SILVA </t>
  </si>
  <si>
    <t>LUIZ DA PENHA MEDEIROS</t>
  </si>
  <si>
    <t>FELIPE</t>
  </si>
  <si>
    <t>CLARISSA MARINS RODRIGUES</t>
  </si>
  <si>
    <t>FELIPE  MIRANDA</t>
  </si>
  <si>
    <t>EDUARDO BOAVENTURA</t>
  </si>
  <si>
    <t>GIOVANA NASCIMENTO SILVA</t>
  </si>
  <si>
    <t>LETICIA CRISTINA VITURINO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</si>
</sst>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  <font>
      <b/>
      <sz val="12"/>
      <name val="Arial"/>
      <family val="2"/>
    </font>
    <font>
      <b/>
      <sz val="11"/>
      <name val="Calibri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2"/>
      <name val="Calibri"/>
      <family val="2"/>
    </font>
    <font>
      <b/>
      <sz val="18"/>
      <name val="Arial Black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2" fillId="0" borderId="17" xfId="0" applyFont="1" applyBorder="1" applyAlignment="1">
      <alignment horizontal="center"/>
    </xf>
    <xf numFmtId="165" fontId="42" fillId="0" borderId="17" xfId="0" applyNumberFormat="1" applyFont="1" applyBorder="1" applyAlignment="1">
      <alignment horizontal="center"/>
    </xf>
    <xf numFmtId="165" fontId="42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44" fontId="42" fillId="0" borderId="17" xfId="39" applyFont="1" applyFill="1" applyBorder="1" applyAlignment="1">
      <alignment horizontal="center"/>
    </xf>
    <xf numFmtId="165" fontId="42" fillId="0" borderId="17" xfId="4" applyNumberFormat="1" applyFont="1" applyFill="1" applyBorder="1" applyAlignment="1">
      <alignment horizontal="center"/>
    </xf>
    <xf numFmtId="164" fontId="42" fillId="0" borderId="17" xfId="2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3" fillId="0" borderId="0" xfId="0" applyFont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65" fontId="42" fillId="0" borderId="5" xfId="0" applyNumberFormat="1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165" fontId="44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165" fontId="42" fillId="0" borderId="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165" fontId="47" fillId="0" borderId="17" xfId="0" applyNumberFormat="1" applyFont="1" applyBorder="1" applyAlignment="1">
      <alignment horizontal="center"/>
    </xf>
    <xf numFmtId="165" fontId="47" fillId="0" borderId="6" xfId="0" applyNumberFormat="1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44" fontId="48" fillId="0" borderId="17" xfId="39" applyFont="1" applyFill="1" applyBorder="1" applyAlignment="1">
      <alignment horizontal="center"/>
    </xf>
    <xf numFmtId="165" fontId="48" fillId="0" borderId="17" xfId="4" applyNumberFormat="1" applyFont="1" applyFill="1" applyBorder="1" applyAlignment="1">
      <alignment horizontal="center"/>
    </xf>
    <xf numFmtId="1" fontId="46" fillId="0" borderId="10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164" fontId="46" fillId="0" borderId="13" xfId="2" applyFont="1" applyFill="1" applyBorder="1" applyAlignment="1">
      <alignment horizontal="center"/>
    </xf>
    <xf numFmtId="164" fontId="12" fillId="0" borderId="13" xfId="2" applyFont="1" applyFill="1" applyBorder="1" applyAlignment="1">
      <alignment horizontal="center"/>
    </xf>
    <xf numFmtId="165" fontId="48" fillId="0" borderId="6" xfId="0" applyNumberFormat="1" applyFont="1" applyBorder="1" applyAlignment="1">
      <alignment horizontal="center"/>
    </xf>
    <xf numFmtId="0" fontId="49" fillId="0" borderId="17" xfId="0" applyFont="1" applyBorder="1" applyAlignment="1">
      <alignment horizontal="center"/>
    </xf>
    <xf numFmtId="14" fontId="50" fillId="0" borderId="0" xfId="0" applyNumberFormat="1" applyFont="1" applyAlignment="1">
      <alignment horizontal="center"/>
    </xf>
    <xf numFmtId="164" fontId="12" fillId="5" borderId="10" xfId="2" applyFont="1" applyFill="1" applyBorder="1" applyAlignment="1">
      <alignment horizontal="center"/>
    </xf>
    <xf numFmtId="164" fontId="12" fillId="5" borderId="13" xfId="2" applyFont="1" applyFill="1" applyBorder="1" applyAlignment="1">
      <alignment horizontal="center"/>
    </xf>
    <xf numFmtId="165" fontId="12" fillId="5" borderId="13" xfId="4" applyNumberFormat="1" applyFont="1" applyFill="1" applyBorder="1" applyAlignment="1">
      <alignment horizontal="center"/>
    </xf>
    <xf numFmtId="165" fontId="12" fillId="5" borderId="9" xfId="4" applyNumberFormat="1" applyFont="1" applyFill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11" xfId="4" applyNumberFormat="1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65" fontId="51" fillId="0" borderId="13" xfId="0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165" fontId="46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zano2 lojas" id="{A356EFD5-48A4-4933-8C38-7F3BF511C9E0}" userId="S::suzano2@oticastatymello.com.br::96b45897-99d0-4583-8552-247de303a68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8" headerRowBorderDxfId="1647" tableBorderDxfId="1646" totalsRowBorderDxfId="1645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44" dataCellStyle="Moeda"/>
    <tableColumn id="5" xr3:uid="{45BECD08-8ABE-4A34-BD78-E2D3AFB8C62A}" name="Cliente" dataDxfId="1643" dataCellStyle="Moeda"/>
    <tableColumn id="2" xr3:uid="{A0D6666C-9CF7-4343-AF6B-BDFE62F94469}" name="Forma de Pgto" dataDxfId="1642" dataCellStyle="Moeda"/>
    <tableColumn id="3" xr3:uid="{988F127F-9D83-4428-BB94-C16FBBB1BD89}" name="Valor Venda" dataDxfId="1641" dataCellStyle="Porcentagem"/>
    <tableColumn id="4" xr3:uid="{6A2928C3-17B0-4FA3-B60C-9E1A2C0324E1}" name="Entrada" dataDxfId="1640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9" dataDxfId="1637" headerRowBorderDxfId="1638" tableBorderDxfId="1636" totalsRowBorderDxfId="1635">
  <autoFilter ref="K5:M11" xr:uid="{DD403130-B35C-452C-92F9-290622D77A3D}"/>
  <tableColumns count="3">
    <tableColumn id="1" xr3:uid="{FAD87634-3375-4B41-BEC0-5B072F6B52CE}" name="Descrição" dataDxfId="1634"/>
    <tableColumn id="2" xr3:uid="{7688071E-9548-4552-8BB1-3BA5128DF645}" name="Tipo de Pagto" dataDxfId="1633"/>
    <tableColumn id="3" xr3:uid="{2B260C33-79A5-4C5D-9195-15780C53A861}" name="Valor" dataDxfId="16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31" headerRowBorderDxfId="1630" tableBorderDxfId="1629" totalsRowBorderDxfId="1628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7"/>
    <tableColumn id="2" xr3:uid="{606BE417-6802-4580-90D2-86F95EFAAEB7}" name="Cliente" dataDxfId="1626"/>
    <tableColumn id="3" xr3:uid="{2F522A54-F708-4DA3-97E3-CE7C29912E04}" name="Forma de Pgto" dataDxfId="1625" dataCellStyle="Moeda"/>
    <tableColumn id="4" xr3:uid="{7B46EE64-F7F1-4449-A783-67286A94A7C4}" name="Valor Venda" dataDxfId="1624" dataCellStyle="Porcentagem"/>
    <tableColumn id="5" xr3:uid="{389A7D1A-3C35-485E-9958-8A78EF77BE9B}" name="Entrada" dataDxfId="1623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22" headerRowBorderDxfId="1621" tableBorderDxfId="1620" totalsRowBorderDxfId="1619">
  <autoFilter ref="K14:M31" xr:uid="{F07D43AD-1A4D-4B31-96B8-824F8623E518}"/>
  <tableColumns count="3">
    <tableColumn id="1" xr3:uid="{3AF01421-A7B6-4D23-9DA8-C20FAFAFDD9C}" name="OS" dataDxfId="1618"/>
    <tableColumn id="2" xr3:uid="{55DCC30E-EB52-427E-A16A-B2C93A41F1CE}" name="Vendedor" dataDxfId="1617"/>
    <tableColumn id="3" xr3:uid="{23EDA46C-42B4-4F6C-97D9-7040D6B9797C}" name="CARNE" dataDxfId="16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15" headerRowBorderDxfId="1614" tableBorderDxfId="1613" totalsRowBorderDxfId="1612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11"/>
    <tableColumn id="2" xr3:uid="{FBA6EA78-F44B-4D22-A27A-92A91C10551F}" name="Cliente" dataDxfId="1610"/>
    <tableColumn id="3" xr3:uid="{749B4D89-29B3-4987-91D3-6BA3C44D9B96}" name="Forma de Pgto" dataDxfId="1609" dataCellStyle="Moeda"/>
    <tableColumn id="4" xr3:uid="{A84A6598-B291-4809-A78D-AB810461733D}" name="Valor Parcela" dataDxfId="1608" dataCellStyle="Porcentagem"/>
    <tableColumn id="5" xr3:uid="{3C45FEEC-5E06-4ED7-87CD-0097DB6BC817}" name="Nº Parcela" dataDxfId="1607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06" headerRowBorderDxfId="1605" tableBorderDxfId="1604" totalsRowBorderDxfId="1603">
  <autoFilter ref="K34:M41" xr:uid="{42BA126A-AECD-4CD6-8583-BD2352D82FB9}"/>
  <tableColumns count="3">
    <tableColumn id="1" xr3:uid="{0989D88A-7CB7-4008-94FC-B7FFB3CAE582}" name="OS" dataDxfId="1602"/>
    <tableColumn id="2" xr3:uid="{AC9D76CC-A537-4210-9893-E8C57DA30B4D}" name="Parcelas" dataDxfId="1601"/>
    <tableColumn id="3" xr3:uid="{D4D72E6E-DAE0-4860-8606-BFD8E469AE3D}" name="Valor Total" dataDxfId="160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9" dataDxfId="1597" headerRowBorderDxfId="1598" tableBorderDxfId="1596" totalsRowBorderDxfId="159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94" dataCellStyle="Moeda"/>
    <tableColumn id="5" xr3:uid="{62DCD49D-7CD9-4268-A2D5-B3A594E461BB}" name="Cliente" dataDxfId="1593" dataCellStyle="Moeda"/>
    <tableColumn id="2" xr3:uid="{50D45495-B1A2-4885-996A-3E6DD92E280E}" name="Forma de Pgto" dataDxfId="1592" dataCellStyle="Moeda"/>
    <tableColumn id="3" xr3:uid="{DE57E226-692B-42B0-911E-ACCF59BC6D86}" name="Valor Venda" dataDxfId="1591" dataCellStyle="Porcentagem"/>
    <tableColumn id="4" xr3:uid="{CE230B3B-D2C9-4A92-A5F3-A5EE4A74409A}" name="Entrada" dataDxfId="1590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9" dataDxfId="1587" headerRowBorderDxfId="1588" tableBorderDxfId="1586" totalsRowBorderDxfId="1585">
  <autoFilter ref="K5:M11" xr:uid="{00000000-0009-0000-0100-000015000000}"/>
  <tableColumns count="3">
    <tableColumn id="1" xr3:uid="{58E2E66D-9AC0-4A69-BF19-1AB9AD59BA2F}" name="Descrição" dataDxfId="1584"/>
    <tableColumn id="2" xr3:uid="{FE1E3124-46C3-49A6-AE83-7C14B341DF59}" name="Tipo de Pagto" dataDxfId="1583"/>
    <tableColumn id="3" xr3:uid="{D8FBF474-04EE-46ED-9B9E-791D937CF715}" name="Valor" dataDxfId="15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81" dataDxfId="1579" headerRowBorderDxfId="1580" tableBorderDxfId="1578" totalsRowBorderDxfId="157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76"/>
    <tableColumn id="2" xr3:uid="{595EF087-A3B2-4C2B-AEEA-F930A6C2F5F4}" name="Cliente" dataDxfId="1575"/>
    <tableColumn id="3" xr3:uid="{C5C2BC75-6E8D-4808-A5EE-A5F9251ECE6C}" name="Forma de Pgto" dataDxfId="1574" dataCellStyle="Moeda"/>
    <tableColumn id="4" xr3:uid="{20CF776B-B9F4-48DD-9379-961689B40B71}" name="Valor Venda" dataDxfId="1573" dataCellStyle="Porcentagem"/>
    <tableColumn id="5" xr3:uid="{65177CB6-6D07-42E6-8EFE-435282A2F5BA}" name="Entrada" dataDxfId="1572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71" dataDxfId="1569" headerRowBorderDxfId="1570" tableBorderDxfId="1568" totalsRowBorderDxfId="156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Coluna1" dataDxfId="1566"/>
    <tableColumn id="2" xr3:uid="{D1AEFC99-FF9D-4A0D-BE93-D866BDC7A817}" name="Vendedor" dataDxfId="1565"/>
    <tableColumn id="3" xr3:uid="{CA30546E-8A3F-45D5-BE2B-24DCF738F1F2}" name="CARNE" dataDxfId="156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63" dataDxfId="1561" headerRowBorderDxfId="1562" tableBorderDxfId="1560" totalsRowBorderDxfId="155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8"/>
    <tableColumn id="2" xr3:uid="{7D38F106-0145-4B73-951B-86BF22EC7FAB}" name="Cliente" dataDxfId="1557"/>
    <tableColumn id="3" xr3:uid="{11A4EEBE-D35C-4719-B2B9-16486260EF79}" name="Forma de Pgto" dataDxfId="1556" dataCellStyle="Moeda"/>
    <tableColumn id="4" xr3:uid="{1BAB2FC5-9F2C-41DD-994A-6BA83A984883}" name="Valor Parcela" dataDxfId="1555" dataCellStyle="Porcentagem"/>
    <tableColumn id="5" xr3:uid="{8C539F89-5F96-4DB9-B7A4-784EA1B5350C}" name="Nº Parcela" dataDxfId="1554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53" headerRowBorderDxfId="1552" tableBorderDxfId="1551" totalsRowBorderDxfId="1550">
  <autoFilter ref="K34:M41" xr:uid="{1B8643D4-6AC3-4029-882A-C62E9D7CB225}"/>
  <tableColumns count="3">
    <tableColumn id="1" xr3:uid="{0B93901B-D681-410F-8B28-E186D9A3CAC3}" name="OS" dataDxfId="1549"/>
    <tableColumn id="2" xr3:uid="{A57C0E02-6258-48F0-9407-2095CD96B2D4}" name="Parcelas" dataDxfId="1548"/>
    <tableColumn id="3" xr3:uid="{1EA087CF-658D-4951-89BB-508667E3BBBE}" name="Valor Total" dataDxfId="154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46" dataDxfId="1544" headerRowBorderDxfId="1545" tableBorderDxfId="1543" totalsRowBorderDxfId="154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41" dataCellStyle="Moeda"/>
    <tableColumn id="5" xr3:uid="{98DC42E5-632F-4288-9CC5-1F032859A7E7}" name="Cliente" dataDxfId="1540" dataCellStyle="Moeda"/>
    <tableColumn id="2" xr3:uid="{4AE32B81-9EBD-470B-9ABE-A82D6658F3FE}" name="Forma de Pgto" dataDxfId="1539" dataCellStyle="Moeda"/>
    <tableColumn id="3" xr3:uid="{6E5BAEC1-2689-4ABB-93EC-298595B5C82E}" name="Valor Venda" dataDxfId="1538" dataCellStyle="Porcentagem"/>
    <tableColumn id="4" xr3:uid="{24493E7B-FE77-4A85-8810-0F0A4A84D997}" name="Entrada" dataDxfId="1537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36" dataDxfId="1534" headerRowBorderDxfId="1535" tableBorderDxfId="1533" totalsRowBorderDxfId="1532">
  <autoFilter ref="K5:M11" xr:uid="{00000000-0009-0000-0100-000015000000}"/>
  <tableColumns count="3">
    <tableColumn id="1" xr3:uid="{DA50BBFB-ECA9-45DE-9949-F3F90EEC3BA7}" name="Descrição" dataDxfId="1531"/>
    <tableColumn id="2" xr3:uid="{A64D4F88-B62D-440B-BA71-6D7BB28D542E}" name="Tipo de Pagto" dataDxfId="1530"/>
    <tableColumn id="3" xr3:uid="{0406A209-0652-47F9-9AB4-3256B26876D2}" name="Valor" dataDxfId="152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8" dataDxfId="1526" headerRowBorderDxfId="1527" tableBorderDxfId="1525" totalsRowBorderDxfId="152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23"/>
    <tableColumn id="2" xr3:uid="{8B8D24E4-1123-478B-838C-FCF56EABBDFD}" name="Cliente" dataDxfId="1522"/>
    <tableColumn id="3" xr3:uid="{8B7DE8DF-8D5D-4245-A63D-EF550AE347E3}" name="Forma de Pgto" dataDxfId="1521" dataCellStyle="Moeda"/>
    <tableColumn id="4" xr3:uid="{95A77C0C-49D0-45A2-8B99-A765C4741CE7}" name="Valor Venda" dataDxfId="1520" dataCellStyle="Porcentagem"/>
    <tableColumn id="5" xr3:uid="{FF4FDD32-DA70-4723-A8FB-07B3FB04B5CD}" name="Entrada" dataDxfId="1519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8" dataDxfId="1516" headerRowBorderDxfId="1517" tableBorderDxfId="1515" totalsRowBorderDxfId="1514">
  <autoFilter ref="K14:M31" xr:uid="{C83FE64B-E221-4DAA-89EA-5307A7BC98B3}"/>
  <tableColumns count="3">
    <tableColumn id="1" xr3:uid="{A31E67F7-E266-4220-8D3F-09556FCE20B1}" name="OS" dataDxfId="1513"/>
    <tableColumn id="2" xr3:uid="{2ED39269-8DA5-4157-9E82-8C8ED0C828A3}" name="Vendedor" dataDxfId="1512"/>
    <tableColumn id="3" xr3:uid="{F550B35D-6F70-4E2E-9037-3A7DF5BB4D86}" name="CARNE" dataDxfId="15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10" dataDxfId="1508" headerRowBorderDxfId="1509" tableBorderDxfId="1507" totalsRowBorderDxfId="150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05"/>
    <tableColumn id="2" xr3:uid="{58D563AD-1DCA-4768-9170-A0079A20A1DF}" name="Cliente" dataDxfId="1504"/>
    <tableColumn id="3" xr3:uid="{FE883FCE-942C-4DE5-904D-B12FE6C4992D}" name="Forma de Pgto" dataDxfId="1503" dataCellStyle="Moeda"/>
    <tableColumn id="4" xr3:uid="{21451B08-4DF0-4C35-AC45-94C183AA6A59}" name="Valor Parcela" dataDxfId="1502" dataCellStyle="Porcentagem"/>
    <tableColumn id="5" xr3:uid="{8F93C3AE-47D0-4E55-A038-445341804CE9}" name="Nº Parcela" dataDxfId="1501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00" headerRowBorderDxfId="1499" tableBorderDxfId="1498" totalsRowBorderDxfId="1497">
  <autoFilter ref="K34:M41" xr:uid="{1B8643D4-6AC3-4029-882A-C62E9D7CB225}"/>
  <tableColumns count="3">
    <tableColumn id="1" xr3:uid="{2687574F-C0F9-4AD1-A54B-286C1AE50D97}" name="OS" dataDxfId="1496"/>
    <tableColumn id="2" xr3:uid="{AE623FF4-38C1-45D9-B220-1CD4A553B7C1}" name="Parcelas" dataDxfId="1495"/>
    <tableColumn id="3" xr3:uid="{EEBFC521-3084-43FF-A36B-C25CE198B817}" name="Valor Total" dataDxfId="149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93" dataDxfId="1491" headerRowBorderDxfId="1492" tableBorderDxfId="1490" totalsRowBorderDxfId="14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8" dataCellStyle="Moeda"/>
    <tableColumn id="5" xr3:uid="{F5DA840E-A051-4AE4-AE1A-9DAFAF8FFC3B}" name="Cliente" dataDxfId="1487" dataCellStyle="Moeda"/>
    <tableColumn id="2" xr3:uid="{DF65CD3D-444A-4025-B98B-F38F11610432}" name="Forma de Pgto" dataDxfId="1486" dataCellStyle="Moeda"/>
    <tableColumn id="3" xr3:uid="{9A4839DC-9153-466A-B0AF-456FAEF79174}" name="Valor Venda" dataDxfId="1485" dataCellStyle="Porcentagem"/>
    <tableColumn id="4" xr3:uid="{EF410A7C-DBD1-4367-A43B-616826FFEB4F}" name="Entrada" dataDxfId="1484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83" dataDxfId="1481" headerRowBorderDxfId="1482" tableBorderDxfId="1480" totalsRowBorderDxfId="1479">
  <autoFilter ref="K5:M11" xr:uid="{00000000-0009-0000-0100-000015000000}"/>
  <tableColumns count="3">
    <tableColumn id="1" xr3:uid="{F1C90853-2F5A-4C32-8AC3-18ECE1FDDF43}" name="Descrição" dataDxfId="1478"/>
    <tableColumn id="2" xr3:uid="{DEB32F17-2D52-4FBB-90C4-1C3AE9C104E6}" name="Tipo de Pagto" dataDxfId="1477"/>
    <tableColumn id="3" xr3:uid="{089B3650-C090-496F-BF9A-6E8466DBF76A}" name="Valor" dataDxfId="147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75" dataDxfId="1473" headerRowBorderDxfId="1474" tableBorderDxfId="1472" totalsRowBorderDxfId="14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70"/>
    <tableColumn id="2" xr3:uid="{73AEC7DD-005C-4428-9D1D-1A3761F2192B}" name="Cliente" dataDxfId="1469"/>
    <tableColumn id="3" xr3:uid="{FA28017F-3137-49BD-B826-2E261901E543}" name="Forma de Pgto" dataDxfId="1468" dataCellStyle="Moeda"/>
    <tableColumn id="4" xr3:uid="{6030418B-B1EC-4D4D-96DF-0EB78B87F6F9}" name="Valor Venda" dataDxfId="1467" dataCellStyle="Porcentagem"/>
    <tableColumn id="5" xr3:uid="{0576A975-F40D-4463-85C0-76AB6FCD63AC}" name="Entrada" dataDxfId="1466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65" dataDxfId="1463" headerRowBorderDxfId="1464" tableBorderDxfId="1462" totalsRowBorderDxfId="1461">
  <autoFilter ref="K14:M31" xr:uid="{C83FE64B-E221-4DAA-89EA-5307A7BC98B3}"/>
  <tableColumns count="3">
    <tableColumn id="1" xr3:uid="{830E23BA-DE90-49EF-B4EA-89C3276575B2}" name="OS" dataDxfId="1460"/>
    <tableColumn id="2" xr3:uid="{679AF5A0-4545-4316-AD6C-E4B7A7BA099A}" name="Vendedor" dataDxfId="1459"/>
    <tableColumn id="3" xr3:uid="{6B801D58-D05B-4A78-A6FE-BC9EF408DC10}" name="CARNE" dataDxfId="145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7" dataDxfId="1455" headerRowBorderDxfId="1456" tableBorderDxfId="1454" totalsRowBorderDxfId="145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52"/>
    <tableColumn id="2" xr3:uid="{953837B7-D16A-40C2-9C83-CD7E7171C88F}" name="Cliente" dataDxfId="1451"/>
    <tableColumn id="3" xr3:uid="{63860264-C651-4A12-8F01-E9F622A843C0}" name="Forma de Pgto" dataDxfId="1450" dataCellStyle="Moeda"/>
    <tableColumn id="4" xr3:uid="{584373BD-23BA-4A1E-A4FC-3D4A594F4148}" name="Valor Parcela" dataDxfId="1449" dataCellStyle="Porcentagem"/>
    <tableColumn id="5" xr3:uid="{7CBAF04B-D82E-4180-A8EA-98461BE41F4A}" name="Nº Parcela" dataDxfId="1448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7" headerRowBorderDxfId="1446" tableBorderDxfId="1445" totalsRowBorderDxfId="1444">
  <autoFilter ref="K34:M41" xr:uid="{1B8643D4-6AC3-4029-882A-C62E9D7CB225}"/>
  <tableColumns count="3">
    <tableColumn id="1" xr3:uid="{F555359C-BC20-4C24-A948-500BDD3B5763}" name="OS" dataDxfId="1443"/>
    <tableColumn id="2" xr3:uid="{B72B4820-B8B5-4F80-83B5-9EC54EF78025}" name="Parcelas" dataDxfId="1442"/>
    <tableColumn id="3" xr3:uid="{893DDBC4-5663-4D63-80CB-4E7482811983}" name="Valor Total" dataDxfId="144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40" dataDxfId="1438" headerRowBorderDxfId="1439" tableBorderDxfId="1437" totalsRowBorderDxfId="14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35" dataCellStyle="Moeda"/>
    <tableColumn id="5" xr3:uid="{4F9ED826-A0E1-4FB0-83C6-A561EA7B6750}" name="Cliente" dataDxfId="1434" dataCellStyle="Moeda"/>
    <tableColumn id="2" xr3:uid="{C2B928FE-CB2E-4271-AE3D-2FE26117248E}" name="Forma de Pgto" dataDxfId="1433" dataCellStyle="Moeda"/>
    <tableColumn id="3" xr3:uid="{CE23E3D0-4056-4DCB-83C4-5B94BD49CAAC}" name="Valor Venda" dataDxfId="1432" dataCellStyle="Porcentagem"/>
    <tableColumn id="4" xr3:uid="{1F426340-BFB9-4B9E-B988-7A195156D2F2}" name="Entrada" dataDxfId="1431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30" dataDxfId="1428" headerRowBorderDxfId="1429" tableBorderDxfId="1427" totalsRowBorderDxfId="1426">
  <autoFilter ref="K5:M11" xr:uid="{00000000-0009-0000-0100-000015000000}"/>
  <tableColumns count="3">
    <tableColumn id="1" xr3:uid="{F4C840DC-E06E-4A51-B1BF-E769E4EC9ACB}" name="Descrição" dataDxfId="1425"/>
    <tableColumn id="2" xr3:uid="{E6DE1F07-CE97-421A-A22A-4B4270DDF46D}" name="Tipo de Pagto" dataDxfId="1424"/>
    <tableColumn id="3" xr3:uid="{D84FBA92-07C5-41FD-BBA2-2AADF245D1D6}" name="Valor" dataDxfId="142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22" dataDxfId="1420" headerRowBorderDxfId="1421" tableBorderDxfId="1419" totalsRowBorderDxfId="14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7"/>
    <tableColumn id="2" xr3:uid="{CD77FB12-1DAA-4DAF-B42A-0357959803DD}" name="Cliente" dataDxfId="1416"/>
    <tableColumn id="3" xr3:uid="{5F4C4F5C-C920-452A-B2BA-592AD2C18723}" name="Forma de Pgto" dataDxfId="1415" dataCellStyle="Moeda"/>
    <tableColumn id="4" xr3:uid="{3930B2F0-6049-4E02-92B1-EC55A5330B2C}" name="Valor Venda" dataDxfId="1414" dataCellStyle="Porcentagem"/>
    <tableColumn id="5" xr3:uid="{82EBAE08-64CA-459E-9015-FA8F61210D87}" name="Entrada" dataDxfId="1413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12" dataDxfId="1410" headerRowBorderDxfId="1411" tableBorderDxfId="1409" totalsRowBorderDxfId="1408">
  <autoFilter ref="K14:M31" xr:uid="{C83FE64B-E221-4DAA-89EA-5307A7BC98B3}"/>
  <tableColumns count="3">
    <tableColumn id="1" xr3:uid="{E0565617-EB8C-486F-838C-B370E84BC8A2}" name="OS" dataDxfId="1407"/>
    <tableColumn id="2" xr3:uid="{EA20833B-67D8-48B8-B6E4-54A10D0969E8}" name="Vendedor" dataDxfId="1406"/>
    <tableColumn id="3" xr3:uid="{8B1F8993-74A4-499F-AD5E-91A6051BA219}" name="CARNE" dataDxfId="140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04" dataDxfId="1402" headerRowBorderDxfId="1403" tableBorderDxfId="1401" totalsRowBorderDxfId="14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9"/>
    <tableColumn id="2" xr3:uid="{FB461660-91D6-4E31-81FF-113A17320EED}" name="Cliente" dataDxfId="1398"/>
    <tableColumn id="3" xr3:uid="{0A47D0C3-375B-4E2D-B5E9-2048252BC0D3}" name="Forma de Pgto" dataDxfId="1397" dataCellStyle="Moeda"/>
    <tableColumn id="4" xr3:uid="{F9C62ED5-C18D-465D-B7E4-0729BD7B3A10}" name="Valor Parcela" dataDxfId="1396" dataCellStyle="Porcentagem"/>
    <tableColumn id="5" xr3:uid="{DD9D513B-1645-445F-83E9-DC54C163BD4E}" name="Nº Parcela" dataDxfId="1395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94" headerRowBorderDxfId="1393" tableBorderDxfId="1392" totalsRowBorderDxfId="1391">
  <autoFilter ref="K34:M41" xr:uid="{1B8643D4-6AC3-4029-882A-C62E9D7CB225}"/>
  <tableColumns count="3">
    <tableColumn id="1" xr3:uid="{D65B195F-C059-40E5-A4CA-FE91C5DB43DB}" name="OS" dataDxfId="1390"/>
    <tableColumn id="2" xr3:uid="{A2A023CF-C61D-419E-ABB0-2F9CEE35150B}" name="Parcelas" dataDxfId="1389"/>
    <tableColumn id="3" xr3:uid="{F7D650A1-7C3D-42D0-B133-EB49D396C64F}" name="Valor Total" dataDxfId="138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7" dataDxfId="1385" headerRowBorderDxfId="1386" tableBorderDxfId="1384" totalsRowBorderDxfId="13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82" dataCellStyle="Moeda"/>
    <tableColumn id="5" xr3:uid="{FF96847D-D5C5-4F73-905C-E549112972E1}" name="Cliente" dataDxfId="1381" dataCellStyle="Moeda"/>
    <tableColumn id="2" xr3:uid="{1B47815A-C2E2-4886-9A6F-B2A7307F901E}" name="Forma de Pgto" dataDxfId="1380" dataCellStyle="Moeda"/>
    <tableColumn id="3" xr3:uid="{FD86C99A-4E69-452A-8D71-B939B84F2B55}" name="Valor Venda" dataDxfId="1379" dataCellStyle="Porcentagem"/>
    <tableColumn id="4" xr3:uid="{49ECBAAC-14EE-43F3-BE6F-974EF5F3E156}" name="Entrada" dataDxfId="1378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7" dataDxfId="1375" headerRowBorderDxfId="1376" tableBorderDxfId="1374" totalsRowBorderDxfId="1373">
  <autoFilter ref="K5:M11" xr:uid="{00000000-0009-0000-0100-000015000000}"/>
  <tableColumns count="3">
    <tableColumn id="1" xr3:uid="{5236D397-E61A-4AA1-B99C-AD40093239F9}" name="Descrição" dataDxfId="1372"/>
    <tableColumn id="2" xr3:uid="{3341FC2A-819A-41AF-B8A9-B5A195B8D597}" name="Tipo de Pagto" dataDxfId="1371"/>
    <tableColumn id="3" xr3:uid="{D568CA16-B32B-4F86-9DE5-B8B3E9825745}" name="Valor" dataDxfId="137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9" dataDxfId="1367" headerRowBorderDxfId="1368" tableBorderDxfId="1366" totalsRowBorderDxfId="13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64"/>
    <tableColumn id="2" xr3:uid="{DEEB020C-2BC4-4E77-9557-B0FDBCF683E9}" name="Cliente" dataDxfId="1363"/>
    <tableColumn id="3" xr3:uid="{FC27FDBE-5194-4E32-AFD1-DB754ECCEF38}" name="Forma de Pgto" dataDxfId="1362" dataCellStyle="Moeda"/>
    <tableColumn id="4" xr3:uid="{489A4CE9-C3F1-4322-9639-D01F0935FB0E}" name="Valor Venda" dataDxfId="1361" dataCellStyle="Porcentagem"/>
    <tableColumn id="5" xr3:uid="{07E5F22F-7782-466E-98DB-48416B35B9C4}" name="Entrada" dataDxfId="1360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9" dataDxfId="1357" headerRowBorderDxfId="1358" tableBorderDxfId="1356" totalsRowBorderDxfId="1355">
  <autoFilter ref="K14:M31" xr:uid="{C83FE64B-E221-4DAA-89EA-5307A7BC98B3}"/>
  <tableColumns count="3">
    <tableColumn id="1" xr3:uid="{E4926A1A-00A9-4844-90B1-E36D53050FAD}" name="OS" dataDxfId="1354"/>
    <tableColumn id="2" xr3:uid="{CFC62C38-9887-48E6-A3B8-42586D1EC066}" name="Vendedor" dataDxfId="1353"/>
    <tableColumn id="3" xr3:uid="{32577275-2002-496E-8AD4-5FE489DBC179}" name="CARNE" dataDxfId="135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51" dataDxfId="1349" headerRowBorderDxfId="1350" tableBorderDxfId="1348" totalsRowBorderDxfId="13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46"/>
    <tableColumn id="2" xr3:uid="{19438CD0-86D0-4CC4-9B41-5D756AC61E4D}" name="Cliente" dataDxfId="1345"/>
    <tableColumn id="3" xr3:uid="{59621200-4821-4583-9D35-A2EA6C27B52D}" name="Forma de Pgto" dataDxfId="1344" dataCellStyle="Moeda"/>
    <tableColumn id="4" xr3:uid="{35A817E7-6B21-48A7-863E-225DFEDD8B2A}" name="Valor Parcela" dataDxfId="1343" dataCellStyle="Porcentagem"/>
    <tableColumn id="5" xr3:uid="{77D80430-C5F8-4582-B3DF-9A9A9350F565}" name="Nº Parcela" dataDxfId="1342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41" headerRowBorderDxfId="1340" tableBorderDxfId="1339" totalsRowBorderDxfId="1338">
  <autoFilter ref="K34:M41" xr:uid="{1B8643D4-6AC3-4029-882A-C62E9D7CB225}"/>
  <tableColumns count="3">
    <tableColumn id="1" xr3:uid="{503F9F70-E540-4505-B65D-D233FCB88D5F}" name="OS" dataDxfId="1337"/>
    <tableColumn id="2" xr3:uid="{6A2B4927-D830-4C18-8831-6FE23BFAD877}" name="Parcelas" dataDxfId="1336"/>
    <tableColumn id="3" xr3:uid="{8E06E94A-FF62-4D13-8B11-C6CE2990FCDF}" name="Valor Total" dataDxfId="133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34" dataDxfId="1332" headerRowBorderDxfId="1333" tableBorderDxfId="1331" totalsRowBorderDxfId="133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9" dataCellStyle="Moeda"/>
    <tableColumn id="5" xr3:uid="{00000000-0010-0000-0900-000005000000}" name="Cliente" dataDxfId="1328" dataCellStyle="Moeda"/>
    <tableColumn id="2" xr3:uid="{00000000-0010-0000-0900-000002000000}" name="Forma de Pgto" dataDxfId="1327" dataCellStyle="Moeda"/>
    <tableColumn id="3" xr3:uid="{00000000-0010-0000-0900-000003000000}" name="Valor Venda" dataDxfId="1326" dataCellStyle="Porcentagem"/>
    <tableColumn id="4" xr3:uid="{00000000-0010-0000-0900-000004000000}" name="Entrada" dataDxfId="1325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24" dataDxfId="1322" headerRowBorderDxfId="1323" tableBorderDxfId="1321" totalsRowBorderDxfId="1320">
  <autoFilter ref="K5:M11" xr:uid="{00000000-0009-0000-0100-000015000000}"/>
  <tableColumns count="3">
    <tableColumn id="1" xr3:uid="{00000000-0010-0000-0A00-000001000000}" name="Descrição" dataDxfId="1319"/>
    <tableColumn id="2" xr3:uid="{00000000-0010-0000-0A00-000002000000}" name="Tipo de Pagto" dataDxfId="1318"/>
    <tableColumn id="3" xr3:uid="{00000000-0010-0000-0A00-000003000000}" name="Valor" dataDxfId="131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16" dataDxfId="1314" headerRowBorderDxfId="1315" tableBorderDxfId="1313" totalsRowBorderDxfId="131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11"/>
    <tableColumn id="2" xr3:uid="{00000000-0010-0000-0B00-000002000000}" name="Cliente" dataDxfId="1310"/>
    <tableColumn id="3" xr3:uid="{00000000-0010-0000-0B00-000003000000}" name="Forma de Pgto" dataDxfId="1309" dataCellStyle="Moeda"/>
    <tableColumn id="4" xr3:uid="{00000000-0010-0000-0B00-000004000000}" name="Valor Venda" dataDxfId="1308" dataCellStyle="Porcentagem"/>
    <tableColumn id="5" xr3:uid="{00000000-0010-0000-0B00-000005000000}" name="Entrada" dataDxfId="1307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06" dataDxfId="1304" headerRowBorderDxfId="1305" tableBorderDxfId="1303" totalsRowBorderDxfId="1302">
  <autoFilter ref="K14:M31" xr:uid="{C83FE64B-E221-4DAA-89EA-5307A7BC98B3}"/>
  <tableColumns count="3">
    <tableColumn id="1" xr3:uid="{E5EB8AC8-7F8E-49D1-A903-14124A5BA1B1}" name="OS" dataDxfId="1301"/>
    <tableColumn id="2" xr3:uid="{E1794679-294A-42ED-9D8F-4C0874170BFA}" name="Vendedor" dataDxfId="1300"/>
    <tableColumn id="3" xr3:uid="{CB411C23-941D-4548-984D-68460932D683}" name="CARNE" dataDxfId="1299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8" dataDxfId="1296" headerRowBorderDxfId="1297" tableBorderDxfId="1295" totalsRowBorderDxfId="129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93"/>
    <tableColumn id="2" xr3:uid="{430FE27E-32BC-43B0-BB6E-CCBAB36B2A5A}" name="Cliente" dataDxfId="1292"/>
    <tableColumn id="3" xr3:uid="{568CECCF-BE0A-4266-A7C7-9359F722EA0F}" name="Forma de Pgto" dataDxfId="1291" dataCellStyle="Moeda"/>
    <tableColumn id="4" xr3:uid="{9CF4291A-8808-43DB-9F83-A7EB463C5F4A}" name="Valor Parcela" dataDxfId="1290" dataCellStyle="Porcentagem"/>
    <tableColumn id="5" xr3:uid="{736EA743-97FA-4800-BEDD-5C07EEB144A8}" name="Nº Parcela" dataDxfId="1289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8" headerRowBorderDxfId="1287" tableBorderDxfId="1286" totalsRowBorderDxfId="1285">
  <autoFilter ref="K34:M41" xr:uid="{1B8643D4-6AC3-4029-882A-C62E9D7CB225}"/>
  <tableColumns count="3">
    <tableColumn id="1" xr3:uid="{132FEC50-51B3-4AAA-BF48-63FA39ED861C}" name="OS" dataDxfId="1284"/>
    <tableColumn id="2" xr3:uid="{11276640-1C63-48D7-BE0B-1FE7C736A1A8}" name="Parcelas" dataDxfId="1283"/>
    <tableColumn id="3" xr3:uid="{96591591-9F74-40A6-B0B9-BA6D2106107F}" name="Valor Total" dataDxfId="128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81" dataDxfId="1279" headerRowBorderDxfId="1280" tableBorderDxfId="1278" totalsRowBorderDxfId="12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76" dataCellStyle="Moeda"/>
    <tableColumn id="5" xr3:uid="{795F9F6D-AAE5-4C61-A646-82BF506C503E}" name="Cliente" dataDxfId="1275" dataCellStyle="Moeda"/>
    <tableColumn id="2" xr3:uid="{DD13626B-6361-410E-BFB7-9E75436163A4}" name="Forma de Pgto" dataDxfId="1274" dataCellStyle="Moeda"/>
    <tableColumn id="3" xr3:uid="{8939280F-F6DC-4F66-ADDF-59F6A387460C}" name="Valor Venda" dataDxfId="1273" dataCellStyle="Porcentagem"/>
    <tableColumn id="4" xr3:uid="{FFC83B9E-825A-4058-BFEA-DA64D7159065}" name="Entrada" dataDxfId="1272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71" dataDxfId="1269" headerRowBorderDxfId="1270" tableBorderDxfId="1268" totalsRowBorderDxfId="1267">
  <autoFilter ref="K5:M11" xr:uid="{00000000-0009-0000-0100-000015000000}"/>
  <tableColumns count="3">
    <tableColumn id="1" xr3:uid="{9309A091-2326-4B68-B8C9-B31CF2D72EAF}" name="Descrição" dataDxfId="1266"/>
    <tableColumn id="2" xr3:uid="{910D89CE-506B-440F-8EB2-31633D7CAD51}" name="Tipo de Pagto" dataDxfId="1265"/>
    <tableColumn id="3" xr3:uid="{7155C391-52F1-4F4A-84B1-7BBC44A35A99}" name="Valor" dataDxfId="126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63" dataDxfId="1261" headerRowBorderDxfId="1262" tableBorderDxfId="1260" totalsRowBorderDxfId="12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8"/>
    <tableColumn id="2" xr3:uid="{75B601B3-9668-4B1A-ADF2-17DA487A3413}" name="Cliente" dataDxfId="1257"/>
    <tableColumn id="3" xr3:uid="{64F47935-52AF-4AE3-9262-06D7472567D7}" name="Forma de Pgto" dataDxfId="1256" dataCellStyle="Moeda"/>
    <tableColumn id="4" xr3:uid="{9257AA0D-34DE-4B38-8406-BC1F561A53B3}" name="Valor Venda" dataDxfId="1255" dataCellStyle="Porcentagem"/>
    <tableColumn id="5" xr3:uid="{4C98958F-FB27-4968-81B6-D7CC6BBD2DAE}" name="Entrada" dataDxfId="1254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53" dataDxfId="1251" headerRowBorderDxfId="1252" tableBorderDxfId="1250" totalsRowBorderDxfId="12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8"/>
    <tableColumn id="2" xr3:uid="{AEB024E2-EB15-40A6-B65B-468339937BD0}" name="Vendedor" dataDxfId="1247"/>
    <tableColumn id="3" xr3:uid="{ACDDDA2A-4116-4E25-B799-0071372A8FAA}" name="CARNE" dataDxfId="124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45" dataDxfId="1243" headerRowBorderDxfId="1244" tableBorderDxfId="1242" totalsRowBorderDxfId="1241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40"/>
    <tableColumn id="2" xr3:uid="{A06C5B3A-A28C-4563-87C4-B63635D6E7B9}" name="Cliente" dataDxfId="1239"/>
    <tableColumn id="3" xr3:uid="{4AC120F2-6F4A-41F2-87D2-680E8D6F8D96}" name="Forma de Pgto" dataDxfId="1238" dataCellStyle="Moeda"/>
    <tableColumn id="4" xr3:uid="{17DB2EA9-C13D-4AEB-AB97-B4C907D16420}" name="Valor Parcela" dataDxfId="1237" dataCellStyle="Porcentagem"/>
    <tableColumn id="5" xr3:uid="{F6E09F06-2F23-4822-A9B4-D8898604A1E0}" name="Nº Parcela" dataDxfId="1236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35" headerRowBorderDxfId="1234" tableBorderDxfId="1233" totalsRowBorderDxfId="1232">
  <autoFilter ref="K34:M41" xr:uid="{1B8643D4-6AC3-4029-882A-C62E9D7CB225}"/>
  <tableColumns count="3">
    <tableColumn id="1" xr3:uid="{D0DE8F47-9BDA-4E4F-92E6-E2404F920F1B}" name="OS" dataDxfId="1231"/>
    <tableColumn id="2" xr3:uid="{43AD47D8-F738-4D39-8B0B-E0AC217D9D32}" name="Parcelas" dataDxfId="1230"/>
    <tableColumn id="3" xr3:uid="{024ED2FF-C4EC-44DC-9129-9BE8032DC4A5}" name="Valor Total" dataDxfId="122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8" dataDxfId="1226" headerRowBorderDxfId="1227" tableBorderDxfId="1225" totalsRowBorderDxfId="122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23" dataCellStyle="Moeda"/>
    <tableColumn id="5" xr3:uid="{C13AA79A-76C7-4954-B055-3EC7A6A9008A}" name="Cliente" dataDxfId="1222" dataCellStyle="Moeda"/>
    <tableColumn id="2" xr3:uid="{56D92948-0431-4E11-AC7A-A6D6B6D3D15E}" name="Forma de Pgto" dataDxfId="1221" dataCellStyle="Moeda"/>
    <tableColumn id="3" xr3:uid="{3348DA9C-6AA9-49E4-8450-E8BC22BC5F6C}" name="Valor Venda" dataDxfId="1220" dataCellStyle="Porcentagem"/>
    <tableColumn id="4" xr3:uid="{A03B4BE2-2B4F-4512-98ED-45C3754F4D2A}" name="Entrada" dataDxfId="1219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8" dataDxfId="1216" headerRowBorderDxfId="1217" tableBorderDxfId="1215" totalsRowBorderDxfId="1214">
  <autoFilter ref="K5:M11" xr:uid="{00000000-0009-0000-0100-000015000000}"/>
  <tableColumns count="3">
    <tableColumn id="1" xr3:uid="{2700D0CD-8906-41BB-B51F-AAECD67A05FE}" name="Descrição" dataDxfId="1213"/>
    <tableColumn id="2" xr3:uid="{00E5FAC2-C7E2-44A6-AA64-460782F41E47}" name="Tipo de Pagto" dataDxfId="1212"/>
    <tableColumn id="3" xr3:uid="{70D30678-03EC-4DC1-BB28-EBD756D1976D}" name="Valor" dataDxfId="1211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10" dataDxfId="1208" headerRowBorderDxfId="1209" tableBorderDxfId="1207" totalsRowBorderDxfId="120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05"/>
    <tableColumn id="2" xr3:uid="{59310BF7-C6CA-49AF-8D7C-32023868A553}" name="Cliente" dataDxfId="1204"/>
    <tableColumn id="3" xr3:uid="{C13BE163-BA03-41E0-A121-27164C58ABA3}" name="Forma de Pgto" dataDxfId="1203" dataCellStyle="Moeda"/>
    <tableColumn id="4" xr3:uid="{E9797482-8A01-4C8B-8B66-47DE3D38D78F}" name="Valor Venda" dataDxfId="1202" dataCellStyle="Porcentagem"/>
    <tableColumn id="5" xr3:uid="{864D3F67-D199-48BA-8E16-3EFBAC4AF8A2}" name="Entrada" dataDxfId="1201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00" dataDxfId="1198" headerRowBorderDxfId="1199" tableBorderDxfId="1197" totalsRowBorderDxfId="1196">
  <autoFilter ref="K14:M31" xr:uid="{C83FE64B-E221-4DAA-89EA-5307A7BC98B3}"/>
  <tableColumns count="3">
    <tableColumn id="1" xr3:uid="{92200504-6651-4517-B155-4C75687BBC1E}" name="OS" dataDxfId="1195"/>
    <tableColumn id="2" xr3:uid="{BE1934F5-5D06-41D6-9394-C4D383C8CD33}" name="Vendedor" dataDxfId="1194"/>
    <tableColumn id="3" xr3:uid="{F504E9B2-856C-4C10-AA72-D7A7B035B330}" name="CARNE" dataDxfId="1193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92" dataDxfId="1190" headerRowBorderDxfId="1191" tableBorderDxfId="1189" totalsRowBorderDxfId="118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87"/>
    <tableColumn id="2" xr3:uid="{95B09C40-3752-47D7-9085-F5B42BC487DA}" name="Cliente" dataDxfId="1186"/>
    <tableColumn id="3" xr3:uid="{1A0B311C-327A-4C44-9D04-81730B41B9A2}" name="Forma de Pgto" dataDxfId="1185" dataCellStyle="Moeda"/>
    <tableColumn id="4" xr3:uid="{9A802666-F9A1-4EB6-824C-ECF60066044F}" name="Valor Parcela" dataDxfId="1184" dataCellStyle="Porcentagem"/>
    <tableColumn id="5" xr3:uid="{1CC0AF26-B599-4D4F-8BD5-BBE76DBCE085}" name="Nº Parcela" dataDxfId="1183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82" headerRowBorderDxfId="1181" tableBorderDxfId="1180" totalsRowBorderDxfId="1179">
  <autoFilter ref="K34:M41" xr:uid="{1B8643D4-6AC3-4029-882A-C62E9D7CB225}"/>
  <tableColumns count="3">
    <tableColumn id="1" xr3:uid="{D712257D-E310-4A34-972E-E8E3502C0E07}" name="OS" dataDxfId="1178"/>
    <tableColumn id="2" xr3:uid="{DE78D123-6817-4646-8C08-920B2F11524F}" name="Parcelas" dataDxfId="1177"/>
    <tableColumn id="3" xr3:uid="{5BFF5A3E-02FE-410E-B1DB-45BB5A31FC42}" name="Valor Total" dataDxfId="117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75" dataDxfId="1173" headerRowBorderDxfId="1174" tableBorderDxfId="1172" totalsRowBorderDxfId="117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70" dataCellStyle="Moeda"/>
    <tableColumn id="5" xr3:uid="{A57F8BDB-02F9-493C-AD6D-F47611C369D5}" name="Cliente" dataDxfId="1169" dataCellStyle="Moeda"/>
    <tableColumn id="2" xr3:uid="{3BF4EA26-026F-42E1-9B28-3FCC68B54E9F}" name="Forma de Pgto" dataDxfId="1168" dataCellStyle="Moeda"/>
    <tableColumn id="3" xr3:uid="{FD063076-8462-4774-B716-34AAD1738449}" name="Valor Venda" dataDxfId="1167" dataCellStyle="Porcentagem"/>
    <tableColumn id="4" xr3:uid="{690445E0-65B1-450A-A6D3-179070107086}" name="Entrada" dataDxfId="1166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65" dataDxfId="1163" headerRowBorderDxfId="1164" tableBorderDxfId="1162" totalsRowBorderDxfId="1161">
  <autoFilter ref="K5:M11" xr:uid="{00000000-0009-0000-0100-000015000000}"/>
  <tableColumns count="3">
    <tableColumn id="1" xr3:uid="{5D510C76-887A-4F0A-A2F3-BD55732E9E85}" name="Descrição" dataDxfId="1160"/>
    <tableColumn id="2" xr3:uid="{F6C1F4A7-28F4-48F8-905E-708FA62EB574}" name="Tipo de Pagto" dataDxfId="1159"/>
    <tableColumn id="3" xr3:uid="{E62B0002-F6CD-4351-A9EA-673FC7C97B03}" name="Valor" dataDxfId="1158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57" dataDxfId="1155" headerRowBorderDxfId="1156" tableBorderDxfId="1154" totalsRowBorderDxfId="1153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52"/>
    <tableColumn id="2" xr3:uid="{822B50C3-46B7-46F0-8829-5293CCAFB21E}" name="Cliente" dataDxfId="1151"/>
    <tableColumn id="3" xr3:uid="{F2A36AB3-30D6-4C43-A466-18FF147EE075}" name="Forma de Pgto" dataDxfId="1150" dataCellStyle="Moeda"/>
    <tableColumn id="4" xr3:uid="{AD829CF8-2271-44F1-A1F1-4928D83ED658}" name="Valor Venda" dataDxfId="1149" dataCellStyle="Porcentagem"/>
    <tableColumn id="5" xr3:uid="{7973C843-3740-4AE2-931D-89DE845BA145}" name="Entrada" dataDxfId="1148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47" dataDxfId="1145" headerRowBorderDxfId="1146" tableBorderDxfId="1144" totalsRowBorderDxfId="1143">
  <autoFilter ref="K14:M31" xr:uid="{C83FE64B-E221-4DAA-89EA-5307A7BC98B3}"/>
  <tableColumns count="3">
    <tableColumn id="1" xr3:uid="{404BEA27-9F48-40AC-AF84-177E7CA2ADEC}" name="OS" dataDxfId="1142"/>
    <tableColumn id="2" xr3:uid="{BC07784A-25E9-4C57-B0FF-1E3D183BCD37}" name="Vendedor" dataDxfId="1141"/>
    <tableColumn id="3" xr3:uid="{EFFF7860-5B35-466B-BA53-4485DC02FB15}" name="CARNE" dataDxfId="114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9" dataDxfId="1137" headerRowBorderDxfId="1138" tableBorderDxfId="1136" totalsRowBorderDxfId="1135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Coluna1" dataDxfId="1134"/>
    <tableColumn id="2" xr3:uid="{A8D4686B-F05E-4D96-BDB9-FD354C9E28B8}" name="Coluna2" dataDxfId="1133"/>
    <tableColumn id="3" xr3:uid="{0FB871EC-4505-4E7C-A162-0EFDB16AB8E5}" name="Coluna3" dataDxfId="1132" dataCellStyle="Moeda"/>
    <tableColumn id="4" xr3:uid="{41436228-3E61-4F7F-80EF-627B1794150B}" name="Coluna4" dataDxfId="1131" dataCellStyle="Porcentagem"/>
    <tableColumn id="5" xr3:uid="{9C580DC7-08E3-4AD7-B73C-C1AA4298633B}" name="Coluna5" dataDxfId="1130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9" headerRowBorderDxfId="1128" tableBorderDxfId="1127" totalsRowBorderDxfId="1126">
  <autoFilter ref="K34:M41" xr:uid="{1B8643D4-6AC3-4029-882A-C62E9D7CB225}"/>
  <tableColumns count="3">
    <tableColumn id="1" xr3:uid="{6E774D52-7DFE-4ED1-9F2F-47B5899CBAC1}" name="OS" dataDxfId="1125"/>
    <tableColumn id="2" xr3:uid="{39CE62CA-537C-4DF4-B8D5-281ED0EE57C3}" name="Parcelas" dataDxfId="1124"/>
    <tableColumn id="3" xr3:uid="{830AFF05-9BCF-488F-97F3-8D4378DE4DCB}" name="Valor Total" dataDxfId="1123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22" dataDxfId="1120" headerRowBorderDxfId="1121" tableBorderDxfId="1119" totalsRowBorderDxfId="111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17" dataCellStyle="Moeda"/>
    <tableColumn id="5" xr3:uid="{CE0B3E90-9420-4A96-9195-72088311874E}" name="Cliente" dataDxfId="1116" dataCellStyle="Moeda"/>
    <tableColumn id="2" xr3:uid="{3EF1B45D-588D-4066-8ACF-697863B5F984}" name="Forma de Pgto" dataDxfId="1115" dataCellStyle="Moeda"/>
    <tableColumn id="3" xr3:uid="{9ADBAC7B-B04C-4E2B-9C83-E18200698CCE}" name="Valor Venda" dataDxfId="1114" dataCellStyle="Porcentagem"/>
    <tableColumn id="4" xr3:uid="{16823673-1F5B-4F46-A676-8665CF4D02BA}" name="Entrada" dataDxfId="1113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12" dataDxfId="1110" headerRowBorderDxfId="1111" tableBorderDxfId="1109" totalsRowBorderDxfId="1108">
  <autoFilter ref="K5:M11" xr:uid="{00000000-0009-0000-0100-000015000000}"/>
  <tableColumns count="3">
    <tableColumn id="1" xr3:uid="{A02811B4-F6FA-4EDA-94FE-5EDFE6293B48}" name="Descrição" dataDxfId="1107"/>
    <tableColumn id="2" xr3:uid="{39EAD4CE-DDFA-4948-8B1E-10589BABDD84}" name="Tipo de Pagto" dataDxfId="1106"/>
    <tableColumn id="3" xr3:uid="{30C3BD81-38C9-4C67-BF45-044DFDDD7A0B}" name="Valor" dataDxfId="110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04" dataDxfId="1102" headerRowBorderDxfId="1103" tableBorderDxfId="1101" totalsRowBorderDxfId="110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9"/>
    <tableColumn id="2" xr3:uid="{BE6E3444-490A-4F75-BE63-234EB84D04F7}" name="Cliente" dataDxfId="1098"/>
    <tableColumn id="3" xr3:uid="{868472E6-6C45-4AEC-9672-E559CFA15EA7}" name="Forma de Pgto" dataDxfId="1097" dataCellStyle="Moeda"/>
    <tableColumn id="4" xr3:uid="{DB2D0AA9-9B1E-4A35-B9B2-8B1052EAD782}" name="Valor Venda" dataDxfId="1096" dataCellStyle="Porcentagem"/>
    <tableColumn id="5" xr3:uid="{C23CEEDF-415E-4EFC-ACF7-2661157A84C3}" name="Entrada" dataDxfId="1095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94" dataDxfId="1092" headerRowBorderDxfId="1093" tableBorderDxfId="1091" totalsRowBorderDxfId="109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9"/>
    <tableColumn id="2" xr3:uid="{13D709D4-8F81-4D58-95F2-22F1C686CB18}" name="Vendedor" dataDxfId="1088"/>
    <tableColumn id="3" xr3:uid="{92130A71-CEC8-4371-B6C9-DA29C0189A09}" name="CARNE" dataDxfId="1087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86" dataDxfId="1084" headerRowBorderDxfId="1085" tableBorderDxfId="1083" totalsRowBorderDxfId="108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81"/>
    <tableColumn id="2" xr3:uid="{7652DD36-D535-400C-856B-02CB62C18176}" name="Cliente" dataDxfId="1080"/>
    <tableColumn id="3" xr3:uid="{129618E1-FDB4-497A-9DB0-29AC7143AF10}" name="Forma de Pgto" dataDxfId="1079" dataCellStyle="Moeda"/>
    <tableColumn id="4" xr3:uid="{EC69F906-8001-4D12-8ED6-D597AE23E936}" name="Valor Parcela" dataDxfId="1078" dataCellStyle="Porcentagem"/>
    <tableColumn id="5" xr3:uid="{65040BF1-55E0-4DD6-926F-3F0324D47077}" name="Nº Parcela" dataDxfId="1077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76" headerRowBorderDxfId="1075" tableBorderDxfId="1074" totalsRowBorderDxfId="1073">
  <autoFilter ref="K34:M41" xr:uid="{1B8643D4-6AC3-4029-882A-C62E9D7CB225}"/>
  <tableColumns count="3">
    <tableColumn id="1" xr3:uid="{710179D9-1888-45A0-96B5-C6E1151FFFF0}" name="OS" dataDxfId="1072"/>
    <tableColumn id="2" xr3:uid="{D9D130F4-6D87-4655-90D8-AF3976107C2A}" name="Parcelas" dataDxfId="1071"/>
    <tableColumn id="3" xr3:uid="{07DCBA20-7E86-4F99-AED4-2BDCD854B71C}" name="Valor Total" dataDxfId="1070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9" dataDxfId="1067" headerRowBorderDxfId="1068" tableBorderDxfId="1066" totalsRowBorderDxfId="106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64" dataCellStyle="Moeda"/>
    <tableColumn id="5" xr3:uid="{C388448A-992D-4C2D-8BB2-14D587C7E260}" name="Cliente" dataDxfId="1063" dataCellStyle="Moeda"/>
    <tableColumn id="2" xr3:uid="{C66BE185-63F5-4991-91CC-2661F40F891F}" name="Forma de Pgto" dataDxfId="1062" dataCellStyle="Moeda"/>
    <tableColumn id="3" xr3:uid="{C86C165C-F04B-4F8A-9769-AE38C03F025E}" name="Valor Venda" dataDxfId="1061" dataCellStyle="Porcentagem"/>
    <tableColumn id="4" xr3:uid="{C11C99C9-E646-4417-8698-61AFF55AB567}" name="Entrada" dataDxfId="1060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9" dataDxfId="1057" headerRowBorderDxfId="1058" tableBorderDxfId="1056" totalsRowBorderDxfId="1055">
  <autoFilter ref="K5:M11" xr:uid="{00000000-0009-0000-0100-000015000000}"/>
  <tableColumns count="3">
    <tableColumn id="1" xr3:uid="{696BC9EF-69BB-4D0D-96DF-B836B5771C08}" name="Descrição" dataDxfId="1054"/>
    <tableColumn id="2" xr3:uid="{4F12E940-09E4-4E51-A2A0-CEF5523233E2}" name="Tipo de Pagto" dataDxfId="1053"/>
    <tableColumn id="3" xr3:uid="{329E2ABB-99D4-47D1-8CEB-C3F4DE69A1C8}" name="Valor" dataDxfId="1052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51" dataDxfId="1049" headerRowBorderDxfId="1050" tableBorderDxfId="1048" totalsRowBorderDxfId="104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46"/>
    <tableColumn id="2" xr3:uid="{4745164B-5E29-4C65-87CA-C8C1B31B8272}" name="Cliente" dataDxfId="1045"/>
    <tableColumn id="3" xr3:uid="{69D7D490-36CA-4F69-BF76-2ADB810B4F37}" name="Forma de Pgto" dataDxfId="1044" dataCellStyle="Moeda"/>
    <tableColumn id="4" xr3:uid="{9B6B365B-42F7-499F-B705-B8F5196F8192}" name="Valor Venda" dataDxfId="1043" dataCellStyle="Porcentagem"/>
    <tableColumn id="5" xr3:uid="{7C88B9A2-2920-4AD8-AC1F-7417F3FA8282}" name="Entrada" dataDxfId="1042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41" dataDxfId="1039" headerRowBorderDxfId="1040" tableBorderDxfId="1038" totalsRowBorderDxfId="1037">
  <autoFilter ref="K14:M31" xr:uid="{C83FE64B-E221-4DAA-89EA-5307A7BC98B3}"/>
  <tableColumns count="3">
    <tableColumn id="1" xr3:uid="{5740FA63-223C-47B7-8842-178B003DB4BC}" name="OS" dataDxfId="1036"/>
    <tableColumn id="2" xr3:uid="{5CCC3C75-C80E-44BB-BC37-80F487481DDA}" name="Vendedor" dataDxfId="1035"/>
    <tableColumn id="3" xr3:uid="{585175B8-B982-429E-9344-163CE2687302}" name="CARNE" dataDxfId="1034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33" dataDxfId="1031" headerRowBorderDxfId="1032" tableBorderDxfId="1030" totalsRowBorderDxfId="102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8"/>
    <tableColumn id="2" xr3:uid="{2540FF22-68AB-4A04-B72D-DDBC8B064A8D}" name="Cliente" dataDxfId="1027"/>
    <tableColumn id="3" xr3:uid="{A7CB1680-9636-42C6-8AD9-F68C54BBCE0A}" name="Forma de Pgto" dataDxfId="1026" dataCellStyle="Moeda"/>
    <tableColumn id="4" xr3:uid="{727C37A8-450C-4D57-A2C9-396F29733C0A}" name="Valor Parcela" dataDxfId="1025" dataCellStyle="Porcentagem"/>
    <tableColumn id="5" xr3:uid="{4B27DCBF-BD8C-46A2-BC12-DE369C458E8A}" name="Nº Parcela" dataDxfId="1024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23" headerRowBorderDxfId="1022" tableBorderDxfId="1021" totalsRowBorderDxfId="1020">
  <autoFilter ref="K34:M41" xr:uid="{1B8643D4-6AC3-4029-882A-C62E9D7CB225}"/>
  <tableColumns count="3">
    <tableColumn id="1" xr3:uid="{60FAE849-4EC1-49E6-990F-8A43377EE6C3}" name="OS" dataDxfId="1019"/>
    <tableColumn id="2" xr3:uid="{B3127003-34D7-49FE-AFFC-7FA256F8BC3F}" name="Parcelas" dataDxfId="1018"/>
    <tableColumn id="3" xr3:uid="{412AC98E-5FB9-4C3C-9FBF-2EBE1631A397}" name="Valor Total" dataDxfId="1017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16" dataDxfId="1014" headerRowBorderDxfId="1015" tableBorderDxfId="1013" totalsRowBorderDxfId="101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1" dataCellStyle="Moeda"/>
    <tableColumn id="5" xr3:uid="{A1AF61B3-EFAB-450A-92B2-38E357233CD5}" name="Cliente" dataDxfId="1010" dataCellStyle="Moeda"/>
    <tableColumn id="2" xr3:uid="{DF277353-579D-439F-85C3-76DEACDE7A39}" name="Forma de Pgto" dataDxfId="1009" dataCellStyle="Moeda"/>
    <tableColumn id="3" xr3:uid="{7164D8F5-C0CB-47F7-BD16-B590E7D85EDB}" name="Valor Venda" dataDxfId="1008" dataCellStyle="Porcentagem"/>
    <tableColumn id="4" xr3:uid="{065B051D-7958-4E7D-972D-DDB0E8E7D052}" name="Entrada" dataDxfId="1007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06" dataDxfId="1004" headerRowBorderDxfId="1005" tableBorderDxfId="1003" totalsRowBorderDxfId="1002">
  <autoFilter ref="K5:M11" xr:uid="{00000000-0009-0000-0100-000015000000}"/>
  <tableColumns count="3">
    <tableColumn id="1" xr3:uid="{865498B1-F05E-46C9-B6C1-CCD85D9306C6}" name="Descrição" dataDxfId="1001"/>
    <tableColumn id="2" xr3:uid="{37F7AC6A-A7CD-43FB-89B1-5E904BAC1EBD}" name="Tipo de Pagto" dataDxfId="1000"/>
    <tableColumn id="3" xr3:uid="{A014E45A-B38A-47C2-A582-411CA2B495EE}" name="Valor" dataDxfId="999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8" dataDxfId="996" headerRowBorderDxfId="997" tableBorderDxfId="995" totalsRowBorderDxfId="99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93"/>
    <tableColumn id="2" xr3:uid="{BC7B7FC1-CF4C-42C2-ABD3-DFEEA234B02B}" name="Cliente" dataDxfId="992"/>
    <tableColumn id="3" xr3:uid="{67F17557-E38E-4865-93F5-DCEF4A7ED2C6}" name="Forma de Pgto" dataDxfId="991" dataCellStyle="Moeda"/>
    <tableColumn id="4" xr3:uid="{D2C10329-9C1A-4D0D-BC74-3A320E9B6593}" name="Valor Venda" dataDxfId="990" dataCellStyle="Porcentagem"/>
    <tableColumn id="5" xr3:uid="{82810E21-D152-4A22-94D5-0A28C60F4849}" name="Entrada" dataDxfId="989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8" dataDxfId="986" headerRowBorderDxfId="987" tableBorderDxfId="985" totalsRowBorderDxfId="984">
  <autoFilter ref="K14:M31" xr:uid="{C83FE64B-E221-4DAA-89EA-5307A7BC98B3}"/>
  <tableColumns count="3">
    <tableColumn id="1" xr3:uid="{7A4CC637-3546-4D1B-9D86-75C6034079BF}" name="OS" dataDxfId="983"/>
    <tableColumn id="2" xr3:uid="{CEB52B1C-2642-45A1-A1EB-26029A9B5402}" name="Vendedor" dataDxfId="982"/>
    <tableColumn id="3" xr3:uid="{8C88CFEB-7155-49BD-9D63-1FCC9096735E}" name="CARNE" dataDxfId="981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0" dataDxfId="978" headerRowBorderDxfId="979" tableBorderDxfId="977" totalsRowBorderDxfId="97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75"/>
    <tableColumn id="2" xr3:uid="{7C3577CA-FC44-4DC9-9002-D4EA74DFF73F}" name="Cliente" dataDxfId="974"/>
    <tableColumn id="3" xr3:uid="{77D25058-5D06-4E37-8746-BF184DDEEA81}" name="Forma de Pgto" dataDxfId="973" dataCellStyle="Moeda"/>
    <tableColumn id="4" xr3:uid="{5EDAFC3F-F478-449C-990C-45300A2C66DF}" name="Valor Parcela" dataDxfId="972" dataCellStyle="Porcentagem"/>
    <tableColumn id="5" xr3:uid="{5DBCC805-C046-4526-8886-13334D431CB2}" name="Nº Parcela" dataDxfId="971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0" headerRowBorderDxfId="969" tableBorderDxfId="968" totalsRowBorderDxfId="967">
  <autoFilter ref="K34:M41" xr:uid="{1B8643D4-6AC3-4029-882A-C62E9D7CB225}"/>
  <tableColumns count="3">
    <tableColumn id="1" xr3:uid="{FDFEB034-D746-488E-9611-5C5421DF9812}" name="OS" dataDxfId="966"/>
    <tableColumn id="2" xr3:uid="{AD1C8A9C-91DA-4D2C-A438-9B8648A5521B}" name="Parcelas" dataDxfId="965"/>
    <tableColumn id="3" xr3:uid="{577D3B3F-3A18-4FE3-8E0F-E82C9012821F}" name="Valor Total" dataDxfId="964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63" dataDxfId="961" headerRowBorderDxfId="962" tableBorderDxfId="960" totalsRowBorderDxfId="9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8" dataCellStyle="Moeda"/>
    <tableColumn id="5" xr3:uid="{53B9FE46-E769-466F-9757-A5C752203582}" name="Cliente" dataDxfId="957" dataCellStyle="Moeda"/>
    <tableColumn id="2" xr3:uid="{9AFD5C78-132A-4E21-96EC-75882307A334}" name="Forma de Pgto" dataDxfId="956" dataCellStyle="Moeda"/>
    <tableColumn id="3" xr3:uid="{0B7791DE-BC7F-4EA7-87CC-E8588E2F6D00}" name="Valor Venda" dataDxfId="955" dataCellStyle="Porcentagem"/>
    <tableColumn id="4" xr3:uid="{EDACC2B7-28DE-40D1-BC9D-356B5D64934D}" name="Entrada" dataDxfId="954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53" dataDxfId="951" headerRowBorderDxfId="952" tableBorderDxfId="950" totalsRowBorderDxfId="949">
  <autoFilter ref="K5:M11" xr:uid="{00000000-0009-0000-0100-000015000000}"/>
  <tableColumns count="3">
    <tableColumn id="1" xr3:uid="{F638F61A-E4B9-4300-BD8D-C0A6A3D7A8E2}" name="Descrição" dataDxfId="948"/>
    <tableColumn id="2" xr3:uid="{9DC04330-37E5-4813-8F2D-4BAA554527A5}" name="Tipo de Pagto" dataDxfId="947"/>
    <tableColumn id="3" xr3:uid="{799A991A-3D2C-4EC1-A2D8-A1F3023DD9AF}" name="Valor" dataDxfId="946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45" dataDxfId="943" headerRowBorderDxfId="944" tableBorderDxfId="942" totalsRowBorderDxfId="9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0"/>
    <tableColumn id="2" xr3:uid="{2FD43CA2-90CA-449B-821F-205F1748177C}" name="Cliente" dataDxfId="939"/>
    <tableColumn id="3" xr3:uid="{A5640B64-FD50-49A5-B305-E61D9280F57A}" name="Forma de Pgto" dataDxfId="938" dataCellStyle="Moeda"/>
    <tableColumn id="4" xr3:uid="{26AD2EE8-2400-4B07-A340-99B1BA546B01}" name="Valor Venda" dataDxfId="937" dataCellStyle="Porcentagem"/>
    <tableColumn id="5" xr3:uid="{DF786930-B464-48C0-92C5-A18D129572D3}" name="Entrada" dataDxfId="936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35" dataDxfId="933" headerRowBorderDxfId="934" tableBorderDxfId="932" totalsRowBorderDxfId="931">
  <autoFilter ref="K14:M31" xr:uid="{C83FE64B-E221-4DAA-89EA-5307A7BC98B3}"/>
  <tableColumns count="3">
    <tableColumn id="1" xr3:uid="{686E8A3B-2CC1-443E-B3F0-07F1D6AF8C19}" name="OS" dataDxfId="930"/>
    <tableColumn id="2" xr3:uid="{1250D1EA-82EB-4EB4-AEDB-99799165C996}" name="Vendedor" dataDxfId="929"/>
    <tableColumn id="3" xr3:uid="{F6A6C0FE-3106-4929-AC63-C2A418BAD9A1}" name="CARNE" dataDxfId="928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7" dataDxfId="925" headerRowBorderDxfId="926" tableBorderDxfId="924" totalsRowBorderDxfId="9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2"/>
    <tableColumn id="2" xr3:uid="{6946C657-632E-4A47-A04C-EBD987018798}" name="Cliente" dataDxfId="921"/>
    <tableColumn id="3" xr3:uid="{11747110-E63B-4D92-AE0D-F744DD494204}" name="Forma de Pgto" dataDxfId="920" dataCellStyle="Moeda"/>
    <tableColumn id="4" xr3:uid="{7637A14A-3C11-482C-A77B-09489718F039}" name="Valor Parcela" dataDxfId="919" dataCellStyle="Porcentagem"/>
    <tableColumn id="5" xr3:uid="{E03E863B-EAD4-4137-9B26-2CA0EAC2F09E}" name="Nº Parcela" dataDxfId="918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7" headerRowBorderDxfId="916" tableBorderDxfId="915" totalsRowBorderDxfId="914">
  <autoFilter ref="K34:M41" xr:uid="{1B8643D4-6AC3-4029-882A-C62E9D7CB225}"/>
  <tableColumns count="3">
    <tableColumn id="1" xr3:uid="{6F6F5FBA-037D-4F8B-8355-AC821A55F803}" name="OS" dataDxfId="913"/>
    <tableColumn id="2" xr3:uid="{BEED8472-6636-42D9-A60A-E43C842B7D8F}" name="Parcelas" dataDxfId="912"/>
    <tableColumn id="3" xr3:uid="{0CE64280-F6A9-46AC-8696-F227912F6552}" name="Valor Total" dataDxfId="911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0" dataDxfId="908" headerRowBorderDxfId="909" tableBorderDxfId="907" totalsRowBorderDxfId="90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05" dataCellStyle="Moeda"/>
    <tableColumn id="5" xr3:uid="{864A4F89-382F-4099-9D59-467A7AB12940}" name="Cliente" dataDxfId="904" dataCellStyle="Moeda"/>
    <tableColumn id="2" xr3:uid="{529253EE-0917-4E7A-AA5F-14D2DCAD4080}" name="Forma de Pgto" dataDxfId="903" dataCellStyle="Moeda"/>
    <tableColumn id="3" xr3:uid="{7A07E6EC-5721-4AB5-B7BB-F8D16153B615}" name="Valor Venda" dataDxfId="902" dataCellStyle="Porcentagem"/>
    <tableColumn id="4" xr3:uid="{E3569DCA-7BA5-47A8-9C20-6FB2B553052E}" name="Entrada" dataDxfId="901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0" dataDxfId="898" headerRowBorderDxfId="899" tableBorderDxfId="897" totalsRowBorderDxfId="896">
  <autoFilter ref="K5:M11" xr:uid="{00000000-0009-0000-0100-000015000000}"/>
  <tableColumns count="3">
    <tableColumn id="1" xr3:uid="{95CF041F-F7B4-4974-9B76-66A5C7C3CF1E}" name="Descrição" dataDxfId="895"/>
    <tableColumn id="2" xr3:uid="{010F2147-2B02-4E80-9D4E-E9E6110BD535}" name="Tipo de Pagto" dataDxfId="894"/>
    <tableColumn id="3" xr3:uid="{667C80AD-481C-4689-8F6A-2426991759A7}" name="Valor" dataDxfId="893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92" dataDxfId="890" headerRowBorderDxfId="891" tableBorderDxfId="889" totalsRowBorderDxfId="88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7"/>
    <tableColumn id="2" xr3:uid="{A401C727-3942-4BDF-BC32-5D789E1F6979}" name="Cliente" dataDxfId="886"/>
    <tableColumn id="3" xr3:uid="{29237CE2-AC3D-477F-ABA7-60B5DA6F8120}" name="Forma de Pgto" dataDxfId="885" dataCellStyle="Moeda"/>
    <tableColumn id="4" xr3:uid="{A39B1F5A-49E3-45B8-BCA8-E3252A43E2CC}" name="Valor Venda" dataDxfId="884" dataCellStyle="Porcentagem"/>
    <tableColumn id="5" xr3:uid="{A1809E96-D43C-48CA-B4B0-F8952BB21709}" name="Entrada" dataDxfId="883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2" dataDxfId="880" headerRowBorderDxfId="881" tableBorderDxfId="879" totalsRowBorderDxfId="87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77"/>
    <tableColumn id="2" xr3:uid="{61C3945B-58EB-4D02-A420-14D13F69B1FD}" name="Vendedor" dataDxfId="876"/>
    <tableColumn id="3" xr3:uid="{310A696D-E474-4609-8CAC-92E3BC19A517}" name="CARNE" dataDxfId="875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74" dataDxfId="872" headerRowBorderDxfId="873" tableBorderDxfId="871" totalsRowBorderDxfId="87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9"/>
    <tableColumn id="2" xr3:uid="{A7114117-5F41-4611-B14C-A3B2F7C35961}" name="Cliente" dataDxfId="868"/>
    <tableColumn id="3" xr3:uid="{3B2F2924-60FC-459E-BAAE-2D26D316360F}" name="Forma de Pgto" dataDxfId="867" dataCellStyle="Moeda"/>
    <tableColumn id="4" xr3:uid="{8C86BF8B-36B7-46FA-B050-2F1437A14710}" name="Valor Parcela" dataDxfId="866" dataCellStyle="Porcentagem"/>
    <tableColumn id="5" xr3:uid="{C429DF1A-E6B0-43DD-A949-A1EBA6DBEC04}" name="Nº Parcela" dataDxfId="865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64" headerRowBorderDxfId="863" tableBorderDxfId="862" totalsRowBorderDxfId="861">
  <autoFilter ref="K34:M41" xr:uid="{1B8643D4-6AC3-4029-882A-C62E9D7CB225}"/>
  <tableColumns count="3">
    <tableColumn id="1" xr3:uid="{182484ED-66B8-43D1-B168-BDEB5996673F}" name="OS" dataDxfId="860"/>
    <tableColumn id="2" xr3:uid="{FC47BB11-B6D3-4928-BFCD-BDAC4B2BDD2F}" name="Parcelas" dataDxfId="859"/>
    <tableColumn id="3" xr3:uid="{F7E0E4E8-A2A1-4513-B1F5-B98008299FD0}" name="Valor Total" dataDxfId="858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7" dataDxfId="855" headerRowBorderDxfId="856" tableBorderDxfId="854" totalsRowBorderDxfId="8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2" dataCellStyle="Moeda"/>
    <tableColumn id="5" xr3:uid="{2B9E675C-5EB2-4EBC-8FDE-19F93E6E7B08}" name="Cliente" dataDxfId="851" dataCellStyle="Moeda"/>
    <tableColumn id="2" xr3:uid="{04A3548D-E88B-4096-85CB-E08243412A85}" name="Forma de Pgto" dataDxfId="850" dataCellStyle="Moeda"/>
    <tableColumn id="3" xr3:uid="{977F794D-E094-4347-935B-1202B7138C52}" name="Valor Venda" dataDxfId="849" dataCellStyle="Porcentagem"/>
    <tableColumn id="4" xr3:uid="{908F3845-FF06-4899-A550-28B1BE92D1A9}" name="Entrada" dataDxfId="848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7" dataDxfId="845" headerRowBorderDxfId="846" tableBorderDxfId="844" totalsRowBorderDxfId="843">
  <autoFilter ref="K5:M11" xr:uid="{00000000-0009-0000-0100-000015000000}"/>
  <tableColumns count="3">
    <tableColumn id="1" xr3:uid="{F9AC75BC-BCF6-4B22-9F75-0F3CC507495B}" name="Descrição" dataDxfId="842"/>
    <tableColumn id="2" xr3:uid="{61D86D1A-7892-4923-9684-5D9A01F0BD5D}" name="Tipo de Pagto" dataDxfId="841"/>
    <tableColumn id="3" xr3:uid="{3F8C718F-C7FE-423F-9F48-66FB2201CFE2}" name="Valor" dataDxfId="840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9" dataDxfId="837" headerRowBorderDxfId="838" tableBorderDxfId="836" totalsRowBorderDxfId="8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4"/>
    <tableColumn id="2" xr3:uid="{994EFF98-DD95-4B94-B1C7-D068C1D5212C}" name="Cliente" dataDxfId="833"/>
    <tableColumn id="3" xr3:uid="{7D4E72E0-4CFA-46C9-B3AF-A1654CF194A1}" name="Forma de Pgto" dataDxfId="832" dataCellStyle="Moeda"/>
    <tableColumn id="4" xr3:uid="{EE367263-F1E4-4631-A484-2013B6BA1F27}" name="Valor Venda" dataDxfId="831" dataCellStyle="Porcentagem"/>
    <tableColumn id="5" xr3:uid="{9DA475CB-BD5A-4734-A11F-3BB7DD0D9D7E}" name="Entrada" dataDxfId="830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9" dataDxfId="827" headerRowBorderDxfId="828" tableBorderDxfId="826" totalsRowBorderDxfId="8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24"/>
    <tableColumn id="2" xr3:uid="{9ED68045-86C7-4BE0-8AE0-0417F1DD76FD}" name="Vendedor" dataDxfId="823"/>
    <tableColumn id="3" xr3:uid="{F4076139-8BF9-457D-ADE6-1BCD435E31BB}" name="CARNE" dataDxfId="822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1" dataDxfId="819" headerRowBorderDxfId="820" tableBorderDxfId="818" totalsRowBorderDxfId="8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16"/>
    <tableColumn id="2" xr3:uid="{E89F59BF-5F0B-4E4E-B2BE-7B739967886D}" name="Cliente" dataDxfId="815"/>
    <tableColumn id="3" xr3:uid="{B348335B-A485-46BE-AECB-0672679F4468}" name="Forma de Pgto" dataDxfId="814" dataCellStyle="Moeda"/>
    <tableColumn id="4" xr3:uid="{73B13E6E-5431-4E90-9A6E-E15737DDA887}" name="Valor Parcela" dataDxfId="813" dataCellStyle="Porcentagem"/>
    <tableColumn id="5" xr3:uid="{C738A843-A8FD-4CB7-B2C8-59810BA17BF2}" name="Nº Parcela" dataDxfId="812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1" headerRowBorderDxfId="810" tableBorderDxfId="809" totalsRowBorderDxfId="808">
  <autoFilter ref="K34:M41" xr:uid="{1B8643D4-6AC3-4029-882A-C62E9D7CB225}"/>
  <tableColumns count="3">
    <tableColumn id="1" xr3:uid="{3F5F54B7-8999-4296-A374-3780F172D2B8}" name="OS" dataDxfId="807"/>
    <tableColumn id="2" xr3:uid="{5F252D86-495C-4A65-B391-3FF46311DE83}" name="Parcelas" dataDxfId="806"/>
    <tableColumn id="3" xr3:uid="{50E905DA-42A9-43E1-8D51-FD4BDEAB81C8}" name="Valor Total" dataDxfId="805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4" dataDxfId="802" headerRowBorderDxfId="803" tableBorderDxfId="801" totalsRowBorderDxfId="80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9" dataCellStyle="Moeda"/>
    <tableColumn id="5" xr3:uid="{08C272CC-0220-47BB-9263-1AA910D9829C}" name="Cliente" dataDxfId="798" dataCellStyle="Moeda"/>
    <tableColumn id="2" xr3:uid="{DF276F1F-7FCA-4CE9-AD90-5340B6E688D4}" name="Forma de Pgto" dataDxfId="797" dataCellStyle="Moeda"/>
    <tableColumn id="3" xr3:uid="{CF6FE509-8C51-4621-87DF-AAD8645E20D4}" name="Valor Venda" dataDxfId="796" dataCellStyle="Porcentagem"/>
    <tableColumn id="4" xr3:uid="{5AB6BADB-DBB7-45C0-89E8-2C836C831FCF}" name="Entrada" dataDxfId="795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4" dataDxfId="792" headerRowBorderDxfId="793" tableBorderDxfId="791" totalsRowBorderDxfId="790">
  <autoFilter ref="K5:M11" xr:uid="{00000000-0009-0000-0100-000015000000}"/>
  <tableColumns count="3">
    <tableColumn id="1" xr3:uid="{8CE76670-7409-454F-9B3A-4BD739F5C5E3}" name="Descrição" dataDxfId="789"/>
    <tableColumn id="2" xr3:uid="{B2BAF2DB-A6EF-41C6-8A5D-66027E15C8F8}" name="Tipo de Pagto" dataDxfId="788"/>
    <tableColumn id="3" xr3:uid="{99CFD3BD-FC58-49DA-AC21-ACD3EE40336E}" name="Valor" dataDxfId="787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86" dataDxfId="784" headerRowBorderDxfId="785" tableBorderDxfId="783" totalsRowBorderDxfId="78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1"/>
    <tableColumn id="2" xr3:uid="{B886F79B-BD9C-476A-88F8-CB3F80E42FD0}" name="Cliente" dataDxfId="780"/>
    <tableColumn id="3" xr3:uid="{78D9CA4E-E9E8-4359-8144-996DE0EE7A64}" name="Forma de Pgto" dataDxfId="779" dataCellStyle="Moeda"/>
    <tableColumn id="4" xr3:uid="{F327BA72-0013-44A1-B3CE-07FACF46CAC8}" name="Valor Venda" dataDxfId="778" dataCellStyle="Porcentagem"/>
    <tableColumn id="5" xr3:uid="{20494810-9085-4087-A73E-D3FE8DC5C40D}" name="Entrada" dataDxfId="777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76" dataDxfId="774" headerRowBorderDxfId="775" tableBorderDxfId="773" totalsRowBorderDxfId="772">
  <autoFilter ref="K14:M31" xr:uid="{C83FE64B-E221-4DAA-89EA-5307A7BC98B3}"/>
  <tableColumns count="3">
    <tableColumn id="1" xr3:uid="{40D1E49B-6CB3-409E-AFC1-7315BAF42BBF}" name="OS" dataDxfId="771"/>
    <tableColumn id="2" xr3:uid="{4C8709E7-DDF3-475B-9A19-42E8B9FC587D}" name="Vendedor" dataDxfId="770"/>
    <tableColumn id="3" xr3:uid="{185D4DF1-07D8-4494-B6E4-5B4CFC4E2B4E}" name="CARNE" dataDxfId="769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8" dataDxfId="766" headerRowBorderDxfId="767" tableBorderDxfId="765" totalsRowBorderDxfId="76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3"/>
    <tableColumn id="2" xr3:uid="{CA06119C-2085-4F7F-B293-65E2AF15EEE5}" name="Cliente" dataDxfId="762"/>
    <tableColumn id="3" xr3:uid="{BF529E56-33D1-40B5-8E7B-EFBAB59D2A71}" name="Forma de Pgto" dataDxfId="761" dataCellStyle="Moeda"/>
    <tableColumn id="4" xr3:uid="{66CAC967-C216-41AB-BBFE-D7EC8E60B5DB}" name="Valor Parcela" dataDxfId="760" dataCellStyle="Porcentagem"/>
    <tableColumn id="5" xr3:uid="{684E478E-5460-400B-8F1B-2956E3BF42E8}" name="Nº Parcela" dataDxfId="759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8" headerRowBorderDxfId="757" tableBorderDxfId="756" totalsRowBorderDxfId="755">
  <autoFilter ref="K34:M41" xr:uid="{1B8643D4-6AC3-4029-882A-C62E9D7CB225}"/>
  <tableColumns count="3">
    <tableColumn id="1" xr3:uid="{3DD44433-DB26-4FDD-8D11-D1C35C6FECEB}" name="OS" dataDxfId="754"/>
    <tableColumn id="2" xr3:uid="{A9DC5AE8-407E-40E2-8AD6-B02FE1A5CF20}" name="Parcelas" dataDxfId="753"/>
    <tableColumn id="3" xr3:uid="{6A850C65-FE9A-4796-B920-651ED5594439}" name="Valor Total" dataDxfId="752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1" dataDxfId="749" headerRowBorderDxfId="750" tableBorderDxfId="748" totalsRowBorderDxfId="747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6" dataCellStyle="Moeda"/>
    <tableColumn id="5" xr3:uid="{60E6A65C-186D-4764-A3E8-74F5C0B0AFC1}" name="Cliente" dataDxfId="745" dataCellStyle="Moeda"/>
    <tableColumn id="2" xr3:uid="{22FA520F-5DA7-46FD-9861-DF942B6D91AB}" name="Forma de Pgto" dataDxfId="744" dataCellStyle="Moeda"/>
    <tableColumn id="3" xr3:uid="{7DEE868C-EA7D-401A-A3DF-4CC64A44467F}" name="Valor Venda" dataDxfId="743" dataCellStyle="Porcentagem"/>
    <tableColumn id="4" xr3:uid="{720D25ED-5FF4-421F-94C6-24275CF94733}" name="Entrada" dataDxfId="742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1" dataDxfId="739" headerRowBorderDxfId="740" tableBorderDxfId="738" totalsRowBorderDxfId="737">
  <autoFilter ref="K5:M11" xr:uid="{00000000-0009-0000-0100-000015000000}"/>
  <tableColumns count="3">
    <tableColumn id="1" xr3:uid="{2FBA0522-04E5-4ED5-94F6-52B232AF2373}" name="Descrição" dataDxfId="736"/>
    <tableColumn id="2" xr3:uid="{DB3FC5DE-C5F6-4B07-A662-D19BD76E91F6}" name="Tipo de Pagto" dataDxfId="735"/>
    <tableColumn id="3" xr3:uid="{A2799F30-0033-4E72-9108-ABF645A8DCD3}" name="Valor" dataDxfId="734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3" dataDxfId="731" headerRowBorderDxfId="732" tableBorderDxfId="730" totalsRowBorderDxfId="7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8"/>
    <tableColumn id="2" xr3:uid="{6DECDDC0-CF3A-4677-94C4-62618488FE89}" name="Cliente" dataDxfId="727"/>
    <tableColumn id="3" xr3:uid="{D40EA3F2-0782-4C3D-A060-4DCC1DCF2881}" name="Forma de Pgto" dataDxfId="726" dataCellStyle="Moeda"/>
    <tableColumn id="4" xr3:uid="{A527DD67-780C-4EE1-A7AE-0831114EA80A}" name="Valor Venda" dataDxfId="725" dataCellStyle="Porcentagem"/>
    <tableColumn id="5" xr3:uid="{4082F19A-5570-4E9D-B250-BCD24B16165E}" name="Entrada" dataDxfId="724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3" dataDxfId="721" headerRowBorderDxfId="722" tableBorderDxfId="720" totalsRowBorderDxfId="719">
  <autoFilter ref="K14:M31" xr:uid="{C83FE64B-E221-4DAA-89EA-5307A7BC98B3}"/>
  <tableColumns count="3">
    <tableColumn id="1" xr3:uid="{CF4CC083-8415-4A42-9102-69414AAB96C8}" name="OS" dataDxfId="718"/>
    <tableColumn id="2" xr3:uid="{AFF5A585-6EEA-427D-B49B-A553763AA94C}" name="Vendedor" dataDxfId="717"/>
    <tableColumn id="3" xr3:uid="{2D8D088A-4AB0-487F-929A-89D197884938}" name="CARNE" dataDxfId="716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5" dataDxfId="713" headerRowBorderDxfId="714" tableBorderDxfId="712" totalsRowBorderDxfId="7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0"/>
    <tableColumn id="2" xr3:uid="{71667114-B8E0-4FEE-B3C4-B23C231E71C9}" name="Cliente" dataDxfId="709"/>
    <tableColumn id="3" xr3:uid="{413E4F46-D41F-4D0A-8403-3244651C22ED}" name="Forma de Pgto" dataDxfId="708" dataCellStyle="Moeda"/>
    <tableColumn id="4" xr3:uid="{695A7396-BEC7-498E-8F8D-5C11C17422D0}" name="Valor Parcela" dataDxfId="707" dataCellStyle="Porcentagem"/>
    <tableColumn id="5" xr3:uid="{7D0562F5-5DF1-49C0-BE96-CBD4632BD577}" name="Nº Parcela" dataDxfId="706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5" headerRowBorderDxfId="704" tableBorderDxfId="703" totalsRowBorderDxfId="702">
  <autoFilter ref="K34:M41" xr:uid="{1B8643D4-6AC3-4029-882A-C62E9D7CB225}"/>
  <tableColumns count="3">
    <tableColumn id="1" xr3:uid="{468A4151-2B13-428F-B7B3-DD7850FB056D}" name="OS" dataDxfId="701"/>
    <tableColumn id="2" xr3:uid="{0E5A1628-3806-4E80-9B5C-6CCB43ED7A95}" name="Parcelas" dataDxfId="700"/>
    <tableColumn id="3" xr3:uid="{94527026-C4E7-48B1-ADEC-FAE98EDE2DF7}" name="Valor Total" dataDxfId="699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8" dataDxfId="696" headerRowBorderDxfId="697" tableBorderDxfId="695" totalsRowBorderDxfId="69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3" dataCellStyle="Moeda"/>
    <tableColumn id="5" xr3:uid="{B476382F-8FC0-4C4B-904B-9CEC2FD1737F}" name="Cliente" dataDxfId="692" dataCellStyle="Moeda"/>
    <tableColumn id="2" xr3:uid="{9347CB1E-8ECB-4789-B3B3-F0676BCEF308}" name="Forma de Pgto" dataDxfId="691" dataCellStyle="Moeda"/>
    <tableColumn id="3" xr3:uid="{95E7B651-F8E7-4260-A9CD-31524C1AF920}" name="Valor Venda" dataDxfId="690" dataCellStyle="Porcentagem"/>
    <tableColumn id="4" xr3:uid="{E1F36979-874B-46CF-A70F-6769CE2B4972}" name="Entrada" dataDxfId="689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8" dataDxfId="686" headerRowBorderDxfId="687" tableBorderDxfId="685" totalsRowBorderDxfId="684">
  <autoFilter ref="K5:M11" xr:uid="{00000000-0009-0000-0100-000015000000}"/>
  <tableColumns count="3">
    <tableColumn id="1" xr3:uid="{5DAF9728-D097-46AC-AFA1-2A7D5A636197}" name="Descrição" dataDxfId="683"/>
    <tableColumn id="2" xr3:uid="{7E14BBAB-F602-43F7-BA75-66182DDDFB5A}" name="Tipo de Pagto" dataDxfId="682"/>
    <tableColumn id="3" xr3:uid="{807C6654-E3F5-4B45-B712-93A22255EE13}" name="Valor" dataDxfId="681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0" dataDxfId="678" headerRowBorderDxfId="679" tableBorderDxfId="677" totalsRowBorderDxfId="67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5"/>
    <tableColumn id="2" xr3:uid="{DA2D4CE2-3235-4592-824A-D21C9FEE1324}" name="Cliente" dataDxfId="674"/>
    <tableColumn id="3" xr3:uid="{78436E8E-423C-4634-A0AC-78283D9649B2}" name="Forma de Pgto" dataDxfId="673" dataCellStyle="Moeda"/>
    <tableColumn id="4" xr3:uid="{9B5C140A-AEF6-451D-B599-1B3C00239BF3}" name="Valor Venda" dataDxfId="672" dataCellStyle="Porcentagem"/>
    <tableColumn id="5" xr3:uid="{91C4587E-3C3A-4A8E-B0CF-84D9FBCB29D6}" name="Entrada" dataDxfId="671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0" dataDxfId="668" headerRowBorderDxfId="669" tableBorderDxfId="667" totalsRowBorderDxfId="66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65"/>
    <tableColumn id="2" xr3:uid="{8A5D657B-8F60-4746-999B-0FA3393A39E9}" name="Vendedor" dataDxfId="664"/>
    <tableColumn id="3" xr3:uid="{496CB9CC-67BF-4541-A109-5F5FF565C716}" name="CARNE" dataDxfId="663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2" dataDxfId="660" headerRowBorderDxfId="661" tableBorderDxfId="659" totalsRowBorderDxfId="65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7"/>
    <tableColumn id="2" xr3:uid="{B3362A08-206B-41A8-970B-34C6B8B4C7AA}" name="Cliente" dataDxfId="656"/>
    <tableColumn id="3" xr3:uid="{718A6844-98C1-4F96-8966-19162734BEB9}" name="Forma de Pgto" dataDxfId="655" dataCellStyle="Moeda"/>
    <tableColumn id="4" xr3:uid="{DC15894A-49A7-435B-A661-5666005BEEC8}" name="Valor Parcela" dataDxfId="654" dataCellStyle="Porcentagem"/>
    <tableColumn id="5" xr3:uid="{DE080DD1-0F6B-485E-8515-CE624433C220}" name="Nº Parcela" dataDxfId="653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2" headerRowBorderDxfId="651" tableBorderDxfId="650" totalsRowBorderDxfId="649">
  <autoFilter ref="K34:M41" xr:uid="{1B8643D4-6AC3-4029-882A-C62E9D7CB225}"/>
  <tableColumns count="3">
    <tableColumn id="1" xr3:uid="{DF952D1A-166D-4762-BD7E-3B8C91304310}" name="OS" dataDxfId="648"/>
    <tableColumn id="2" xr3:uid="{4F0F7384-D5B8-477E-9EC7-B82060EBBD78}" name="Parcelas" dataDxfId="647"/>
    <tableColumn id="3" xr3:uid="{8DD00EBF-D0FE-4903-8F44-7064A873609A}" name="Valor Total" dataDxfId="646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5" dataDxfId="643" headerRowBorderDxfId="644" tableBorderDxfId="642" totalsRowBorderDxfId="64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0" dataCellStyle="Moeda"/>
    <tableColumn id="5" xr3:uid="{F65697F3-20D0-4B41-BE55-C2885202D924}" name="Cliente" dataDxfId="639" dataCellStyle="Moeda"/>
    <tableColumn id="2" xr3:uid="{11E8E848-C035-46A3-B1AB-9BBD863CA30A}" name="Forma de Pgto" dataDxfId="638" dataCellStyle="Moeda"/>
    <tableColumn id="3" xr3:uid="{CE50BBF0-66D9-4ABB-AD66-D300C740ED4C}" name="Valor Venda" dataDxfId="637" dataCellStyle="Porcentagem"/>
    <tableColumn id="4" xr3:uid="{A6700982-093E-4E60-A8B4-C0EB11A78A03}" name="Entrada" dataDxfId="636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5" dataDxfId="633" headerRowBorderDxfId="634" tableBorderDxfId="632" totalsRowBorderDxfId="631">
  <autoFilter ref="K5:M11" xr:uid="{00000000-0009-0000-0100-000015000000}"/>
  <tableColumns count="3">
    <tableColumn id="1" xr3:uid="{53B1873C-545D-4906-B601-0C81EDA7CFE1}" name="Descrição" dataDxfId="630"/>
    <tableColumn id="2" xr3:uid="{76E6DB40-F96B-4A9C-8632-7103030C72DC}" name="Tipo de Pagto" dataDxfId="629"/>
    <tableColumn id="3" xr3:uid="{C62F93B6-2A0A-47C6-8FF1-E604490619BC}" name="Valor" dataDxfId="628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7" dataDxfId="625" headerRowBorderDxfId="626" tableBorderDxfId="624" totalsRowBorderDxfId="62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2"/>
    <tableColumn id="2" xr3:uid="{B806E92F-CE0E-4D07-A956-20D8F2029057}" name="Cliente" dataDxfId="621"/>
    <tableColumn id="3" xr3:uid="{36BDBAFD-E01B-4EEA-BEB0-2FB5914B315B}" name="Forma de Pgto" dataDxfId="620" dataCellStyle="Moeda"/>
    <tableColumn id="4" xr3:uid="{56605023-01AD-4E35-8794-2FCCF14CCA1F}" name="Valor Venda" dataDxfId="619" dataCellStyle="Porcentagem"/>
    <tableColumn id="5" xr3:uid="{C1960D0E-D625-415E-9C4E-608948FC535D}" name="Entrada" dataDxfId="618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7" dataDxfId="615" headerRowBorderDxfId="616" tableBorderDxfId="614" totalsRowBorderDxfId="613">
  <autoFilter ref="K14:M31" xr:uid="{C83FE64B-E221-4DAA-89EA-5307A7BC98B3}"/>
  <tableColumns count="3">
    <tableColumn id="1" xr3:uid="{6A036C59-7D03-43F7-84CF-EE3CB14BE67B}" name="OS" dataDxfId="612"/>
    <tableColumn id="2" xr3:uid="{C5A126A9-9B7F-4F06-ADC7-ACCED0396BF3}" name="Vendedor" dataDxfId="611"/>
    <tableColumn id="3" xr3:uid="{BA1C7B45-A00B-472E-A02F-25A3DC58D90D}" name="CARNE" dataDxfId="610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9" dataDxfId="607" headerRowBorderDxfId="608" tableBorderDxfId="606" totalsRowBorderDxfId="60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4"/>
    <tableColumn id="2" xr3:uid="{2C145274-4831-4FAC-9C72-4EE6C56B54AE}" name="Cliente" dataDxfId="603"/>
    <tableColumn id="3" xr3:uid="{DE981E69-6CF2-49CA-A2F4-E16E28E648B8}" name="Forma de Pgto" dataDxfId="602" dataCellStyle="Moeda"/>
    <tableColumn id="4" xr3:uid="{6444B2E2-EBBD-4AD1-8C9A-93047C0686E8}" name="Valor Parcela" dataDxfId="601" dataCellStyle="Porcentagem"/>
    <tableColumn id="5" xr3:uid="{04528C7F-DC52-411C-A2BF-BF90292C4224}" name="Nº Parcela" dataDxfId="600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9" headerRowBorderDxfId="598" tableBorderDxfId="597" totalsRowBorderDxfId="596">
  <autoFilter ref="K34:M41" xr:uid="{1B8643D4-6AC3-4029-882A-C62E9D7CB225}"/>
  <tableColumns count="3">
    <tableColumn id="1" xr3:uid="{B8F19651-A782-44BC-8BA0-FFD090973F4B}" name="OS" dataDxfId="595"/>
    <tableColumn id="2" xr3:uid="{47E2F01C-C7E6-4997-80A0-4C35FA7B082A}" name="Parcelas" dataDxfId="594"/>
    <tableColumn id="3" xr3:uid="{BBBC80DF-0D25-47A9-9C8A-B68DAC85549A}" name="Valor Total" dataDxfId="593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2" dataDxfId="590" headerRowBorderDxfId="591" tableBorderDxfId="589" totalsRowBorderDxfId="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7" dataCellStyle="Moeda"/>
    <tableColumn id="5" xr3:uid="{63E5AEF6-80DE-4801-B1C2-914D1F185217}" name="Cliente" dataDxfId="586" dataCellStyle="Moeda"/>
    <tableColumn id="2" xr3:uid="{1109E74A-578C-491B-B35C-C22544718F14}" name="Forma de Pgto" dataDxfId="585" dataCellStyle="Moeda"/>
    <tableColumn id="3" xr3:uid="{5C59392A-0568-4E84-9867-F9DCD09B25B6}" name="Valor Venda" dataDxfId="584" dataCellStyle="Porcentagem"/>
    <tableColumn id="4" xr3:uid="{D2C3A378-8143-432B-A8C6-A6193ABD7662}" name="Entrada" dataDxfId="583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2" dataDxfId="580" headerRowBorderDxfId="581" tableBorderDxfId="579" totalsRowBorderDxfId="578">
  <autoFilter ref="K5:M11" xr:uid="{00000000-0009-0000-0100-000015000000}"/>
  <tableColumns count="3">
    <tableColumn id="1" xr3:uid="{E6962685-66B9-4B52-AFC6-82E1DC5ABF13}" name="Descrição" dataDxfId="577"/>
    <tableColumn id="2" xr3:uid="{632111FE-E109-4AB8-89E6-0435B85BD131}" name="Tipo de Pagto" dataDxfId="576"/>
    <tableColumn id="3" xr3:uid="{E8C5B365-8D2D-4605-8A16-1AB9150BCC44}" name="Valor" dataDxfId="575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4" dataDxfId="572" headerRowBorderDxfId="573" tableBorderDxfId="571" totalsRowBorderDxfId="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9"/>
    <tableColumn id="2" xr3:uid="{C0E81097-83C4-4524-8E34-CEF9787F8A7E}" name="Cliente" dataDxfId="568"/>
    <tableColumn id="3" xr3:uid="{8D59E67E-B452-4F9A-AAE0-36EA95BB6E19}" name="Forma de Pgto" dataDxfId="567" dataCellStyle="Moeda"/>
    <tableColumn id="4" xr3:uid="{F7466880-2D96-46D0-97F5-A0F3057F4B83}" name="Valor Venda" dataDxfId="566" dataCellStyle="Porcentagem"/>
    <tableColumn id="5" xr3:uid="{1C9ACBF3-A8FA-4869-9459-B9FD6EE7CC98}" name="Entrada" dataDxfId="565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4" dataDxfId="562" headerRowBorderDxfId="563" tableBorderDxfId="561" totalsRowBorderDxfId="560">
  <autoFilter ref="K14:M31" xr:uid="{C83FE64B-E221-4DAA-89EA-5307A7BC98B3}"/>
  <tableColumns count="3">
    <tableColumn id="1" xr3:uid="{B00D0221-B7E2-4319-872F-39A5F278179B}" name="OS" dataDxfId="559"/>
    <tableColumn id="2" xr3:uid="{EB50C8BC-2DB9-4F7B-B612-681BB547926A}" name="Vendedor" dataDxfId="558"/>
    <tableColumn id="3" xr3:uid="{35270191-CAC7-406B-B916-370E9194FBD0}" name="CARNE" dataDxfId="557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6" dataDxfId="554" headerRowBorderDxfId="555" tableBorderDxfId="553" totalsRowBorderDxfId="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1"/>
    <tableColumn id="2" xr3:uid="{D650DC73-190F-4D20-A432-5DFA05B32EBB}" name="Cliente" dataDxfId="550"/>
    <tableColumn id="3" xr3:uid="{B232D3BA-4291-4772-8FA1-966DFC2F6BAD}" name="Forma de Pgto" dataDxfId="549" dataCellStyle="Moeda"/>
    <tableColumn id="4" xr3:uid="{27933DC4-0B14-4F8A-9424-CDECA8B0BE13}" name="Valor Parcela" dataDxfId="548" dataCellStyle="Porcentagem"/>
    <tableColumn id="5" xr3:uid="{812A2DA5-D78D-454A-BF37-5BC7C8B486FB}" name="Nº Parcela" dataDxfId="547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6" dataDxfId="544" headerRowBorderDxfId="545" tableBorderDxfId="543" totalsRowBorderDxfId="542">
  <autoFilter ref="K34:M41" xr:uid="{1B8643D4-6AC3-4029-882A-C62E9D7CB225}"/>
  <tableColumns count="3">
    <tableColumn id="1" xr3:uid="{F3E7E89B-8196-4CDC-A23E-947DB3CEA07C}" name="OS" dataDxfId="541"/>
    <tableColumn id="2" xr3:uid="{D705822D-AFE1-401D-A8C8-7D7BB7A4C86C}" name="Parcelas" dataDxfId="540"/>
    <tableColumn id="3" xr3:uid="{C528E7A1-6466-4E27-8A7C-A46F4678792C}" name="Valor Total" dataDxfId="539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8" dataDxfId="536" headerRowBorderDxfId="537" tableBorderDxfId="535" totalsRowBorderDxfId="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3" dataCellStyle="Moeda"/>
    <tableColumn id="5" xr3:uid="{935EFB73-C7DF-4DB2-A9CA-2CCBA3650F22}" name="Cliente" dataDxfId="532" dataCellStyle="Moeda"/>
    <tableColumn id="2" xr3:uid="{869122A0-3CC2-4E92-8EFB-746E8E8CB311}" name="Forma de Pgto" dataDxfId="531" dataCellStyle="Moeda"/>
    <tableColumn id="3" xr3:uid="{6DA3B9FE-BCC2-4503-9E60-EA0ED444B7A6}" name="Valor Venda" dataDxfId="530" dataCellStyle="Porcentagem"/>
    <tableColumn id="4" xr3:uid="{A8A1A79C-5DE2-48A0-9D24-1DA382BBF42E}" name="Entrada" dataDxfId="529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8" dataDxfId="526" headerRowBorderDxfId="527" tableBorderDxfId="525" totalsRowBorderDxfId="524">
  <autoFilter ref="K5:M11" xr:uid="{00000000-0009-0000-0100-000015000000}"/>
  <tableColumns count="3">
    <tableColumn id="1" xr3:uid="{3E8535D4-7B2A-41EF-B25F-D96FCA746C77}" name="Descrição" dataDxfId="523"/>
    <tableColumn id="2" xr3:uid="{29FD7EBB-FAB4-46A7-8D0C-8DEF811BE03C}" name="Tipo de Pagto" dataDxfId="522"/>
    <tableColumn id="3" xr3:uid="{42A84199-904C-48CF-9EA1-668D5693A5E1}" name="Valor" dataDxfId="521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0" dataDxfId="518" headerRowBorderDxfId="519" tableBorderDxfId="517" totalsRowBorderDxfId="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5"/>
    <tableColumn id="2" xr3:uid="{06FD4E8A-ECFC-46A5-9546-F18D5C7CCF46}" name="Cliente" dataDxfId="514"/>
    <tableColumn id="3" xr3:uid="{393434A3-085F-407B-B651-4C537A1C4DCA}" name="Forma de Pgto" dataDxfId="513" dataCellStyle="Moeda"/>
    <tableColumn id="4" xr3:uid="{D08FA6C2-56D1-4A76-94C1-132618C070F2}" name="Valor Venda" dataDxfId="512" dataCellStyle="Porcentagem"/>
    <tableColumn id="5" xr3:uid="{A94780A1-5426-454F-8950-AFE4D356071F}" name="Entrada" dataDxfId="511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0" dataDxfId="508" headerRowBorderDxfId="509" tableBorderDxfId="507" totalsRowBorderDxfId="506">
  <autoFilter ref="K14:M31" xr:uid="{C83FE64B-E221-4DAA-89EA-5307A7BC98B3}"/>
  <tableColumns count="3">
    <tableColumn id="1" xr3:uid="{5F81F202-5A63-416E-B66A-BC7A70C51944}" name="OS" dataDxfId="505"/>
    <tableColumn id="2" xr3:uid="{74527326-0E45-44AC-976A-01AD354EEF97}" name="Vendedor" dataDxfId="504"/>
    <tableColumn id="3" xr3:uid="{7E368C39-6290-45A4-8C60-3E0B6BEC860E}" name="CARNE" dataDxfId="503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2" dataDxfId="500" headerRowBorderDxfId="501" tableBorderDxfId="499" totalsRowBorderDxfId="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7"/>
    <tableColumn id="2" xr3:uid="{5FB18F19-64B5-46AA-955B-A301C651C0F2}" name="Cliente" dataDxfId="496"/>
    <tableColumn id="3" xr3:uid="{51F731CD-986B-4FF6-A861-83997E66998E}" name="Forma de Pgto" dataDxfId="495" dataCellStyle="Moeda"/>
    <tableColumn id="4" xr3:uid="{BD861052-26CD-48E9-91C6-0A6DF7C6A099}" name="Valor Parcela" dataDxfId="494" dataCellStyle="Porcentagem"/>
    <tableColumn id="5" xr3:uid="{8A5D6765-7637-45A4-9660-09EDBB031EC1}" name="Nº Parcela" dataDxfId="493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2" headerRowBorderDxfId="491" tableBorderDxfId="490" totalsRowBorderDxfId="489">
  <autoFilter ref="K34:M41" xr:uid="{1B8643D4-6AC3-4029-882A-C62E9D7CB225}"/>
  <tableColumns count="3">
    <tableColumn id="1" xr3:uid="{96F2F5A7-6005-4604-8B24-0E2838B4DD29}" name="OS" dataDxfId="488"/>
    <tableColumn id="2" xr3:uid="{ED904B68-5D9C-4B50-96BA-96CAD5E34CF1}" name="Parcelas" dataDxfId="487"/>
    <tableColumn id="3" xr3:uid="{317680F4-80F7-44BC-B3EF-4EFC6A803CAC}" name="Valor Total" dataDxfId="486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5" dataDxfId="483" headerRowBorderDxfId="484" tableBorderDxfId="482" totalsRowBorderDxfId="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0" dataCellStyle="Moeda"/>
    <tableColumn id="5" xr3:uid="{8C950723-3D74-47BB-96EF-8D7D6A2189F6}" name="Cliente" dataDxfId="479" dataCellStyle="Moeda"/>
    <tableColumn id="2" xr3:uid="{891A7678-229E-4FF4-AD78-C00F149C7AB3}" name="Forma de Pgto" dataDxfId="478" dataCellStyle="Moeda"/>
    <tableColumn id="3" xr3:uid="{C1AD64CF-D636-4D0B-90AF-998E65C41E3B}" name="Valor Venda" dataDxfId="477" dataCellStyle="Porcentagem"/>
    <tableColumn id="4" xr3:uid="{4674130B-789D-479A-9F01-407FB3322D27}" name="Entrada" dataDxfId="476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5" dataDxfId="473" headerRowBorderDxfId="474" tableBorderDxfId="472" totalsRowBorderDxfId="471">
  <autoFilter ref="K5:M11" xr:uid="{00000000-0009-0000-0100-000015000000}"/>
  <tableColumns count="3">
    <tableColumn id="1" xr3:uid="{558DC85F-C627-4F48-82AA-C24727E75A42}" name="Descrição" dataDxfId="470"/>
    <tableColumn id="2" xr3:uid="{8346B0E0-FB0D-4ED3-ABBC-3816B7CB40C9}" name="Tipo de Pagto" dataDxfId="469"/>
    <tableColumn id="3" xr3:uid="{362F9934-CC54-4E70-A26F-6CDF66DEB838}" name="Valor" dataDxfId="468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7" dataDxfId="465" headerRowBorderDxfId="466" tableBorderDxfId="464" totalsRowBorderDxfId="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2"/>
    <tableColumn id="2" xr3:uid="{B711E4E6-0AE5-42C8-8015-A72C2855CDFB}" name="Cliente" dataDxfId="461"/>
    <tableColumn id="3" xr3:uid="{016D3713-BA29-48F8-8683-6E42C1C8BDFE}" name="Forma de Pgto" dataDxfId="460" dataCellStyle="Moeda"/>
    <tableColumn id="4" xr3:uid="{66F30211-F047-40DA-B134-05B87A798574}" name="Valor Venda" dataDxfId="459" dataCellStyle="Porcentagem"/>
    <tableColumn id="5" xr3:uid="{2FB6AB3C-AA9E-4034-AF4B-12D9A3ECBBCA}" name="Entrada" dataDxfId="458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7" dataDxfId="455" headerRowBorderDxfId="456" tableBorderDxfId="454" totalsRowBorderDxfId="453">
  <autoFilter ref="K14:M31" xr:uid="{C83FE64B-E221-4DAA-89EA-5307A7BC98B3}"/>
  <tableColumns count="3">
    <tableColumn id="1" xr3:uid="{D6DF1477-46D1-47E2-A070-9A33886E6137}" name="OS" dataDxfId="452"/>
    <tableColumn id="2" xr3:uid="{C4215FA6-4F2C-444A-8E0B-4F99AEEE9430}" name="Vendedor" dataDxfId="451"/>
    <tableColumn id="3" xr3:uid="{7B8AD675-F389-4803-BFFB-8166F703E829}" name="CARNE" dataDxfId="450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9" dataDxfId="447" headerRowBorderDxfId="448" tableBorderDxfId="446" totalsRowBorderDxfId="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4"/>
    <tableColumn id="2" xr3:uid="{45674E96-72EC-433B-9141-E40A07A72A19}" name="Cliente" dataDxfId="443"/>
    <tableColumn id="3" xr3:uid="{22102B96-8607-4584-B5A3-C1EE639E0F4C}" name="Forma de Pgto" dataDxfId="442" dataCellStyle="Moeda"/>
    <tableColumn id="4" xr3:uid="{DC2E9D15-91B3-4478-AA38-B98773D1B0DA}" name="Valor Parcela" dataDxfId="441" dataCellStyle="Porcentagem"/>
    <tableColumn id="5" xr3:uid="{ABCCDEDB-69A0-4492-A24A-12A60E76A2F8}" name="Nº Parcela" dataDxfId="440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9" dataDxfId="437" headerRowBorderDxfId="438" tableBorderDxfId="436" totalsRowBorderDxfId="435">
  <autoFilter ref="K34:M41" xr:uid="{1B8643D4-6AC3-4029-882A-C62E9D7CB225}"/>
  <tableColumns count="3">
    <tableColumn id="1" xr3:uid="{96E4A694-A16C-4FAB-8484-5D1DCD513FF1}" name="OS" dataDxfId="434"/>
    <tableColumn id="2" xr3:uid="{CEC7F98C-5986-47BB-824E-5616D5A150E4}" name="Parcelas" dataDxfId="433"/>
    <tableColumn id="3" xr3:uid="{A82CBD0B-203D-4ED5-BDE4-3B77ECED5860}" name="Valor Total" dataDxfId="432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1" dataDxfId="429" headerRowBorderDxfId="430" tableBorderDxfId="428" totalsRowBorderDxfId="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6" dataCellStyle="Moeda"/>
    <tableColumn id="5" xr3:uid="{28960474-C27A-4147-BD99-7BB60462B8B0}" name="Cliente" dataDxfId="425" dataCellStyle="Moeda"/>
    <tableColumn id="2" xr3:uid="{67D37C1F-FE45-48AD-BED8-2CFECE89FEA0}" name="Forma de Pgto" dataDxfId="424" dataCellStyle="Moeda"/>
    <tableColumn id="3" xr3:uid="{9D53CA59-8DC0-45C1-B948-0BC9CE105A46}" name="Valor Venda" dataDxfId="423" dataCellStyle="Porcentagem"/>
    <tableColumn id="4" xr3:uid="{63C5EED9-C4FA-4177-B2B7-18053322A958}" name="Entrada" dataDxfId="422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1" dataDxfId="419" headerRowBorderDxfId="420" tableBorderDxfId="418" totalsRowBorderDxfId="417">
  <autoFilter ref="K5:M11" xr:uid="{00000000-0009-0000-0100-000015000000}"/>
  <tableColumns count="3">
    <tableColumn id="1" xr3:uid="{EA5469B7-1D8E-40E9-95A2-35DAC9D5EC13}" name="Descrição" dataDxfId="416"/>
    <tableColumn id="2" xr3:uid="{6149AE8A-4EBC-4D73-8258-5E25710E3A30}" name="Tipo de Pagto" dataDxfId="415"/>
    <tableColumn id="3" xr3:uid="{6872D867-5B80-4E69-B012-87CC7B75B649}" name="Valor" dataDxfId="414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3" dataDxfId="411" headerRowBorderDxfId="412" tableBorderDxfId="410" totalsRowBorderDxfId="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8"/>
    <tableColumn id="2" xr3:uid="{83BEE3E3-D5E6-4B4E-B0F3-B7D166EBC951}" name="Cliente" dataDxfId="407"/>
    <tableColumn id="3" xr3:uid="{D56D36FF-3364-4C9B-95E8-FF48852EB70B}" name="Forma de Pgto" dataDxfId="406" dataCellStyle="Moeda"/>
    <tableColumn id="4" xr3:uid="{E2E76570-BF3A-47F8-A702-0FE2FE405B33}" name="Valor Venda" dataDxfId="405" dataCellStyle="Porcentagem"/>
    <tableColumn id="5" xr3:uid="{19FD5054-F0CE-4B30-BF14-7D86B666A44E}" name="Entrada" dataDxfId="404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3" dataDxfId="401" headerRowBorderDxfId="402" tableBorderDxfId="400" totalsRowBorderDxfId="399">
  <autoFilter ref="K14:M31" xr:uid="{C83FE64B-E221-4DAA-89EA-5307A7BC98B3}"/>
  <tableColumns count="3">
    <tableColumn id="1" xr3:uid="{2A900AC2-CDD6-4655-B7AF-13F9A8DDD9FF}" name="OS" dataDxfId="398"/>
    <tableColumn id="2" xr3:uid="{D566D654-CC7D-40A6-874D-6CD6342DEC3B}" name="Vendedor" dataDxfId="397"/>
    <tableColumn id="3" xr3:uid="{E8D97BA9-0913-40AD-B2A5-0F60E6A0BE95}" name="CARNE" dataDxfId="396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5" dataDxfId="393" headerRowBorderDxfId="394" tableBorderDxfId="392" totalsRowBorderDxfId="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0"/>
    <tableColumn id="2" xr3:uid="{CDAD5229-EE1B-4727-8C27-8A17FEDA1C5C}" name="Cliente" dataDxfId="389"/>
    <tableColumn id="3" xr3:uid="{93224419-805E-4D8C-A296-80DA02CCC413}" name="Forma de Pgto" dataDxfId="388" dataCellStyle="Moeda"/>
    <tableColumn id="4" xr3:uid="{40C77CE6-762C-49C9-94EB-7D5AFC9A73A4}" name="Valor Parcela" dataDxfId="387" dataCellStyle="Porcentagem"/>
    <tableColumn id="5" xr3:uid="{8A7914AB-189B-4928-860C-9AB79BAA232D}" name="Nº Parcela" dataDxfId="386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5" dataDxfId="383" headerRowBorderDxfId="384" tableBorderDxfId="382" totalsRowBorderDxfId="381">
  <autoFilter ref="K34:M41" xr:uid="{1B8643D4-6AC3-4029-882A-C62E9D7CB225}"/>
  <tableColumns count="3">
    <tableColumn id="1" xr3:uid="{C92D7BD7-E114-41CE-802D-B41EFFA721F2}" name="OS" dataDxfId="380"/>
    <tableColumn id="2" xr3:uid="{C67ABBBE-4637-4653-928F-36D0678D64F6}" name="Parcelas" dataDxfId="379"/>
    <tableColumn id="3" xr3:uid="{2217F874-8724-4CC1-9542-1585CC1817E3}" name="Valor Total" dataDxfId="378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7" dataDxfId="375" headerRowBorderDxfId="376" tableBorderDxfId="374" totalsRowBorderDxfId="37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2" dataCellStyle="Moeda"/>
    <tableColumn id="5" xr3:uid="{EA7582FE-FEFF-4011-BD42-218C3664E6AB}" name="Cliente" dataDxfId="371" dataCellStyle="Moeda"/>
    <tableColumn id="2" xr3:uid="{F90F407A-44F2-4B25-95B2-7FFF747C7AA1}" name="Forma de Pgto" dataDxfId="370" dataCellStyle="Moeda"/>
    <tableColumn id="3" xr3:uid="{3ED51D07-27C8-4437-A49E-867C7274BC65}" name="Valor Venda" dataDxfId="369" dataCellStyle="Porcentagem"/>
    <tableColumn id="4" xr3:uid="{42C92817-5DF0-4DE7-B430-03840EF6E852}" name="Entrada" dataDxfId="368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7" dataDxfId="365" headerRowBorderDxfId="366" tableBorderDxfId="364" totalsRowBorderDxfId="363">
  <autoFilter ref="K5:M11" xr:uid="{00000000-0009-0000-0100-000015000000}"/>
  <tableColumns count="3">
    <tableColumn id="1" xr3:uid="{BCDA9109-FE1B-43D0-A775-F187BA433103}" name="Descrição" dataDxfId="362"/>
    <tableColumn id="2" xr3:uid="{6200DB38-1340-49E2-8DB4-68F203C169F1}" name="Tipo de Pagto" dataDxfId="361"/>
    <tableColumn id="3" xr3:uid="{27595B27-AB97-40C9-BECE-DEB4EF2576B7}" name="Valor" dataDxfId="360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9" dataDxfId="357" headerRowBorderDxfId="358" tableBorderDxfId="356" totalsRowBorderDxfId="35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4"/>
    <tableColumn id="2" xr3:uid="{2547CEAB-188F-4407-8B89-F3536432D0FA}" name="Cliente" dataDxfId="353"/>
    <tableColumn id="3" xr3:uid="{54CBD340-AB1A-4F98-A129-037389C3E236}" name="Forma de Pgto" dataDxfId="352" dataCellStyle="Moeda"/>
    <tableColumn id="4" xr3:uid="{CB0BC571-5837-4C35-AFDD-D5873CE23AE9}" name="Valor Venda" dataDxfId="351" dataCellStyle="Porcentagem"/>
    <tableColumn id="5" xr3:uid="{517A77AC-A76A-4CE7-B5D1-3FEFDF7B8722}" name="Entrada" dataDxfId="350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9" dataDxfId="347" headerRowBorderDxfId="348" tableBorderDxfId="346" totalsRowBorderDxfId="345">
  <autoFilter ref="K14:M31" xr:uid="{C83FE64B-E221-4DAA-89EA-5307A7BC98B3}"/>
  <tableColumns count="3">
    <tableColumn id="1" xr3:uid="{71C4392B-8887-40B1-9A7B-C600C91C0A9F}" name="OS" dataDxfId="344"/>
    <tableColumn id="2" xr3:uid="{EAC02F14-380C-4B61-8944-E4F1EC6C2572}" name="Vendedor" dataDxfId="343"/>
    <tableColumn id="3" xr3:uid="{04750BAB-2533-45E4-AD1A-4273DBA80CF4}" name="CARNE" dataDxfId="342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1" dataDxfId="339" headerRowBorderDxfId="340" tableBorderDxfId="338" totalsRowBorderDxfId="33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6"/>
    <tableColumn id="2" xr3:uid="{C78ED1A0-4ABC-4C46-9011-9E7D40E53828}" name="Cliente" dataDxfId="335"/>
    <tableColumn id="3" xr3:uid="{5CDE3049-7EDA-4337-9E8E-58F0DB4CFDD5}" name="Forma de Pgto" dataDxfId="334" dataCellStyle="Moeda"/>
    <tableColumn id="4" xr3:uid="{7ACCAB16-AFFF-4B9D-A25F-B45F3BBA93B9}" name="Valor Parcela" dataDxfId="333" dataCellStyle="Porcentagem"/>
    <tableColumn id="5" xr3:uid="{15EC4276-5957-4146-877A-2D9AF52832DE}" name="Nº Parcela" dataDxfId="332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1" dataDxfId="329" headerRowBorderDxfId="330" tableBorderDxfId="328" totalsRowBorderDxfId="327">
  <autoFilter ref="K34:M41" xr:uid="{1B8643D4-6AC3-4029-882A-C62E9D7CB225}"/>
  <tableColumns count="3">
    <tableColumn id="1" xr3:uid="{509FE920-B0D4-48CC-8AFC-C231084014ED}" name="OS" dataDxfId="326"/>
    <tableColumn id="2" xr3:uid="{648797DA-323D-4F7C-95F3-3223D3A08821}" name="Parcelas" dataDxfId="325"/>
    <tableColumn id="3" xr3:uid="{0684A7C0-4163-4297-B332-DFFBB65E266D}" name="Valor Total" dataDxfId="32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3" dataDxfId="321" headerRowBorderDxfId="322" tableBorderDxfId="320" totalsRowBorderDxfId="31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8" dataCellStyle="Moeda"/>
    <tableColumn id="5" xr3:uid="{FA1FA1DC-5352-4524-9AB2-369222C4BDD1}" name="Cliente" dataDxfId="317" dataCellStyle="Moeda"/>
    <tableColumn id="2" xr3:uid="{A73B5E06-AB1F-48ED-B61C-8853446A4F5E}" name="Forma de Pgto" dataDxfId="316" dataCellStyle="Moeda"/>
    <tableColumn id="3" xr3:uid="{E5231A7F-7D20-4503-A786-BF9FC0E23F42}" name="Valor Venda" dataDxfId="315" dataCellStyle="Porcentagem"/>
    <tableColumn id="4" xr3:uid="{86DAF072-A11E-464D-A335-9A5F5FF09F8D}" name="Entrada" dataDxfId="314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3" dataDxfId="311" headerRowBorderDxfId="312" tableBorderDxfId="310" totalsRowBorderDxfId="309">
  <autoFilter ref="K5:M11" xr:uid="{00000000-0009-0000-0100-000015000000}"/>
  <tableColumns count="3">
    <tableColumn id="1" xr3:uid="{0C299E65-9391-4336-8CF7-2EC1702B221E}" name="Descrição" dataDxfId="308"/>
    <tableColumn id="2" xr3:uid="{45EA8371-50DD-4161-8CE6-AE739B48843A}" name="Tipo de Pagto" dataDxfId="307"/>
    <tableColumn id="3" xr3:uid="{4D98764C-873C-4A32-9ABD-121372723463}" name="Valor" dataDxfId="306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5" dataDxfId="303" headerRowBorderDxfId="304" tableBorderDxfId="302" totalsRowBorderDxfId="30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0"/>
    <tableColumn id="2" xr3:uid="{212BE65F-3FA5-419B-B9A4-58240EFDEBFA}" name="Cliente" dataDxfId="299"/>
    <tableColumn id="3" xr3:uid="{1EE1E2AC-25F1-4013-8D38-A0638CF454DB}" name="Forma de Pgto" dataDxfId="298" dataCellStyle="Moeda"/>
    <tableColumn id="4" xr3:uid="{38D98562-880F-4C00-A26B-F40D7F6C9E67}" name="Valor Venda" dataDxfId="297" dataCellStyle="Porcentagem"/>
    <tableColumn id="5" xr3:uid="{183B778F-EB01-4FDA-BD28-D4D361F688C4}" name="Entrada" dataDxfId="296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5" dataDxfId="293" headerRowBorderDxfId="294" tableBorderDxfId="292" totalsRowBorderDxfId="291">
  <autoFilter ref="K14:M31" xr:uid="{C83FE64B-E221-4DAA-89EA-5307A7BC98B3}"/>
  <tableColumns count="3">
    <tableColumn id="1" xr3:uid="{21BA2342-0EF4-4D12-8CEB-D5F98AF1E43D}" name="OS" dataDxfId="290"/>
    <tableColumn id="2" xr3:uid="{8EC3F5A2-9325-43BD-A364-C3D24B7F492B}" name="Vendedor" dataDxfId="289"/>
    <tableColumn id="3" xr3:uid="{60B7BB21-2E30-4BF0-9109-7C61A6F8023E}" name="CARNE" dataDxfId="288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7" dataDxfId="285" headerRowBorderDxfId="286" tableBorderDxfId="284" totalsRowBorderDxfId="28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2"/>
    <tableColumn id="2" xr3:uid="{FEC021D0-C21F-4087-AA46-92F79B0BD15C}" name="Cliente" dataDxfId="281"/>
    <tableColumn id="3" xr3:uid="{B057DFD4-3A13-40AD-95B0-7A4A6D2F12EA}" name="Forma de Pgto" dataDxfId="280" dataCellStyle="Moeda"/>
    <tableColumn id="4" xr3:uid="{8571FA4F-3615-40B7-87DD-4A3572C756ED}" name="Valor Parcela" dataDxfId="279" dataCellStyle="Porcentagem"/>
    <tableColumn id="5" xr3:uid="{32F42922-7FF4-44E6-8FE1-CF1D84ED2607}" name="Nº Parcela" dataDxfId="278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7" headerRowBorderDxfId="276" tableBorderDxfId="275" totalsRowBorderDxfId="274">
  <autoFilter ref="K34:M41" xr:uid="{1B8643D4-6AC3-4029-882A-C62E9D7CB225}"/>
  <tableColumns count="3">
    <tableColumn id="1" xr3:uid="{239C8B86-39AD-48DE-8CD4-9E298F831595}" name="OS" dataDxfId="273"/>
    <tableColumn id="2" xr3:uid="{52A4913C-562E-40FD-8422-19A5A2E9F3E9}" name="Parcelas" dataDxfId="272"/>
    <tableColumn id="3" xr3:uid="{A2980378-BECE-4786-B65D-94F14F69AE6B}" name="Valor Total" dataDxfId="271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0" dataDxfId="268" headerRowBorderDxfId="269" tableBorderDxfId="267" totalsRowBorderDxfId="26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5" dataCellStyle="Moeda"/>
    <tableColumn id="5" xr3:uid="{570F0DA8-D686-4E48-AB43-770DB49D735A}" name="Cliente" dataDxfId="264" dataCellStyle="Moeda"/>
    <tableColumn id="2" xr3:uid="{80EB692B-CEF9-4384-93C3-D0C2D659D8B9}" name="Forma de Pgto" dataDxfId="263" dataCellStyle="Moeda"/>
    <tableColumn id="3" xr3:uid="{C072FA33-E65C-46A1-9619-122C55ADB543}" name="Valor Venda" dataDxfId="262" dataCellStyle="Porcentagem"/>
    <tableColumn id="4" xr3:uid="{A6AD7AE2-A356-40B6-8551-4661FBEB3F51}" name="Entrada" dataDxfId="261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0" dataDxfId="258" headerRowBorderDxfId="259" tableBorderDxfId="257" totalsRowBorderDxfId="256">
  <autoFilter ref="K5:M11" xr:uid="{00000000-0009-0000-0100-000015000000}"/>
  <tableColumns count="3">
    <tableColumn id="1" xr3:uid="{B332CB19-9163-40A3-A95C-B96A1582E073}" name="Descrição" dataDxfId="255"/>
    <tableColumn id="2" xr3:uid="{61F5EE7F-73F4-42E2-A9DC-23449B0C3C01}" name="Tipo de Pagto" dataDxfId="254"/>
    <tableColumn id="3" xr3:uid="{DA89D608-9609-4843-A5C1-DE0E1200E4A8}" name="Valor" dataDxfId="253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2" dataDxfId="250" headerRowBorderDxfId="251" tableBorderDxfId="249" totalsRowBorderDxfId="24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7"/>
    <tableColumn id="2" xr3:uid="{AC5BDFCE-FCF6-4AAB-9202-5F41FD623E7A}" name="Cliente" dataDxfId="246"/>
    <tableColumn id="3" xr3:uid="{60B29A82-92C4-41E9-85E9-1CB47FDC0F48}" name="Forma de Pgto" dataDxfId="245" dataCellStyle="Moeda"/>
    <tableColumn id="4" xr3:uid="{77AEFEA3-2B2A-45D9-B420-2C503790CB98}" name="Valor Venda" dataDxfId="244" dataCellStyle="Porcentagem"/>
    <tableColumn id="5" xr3:uid="{ADAFB771-5146-4657-B325-26E81CB97F70}" name="Entrada" dataDxfId="243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2" dataDxfId="240" headerRowBorderDxfId="241" tableBorderDxfId="239" totalsRowBorderDxfId="238">
  <autoFilter ref="K14:M31" xr:uid="{C83FE64B-E221-4DAA-89EA-5307A7BC98B3}"/>
  <tableColumns count="3">
    <tableColumn id="1" xr3:uid="{A681CC1B-EF00-4702-9240-49A1F9CD0ED9}" name="OS" dataDxfId="237"/>
    <tableColumn id="2" xr3:uid="{CACBAC13-6FB8-41CD-B9DA-E0BF6545625A}" name="Vendedor" dataDxfId="236"/>
    <tableColumn id="3" xr3:uid="{62DBFAEA-33ED-481B-88FE-D480C79BD70A}" name="CARNE" dataDxfId="235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4" dataDxfId="232" headerRowBorderDxfId="233" tableBorderDxfId="231" totalsRowBorderDxfId="23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9"/>
    <tableColumn id="2" xr3:uid="{84774BA8-817B-4BB4-B330-18FC2D74BEBD}" name="Cliente" dataDxfId="228"/>
    <tableColumn id="3" xr3:uid="{B445E0F1-2EE3-48E4-A8D9-FA43238816EF}" name="Forma de Pgto" dataDxfId="227" dataCellStyle="Moeda"/>
    <tableColumn id="4" xr3:uid="{ABB960AB-65AE-4F15-BF53-C9D07E2FDA8B}" name="Valor Parcela" dataDxfId="226" dataCellStyle="Porcentagem"/>
    <tableColumn id="5" xr3:uid="{89825584-3833-4995-A86E-D7E4080CB9BB}" name="Nº Parcela" dataDxfId="225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4" dataDxfId="222" headerRowBorderDxfId="223" tableBorderDxfId="221" totalsRowBorderDxfId="220">
  <autoFilter ref="K34:M41" xr:uid="{1B8643D4-6AC3-4029-882A-C62E9D7CB225}"/>
  <tableColumns count="3">
    <tableColumn id="1" xr3:uid="{EAA08E73-C7D6-46EB-8CB3-0B41DCC95916}" name="OS" dataDxfId="219"/>
    <tableColumn id="2" xr3:uid="{706D1FAA-0C88-4CDF-B8E1-15AD01A2E582}" name="Parcelas" dataDxfId="218"/>
    <tableColumn id="3" xr3:uid="{98D05923-385E-4F7C-ADF4-C1FB7F5B5CC5}" name="Valor Total" dataDxfId="217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6" dataDxfId="214" headerRowBorderDxfId="215" tableBorderDxfId="213" totalsRowBorderDxfId="21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1" dataCellStyle="Moeda"/>
    <tableColumn id="5" xr3:uid="{57575EBC-6B68-41EF-9676-918A4ABDCB4D}" name="Cliente" dataDxfId="210" dataCellStyle="Moeda"/>
    <tableColumn id="2" xr3:uid="{85714B76-869D-4DF7-8709-20EB0FE90848}" name="Forma de Pgto" dataDxfId="209" dataCellStyle="Moeda"/>
    <tableColumn id="3" xr3:uid="{A556487C-0FB8-4138-908B-0692480ED40F}" name="Valor Venda" dataDxfId="208" dataCellStyle="Porcentagem"/>
    <tableColumn id="4" xr3:uid="{2437A1CF-1861-42F2-9B6F-020480542B91}" name="Entrada" dataDxfId="207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6" dataDxfId="204" headerRowBorderDxfId="205" tableBorderDxfId="203" totalsRowBorderDxfId="202">
  <autoFilter ref="K5:M11" xr:uid="{00000000-0009-0000-0100-000015000000}"/>
  <tableColumns count="3">
    <tableColumn id="1" xr3:uid="{EA498FD3-4549-4930-A7C5-2A6A697F86CC}" name="Descrição" dataDxfId="201"/>
    <tableColumn id="2" xr3:uid="{8748D917-3F00-4700-B7E5-7700540A331D}" name="Tipo de Pagto" dataDxfId="200"/>
    <tableColumn id="3" xr3:uid="{42A9985B-0743-4482-AA4C-D8FD0E0F72A5}" name="Valor" dataDxfId="199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8" dataDxfId="196" headerRowBorderDxfId="197" tableBorderDxfId="195" totalsRowBorderDxfId="19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3"/>
    <tableColumn id="2" xr3:uid="{FE587643-BC52-4E6E-AF00-724AEF5CF68E}" name="Cliente" dataDxfId="192"/>
    <tableColumn id="3" xr3:uid="{7FE7D67C-9631-4982-8037-006DC6383D49}" name="Forma de Pgto" dataDxfId="191" dataCellStyle="Moeda"/>
    <tableColumn id="4" xr3:uid="{F211FF52-FD8A-4441-B1F6-EDB12BA108C0}" name="Valor Venda" dataDxfId="190" dataCellStyle="Porcentagem"/>
    <tableColumn id="5" xr3:uid="{16E4261B-0737-47FE-A7D3-731BFAF25FF7}" name="Entrada" dataDxfId="189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8" dataDxfId="186" headerRowBorderDxfId="187" tableBorderDxfId="185" totalsRowBorderDxfId="184">
  <autoFilter ref="K14:M31" xr:uid="{C83FE64B-E221-4DAA-89EA-5307A7BC98B3}"/>
  <tableColumns count="3">
    <tableColumn id="1" xr3:uid="{8E54EB92-C776-41FF-A0DB-06AF704A4887}" name="OS" dataDxfId="183"/>
    <tableColumn id="2" xr3:uid="{6868B7F3-9EF7-46C7-BEF9-654E8E36ED1C}" name="Vendedor" dataDxfId="182"/>
    <tableColumn id="3" xr3:uid="{1350521A-D743-40D9-A465-2D8D4BFE6A10}" name="CARNE" dataDxfId="181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0" dataDxfId="178" headerRowBorderDxfId="179" tableBorderDxfId="177" totalsRowBorderDxfId="17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5"/>
    <tableColumn id="2" xr3:uid="{85BDCF85-AA6C-42E1-B1B7-C516556DBDB9}" name="Cliente" dataDxfId="174"/>
    <tableColumn id="3" xr3:uid="{9F8DE4E4-D5E2-48B5-8EAA-40EB197D32AC}" name="Forma de Pgto" dataDxfId="173" dataCellStyle="Moeda"/>
    <tableColumn id="4" xr3:uid="{C6290D95-7284-445D-8939-C5FD7951996B}" name="Valor Parcela" dataDxfId="172" dataCellStyle="Porcentagem"/>
    <tableColumn id="5" xr3:uid="{52285BEC-0F7D-418F-A98F-3BC424F4B159}" name="Nº Parcela" dataDxfId="171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0" dataDxfId="168" headerRowBorderDxfId="169" tableBorderDxfId="167" totalsRowBorderDxfId="166">
  <autoFilter ref="K34:M41" xr:uid="{1B8643D4-6AC3-4029-882A-C62E9D7CB225}"/>
  <tableColumns count="3">
    <tableColumn id="1" xr3:uid="{2CBB75AA-30A1-4E7B-931E-A32395F87AA4}" name="OS" dataDxfId="165"/>
    <tableColumn id="2" xr3:uid="{9C8D7AA6-CFE0-4494-82DC-042A052CAAA0}" name="Parcelas" dataDxfId="164"/>
    <tableColumn id="3" xr3:uid="{57D19216-198A-4E06-835D-91E30A9FE599}" name="Valor Total" dataDxfId="163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2" dataDxfId="160" headerRowBorderDxfId="161" tableBorderDxfId="159" totalsRowBorderDxfId="1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7" dataCellStyle="Moeda"/>
    <tableColumn id="5" xr3:uid="{B57FE100-D980-4793-9BEF-6EB81A189BDF}" name="Cliente" dataDxfId="156" dataCellStyle="Moeda"/>
    <tableColumn id="2" xr3:uid="{E3E7153F-994D-48FC-90C4-2CBF846DD020}" name="Forma de Pgto" dataDxfId="155" dataCellStyle="Moeda"/>
    <tableColumn id="3" xr3:uid="{665F1580-FA55-4C7F-BD41-C142CAFE3223}" name="Valor Venda" dataDxfId="154" dataCellStyle="Porcentagem"/>
    <tableColumn id="4" xr3:uid="{6F1E523A-10ED-4EDD-B2CA-D0C7AD019914}" name="Entrada" dataDxfId="153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2" dataDxfId="150" headerRowBorderDxfId="151" tableBorderDxfId="149" totalsRowBorderDxfId="148">
  <autoFilter ref="K5:M11" xr:uid="{00000000-0009-0000-0100-000015000000}"/>
  <tableColumns count="3">
    <tableColumn id="1" xr3:uid="{8A51E802-CECA-43FB-B82C-E6736A43EA3D}" name="Descrição" dataDxfId="147"/>
    <tableColumn id="2" xr3:uid="{5BCD8607-AADC-48F8-8E37-0466420D4FCD}" name="Tipo de Pagto" dataDxfId="146"/>
    <tableColumn id="3" xr3:uid="{4723FDE3-A519-42AE-9778-8C9E4D87D4F8}" name="Valor" dataDxfId="145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4" dataDxfId="142" headerRowBorderDxfId="143" tableBorderDxfId="141" totalsRowBorderDxfId="1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9"/>
    <tableColumn id="2" xr3:uid="{DD36027F-0205-4159-9C6C-7703DD9F61D1}" name="Cliente" dataDxfId="138"/>
    <tableColumn id="3" xr3:uid="{C8916D40-C533-47FF-A39E-183396744611}" name="Forma de Pgto" dataDxfId="137" dataCellStyle="Moeda"/>
    <tableColumn id="4" xr3:uid="{80EB5638-1F44-4817-8C1B-9EB07004D4CA}" name="Valor Venda" dataDxfId="136" dataCellStyle="Porcentagem"/>
    <tableColumn id="5" xr3:uid="{B4816614-99C6-4C2F-BA88-5290B6B734E3}" name="Entrada" dataDxfId="135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4" dataDxfId="132" headerRowBorderDxfId="133" tableBorderDxfId="131" totalsRowBorderDxfId="130">
  <autoFilter ref="K14:M31" xr:uid="{C83FE64B-E221-4DAA-89EA-5307A7BC98B3}"/>
  <tableColumns count="3">
    <tableColumn id="1" xr3:uid="{DCFC0FAB-C428-42CC-A79B-6BBC4C4E77BA}" name="OS" dataDxfId="129"/>
    <tableColumn id="2" xr3:uid="{55C72FAB-171A-4E5F-A55F-BBFBE0F4AF66}" name="Vendedor" dataDxfId="128"/>
    <tableColumn id="3" xr3:uid="{DCD6A944-16B4-44C6-9625-37A26D7A1151}" name="CARNE" dataDxfId="127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6" dataDxfId="124" headerRowBorderDxfId="125" tableBorderDxfId="123" totalsRowBorderDxfId="1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1"/>
    <tableColumn id="2" xr3:uid="{D2E85D99-F671-4642-9D56-7BBD7EADC926}" name="Cliente" dataDxfId="120"/>
    <tableColumn id="3" xr3:uid="{B8D270E5-112A-4D49-B21F-9055AF1F02FC}" name="Forma de Pgto" dataDxfId="119" dataCellStyle="Moeda"/>
    <tableColumn id="4" xr3:uid="{BA14CF36-FD33-4C35-B77D-D8C5207F906C}" name="Valor Parcela" dataDxfId="118" dataCellStyle="Porcentagem"/>
    <tableColumn id="5" xr3:uid="{2E862B2B-4705-4EDB-B528-4C423CDCC317}" name="Nº Parcela" dataDxfId="117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6" dataDxfId="114" headerRowBorderDxfId="115" tableBorderDxfId="113" totalsRowBorderDxfId="112">
  <autoFilter ref="K34:M41" xr:uid="{1B8643D4-6AC3-4029-882A-C62E9D7CB225}"/>
  <tableColumns count="3">
    <tableColumn id="1" xr3:uid="{2092375F-825B-4295-AC07-BBBA3650EB3F}" name="OS" dataDxfId="111"/>
    <tableColumn id="2" xr3:uid="{8614B6AF-F25C-401B-AE51-F9959608EB4A}" name="Parcelas" dataDxfId="110"/>
    <tableColumn id="3" xr3:uid="{9702475E-64D8-4282-B5F4-F45E7E7B1891}" name="Valor Total" dataDxfId="109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8" dataDxfId="106" headerRowBorderDxfId="107" tableBorderDxfId="105" totalsRowBorderDxfId="1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3" dataCellStyle="Moeda"/>
    <tableColumn id="5" xr3:uid="{6DA19713-2E98-46D3-97C5-9220DCA239CF}" name="Cliente" dataDxfId="102" dataCellStyle="Moeda"/>
    <tableColumn id="2" xr3:uid="{88459FA3-E39A-4E24-BE6F-5B43DDEA2A4A}" name="Forma de Pgto" dataDxfId="101" dataCellStyle="Moeda"/>
    <tableColumn id="3" xr3:uid="{D7168B7C-70C2-4F65-A7A3-4909E88C1A7B}" name="Valor Venda" dataDxfId="100" dataCellStyle="Porcentagem"/>
    <tableColumn id="4" xr3:uid="{ADF4588D-7BC9-4314-A427-3D24958DACCC}" name="Entrada" dataDxfId="99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8" dataDxfId="96" headerRowBorderDxfId="97" tableBorderDxfId="95" totalsRowBorderDxfId="94">
  <autoFilter ref="K5:M11" xr:uid="{00000000-0009-0000-0100-000015000000}"/>
  <tableColumns count="3">
    <tableColumn id="1" xr3:uid="{E442CE4D-8AE5-41ED-A914-7256B88EAC73}" name="Descrição" dataDxfId="93"/>
    <tableColumn id="2" xr3:uid="{1E7FE08B-850F-4E9F-8B47-9536C8F5EC41}" name="Tipo de Pagto" dataDxfId="92"/>
    <tableColumn id="3" xr3:uid="{3DF1C1DC-F67A-43FF-B2A1-DF3622684536}" name="Valor" dataDxfId="91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0" dataDxfId="88" headerRowBorderDxfId="89" tableBorderDxfId="87" totalsRowBorderDxfId="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5"/>
    <tableColumn id="2" xr3:uid="{7751C919-065D-412F-B8A7-F92A54826246}" name="Cliente" dataDxfId="84"/>
    <tableColumn id="3" xr3:uid="{22CEA33D-E4AE-4795-B81E-F00AEE0259C7}" name="Forma de Pgto" dataDxfId="83" dataCellStyle="Moeda"/>
    <tableColumn id="4" xr3:uid="{111A6D3D-9DF3-48E3-B298-6A078CD9958A}" name="Valor Venda" dataDxfId="82" dataCellStyle="Porcentagem"/>
    <tableColumn id="5" xr3:uid="{6FAC4EB6-9A05-4962-BE54-D649C18DF277}" name="Entrada" dataDxfId="81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0" dataDxfId="78" headerRowBorderDxfId="79" tableBorderDxfId="77" totalsRowBorderDxfId="76">
  <autoFilter ref="K14:M31" xr:uid="{C83FE64B-E221-4DAA-89EA-5307A7BC98B3}"/>
  <tableColumns count="3">
    <tableColumn id="1" xr3:uid="{70EC0554-ECDB-4BBB-8EC8-2A8F33D6CFC6}" name="OS" dataDxfId="75"/>
    <tableColumn id="2" xr3:uid="{7B162083-69E8-4F3B-A78B-AAB824AC7351}" name="Vendedor" dataDxfId="74"/>
    <tableColumn id="3" xr3:uid="{A73D781B-1144-472F-AB4F-C1B60353EA62}" name="CARNE" dataDxfId="73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2" dataDxfId="70" headerRowBorderDxfId="71" tableBorderDxfId="69" totalsRowBorderDxfId="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7"/>
    <tableColumn id="2" xr3:uid="{20C66877-6F9A-47B0-A475-B6BCD966BCDE}" name="Cliente" dataDxfId="66"/>
    <tableColumn id="3" xr3:uid="{0B1C76D4-E380-4017-B2F1-2785D2AA0EB8}" name="Forma de Pgto" dataDxfId="65" dataCellStyle="Moeda"/>
    <tableColumn id="4" xr3:uid="{B7ACF4A8-9732-43AF-BAA1-9675D326ADFE}" name="Valor Parcela" dataDxfId="64" dataCellStyle="Porcentagem"/>
    <tableColumn id="5" xr3:uid="{D3AA6A31-6891-4F0D-A789-213423B77F89}" name="Nº Parcela" dataDxfId="63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2" headerRowBorderDxfId="61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2C0044B-5BF7-5245-B4F1-6206514BC829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802C9ACE-60F4-E444-B4F3-3524CEC6EA6F}" name="Nº Venda" dataDxfId="50" dataCellStyle="Moeda"/>
    <tableColumn id="5" xr3:uid="{C061CF13-9869-A742-82D1-A605BDE05F50}" name="Cliente" dataDxfId="49" dataCellStyle="Moeda"/>
    <tableColumn id="2" xr3:uid="{CFC82588-C6CE-F14F-8CC9-0F366538C946}" name="Forma de Pgto" dataDxfId="48" dataCellStyle="Moeda"/>
    <tableColumn id="3" xr3:uid="{F400C1FC-4F44-9C4F-9BDC-133C938871E2}" name="Valor Venda" dataDxfId="47" dataCellStyle="Porcentagem"/>
    <tableColumn id="4" xr3:uid="{8E2EFD6F-0142-F944-A8F4-DC0B8A6E2012}" name="Entrada" dataDxfId="46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DC45F93-D01F-7345-B7A5-081B0A11D682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46E6DA05-F996-B14B-9C9D-CA067CF2C4BD}" name="Descrição" dataDxfId="40"/>
    <tableColumn id="2" xr3:uid="{BC919302-2AD6-DA44-BEA5-E095C6A6B627}" name="Tipo de Pagto" dataDxfId="39"/>
    <tableColumn id="3" xr3:uid="{1CE2D18B-FEDE-6641-A9B7-9BD935E57678}" name="Valor" dataDxfId="38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83D79CE-2284-F84C-A5E9-68C5D97010BB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F5EA7ADB-8C88-E84F-ABE1-6E12A33F5355}" name="Nº Venda" dataDxfId="32"/>
    <tableColumn id="2" xr3:uid="{01A2A825-CC21-AA48-8EC6-16B030A514F9}" name="Cliente" dataDxfId="31"/>
    <tableColumn id="3" xr3:uid="{6606787B-E6C7-7146-BE99-D03B87E33814}" name="Forma de Pgto" dataDxfId="30" dataCellStyle="Moeda"/>
    <tableColumn id="4" xr3:uid="{78A3382A-D7B3-C842-8096-9CCE3BA5B79F}" name="Valor Venda" dataDxfId="29" dataCellStyle="Porcentagem"/>
    <tableColumn id="5" xr3:uid="{21834EA3-93E6-1E4E-BAA6-C85E08C519F1}" name="Entrada" dataDxfId="28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ECF4BAD-89A7-CC47-9340-7A8FA59C266C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DC2B2EC9-B07A-2445-BD6B-A2856032037E}" name="OS" dataDxfId="22"/>
    <tableColumn id="2" xr3:uid="{BC8CD637-99E4-4142-BE35-5BD374E747BB}" name="Vendedor" dataDxfId="21"/>
    <tableColumn id="3" xr3:uid="{FBF89881-1334-0241-BB61-75024923CB57}" name="CARNE" dataDxfId="20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CC782B1-F263-DC4B-935E-32FCFD68CB2A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0AE5697-8ACD-E24C-8288-234CA0147243}" name="OS" dataDxfId="14"/>
    <tableColumn id="2" xr3:uid="{C23E0C36-93FD-A04C-81FE-B7964C02F7ED}" name="Cliente" dataDxfId="13"/>
    <tableColumn id="3" xr3:uid="{2B0E492C-86DC-E74B-B5E5-C55915767494}" name="Forma de Pgto" dataDxfId="12" dataCellStyle="Moeda"/>
    <tableColumn id="4" xr3:uid="{078C1C3F-2DFD-C045-9A93-4C1CA6BE7796}" name="Valor Parcela" dataDxfId="11" dataCellStyle="Porcentagem"/>
    <tableColumn id="5" xr3:uid="{2BF1DFBD-B5D4-EF4B-B365-B0A21D0054AE}" name="Nº Parcela" dataDxfId="10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EB94561-7352-D04A-9135-DC3A50A674B8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B77F26DD-AD1E-1741-822E-BC6720FF25CB}" name="OS" dataDxfId="4"/>
    <tableColumn id="2" xr3:uid="{250DC53E-594C-F143-AFCD-82A3880B4ED3}" name="Parcelas" dataDxfId="3"/>
    <tableColumn id="3" xr3:uid="{EE380820-DA62-0241-AF3A-C7F0C6BF6D1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4-05-21T14:37:48.26" personId="{A356EFD5-48A4-4933-8C38-7F3BF511C9E0}" id="{B467AB8E-3A75-4829-AD49-EF8A1D004C1C}">
    <text>Foi lançado no CX errado, o valor já mudei, estava R$ 720,00 e a OS R$ 877,00, Aline quando chegar o CX conferir, por gentileza.
Junior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8.xml"/><Relationship Id="rId3" Type="http://schemas.openxmlformats.org/officeDocument/2006/relationships/table" Target="../tables/table103.xml"/><Relationship Id="rId7" Type="http://schemas.openxmlformats.org/officeDocument/2006/relationships/table" Target="../tables/table107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6.xml"/><Relationship Id="rId5" Type="http://schemas.openxmlformats.org/officeDocument/2006/relationships/table" Target="../tables/table105.xml"/><Relationship Id="rId10" Type="http://schemas.microsoft.com/office/2017/10/relationships/threadedComment" Target="../threadedComments/threadedComment1.xml"/><Relationship Id="rId4" Type="http://schemas.openxmlformats.org/officeDocument/2006/relationships/table" Target="../tables/table104.xml"/><Relationship Id="rId9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66">
        <v>0</v>
      </c>
    </row>
    <row r="3" spans="1:2" ht="15" x14ac:dyDescent="0.25">
      <c r="A3" s="23" t="s">
        <v>1</v>
      </c>
      <c r="B3" s="24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</row>
    <row r="4" spans="1:2" ht="15" x14ac:dyDescent="0.25">
      <c r="A4" s="23" t="s">
        <v>2</v>
      </c>
      <c r="B4" s="24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</row>
    <row r="6" spans="1:2" ht="15.75" x14ac:dyDescent="0.25">
      <c r="A6" s="28" t="s">
        <v>4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147" t="s">
        <v>5</v>
      </c>
      <c r="B8" s="147"/>
    </row>
    <row r="9" spans="1:2" ht="15" x14ac:dyDescent="0.25">
      <c r="A9" s="30" t="s">
        <v>6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</row>
    <row r="10" spans="1:2" ht="15" x14ac:dyDescent="0.25">
      <c r="A10" s="30" t="s">
        <v>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</row>
    <row r="11" spans="1:2" ht="15" x14ac:dyDescent="0.25">
      <c r="A11" s="30" t="s">
        <v>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#REF!)</f>
        <v>#REF!</v>
      </c>
    </row>
    <row r="13" spans="1:2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4" spans="1:2" ht="15.75" x14ac:dyDescent="0.25">
      <c r="A14" s="28" t="s">
        <v>10</v>
      </c>
      <c r="B14" s="67" t="e">
        <f>SUM(B9:B13)</f>
        <v>#REF!</v>
      </c>
    </row>
    <row r="15" spans="1:2" ht="15" x14ac:dyDescent="0.25">
      <c r="A15" s="2"/>
      <c r="B15" s="2"/>
    </row>
    <row r="16" spans="1:2" ht="15" x14ac:dyDescent="0.2">
      <c r="A16" s="147" t="s">
        <v>11</v>
      </c>
      <c r="B16" s="147"/>
    </row>
    <row r="17" spans="1:2" ht="15" x14ac:dyDescent="0.25">
      <c r="A17" s="30">
        <f>COUNT(#REF!)</f>
        <v>0</v>
      </c>
      <c r="B17" s="24" t="e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#REF!)</f>
        <v>#REF!</v>
      </c>
    </row>
    <row r="18" spans="1:2" ht="15.75" x14ac:dyDescent="0.25">
      <c r="A18" s="28" t="s">
        <v>10</v>
      </c>
      <c r="B18" s="67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70" zoomScaleNormal="70" workbookViewId="0">
      <selection activeCell="C21" sqref="C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v>45413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COUNT(entr_carn1[OS])</f>
        <v>0</v>
      </c>
      <c r="C18" s="31">
        <f>SUM(entr_carn1[Valor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70" zoomScaleNormal="7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8.140625" style="1" customWidth="1"/>
    <col min="3" max="3" width="12" style="1" customWidth="1"/>
    <col min="4" max="4" width="1.425781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2.7109375" style="4" customWidth="1"/>
    <col min="10" max="10" width="1.570312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'01'!B1+1</f>
        <v>45414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20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76"/>
      <c r="F13" s="58"/>
      <c r="G13" s="77"/>
      <c r="H13" s="65"/>
      <c r="I13" s="65"/>
      <c r="J13" s="2"/>
      <c r="K13" s="149" t="s">
        <v>21</v>
      </c>
      <c r="L13" s="150"/>
      <c r="M13" s="151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76"/>
      <c r="F14" s="58"/>
      <c r="G14" s="77"/>
      <c r="H14" s="65"/>
      <c r="I14" s="65"/>
      <c r="J14" s="2"/>
      <c r="K14" s="14" t="s">
        <v>124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500</v>
      </c>
      <c r="D15" s="2"/>
      <c r="E15" s="18"/>
      <c r="F15" s="25"/>
      <c r="G15" s="26"/>
      <c r="H15" s="8"/>
      <c r="I15" s="8"/>
      <c r="J15" s="2"/>
      <c r="K15" s="102">
        <v>890</v>
      </c>
      <c r="L15" s="105" t="s">
        <v>173</v>
      </c>
      <c r="M15" s="106" t="s">
        <v>130</v>
      </c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102">
        <v>917</v>
      </c>
      <c r="L16" s="105" t="s">
        <v>173</v>
      </c>
      <c r="M16" s="106" t="s">
        <v>130</v>
      </c>
      <c r="R16" s="1">
        <f>IF(vend2[[#This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01">
        <v>890</v>
      </c>
      <c r="F26" s="102" t="s">
        <v>129</v>
      </c>
      <c r="G26" s="103" t="s">
        <v>6</v>
      </c>
      <c r="H26" s="104">
        <v>0</v>
      </c>
      <c r="I26" s="104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4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'02'!B1+1</f>
        <v>45415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235.7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235.7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01">
        <v>837</v>
      </c>
      <c r="F35" s="102" t="s">
        <v>131</v>
      </c>
      <c r="G35" s="103" t="s">
        <v>9</v>
      </c>
      <c r="H35" s="104">
        <v>117.85</v>
      </c>
      <c r="I35" s="104" t="s">
        <v>53</v>
      </c>
      <c r="K35" s="25"/>
      <c r="L35" s="41"/>
      <c r="M35" s="16"/>
    </row>
    <row r="36" spans="5:18" ht="15.75" x14ac:dyDescent="0.25">
      <c r="E36" s="101">
        <v>837</v>
      </c>
      <c r="F36" s="102" t="s">
        <v>131</v>
      </c>
      <c r="G36" s="103" t="s">
        <v>9</v>
      </c>
      <c r="H36" s="104">
        <v>117.85</v>
      </c>
      <c r="I36" s="104" t="s">
        <v>47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1" zoomScale="70" zoomScaleNormal="70" workbookViewId="0">
      <selection activeCell="C21" sqref="C2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'03'!B1+1</f>
        <v>45416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40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</v>
      </c>
      <c r="D6" s="2"/>
      <c r="E6" s="101">
        <v>919</v>
      </c>
      <c r="F6" s="102" t="s">
        <v>134</v>
      </c>
      <c r="G6" s="110" t="s">
        <v>9</v>
      </c>
      <c r="H6" s="104">
        <v>40</v>
      </c>
      <c r="I6" s="104">
        <v>40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20</v>
      </c>
      <c r="C8" s="29">
        <f>SUM(C6:C7)</f>
        <v>40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197.4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40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75" x14ac:dyDescent="0.25">
      <c r="B15" s="28" t="s">
        <v>10</v>
      </c>
      <c r="C15" s="32">
        <f>SUM(C11:C14)</f>
        <v>237.4</v>
      </c>
      <c r="D15" s="2"/>
      <c r="E15" s="18"/>
      <c r="F15" s="25"/>
      <c r="G15" s="26"/>
      <c r="H15" s="8"/>
      <c r="I15" s="8"/>
      <c r="J15" s="2"/>
      <c r="K15" s="107">
        <v>906</v>
      </c>
      <c r="L15" s="108" t="s">
        <v>173</v>
      </c>
      <c r="M15" s="109" t="s">
        <v>133</v>
      </c>
      <c r="R15" s="1">
        <f>IF(vend4[[#This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80"/>
      <c r="L16" s="80"/>
      <c r="M16" s="82"/>
      <c r="R16" s="1">
        <f>IF(vend4[[#This Row],[Nº Venda]]&gt;1,1,0)</f>
        <v>0</v>
      </c>
    </row>
    <row r="17" spans="2:18" ht="18.75" x14ac:dyDescent="0.4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55"/>
      <c r="L17" s="56"/>
      <c r="M17" s="57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25</v>
      </c>
      <c r="C21" s="32">
        <f>C5</f>
        <v>40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6"/>
      <c r="F26" s="58"/>
      <c r="G26" s="83"/>
      <c r="H26" s="65"/>
      <c r="I26" s="65"/>
      <c r="J26" s="2"/>
      <c r="K26" s="25"/>
      <c r="L26" s="9"/>
      <c r="M26" s="16"/>
    </row>
    <row r="27" spans="2:18" ht="15.75" x14ac:dyDescent="0.25">
      <c r="B27" s="2"/>
      <c r="C27" s="2"/>
      <c r="D27" s="2"/>
      <c r="E27" s="76"/>
      <c r="F27" s="58"/>
      <c r="G27" s="83"/>
      <c r="H27" s="65"/>
      <c r="I27" s="65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01">
        <v>906</v>
      </c>
      <c r="F35" s="102" t="s">
        <v>132</v>
      </c>
      <c r="G35" s="103" t="s">
        <v>6</v>
      </c>
      <c r="H35" s="104">
        <v>197.4</v>
      </c>
      <c r="I35" s="104" t="s">
        <v>37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'04'!B1+1</f>
        <v>45417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76"/>
      <c r="F6" s="58"/>
      <c r="G6" s="83"/>
      <c r="H6" s="65"/>
      <c r="I6" s="65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85" t="s">
        <v>6</v>
      </c>
      <c r="C11" s="84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0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59"/>
      <c r="N16" s="16"/>
      <c r="R16" s="1">
        <f>IF(vend5[[#This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76"/>
      <c r="F36" s="58"/>
      <c r="G36" s="77"/>
      <c r="H36" s="65"/>
      <c r="I36" s="65"/>
      <c r="K36" s="25"/>
      <c r="L36" s="41"/>
      <c r="M36" s="16"/>
    </row>
    <row r="37" spans="5:18" ht="15.75" x14ac:dyDescent="0.25">
      <c r="E37" s="76"/>
      <c r="F37" s="58"/>
      <c r="G37" s="77"/>
      <c r="H37" s="65"/>
      <c r="I37" s="65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1" zoomScale="70" zoomScaleNormal="70" workbookViewId="0">
      <selection activeCell="C21" sqref="C2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'05'!B1+1</f>
        <v>45418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1017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1017</v>
      </c>
      <c r="D6" s="2"/>
      <c r="E6" s="101">
        <v>920</v>
      </c>
      <c r="F6" s="102" t="s">
        <v>135</v>
      </c>
      <c r="G6" s="103" t="s">
        <v>8</v>
      </c>
      <c r="H6" s="104">
        <v>1017</v>
      </c>
      <c r="I6" s="104">
        <v>1017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20</v>
      </c>
      <c r="C8" s="29">
        <f>SUM(C6:C7)</f>
        <v>1017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54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1017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1017</v>
      </c>
      <c r="D15" s="2"/>
      <c r="E15" s="18"/>
      <c r="F15" s="25"/>
      <c r="G15" s="26"/>
      <c r="H15" s="8"/>
      <c r="I15" s="8"/>
      <c r="J15" s="2"/>
      <c r="K15" s="101">
        <v>919</v>
      </c>
      <c r="L15" s="102" t="s">
        <v>173</v>
      </c>
      <c r="M15" s="106" t="s">
        <v>130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25</v>
      </c>
      <c r="C21" s="32">
        <f>C5</f>
        <v>1017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6"/>
      <c r="F26" s="58"/>
      <c r="G26" s="77"/>
      <c r="H26" s="65"/>
      <c r="I26" s="65"/>
      <c r="J26" s="2"/>
      <c r="K26" s="25"/>
      <c r="L26" s="9"/>
      <c r="M26" s="16"/>
    </row>
    <row r="27" spans="2:18" ht="15.75" x14ac:dyDescent="0.25">
      <c r="B27" s="2"/>
      <c r="C27" s="2"/>
      <c r="D27" s="2"/>
      <c r="E27" s="76"/>
      <c r="F27" s="58"/>
      <c r="G27" s="77"/>
      <c r="H27" s="65"/>
      <c r="I27" s="65"/>
      <c r="J27" s="2"/>
      <c r="K27" s="25"/>
      <c r="L27" s="9"/>
      <c r="M27" s="16"/>
    </row>
    <row r="28" spans="2:18" ht="15.75" x14ac:dyDescent="0.25">
      <c r="B28" s="2"/>
      <c r="C28" s="2"/>
      <c r="D28" s="2"/>
      <c r="E28" s="76"/>
      <c r="F28" s="58"/>
      <c r="G28" s="77"/>
      <c r="H28" s="65"/>
      <c r="I28" s="65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70" zoomScaleNormal="70" workbookViewId="0">
      <selection activeCell="G8" sqref="G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1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4">
        <f>'06'!B1+1</f>
        <v>45419</v>
      </c>
    </row>
    <row r="2" spans="2:21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  <c r="U4" s="1">
        <v>0</v>
      </c>
    </row>
    <row r="5" spans="2:21" ht="15" x14ac:dyDescent="0.25">
      <c r="B5" s="23" t="s">
        <v>1</v>
      </c>
      <c r="C5" s="24">
        <f>SUMIF(I6:I31,"&gt;0",H6:H31)</f>
        <v>2322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1353</v>
      </c>
      <c r="D6" s="2"/>
      <c r="E6" s="101">
        <v>921</v>
      </c>
      <c r="F6" s="72" t="s">
        <v>136</v>
      </c>
      <c r="G6" s="72" t="s">
        <v>7</v>
      </c>
      <c r="H6" s="73">
        <v>823</v>
      </c>
      <c r="I6" s="73">
        <v>223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01">
        <v>922</v>
      </c>
      <c r="F7" s="111" t="s">
        <v>138</v>
      </c>
      <c r="G7" s="111" t="s">
        <v>7</v>
      </c>
      <c r="H7" s="112">
        <v>1499</v>
      </c>
      <c r="I7" s="112">
        <v>300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20</v>
      </c>
      <c r="C8" s="29">
        <f>SUM(C6:C7)</f>
        <v>1353</v>
      </c>
      <c r="D8" s="2"/>
      <c r="E8" s="101">
        <v>922</v>
      </c>
      <c r="F8" s="102" t="s">
        <v>139</v>
      </c>
      <c r="G8" s="103" t="s">
        <v>7</v>
      </c>
      <c r="H8" s="104"/>
      <c r="I8" s="104">
        <v>630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 t="s">
        <v>137</v>
      </c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1153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1353</v>
      </c>
      <c r="D15" s="2"/>
      <c r="E15" s="18"/>
      <c r="F15" s="25"/>
      <c r="G15" s="26"/>
      <c r="H15" s="8"/>
      <c r="I15" s="8"/>
      <c r="J15" s="2"/>
      <c r="K15" s="113">
        <v>894</v>
      </c>
      <c r="L15" s="114" t="s">
        <v>141</v>
      </c>
      <c r="M15" s="115" t="s">
        <v>130</v>
      </c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25</v>
      </c>
      <c r="C21" s="32">
        <f>C5</f>
        <v>2322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116">
        <v>894</v>
      </c>
      <c r="F26" s="117" t="s">
        <v>140</v>
      </c>
      <c r="G26" s="118" t="s">
        <v>6</v>
      </c>
      <c r="H26" s="119"/>
      <c r="I26" s="119">
        <v>200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8" zoomScale="70" zoomScaleNormal="7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2.7109375" style="1" customWidth="1"/>
    <col min="4" max="4" width="0.4257812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'07'!B1+1</f>
        <v>45420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750</v>
      </c>
      <c r="D6" s="2"/>
      <c r="E6" s="75"/>
      <c r="F6" s="8"/>
      <c r="G6" s="8"/>
      <c r="H6" s="8"/>
      <c r="I6" s="8"/>
      <c r="J6" s="2"/>
      <c r="K6" s="102" t="s">
        <v>142</v>
      </c>
      <c r="L6" s="105" t="s">
        <v>9</v>
      </c>
      <c r="M6" s="106">
        <v>12</v>
      </c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12</v>
      </c>
      <c r="D7" s="2"/>
      <c r="E7" s="75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20</v>
      </c>
      <c r="C8" s="29">
        <f>SUM(C6:C7)</f>
        <v>762</v>
      </c>
      <c r="D8" s="2"/>
      <c r="E8" s="75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75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1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1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1">
        <f>(SUMIF($G$2:$G$31,B13,$I$2:$I$31))+(SUMIF($G$35:$G$42,B13,$H$35:$H$42))</f>
        <v>750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IF(vend8[[#This Row],[Nº Venda]]&gt;1,1,0)</f>
        <v>0</v>
      </c>
    </row>
    <row r="14" spans="2:18" ht="15.75" x14ac:dyDescent="0.25">
      <c r="B14" s="30" t="s">
        <v>9</v>
      </c>
      <c r="C14" s="71">
        <f>(SUMIF($G$2:$G$31,B14,$I$2:$I$31))+(SUMIF($G$35:$G$42,B14,$H$35:$H$42))</f>
        <v>113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863</v>
      </c>
      <c r="D15" s="2"/>
      <c r="E15" s="18"/>
      <c r="F15" s="25"/>
      <c r="G15" s="26"/>
      <c r="H15" s="8"/>
      <c r="I15" s="8"/>
      <c r="J15" s="2"/>
      <c r="K15" s="102">
        <v>914</v>
      </c>
      <c r="L15" s="105" t="s">
        <v>173</v>
      </c>
      <c r="M15" s="106" t="s">
        <v>130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58"/>
      <c r="L16" s="63"/>
      <c r="M16" s="64"/>
      <c r="R16" s="1">
        <f>IF(vend8[[#This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16">
        <v>914</v>
      </c>
      <c r="F26" s="120" t="s">
        <v>144</v>
      </c>
      <c r="G26" s="121" t="s">
        <v>8</v>
      </c>
      <c r="H26" s="119">
        <v>0</v>
      </c>
      <c r="I26" s="119">
        <v>750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01">
        <v>811</v>
      </c>
      <c r="F35" s="102" t="s">
        <v>143</v>
      </c>
      <c r="G35" s="103" t="s">
        <v>9</v>
      </c>
      <c r="H35" s="104">
        <v>113</v>
      </c>
      <c r="I35" s="104" t="s">
        <v>78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79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68"/>
      <c r="G42" s="69"/>
      <c r="H42" s="70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2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3">
        <f>'08'!B1+1</f>
        <v>45421</v>
      </c>
    </row>
    <row r="2" spans="2:22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22" ht="15" x14ac:dyDescent="0.25">
      <c r="B5" s="23" t="s">
        <v>1</v>
      </c>
      <c r="C5" s="24">
        <f>SUMIF(I6:I31,"&gt;0",H6:H31)</f>
        <v>3673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650</v>
      </c>
      <c r="D6" s="2"/>
      <c r="E6" s="101">
        <v>923</v>
      </c>
      <c r="F6" s="102" t="s">
        <v>145</v>
      </c>
      <c r="G6" s="110" t="s">
        <v>8</v>
      </c>
      <c r="H6" s="104">
        <v>799</v>
      </c>
      <c r="I6" s="104">
        <v>250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01">
        <v>924</v>
      </c>
      <c r="F7" s="102" t="s">
        <v>146</v>
      </c>
      <c r="G7" s="110" t="s">
        <v>7</v>
      </c>
      <c r="H7" s="104">
        <v>1323</v>
      </c>
      <c r="I7" s="104">
        <v>100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20</v>
      </c>
      <c r="C8" s="29">
        <f>SUM(C6:C7)</f>
        <v>650</v>
      </c>
      <c r="D8" s="2"/>
      <c r="E8" s="101">
        <v>925</v>
      </c>
      <c r="F8" s="102" t="s">
        <v>147</v>
      </c>
      <c r="G8" s="103" t="s">
        <v>8</v>
      </c>
      <c r="H8" s="104">
        <v>1221</v>
      </c>
      <c r="I8" s="104">
        <v>150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01">
        <v>926</v>
      </c>
      <c r="F9" s="102" t="s">
        <v>147</v>
      </c>
      <c r="G9" s="103" t="s">
        <v>8</v>
      </c>
      <c r="H9" s="104">
        <v>330</v>
      </c>
      <c r="I9" s="104">
        <v>150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550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650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25</v>
      </c>
      <c r="C21" s="32">
        <f>C5</f>
        <v>3673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" zoomScale="70" zoomScaleNormal="7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3.42578125" style="1" customWidth="1"/>
    <col min="4" max="4" width="0.7109375" style="1" customWidth="1"/>
    <col min="5" max="5" width="15.5703125" style="34" customWidth="1"/>
    <col min="6" max="6" width="35.8554687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'09'!B1+1</f>
        <v>45422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2300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2300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2060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240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2300</v>
      </c>
      <c r="D15" s="2"/>
      <c r="E15" s="18"/>
      <c r="F15" s="25"/>
      <c r="G15" s="26"/>
      <c r="H15" s="8"/>
      <c r="I15" s="8"/>
      <c r="J15" s="2"/>
      <c r="K15" s="102">
        <v>896</v>
      </c>
      <c r="L15" s="105" t="s">
        <v>148</v>
      </c>
      <c r="M15" s="106" t="s">
        <v>130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102">
        <v>900</v>
      </c>
      <c r="L16" s="105" t="s">
        <v>141</v>
      </c>
      <c r="M16" s="122" t="s">
        <v>130</v>
      </c>
      <c r="R16" s="1">
        <f>IF(vend10[[#This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58"/>
      <c r="L17" s="63"/>
      <c r="M17" s="64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01">
        <v>900</v>
      </c>
      <c r="F26" s="102" t="s">
        <v>149</v>
      </c>
      <c r="G26" s="110" t="s">
        <v>8</v>
      </c>
      <c r="H26" s="104">
        <v>0</v>
      </c>
      <c r="I26" s="104">
        <v>760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01">
        <v>901</v>
      </c>
      <c r="F27" s="102" t="s">
        <v>149</v>
      </c>
      <c r="G27" s="110" t="s">
        <v>8</v>
      </c>
      <c r="H27" s="104">
        <v>0</v>
      </c>
      <c r="I27" s="104">
        <v>1200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01">
        <v>897</v>
      </c>
      <c r="F28" s="102" t="s">
        <v>149</v>
      </c>
      <c r="G28" s="110" t="s">
        <v>8</v>
      </c>
      <c r="H28" s="104">
        <v>0</v>
      </c>
      <c r="I28" s="104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01">
        <v>897</v>
      </c>
      <c r="F29" s="102" t="s">
        <v>149</v>
      </c>
      <c r="G29" s="103" t="s">
        <v>9</v>
      </c>
      <c r="H29" s="104">
        <v>0</v>
      </c>
      <c r="I29" s="104">
        <v>240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49" t="s">
        <v>11</v>
      </c>
      <c r="L33" s="150"/>
      <c r="M33" s="151"/>
    </row>
    <row r="34" spans="5:18" ht="15" x14ac:dyDescent="0.25">
      <c r="E34" s="148" t="s">
        <v>27</v>
      </c>
      <c r="F34" s="148"/>
      <c r="G34" s="148"/>
      <c r="H34" s="148"/>
      <c r="I34" s="148"/>
      <c r="K34" s="14" t="s">
        <v>22</v>
      </c>
      <c r="L34" s="6" t="s">
        <v>30</v>
      </c>
      <c r="M34" s="15" t="s">
        <v>31</v>
      </c>
    </row>
    <row r="35" spans="5:18" ht="15" x14ac:dyDescent="0.25">
      <c r="E35" s="10" t="s">
        <v>124</v>
      </c>
      <c r="F35" s="10" t="s">
        <v>125</v>
      </c>
      <c r="G35" s="11" t="s">
        <v>126</v>
      </c>
      <c r="H35" s="12" t="s">
        <v>127</v>
      </c>
      <c r="I35" s="13" t="s">
        <v>128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3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'10'!B1+1</f>
        <v>45423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899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899</v>
      </c>
      <c r="D6" s="2"/>
      <c r="E6" s="101">
        <v>927</v>
      </c>
      <c r="F6" s="102" t="s">
        <v>150</v>
      </c>
      <c r="G6" s="103" t="s">
        <v>8</v>
      </c>
      <c r="H6" s="104">
        <v>899</v>
      </c>
      <c r="I6" s="104">
        <v>899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20</v>
      </c>
      <c r="C8" s="29">
        <f>SUM(C6:C7)</f>
        <v>899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112.5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899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1011.5</v>
      </c>
      <c r="D15" s="2"/>
      <c r="E15" s="18"/>
      <c r="F15" s="25"/>
      <c r="G15" s="26"/>
      <c r="H15" s="8"/>
      <c r="I15" s="8"/>
      <c r="J15" s="2"/>
      <c r="K15" s="102">
        <v>918</v>
      </c>
      <c r="L15" s="105" t="s">
        <v>173</v>
      </c>
      <c r="M15" s="106" t="s">
        <v>130</v>
      </c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25</v>
      </c>
      <c r="C21" s="32">
        <f>C5</f>
        <v>899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01">
        <v>757</v>
      </c>
      <c r="F35" s="102" t="s">
        <v>151</v>
      </c>
      <c r="G35" s="103" t="s">
        <v>7</v>
      </c>
      <c r="H35" s="104">
        <v>112.5</v>
      </c>
      <c r="I35" s="104" t="s">
        <v>49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'11'!B1+1</f>
        <v>45424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78"/>
      <c r="F6" s="47"/>
      <c r="G6" s="47"/>
      <c r="H6" s="48"/>
      <c r="I6" s="48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9"/>
      <c r="G7" s="49"/>
      <c r="H7" s="50"/>
      <c r="I7" s="50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52"/>
      <c r="F8" s="49"/>
      <c r="G8" s="49"/>
      <c r="H8" s="50"/>
      <c r="I8" s="50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1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'12'!B1+1</f>
        <v>45425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47" t="s">
        <v>5</v>
      </c>
      <c r="C10" s="14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9" t="s">
        <v>21</v>
      </c>
      <c r="L13" s="150"/>
      <c r="M13" s="15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47" t="s">
        <v>11</v>
      </c>
      <c r="C17" s="14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8" zoomScale="70" zoomScaleNormal="70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'13'!B1+1</f>
        <v>45426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0"/>
      <c r="F6" s="80"/>
      <c r="G6" s="86"/>
      <c r="H6" s="87"/>
      <c r="I6" s="87"/>
      <c r="J6" s="2"/>
      <c r="K6" s="89"/>
      <c r="L6" s="81"/>
      <c r="M6" s="82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6"/>
      <c r="H7" s="87"/>
      <c r="I7" s="87"/>
      <c r="J7" s="2"/>
      <c r="K7" s="89"/>
      <c r="L7" s="81"/>
      <c r="M7" s="82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89"/>
      <c r="L9" s="81"/>
      <c r="M9" s="82"/>
      <c r="R9" s="1">
        <f>IF(vend14[[#This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89"/>
      <c r="L15" s="81"/>
      <c r="M15" s="82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IF(vend14[[#This Row],[Nº Venda]]&gt;1,1,0)</f>
        <v>0</v>
      </c>
    </row>
    <row r="17" spans="2:18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IF(vend14[[#This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</row>
    <row r="22" spans="2:18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18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6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'14'!B1+1</f>
        <v>45427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0"/>
      <c r="F6" s="80"/>
      <c r="G6" s="86"/>
      <c r="H6" s="87"/>
      <c r="I6" s="87"/>
      <c r="J6" s="2"/>
      <c r="K6" s="89"/>
      <c r="L6" s="81"/>
      <c r="M6" s="82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6"/>
      <c r="H7" s="87"/>
      <c r="I7" s="87"/>
      <c r="J7" s="2"/>
      <c r="K7" s="89"/>
      <c r="L7" s="81"/>
      <c r="M7" s="82"/>
      <c r="R7" s="1">
        <f>IF(vend15[[#This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89"/>
      <c r="L9" s="81"/>
      <c r="M9" s="82"/>
      <c r="R9" s="1">
        <f>IF(vend15[[#This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89"/>
      <c r="L15" s="81"/>
      <c r="M15" s="82"/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IF(vend15[[#This Row],[Nº Venda]]&gt;1,1,0)</f>
        <v>0</v>
      </c>
    </row>
    <row r="17" spans="2:18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IF(vend15[[#This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</row>
    <row r="22" spans="2:18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18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6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4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1.855468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1.4257812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'15'!B1+1</f>
        <v>45428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7"/>
      <c r="F6" s="80"/>
      <c r="G6" s="86"/>
      <c r="H6" s="87"/>
      <c r="I6" s="87"/>
      <c r="J6" s="2"/>
      <c r="K6" s="89"/>
      <c r="L6" s="81"/>
      <c r="M6" s="82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6"/>
      <c r="H7" s="87"/>
      <c r="I7" s="87"/>
      <c r="J7" s="2"/>
      <c r="K7" s="89"/>
      <c r="L7" s="81"/>
      <c r="M7" s="82"/>
      <c r="R7" s="1">
        <f>IF(vend16[[#This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89"/>
      <c r="L9" s="81"/>
      <c r="M9" s="82"/>
      <c r="R9" s="1">
        <f>IF(vend16[[#This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123">
        <v>921</v>
      </c>
      <c r="L15" s="108" t="s">
        <v>173</v>
      </c>
      <c r="M15" s="109" t="s">
        <v>133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IF(vend16[[#This Row],[Nº Venda]]&gt;1,1,0)</f>
        <v>0</v>
      </c>
    </row>
    <row r="17" spans="2:18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IF(vend16[[#This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</row>
    <row r="22" spans="2:18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18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6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124">
        <f>'16'!B1+1</f>
        <v>45429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0"/>
      <c r="F6" s="80"/>
      <c r="G6" s="88"/>
      <c r="H6" s="87"/>
      <c r="I6" s="87"/>
      <c r="J6" s="2"/>
      <c r="K6" s="89"/>
      <c r="L6" s="81"/>
      <c r="M6" s="82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8"/>
      <c r="H7" s="87"/>
      <c r="I7" s="87"/>
      <c r="J7" s="2"/>
      <c r="K7" s="89"/>
      <c r="L7" s="81"/>
      <c r="M7" s="82"/>
      <c r="R7" s="1">
        <f>IF(vend17[[#This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89"/>
      <c r="L9" s="81"/>
      <c r="M9" s="82"/>
      <c r="R9" s="1">
        <f>IF(vend17[[#This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89"/>
      <c r="L15" s="81"/>
      <c r="M15" s="82"/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IF(vend17[[#This Row],[Nº Venda]]&gt;1,1,0)</f>
        <v>0</v>
      </c>
    </row>
    <row r="17" spans="2:18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IF(vend17[[#This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</row>
    <row r="22" spans="2:18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18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8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70" zoomScaleNormal="7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'17'!B1+1</f>
        <v>45430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2017</v>
      </c>
      <c r="D5" s="2"/>
      <c r="E5" s="125" t="s">
        <v>13</v>
      </c>
      <c r="F5" s="125" t="s">
        <v>14</v>
      </c>
      <c r="G5" s="126" t="s">
        <v>15</v>
      </c>
      <c r="H5" s="127" t="s">
        <v>16</v>
      </c>
      <c r="I5" s="128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920</v>
      </c>
      <c r="D6" s="2"/>
      <c r="E6" s="133">
        <v>928</v>
      </c>
      <c r="F6" s="133" t="s">
        <v>153</v>
      </c>
      <c r="G6" s="103" t="s">
        <v>6</v>
      </c>
      <c r="H6" s="104">
        <v>1017</v>
      </c>
      <c r="I6" s="104">
        <v>720</v>
      </c>
      <c r="J6" s="2"/>
      <c r="K6" s="102" t="s">
        <v>142</v>
      </c>
      <c r="L6" s="136" t="s">
        <v>9</v>
      </c>
      <c r="M6" s="106">
        <v>12</v>
      </c>
      <c r="R6" s="1">
        <f>IF(vend18[[#This Row],[Nº Venda]]&gt;1,1,0)</f>
        <v>1</v>
      </c>
    </row>
    <row r="7" spans="2:18" ht="15" x14ac:dyDescent="0.25">
      <c r="B7" s="23" t="s">
        <v>3</v>
      </c>
      <c r="C7" s="24">
        <f>SUM(M6:M11)</f>
        <v>12</v>
      </c>
      <c r="D7" s="2"/>
      <c r="E7" s="133">
        <v>929</v>
      </c>
      <c r="F7" s="133" t="s">
        <v>154</v>
      </c>
      <c r="G7" s="103" t="s">
        <v>9</v>
      </c>
      <c r="H7" s="104">
        <v>500</v>
      </c>
      <c r="I7" s="104">
        <v>100</v>
      </c>
      <c r="J7" s="2"/>
      <c r="K7" s="102"/>
      <c r="L7" s="105"/>
      <c r="M7" s="106"/>
      <c r="R7" s="1">
        <f>IF(vend18[[#This Row],[Nº Venda]]&gt;1,1,0)</f>
        <v>1</v>
      </c>
    </row>
    <row r="8" spans="2:18" ht="15.75" x14ac:dyDescent="0.25">
      <c r="B8" s="28" t="s">
        <v>20</v>
      </c>
      <c r="C8" s="29">
        <f>SUM(C6:C7)</f>
        <v>932</v>
      </c>
      <c r="D8" s="2"/>
      <c r="E8" s="133">
        <v>930</v>
      </c>
      <c r="F8" s="133" t="s">
        <v>155</v>
      </c>
      <c r="G8" s="103" t="s">
        <v>9</v>
      </c>
      <c r="H8" s="104">
        <v>500</v>
      </c>
      <c r="I8" s="104">
        <v>100</v>
      </c>
      <c r="J8" s="2"/>
      <c r="K8" s="102"/>
      <c r="L8" s="105"/>
      <c r="M8" s="10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102"/>
      <c r="L9" s="105"/>
      <c r="M9" s="106"/>
      <c r="R9" s="1">
        <f>IF(vend18[[#This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102"/>
      <c r="L10" s="105"/>
      <c r="M10" s="10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934</v>
      </c>
      <c r="D11" s="2"/>
      <c r="E11" s="80"/>
      <c r="F11" s="80"/>
      <c r="G11" s="88"/>
      <c r="H11" s="87"/>
      <c r="I11" s="87"/>
      <c r="J11" s="2"/>
      <c r="K11" s="137"/>
      <c r="L11" s="105"/>
      <c r="M11" s="106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7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1134</v>
      </c>
      <c r="D15" s="2"/>
      <c r="E15" s="80"/>
      <c r="F15" s="80"/>
      <c r="G15" s="88"/>
      <c r="H15" s="87"/>
      <c r="I15" s="87"/>
      <c r="J15" s="2"/>
      <c r="K15" s="102">
        <v>915</v>
      </c>
      <c r="L15" s="105" t="s">
        <v>173</v>
      </c>
      <c r="M15" s="106" t="s">
        <v>133</v>
      </c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102">
        <v>916</v>
      </c>
      <c r="L16" s="105" t="s">
        <v>173</v>
      </c>
      <c r="M16" s="106" t="s">
        <v>133</v>
      </c>
      <c r="R16" s="1">
        <f>IF(vend18[[#This Row],[Nº Venda]]&gt;1,1,0)</f>
        <v>0</v>
      </c>
    </row>
    <row r="17" spans="2:18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102"/>
      <c r="L17" s="105"/>
      <c r="M17" s="106"/>
      <c r="R17" s="1">
        <f>IF(vend18[[#This Row],[Nº Venda]]&gt;1,1,0)</f>
        <v>0</v>
      </c>
    </row>
    <row r="18" spans="2:18" ht="15.75" x14ac:dyDescent="0.25">
      <c r="B18" s="30">
        <f>COUNT(entr_carn18[OS])</f>
        <v>1</v>
      </c>
      <c r="C18" s="31">
        <f>SUM(entr_carn18[Valor Total])</f>
        <v>1533</v>
      </c>
      <c r="D18" s="2"/>
      <c r="E18" s="80"/>
      <c r="F18" s="80"/>
      <c r="G18" s="88"/>
      <c r="H18" s="87"/>
      <c r="I18" s="87"/>
      <c r="J18" s="2"/>
      <c r="K18" s="102"/>
      <c r="L18" s="105"/>
      <c r="M18" s="106"/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1533</v>
      </c>
      <c r="D19" s="2"/>
      <c r="E19" s="80"/>
      <c r="F19" s="80"/>
      <c r="G19" s="88"/>
      <c r="H19" s="87"/>
      <c r="I19" s="87"/>
      <c r="J19" s="2"/>
      <c r="K19" s="102"/>
      <c r="L19" s="105"/>
      <c r="M19" s="106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102"/>
      <c r="L20" s="105"/>
      <c r="M20" s="106"/>
      <c r="R20" s="1">
        <f>IF(vend18[[#This Row],[Nº Venda]]&gt;1,1,0)</f>
        <v>0</v>
      </c>
    </row>
    <row r="21" spans="2:18" ht="15.75" x14ac:dyDescent="0.25">
      <c r="B21" s="28" t="s">
        <v>25</v>
      </c>
      <c r="C21" s="32">
        <f>C5</f>
        <v>2017</v>
      </c>
      <c r="D21" s="2"/>
      <c r="E21" s="80"/>
      <c r="F21" s="80"/>
      <c r="G21" s="88"/>
      <c r="H21" s="87"/>
      <c r="I21" s="87"/>
      <c r="J21" s="2"/>
      <c r="K21" s="102"/>
      <c r="L21" s="105"/>
      <c r="M21" s="106"/>
    </row>
    <row r="22" spans="2:18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102"/>
      <c r="L22" s="105"/>
      <c r="M22" s="106"/>
    </row>
    <row r="23" spans="2:18" ht="15" x14ac:dyDescent="0.25">
      <c r="B23" s="2"/>
      <c r="C23" s="2"/>
      <c r="D23" s="2"/>
      <c r="E23" s="61"/>
      <c r="F23" s="61"/>
      <c r="G23" s="61"/>
      <c r="H23" s="62"/>
      <c r="I23" s="62"/>
      <c r="J23" s="2"/>
      <c r="K23" s="102"/>
      <c r="L23" s="105"/>
      <c r="M23" s="10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18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102"/>
      <c r="L26" s="105"/>
      <c r="M26" s="106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102"/>
      <c r="L27" s="105"/>
      <c r="M27" s="106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102"/>
      <c r="L28" s="105"/>
      <c r="M28" s="106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102"/>
      <c r="L29" s="105"/>
      <c r="M29" s="106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102"/>
      <c r="L30" s="105"/>
      <c r="M30" s="106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102"/>
      <c r="L31" s="105"/>
      <c r="M31" s="10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33">
        <v>865</v>
      </c>
      <c r="F35" s="133" t="s">
        <v>152</v>
      </c>
      <c r="G35" s="103" t="s">
        <v>6</v>
      </c>
      <c r="H35" s="104">
        <v>214</v>
      </c>
      <c r="I35" s="104" t="s">
        <v>53</v>
      </c>
      <c r="K35" s="89">
        <v>915</v>
      </c>
      <c r="L35" s="91">
        <v>7</v>
      </c>
      <c r="M35" s="82">
        <v>1533</v>
      </c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3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" zoomScale="70" zoomScaleNormal="70" zoomScaleSheetLayoutView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'18'!B1+1</f>
        <v>45431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0"/>
      <c r="F6" s="80"/>
      <c r="G6" s="88"/>
      <c r="H6" s="87"/>
      <c r="I6" s="87"/>
      <c r="J6" s="2"/>
      <c r="K6" s="89"/>
      <c r="L6" s="81"/>
      <c r="M6" s="82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8"/>
      <c r="H7" s="87"/>
      <c r="I7" s="87"/>
      <c r="J7" s="2"/>
      <c r="K7" s="89"/>
      <c r="L7" s="81"/>
      <c r="M7" s="82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5"/>
      <c r="F9" s="95"/>
      <c r="G9" s="96"/>
      <c r="H9" s="97"/>
      <c r="I9" s="97"/>
      <c r="J9" s="2"/>
      <c r="K9" s="89"/>
      <c r="L9" s="81"/>
      <c r="M9" s="82"/>
      <c r="R9" s="1">
        <f>IF(vend19[[#This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89"/>
      <c r="L15" s="81"/>
      <c r="M15" s="82"/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IF(vend19[[#This Row],[Nº Venda]]&gt;1,1,0)</f>
        <v>0</v>
      </c>
    </row>
    <row r="17" spans="2:22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IF(vend19[[#This Row],[Nº Venda]]&gt;1,1,0)</f>
        <v>0</v>
      </c>
      <c r="V20" s="1" t="s">
        <v>56</v>
      </c>
    </row>
    <row r="21" spans="2:22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</row>
    <row r="22" spans="2:22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22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22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22" ht="15.75" x14ac:dyDescent="0.25">
      <c r="B26" s="2"/>
      <c r="C26" s="2"/>
      <c r="D26" s="2"/>
      <c r="E26" s="80"/>
      <c r="F26" s="88"/>
      <c r="G26" s="88"/>
      <c r="H26" s="87"/>
      <c r="I26" s="87"/>
      <c r="J26" s="2"/>
      <c r="K26" s="89"/>
      <c r="L26" s="81"/>
      <c r="M26" s="82"/>
    </row>
    <row r="27" spans="2:22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22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22" ht="15.75" x14ac:dyDescent="0.25">
      <c r="B29" s="2"/>
      <c r="C29" s="2"/>
      <c r="D29" s="2"/>
      <c r="E29" s="80"/>
      <c r="F29" s="80"/>
      <c r="G29" s="88"/>
      <c r="H29" s="88"/>
      <c r="I29" s="87"/>
      <c r="J29" s="2"/>
      <c r="K29" s="89"/>
      <c r="L29" s="81"/>
      <c r="M29" s="82"/>
    </row>
    <row r="30" spans="2:22" ht="15.75" x14ac:dyDescent="0.25">
      <c r="B30" s="2"/>
      <c r="C30" s="2"/>
      <c r="D30" s="2"/>
      <c r="E30" s="80"/>
      <c r="F30" s="80"/>
      <c r="G30" s="88"/>
      <c r="H30" s="87"/>
      <c r="I30" s="87"/>
      <c r="J30" s="2"/>
      <c r="K30" s="89"/>
      <c r="L30" s="81"/>
      <c r="M30" s="82"/>
    </row>
    <row r="31" spans="2:22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22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7" zoomScale="70" zoomScaleNormal="7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1.28515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'19'!B1+1</f>
        <v>45432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2150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980</v>
      </c>
      <c r="D6" s="2"/>
      <c r="E6" s="133">
        <v>931</v>
      </c>
      <c r="F6" s="133" t="s">
        <v>157</v>
      </c>
      <c r="G6" s="103" t="s">
        <v>7</v>
      </c>
      <c r="H6" s="104">
        <v>850</v>
      </c>
      <c r="I6" s="104">
        <v>850</v>
      </c>
      <c r="J6" s="2"/>
      <c r="K6" s="89"/>
      <c r="L6" s="81"/>
      <c r="M6" s="82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33">
        <v>932</v>
      </c>
      <c r="F7" s="133" t="s">
        <v>158</v>
      </c>
      <c r="G7" s="103" t="s">
        <v>7</v>
      </c>
      <c r="H7" s="104">
        <v>1300</v>
      </c>
      <c r="I7" s="104">
        <v>130</v>
      </c>
      <c r="J7" s="2"/>
      <c r="K7" s="89"/>
      <c r="L7" s="81"/>
      <c r="M7" s="82"/>
      <c r="R7" s="1">
        <f>IF(vend20[[#This Row],[Nº Venda]]&gt;1,1,0)</f>
        <v>1</v>
      </c>
    </row>
    <row r="8" spans="2:18" ht="15.75" x14ac:dyDescent="0.25">
      <c r="B8" s="28" t="s">
        <v>20</v>
      </c>
      <c r="C8" s="29">
        <f>SUM(C6:C7)</f>
        <v>980</v>
      </c>
      <c r="D8" s="2"/>
      <c r="E8" s="133"/>
      <c r="F8" s="133"/>
      <c r="G8" s="103"/>
      <c r="H8" s="104"/>
      <c r="I8" s="104"/>
      <c r="J8" s="2"/>
      <c r="K8" s="89"/>
      <c r="L8" s="81"/>
      <c r="M8" s="82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33"/>
      <c r="F9" s="133"/>
      <c r="G9" s="103"/>
      <c r="H9" s="104"/>
      <c r="I9" s="104"/>
      <c r="J9" s="2"/>
      <c r="K9" s="89"/>
      <c r="L9" s="81"/>
      <c r="M9" s="82"/>
      <c r="R9" s="1">
        <f>IF(vend20[[#This Row],[Nº Venda]]&gt;1,1,0)</f>
        <v>0</v>
      </c>
    </row>
    <row r="10" spans="2:18" ht="15.7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89"/>
      <c r="L10" s="81"/>
      <c r="M10" s="82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173.60000000000002</v>
      </c>
      <c r="D11" s="2"/>
      <c r="E11" s="133"/>
      <c r="F11" s="133"/>
      <c r="G11" s="103"/>
      <c r="H11" s="104"/>
      <c r="I11" s="104"/>
      <c r="J11" s="2"/>
      <c r="K11" s="90"/>
      <c r="L11" s="81"/>
      <c r="M11" s="82"/>
      <c r="O11" s="1">
        <f>IF(C15=0,0,1)</f>
        <v>1</v>
      </c>
      <c r="R11" s="1">
        <f>IF(vend20[[#This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980</v>
      </c>
      <c r="D12" s="2"/>
      <c r="E12" s="133"/>
      <c r="F12" s="133"/>
      <c r="G12" s="103"/>
      <c r="H12" s="104"/>
      <c r="I12" s="104"/>
      <c r="J12" s="2"/>
      <c r="R12" s="1">
        <f>IF(vend20[[#This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75" x14ac:dyDescent="0.25">
      <c r="B15" s="28" t="s">
        <v>10</v>
      </c>
      <c r="C15" s="32">
        <f>SUM(C11:C14)</f>
        <v>1153.5999999999999</v>
      </c>
      <c r="D15" s="2"/>
      <c r="E15" s="133"/>
      <c r="F15" s="133"/>
      <c r="G15" s="103"/>
      <c r="H15" s="104"/>
      <c r="I15" s="104"/>
      <c r="J15" s="2"/>
      <c r="K15" s="89"/>
      <c r="L15" s="81"/>
      <c r="M15" s="82"/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89"/>
      <c r="L16" s="81"/>
      <c r="M16" s="82"/>
      <c r="R16" s="1">
        <f>IF(vend20[[#This Row],[Nº Venda]]&gt;1,1,0)</f>
        <v>0</v>
      </c>
    </row>
    <row r="17" spans="2:18" ht="15.7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89"/>
      <c r="L17" s="81"/>
      <c r="M17" s="82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133"/>
      <c r="F18" s="133"/>
      <c r="G18" s="103"/>
      <c r="H18" s="104"/>
      <c r="I18" s="104"/>
      <c r="J18" s="2"/>
      <c r="K18" s="89"/>
      <c r="L18" s="81"/>
      <c r="M18" s="82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89"/>
      <c r="L19" s="81"/>
      <c r="M19" s="82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89"/>
      <c r="L20" s="81"/>
      <c r="M20" s="82"/>
      <c r="R20" s="1">
        <f>IF(vend20[[#This Row],[Nº Venda]]&gt;1,1,0)</f>
        <v>0</v>
      </c>
    </row>
    <row r="21" spans="2:18" ht="15.75" x14ac:dyDescent="0.25">
      <c r="B21" s="28" t="s">
        <v>25</v>
      </c>
      <c r="C21" s="32">
        <f>C5</f>
        <v>2150</v>
      </c>
      <c r="D21" s="2"/>
      <c r="E21" s="133"/>
      <c r="F21" s="133"/>
      <c r="G21" s="103"/>
      <c r="H21" s="104"/>
      <c r="I21" s="104"/>
      <c r="J21" s="2"/>
      <c r="K21" s="89"/>
      <c r="L21" s="81"/>
      <c r="M21" s="82"/>
    </row>
    <row r="22" spans="2:18" ht="15.7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89"/>
      <c r="L22" s="81"/>
      <c r="M22" s="82"/>
    </row>
    <row r="23" spans="2:18" ht="15.75" x14ac:dyDescent="0.25">
      <c r="B23" s="2"/>
      <c r="C23" s="2"/>
      <c r="D23" s="2"/>
      <c r="E23" s="129"/>
      <c r="F23" s="130"/>
      <c r="G23" s="130"/>
      <c r="H23" s="131"/>
      <c r="I23" s="132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33">
        <v>859</v>
      </c>
      <c r="F35" s="133" t="s">
        <v>156</v>
      </c>
      <c r="G35" s="103" t="s">
        <v>6</v>
      </c>
      <c r="H35" s="104">
        <v>78.2</v>
      </c>
      <c r="I35" s="104" t="s">
        <v>92</v>
      </c>
      <c r="K35" s="89"/>
      <c r="L35" s="91"/>
      <c r="M35" s="82"/>
    </row>
    <row r="36" spans="5:18" ht="15.75" x14ac:dyDescent="0.25">
      <c r="E36" s="133">
        <v>881</v>
      </c>
      <c r="F36" s="133" t="s">
        <v>160</v>
      </c>
      <c r="G36" s="103" t="s">
        <v>6</v>
      </c>
      <c r="H36" s="104">
        <v>95.4</v>
      </c>
      <c r="I36" s="104" t="s">
        <v>51</v>
      </c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2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2" zoomScale="70" zoomScaleNormal="70" workbookViewId="0">
      <selection activeCell="H36" sqref="H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'20'!B1+1</f>
        <v>45433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133"/>
      <c r="F6" s="133"/>
      <c r="G6" s="103"/>
      <c r="H6" s="104"/>
      <c r="I6" s="104"/>
      <c r="J6" s="2"/>
      <c r="K6" s="25"/>
      <c r="L6" s="9"/>
      <c r="M6" s="16"/>
      <c r="R6" s="1">
        <f>IF(vend21[[#This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33"/>
      <c r="F8" s="133"/>
      <c r="G8" s="103"/>
      <c r="H8" s="104"/>
      <c r="I8" s="104"/>
      <c r="J8" s="2"/>
      <c r="K8" s="25"/>
      <c r="L8" s="9"/>
      <c r="M8" s="16"/>
      <c r="R8" s="1">
        <f>IF(vend21[[#This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25"/>
      <c r="L9" s="9"/>
      <c r="M9" s="16"/>
      <c r="R9" s="1">
        <f>IF(vend21[[#This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25"/>
      <c r="L10" s="9"/>
      <c r="M10" s="16"/>
      <c r="R10" s="1">
        <f>IF(vend21[[#This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133"/>
      <c r="F11" s="133"/>
      <c r="G11" s="103"/>
      <c r="H11" s="104"/>
      <c r="I11" s="104"/>
      <c r="J11" s="2"/>
      <c r="K11" s="27"/>
      <c r="L11" s="9"/>
      <c r="M11" s="16"/>
      <c r="O11" s="1">
        <f>IF(C15=0,0,1)</f>
        <v>1</v>
      </c>
      <c r="R11" s="1">
        <f>IF(vend21[[#This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33"/>
      <c r="F12" s="133"/>
      <c r="G12" s="103"/>
      <c r="H12" s="104"/>
      <c r="I12" s="104"/>
      <c r="J12" s="2"/>
      <c r="R12" s="1">
        <f>IF(vend21[[#This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IF(vend21[[#This Row],[Nº Venda]]&gt;1,1,0)</f>
        <v>0</v>
      </c>
    </row>
    <row r="14" spans="2:18" ht="15" x14ac:dyDescent="0.25">
      <c r="B14" s="30" t="s">
        <v>9</v>
      </c>
      <c r="C14" s="31">
        <f t="shared" si="0"/>
        <v>242.14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242.14</v>
      </c>
      <c r="D15" s="2"/>
      <c r="E15" s="133"/>
      <c r="F15" s="133"/>
      <c r="G15" s="103"/>
      <c r="H15" s="104"/>
      <c r="I15" s="104"/>
      <c r="J15" s="2"/>
      <c r="K15" s="102">
        <v>920</v>
      </c>
      <c r="L15" s="105" t="s">
        <v>173</v>
      </c>
      <c r="M15" s="106" t="s">
        <v>130</v>
      </c>
      <c r="R15" s="1">
        <f>IF(vend21[[#This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25"/>
      <c r="L16" s="9"/>
      <c r="M16" s="16"/>
      <c r="R16" s="1">
        <f>IF(vend21[[#This Row],[Nº Venda]]&gt;1,1,0)</f>
        <v>0</v>
      </c>
    </row>
    <row r="17" spans="2:18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25"/>
      <c r="L17" s="9"/>
      <c r="M17" s="16"/>
      <c r="R17" s="1">
        <f>IF(vend21[[#This Row],[Nº Venda]]&gt;1,1,0)</f>
        <v>0</v>
      </c>
    </row>
    <row r="18" spans="2:18" ht="15" x14ac:dyDescent="0.25">
      <c r="B18" s="30">
        <f>COUNT(entr_carn21[OS])</f>
        <v>0</v>
      </c>
      <c r="C18" s="31">
        <f>SUM(entr_carn21[Valor Total])</f>
        <v>0</v>
      </c>
      <c r="D18" s="2"/>
      <c r="E18" s="133"/>
      <c r="F18" s="133"/>
      <c r="G18" s="103"/>
      <c r="H18" s="104"/>
      <c r="I18" s="104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25"/>
      <c r="L19" s="9"/>
      <c r="M19" s="16"/>
      <c r="R19" s="1">
        <f>IF(vend21[[#This Row],[Nº Venda]]&gt;1,1,0)</f>
        <v>0</v>
      </c>
    </row>
    <row r="20" spans="2:18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33"/>
      <c r="F21" s="133"/>
      <c r="G21" s="103"/>
      <c r="H21" s="104"/>
      <c r="I21" s="104"/>
      <c r="J21" s="2"/>
      <c r="K21" s="25"/>
      <c r="L21" s="9"/>
      <c r="M21" s="16"/>
    </row>
    <row r="22" spans="2:18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134"/>
      <c r="F26" s="134"/>
      <c r="G26" s="26"/>
      <c r="H26" s="8"/>
      <c r="I26" s="8"/>
      <c r="J26" s="2"/>
      <c r="K26" s="25"/>
      <c r="L26" s="9"/>
      <c r="M26" s="16"/>
    </row>
    <row r="27" spans="2:18" ht="15" x14ac:dyDescent="0.25">
      <c r="B27" s="2"/>
      <c r="C27" s="2"/>
      <c r="D27" s="2"/>
      <c r="E27" s="134"/>
      <c r="F27" s="134"/>
      <c r="G27" s="26"/>
      <c r="H27" s="8"/>
      <c r="I27" s="8"/>
      <c r="J27" s="2"/>
      <c r="K27" s="25"/>
      <c r="L27" s="9"/>
      <c r="M27" s="16"/>
    </row>
    <row r="28" spans="2:18" ht="15" x14ac:dyDescent="0.25">
      <c r="B28" s="2"/>
      <c r="C28" s="2"/>
      <c r="D28" s="2"/>
      <c r="E28" s="134"/>
      <c r="F28" s="134"/>
      <c r="G28" s="26"/>
      <c r="H28" s="8"/>
      <c r="I28" s="8"/>
      <c r="J28" s="2"/>
      <c r="K28" s="25"/>
      <c r="L28" s="9"/>
      <c r="M28" s="16"/>
    </row>
    <row r="29" spans="2:18" ht="15" x14ac:dyDescent="0.25">
      <c r="B29" s="2"/>
      <c r="C29" s="2"/>
      <c r="D29" s="2"/>
      <c r="E29" s="134"/>
      <c r="F29" s="134"/>
      <c r="G29" s="26"/>
      <c r="H29" s="8"/>
      <c r="I29" s="8"/>
      <c r="J29" s="2"/>
      <c r="K29" s="25"/>
      <c r="L29" s="9"/>
      <c r="M29" s="16"/>
    </row>
    <row r="30" spans="2:18" ht="15" x14ac:dyDescent="0.25">
      <c r="B30" s="2"/>
      <c r="C30" s="2"/>
      <c r="D30" s="2"/>
      <c r="E30" s="134"/>
      <c r="F30" s="26"/>
      <c r="G30" s="26"/>
      <c r="H30" s="8"/>
      <c r="I30" s="8"/>
      <c r="J30" s="2"/>
      <c r="K30" s="25"/>
      <c r="L30" s="9"/>
      <c r="M30" s="16"/>
    </row>
    <row r="31" spans="2:18" ht="15" x14ac:dyDescent="0.25">
      <c r="B31" s="2"/>
      <c r="C31" s="2"/>
      <c r="D31" s="2"/>
      <c r="E31" s="135"/>
      <c r="F31" s="135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>
        <v>861</v>
      </c>
      <c r="F35" s="133" t="s">
        <v>159</v>
      </c>
      <c r="G35" s="103" t="s">
        <v>9</v>
      </c>
      <c r="H35" s="104">
        <v>193.14</v>
      </c>
      <c r="I35" s="104" t="s">
        <v>47</v>
      </c>
      <c r="K35" s="25"/>
      <c r="L35" s="41"/>
      <c r="M35" s="16"/>
    </row>
    <row r="36" spans="5:18" ht="15" x14ac:dyDescent="0.25">
      <c r="E36" s="133">
        <v>824</v>
      </c>
      <c r="F36" s="133" t="s">
        <v>178</v>
      </c>
      <c r="G36" s="103" t="s">
        <v>9</v>
      </c>
      <c r="H36" s="104">
        <v>49</v>
      </c>
      <c r="I36" s="104" t="s">
        <v>76</v>
      </c>
      <c r="K36" s="25"/>
      <c r="L36" s="41"/>
      <c r="M36" s="16"/>
    </row>
    <row r="37" spans="5:18" ht="15" x14ac:dyDescent="0.25">
      <c r="E37" s="133"/>
      <c r="F37" s="133"/>
      <c r="G37" s="103"/>
      <c r="H37" s="104"/>
      <c r="I37" s="104"/>
      <c r="K37" s="25"/>
      <c r="L37" s="41"/>
      <c r="M37" s="16"/>
    </row>
    <row r="38" spans="5:18" ht="15" x14ac:dyDescent="0.25">
      <c r="E38" s="133"/>
      <c r="F38" s="133"/>
      <c r="G38" s="103"/>
      <c r="H38" s="104"/>
      <c r="I38" s="104"/>
      <c r="K38" s="25"/>
      <c r="L38" s="41"/>
      <c r="M38" s="16"/>
    </row>
    <row r="39" spans="5:18" ht="15" x14ac:dyDescent="0.25">
      <c r="E39" s="133"/>
      <c r="F39" s="103"/>
      <c r="G39" s="103"/>
      <c r="H39" s="104"/>
      <c r="I39" s="104"/>
      <c r="K39" s="25"/>
      <c r="L39" s="41"/>
      <c r="M39" s="16"/>
    </row>
    <row r="40" spans="5:18" ht="15" x14ac:dyDescent="0.25">
      <c r="E40" s="138"/>
      <c r="F40" s="138"/>
      <c r="G40" s="139"/>
      <c r="H40" s="140"/>
      <c r="I40" s="104"/>
      <c r="K40" s="36"/>
      <c r="L40" s="42"/>
      <c r="M40" s="40"/>
      <c r="Q40" s="1" t="s">
        <v>35</v>
      </c>
      <c r="R40" s="1">
        <f>SUM(R6:R21)</f>
        <v>0</v>
      </c>
    </row>
    <row r="41" spans="5:18" ht="15" x14ac:dyDescent="0.25">
      <c r="E41" s="103"/>
      <c r="F41" s="103"/>
      <c r="G41" s="103"/>
      <c r="H41" s="104"/>
      <c r="I41" s="104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70" zoomScaleNormal="7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'21'!B1+1</f>
        <v>45434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749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150</v>
      </c>
      <c r="D6" s="2"/>
      <c r="E6" s="133">
        <v>933</v>
      </c>
      <c r="F6" s="133" t="s">
        <v>161</v>
      </c>
      <c r="G6" s="103" t="s">
        <v>9</v>
      </c>
      <c r="H6" s="104">
        <v>250</v>
      </c>
      <c r="I6" s="104">
        <v>100</v>
      </c>
      <c r="J6" s="2"/>
      <c r="K6" s="89"/>
      <c r="L6" s="81"/>
      <c r="M6" s="82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33">
        <v>934</v>
      </c>
      <c r="F7" s="133" t="s">
        <v>162</v>
      </c>
      <c r="G7" s="103" t="s">
        <v>9</v>
      </c>
      <c r="H7" s="104">
        <v>499</v>
      </c>
      <c r="I7" s="104">
        <v>50</v>
      </c>
      <c r="J7" s="2"/>
      <c r="K7" s="89"/>
      <c r="L7" s="81"/>
      <c r="M7" s="82"/>
      <c r="R7" s="1">
        <f>IF(vend22[[#This Row],[Nº Venda]]&gt;1,1,0)</f>
        <v>1</v>
      </c>
    </row>
    <row r="8" spans="2:18" ht="15.75" x14ac:dyDescent="0.25">
      <c r="B8" s="28" t="s">
        <v>20</v>
      </c>
      <c r="C8" s="29">
        <f>SUM(C6:C7)</f>
        <v>150</v>
      </c>
      <c r="D8" s="2"/>
      <c r="E8" s="133"/>
      <c r="F8" s="133"/>
      <c r="G8" s="103"/>
      <c r="H8" s="104"/>
      <c r="I8" s="104"/>
      <c r="J8" s="2"/>
      <c r="K8" s="89"/>
      <c r="L8" s="81"/>
      <c r="M8" s="82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33"/>
      <c r="F9" s="133"/>
      <c r="G9" s="103"/>
      <c r="H9" s="104"/>
      <c r="I9" s="104"/>
      <c r="J9" s="2"/>
      <c r="K9" s="89"/>
      <c r="L9" s="81"/>
      <c r="M9" s="82"/>
      <c r="R9" s="1">
        <f>IF(vend22[[#This Row],[Nº Venda]]&gt;1,1,0)</f>
        <v>0</v>
      </c>
    </row>
    <row r="10" spans="2:18" ht="15.7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89"/>
      <c r="L10" s="81"/>
      <c r="M10" s="82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33"/>
      <c r="F11" s="133"/>
      <c r="G11" s="103"/>
      <c r="H11" s="104"/>
      <c r="I11" s="104"/>
      <c r="J11" s="2"/>
      <c r="K11" s="90"/>
      <c r="L11" s="81"/>
      <c r="M11" s="82"/>
      <c r="O11" s="1">
        <f>IF(C15=0,0,1)</f>
        <v>1</v>
      </c>
      <c r="R11" s="1">
        <f>IF(vend22[[#This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33"/>
      <c r="F12" s="133"/>
      <c r="G12" s="103"/>
      <c r="H12" s="104"/>
      <c r="I12" s="104"/>
      <c r="J12" s="2"/>
      <c r="R12" s="1">
        <f>IF(vend22[[#This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IF(vend22[[#This Row],[Nº Venda]]&gt;1,1,0)</f>
        <v>0</v>
      </c>
    </row>
    <row r="14" spans="2:18" ht="15" x14ac:dyDescent="0.25">
      <c r="B14" s="30" t="s">
        <v>9</v>
      </c>
      <c r="C14" s="31">
        <f t="shared" si="0"/>
        <v>150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150</v>
      </c>
      <c r="D15" s="2"/>
      <c r="E15" s="133"/>
      <c r="F15" s="133"/>
      <c r="G15" s="103"/>
      <c r="H15" s="104"/>
      <c r="I15" s="104"/>
      <c r="J15" s="2"/>
      <c r="K15" s="89"/>
      <c r="L15" s="81"/>
      <c r="M15" s="82"/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89"/>
      <c r="L16" s="81"/>
      <c r="M16" s="82"/>
      <c r="R16" s="1">
        <f>IF(vend22[[#This Row],[Nº Venda]]&gt;1,1,0)</f>
        <v>0</v>
      </c>
    </row>
    <row r="17" spans="2:18" ht="15.7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89"/>
      <c r="L17" s="81"/>
      <c r="M17" s="82"/>
      <c r="R17" s="1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133"/>
      <c r="F18" s="133"/>
      <c r="G18" s="103"/>
      <c r="H18" s="104"/>
      <c r="I18" s="104"/>
      <c r="J18" s="2"/>
      <c r="K18" s="89"/>
      <c r="L18" s="81"/>
      <c r="M18" s="82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89"/>
      <c r="L19" s="81"/>
      <c r="M19" s="82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89"/>
      <c r="L20" s="81"/>
      <c r="M20" s="82"/>
      <c r="R20" s="1">
        <f>IF(vend22[[#This Row],[Nº Venda]]&gt;1,1,0)</f>
        <v>0</v>
      </c>
    </row>
    <row r="21" spans="2:18" ht="15.75" x14ac:dyDescent="0.25">
      <c r="B21" s="28" t="s">
        <v>25</v>
      </c>
      <c r="C21" s="32">
        <f>C5</f>
        <v>749</v>
      </c>
      <c r="D21" s="2"/>
      <c r="E21" s="133"/>
      <c r="F21" s="133"/>
      <c r="G21" s="103"/>
      <c r="H21" s="104"/>
      <c r="I21" s="104"/>
      <c r="J21" s="2"/>
      <c r="K21" s="89"/>
      <c r="L21" s="81"/>
      <c r="M21" s="82"/>
    </row>
    <row r="22" spans="2:18" ht="15.7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89"/>
      <c r="L22" s="81"/>
      <c r="M22" s="82"/>
    </row>
    <row r="23" spans="2:18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2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abSelected="1" zoomScale="70" zoomScaleNormal="7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'22'!B1+1</f>
        <v>45435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133"/>
      <c r="F6" s="133"/>
      <c r="G6" s="103"/>
      <c r="H6" s="104"/>
      <c r="I6" s="104"/>
      <c r="J6" s="2"/>
      <c r="K6" s="102"/>
      <c r="L6" s="105"/>
      <c r="M6" s="106"/>
      <c r="R6" s="1">
        <f>IF(vend23[[#This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102"/>
      <c r="L7" s="105"/>
      <c r="M7" s="106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33"/>
      <c r="F8" s="133"/>
      <c r="G8" s="103"/>
      <c r="H8" s="104"/>
      <c r="I8" s="104"/>
      <c r="J8" s="2"/>
      <c r="K8" s="102"/>
      <c r="L8" s="105"/>
      <c r="M8" s="106"/>
      <c r="R8" s="1">
        <f>IF(vend23[[#This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102"/>
      <c r="L9" s="105"/>
      <c r="M9" s="106"/>
      <c r="R9" s="1">
        <f>IF(vend23[[#This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102"/>
      <c r="L10" s="105"/>
      <c r="M10" s="106"/>
      <c r="R10" s="1">
        <f>IF(vend23[[#This Row],[Nº Venda]]&gt;1,1,0)</f>
        <v>0</v>
      </c>
    </row>
    <row r="11" spans="2:18" ht="15" x14ac:dyDescent="0.25">
      <c r="B11" s="30" t="s">
        <v>6</v>
      </c>
      <c r="C11" s="71">
        <f>(SUMIF($G$2:$G$31,B11,$I$2:$I$31))+(SUMIF($G$35:$G$41,B11,$H$35:$H$41))</f>
        <v>0</v>
      </c>
      <c r="D11" s="2"/>
      <c r="E11" s="133"/>
      <c r="F11" s="133"/>
      <c r="G11" s="103"/>
      <c r="H11" s="104"/>
      <c r="I11" s="104"/>
      <c r="J11" s="2"/>
      <c r="K11" s="137"/>
      <c r="L11" s="105"/>
      <c r="M11" s="106"/>
      <c r="O11" s="1">
        <f>IF(C15=0,0,1)</f>
        <v>0</v>
      </c>
      <c r="R11" s="1">
        <f>IF(vend23[[#This Row],[Nº Venda]]&gt;1,1,0)</f>
        <v>0</v>
      </c>
    </row>
    <row r="12" spans="2:18" ht="15" x14ac:dyDescent="0.25">
      <c r="B12" s="30" t="s">
        <v>7</v>
      </c>
      <c r="C12" s="71">
        <f>(SUMIF($G$2:$G$31,B12,$I$2:$I$31))+(SUMIF($G$35:$G$41,B12,$H$35:$H$41))</f>
        <v>0</v>
      </c>
      <c r="D12" s="2"/>
      <c r="E12" s="133"/>
      <c r="F12" s="133"/>
      <c r="G12" s="103"/>
      <c r="H12" s="104"/>
      <c r="I12" s="104"/>
      <c r="J12" s="2"/>
      <c r="R12" s="1">
        <f>IF(vend23[[#This Row],[Nº Venda]]&gt;1,1,0)</f>
        <v>0</v>
      </c>
    </row>
    <row r="13" spans="2:18" ht="15" x14ac:dyDescent="0.25">
      <c r="B13" s="30" t="s">
        <v>8</v>
      </c>
      <c r="C13" s="71">
        <f>(SUMIF($G$2:$G$31,B13,$I$2:$I$31))+(SUMIF($G$35:$G$41,B13,$H$35:$H$41))</f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IF(vend23[[#This Row],[Nº Venda]]&gt;1,1,0)</f>
        <v>0</v>
      </c>
    </row>
    <row r="14" spans="2:18" ht="15" x14ac:dyDescent="0.25">
      <c r="B14" s="30" t="s">
        <v>9</v>
      </c>
      <c r="C14" s="71">
        <f>(SUMIF($G$2:$G$31,B14,$I$2:$I$31))+(SUMIF($G$35:$G$41,B14,$H$35:$H$41))</f>
        <v>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33"/>
      <c r="F15" s="133"/>
      <c r="G15" s="103"/>
      <c r="H15" s="104"/>
      <c r="I15" s="104"/>
      <c r="J15" s="2"/>
      <c r="K15" s="102">
        <v>926</v>
      </c>
      <c r="L15" s="105" t="s">
        <v>173</v>
      </c>
      <c r="M15" s="106" t="s">
        <v>133</v>
      </c>
      <c r="R15" s="1">
        <f>IF(vend23[[#This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02"/>
      <c r="L16" s="105"/>
      <c r="M16" s="106"/>
      <c r="R16" s="1">
        <f>IF(vend23[[#This Row],[Nº Venda]]&gt;1,1,0)</f>
        <v>0</v>
      </c>
    </row>
    <row r="17" spans="2:18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02"/>
      <c r="L17" s="105"/>
      <c r="M17" s="106"/>
      <c r="R17" s="1">
        <f>IF(vend23[[#This Row],[Nº Venda]]&gt;1,1,0)</f>
        <v>0</v>
      </c>
    </row>
    <row r="18" spans="2:18" ht="15" x14ac:dyDescent="0.25">
      <c r="B18" s="30">
        <f>COUNT(entr_carn23[OS])</f>
        <v>0</v>
      </c>
      <c r="C18" s="31">
        <f>SUM(entr_carn23[Valor Total])</f>
        <v>0</v>
      </c>
      <c r="D18" s="2"/>
      <c r="E18" s="133"/>
      <c r="F18" s="133"/>
      <c r="G18" s="103"/>
      <c r="H18" s="104"/>
      <c r="I18" s="104"/>
      <c r="J18" s="2"/>
      <c r="K18" s="102"/>
      <c r="L18" s="105"/>
      <c r="M18" s="106"/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102"/>
      <c r="L19" s="105"/>
      <c r="M19" s="106"/>
      <c r="R19" s="1">
        <f>IF(vend23[[#This Row],[Nº Venda]]&gt;1,1,0)</f>
        <v>0</v>
      </c>
    </row>
    <row r="20" spans="2:18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02"/>
      <c r="L20" s="105"/>
      <c r="M20" s="106"/>
      <c r="R20" s="1">
        <f>IF(vend23[[#This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33"/>
      <c r="F21" s="133"/>
      <c r="G21" s="103"/>
      <c r="H21" s="104"/>
      <c r="I21" s="104"/>
      <c r="J21" s="2"/>
      <c r="K21" s="102"/>
      <c r="L21" s="105"/>
      <c r="M21" s="106"/>
    </row>
    <row r="22" spans="2:18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02"/>
      <c r="L22" s="105"/>
      <c r="M22" s="106"/>
    </row>
    <row r="23" spans="2:18" ht="15" x14ac:dyDescent="0.25">
      <c r="B23" s="2"/>
      <c r="C23" s="2"/>
      <c r="D23" s="2"/>
      <c r="E23" s="129"/>
      <c r="F23" s="130"/>
      <c r="G23" s="130"/>
      <c r="H23" s="131"/>
      <c r="I23" s="132"/>
      <c r="J23" s="2"/>
      <c r="K23" s="102"/>
      <c r="L23" s="105"/>
      <c r="M23" s="10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18" ht="15" x14ac:dyDescent="0.25">
      <c r="B26" s="2"/>
      <c r="C26" s="2"/>
      <c r="D26" s="2"/>
      <c r="E26" s="133"/>
      <c r="F26" s="133"/>
      <c r="G26" s="103"/>
      <c r="H26" s="104"/>
      <c r="I26" s="104"/>
      <c r="J26" s="2"/>
      <c r="K26" s="102"/>
      <c r="L26" s="105"/>
      <c r="M26" s="106"/>
    </row>
    <row r="27" spans="2:18" ht="15" x14ac:dyDescent="0.25">
      <c r="B27" s="2"/>
      <c r="C27" s="2"/>
      <c r="D27" s="2"/>
      <c r="E27" s="133"/>
      <c r="F27" s="133"/>
      <c r="G27" s="103"/>
      <c r="H27" s="104"/>
      <c r="I27" s="104"/>
      <c r="J27" s="2"/>
      <c r="K27" s="102"/>
      <c r="L27" s="105"/>
      <c r="M27" s="106"/>
    </row>
    <row r="28" spans="2:18" ht="1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02"/>
      <c r="L28" s="105"/>
      <c r="M28" s="106"/>
    </row>
    <row r="29" spans="2:18" ht="1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02"/>
      <c r="L29" s="105"/>
      <c r="M29" s="106"/>
    </row>
    <row r="30" spans="2:18" ht="1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02"/>
      <c r="L30" s="105"/>
      <c r="M30" s="106"/>
    </row>
    <row r="31" spans="2:18" ht="1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02"/>
      <c r="L31" s="105"/>
      <c r="M31" s="10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/>
      <c r="F35" s="133"/>
      <c r="G35" s="103"/>
      <c r="H35" s="104"/>
      <c r="I35" s="104"/>
      <c r="K35" s="25"/>
      <c r="L35" s="41"/>
      <c r="M35" s="16"/>
    </row>
    <row r="36" spans="5:18" ht="15" x14ac:dyDescent="0.25">
      <c r="E36" s="133"/>
      <c r="F36" s="133"/>
      <c r="G36" s="103"/>
      <c r="H36" s="104"/>
      <c r="I36" s="104"/>
      <c r="K36" s="25"/>
      <c r="L36" s="41"/>
      <c r="M36" s="16"/>
    </row>
    <row r="37" spans="5:18" ht="15" x14ac:dyDescent="0.25">
      <c r="E37" s="133"/>
      <c r="F37" s="133"/>
      <c r="G37" s="103"/>
      <c r="H37" s="104"/>
      <c r="I37" s="104"/>
      <c r="K37" s="25"/>
      <c r="L37" s="41"/>
      <c r="M37" s="16"/>
    </row>
    <row r="38" spans="5:18" ht="15" x14ac:dyDescent="0.25">
      <c r="E38" s="133"/>
      <c r="F38" s="133"/>
      <c r="G38" s="103"/>
      <c r="H38" s="104"/>
      <c r="I38" s="104"/>
      <c r="K38" s="25"/>
      <c r="L38" s="41"/>
      <c r="M38" s="16"/>
    </row>
    <row r="39" spans="5:18" ht="15" x14ac:dyDescent="0.25">
      <c r="E39" s="133"/>
      <c r="F39" s="103"/>
      <c r="G39" s="103"/>
      <c r="H39" s="104"/>
      <c r="I39" s="104"/>
      <c r="K39" s="25"/>
      <c r="L39" s="41"/>
      <c r="M39" s="16"/>
    </row>
    <row r="40" spans="5:18" ht="15" x14ac:dyDescent="0.25">
      <c r="E40" s="138"/>
      <c r="F40" s="138"/>
      <c r="G40" s="139"/>
      <c r="H40" s="140"/>
      <c r="I40" s="104"/>
      <c r="K40" s="36"/>
      <c r="L40" s="42"/>
      <c r="M40" s="40"/>
      <c r="Q40" s="1" t="s">
        <v>35</v>
      </c>
      <c r="R40" s="1">
        <f>SUM(R6:R21)</f>
        <v>0</v>
      </c>
    </row>
    <row r="41" spans="5:18" ht="15" x14ac:dyDescent="0.25">
      <c r="E41" s="138"/>
      <c r="F41" s="103"/>
      <c r="G41" s="103"/>
      <c r="H41" s="104"/>
      <c r="I41" s="104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70" zoomScaleNormal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'23'!B1+1</f>
        <v>45436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133"/>
      <c r="F6" s="133"/>
      <c r="G6" s="103"/>
      <c r="H6" s="104"/>
      <c r="I6" s="104"/>
      <c r="J6" s="2"/>
      <c r="K6" s="102"/>
      <c r="L6" s="105"/>
      <c r="M6" s="106"/>
      <c r="R6" s="1">
        <f>IF(vend24[[#This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102"/>
      <c r="L7" s="105"/>
      <c r="M7" s="106"/>
      <c r="R7" s="1">
        <f>IF(vend24[[#This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33"/>
      <c r="F8" s="133"/>
      <c r="G8" s="103"/>
      <c r="H8" s="104"/>
      <c r="I8" s="104"/>
      <c r="J8" s="2"/>
      <c r="K8" s="102"/>
      <c r="L8" s="105"/>
      <c r="M8" s="106"/>
      <c r="R8" s="1">
        <f>IF(vend24[[#This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102"/>
      <c r="L9" s="105"/>
      <c r="M9" s="106"/>
      <c r="R9" s="1">
        <f>IF(vend24[[#This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102"/>
      <c r="L10" s="105"/>
      <c r="M10" s="106"/>
      <c r="R10" s="1">
        <f>IF(vend24[[#This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133"/>
      <c r="F11" s="133"/>
      <c r="G11" s="103"/>
      <c r="H11" s="104"/>
      <c r="I11" s="104"/>
      <c r="J11" s="2"/>
      <c r="K11" s="137"/>
      <c r="L11" s="105"/>
      <c r="M11" s="106"/>
      <c r="O11" s="1">
        <f>IF(C15=0,0,1)</f>
        <v>0</v>
      </c>
      <c r="R11" s="1">
        <f>IF(vend24[[#This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33"/>
      <c r="F12" s="133"/>
      <c r="G12" s="103"/>
      <c r="H12" s="104"/>
      <c r="I12" s="104"/>
      <c r="J12" s="2"/>
      <c r="R12" s="1">
        <f>IF(vend24[[#This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33"/>
      <c r="F15" s="133"/>
      <c r="G15" s="103"/>
      <c r="H15" s="104"/>
      <c r="I15" s="104"/>
      <c r="J15" s="2"/>
      <c r="K15" s="102">
        <v>923</v>
      </c>
      <c r="L15" s="105" t="s">
        <v>173</v>
      </c>
      <c r="M15" s="106" t="s">
        <v>133</v>
      </c>
      <c r="R15" s="1">
        <f>IF(vend24[[#This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02"/>
      <c r="L16" s="105"/>
      <c r="M16" s="106"/>
      <c r="R16" s="1">
        <f>IF(vend24[[#This Row],[Nº Venda]]&gt;1,1,0)</f>
        <v>0</v>
      </c>
    </row>
    <row r="17" spans="2:18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02"/>
      <c r="L17" s="105"/>
      <c r="M17" s="106"/>
      <c r="R17" s="1">
        <f>IF(vend24[[#This Row],[Nº Venda]]&gt;1,1,0)</f>
        <v>0</v>
      </c>
    </row>
    <row r="18" spans="2:18" ht="15" x14ac:dyDescent="0.25">
      <c r="B18" s="30">
        <f>COUNT(entr_carn24[OS])</f>
        <v>0</v>
      </c>
      <c r="C18" s="31">
        <f>SUM(entr_carn24[Valor Total])</f>
        <v>0</v>
      </c>
      <c r="D18" s="2"/>
      <c r="E18" s="133"/>
      <c r="F18" s="133"/>
      <c r="G18" s="103"/>
      <c r="H18" s="104"/>
      <c r="I18" s="104"/>
      <c r="J18" s="2"/>
      <c r="K18" s="102"/>
      <c r="L18" s="105"/>
      <c r="M18" s="106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102"/>
      <c r="L19" s="105"/>
      <c r="M19" s="106"/>
      <c r="R19" s="1">
        <f>IF(vend24[[#This Row],[Nº Venda]]&gt;1,1,0)</f>
        <v>0</v>
      </c>
    </row>
    <row r="20" spans="2:18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02"/>
      <c r="L20" s="105"/>
      <c r="M20" s="106"/>
      <c r="R20" s="1">
        <f>IF(vend24[[#This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33"/>
      <c r="F21" s="133"/>
      <c r="G21" s="103"/>
      <c r="H21" s="104"/>
      <c r="I21" s="104"/>
      <c r="J21" s="2"/>
      <c r="K21" s="102"/>
      <c r="L21" s="105"/>
      <c r="M21" s="106"/>
    </row>
    <row r="22" spans="2:18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02"/>
      <c r="L22" s="105"/>
      <c r="M22" s="106"/>
    </row>
    <row r="23" spans="2:18" ht="15" x14ac:dyDescent="0.25">
      <c r="B23" s="2"/>
      <c r="C23" s="2"/>
      <c r="D23" s="2"/>
      <c r="E23" s="33"/>
      <c r="H23" s="7"/>
      <c r="J23" s="2"/>
      <c r="K23" s="102"/>
      <c r="L23" s="105"/>
      <c r="M23" s="10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18" ht="15" x14ac:dyDescent="0.25">
      <c r="B26" s="2"/>
      <c r="C26" s="2"/>
      <c r="D26" s="2"/>
      <c r="E26" s="133"/>
      <c r="F26" s="133"/>
      <c r="G26" s="103"/>
      <c r="H26" s="104"/>
      <c r="I26" s="104"/>
      <c r="J26" s="2"/>
      <c r="K26" s="102"/>
      <c r="L26" s="105"/>
      <c r="M26" s="106"/>
    </row>
    <row r="27" spans="2:18" ht="15" x14ac:dyDescent="0.25">
      <c r="B27" s="2"/>
      <c r="C27" s="2"/>
      <c r="D27" s="2"/>
      <c r="E27" s="133"/>
      <c r="F27" s="133"/>
      <c r="G27" s="103"/>
      <c r="H27" s="104"/>
      <c r="I27" s="104"/>
      <c r="J27" s="2"/>
      <c r="K27" s="102"/>
      <c r="L27" s="105"/>
      <c r="M27" s="106"/>
    </row>
    <row r="28" spans="2:18" ht="1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02"/>
      <c r="L28" s="105"/>
      <c r="M28" s="106"/>
    </row>
    <row r="29" spans="2:18" ht="1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02"/>
      <c r="L29" s="105"/>
      <c r="M29" s="106"/>
    </row>
    <row r="30" spans="2:18" ht="1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02"/>
      <c r="L30" s="105"/>
      <c r="M30" s="106"/>
    </row>
    <row r="31" spans="2:18" ht="1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02"/>
      <c r="L31" s="105"/>
      <c r="M31" s="10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/>
      <c r="F35" s="133"/>
      <c r="G35" s="103"/>
      <c r="H35" s="104"/>
      <c r="I35" s="104"/>
      <c r="K35" s="102"/>
      <c r="L35" s="142"/>
      <c r="M35" s="106"/>
    </row>
    <row r="36" spans="5:18" ht="15" x14ac:dyDescent="0.25">
      <c r="E36" s="133"/>
      <c r="F36" s="133"/>
      <c r="G36" s="103"/>
      <c r="H36" s="104"/>
      <c r="I36" s="104"/>
      <c r="K36" s="102"/>
      <c r="L36" s="142"/>
      <c r="M36" s="106"/>
    </row>
    <row r="37" spans="5:18" ht="15" x14ac:dyDescent="0.25">
      <c r="E37" s="133"/>
      <c r="F37" s="133"/>
      <c r="G37" s="103"/>
      <c r="H37" s="104"/>
      <c r="I37" s="104"/>
      <c r="K37" s="102"/>
      <c r="L37" s="142"/>
      <c r="M37" s="106"/>
    </row>
    <row r="38" spans="5:18" ht="15" x14ac:dyDescent="0.25">
      <c r="E38" s="133"/>
      <c r="F38" s="133"/>
      <c r="G38" s="103"/>
      <c r="H38" s="104"/>
      <c r="I38" s="104"/>
      <c r="K38" s="102"/>
      <c r="L38" s="142"/>
      <c r="M38" s="106"/>
    </row>
    <row r="39" spans="5:18" ht="15" x14ac:dyDescent="0.25">
      <c r="E39" s="133"/>
      <c r="F39" s="103"/>
      <c r="G39" s="103"/>
      <c r="H39" s="104"/>
      <c r="I39" s="104"/>
      <c r="K39" s="102"/>
      <c r="L39" s="142"/>
      <c r="M39" s="106"/>
    </row>
    <row r="40" spans="5:18" ht="15" x14ac:dyDescent="0.25">
      <c r="E40" s="138"/>
      <c r="F40" s="138"/>
      <c r="G40" s="139"/>
      <c r="H40" s="140"/>
      <c r="I40" s="104"/>
      <c r="K40" s="144"/>
      <c r="L40" s="145"/>
      <c r="M40" s="143"/>
      <c r="Q40" s="1" t="s">
        <v>35</v>
      </c>
      <c r="R40" s="1">
        <f>SUM(R6:R21)</f>
        <v>0</v>
      </c>
    </row>
    <row r="41" spans="5:18" ht="15" x14ac:dyDescent="0.25">
      <c r="E41" s="103"/>
      <c r="F41" s="103"/>
      <c r="G41" s="103"/>
      <c r="H41" s="104"/>
      <c r="I41" s="104"/>
      <c r="K41" s="141"/>
      <c r="L41" s="142"/>
      <c r="M41" s="14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R41"/>
  <sheetViews>
    <sheetView showGridLines="0" zoomScale="70" zoomScaleNormal="7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3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7" x14ac:dyDescent="0.5">
      <c r="B1" s="53">
        <f>'24'!B1+1</f>
        <v>45437</v>
      </c>
    </row>
    <row r="2" spans="1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1:18" ht="15" x14ac:dyDescent="0.25">
      <c r="B5" s="23" t="s">
        <v>1</v>
      </c>
      <c r="C5" s="24">
        <f>SUMIF(I6:I31,"&gt;0",H6:H31)</f>
        <v>637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75" x14ac:dyDescent="0.25">
      <c r="A6" s="1">
        <v>67</v>
      </c>
      <c r="B6" s="23" t="s">
        <v>2</v>
      </c>
      <c r="C6" s="24">
        <f>SUM(I6:I41)</f>
        <v>150</v>
      </c>
      <c r="D6" s="2"/>
      <c r="E6" s="133">
        <v>935</v>
      </c>
      <c r="F6" s="133" t="s">
        <v>163</v>
      </c>
      <c r="G6" s="103" t="s">
        <v>7</v>
      </c>
      <c r="H6" s="104">
        <v>637</v>
      </c>
      <c r="I6" s="104">
        <v>150</v>
      </c>
      <c r="J6" s="2"/>
      <c r="K6" s="123"/>
      <c r="L6" s="108"/>
      <c r="M6" s="109"/>
      <c r="R6" s="1">
        <f>IF(vend25[[#This Row],[Nº Venda]]&gt;1,1,0)</f>
        <v>1</v>
      </c>
    </row>
    <row r="7" spans="1:18" ht="15.7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123"/>
      <c r="L7" s="108"/>
      <c r="M7" s="109"/>
      <c r="R7" s="1">
        <f>IF(vend25[[#This Row],[Nº Venda]]&gt;1,1,0)</f>
        <v>0</v>
      </c>
    </row>
    <row r="8" spans="1:18" ht="15.75" x14ac:dyDescent="0.25">
      <c r="B8" s="28" t="s">
        <v>20</v>
      </c>
      <c r="C8" s="29">
        <f>SUM(C6:C7)</f>
        <v>150</v>
      </c>
      <c r="D8" s="2"/>
      <c r="E8" s="133"/>
      <c r="F8" s="133"/>
      <c r="G8" s="103"/>
      <c r="H8" s="104"/>
      <c r="I8" s="104"/>
      <c r="J8" s="2"/>
      <c r="K8" s="123"/>
      <c r="L8" s="108"/>
      <c r="M8" s="109"/>
      <c r="R8" s="1">
        <f>IF(vend25[[#This Row],[Nº Venda]]&gt;1,1,0)</f>
        <v>0</v>
      </c>
    </row>
    <row r="9" spans="1:18" ht="15.75" x14ac:dyDescent="0.25">
      <c r="B9" s="2"/>
      <c r="C9" s="2"/>
      <c r="D9" s="2"/>
      <c r="E9" s="133"/>
      <c r="F9" s="133"/>
      <c r="G9" s="103"/>
      <c r="H9" s="104"/>
      <c r="I9" s="104"/>
      <c r="J9" s="2"/>
      <c r="K9" s="123"/>
      <c r="L9" s="108"/>
      <c r="M9" s="109"/>
      <c r="R9" s="1">
        <f>IF(vend25[[#This Row],[Nº Venda]]&gt;1,1,0)</f>
        <v>0</v>
      </c>
    </row>
    <row r="10" spans="1:18" ht="15.7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123"/>
      <c r="L10" s="108"/>
      <c r="M10" s="109"/>
      <c r="R10" s="1">
        <f>IF(vend25[[#This Row],[Nº Venda]]&gt;1,1,0)</f>
        <v>0</v>
      </c>
    </row>
    <row r="11" spans="1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33"/>
      <c r="F11" s="133"/>
      <c r="G11" s="103"/>
      <c r="H11" s="104"/>
      <c r="I11" s="104"/>
      <c r="J11" s="2"/>
      <c r="K11" s="146"/>
      <c r="L11" s="108"/>
      <c r="M11" s="109"/>
      <c r="O11" s="1">
        <f>IF(C15=0,0,1)</f>
        <v>1</v>
      </c>
      <c r="R11" s="1">
        <f>IF(vend25[[#This Row],[Nº Venda]]&gt;1,1,0)</f>
        <v>0</v>
      </c>
    </row>
    <row r="12" spans="1:18" ht="15" x14ac:dyDescent="0.25">
      <c r="B12" s="30" t="s">
        <v>7</v>
      </c>
      <c r="C12" s="31">
        <f>(SUMIF($G$2:$G$31,B12,$I$2:$I$31))+(SUMIF($G$35:$G$41,B12,$H$35:$H$41))</f>
        <v>150</v>
      </c>
      <c r="D12" s="2"/>
      <c r="E12" s="133"/>
      <c r="F12" s="133"/>
      <c r="G12" s="103"/>
      <c r="H12" s="104"/>
      <c r="I12" s="104"/>
      <c r="J12" s="2"/>
      <c r="R12" s="1">
        <f>IF(vend25[[#This Row],[Nº Venda]]&gt;1,1,0)</f>
        <v>0</v>
      </c>
    </row>
    <row r="13" spans="1:18" ht="15" x14ac:dyDescent="0.25">
      <c r="B13" s="30" t="s">
        <v>8</v>
      </c>
      <c r="C13" s="31">
        <f>(SUMIF($G$2:$G$31,B13,$I$2:$I$31))+(SUMIF($G$35:$G$41,B13,$H$35:$H$41))</f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IF(vend25[[#This Row],[Nº Venda]]&gt;1,1,0)</f>
        <v>0</v>
      </c>
    </row>
    <row r="14" spans="1:18" ht="15" x14ac:dyDescent="0.25">
      <c r="B14" s="30" t="s">
        <v>9</v>
      </c>
      <c r="C14" s="31">
        <f>(SUMIF($G$2:$G$31,B14,$I$2:$I$31))+(SUMIF($G$35:$G$41,B14,$H$35:$H$41))</f>
        <v>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75" x14ac:dyDescent="0.25">
      <c r="B15" s="28" t="s">
        <v>10</v>
      </c>
      <c r="C15" s="32">
        <f>SUM(C11:C14)</f>
        <v>150</v>
      </c>
      <c r="D15" s="2"/>
      <c r="E15" s="133"/>
      <c r="F15" s="133"/>
      <c r="G15" s="103"/>
      <c r="H15" s="104"/>
      <c r="I15" s="104"/>
      <c r="J15" s="2"/>
      <c r="K15" s="123"/>
      <c r="L15" s="108"/>
      <c r="M15" s="109"/>
      <c r="R15" s="1">
        <f>IF(vend25[[#This Row],[Nº Venda]]&gt;1,1,0)</f>
        <v>0</v>
      </c>
    </row>
    <row r="16" spans="1:18" ht="15.7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23"/>
      <c r="L16" s="108"/>
      <c r="M16" s="109"/>
      <c r="R16" s="1">
        <f>IF(vend25[[#This Row],[Nº Venda]]&gt;1,1,0)</f>
        <v>0</v>
      </c>
    </row>
    <row r="17" spans="2:18" ht="15.7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23"/>
      <c r="L17" s="108"/>
      <c r="M17" s="109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133"/>
      <c r="F18" s="133"/>
      <c r="G18" s="103"/>
      <c r="H18" s="104"/>
      <c r="I18" s="104"/>
      <c r="J18" s="2"/>
      <c r="K18" s="123"/>
      <c r="L18" s="108"/>
      <c r="M18" s="109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123"/>
      <c r="L19" s="108"/>
      <c r="M19" s="109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23"/>
      <c r="L20" s="108"/>
      <c r="M20" s="109"/>
      <c r="R20" s="1">
        <f>IF(vend25[[#This Row],[Nº Venda]]&gt;1,1,0)</f>
        <v>0</v>
      </c>
    </row>
    <row r="21" spans="2:18" ht="15.75" x14ac:dyDescent="0.25">
      <c r="B21" s="28" t="s">
        <v>25</v>
      </c>
      <c r="C21" s="32">
        <f>C5</f>
        <v>637</v>
      </c>
      <c r="D21" s="2"/>
      <c r="E21" s="133"/>
      <c r="F21" s="133"/>
      <c r="G21" s="103"/>
      <c r="H21" s="104"/>
      <c r="I21" s="104"/>
      <c r="J21" s="2"/>
      <c r="K21" s="123"/>
      <c r="L21" s="108"/>
      <c r="M21" s="109"/>
    </row>
    <row r="22" spans="2:18" ht="15.7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23"/>
      <c r="L22" s="108"/>
      <c r="M22" s="109"/>
    </row>
    <row r="23" spans="2:18" ht="15.75" x14ac:dyDescent="0.25">
      <c r="B23" s="2"/>
      <c r="C23" s="2"/>
      <c r="D23" s="2"/>
      <c r="E23" s="33"/>
      <c r="H23" s="7"/>
      <c r="J23" s="2"/>
      <c r="K23" s="123"/>
      <c r="L23" s="108"/>
      <c r="M23" s="109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23"/>
      <c r="L24" s="108"/>
      <c r="M24" s="109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23"/>
      <c r="L25" s="108"/>
      <c r="M25" s="109"/>
    </row>
    <row r="26" spans="2:18" ht="15.75" x14ac:dyDescent="0.25">
      <c r="B26" s="2"/>
      <c r="C26" s="2"/>
      <c r="D26" s="2"/>
      <c r="E26" s="133"/>
      <c r="F26" s="133"/>
      <c r="G26" s="103"/>
      <c r="H26" s="104"/>
      <c r="I26" s="104"/>
      <c r="J26" s="2"/>
      <c r="K26" s="123"/>
      <c r="L26" s="108"/>
      <c r="M26" s="109"/>
    </row>
    <row r="27" spans="2:18" ht="15.75" x14ac:dyDescent="0.25">
      <c r="B27" s="2"/>
      <c r="C27" s="2"/>
      <c r="D27" s="2"/>
      <c r="E27" s="133"/>
      <c r="F27" s="133"/>
      <c r="G27" s="103"/>
      <c r="H27" s="104"/>
      <c r="I27" s="104"/>
      <c r="J27" s="2"/>
      <c r="K27" s="123"/>
      <c r="L27" s="108"/>
      <c r="M27" s="109"/>
    </row>
    <row r="28" spans="2:18" ht="15.7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23"/>
      <c r="L28" s="108"/>
      <c r="M28" s="109"/>
    </row>
    <row r="29" spans="2:18" ht="15.7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23"/>
      <c r="L29" s="108"/>
      <c r="M29" s="109"/>
    </row>
    <row r="30" spans="2:18" ht="15.7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23"/>
      <c r="L30" s="108"/>
      <c r="M30" s="109"/>
    </row>
    <row r="31" spans="2:18" ht="15.7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23"/>
      <c r="L31" s="108"/>
      <c r="M31" s="109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/>
      <c r="F35" s="133"/>
      <c r="G35" s="103"/>
      <c r="H35" s="119"/>
      <c r="I35" s="104"/>
      <c r="K35" s="102"/>
      <c r="L35" s="142"/>
      <c r="M35" s="106"/>
    </row>
    <row r="36" spans="5:18" ht="15" x14ac:dyDescent="0.25">
      <c r="E36" s="133"/>
      <c r="F36" s="133"/>
      <c r="G36" s="103"/>
      <c r="H36" s="104"/>
      <c r="I36" s="104"/>
      <c r="K36" s="102"/>
      <c r="L36" s="142"/>
      <c r="M36" s="106"/>
    </row>
    <row r="37" spans="5:18" ht="15" x14ac:dyDescent="0.25">
      <c r="E37" s="133"/>
      <c r="F37" s="133"/>
      <c r="G37" s="103"/>
      <c r="H37" s="104"/>
      <c r="I37" s="104"/>
      <c r="K37" s="102"/>
      <c r="L37" s="142"/>
      <c r="M37" s="106"/>
    </row>
    <row r="38" spans="5:18" ht="15" x14ac:dyDescent="0.25">
      <c r="E38" s="133"/>
      <c r="F38" s="133"/>
      <c r="G38" s="103"/>
      <c r="H38" s="104"/>
      <c r="I38" s="104"/>
      <c r="K38" s="102"/>
      <c r="L38" s="142"/>
      <c r="M38" s="106"/>
    </row>
    <row r="39" spans="5:18" ht="15" x14ac:dyDescent="0.25">
      <c r="E39" s="133"/>
      <c r="F39" s="103"/>
      <c r="G39" s="103"/>
      <c r="H39" s="104"/>
      <c r="I39" s="104"/>
      <c r="K39" s="102"/>
      <c r="L39" s="142"/>
      <c r="M39" s="106"/>
    </row>
    <row r="40" spans="5:18" ht="15" x14ac:dyDescent="0.25">
      <c r="E40" s="138"/>
      <c r="F40" s="138"/>
      <c r="G40" s="139"/>
      <c r="H40" s="140"/>
      <c r="I40" s="104"/>
      <c r="K40" s="144"/>
      <c r="L40" s="145"/>
      <c r="M40" s="143"/>
      <c r="Q40" s="1" t="s">
        <v>35</v>
      </c>
      <c r="R40" s="1">
        <f>SUM(R6:R21)</f>
        <v>1</v>
      </c>
    </row>
    <row r="41" spans="5:18" ht="15" x14ac:dyDescent="0.25">
      <c r="E41" s="103"/>
      <c r="F41" s="103"/>
      <c r="G41" s="103"/>
      <c r="H41" s="104"/>
      <c r="I41" s="104"/>
      <c r="K41" s="141"/>
      <c r="L41" s="142"/>
      <c r="M41" s="14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'25'!B1+1</f>
        <v>45438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0"/>
      <c r="F6" s="80"/>
      <c r="G6" s="88"/>
      <c r="H6" s="87"/>
      <c r="I6" s="87"/>
      <c r="J6" s="2"/>
      <c r="K6" s="89"/>
      <c r="L6" s="81"/>
      <c r="M6" s="82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8"/>
      <c r="H7" s="87"/>
      <c r="I7" s="87"/>
      <c r="J7" s="2"/>
      <c r="K7" s="89"/>
      <c r="L7" s="81"/>
      <c r="M7" s="82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89"/>
      <c r="L9" s="81"/>
      <c r="M9" s="82"/>
      <c r="R9" s="1">
        <f>IF(vend26[[#This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89"/>
      <c r="L15" s="81"/>
      <c r="M15" s="82"/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IF(vend26[[#This Row],[Nº Venda]]&gt;1,1,0)</f>
        <v>0</v>
      </c>
    </row>
    <row r="17" spans="2:18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IF(vend26[[#This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</row>
    <row r="22" spans="2:18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18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18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18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89"/>
      <c r="L26" s="81"/>
      <c r="M26" s="82"/>
    </row>
    <row r="27" spans="2:18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18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18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18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18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4" zoomScale="70" zoomScaleNormal="7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'26'!B1+1</f>
        <v>45439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1197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90</v>
      </c>
      <c r="D6" s="2"/>
      <c r="E6" s="133">
        <v>936</v>
      </c>
      <c r="F6" s="133" t="s">
        <v>165</v>
      </c>
      <c r="G6" s="103" t="s">
        <v>6</v>
      </c>
      <c r="H6" s="104">
        <v>200</v>
      </c>
      <c r="I6" s="104">
        <v>25</v>
      </c>
      <c r="J6" s="2"/>
      <c r="K6" s="102"/>
      <c r="L6" s="105"/>
      <c r="M6" s="106"/>
      <c r="R6" s="1">
        <f>IF(vend27[[#This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133">
        <v>937</v>
      </c>
      <c r="F7" s="133" t="s">
        <v>166</v>
      </c>
      <c r="G7" s="103" t="s">
        <v>6</v>
      </c>
      <c r="H7" s="104">
        <v>997</v>
      </c>
      <c r="I7" s="104">
        <v>25</v>
      </c>
      <c r="J7" s="2"/>
      <c r="K7" s="102"/>
      <c r="L7" s="105"/>
      <c r="M7" s="106"/>
      <c r="R7" s="1">
        <f>IF(vend27[[#This Row],[Nº Venda]]&gt;1,1,0)</f>
        <v>1</v>
      </c>
    </row>
    <row r="8" spans="2:18" ht="15.75" x14ac:dyDescent="0.25">
      <c r="B8" s="28" t="s">
        <v>20</v>
      </c>
      <c r="C8" s="29">
        <f>SUM(C6:C7)</f>
        <v>90</v>
      </c>
      <c r="D8" s="2"/>
      <c r="E8" s="133"/>
      <c r="F8" s="133"/>
      <c r="G8" s="103"/>
      <c r="H8" s="104"/>
      <c r="I8" s="104"/>
      <c r="J8" s="2"/>
      <c r="K8" s="102"/>
      <c r="L8" s="105"/>
      <c r="M8" s="106"/>
      <c r="R8" s="1">
        <f>IF(vend27[[#This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102"/>
      <c r="L9" s="105"/>
      <c r="M9" s="106"/>
      <c r="R9" s="1">
        <f>IF(vend27[[#This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102"/>
      <c r="L10" s="105"/>
      <c r="M10" s="106"/>
      <c r="R10" s="1">
        <f>IF(vend27[[#This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161</v>
      </c>
      <c r="D11" s="2"/>
      <c r="E11" s="133"/>
      <c r="F11" s="133"/>
      <c r="G11" s="103"/>
      <c r="H11" s="104"/>
      <c r="I11" s="104"/>
      <c r="J11" s="2"/>
      <c r="K11" s="137"/>
      <c r="L11" s="105"/>
      <c r="M11" s="106"/>
      <c r="O11" s="1">
        <f>IF(C15=0,0,1)</f>
        <v>1</v>
      </c>
      <c r="R11" s="1">
        <f>IF(vend27[[#This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33"/>
      <c r="F12" s="133"/>
      <c r="G12" s="103"/>
      <c r="H12" s="104"/>
      <c r="I12" s="104"/>
      <c r="J12" s="2"/>
      <c r="R12" s="1">
        <f>IF(vend27[[#This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161</v>
      </c>
      <c r="D15" s="2"/>
      <c r="E15" s="133"/>
      <c r="F15" s="133"/>
      <c r="G15" s="103"/>
      <c r="H15" s="104"/>
      <c r="I15" s="104"/>
      <c r="J15" s="2"/>
      <c r="K15" s="102">
        <v>913</v>
      </c>
      <c r="L15" s="105" t="s">
        <v>173</v>
      </c>
      <c r="M15" s="106" t="s">
        <v>130</v>
      </c>
      <c r="R15" s="1">
        <f>IF(vend27[[#This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02"/>
      <c r="L16" s="105"/>
      <c r="M16" s="106"/>
      <c r="R16" s="1">
        <f>IF(vend27[[#This Row],[Nº Venda]]&gt;1,1,0)</f>
        <v>0</v>
      </c>
    </row>
    <row r="17" spans="2:18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02"/>
      <c r="L17" s="105"/>
      <c r="M17" s="106"/>
      <c r="R17" s="1">
        <f>IF(vend27[[#This Row],[Nº Venda]]&gt;1,1,0)</f>
        <v>0</v>
      </c>
    </row>
    <row r="18" spans="2:18" ht="15" x14ac:dyDescent="0.25">
      <c r="B18" s="30">
        <f>COUNT(entr_carn27[OS])</f>
        <v>0</v>
      </c>
      <c r="C18" s="31">
        <f>SUM(entr_carn27[Valor Total])</f>
        <v>0</v>
      </c>
      <c r="D18" s="2"/>
      <c r="E18" s="133"/>
      <c r="F18" s="133"/>
      <c r="G18" s="103"/>
      <c r="H18" s="104"/>
      <c r="I18" s="104"/>
      <c r="J18" s="2"/>
      <c r="K18" s="102"/>
      <c r="L18" s="105"/>
      <c r="M18" s="106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102"/>
      <c r="L19" s="105"/>
      <c r="M19" s="106"/>
      <c r="R19" s="1">
        <f>IF(vend27[[#This Row],[Nº Venda]]&gt;1,1,0)</f>
        <v>0</v>
      </c>
    </row>
    <row r="20" spans="2:18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02"/>
      <c r="L20" s="105"/>
      <c r="M20" s="106"/>
      <c r="R20" s="1">
        <f>IF(vend27[[#This Row],[Nº Venda]]&gt;1,1,0)</f>
        <v>0</v>
      </c>
    </row>
    <row r="21" spans="2:18" ht="15.75" x14ac:dyDescent="0.25">
      <c r="B21" s="28" t="s">
        <v>25</v>
      </c>
      <c r="C21" s="32">
        <f>C5</f>
        <v>1197</v>
      </c>
      <c r="D21" s="2"/>
      <c r="E21" s="133"/>
      <c r="F21" s="133"/>
      <c r="G21" s="103"/>
      <c r="H21" s="104"/>
      <c r="I21" s="104"/>
      <c r="J21" s="2"/>
      <c r="K21" s="102"/>
      <c r="L21" s="105"/>
      <c r="M21" s="106"/>
    </row>
    <row r="22" spans="2:18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02"/>
      <c r="L22" s="105"/>
      <c r="M22" s="106"/>
    </row>
    <row r="23" spans="2:18" ht="15" x14ac:dyDescent="0.25">
      <c r="B23" s="2"/>
      <c r="C23" s="2"/>
      <c r="D23" s="2"/>
      <c r="E23" s="33"/>
      <c r="H23" s="7"/>
      <c r="J23" s="2"/>
      <c r="K23" s="102"/>
      <c r="L23" s="105"/>
      <c r="M23" s="10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18" ht="15" x14ac:dyDescent="0.25">
      <c r="B26" s="2"/>
      <c r="C26" s="2"/>
      <c r="D26" s="2"/>
      <c r="E26" s="133">
        <v>913</v>
      </c>
      <c r="F26" s="133" t="s">
        <v>164</v>
      </c>
      <c r="G26" s="103" t="s">
        <v>6</v>
      </c>
      <c r="H26" s="104"/>
      <c r="I26" s="104">
        <v>40</v>
      </c>
      <c r="J26" s="2"/>
      <c r="K26" s="102"/>
      <c r="L26" s="105"/>
      <c r="M26" s="106"/>
    </row>
    <row r="27" spans="2:18" ht="15" x14ac:dyDescent="0.25">
      <c r="B27" s="2"/>
      <c r="C27" s="2"/>
      <c r="D27" s="2"/>
      <c r="E27" s="133"/>
      <c r="F27" s="133"/>
      <c r="G27" s="103"/>
      <c r="H27" s="104"/>
      <c r="I27" s="104"/>
      <c r="J27" s="2"/>
      <c r="K27" s="102"/>
      <c r="L27" s="105"/>
      <c r="M27" s="106"/>
    </row>
    <row r="28" spans="2:18" ht="1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02"/>
      <c r="L28" s="105"/>
      <c r="M28" s="106"/>
    </row>
    <row r="29" spans="2:18" ht="1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02"/>
      <c r="L29" s="105"/>
      <c r="M29" s="106"/>
    </row>
    <row r="30" spans="2:18" ht="1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02"/>
      <c r="L30" s="105"/>
      <c r="M30" s="106"/>
    </row>
    <row r="31" spans="2:18" ht="1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02"/>
      <c r="L31" s="105"/>
      <c r="M31" s="10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>
        <v>864</v>
      </c>
      <c r="F35" s="133" t="s">
        <v>167</v>
      </c>
      <c r="G35" s="103" t="s">
        <v>6</v>
      </c>
      <c r="H35" s="104">
        <v>71</v>
      </c>
      <c r="I35" s="104" t="s">
        <v>53</v>
      </c>
      <c r="K35" s="25"/>
      <c r="L35" s="41"/>
      <c r="M35" s="16"/>
    </row>
    <row r="36" spans="5:18" ht="15" x14ac:dyDescent="0.25">
      <c r="E36" s="133"/>
      <c r="F36" s="133"/>
      <c r="G36" s="103"/>
      <c r="H36" s="104"/>
      <c r="I36" s="104"/>
      <c r="K36" s="25"/>
      <c r="L36" s="41"/>
      <c r="M36" s="16"/>
    </row>
    <row r="37" spans="5:18" ht="15" x14ac:dyDescent="0.25">
      <c r="E37" s="133"/>
      <c r="F37" s="133"/>
      <c r="G37" s="103"/>
      <c r="H37" s="104"/>
      <c r="I37" s="104"/>
      <c r="K37" s="25"/>
      <c r="L37" s="41"/>
      <c r="M37" s="16"/>
    </row>
    <row r="38" spans="5:18" ht="15" x14ac:dyDescent="0.25">
      <c r="E38" s="133"/>
      <c r="F38" s="133"/>
      <c r="G38" s="103"/>
      <c r="H38" s="104"/>
      <c r="I38" s="104"/>
      <c r="K38" s="25"/>
      <c r="L38" s="41"/>
      <c r="M38" s="16"/>
    </row>
    <row r="39" spans="5:18" ht="15" x14ac:dyDescent="0.25">
      <c r="E39" s="133"/>
      <c r="F39" s="103"/>
      <c r="G39" s="103"/>
      <c r="H39" s="104"/>
      <c r="I39" s="104"/>
      <c r="K39" s="25"/>
      <c r="L39" s="41"/>
      <c r="M39" s="16"/>
    </row>
    <row r="40" spans="5:18" ht="15" x14ac:dyDescent="0.25">
      <c r="E40" s="138"/>
      <c r="F40" s="138"/>
      <c r="G40" s="139"/>
      <c r="H40" s="140"/>
      <c r="I40" s="104"/>
      <c r="K40" s="36"/>
      <c r="L40" s="42"/>
      <c r="M40" s="40"/>
      <c r="Q40" s="1" t="s">
        <v>35</v>
      </c>
      <c r="R40" s="1">
        <f>SUM(R6:R21)</f>
        <v>2</v>
      </c>
    </row>
    <row r="41" spans="5:18" ht="15" x14ac:dyDescent="0.25">
      <c r="E41" s="103"/>
      <c r="F41" s="103"/>
      <c r="G41" s="103"/>
      <c r="H41" s="104"/>
      <c r="I41" s="104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'27'!B1+1</f>
        <v>45440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137.16</v>
      </c>
      <c r="D6" s="2"/>
      <c r="E6" s="133"/>
      <c r="F6" s="133"/>
      <c r="G6" s="103"/>
      <c r="H6" s="104"/>
      <c r="I6" s="104"/>
      <c r="J6" s="2"/>
      <c r="K6" s="102"/>
      <c r="L6" s="105"/>
      <c r="M6" s="106"/>
      <c r="R6" s="1">
        <f>IF(vend28[[#This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102"/>
      <c r="L7" s="105"/>
      <c r="M7" s="106"/>
      <c r="R7" s="1">
        <f>IF(vend28[[#This Row],[Nº Venda]]&gt;1,1,0)</f>
        <v>0</v>
      </c>
    </row>
    <row r="8" spans="2:18" ht="15.75" x14ac:dyDescent="0.25">
      <c r="B8" s="28" t="s">
        <v>20</v>
      </c>
      <c r="C8" s="29">
        <f>SUM(C6:C7)</f>
        <v>137.16</v>
      </c>
      <c r="D8" s="2"/>
      <c r="E8" s="133"/>
      <c r="F8" s="133"/>
      <c r="G8" s="103"/>
      <c r="H8" s="104"/>
      <c r="I8" s="104"/>
      <c r="J8" s="2"/>
      <c r="K8" s="102"/>
      <c r="L8" s="105"/>
      <c r="M8" s="106"/>
      <c r="R8" s="1">
        <f>IF(vend28[[#This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102"/>
      <c r="L9" s="105"/>
      <c r="M9" s="106"/>
      <c r="R9" s="1">
        <f>IF(vend28[[#This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102"/>
      <c r="L10" s="105"/>
      <c r="M10" s="106"/>
      <c r="R10" s="1">
        <f>IF(vend28[[#This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238.06</v>
      </c>
      <c r="D11" s="2"/>
      <c r="E11" s="133"/>
      <c r="F11" s="133"/>
      <c r="G11" s="103"/>
      <c r="H11" s="104"/>
      <c r="I11" s="104"/>
      <c r="J11" s="2"/>
      <c r="K11" s="137"/>
      <c r="L11" s="105"/>
      <c r="M11" s="106"/>
      <c r="O11" s="1">
        <f>IF(C15=0,0,1)</f>
        <v>1</v>
      </c>
      <c r="R11" s="1">
        <f>IF(vend28[[#This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89</v>
      </c>
      <c r="D12" s="2"/>
      <c r="E12" s="133"/>
      <c r="F12" s="133"/>
      <c r="G12" s="103"/>
      <c r="H12" s="104"/>
      <c r="I12" s="104"/>
      <c r="J12" s="2"/>
      <c r="R12" s="1">
        <f>IF(vend28[[#This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IF(vend28[[#This Row],[Nº Venda]]&gt;1,1,0)</f>
        <v>0</v>
      </c>
    </row>
    <row r="14" spans="2:18" ht="15" x14ac:dyDescent="0.25">
      <c r="B14" s="30" t="s">
        <v>9</v>
      </c>
      <c r="C14" s="31">
        <f t="shared" si="0"/>
        <v>215.5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542.55999999999995</v>
      </c>
      <c r="D15" s="2"/>
      <c r="E15" s="133"/>
      <c r="F15" s="133"/>
      <c r="G15" s="103"/>
      <c r="H15" s="104"/>
      <c r="I15" s="104"/>
      <c r="J15" s="2"/>
      <c r="K15" s="102">
        <v>924</v>
      </c>
      <c r="L15" s="105" t="s">
        <v>173</v>
      </c>
      <c r="M15" s="106" t="s">
        <v>133</v>
      </c>
      <c r="R15" s="1">
        <f>IF(vend28[[#This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02">
        <v>927</v>
      </c>
      <c r="L16" s="105" t="s">
        <v>173</v>
      </c>
      <c r="M16" s="106" t="s">
        <v>130</v>
      </c>
      <c r="R16" s="1">
        <f>IF(vend28[[#This Row],[Nº Venda]]&gt;1,1,0)</f>
        <v>0</v>
      </c>
    </row>
    <row r="17" spans="2:18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02"/>
      <c r="L17" s="105"/>
      <c r="M17" s="106"/>
      <c r="R17" s="1">
        <f>IF(vend28[[#This Row],[Nº Venda]]&gt;1,1,0)</f>
        <v>0</v>
      </c>
    </row>
    <row r="18" spans="2:18" ht="15" x14ac:dyDescent="0.25">
      <c r="B18" s="30">
        <f>COUNT(entr_carn28[OS])</f>
        <v>0</v>
      </c>
      <c r="C18" s="31">
        <f>SUM(entr_carn28[Valor Total])</f>
        <v>0</v>
      </c>
      <c r="D18" s="2"/>
      <c r="E18" s="133"/>
      <c r="F18" s="133"/>
      <c r="G18" s="103"/>
      <c r="H18" s="104"/>
      <c r="I18" s="104"/>
      <c r="J18" s="2"/>
      <c r="K18" s="102"/>
      <c r="L18" s="105"/>
      <c r="M18" s="106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102"/>
      <c r="L19" s="105"/>
      <c r="M19" s="106"/>
      <c r="R19" s="1">
        <f>IF(vend28[[#This Row],[Nº Venda]]&gt;1,1,0)</f>
        <v>0</v>
      </c>
    </row>
    <row r="20" spans="2:18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02"/>
      <c r="L20" s="105"/>
      <c r="M20" s="106"/>
      <c r="R20" s="1">
        <f>IF(vend28[[#This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33"/>
      <c r="F21" s="133"/>
      <c r="G21" s="103"/>
      <c r="H21" s="104"/>
      <c r="I21" s="104"/>
      <c r="J21" s="2"/>
      <c r="K21" s="102"/>
      <c r="L21" s="105"/>
      <c r="M21" s="106"/>
    </row>
    <row r="22" spans="2:18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02"/>
      <c r="L22" s="105"/>
      <c r="M22" s="106"/>
    </row>
    <row r="23" spans="2:18" ht="15" x14ac:dyDescent="0.25">
      <c r="B23" s="2"/>
      <c r="C23" s="2"/>
      <c r="D23" s="2"/>
      <c r="E23" s="33"/>
      <c r="H23" s="7"/>
      <c r="J23" s="2"/>
      <c r="K23" s="102"/>
      <c r="L23" s="105"/>
      <c r="M23" s="10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18" ht="15" x14ac:dyDescent="0.25">
      <c r="B26" s="2"/>
      <c r="C26" s="2"/>
      <c r="D26" s="2"/>
      <c r="E26" s="133">
        <v>924</v>
      </c>
      <c r="F26" s="133" t="s">
        <v>146</v>
      </c>
      <c r="G26" s="103" t="s">
        <v>6</v>
      </c>
      <c r="H26" s="104"/>
      <c r="I26" s="104">
        <v>137.16</v>
      </c>
      <c r="J26" s="2"/>
      <c r="K26" s="102"/>
      <c r="L26" s="105"/>
      <c r="M26" s="106"/>
    </row>
    <row r="27" spans="2:18" ht="15" x14ac:dyDescent="0.25">
      <c r="B27" s="2"/>
      <c r="C27" s="2"/>
      <c r="D27" s="2"/>
      <c r="E27" s="133"/>
      <c r="F27" s="133"/>
      <c r="G27" s="103"/>
      <c r="H27" s="104"/>
      <c r="I27" s="104"/>
      <c r="J27" s="2"/>
      <c r="K27" s="102"/>
      <c r="L27" s="105"/>
      <c r="M27" s="106"/>
    </row>
    <row r="28" spans="2:18" ht="1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02"/>
      <c r="L28" s="105"/>
      <c r="M28" s="106"/>
    </row>
    <row r="29" spans="2:18" ht="1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02"/>
      <c r="L29" s="105"/>
      <c r="M29" s="106"/>
    </row>
    <row r="30" spans="2:18" ht="1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02"/>
      <c r="L30" s="105"/>
      <c r="M30" s="106"/>
    </row>
    <row r="31" spans="2:18" ht="1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02"/>
      <c r="L31" s="105"/>
      <c r="M31" s="10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>
        <v>785</v>
      </c>
      <c r="F35" s="133" t="s">
        <v>168</v>
      </c>
      <c r="G35" s="103" t="s">
        <v>9</v>
      </c>
      <c r="H35" s="104">
        <v>215.5</v>
      </c>
      <c r="I35" s="104" t="s">
        <v>41</v>
      </c>
      <c r="K35" s="102"/>
      <c r="L35" s="142"/>
      <c r="M35" s="106"/>
    </row>
    <row r="36" spans="5:18" ht="15" x14ac:dyDescent="0.25">
      <c r="E36" s="133">
        <v>927</v>
      </c>
      <c r="F36" s="133" t="s">
        <v>169</v>
      </c>
      <c r="G36" s="103" t="s">
        <v>6</v>
      </c>
      <c r="H36" s="104">
        <v>100.9</v>
      </c>
      <c r="I36" s="104" t="s">
        <v>52</v>
      </c>
      <c r="K36" s="102"/>
      <c r="L36" s="142"/>
      <c r="M36" s="106"/>
    </row>
    <row r="37" spans="5:18" ht="15" x14ac:dyDescent="0.25">
      <c r="E37" s="133">
        <v>820</v>
      </c>
      <c r="F37" s="133" t="s">
        <v>170</v>
      </c>
      <c r="G37" s="103" t="s">
        <v>7</v>
      </c>
      <c r="H37" s="104">
        <v>89</v>
      </c>
      <c r="I37" s="104" t="s">
        <v>57</v>
      </c>
      <c r="K37" s="102"/>
      <c r="L37" s="142"/>
      <c r="M37" s="106"/>
    </row>
    <row r="38" spans="5:18" ht="15" x14ac:dyDescent="0.25">
      <c r="E38" s="133"/>
      <c r="F38" s="133"/>
      <c r="G38" s="103"/>
      <c r="H38" s="104"/>
      <c r="I38" s="104"/>
      <c r="K38" s="102"/>
      <c r="L38" s="142"/>
      <c r="M38" s="106"/>
    </row>
    <row r="39" spans="5:18" ht="15" x14ac:dyDescent="0.25">
      <c r="E39" s="133"/>
      <c r="F39" s="103"/>
      <c r="G39" s="103"/>
      <c r="H39" s="104"/>
      <c r="I39" s="104"/>
      <c r="K39" s="102"/>
      <c r="L39" s="142"/>
      <c r="M39" s="106"/>
    </row>
    <row r="40" spans="5:18" ht="15" x14ac:dyDescent="0.25">
      <c r="E40" s="138"/>
      <c r="F40" s="138"/>
      <c r="G40" s="139"/>
      <c r="H40" s="140"/>
      <c r="I40" s="104"/>
      <c r="K40" s="144"/>
      <c r="L40" s="145"/>
      <c r="M40" s="143"/>
      <c r="Q40" s="1" t="s">
        <v>35</v>
      </c>
      <c r="R40" s="1">
        <f>SUM(R6:R21)</f>
        <v>0</v>
      </c>
    </row>
    <row r="41" spans="5:18" ht="15" x14ac:dyDescent="0.25">
      <c r="E41" s="103"/>
      <c r="F41" s="103"/>
      <c r="G41" s="103"/>
      <c r="H41" s="104"/>
      <c r="I41" s="104"/>
      <c r="K41" s="141"/>
      <c r="L41" s="142"/>
      <c r="M41" s="14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70" zoomScaleNormal="70" workbookViewId="0">
      <selection activeCell="B27" sqref="B2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'28'!B1+1</f>
        <v>45441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520</v>
      </c>
      <c r="D6" s="2"/>
      <c r="E6" s="133"/>
      <c r="F6" s="133"/>
      <c r="G6" s="103"/>
      <c r="H6" s="104"/>
      <c r="I6" s="104"/>
      <c r="J6" s="2"/>
      <c r="K6" s="25"/>
      <c r="L6" s="9"/>
      <c r="M6" s="16"/>
      <c r="R6" s="1">
        <f>IF(vend29[[#This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20</v>
      </c>
      <c r="C8" s="29">
        <f>SUM(C6:C7)</f>
        <v>520</v>
      </c>
      <c r="D8" s="2"/>
      <c r="E8" s="133"/>
      <c r="F8" s="133"/>
      <c r="G8" s="103"/>
      <c r="H8" s="104"/>
      <c r="I8" s="104"/>
      <c r="J8" s="2"/>
      <c r="K8" s="25"/>
      <c r="L8" s="9"/>
      <c r="M8" s="16"/>
      <c r="R8" s="1">
        <f>IF(vend29[[#This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25"/>
      <c r="L9" s="9"/>
      <c r="M9" s="16"/>
      <c r="R9" s="1">
        <f>IF(vend29[[#This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25"/>
      <c r="L10" s="9"/>
      <c r="M10" s="16"/>
      <c r="R10" s="1">
        <f>IF(vend29[[#This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150</v>
      </c>
      <c r="D11" s="2"/>
      <c r="E11" s="133"/>
      <c r="F11" s="133"/>
      <c r="G11" s="103"/>
      <c r="H11" s="104"/>
      <c r="I11" s="104"/>
      <c r="J11" s="2"/>
      <c r="K11" s="27"/>
      <c r="L11" s="9"/>
      <c r="M11" s="16"/>
      <c r="O11" s="1">
        <f>IF(C15=0,0,1)</f>
        <v>1</v>
      </c>
      <c r="R11" s="1">
        <f>IF(vend29[[#This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33"/>
      <c r="F12" s="133"/>
      <c r="G12" s="103"/>
      <c r="H12" s="104"/>
      <c r="I12" s="104"/>
      <c r="J12" s="2"/>
      <c r="R12" s="1">
        <f>IF(vend29[[#This Row],[Nº Venda]]&gt;1,1,0)</f>
        <v>0</v>
      </c>
    </row>
    <row r="13" spans="2:18" ht="15" x14ac:dyDescent="0.25">
      <c r="B13" s="30" t="s">
        <v>8</v>
      </c>
      <c r="C13" s="31">
        <f t="shared" si="0"/>
        <v>370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IF(vend29[[#This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520</v>
      </c>
      <c r="D15" s="2"/>
      <c r="E15" s="133"/>
      <c r="F15" s="133"/>
      <c r="G15" s="103"/>
      <c r="H15" s="104"/>
      <c r="I15" s="104"/>
      <c r="J15" s="2"/>
      <c r="K15" s="102">
        <v>933</v>
      </c>
      <c r="L15" s="105" t="s">
        <v>173</v>
      </c>
      <c r="M15" s="106" t="s">
        <v>130</v>
      </c>
      <c r="R15" s="1">
        <f>IF(vend29[[#This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02">
        <v>922</v>
      </c>
      <c r="L16" s="105" t="s">
        <v>173</v>
      </c>
      <c r="M16" s="106" t="s">
        <v>130</v>
      </c>
      <c r="R16" s="1">
        <f>IF(vend29[[#This Row],[Nº Venda]]&gt;1,1,0)</f>
        <v>0</v>
      </c>
    </row>
    <row r="17" spans="2:18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02"/>
      <c r="L17" s="105"/>
      <c r="M17" s="106"/>
      <c r="R17" s="1">
        <f>IF(vend29[[#This Row],[Nº Venda]]&gt;1,1,0)</f>
        <v>0</v>
      </c>
    </row>
    <row r="18" spans="2:18" ht="15" x14ac:dyDescent="0.25">
      <c r="B18" s="30">
        <f>COUNT(entr_carn29[OS])</f>
        <v>0</v>
      </c>
      <c r="C18" s="31">
        <f>SUM(entr_carn29[Valor Total])</f>
        <v>0</v>
      </c>
      <c r="D18" s="2"/>
      <c r="E18" s="133"/>
      <c r="F18" s="133"/>
      <c r="G18" s="103"/>
      <c r="H18" s="104"/>
      <c r="I18" s="104"/>
      <c r="J18" s="2"/>
      <c r="K18" s="102"/>
      <c r="L18" s="105"/>
      <c r="M18" s="106"/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33"/>
      <c r="F19" s="133"/>
      <c r="G19" s="103"/>
      <c r="H19" s="104"/>
      <c r="I19" s="104"/>
      <c r="J19" s="2"/>
      <c r="K19" s="102"/>
      <c r="L19" s="105"/>
      <c r="M19" s="106"/>
      <c r="R19" s="1">
        <f>IF(vend29[[#This Row],[Nº Venda]]&gt;1,1,0)</f>
        <v>0</v>
      </c>
    </row>
    <row r="20" spans="2:18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02"/>
      <c r="L20" s="105"/>
      <c r="M20" s="106"/>
      <c r="R20" s="1">
        <f>IF(vend29[[#This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33"/>
      <c r="F21" s="133"/>
      <c r="G21" s="103"/>
      <c r="H21" s="104"/>
      <c r="I21" s="104"/>
      <c r="J21" s="2"/>
      <c r="K21" s="102"/>
      <c r="L21" s="105"/>
      <c r="M21" s="106"/>
    </row>
    <row r="22" spans="2:18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02"/>
      <c r="L22" s="105"/>
      <c r="M22" s="106"/>
    </row>
    <row r="23" spans="2:18" ht="15" x14ac:dyDescent="0.25">
      <c r="B23" s="2"/>
      <c r="C23" s="2"/>
      <c r="D23" s="2"/>
      <c r="E23" s="33"/>
      <c r="H23" s="7"/>
      <c r="J23" s="2"/>
      <c r="K23" s="102"/>
      <c r="L23" s="105"/>
      <c r="M23" s="106"/>
    </row>
    <row r="24" spans="2:18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18" ht="15" x14ac:dyDescent="0.25">
      <c r="B26" s="2"/>
      <c r="C26" s="2"/>
      <c r="D26" s="2"/>
      <c r="E26" s="133">
        <v>933</v>
      </c>
      <c r="F26" s="133" t="s">
        <v>171</v>
      </c>
      <c r="G26" s="103" t="s">
        <v>6</v>
      </c>
      <c r="H26" s="104"/>
      <c r="I26" s="104">
        <v>150</v>
      </c>
      <c r="J26" s="2"/>
      <c r="K26" s="102"/>
      <c r="L26" s="105"/>
      <c r="M26" s="106"/>
    </row>
    <row r="27" spans="2:18" ht="15" x14ac:dyDescent="0.25">
      <c r="B27" s="2"/>
      <c r="C27" s="2"/>
      <c r="D27" s="2"/>
      <c r="E27" s="133">
        <v>922</v>
      </c>
      <c r="F27" s="133" t="s">
        <v>172</v>
      </c>
      <c r="G27" s="103" t="s">
        <v>8</v>
      </c>
      <c r="H27" s="104"/>
      <c r="I27" s="104">
        <v>370</v>
      </c>
      <c r="J27" s="2"/>
      <c r="K27" s="102"/>
      <c r="L27" s="105"/>
      <c r="M27" s="106"/>
    </row>
    <row r="28" spans="2:18" ht="1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02"/>
      <c r="L28" s="105"/>
      <c r="M28" s="106"/>
    </row>
    <row r="29" spans="2:18" ht="1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02"/>
      <c r="L29" s="105"/>
      <c r="M29" s="106"/>
    </row>
    <row r="30" spans="2:18" ht="1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02"/>
      <c r="L30" s="105"/>
      <c r="M30" s="106"/>
    </row>
    <row r="31" spans="2:18" ht="1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02"/>
      <c r="L31" s="105"/>
      <c r="M31" s="106"/>
    </row>
    <row r="32" spans="2:18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/>
      <c r="F35" s="133"/>
      <c r="G35" s="103"/>
      <c r="H35" s="104"/>
      <c r="I35" s="104"/>
      <c r="K35" s="102"/>
      <c r="L35" s="142"/>
      <c r="M35" s="106"/>
    </row>
    <row r="36" spans="5:18" ht="15" x14ac:dyDescent="0.25">
      <c r="E36" s="133"/>
      <c r="F36" s="133"/>
      <c r="G36" s="103"/>
      <c r="H36" s="104"/>
      <c r="I36" s="104"/>
      <c r="K36" s="102"/>
      <c r="L36" s="142"/>
      <c r="M36" s="106"/>
    </row>
    <row r="37" spans="5:18" ht="15" x14ac:dyDescent="0.25">
      <c r="E37" s="133"/>
      <c r="F37" s="133"/>
      <c r="G37" s="103"/>
      <c r="H37" s="104"/>
      <c r="I37" s="104"/>
      <c r="K37" s="102"/>
      <c r="L37" s="142"/>
      <c r="M37" s="106"/>
    </row>
    <row r="38" spans="5:18" ht="15" x14ac:dyDescent="0.25">
      <c r="E38" s="133"/>
      <c r="F38" s="133"/>
      <c r="G38" s="103"/>
      <c r="H38" s="104"/>
      <c r="I38" s="104"/>
      <c r="K38" s="102"/>
      <c r="L38" s="142"/>
      <c r="M38" s="106"/>
    </row>
    <row r="39" spans="5:18" ht="15" x14ac:dyDescent="0.25">
      <c r="E39" s="133"/>
      <c r="F39" s="103"/>
      <c r="G39" s="103"/>
      <c r="H39" s="104"/>
      <c r="I39" s="104"/>
      <c r="K39" s="102"/>
      <c r="L39" s="142"/>
      <c r="M39" s="106"/>
    </row>
    <row r="40" spans="5:18" ht="15" x14ac:dyDescent="0.25">
      <c r="E40" s="138"/>
      <c r="F40" s="138"/>
      <c r="G40" s="139"/>
      <c r="H40" s="140"/>
      <c r="I40" s="104"/>
      <c r="K40" s="144"/>
      <c r="L40" s="145"/>
      <c r="M40" s="143"/>
      <c r="Q40" s="1" t="s">
        <v>35</v>
      </c>
      <c r="R40" s="1">
        <f>SUM(R6:R21)</f>
        <v>0</v>
      </c>
    </row>
    <row r="41" spans="5:18" ht="15" x14ac:dyDescent="0.25">
      <c r="E41" s="103"/>
      <c r="F41" s="103"/>
      <c r="G41" s="103"/>
      <c r="H41" s="104"/>
      <c r="I41" s="104"/>
      <c r="K41" s="141"/>
      <c r="L41" s="142"/>
      <c r="M41" s="14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70" zoomScaleNormal="70" workbookViewId="0">
      <selection activeCell="K15" sqref="K15"/>
    </sheetView>
  </sheetViews>
  <sheetFormatPr defaultColWidth="9.140625" defaultRowHeight="12.75" x14ac:dyDescent="0.2"/>
  <cols>
    <col min="1" max="1" width="1.2851562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24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5703125" style="1" customWidth="1"/>
    <col min="11" max="11" width="18.85546875" style="3" customWidth="1"/>
    <col min="12" max="12" width="19.5703125" style="3" customWidth="1"/>
    <col min="13" max="13" width="15.5703125" style="3" customWidth="1"/>
    <col min="14" max="14" width="1.425781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3">
        <f>'29'!B1+1</f>
        <v>45442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0"/>
      <c r="F6" s="80"/>
      <c r="G6" s="88"/>
      <c r="H6" s="87"/>
      <c r="I6" s="87"/>
      <c r="J6" s="2"/>
      <c r="K6" s="89"/>
      <c r="L6" s="81"/>
      <c r="M6" s="82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0"/>
      <c r="F7" s="80"/>
      <c r="G7" s="88"/>
      <c r="H7" s="87"/>
      <c r="I7" s="87"/>
      <c r="J7" s="2"/>
      <c r="K7" s="89"/>
      <c r="L7" s="81"/>
      <c r="M7" s="82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0"/>
      <c r="F8" s="80"/>
      <c r="G8" s="88"/>
      <c r="H8" s="87"/>
      <c r="I8" s="87"/>
      <c r="J8" s="2"/>
      <c r="K8" s="89"/>
      <c r="L8" s="81"/>
      <c r="M8" s="82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0"/>
      <c r="F9" s="80"/>
      <c r="G9" s="88"/>
      <c r="H9" s="87"/>
      <c r="I9" s="87"/>
      <c r="J9" s="2"/>
      <c r="K9" s="89"/>
      <c r="L9" s="81"/>
      <c r="M9" s="82"/>
      <c r="R9" s="1">
        <f>IF(vend30[[#This Row],[Nº Venda]]&gt;1,1,0)</f>
        <v>0</v>
      </c>
    </row>
    <row r="10" spans="2:18" ht="15.75" x14ac:dyDescent="0.25">
      <c r="B10" s="147" t="s">
        <v>5</v>
      </c>
      <c r="C10" s="147"/>
      <c r="D10" s="2"/>
      <c r="E10" s="80"/>
      <c r="F10" s="80"/>
      <c r="G10" s="88"/>
      <c r="H10" s="87"/>
      <c r="I10" s="87"/>
      <c r="J10" s="2"/>
      <c r="K10" s="89"/>
      <c r="L10" s="81"/>
      <c r="M10" s="82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80"/>
      <c r="F11" s="80"/>
      <c r="G11" s="88"/>
      <c r="H11" s="87"/>
      <c r="I11" s="87"/>
      <c r="J11" s="2"/>
      <c r="K11" s="90"/>
      <c r="L11" s="81"/>
      <c r="M11" s="82"/>
      <c r="O11" s="1">
        <f>IF(C15=0,0,1)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80"/>
      <c r="F12" s="80"/>
      <c r="G12" s="88"/>
      <c r="H12" s="87"/>
      <c r="I12" s="87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0"/>
      <c r="F13" s="80"/>
      <c r="G13" s="88"/>
      <c r="H13" s="87"/>
      <c r="I13" s="87"/>
      <c r="J13" s="2"/>
      <c r="K13" s="149" t="s">
        <v>21</v>
      </c>
      <c r="L13" s="150"/>
      <c r="M13" s="15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0"/>
      <c r="F14" s="80"/>
      <c r="G14" s="88"/>
      <c r="H14" s="87"/>
      <c r="I14" s="87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80"/>
      <c r="F15" s="80"/>
      <c r="G15" s="88"/>
      <c r="H15" s="87"/>
      <c r="I15" s="87"/>
      <c r="J15" s="2"/>
      <c r="K15" s="89"/>
      <c r="L15" s="81"/>
      <c r="M15" s="82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80"/>
      <c r="F16" s="80"/>
      <c r="G16" s="88"/>
      <c r="H16" s="87"/>
      <c r="I16" s="87"/>
      <c r="J16" s="2"/>
      <c r="K16" s="89"/>
      <c r="L16" s="81"/>
      <c r="M16" s="82"/>
      <c r="R16" s="1">
        <f>IF(vend30[[#This Row],[Nº Venda]]&gt;1,1,0)</f>
        <v>0</v>
      </c>
    </row>
    <row r="17" spans="2:22" ht="15.75" x14ac:dyDescent="0.25">
      <c r="B17" s="147" t="s">
        <v>11</v>
      </c>
      <c r="C17" s="147"/>
      <c r="D17" s="2"/>
      <c r="E17" s="80"/>
      <c r="F17" s="80"/>
      <c r="G17" s="88"/>
      <c r="H17" s="87"/>
      <c r="I17" s="87"/>
      <c r="J17" s="2"/>
      <c r="K17" s="89"/>
      <c r="L17" s="81"/>
      <c r="M17" s="82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80"/>
      <c r="F18" s="80"/>
      <c r="G18" s="88"/>
      <c r="H18" s="87"/>
      <c r="I18" s="87"/>
      <c r="J18" s="2"/>
      <c r="K18" s="89"/>
      <c r="L18" s="81"/>
      <c r="M18" s="82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80"/>
      <c r="F19" s="80"/>
      <c r="G19" s="88"/>
      <c r="H19" s="87"/>
      <c r="I19" s="87"/>
      <c r="J19" s="2"/>
      <c r="K19" s="89"/>
      <c r="L19" s="81"/>
      <c r="M19" s="82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80"/>
      <c r="F20" s="88"/>
      <c r="G20" s="88"/>
      <c r="H20" s="87"/>
      <c r="I20" s="87"/>
      <c r="J20" s="2"/>
      <c r="K20" s="89"/>
      <c r="L20" s="81"/>
      <c r="M20" s="82"/>
      <c r="R20" s="1">
        <f>IF(vend30[[#This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80"/>
      <c r="F21" s="80"/>
      <c r="G21" s="88"/>
      <c r="H21" s="87"/>
      <c r="I21" s="87"/>
      <c r="J21" s="2"/>
      <c r="K21" s="89"/>
      <c r="L21" s="81"/>
      <c r="M21" s="82"/>
      <c r="V21" s="1" t="s">
        <v>123</v>
      </c>
    </row>
    <row r="22" spans="2:22" ht="15.75" x14ac:dyDescent="0.25">
      <c r="B22" s="2"/>
      <c r="C22" s="2"/>
      <c r="D22" s="2"/>
      <c r="E22" s="80"/>
      <c r="F22" s="80"/>
      <c r="G22" s="88"/>
      <c r="H22" s="87"/>
      <c r="I22" s="87"/>
      <c r="J22" s="2"/>
      <c r="K22" s="89"/>
      <c r="L22" s="81"/>
      <c r="M22" s="82"/>
    </row>
    <row r="23" spans="2:22" ht="15.75" x14ac:dyDescent="0.25">
      <c r="B23" s="2"/>
      <c r="C23" s="2"/>
      <c r="D23" s="2"/>
      <c r="E23" s="33"/>
      <c r="H23" s="7"/>
      <c r="J23" s="2"/>
      <c r="K23" s="89"/>
      <c r="L23" s="81"/>
      <c r="M23" s="82"/>
    </row>
    <row r="24" spans="2:22" ht="15.7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89"/>
      <c r="L24" s="81"/>
      <c r="M24" s="82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89"/>
      <c r="L25" s="81"/>
      <c r="M25" s="82"/>
    </row>
    <row r="26" spans="2:22" ht="15.75" x14ac:dyDescent="0.25">
      <c r="B26" s="2"/>
      <c r="C26" s="2"/>
      <c r="D26" s="2"/>
      <c r="E26" s="80"/>
      <c r="F26" s="80"/>
      <c r="G26" s="88"/>
      <c r="H26" s="87"/>
      <c r="I26" s="87"/>
      <c r="J26" s="2"/>
      <c r="K26" s="89"/>
      <c r="L26" s="81"/>
      <c r="M26" s="82"/>
    </row>
    <row r="27" spans="2:22" ht="15.75" x14ac:dyDescent="0.25">
      <c r="B27" s="2"/>
      <c r="C27" s="2"/>
      <c r="D27" s="2"/>
      <c r="E27" s="80"/>
      <c r="F27" s="80"/>
      <c r="G27" s="88"/>
      <c r="H27" s="87"/>
      <c r="I27" s="87"/>
      <c r="J27" s="2"/>
      <c r="K27" s="89"/>
      <c r="L27" s="81"/>
      <c r="M27" s="82"/>
    </row>
    <row r="28" spans="2:22" ht="15.75" x14ac:dyDescent="0.25">
      <c r="B28" s="2"/>
      <c r="C28" s="2"/>
      <c r="D28" s="2"/>
      <c r="E28" s="80"/>
      <c r="F28" s="80"/>
      <c r="G28" s="88"/>
      <c r="H28" s="87"/>
      <c r="I28" s="87"/>
      <c r="J28" s="2"/>
      <c r="K28" s="89"/>
      <c r="L28" s="81"/>
      <c r="M28" s="82"/>
    </row>
    <row r="29" spans="2:22" ht="15.75" x14ac:dyDescent="0.25">
      <c r="B29" s="2"/>
      <c r="C29" s="2"/>
      <c r="D29" s="2"/>
      <c r="E29" s="80"/>
      <c r="F29" s="80"/>
      <c r="G29" s="88"/>
      <c r="H29" s="87"/>
      <c r="I29" s="87"/>
      <c r="J29" s="2"/>
      <c r="K29" s="89"/>
      <c r="L29" s="81"/>
      <c r="M29" s="82"/>
    </row>
    <row r="30" spans="2:22" ht="15.75" x14ac:dyDescent="0.25">
      <c r="B30" s="2"/>
      <c r="C30" s="2"/>
      <c r="D30" s="2"/>
      <c r="E30" s="80"/>
      <c r="F30" s="88"/>
      <c r="G30" s="88"/>
      <c r="H30" s="87"/>
      <c r="I30" s="87"/>
      <c r="J30" s="2"/>
      <c r="K30" s="89"/>
      <c r="L30" s="81"/>
      <c r="M30" s="82"/>
    </row>
    <row r="31" spans="2:22" ht="15.75" x14ac:dyDescent="0.25">
      <c r="B31" s="2"/>
      <c r="C31" s="2"/>
      <c r="D31" s="2"/>
      <c r="E31" s="98"/>
      <c r="F31" s="98"/>
      <c r="G31" s="99"/>
      <c r="H31" s="100"/>
      <c r="I31" s="100"/>
      <c r="J31" s="2"/>
      <c r="K31" s="89"/>
      <c r="L31" s="81"/>
      <c r="M31" s="82"/>
    </row>
    <row r="32" spans="2:22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80"/>
      <c r="F35" s="80"/>
      <c r="G35" s="88"/>
      <c r="H35" s="87"/>
      <c r="I35" s="87"/>
      <c r="K35" s="89"/>
      <c r="L35" s="91"/>
      <c r="M35" s="82"/>
    </row>
    <row r="36" spans="5:18" ht="15.75" x14ac:dyDescent="0.25">
      <c r="E36" s="80"/>
      <c r="F36" s="80"/>
      <c r="G36" s="88"/>
      <c r="H36" s="87"/>
      <c r="I36" s="87"/>
      <c r="K36" s="89"/>
      <c r="L36" s="91"/>
      <c r="M36" s="82"/>
    </row>
    <row r="37" spans="5:18" ht="15.75" x14ac:dyDescent="0.25">
      <c r="E37" s="80"/>
      <c r="F37" s="80"/>
      <c r="G37" s="88"/>
      <c r="H37" s="87"/>
      <c r="I37" s="87"/>
      <c r="K37" s="89"/>
      <c r="L37" s="91"/>
      <c r="M37" s="82"/>
    </row>
    <row r="38" spans="5:18" ht="15.75" x14ac:dyDescent="0.25">
      <c r="E38" s="80"/>
      <c r="F38" s="80"/>
      <c r="G38" s="88"/>
      <c r="H38" s="87"/>
      <c r="I38" s="87"/>
      <c r="K38" s="89"/>
      <c r="L38" s="91"/>
      <c r="M38" s="82"/>
    </row>
    <row r="39" spans="5:18" ht="15.75" x14ac:dyDescent="0.25">
      <c r="E39" s="80"/>
      <c r="F39" s="88"/>
      <c r="G39" s="88"/>
      <c r="H39" s="87"/>
      <c r="I39" s="87"/>
      <c r="K39" s="89"/>
      <c r="L39" s="91"/>
      <c r="M39" s="82"/>
    </row>
    <row r="40" spans="5:18" ht="15.75" x14ac:dyDescent="0.25">
      <c r="E40" s="98"/>
      <c r="F40" s="98"/>
      <c r="G40" s="99"/>
      <c r="H40" s="100"/>
      <c r="I40" s="87"/>
      <c r="K40" s="92"/>
      <c r="L40" s="93"/>
      <c r="M40" s="94"/>
      <c r="Q40" s="1" t="s">
        <v>35</v>
      </c>
      <c r="R40" s="1">
        <f>SUM(R6:R21)</f>
        <v>0</v>
      </c>
    </row>
    <row r="41" spans="5:18" ht="15.75" x14ac:dyDescent="0.25">
      <c r="E41" s="88"/>
      <c r="F41" s="88"/>
      <c r="G41" s="88"/>
      <c r="H41" s="87"/>
      <c r="I41" s="87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AD6A-80A4-C743-8002-6823FF005FCF}">
  <sheetPr codeName="Planilha31"/>
  <dimension ref="B1:V41"/>
  <sheetViews>
    <sheetView showGridLines="0" topLeftCell="A3" zoomScale="70" zoomScaleNormal="70" workbookViewId="0">
      <selection activeCell="I29" sqref="I29"/>
    </sheetView>
  </sheetViews>
  <sheetFormatPr defaultColWidth="9.140625" defaultRowHeight="12.75" x14ac:dyDescent="0.2"/>
  <cols>
    <col min="1" max="1" width="1.85546875" style="1" customWidth="1"/>
    <col min="2" max="2" width="23.28515625" style="1" bestFit="1" customWidth="1"/>
    <col min="3" max="3" width="14" style="1" customWidth="1"/>
    <col min="4" max="4" width="1.28515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1.28515625" style="1" customWidth="1"/>
    <col min="11" max="11" width="19.85546875" style="3" customWidth="1"/>
    <col min="12" max="12" width="21.28515625" style="3" customWidth="1"/>
    <col min="13" max="13" width="15.28515625" style="3" customWidth="1"/>
    <col min="14" max="14" width="2.42578125" style="1" hidden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21" width="9.140625" style="1" hidden="1" customWidth="1"/>
    <col min="22" max="16384" width="9.140625" style="1"/>
  </cols>
  <sheetData>
    <row r="1" spans="2:18" ht="27" x14ac:dyDescent="0.5">
      <c r="B1" s="53">
        <f>'30'!B1+1</f>
        <v>45443</v>
      </c>
    </row>
    <row r="2" spans="2:18" ht="18.75" x14ac:dyDescent="0.2">
      <c r="B2" s="152" t="s">
        <v>12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55" t="s">
        <v>1</v>
      </c>
      <c r="F4" s="155"/>
      <c r="G4" s="155"/>
      <c r="H4" s="155"/>
      <c r="I4" s="155"/>
      <c r="J4" s="22"/>
      <c r="K4" s="149" t="s">
        <v>3</v>
      </c>
      <c r="L4" s="150"/>
      <c r="M4" s="151"/>
    </row>
    <row r="5" spans="2:18" ht="15" x14ac:dyDescent="0.25">
      <c r="B5" s="23" t="s">
        <v>1</v>
      </c>
      <c r="C5" s="24">
        <f>SUMIF(I6:I31,"&gt;0",H6:H31)</f>
        <v>599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400</v>
      </c>
      <c r="D6" s="2"/>
      <c r="E6" s="133">
        <v>938</v>
      </c>
      <c r="F6" s="133" t="s">
        <v>174</v>
      </c>
      <c r="G6" s="103" t="s">
        <v>9</v>
      </c>
      <c r="H6" s="104">
        <v>599</v>
      </c>
      <c r="I6" s="104">
        <v>400</v>
      </c>
      <c r="J6" s="2"/>
      <c r="K6" s="102"/>
      <c r="L6" s="105"/>
      <c r="M6" s="106"/>
      <c r="R6" s="1">
        <f>IF(vend31[[#This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133"/>
      <c r="F7" s="133"/>
      <c r="G7" s="103"/>
      <c r="H7" s="104"/>
      <c r="I7" s="104"/>
      <c r="J7" s="2"/>
      <c r="K7" s="102"/>
      <c r="L7" s="105"/>
      <c r="M7" s="106"/>
      <c r="R7" s="1">
        <f>IF(vend31[[#This Row],[Nº Venda]]&gt;1,1,0)</f>
        <v>0</v>
      </c>
    </row>
    <row r="8" spans="2:18" ht="15.75" x14ac:dyDescent="0.25">
      <c r="B8" s="28" t="s">
        <v>20</v>
      </c>
      <c r="C8" s="29">
        <f>SUM(C6:C7)</f>
        <v>400</v>
      </c>
      <c r="D8" s="2"/>
      <c r="E8" s="133"/>
      <c r="F8" s="133"/>
      <c r="G8" s="103"/>
      <c r="H8" s="104"/>
      <c r="I8" s="104"/>
      <c r="J8" s="2"/>
      <c r="K8" s="102"/>
      <c r="L8" s="105"/>
      <c r="M8" s="106"/>
      <c r="R8" s="1">
        <f>IF(vend31[[#This Row],[Nº Venda]]&gt;1,1,0)</f>
        <v>0</v>
      </c>
    </row>
    <row r="9" spans="2:18" ht="15" x14ac:dyDescent="0.25">
      <c r="B9" s="2"/>
      <c r="C9" s="2"/>
      <c r="D9" s="2"/>
      <c r="E9" s="133"/>
      <c r="F9" s="133"/>
      <c r="G9" s="103"/>
      <c r="H9" s="104"/>
      <c r="I9" s="104"/>
      <c r="J9" s="2"/>
      <c r="K9" s="102"/>
      <c r="L9" s="105"/>
      <c r="M9" s="106"/>
      <c r="R9" s="1">
        <f>IF(vend31[[#This Row],[Nº Venda]]&gt;1,1,0)</f>
        <v>0</v>
      </c>
    </row>
    <row r="10" spans="2:18" ht="15" x14ac:dyDescent="0.25">
      <c r="B10" s="147" t="s">
        <v>5</v>
      </c>
      <c r="C10" s="147"/>
      <c r="D10" s="2"/>
      <c r="E10" s="133"/>
      <c r="F10" s="133"/>
      <c r="G10" s="103"/>
      <c r="H10" s="104"/>
      <c r="I10" s="104"/>
      <c r="J10" s="2"/>
      <c r="K10" s="102"/>
      <c r="L10" s="105"/>
      <c r="M10" s="106"/>
      <c r="R10" s="1">
        <f>IF(vend31[[#This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133"/>
      <c r="F11" s="133"/>
      <c r="G11" s="103"/>
      <c r="H11" s="104"/>
      <c r="I11" s="104"/>
      <c r="J11" s="2"/>
      <c r="K11" s="137"/>
      <c r="L11" s="105"/>
      <c r="M11" s="106"/>
      <c r="O11" s="1">
        <f>IF(C15=0,0,1)</f>
        <v>1</v>
      </c>
      <c r="R11" s="1">
        <f>IF(vend31[[#This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137.80000000000001</v>
      </c>
      <c r="D12" s="2"/>
      <c r="E12" s="133"/>
      <c r="F12" s="133"/>
      <c r="G12" s="103"/>
      <c r="H12" s="104"/>
      <c r="I12" s="104"/>
      <c r="J12" s="2"/>
      <c r="R12" s="1">
        <f>IF(vend31[[#This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33"/>
      <c r="F13" s="133"/>
      <c r="G13" s="103"/>
      <c r="H13" s="104"/>
      <c r="I13" s="104"/>
      <c r="J13" s="2"/>
      <c r="K13" s="149" t="s">
        <v>21</v>
      </c>
      <c r="L13" s="150"/>
      <c r="M13" s="151"/>
      <c r="R13" s="1">
        <f>IF(vend31[[#This Row],[Nº Venda]]&gt;1,1,0)</f>
        <v>0</v>
      </c>
    </row>
    <row r="14" spans="2:18" ht="15" x14ac:dyDescent="0.25">
      <c r="B14" s="30" t="s">
        <v>9</v>
      </c>
      <c r="C14" s="31">
        <f t="shared" si="0"/>
        <v>484.25</v>
      </c>
      <c r="D14" s="2"/>
      <c r="E14" s="133"/>
      <c r="F14" s="133"/>
      <c r="G14" s="103"/>
      <c r="H14" s="104"/>
      <c r="I14" s="104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622.04999999999995</v>
      </c>
      <c r="D15" s="2"/>
      <c r="E15" s="133"/>
      <c r="F15" s="133"/>
      <c r="G15" s="103"/>
      <c r="H15" s="104"/>
      <c r="I15" s="104"/>
      <c r="J15" s="2"/>
      <c r="K15" s="102">
        <v>934</v>
      </c>
      <c r="L15" s="105" t="s">
        <v>175</v>
      </c>
      <c r="M15" s="106" t="s">
        <v>133</v>
      </c>
      <c r="R15" s="1">
        <f>IF(vend31[[#This Row],[Nº Venda]]&gt;1,1,0)</f>
        <v>0</v>
      </c>
    </row>
    <row r="16" spans="2:18" ht="15" x14ac:dyDescent="0.25">
      <c r="B16" s="2"/>
      <c r="C16" s="2"/>
      <c r="D16" s="2"/>
      <c r="E16" s="133"/>
      <c r="F16" s="133"/>
      <c r="G16" s="103"/>
      <c r="H16" s="104"/>
      <c r="I16" s="104"/>
      <c r="J16" s="2"/>
      <c r="K16" s="102">
        <v>925</v>
      </c>
      <c r="L16" s="105" t="s">
        <v>175</v>
      </c>
      <c r="M16" s="106" t="s">
        <v>133</v>
      </c>
      <c r="R16" s="1">
        <f>IF(vend31[[#This Row],[Nº Venda]]&gt;1,1,0)</f>
        <v>0</v>
      </c>
    </row>
    <row r="17" spans="2:22" ht="15" x14ac:dyDescent="0.25">
      <c r="B17" s="147" t="s">
        <v>11</v>
      </c>
      <c r="C17" s="147"/>
      <c r="D17" s="2"/>
      <c r="E17" s="133"/>
      <c r="F17" s="133"/>
      <c r="G17" s="103"/>
      <c r="H17" s="104"/>
      <c r="I17" s="104"/>
      <c r="J17" s="2"/>
      <c r="K17" s="102"/>
      <c r="L17" s="105"/>
      <c r="M17" s="106"/>
      <c r="R17" s="1">
        <f>IF(vend31[[#This Row],[Nº Venda]]&gt;1,1,0)</f>
        <v>0</v>
      </c>
    </row>
    <row r="18" spans="2:22" ht="15" x14ac:dyDescent="0.25">
      <c r="B18" s="30">
        <f>COUNT(entr_carn31[OS])</f>
        <v>1</v>
      </c>
      <c r="C18" s="31">
        <f>SUM(entr_carn31[Valor Total])</f>
        <v>449</v>
      </c>
      <c r="D18" s="2"/>
      <c r="E18" s="133"/>
      <c r="F18" s="133"/>
      <c r="G18" s="103"/>
      <c r="H18" s="104"/>
      <c r="I18" s="104"/>
      <c r="J18" s="2"/>
      <c r="K18" s="102"/>
      <c r="L18" s="105"/>
      <c r="M18" s="106"/>
      <c r="R18" s="1">
        <f>IF(vend31[[#This Row],[Nº Venda]]&gt;1,1,0)</f>
        <v>0</v>
      </c>
    </row>
    <row r="19" spans="2:22" ht="15.75" x14ac:dyDescent="0.25">
      <c r="B19" s="28" t="s">
        <v>10</v>
      </c>
      <c r="C19" s="32">
        <f>SUM(C18:C18)</f>
        <v>449</v>
      </c>
      <c r="D19" s="2"/>
      <c r="E19" s="133"/>
      <c r="F19" s="133"/>
      <c r="G19" s="103"/>
      <c r="H19" s="104"/>
      <c r="I19" s="104"/>
      <c r="J19" s="2"/>
      <c r="K19" s="102"/>
      <c r="L19" s="105"/>
      <c r="M19" s="106"/>
      <c r="R19" s="1">
        <f>IF(vend31[[#This Row],[Nº Venda]]&gt;1,1,0)</f>
        <v>0</v>
      </c>
    </row>
    <row r="20" spans="2:22" ht="15" x14ac:dyDescent="0.25">
      <c r="B20" s="2"/>
      <c r="C20" s="2"/>
      <c r="D20" s="2"/>
      <c r="E20" s="133"/>
      <c r="F20" s="103"/>
      <c r="G20" s="103"/>
      <c r="H20" s="104"/>
      <c r="I20" s="104"/>
      <c r="J20" s="2"/>
      <c r="K20" s="102"/>
      <c r="L20" s="105"/>
      <c r="M20" s="106"/>
      <c r="R20" s="1">
        <f>IF(vend31[[#This Row],[Nº Venda]]&gt;1,1,0)</f>
        <v>0</v>
      </c>
    </row>
    <row r="21" spans="2:22" ht="15.75" x14ac:dyDescent="0.25">
      <c r="B21" s="28" t="s">
        <v>25</v>
      </c>
      <c r="C21" s="32">
        <f>C5</f>
        <v>599</v>
      </c>
      <c r="D21" s="2"/>
      <c r="E21" s="133"/>
      <c r="F21" s="133"/>
      <c r="G21" s="103"/>
      <c r="H21" s="104"/>
      <c r="I21" s="104"/>
      <c r="J21" s="2"/>
      <c r="K21" s="102"/>
      <c r="L21" s="105"/>
      <c r="M21" s="106"/>
      <c r="V21" s="1" t="s">
        <v>123</v>
      </c>
    </row>
    <row r="22" spans="2:22" ht="15" x14ac:dyDescent="0.25">
      <c r="B22" s="2"/>
      <c r="C22" s="2"/>
      <c r="D22" s="2"/>
      <c r="E22" s="133"/>
      <c r="F22" s="133"/>
      <c r="G22" s="103"/>
      <c r="H22" s="104"/>
      <c r="I22" s="104"/>
      <c r="J22" s="2"/>
      <c r="K22" s="102"/>
      <c r="L22" s="105"/>
      <c r="M22" s="106"/>
    </row>
    <row r="23" spans="2:22" ht="15" x14ac:dyDescent="0.25">
      <c r="B23" s="2"/>
      <c r="C23" s="2"/>
      <c r="D23" s="2"/>
      <c r="E23" s="33"/>
      <c r="H23" s="7"/>
      <c r="J23" s="2"/>
      <c r="K23" s="102"/>
      <c r="L23" s="105"/>
      <c r="M23" s="106"/>
    </row>
    <row r="24" spans="2:22" ht="15" x14ac:dyDescent="0.25">
      <c r="B24" s="2"/>
      <c r="C24" s="2"/>
      <c r="D24" s="2"/>
      <c r="E24" s="148" t="s">
        <v>26</v>
      </c>
      <c r="F24" s="148"/>
      <c r="G24" s="148"/>
      <c r="H24" s="148"/>
      <c r="I24" s="148"/>
      <c r="J24" s="2"/>
      <c r="K24" s="102"/>
      <c r="L24" s="105"/>
      <c r="M24" s="106"/>
    </row>
    <row r="25" spans="2:22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05"/>
      <c r="M25" s="106"/>
    </row>
    <row r="26" spans="2:22" ht="15" x14ac:dyDescent="0.25">
      <c r="B26" s="2"/>
      <c r="C26" s="2"/>
      <c r="D26" s="2"/>
      <c r="E26" s="133"/>
      <c r="F26" s="133"/>
      <c r="G26" s="103"/>
      <c r="H26" s="104"/>
      <c r="I26" s="104"/>
      <c r="J26" s="2"/>
      <c r="K26" s="102"/>
      <c r="L26" s="105"/>
      <c r="M26" s="106"/>
    </row>
    <row r="27" spans="2:22" ht="15" x14ac:dyDescent="0.25">
      <c r="B27" s="2"/>
      <c r="C27" s="2"/>
      <c r="D27" s="2"/>
      <c r="E27" s="133"/>
      <c r="F27" s="133"/>
      <c r="G27" s="103"/>
      <c r="H27" s="104"/>
      <c r="I27" s="104"/>
      <c r="J27" s="2"/>
      <c r="K27" s="102"/>
      <c r="L27" s="105"/>
      <c r="M27" s="106"/>
    </row>
    <row r="28" spans="2:22" ht="15" x14ac:dyDescent="0.25">
      <c r="B28" s="2"/>
      <c r="C28" s="2"/>
      <c r="D28" s="2"/>
      <c r="E28" s="133"/>
      <c r="F28" s="133"/>
      <c r="G28" s="103"/>
      <c r="H28" s="104"/>
      <c r="I28" s="104"/>
      <c r="J28" s="2"/>
      <c r="K28" s="102"/>
      <c r="L28" s="105"/>
      <c r="M28" s="106"/>
    </row>
    <row r="29" spans="2:22" ht="15" x14ac:dyDescent="0.25">
      <c r="B29" s="2"/>
      <c r="C29" s="2"/>
      <c r="D29" s="2"/>
      <c r="E29" s="133"/>
      <c r="F29" s="133"/>
      <c r="G29" s="103"/>
      <c r="H29" s="104"/>
      <c r="I29" s="104"/>
      <c r="J29" s="2"/>
      <c r="K29" s="102"/>
      <c r="L29" s="105"/>
      <c r="M29" s="106"/>
    </row>
    <row r="30" spans="2:22" ht="15" x14ac:dyDescent="0.25">
      <c r="B30" s="2"/>
      <c r="C30" s="2"/>
      <c r="D30" s="2"/>
      <c r="E30" s="133"/>
      <c r="F30" s="103"/>
      <c r="G30" s="103"/>
      <c r="H30" s="104"/>
      <c r="I30" s="104"/>
      <c r="J30" s="2"/>
      <c r="K30" s="102"/>
      <c r="L30" s="105"/>
      <c r="M30" s="106"/>
    </row>
    <row r="31" spans="2:22" ht="15" x14ac:dyDescent="0.25">
      <c r="B31" s="2"/>
      <c r="C31" s="2"/>
      <c r="D31" s="2"/>
      <c r="E31" s="138"/>
      <c r="F31" s="138"/>
      <c r="G31" s="139"/>
      <c r="H31" s="140"/>
      <c r="I31" s="140"/>
      <c r="J31" s="2"/>
      <c r="K31" s="102"/>
      <c r="L31" s="105"/>
      <c r="M31" s="106"/>
    </row>
    <row r="32" spans="2:22" ht="15" x14ac:dyDescent="0.25">
      <c r="B32" s="2"/>
      <c r="C32" s="2"/>
      <c r="E32" s="33"/>
    </row>
    <row r="33" spans="5:18" ht="15" x14ac:dyDescent="0.25">
      <c r="E33" s="148" t="s">
        <v>27</v>
      </c>
      <c r="F33" s="148"/>
      <c r="G33" s="148"/>
      <c r="H33" s="148"/>
      <c r="I33" s="148"/>
      <c r="K33" s="149" t="s">
        <v>11</v>
      </c>
      <c r="L33" s="150"/>
      <c r="M33" s="15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" x14ac:dyDescent="0.25">
      <c r="E35" s="133">
        <v>863</v>
      </c>
      <c r="F35" s="133" t="s">
        <v>176</v>
      </c>
      <c r="G35" s="103" t="s">
        <v>7</v>
      </c>
      <c r="H35" s="104">
        <v>137.80000000000001</v>
      </c>
      <c r="I35" s="104" t="s">
        <v>75</v>
      </c>
      <c r="K35" s="102">
        <v>934</v>
      </c>
      <c r="L35" s="142">
        <v>7</v>
      </c>
      <c r="M35" s="106">
        <v>449</v>
      </c>
    </row>
    <row r="36" spans="5:18" ht="15" x14ac:dyDescent="0.25">
      <c r="E36" s="133">
        <v>876</v>
      </c>
      <c r="F36" s="133" t="s">
        <v>177</v>
      </c>
      <c r="G36" s="103" t="s">
        <v>9</v>
      </c>
      <c r="H36" s="104">
        <v>84.25</v>
      </c>
      <c r="I36" s="104" t="s">
        <v>74</v>
      </c>
      <c r="K36" s="102"/>
      <c r="L36" s="142"/>
      <c r="M36" s="106"/>
    </row>
    <row r="37" spans="5:18" ht="15" x14ac:dyDescent="0.25">
      <c r="E37" s="133"/>
      <c r="F37" s="133"/>
      <c r="G37" s="103"/>
      <c r="H37" s="104"/>
      <c r="I37" s="104"/>
      <c r="K37" s="102"/>
      <c r="L37" s="142"/>
      <c r="M37" s="106"/>
    </row>
    <row r="38" spans="5:18" ht="15" x14ac:dyDescent="0.25">
      <c r="E38" s="133"/>
      <c r="F38" s="133"/>
      <c r="G38" s="103"/>
      <c r="H38" s="104"/>
      <c r="I38" s="104"/>
      <c r="K38" s="102"/>
      <c r="L38" s="142"/>
      <c r="M38" s="106"/>
    </row>
    <row r="39" spans="5:18" ht="15" x14ac:dyDescent="0.25">
      <c r="E39" s="133"/>
      <c r="F39" s="103"/>
      <c r="G39" s="103"/>
      <c r="H39" s="104"/>
      <c r="I39" s="104"/>
      <c r="K39" s="102"/>
      <c r="L39" s="142"/>
      <c r="M39" s="106"/>
    </row>
    <row r="40" spans="5:18" ht="15" x14ac:dyDescent="0.25">
      <c r="E40" s="138"/>
      <c r="F40" s="138"/>
      <c r="G40" s="139"/>
      <c r="H40" s="140"/>
      <c r="I40" s="104"/>
      <c r="K40" s="144"/>
      <c r="L40" s="145"/>
      <c r="M40" s="143"/>
      <c r="Q40" s="1" t="s">
        <v>35</v>
      </c>
      <c r="R40" s="1">
        <f>SUM(R6:R21)</f>
        <v>1</v>
      </c>
    </row>
    <row r="41" spans="5:18" ht="15" x14ac:dyDescent="0.25">
      <c r="E41" s="103"/>
      <c r="F41" s="103"/>
      <c r="G41" s="103"/>
      <c r="H41" s="104"/>
      <c r="I41" s="104"/>
      <c r="K41" s="141"/>
      <c r="L41" s="142"/>
      <c r="M41" s="14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DD43F438-CB9F-0C48-A49D-113B9CBAE4B6}">
      <formula1>"Sim, Não"</formula1>
    </dataValidation>
    <dataValidation type="list" allowBlank="1" showInputMessage="1" showErrorMessage="1" sqref="L35:L41" xr:uid="{1022E925-8EAF-634C-BEBB-062059CD54D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78FBEA-7827-5443-B649-5675ED2C5E7B}">
          <x14:formula1>
            <xm:f>base!$A$2:$A$8</xm:f>
          </x14:formula1>
          <xm:sqref>G6:G22</xm:sqref>
        </x14:dataValidation>
        <x14:dataValidation type="list" allowBlank="1" showInputMessage="1" showErrorMessage="1" xr:uid="{3DF419FD-6DF3-6F40-9566-81B3CB14E310}">
          <x14:formula1>
            <xm:f>base!$A$2:$A$5</xm:f>
          </x14:formula1>
          <xm:sqref>G26:G31 G35:G41</xm:sqref>
        </x14:dataValidation>
        <x14:dataValidation type="list" allowBlank="1" showInputMessage="1" showErrorMessage="1" xr:uid="{B412EAF3-8AD4-EE49-87AB-06E41042B24F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60</v>
      </c>
      <c r="B1" s="38" t="s">
        <v>61</v>
      </c>
      <c r="E1" s="38" t="s">
        <v>62</v>
      </c>
    </row>
    <row r="2" spans="1:5" x14ac:dyDescent="0.2">
      <c r="A2" s="38" t="s">
        <v>6</v>
      </c>
      <c r="B2" s="38" t="s">
        <v>63</v>
      </c>
      <c r="E2" t="s">
        <v>44</v>
      </c>
    </row>
    <row r="3" spans="1:5" x14ac:dyDescent="0.2">
      <c r="A3" s="38" t="s">
        <v>7</v>
      </c>
      <c r="B3" s="38" t="s">
        <v>64</v>
      </c>
      <c r="E3" t="s">
        <v>65</v>
      </c>
    </row>
    <row r="4" spans="1:5" x14ac:dyDescent="0.2">
      <c r="A4" s="38" t="s">
        <v>8</v>
      </c>
      <c r="B4" s="38" t="s">
        <v>66</v>
      </c>
      <c r="E4" t="s">
        <v>67</v>
      </c>
    </row>
    <row r="5" spans="1:5" x14ac:dyDescent="0.2">
      <c r="A5" s="38" t="s">
        <v>9</v>
      </c>
      <c r="B5" s="38" t="s">
        <v>9</v>
      </c>
      <c r="E5" t="s">
        <v>68</v>
      </c>
    </row>
    <row r="6" spans="1:5" x14ac:dyDescent="0.2">
      <c r="A6" s="38" t="s">
        <v>48</v>
      </c>
      <c r="B6" s="38" t="s">
        <v>69</v>
      </c>
      <c r="E6" t="s">
        <v>32</v>
      </c>
    </row>
    <row r="7" spans="1:5" x14ac:dyDescent="0.2">
      <c r="A7" t="s">
        <v>24</v>
      </c>
      <c r="B7" t="s">
        <v>71</v>
      </c>
      <c r="E7" t="s">
        <v>70</v>
      </c>
    </row>
    <row r="8" spans="1:5" x14ac:dyDescent="0.2">
      <c r="A8" s="38" t="s">
        <v>38</v>
      </c>
      <c r="B8" s="38" t="s">
        <v>72</v>
      </c>
      <c r="E8" t="s">
        <v>50</v>
      </c>
    </row>
    <row r="9" spans="1:5" x14ac:dyDescent="0.2">
      <c r="E9" t="s">
        <v>73</v>
      </c>
    </row>
    <row r="10" spans="1:5" x14ac:dyDescent="0.2">
      <c r="E10" t="s">
        <v>74</v>
      </c>
    </row>
    <row r="11" spans="1:5" x14ac:dyDescent="0.2">
      <c r="E11" t="s">
        <v>75</v>
      </c>
    </row>
    <row r="12" spans="1:5" x14ac:dyDescent="0.2">
      <c r="E12" t="s">
        <v>37</v>
      </c>
    </row>
    <row r="13" spans="1:5" x14ac:dyDescent="0.2">
      <c r="E13" t="s">
        <v>51</v>
      </c>
    </row>
    <row r="14" spans="1:5" x14ac:dyDescent="0.2">
      <c r="E14" t="s">
        <v>45</v>
      </c>
    </row>
    <row r="15" spans="1:5" x14ac:dyDescent="0.2">
      <c r="E15" t="s">
        <v>76</v>
      </c>
    </row>
    <row r="16" spans="1:5" x14ac:dyDescent="0.2">
      <c r="E16" t="s">
        <v>46</v>
      </c>
    </row>
    <row r="17" spans="5:5" x14ac:dyDescent="0.2">
      <c r="E17" t="s">
        <v>40</v>
      </c>
    </row>
    <row r="18" spans="5:5" x14ac:dyDescent="0.2">
      <c r="E18" t="s">
        <v>52</v>
      </c>
    </row>
    <row r="19" spans="5:5" x14ac:dyDescent="0.2">
      <c r="E19" t="s">
        <v>43</v>
      </c>
    </row>
    <row r="20" spans="5:5" x14ac:dyDescent="0.2">
      <c r="E20" t="s">
        <v>77</v>
      </c>
    </row>
    <row r="21" spans="5:5" x14ac:dyDescent="0.2">
      <c r="E21" t="s">
        <v>78</v>
      </c>
    </row>
    <row r="22" spans="5:5" x14ac:dyDescent="0.2">
      <c r="E22" t="s">
        <v>57</v>
      </c>
    </row>
    <row r="23" spans="5:5" x14ac:dyDescent="0.2">
      <c r="E23" t="s">
        <v>34</v>
      </c>
    </row>
    <row r="24" spans="5:5" x14ac:dyDescent="0.2">
      <c r="E24" t="s">
        <v>53</v>
      </c>
    </row>
    <row r="25" spans="5:5" x14ac:dyDescent="0.2">
      <c r="E25" t="s">
        <v>47</v>
      </c>
    </row>
    <row r="26" spans="5:5" x14ac:dyDescent="0.2">
      <c r="E26" t="s">
        <v>39</v>
      </c>
    </row>
    <row r="27" spans="5:5" x14ac:dyDescent="0.2">
      <c r="E27" t="s">
        <v>42</v>
      </c>
    </row>
    <row r="28" spans="5:5" x14ac:dyDescent="0.2">
      <c r="E28" t="s">
        <v>58</v>
      </c>
    </row>
    <row r="29" spans="5:5" x14ac:dyDescent="0.2">
      <c r="E29" t="s">
        <v>59</v>
      </c>
    </row>
    <row r="30" spans="5:5" x14ac:dyDescent="0.2">
      <c r="E30" t="s">
        <v>79</v>
      </c>
    </row>
    <row r="31" spans="5:5" x14ac:dyDescent="0.2">
      <c r="E31" t="s">
        <v>33</v>
      </c>
    </row>
    <row r="32" spans="5:5" x14ac:dyDescent="0.2">
      <c r="E32" t="s">
        <v>80</v>
      </c>
    </row>
    <row r="33" spans="5:5" x14ac:dyDescent="0.2">
      <c r="E33" t="s">
        <v>55</v>
      </c>
    </row>
    <row r="34" spans="5:5" x14ac:dyDescent="0.2">
      <c r="E34" t="s">
        <v>36</v>
      </c>
    </row>
    <row r="35" spans="5:5" x14ac:dyDescent="0.2">
      <c r="E35" t="s">
        <v>54</v>
      </c>
    </row>
    <row r="36" spans="5:5" x14ac:dyDescent="0.2">
      <c r="E36" t="s">
        <v>41</v>
      </c>
    </row>
    <row r="37" spans="5:5" x14ac:dyDescent="0.2">
      <c r="E37" t="s">
        <v>49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2024-06-04T18:48:34Z</cp:lastPrinted>
  <dcterms:created xsi:type="dcterms:W3CDTF">2004-04-07T20:43:43Z</dcterms:created>
  <dcterms:modified xsi:type="dcterms:W3CDTF">2025-10-15T17:55:39Z</dcterms:modified>
  <cp:category/>
  <cp:contentStatus/>
</cp:coreProperties>
</file>