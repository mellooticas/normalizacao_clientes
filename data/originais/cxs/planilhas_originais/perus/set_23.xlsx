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2023/"/>
    </mc:Choice>
  </mc:AlternateContent>
  <xr:revisionPtr revIDLastSave="87" documentId="13_ncr:1_{22C51AA6-7305-4C53-B07E-0D6450171D8F}" xr6:coauthVersionLast="47" xr6:coauthVersionMax="47" xr10:uidLastSave="{CAE3790F-D1CA-4DD9-9F9A-0262A22EF58F}"/>
  <bookViews>
    <workbookView xWindow="-120" yWindow="-120" windowWidth="29040" windowHeight="15720" tabRatio="895" firstSheet="7" activeTab="3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98" l="1"/>
  <c r="C11" i="199"/>
  <c r="C11" i="192"/>
  <c r="C11" i="196"/>
  <c r="C11" i="197"/>
  <c r="C11" i="194"/>
  <c r="C11" i="195"/>
  <c r="C11" i="193"/>
  <c r="C11" i="188"/>
  <c r="C11" i="191"/>
  <c r="C11" i="190"/>
  <c r="C11" i="189"/>
  <c r="C11" i="187"/>
  <c r="C11" i="186"/>
  <c r="C11" i="185"/>
  <c r="C11" i="184"/>
  <c r="C11" i="179"/>
  <c r="C11" i="181"/>
  <c r="C11" i="183"/>
  <c r="C11" i="182"/>
  <c r="C11" i="180"/>
  <c r="C11" i="176"/>
  <c r="C11" i="177"/>
  <c r="C11" i="178"/>
  <c r="C11" i="103"/>
  <c r="C11" i="170"/>
  <c r="C11" i="171"/>
  <c r="C11" i="172"/>
  <c r="C11" i="173"/>
  <c r="C11" i="174"/>
  <c r="C11" i="175"/>
  <c r="C12" i="173" l="1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4"/>
  <c r="C13" i="174"/>
  <c r="C14" i="174"/>
  <c r="C15" i="174"/>
  <c r="C12" i="175"/>
  <c r="C13" i="175"/>
  <c r="C14" i="175"/>
  <c r="C15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3" s="1"/>
  <c r="B1" i="197" s="1"/>
  <c r="B1" i="196" s="1"/>
  <c r="B1" i="192" s="1"/>
  <c r="B1" i="199" s="1"/>
  <c r="B1" i="198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5" i="190"/>
  <c r="C5" i="191"/>
  <c r="C22" i="191" s="1"/>
  <c r="C5" i="188"/>
  <c r="C22" i="188" s="1"/>
  <c r="C5" i="193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6" i="182"/>
  <c r="C6" i="183"/>
  <c r="C8" i="183" s="1"/>
  <c r="C6" i="181"/>
  <c r="C6" i="179"/>
  <c r="C8" i="179" s="1"/>
  <c r="C6" i="184"/>
  <c r="C6" i="185"/>
  <c r="C6" i="186"/>
  <c r="C6" i="187"/>
  <c r="C6" i="189"/>
  <c r="C8" i="189" s="1"/>
  <c r="C6" i="190"/>
  <c r="C8" i="190" s="1"/>
  <c r="C6" i="191"/>
  <c r="C6" i="188"/>
  <c r="C6" i="193"/>
  <c r="C6" i="195"/>
  <c r="C6" i="194"/>
  <c r="C6" i="197"/>
  <c r="C8" i="197" s="1"/>
  <c r="C6" i="196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40" i="191" s="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C8" i="192" l="1"/>
  <c r="R40" i="170"/>
  <c r="R40" i="187"/>
  <c r="R40" i="192"/>
  <c r="R40" i="197"/>
  <c r="R40" i="185"/>
  <c r="R40" i="190"/>
  <c r="R40" i="195"/>
  <c r="R40" i="198"/>
  <c r="R40" i="189"/>
  <c r="R40" i="196"/>
  <c r="R40" i="199"/>
  <c r="R40" i="194"/>
  <c r="R40" i="188"/>
  <c r="C8" i="188"/>
  <c r="C8" i="191"/>
  <c r="R40" i="186"/>
  <c r="R40" i="183"/>
  <c r="B17" i="200"/>
  <c r="B18" i="200" s="1"/>
  <c r="R40" i="180"/>
  <c r="C8" i="180"/>
  <c r="C16" i="170"/>
  <c r="O11" i="17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<sst xmlns="http://schemas.openxmlformats.org/spreadsheetml/2006/main" count="1887" uniqueCount="229">
  <si>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</si>
  <si>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</si>
  <si>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</si>
  <si>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</si>
  <si>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</si>
  <si>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</si>
  <si>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</si>
  <si>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</si>
  <si>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</si>
  <si>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</si>
  <si>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</si>
  <si>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</si>
  <si>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</si>
  <si>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</si>
  <si>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</si>
  <si>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</si>
  <si>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</si>
  <si>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</si>
  <si>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</si>
  <si>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</si>
  <si>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</si>
  <si>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Rozemiro geraldino</t>
  </si>
  <si>
    <t>GARANTIA</t>
  </si>
  <si>
    <t>Total  entrada</t>
  </si>
  <si>
    <t>OS Entregue no Dia</t>
  </si>
  <si>
    <t>OS</t>
  </si>
  <si>
    <t>Vendedor</t>
  </si>
  <si>
    <t>CARNE</t>
  </si>
  <si>
    <t>ARIANI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</si>
  <si>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</si>
  <si>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</si>
  <si>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</si>
  <si>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</si>
  <si>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</si>
  <si>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</si>
  <si>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</si>
  <si>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</si>
  <si>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</si>
  <si>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WILLIAM</t>
  </si>
  <si>
    <t>SAMUEL</t>
  </si>
  <si>
    <t xml:space="preserve">Paulo rogério </t>
  </si>
  <si>
    <t>maria de lima</t>
  </si>
  <si>
    <t>JOANA</t>
  </si>
  <si>
    <t>carmen lúcia</t>
  </si>
  <si>
    <t>andriellen caroline</t>
  </si>
  <si>
    <t>PARC. 2/7</t>
  </si>
  <si>
    <t>Sim</t>
  </si>
  <si>
    <t>lucia aparecida</t>
  </si>
  <si>
    <t>PARC. 2/5</t>
  </si>
  <si>
    <t xml:space="preserve">josé antônio </t>
  </si>
  <si>
    <t xml:space="preserve">maria do amparo </t>
  </si>
  <si>
    <t>jorge de jesus</t>
  </si>
  <si>
    <t>antônio domingos</t>
  </si>
  <si>
    <t>maria tavares</t>
  </si>
  <si>
    <t>mônica moreira</t>
  </si>
  <si>
    <t>mariene dias</t>
  </si>
  <si>
    <t>Evani dos santos</t>
  </si>
  <si>
    <t>aparecida araujo</t>
  </si>
  <si>
    <t xml:space="preserve">raquel mendes de moura </t>
  </si>
  <si>
    <t>PARC. 1/5</t>
  </si>
  <si>
    <t>Gicélia Francisca Santos</t>
  </si>
  <si>
    <t>PARC. 2/8</t>
  </si>
  <si>
    <t xml:space="preserve">Maria Celeste Ferreira </t>
  </si>
  <si>
    <t>PARC. 1/4</t>
  </si>
  <si>
    <t>marco antônio</t>
  </si>
  <si>
    <t>PARC. 2/4</t>
  </si>
  <si>
    <t xml:space="preserve">maria das neves </t>
  </si>
  <si>
    <t xml:space="preserve">Galão de água </t>
  </si>
  <si>
    <t xml:space="preserve">cartão débito </t>
  </si>
  <si>
    <t>clarice pereira</t>
  </si>
  <si>
    <t>eliane almeida</t>
  </si>
  <si>
    <t>411</t>
  </si>
  <si>
    <t>antonio ademir</t>
  </si>
  <si>
    <t>dn</t>
  </si>
  <si>
    <t>412</t>
  </si>
  <si>
    <t>irene silva</t>
  </si>
  <si>
    <t>ieda p. da silva</t>
  </si>
  <si>
    <t xml:space="preserve">Maria  Do Socorro </t>
  </si>
  <si>
    <t>SS</t>
  </si>
  <si>
    <t xml:space="preserve">Antonio Desiderio </t>
  </si>
  <si>
    <t>carmem lucia</t>
  </si>
  <si>
    <t>risoneide agostinho</t>
  </si>
  <si>
    <t>maria josé</t>
  </si>
  <si>
    <t>PARC. 3/4</t>
  </si>
  <si>
    <t>susana de souza lima</t>
  </si>
  <si>
    <t>pedro cardoso</t>
  </si>
  <si>
    <t>irene silva santos</t>
  </si>
  <si>
    <t>SANDY</t>
  </si>
  <si>
    <t>irene silva dos santos</t>
  </si>
  <si>
    <t xml:space="preserve">Ivete De Cassia </t>
  </si>
  <si>
    <t>Davi william</t>
  </si>
  <si>
    <t>Roseli dos santos</t>
  </si>
  <si>
    <t>chocolate ação</t>
  </si>
  <si>
    <t>ctc</t>
  </si>
  <si>
    <t xml:space="preserve">Sidney bispo </t>
  </si>
  <si>
    <t>maria do socorr</t>
  </si>
  <si>
    <t>janete dos santos</t>
  </si>
  <si>
    <t>PARC. 3/6</t>
  </si>
  <si>
    <t>adebaldo freira</t>
  </si>
  <si>
    <t>Juvaldina da silva</t>
  </si>
  <si>
    <t xml:space="preserve">Rosemeire De Oliveira </t>
  </si>
  <si>
    <t xml:space="preserve">José Carlos Da silva </t>
  </si>
  <si>
    <t xml:space="preserve">Marcelo Soares Justino </t>
  </si>
  <si>
    <t xml:space="preserve">rafael lazo </t>
  </si>
  <si>
    <t xml:space="preserve">marcia vanessa </t>
  </si>
  <si>
    <t>galão de água</t>
  </si>
  <si>
    <t xml:space="preserve">pix </t>
  </si>
  <si>
    <t>TATY</t>
  </si>
  <si>
    <t xml:space="preserve">helena maria </t>
  </si>
  <si>
    <t>PARC. 2/2</t>
  </si>
  <si>
    <t xml:space="preserve">Renilton Marcos </t>
  </si>
  <si>
    <t xml:space="preserve">Joseana lopes </t>
  </si>
  <si>
    <t>PARC. 1/2</t>
  </si>
  <si>
    <t xml:space="preserve">Maria Tavares </t>
  </si>
  <si>
    <t xml:space="preserve">Vitor henrique </t>
  </si>
  <si>
    <t xml:space="preserve">Adilson andré </t>
  </si>
  <si>
    <t>Fernando pinha</t>
  </si>
  <si>
    <t>Rejane da silva</t>
  </si>
  <si>
    <t xml:space="preserve">Flavio Rodrigues </t>
  </si>
  <si>
    <t xml:space="preserve">elza dos santos </t>
  </si>
  <si>
    <t xml:space="preserve">Adilson André </t>
  </si>
  <si>
    <t>elena barbosa</t>
  </si>
  <si>
    <t xml:space="preserve">osvaldo cardoso </t>
  </si>
  <si>
    <t>rosangela paes</t>
  </si>
  <si>
    <t>Beatriz de lima</t>
  </si>
  <si>
    <t>receitas/larissa pagou</t>
  </si>
  <si>
    <t>pix</t>
  </si>
  <si>
    <t>Vera aparecida</t>
  </si>
  <si>
    <t>LARISSA</t>
  </si>
  <si>
    <t>antônio carlos</t>
  </si>
  <si>
    <t xml:space="preserve">Vera Aparecida </t>
  </si>
  <si>
    <t xml:space="preserve">Maria Das Neves </t>
  </si>
  <si>
    <t>Maria josé</t>
  </si>
  <si>
    <t xml:space="preserve">Zelita Bezerra </t>
  </si>
  <si>
    <t>PARC. 1/3</t>
  </si>
  <si>
    <t>PARC. 2/3</t>
  </si>
  <si>
    <t xml:space="preserve">Raimunda Silva </t>
  </si>
  <si>
    <t>PARC. 1/6</t>
  </si>
  <si>
    <t xml:space="preserve">Gei Pereira Silva </t>
  </si>
  <si>
    <t>Davi William</t>
  </si>
  <si>
    <t xml:space="preserve">Daniela Meves Victor </t>
  </si>
  <si>
    <t>Água</t>
  </si>
  <si>
    <t>Vitória Barros</t>
  </si>
  <si>
    <t>VERIFICAÇÃO</t>
  </si>
  <si>
    <t xml:space="preserve">Vera Lúcia Do Amaral </t>
  </si>
  <si>
    <t>Cleonice Rodrigues Lima</t>
  </si>
  <si>
    <t>José Antônio Bartholomeu</t>
  </si>
  <si>
    <t xml:space="preserve">Marco Antônio de Souza </t>
  </si>
  <si>
    <t>PARC. 3/5</t>
  </si>
  <si>
    <t>Marcos Costa Nunes</t>
  </si>
  <si>
    <t>Ericson Francisco Ferreira</t>
  </si>
  <si>
    <t xml:space="preserve">Quezia de Oliveira Freitas </t>
  </si>
  <si>
    <t>Tatiane Fátima Rodrigues</t>
  </si>
  <si>
    <t>Irene Silva Santos</t>
  </si>
  <si>
    <t>Gei Pereira Silva</t>
  </si>
  <si>
    <t>Tipo Pagto</t>
  </si>
  <si>
    <t>descricao</t>
  </si>
  <si>
    <t xml:space="preserve">Parcelas </t>
  </si>
  <si>
    <t>Dinheiro</t>
  </si>
  <si>
    <t>PARC. 1/1</t>
  </si>
  <si>
    <t>Cartão Débito</t>
  </si>
  <si>
    <t>Cartão Crédito</t>
  </si>
  <si>
    <t>Parcelado Cartão Crédito</t>
  </si>
  <si>
    <t>Sem Sinal</t>
  </si>
  <si>
    <t>PARC. 3/3</t>
  </si>
  <si>
    <t xml:space="preserve">Carne </t>
  </si>
  <si>
    <t>Todas as Garantias</t>
  </si>
  <si>
    <t>PARC. 4/4</t>
  </si>
  <si>
    <t>PARC. 4/5</t>
  </si>
  <si>
    <t>PARC. 5/5</t>
  </si>
  <si>
    <t>PARC. 2/6</t>
  </si>
  <si>
    <t>PARC. 4/6</t>
  </si>
  <si>
    <t>PARC. 5/6</t>
  </si>
  <si>
    <t>PARC. 6/6</t>
  </si>
  <si>
    <t>PARC. 1/7</t>
  </si>
  <si>
    <t>PARC. 3/7</t>
  </si>
  <si>
    <t>PARC. 4/7</t>
  </si>
  <si>
    <t>PARC. 5/7</t>
  </si>
  <si>
    <t>PARC. 6/7</t>
  </si>
  <si>
    <t>PARC. 7/7</t>
  </si>
  <si>
    <t>PARC. 1/8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</si>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</sst>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&quot;R$&quot;\ #,##0.00"/>
    <numFmt numFmtId="168" formatCode="&quot;R$ &quot;#,##0_);\(&quot;R$ &quot;#,##0\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b/>
      <sz val="18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4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7" fontId="13" fillId="5" borderId="13" xfId="0" applyNumberFormat="1" applyFont="1" applyFill="1" applyBorder="1" applyAlignment="1">
      <alignment horizontal="center"/>
    </xf>
    <xf numFmtId="167" fontId="0" fillId="0" borderId="11" xfId="4" applyNumberFormat="1" applyFont="1" applyFill="1" applyBorder="1" applyAlignment="1">
      <alignment horizontal="center"/>
    </xf>
    <xf numFmtId="167" fontId="13" fillId="0" borderId="17" xfId="4" applyNumberFormat="1" applyFont="1" applyFill="1" applyBorder="1" applyAlignment="1">
      <alignment horizontal="center"/>
    </xf>
    <xf numFmtId="167" fontId="13" fillId="0" borderId="17" xfId="0" applyNumberFormat="1" applyFont="1" applyBorder="1" applyAlignment="1">
      <alignment horizontal="center"/>
    </xf>
    <xf numFmtId="166" fontId="13" fillId="5" borderId="10" xfId="2" applyFont="1" applyFill="1" applyBorder="1" applyAlignment="1">
      <alignment horizontal="center"/>
    </xf>
    <xf numFmtId="166" fontId="13" fillId="5" borderId="13" xfId="2" applyFont="1" applyFill="1" applyBorder="1" applyAlignment="1">
      <alignment horizontal="center"/>
    </xf>
    <xf numFmtId="167" fontId="13" fillId="5" borderId="13" xfId="4" applyNumberFormat="1" applyFont="1" applyFill="1" applyBorder="1" applyAlignment="1">
      <alignment horizontal="center"/>
    </xf>
    <xf numFmtId="167" fontId="13" fillId="5" borderId="9" xfId="4" applyNumberFormat="1" applyFont="1" applyFill="1" applyBorder="1" applyAlignment="1">
      <alignment horizontal="center"/>
    </xf>
    <xf numFmtId="167" fontId="13" fillId="5" borderId="10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7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7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6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7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6" fontId="13" fillId="5" borderId="0" xfId="2" applyFont="1" applyFill="1" applyBorder="1" applyAlignment="1">
      <alignment horizontal="center"/>
    </xf>
    <xf numFmtId="166" fontId="14" fillId="7" borderId="6" xfId="2" applyFont="1" applyFill="1" applyBorder="1" applyAlignment="1">
      <alignment horizontal="center"/>
    </xf>
    <xf numFmtId="166" fontId="0" fillId="0" borderId="2" xfId="2" applyFont="1" applyFill="1" applyBorder="1" applyAlignment="1">
      <alignment horizontal="center"/>
    </xf>
    <xf numFmtId="166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6" fontId="13" fillId="0" borderId="3" xfId="2" applyFont="1" applyFill="1" applyBorder="1" applyAlignment="1">
      <alignment horizontal="center"/>
    </xf>
    <xf numFmtId="0" fontId="5" fillId="0" borderId="0" xfId="0" applyFont="1"/>
    <xf numFmtId="166" fontId="24" fillId="0" borderId="17" xfId="2" applyFont="1" applyFill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6" fontId="30" fillId="0" borderId="17" xfId="2" applyFont="1" applyFill="1" applyBorder="1" applyAlignment="1">
      <alignment horizontal="center"/>
    </xf>
    <xf numFmtId="167" fontId="24" fillId="0" borderId="17" xfId="0" applyNumberFormat="1" applyFont="1" applyBorder="1" applyAlignment="1">
      <alignment horizontal="center"/>
    </xf>
    <xf numFmtId="167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7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7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7" fontId="34" fillId="0" borderId="13" xfId="4" applyNumberFormat="1" applyFont="1" applyFill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7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7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7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6" fontId="0" fillId="0" borderId="17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7" fontId="10" fillId="7" borderId="5" xfId="0" applyNumberFormat="1" applyFont="1" applyFill="1" applyBorder="1" applyAlignment="1">
      <alignment horizontal="center"/>
    </xf>
    <xf numFmtId="167" fontId="10" fillId="7" borderId="4" xfId="0" applyNumberFormat="1" applyFont="1" applyFill="1" applyBorder="1" applyAlignment="1">
      <alignment horizontal="center"/>
    </xf>
    <xf numFmtId="167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00000000-0005-0000-0000-00000E000000}"/>
    <cellStyle name="Moeda 2 2 3" xfId="59" xr:uid="{00000000-0005-0000-0000-00000F000000}"/>
    <cellStyle name="Moeda 2 3" xfId="44" xr:uid="{00000000-0005-0000-0000-000010000000}"/>
    <cellStyle name="Moeda 2 4" xfId="57" xr:uid="{00000000-0005-0000-0000-000011000000}"/>
    <cellStyle name="Moeda 3" xfId="39" xr:uid="{00000000-0005-0000-0000-000012000000}"/>
    <cellStyle name="Normal" xfId="0" builtinId="0"/>
    <cellStyle name="Normal 2" xfId="3" xr:uid="{00000000-0005-0000-0000-000014000000}"/>
    <cellStyle name="Normal 2 2" xfId="8" xr:uid="{00000000-0005-0000-0000-000015000000}"/>
    <cellStyle name="Normal 2 2 2" xfId="12" xr:uid="{00000000-0005-0000-0000-000016000000}"/>
    <cellStyle name="Normal 2 2 2 2" xfId="43" xr:uid="{00000000-0005-0000-0000-000017000000}"/>
    <cellStyle name="Normal 2 2 3" xfId="40" xr:uid="{00000000-0005-0000-0000-000018000000}"/>
    <cellStyle name="Normal 2 3" xfId="27" xr:uid="{00000000-0005-0000-0000-000019000000}"/>
    <cellStyle name="Normal 2 3 2" xfId="48" xr:uid="{00000000-0005-0000-0000-00001A000000}"/>
    <cellStyle name="Normal 3" xfId="18" xr:uid="{00000000-0005-0000-0000-00001B000000}"/>
    <cellStyle name="Normal 3 2" xfId="45" xr:uid="{00000000-0005-0000-0000-00001C000000}"/>
    <cellStyle name="Normal 4" xfId="28" xr:uid="{00000000-0005-0000-0000-00001D000000}"/>
    <cellStyle name="Normal 4 2" xfId="20" xr:uid="{00000000-0005-0000-0000-00001E000000}"/>
    <cellStyle name="Normal 4 3" xfId="49" xr:uid="{00000000-0005-0000-0000-00001F000000}"/>
    <cellStyle name="Normal 4 4" xfId="60" xr:uid="{00000000-0005-0000-0000-000020000000}"/>
    <cellStyle name="Normal 5" xfId="29" xr:uid="{00000000-0005-0000-0000-000021000000}"/>
    <cellStyle name="Normal 5 2" xfId="50" xr:uid="{00000000-0005-0000-0000-000022000000}"/>
    <cellStyle name="Normal 6" xfId="30" xr:uid="{00000000-0005-0000-0000-000023000000}"/>
    <cellStyle name="Normal 6 2" xfId="51" xr:uid="{00000000-0005-0000-0000-000024000000}"/>
    <cellStyle name="Percentual de métrica-chave" xfId="31" xr:uid="{00000000-0005-0000-0000-000025000000}"/>
    <cellStyle name="Porcentagem" xfId="4" builtinId="5"/>
    <cellStyle name="Porcentagem 2" xfId="10" xr:uid="{00000000-0005-0000-0000-000027000000}"/>
    <cellStyle name="Porcentagem 2 2" xfId="41" xr:uid="{00000000-0005-0000-0000-000028000000}"/>
    <cellStyle name="Porcentagem 5" xfId="32" xr:uid="{00000000-0005-0000-0000-000029000000}"/>
    <cellStyle name="Porcentagem 5 2" xfId="52" xr:uid="{00000000-0005-0000-0000-00002A000000}"/>
    <cellStyle name="Separador de milhares 2" xfId="11" xr:uid="{00000000-0005-0000-0000-00002B000000}"/>
    <cellStyle name="Separador de milhares 2 2" xfId="42" xr:uid="{00000000-0005-0000-0000-00002C000000}"/>
    <cellStyle name="Separador de milhares 2 3" xfId="56" xr:uid="{00000000-0005-0000-0000-00002D000000}"/>
    <cellStyle name="Separador de milhares 3" xfId="33" xr:uid="{00000000-0005-0000-0000-00002E000000}"/>
    <cellStyle name="Separador de milhares 5" xfId="34" xr:uid="{00000000-0005-0000-0000-00002F000000}"/>
    <cellStyle name="Separador de milhares 5 2" xfId="53" xr:uid="{00000000-0005-0000-0000-000030000000}"/>
    <cellStyle name="Separador de milhares 6" xfId="35" xr:uid="{00000000-0005-0000-0000-000031000000}"/>
    <cellStyle name="Separador de milhares 6 2" xfId="54" xr:uid="{00000000-0005-0000-0000-000032000000}"/>
    <cellStyle name="Título 1 1" xfId="5" xr:uid="{00000000-0005-0000-0000-000033000000}"/>
    <cellStyle name="Título 1 1 1" xfId="6" xr:uid="{00000000-0005-0000-0000-000034000000}"/>
    <cellStyle name="Título 1 1 1 1" xfId="7" xr:uid="{00000000-0005-0000-0000-000035000000}"/>
    <cellStyle name="Título 5" xfId="36" xr:uid="{00000000-0005-0000-0000-000036000000}"/>
    <cellStyle name="Valor de métrica-chave" xfId="37" xr:uid="{00000000-0005-0000-0000-000037000000}"/>
    <cellStyle name="Vírgula 10" xfId="19" xr:uid="{00000000-0005-0000-0000-000038000000}"/>
    <cellStyle name="Vírgula 10 2" xfId="46" xr:uid="{00000000-0005-0000-0000-000039000000}"/>
    <cellStyle name="Vírgula 10 3" xfId="58" xr:uid="{00000000-0005-0000-0000-00003A000000}"/>
    <cellStyle name="Vírgula 2" xfId="38" xr:uid="{00000000-0005-0000-0000-00003B000000}"/>
    <cellStyle name="Vírgula 2 2" xfId="55" xr:uid="{00000000-0005-0000-0000-00003C000000}"/>
    <cellStyle name="Vírgula 2 3" xfId="61" xr:uid="{00000000-0005-0000-0000-00003D00000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0000000}" name="vend1" displayName="vend1" ref="E5:I22" totalsRowShown="0" headerRowDxfId="1644" dataDxfId="1642" headerRowBorderDxfId="1643" tableBorderDxfId="1641" totalsRowBorderDxfId="1640">
  <autoFilter ref="E5:I22" xr:uid="{00000000-0009-0000-0100-000026000000}"/>
  <sortState xmlns:xlrd2="http://schemas.microsoft.com/office/spreadsheetml/2017/richdata2" ref="E6:I22">
    <sortCondition ref="E5:E22"/>
  </sortState>
  <tableColumns count="5">
    <tableColumn id="1" xr3:uid="{00000000-0010-0000-0000-000001000000}" name="Nº Venda" dataDxfId="1639" dataCellStyle="Moeda"/>
    <tableColumn id="5" xr3:uid="{00000000-0010-0000-0000-000005000000}" name="Cliente" dataDxfId="1638" dataCellStyle="Moeda"/>
    <tableColumn id="2" xr3:uid="{00000000-0010-0000-0000-000002000000}" name="Forma de Pgto" dataDxfId="1637" dataCellStyle="Moeda"/>
    <tableColumn id="3" xr3:uid="{00000000-0010-0000-0000-000003000000}" name="Valor Venda" dataDxfId="1636" dataCellStyle="Porcentagem"/>
    <tableColumn id="4" xr3:uid="{00000000-0010-0000-0000-000004000000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1000000}" name="desp1" displayName="desp1" ref="K5:M11" totalsRowShown="0" headerRowDxfId="1634" dataDxfId="1632" headerRowBorderDxfId="1633" tableBorderDxfId="1631" totalsRowBorderDxfId="1630">
  <autoFilter ref="K5:M11" xr:uid="{00000000-0009-0000-0100-000027000000}"/>
  <tableColumns count="3">
    <tableColumn id="1" xr3:uid="{00000000-0010-0000-0100-000001000000}" name="Descrição" dataDxfId="1629"/>
    <tableColumn id="2" xr3:uid="{00000000-0010-0000-0100-000002000000}" name="Tipo de Pagto" dataDxfId="1628"/>
    <tableColumn id="3" xr3:uid="{00000000-0010-0000-0100-000003000000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02000000}" name="rest_entr1" displayName="rest_entr1" ref="E25:I31" totalsRowShown="0" headerRowDxfId="1626" dataDxfId="1624" headerRowBorderDxfId="1625" tableBorderDxfId="1623" totalsRowBorderDxfId="1622">
  <autoFilter ref="E25:I31" xr:uid="{00000000-0009-0000-0100-000028000000}"/>
  <sortState xmlns:xlrd2="http://schemas.microsoft.com/office/spreadsheetml/2017/richdata2" ref="E26:I31">
    <sortCondition ref="E25:E31"/>
  </sortState>
  <tableColumns count="5">
    <tableColumn id="1" xr3:uid="{00000000-0010-0000-0200-000001000000}" name="Nº Venda" dataDxfId="1621"/>
    <tableColumn id="2" xr3:uid="{00000000-0010-0000-0200-000002000000}" name="Cliente" dataDxfId="1620"/>
    <tableColumn id="3" xr3:uid="{00000000-0010-0000-0200-000003000000}" name="Forma de Pgto" dataDxfId="1619" dataCellStyle="Moeda"/>
    <tableColumn id="4" xr3:uid="{00000000-0010-0000-0200-000004000000}" name="Valor Venda" dataDxfId="1618" dataCellStyle="Porcentagem"/>
    <tableColumn id="5" xr3:uid="{00000000-0010-0000-0200-000005000000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03000000}" name="os_entr_dia1" displayName="os_entr_dia1" ref="K14:M31" totalsRowShown="0" headerRowDxfId="1616" dataDxfId="1614" headerRowBorderDxfId="1615" tableBorderDxfId="1613" totalsRowBorderDxfId="1612">
  <autoFilter ref="K14:M31" xr:uid="{00000000-0009-0000-0100-000029000000}"/>
  <tableColumns count="3">
    <tableColumn id="1" xr3:uid="{00000000-0010-0000-0300-000001000000}" name="OS" dataDxfId="1611"/>
    <tableColumn id="2" xr3:uid="{00000000-0010-0000-0300-000002000000}" name="Vendedor" dataDxfId="1610"/>
    <tableColumn id="3" xr3:uid="{00000000-0010-0000-0300-000003000000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04000000}" name="rec_carn1" displayName="rec_carn1" ref="E34:I41" totalsRowShown="0" headerRowDxfId="1608" dataDxfId="1606" headerRowBorderDxfId="1607" tableBorderDxfId="1605" totalsRowBorderDxfId="1604">
  <autoFilter ref="E34:I41" xr:uid="{00000000-0009-0000-0100-00002A000000}"/>
  <sortState xmlns:xlrd2="http://schemas.microsoft.com/office/spreadsheetml/2017/richdata2" ref="E35:I40">
    <sortCondition ref="E25:E31"/>
  </sortState>
  <tableColumns count="5">
    <tableColumn id="1" xr3:uid="{00000000-0010-0000-0400-000001000000}" name="OS" dataDxfId="1603"/>
    <tableColumn id="2" xr3:uid="{00000000-0010-0000-0400-000002000000}" name="Cliente" dataDxfId="1602"/>
    <tableColumn id="3" xr3:uid="{00000000-0010-0000-0400-000003000000}" name="Forma de Pgto" dataDxfId="1601" dataCellStyle="Moeda"/>
    <tableColumn id="4" xr3:uid="{00000000-0010-0000-0400-000004000000}" name="Valor Parcela" dataDxfId="1600" dataCellStyle="Porcentagem"/>
    <tableColumn id="5" xr3:uid="{00000000-0010-0000-0400-000005000000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05000000}" name="entr_carn1" displayName="entr_carn1" ref="K34:M41" totalsRowShown="0" headerRowDxfId="1598" headerRowBorderDxfId="1597" tableBorderDxfId="1596" totalsRowBorderDxfId="1595">
  <autoFilter ref="K34:M41" xr:uid="{00000000-0009-0000-0100-00002B000000}"/>
  <tableColumns count="3">
    <tableColumn id="1" xr3:uid="{00000000-0010-0000-0500-000001000000}" name="OS" dataDxfId="1594"/>
    <tableColumn id="2" xr3:uid="{00000000-0010-0000-0500-000002000000}" name="Parcelas" dataDxfId="1593"/>
    <tableColumn id="3" xr3:uid="{00000000-0010-0000-0500-000003000000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6000000}" name="vend2" displayName="vend2" ref="E5:I22" totalsRowShown="0" headerRowDxfId="1591" dataDxfId="1589" headerRowBorderDxfId="1590" tableBorderDxfId="1588" totalsRowBorderDxfId="1587">
  <autoFilter ref="E5:I22" xr:uid="{00000000-0009-0000-0100-000020000000}"/>
  <sortState xmlns:xlrd2="http://schemas.microsoft.com/office/spreadsheetml/2017/richdata2" ref="E6:I22">
    <sortCondition ref="E5:E22"/>
  </sortState>
  <tableColumns count="5">
    <tableColumn id="1" xr3:uid="{00000000-0010-0000-0600-000001000000}" name="Nº Venda" dataDxfId="1586" dataCellStyle="Moeda"/>
    <tableColumn id="5" xr3:uid="{00000000-0010-0000-0600-000005000000}" name="Cliente" dataDxfId="1585" dataCellStyle="Moeda"/>
    <tableColumn id="2" xr3:uid="{00000000-0010-0000-0600-000002000000}" name="Forma de Pgto" dataDxfId="1584" dataCellStyle="Moeda"/>
    <tableColumn id="3" xr3:uid="{00000000-0010-0000-0600-000003000000}" name="Valor Venda" dataDxfId="1583" dataCellStyle="Porcentagem"/>
    <tableColumn id="4" xr3:uid="{00000000-0010-0000-0600-000004000000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7000000}" name="desp2" displayName="desp2" ref="K5:M11" totalsRowShown="0" headerRowDxfId="1581" dataDxfId="1579" headerRowBorderDxfId="1580" tableBorderDxfId="1578" totalsRowBorderDxfId="1577">
  <autoFilter ref="K5:M11" xr:uid="{00000000-0009-0000-0100-000021000000}"/>
  <tableColumns count="3">
    <tableColumn id="1" xr3:uid="{00000000-0010-0000-0700-000001000000}" name="Descrição" dataDxfId="1576"/>
    <tableColumn id="2" xr3:uid="{00000000-0010-0000-0700-000002000000}" name="Tipo de Pagto" dataDxfId="1575"/>
    <tableColumn id="3" xr3:uid="{00000000-0010-0000-0700-000003000000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8000000}" name="rest_entr2" displayName="rest_entr2" ref="E25:I31" totalsRowShown="0" headerRowDxfId="1573" dataDxfId="1571" headerRowBorderDxfId="1572" tableBorderDxfId="1570" totalsRowBorderDxfId="1569">
  <autoFilter ref="E25:I31" xr:uid="{00000000-0009-0000-0100-000022000000}"/>
  <sortState xmlns:xlrd2="http://schemas.microsoft.com/office/spreadsheetml/2017/richdata2" ref="E26:I31">
    <sortCondition ref="E25:E31"/>
  </sortState>
  <tableColumns count="5">
    <tableColumn id="1" xr3:uid="{00000000-0010-0000-0800-000001000000}" name="Nº Venda" dataDxfId="1568"/>
    <tableColumn id="2" xr3:uid="{00000000-0010-0000-0800-000002000000}" name="Cliente" dataDxfId="1567"/>
    <tableColumn id="3" xr3:uid="{00000000-0010-0000-0800-000003000000}" name="Forma de Pgto" dataDxfId="1566" dataCellStyle="Moeda"/>
    <tableColumn id="4" xr3:uid="{00000000-0010-0000-0800-000004000000}" name="Valor Venda" dataDxfId="1565" dataCellStyle="Porcentagem"/>
    <tableColumn id="5" xr3:uid="{00000000-0010-0000-0800-000005000000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9000000}" name="os_entr_dia2" displayName="os_entr_dia2" ref="K14:M31" totalsRowShown="0" headerRowDxfId="1563" dataDxfId="1561" headerRowBorderDxfId="1562" tableBorderDxfId="1560" totalsRowBorderDxfId="1559">
  <autoFilter ref="K14:M31" xr:uid="{00000000-0009-0000-0100-000023000000}"/>
  <tableColumns count="3">
    <tableColumn id="1" xr3:uid="{00000000-0010-0000-0900-000001000000}" name="OS" dataDxfId="1558"/>
    <tableColumn id="2" xr3:uid="{00000000-0010-0000-0900-000002000000}" name="Vendedor" dataDxfId="1557"/>
    <tableColumn id="3" xr3:uid="{00000000-0010-0000-0900-000003000000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A000000}" name="rec_carn2" displayName="rec_carn2" ref="E34:I41" totalsRowShown="0" headerRowDxfId="1555" dataDxfId="1553" headerRowBorderDxfId="1554" tableBorderDxfId="1552" totalsRowBorderDxfId="1551">
  <autoFilter ref="E34:I41" xr:uid="{00000000-0009-0000-0100-000024000000}"/>
  <sortState xmlns:xlrd2="http://schemas.microsoft.com/office/spreadsheetml/2017/richdata2" ref="E35:I40">
    <sortCondition ref="E25:E31"/>
  </sortState>
  <tableColumns count="5">
    <tableColumn id="1" xr3:uid="{00000000-0010-0000-0A00-000001000000}" name="OS" dataDxfId="1550"/>
    <tableColumn id="2" xr3:uid="{00000000-0010-0000-0A00-000002000000}" name="Cliente" dataDxfId="1549"/>
    <tableColumn id="3" xr3:uid="{00000000-0010-0000-0A00-000003000000}" name="Forma de Pgto" dataDxfId="1548" dataCellStyle="Moeda"/>
    <tableColumn id="4" xr3:uid="{00000000-0010-0000-0A00-000004000000}" name="Valor Parcela" dataDxfId="1547" dataCellStyle="Porcentagem"/>
    <tableColumn id="5" xr3:uid="{00000000-0010-0000-0A00-000005000000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entr_carn2" displayName="entr_carn2" ref="K34:M41" totalsRowShown="0" headerRowDxfId="1545" headerRowBorderDxfId="1544" tableBorderDxfId="1543" totalsRowBorderDxfId="1542">
  <autoFilter ref="K34:M41" xr:uid="{00000000-0009-0000-0100-000025000000}"/>
  <tableColumns count="3">
    <tableColumn id="1" xr3:uid="{00000000-0010-0000-0B00-000001000000}" name="OS" dataDxfId="1541"/>
    <tableColumn id="2" xr3:uid="{00000000-0010-0000-0B00-000002000000}" name="Parcelas" dataDxfId="1540"/>
    <tableColumn id="3" xr3:uid="{00000000-0010-0000-0B00-000003000000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C000000}" name="vend3" displayName="vend3" ref="E5:I22" totalsRowShown="0" headerRowDxfId="1538" dataDxfId="1536" headerRowBorderDxfId="1537" tableBorderDxfId="1535" totalsRowBorderDxfId="1534">
  <autoFilter ref="E5:I22" xr:uid="{00000000-0009-0000-0100-00001A000000}"/>
  <sortState xmlns:xlrd2="http://schemas.microsoft.com/office/spreadsheetml/2017/richdata2" ref="E6:I22">
    <sortCondition ref="E5:E22"/>
  </sortState>
  <tableColumns count="5">
    <tableColumn id="1" xr3:uid="{00000000-0010-0000-0C00-000001000000}" name="Nº Venda" dataDxfId="1533" dataCellStyle="Moeda"/>
    <tableColumn id="5" xr3:uid="{00000000-0010-0000-0C00-000005000000}" name="Cliente" dataDxfId="1532" dataCellStyle="Moeda"/>
    <tableColumn id="2" xr3:uid="{00000000-0010-0000-0C00-000002000000}" name="Forma de Pgto" dataDxfId="1531" dataCellStyle="Moeda"/>
    <tableColumn id="3" xr3:uid="{00000000-0010-0000-0C00-000003000000}" name="Valor Venda" dataDxfId="1530" dataCellStyle="Porcentagem"/>
    <tableColumn id="4" xr3:uid="{00000000-0010-0000-0C00-000004000000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desp3" displayName="desp3" ref="K5:M11" totalsRowShown="0" headerRowDxfId="1528" dataDxfId="1526" headerRowBorderDxfId="1527" tableBorderDxfId="1525" totalsRowBorderDxfId="1524">
  <autoFilter ref="K5:M11" xr:uid="{00000000-0009-0000-0100-00001B000000}"/>
  <tableColumns count="3">
    <tableColumn id="1" xr3:uid="{00000000-0010-0000-0D00-000001000000}" name="Descrição" dataDxfId="1523"/>
    <tableColumn id="2" xr3:uid="{00000000-0010-0000-0D00-000002000000}" name="Tipo de Pagto" dataDxfId="1522"/>
    <tableColumn id="3" xr3:uid="{00000000-0010-0000-0D00-000003000000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E000000}" name="rest_entr3" displayName="rest_entr3" ref="E25:I31" totalsRowShown="0" headerRowDxfId="1520" dataDxfId="1518" headerRowBorderDxfId="1519" tableBorderDxfId="1517" totalsRowBorderDxfId="1516">
  <autoFilter ref="E25:I31" xr:uid="{00000000-0009-0000-0100-00001C000000}"/>
  <sortState xmlns:xlrd2="http://schemas.microsoft.com/office/spreadsheetml/2017/richdata2" ref="E26:I31">
    <sortCondition ref="E25:E31"/>
  </sortState>
  <tableColumns count="5">
    <tableColumn id="1" xr3:uid="{00000000-0010-0000-0E00-000001000000}" name="Nº Venda" dataDxfId="1515"/>
    <tableColumn id="2" xr3:uid="{00000000-0010-0000-0E00-000002000000}" name="Cliente" dataDxfId="1514"/>
    <tableColumn id="3" xr3:uid="{00000000-0010-0000-0E00-000003000000}" name="Forma de Pgto" dataDxfId="1513" dataCellStyle="Moeda"/>
    <tableColumn id="4" xr3:uid="{00000000-0010-0000-0E00-000004000000}" name="Valor Venda" dataDxfId="1512" dataCellStyle="Porcentagem"/>
    <tableColumn id="5" xr3:uid="{00000000-0010-0000-0E00-000005000000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F000000}" name="os_entr_dia3" displayName="os_entr_dia3" ref="K14:M31" totalsRowShown="0" headerRowDxfId="1510" dataDxfId="1508" headerRowBorderDxfId="1509" tableBorderDxfId="1507" totalsRowBorderDxfId="1506">
  <autoFilter ref="K14:M31" xr:uid="{00000000-0009-0000-0100-00001D000000}"/>
  <tableColumns count="3">
    <tableColumn id="1" xr3:uid="{00000000-0010-0000-0F00-000001000000}" name="OS" dataDxfId="1505"/>
    <tableColumn id="2" xr3:uid="{00000000-0010-0000-0F00-000002000000}" name="Vendedor" dataDxfId="1504"/>
    <tableColumn id="3" xr3:uid="{00000000-0010-0000-0F00-000003000000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0000000}" name="rec_carn3" displayName="rec_carn3" ref="E34:I41" totalsRowShown="0" headerRowDxfId="1502" dataDxfId="1500" headerRowBorderDxfId="1501" tableBorderDxfId="1499" totalsRowBorderDxfId="1498">
  <autoFilter ref="E34:I41" xr:uid="{00000000-0009-0000-0100-00001E000000}"/>
  <sortState xmlns:xlrd2="http://schemas.microsoft.com/office/spreadsheetml/2017/richdata2" ref="E35:I40">
    <sortCondition ref="E25:E31"/>
  </sortState>
  <tableColumns count="5">
    <tableColumn id="1" xr3:uid="{00000000-0010-0000-1000-000001000000}" name="OS" dataDxfId="1497"/>
    <tableColumn id="2" xr3:uid="{00000000-0010-0000-1000-000002000000}" name="Cliente" dataDxfId="1496"/>
    <tableColumn id="3" xr3:uid="{00000000-0010-0000-1000-000003000000}" name="Forma de Pgto" dataDxfId="1495" dataCellStyle="Moeda"/>
    <tableColumn id="4" xr3:uid="{00000000-0010-0000-1000-000004000000}" name="Valor Parcela" dataDxfId="1494" dataCellStyle="Porcentagem"/>
    <tableColumn id="5" xr3:uid="{00000000-0010-0000-1000-000005000000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1000000}" name="entr_carn3" displayName="entr_carn3" ref="K34:M41" totalsRowShown="0" headerRowDxfId="1492" headerRowBorderDxfId="1491" tableBorderDxfId="1490" totalsRowBorderDxfId="1489">
  <autoFilter ref="K34:M41" xr:uid="{00000000-0009-0000-0100-00001F000000}"/>
  <tableColumns count="3">
    <tableColumn id="1" xr3:uid="{00000000-0010-0000-1100-000001000000}" name="OS" dataDxfId="1488"/>
    <tableColumn id="2" xr3:uid="{00000000-0010-0000-1100-000002000000}" name="Parcelas" dataDxfId="1487"/>
    <tableColumn id="3" xr3:uid="{00000000-0010-0000-1100-000003000000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vend4" displayName="vend4" ref="E5:I22" totalsRowShown="0" headerRowDxfId="1485" dataDxfId="1483" headerRowBorderDxfId="1484" tableBorderDxfId="1482" totalsRowBorderDxfId="1481">
  <autoFilter ref="E5:I22" xr:uid="{00000000-0009-0000-0100-000011000000}"/>
  <sortState xmlns:xlrd2="http://schemas.microsoft.com/office/spreadsheetml/2017/richdata2" ref="E6:I22">
    <sortCondition ref="E5:E22"/>
  </sortState>
  <tableColumns count="5">
    <tableColumn id="1" xr3:uid="{00000000-0010-0000-1200-000001000000}" name="Nº Venda" dataDxfId="1480" dataCellStyle="Moeda"/>
    <tableColumn id="5" xr3:uid="{00000000-0010-0000-1200-000005000000}" name="Cliente" dataDxfId="1479" dataCellStyle="Moeda"/>
    <tableColumn id="2" xr3:uid="{00000000-0010-0000-1200-000002000000}" name="Forma de Pgto" dataDxfId="1478" dataCellStyle="Moeda"/>
    <tableColumn id="3" xr3:uid="{00000000-0010-0000-1200-000003000000}" name="Valor Venda" dataDxfId="1477" dataCellStyle="Porcentagem"/>
    <tableColumn id="4" xr3:uid="{00000000-0010-0000-1200-000004000000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3000000}" name="desp4" displayName="desp4" ref="K5:M11" totalsRowShown="0" headerRowDxfId="1475" dataDxfId="1473" headerRowBorderDxfId="1474" tableBorderDxfId="1472" totalsRowBorderDxfId="1471">
  <autoFilter ref="K5:M11" xr:uid="{00000000-0009-0000-0100-000012000000}"/>
  <tableColumns count="3">
    <tableColumn id="1" xr3:uid="{00000000-0010-0000-1300-000001000000}" name="Descrição" dataDxfId="1470"/>
    <tableColumn id="2" xr3:uid="{00000000-0010-0000-1300-000002000000}" name="Tipo de Pagto" dataDxfId="1469"/>
    <tableColumn id="3" xr3:uid="{00000000-0010-0000-1300-000003000000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4000000}" name="rest_entr4" displayName="rest_entr4" ref="E25:I31" totalsRowShown="0" headerRowDxfId="1467" dataDxfId="1465" headerRowBorderDxfId="1466" tableBorderDxfId="1464" totalsRowBorderDxfId="1463">
  <autoFilter ref="E25:I31" xr:uid="{00000000-0009-0000-0100-000013000000}"/>
  <sortState xmlns:xlrd2="http://schemas.microsoft.com/office/spreadsheetml/2017/richdata2" ref="E26:I31">
    <sortCondition ref="E25:E31"/>
  </sortState>
  <tableColumns count="5">
    <tableColumn id="1" xr3:uid="{00000000-0010-0000-1400-000001000000}" name="Nº Venda" dataDxfId="1462"/>
    <tableColumn id="2" xr3:uid="{00000000-0010-0000-1400-000002000000}" name="Cliente" dataDxfId="1461"/>
    <tableColumn id="3" xr3:uid="{00000000-0010-0000-1400-000003000000}" name="Forma de Pgto" dataDxfId="1460" dataCellStyle="Moeda"/>
    <tableColumn id="4" xr3:uid="{00000000-0010-0000-1400-000004000000}" name="Valor Venda" dataDxfId="1459" dataCellStyle="Porcentagem"/>
    <tableColumn id="5" xr3:uid="{00000000-0010-0000-1400-000005000000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os_entr_dia4" displayName="os_entr_dia4" ref="K14:M31" totalsRowShown="0" headerRowDxfId="1457" dataDxfId="1455" headerRowBorderDxfId="1456" tableBorderDxfId="1454" totalsRowBorderDxfId="1453">
  <autoFilter ref="K14:M31" xr:uid="{00000000-0009-0000-0100-000017000000}"/>
  <tableColumns count="3">
    <tableColumn id="1" xr3:uid="{00000000-0010-0000-1500-000001000000}" name="OS" dataDxfId="1452"/>
    <tableColumn id="2" xr3:uid="{00000000-0010-0000-1500-000002000000}" name="Vendedor" dataDxfId="1451"/>
    <tableColumn id="3" xr3:uid="{00000000-0010-0000-1500-00000300000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rec_carn4" displayName="rec_carn4" ref="E34:I41" totalsRowShown="0" headerRowDxfId="1449" dataDxfId="1447" headerRowBorderDxfId="1448" tableBorderDxfId="1446" totalsRowBorderDxfId="1445">
  <autoFilter ref="E34:I41" xr:uid="{00000000-0009-0000-0100-000018000000}"/>
  <sortState xmlns:xlrd2="http://schemas.microsoft.com/office/spreadsheetml/2017/richdata2" ref="E35:I40">
    <sortCondition ref="E25:E31"/>
  </sortState>
  <tableColumns count="5">
    <tableColumn id="1" xr3:uid="{00000000-0010-0000-1600-000001000000}" name="OS" dataDxfId="1444"/>
    <tableColumn id="2" xr3:uid="{00000000-0010-0000-1600-000002000000}" name="Cliente" dataDxfId="1443"/>
    <tableColumn id="3" xr3:uid="{00000000-0010-0000-1600-000003000000}" name="Forma de Pgto" dataDxfId="1442" dataCellStyle="Moeda"/>
    <tableColumn id="4" xr3:uid="{00000000-0010-0000-1600-000004000000}" name="Valor Parcela" dataDxfId="1441" dataCellStyle="Porcentagem"/>
    <tableColumn id="5" xr3:uid="{00000000-0010-0000-1600-000005000000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7000000}" name="entr_carn4" displayName="entr_carn4" ref="K34:M41" totalsRowShown="0" headerRowDxfId="1439" headerRowBorderDxfId="1438" tableBorderDxfId="1437" totalsRowBorderDxfId="1436">
  <autoFilter ref="K34:M41" xr:uid="{00000000-0009-0000-0100-000019000000}"/>
  <tableColumns count="3">
    <tableColumn id="1" xr3:uid="{00000000-0010-0000-1700-000001000000}" name="OS" dataDxfId="1435"/>
    <tableColumn id="2" xr3:uid="{00000000-0010-0000-1700-000002000000}" name="Parcelas" dataDxfId="1434"/>
    <tableColumn id="3" xr3:uid="{00000000-0010-0000-1700-000003000000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8000000}" name="vend5" displayName="vend5" ref="E5:I22" totalsRowShown="0" headerRowDxfId="1432" dataDxfId="1430" headerRowBorderDxfId="1431" tableBorderDxfId="1429" totalsRowBorderDxfId="1428">
  <autoFilter ref="E5:I22" xr:uid="{00000000-0009-0000-0100-00000B000000}"/>
  <sortState xmlns:xlrd2="http://schemas.microsoft.com/office/spreadsheetml/2017/richdata2" ref="E6:I22">
    <sortCondition ref="E5:E22"/>
  </sortState>
  <tableColumns count="5">
    <tableColumn id="1" xr3:uid="{00000000-0010-0000-1800-000001000000}" name="Nº Venda" dataDxfId="1427" dataCellStyle="Moeda"/>
    <tableColumn id="5" xr3:uid="{00000000-0010-0000-1800-000005000000}" name="Cliente" dataDxfId="1426" dataCellStyle="Moeda"/>
    <tableColumn id="2" xr3:uid="{00000000-0010-0000-1800-000002000000}" name="Forma de Pgto" dataDxfId="1425" dataCellStyle="Moeda"/>
    <tableColumn id="3" xr3:uid="{00000000-0010-0000-1800-000003000000}" name="Valor Venda" dataDxfId="1424" dataCellStyle="Porcentagem"/>
    <tableColumn id="4" xr3:uid="{00000000-0010-0000-1800-000004000000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9000000}" name="desp5" displayName="desp5" ref="K5:M11" totalsRowShown="0" headerRowDxfId="1422" dataDxfId="1420" headerRowBorderDxfId="1421" tableBorderDxfId="1419" totalsRowBorderDxfId="1418">
  <autoFilter ref="K5:M11" xr:uid="{00000000-0009-0000-0100-00000C000000}"/>
  <tableColumns count="3">
    <tableColumn id="1" xr3:uid="{00000000-0010-0000-1900-000001000000}" name="Descrição" dataDxfId="1417"/>
    <tableColumn id="2" xr3:uid="{00000000-0010-0000-1900-000002000000}" name="Tipo de Pagto" dataDxfId="1416"/>
    <tableColumn id="3" xr3:uid="{00000000-0010-0000-1900-000003000000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1A000000}" name="rest_entr5" displayName="rest_entr5" ref="E25:I31" totalsRowShown="0" headerRowDxfId="1414" dataDxfId="1412" headerRowBorderDxfId="1413" tableBorderDxfId="1411" totalsRowBorderDxfId="1410">
  <autoFilter ref="E25:I31" xr:uid="{00000000-0009-0000-0100-00000D000000}"/>
  <sortState xmlns:xlrd2="http://schemas.microsoft.com/office/spreadsheetml/2017/richdata2" ref="E26:I31">
    <sortCondition ref="E25:E31"/>
  </sortState>
  <tableColumns count="5">
    <tableColumn id="1" xr3:uid="{00000000-0010-0000-1A00-000001000000}" name="Nº Venda" dataDxfId="1409"/>
    <tableColumn id="2" xr3:uid="{00000000-0010-0000-1A00-000002000000}" name="Cliente" dataDxfId="1408"/>
    <tableColumn id="3" xr3:uid="{00000000-0010-0000-1A00-000003000000}" name="Forma de Pgto" dataDxfId="1407" dataCellStyle="Moeda"/>
    <tableColumn id="4" xr3:uid="{00000000-0010-0000-1A00-000004000000}" name="Valor Venda" dataDxfId="1406" dataCellStyle="Porcentagem"/>
    <tableColumn id="5" xr3:uid="{00000000-0010-0000-1A00-000005000000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B000000}" name="os_entr_dia5" displayName="os_entr_dia5" ref="K14:M31" totalsRowShown="0" headerRowDxfId="1404" dataDxfId="1402" headerRowBorderDxfId="1403" tableBorderDxfId="1401" totalsRowBorderDxfId="1400">
  <autoFilter ref="K14:M31" xr:uid="{00000000-0009-0000-0100-00000E000000}"/>
  <tableColumns count="3">
    <tableColumn id="1" xr3:uid="{00000000-0010-0000-1B00-000001000000}" name="OS" dataDxfId="1399"/>
    <tableColumn id="2" xr3:uid="{00000000-0010-0000-1B00-000002000000}" name="Vendedor" dataDxfId="1398"/>
    <tableColumn id="3" xr3:uid="{00000000-0010-0000-1B00-000003000000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C000000}" name="rec_carn5" displayName="rec_carn5" ref="E34:I41" totalsRowShown="0" headerRowDxfId="1396" dataDxfId="1394" headerRowBorderDxfId="1395" tableBorderDxfId="1393" totalsRowBorderDxfId="1392">
  <autoFilter ref="E34:I41" xr:uid="{00000000-0009-0000-0100-00000F000000}"/>
  <sortState xmlns:xlrd2="http://schemas.microsoft.com/office/spreadsheetml/2017/richdata2" ref="E35:I40">
    <sortCondition ref="E25:E31"/>
  </sortState>
  <tableColumns count="5">
    <tableColumn id="1" xr3:uid="{00000000-0010-0000-1C00-000001000000}" name="OS" dataDxfId="1391"/>
    <tableColumn id="2" xr3:uid="{00000000-0010-0000-1C00-000002000000}" name="Cliente" dataDxfId="1390"/>
    <tableColumn id="3" xr3:uid="{00000000-0010-0000-1C00-000003000000}" name="Forma de Pgto" dataDxfId="1389" dataCellStyle="Moeda"/>
    <tableColumn id="4" xr3:uid="{00000000-0010-0000-1C00-000004000000}" name="Valor Parcela" dataDxfId="1388" dataCellStyle="Porcentagem"/>
    <tableColumn id="5" xr3:uid="{00000000-0010-0000-1C00-000005000000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D000000}" name="entr_carn5" displayName="entr_carn5" ref="K34:M41" totalsRowShown="0" headerRowDxfId="1386" headerRowBorderDxfId="1385" tableBorderDxfId="1384" totalsRowBorderDxfId="1383">
  <autoFilter ref="K34:M41" xr:uid="{00000000-0009-0000-0100-000010000000}"/>
  <tableColumns count="3">
    <tableColumn id="1" xr3:uid="{00000000-0010-0000-1D00-000001000000}" name="OS" dataDxfId="1382"/>
    <tableColumn id="2" xr3:uid="{00000000-0010-0000-1D00-000002000000}" name="Parcelas" dataDxfId="1381"/>
    <tableColumn id="3" xr3:uid="{00000000-0010-0000-1D00-000003000000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E000000}" name="vend" displayName="vend" ref="E5:I22" totalsRowShown="0" headerRowDxfId="1379" dataDxfId="1377" headerRowBorderDxfId="1378" tableBorderDxfId="1376" totalsRowBorderDxfId="1375">
  <autoFilter ref="E5:I22" xr:uid="{00000000-0009-0000-0100-000005000000}"/>
  <sortState xmlns:xlrd2="http://schemas.microsoft.com/office/spreadsheetml/2017/richdata2" ref="E6:I22">
    <sortCondition ref="E5:E22"/>
  </sortState>
  <tableColumns count="5">
    <tableColumn id="1" xr3:uid="{00000000-0010-0000-1E00-000001000000}" name="Nº Venda" dataDxfId="1374" dataCellStyle="Moeda"/>
    <tableColumn id="5" xr3:uid="{00000000-0010-0000-1E00-000005000000}" name="Cliente" dataDxfId="1373" dataCellStyle="Moeda"/>
    <tableColumn id="2" xr3:uid="{00000000-0010-0000-1E00-000002000000}" name="Forma de Pgto" dataDxfId="1372" dataCellStyle="Moeda"/>
    <tableColumn id="3" xr3:uid="{00000000-0010-0000-1E00-000003000000}" name="Valor Venda" dataDxfId="1371" dataCellStyle="Porcentagem"/>
    <tableColumn id="4" xr3:uid="{00000000-0010-0000-1E00-000004000000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F000000}" name="desp6" displayName="desp6" ref="K5:M11" totalsRowShown="0" headerRowDxfId="1369" dataDxfId="1367" headerRowBorderDxfId="1368" tableBorderDxfId="1366" totalsRowBorderDxfId="1365">
  <autoFilter ref="K5:M11" xr:uid="{00000000-0009-0000-0100-000006000000}"/>
  <tableColumns count="3">
    <tableColumn id="1" xr3:uid="{00000000-0010-0000-1F00-000001000000}" name="Descrição" dataDxfId="1364"/>
    <tableColumn id="2" xr3:uid="{00000000-0010-0000-1F00-000002000000}" name="Tipo de Pagto" dataDxfId="1363"/>
    <tableColumn id="3" xr3:uid="{00000000-0010-0000-1F00-000003000000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20000000}" name="rest_entr6" displayName="rest_entr6" ref="E25:I31" totalsRowShown="0" headerRowDxfId="1361" dataDxfId="1359" headerRowBorderDxfId="1360" tableBorderDxfId="1358" totalsRowBorderDxfId="1357">
  <autoFilter ref="E25:I31" xr:uid="{00000000-0009-0000-0100-000007000000}"/>
  <sortState xmlns:xlrd2="http://schemas.microsoft.com/office/spreadsheetml/2017/richdata2" ref="E26:I31">
    <sortCondition ref="E25:E31"/>
  </sortState>
  <tableColumns count="5">
    <tableColumn id="1" xr3:uid="{00000000-0010-0000-2000-000001000000}" name="Nº Venda" dataDxfId="1356"/>
    <tableColumn id="2" xr3:uid="{00000000-0010-0000-2000-000002000000}" name="Cliente" dataDxfId="1355"/>
    <tableColumn id="3" xr3:uid="{00000000-0010-0000-2000-000003000000}" name="Forma de Pgto" dataDxfId="1354" dataCellStyle="Moeda"/>
    <tableColumn id="4" xr3:uid="{00000000-0010-0000-2000-000004000000}" name="Valor Venda" dataDxfId="1353" dataCellStyle="Porcentagem"/>
    <tableColumn id="5" xr3:uid="{00000000-0010-0000-2000-000005000000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1000000}" name="os_entr_dia6" displayName="os_entr_dia6" ref="K14:M31" totalsRowShown="0" headerRowDxfId="1351" dataDxfId="1349" headerRowBorderDxfId="1350" tableBorderDxfId="1348" totalsRowBorderDxfId="1347">
  <autoFilter ref="K14:M31" xr:uid="{00000000-0009-0000-0100-000008000000}"/>
  <tableColumns count="3">
    <tableColumn id="1" xr3:uid="{00000000-0010-0000-2100-000001000000}" name="OS" dataDxfId="1346"/>
    <tableColumn id="2" xr3:uid="{00000000-0010-0000-2100-000002000000}" name="Vendedor" dataDxfId="1345"/>
    <tableColumn id="3" xr3:uid="{00000000-0010-0000-2100-000003000000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2000000}" name="rec_carn6" displayName="rec_carn6" ref="E34:I41" totalsRowShown="0" headerRowDxfId="1343" dataDxfId="1341" headerRowBorderDxfId="1342" tableBorderDxfId="1340" totalsRowBorderDxfId="1339">
  <autoFilter ref="E34:I41" xr:uid="{00000000-0009-0000-0100-000009000000}"/>
  <sortState xmlns:xlrd2="http://schemas.microsoft.com/office/spreadsheetml/2017/richdata2" ref="E35:I40">
    <sortCondition ref="E25:E31"/>
  </sortState>
  <tableColumns count="5">
    <tableColumn id="1" xr3:uid="{00000000-0010-0000-2200-000001000000}" name="OS" dataDxfId="1338"/>
    <tableColumn id="2" xr3:uid="{00000000-0010-0000-2200-000002000000}" name="Cliente" dataDxfId="1337"/>
    <tableColumn id="3" xr3:uid="{00000000-0010-0000-2200-000003000000}" name="Forma de Pgto" dataDxfId="1336" dataCellStyle="Moeda"/>
    <tableColumn id="4" xr3:uid="{00000000-0010-0000-2200-000004000000}" name="Valor Parcela" dataDxfId="1335" dataCellStyle="Porcentagem"/>
    <tableColumn id="5" xr3:uid="{00000000-0010-0000-2200-000005000000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3000000}" name="entr_carn6" displayName="entr_carn6" ref="K34:M41" totalsRowShown="0" headerRowDxfId="1333" headerRowBorderDxfId="1332" tableBorderDxfId="1331" totalsRowBorderDxfId="1330">
  <autoFilter ref="K34:M41" xr:uid="{00000000-0009-0000-0100-00000A000000}"/>
  <tableColumns count="3">
    <tableColumn id="1" xr3:uid="{00000000-0010-0000-2300-000001000000}" name="OS" dataDxfId="1329"/>
    <tableColumn id="2" xr3:uid="{00000000-0010-0000-2300-000002000000}" name="Parcelas" dataDxfId="1328"/>
    <tableColumn id="3" xr3:uid="{00000000-0010-0000-2300-000003000000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4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2400-000001000000}" name="Nº Venda" dataDxfId="1321" dataCellStyle="Moeda"/>
    <tableColumn id="5" xr3:uid="{00000000-0010-0000-2400-000005000000}" name="Cliente" dataDxfId="1320" dataCellStyle="Moeda"/>
    <tableColumn id="2" xr3:uid="{00000000-0010-0000-2400-000002000000}" name="Forma de Pgto" dataDxfId="1319" dataCellStyle="Moeda"/>
    <tableColumn id="3" xr3:uid="{00000000-0010-0000-2400-000003000000}" name="Valor Venda" dataDxfId="1318" dataCellStyle="Porcentagem"/>
    <tableColumn id="4" xr3:uid="{00000000-0010-0000-24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25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2500-000001000000}" name="Descrição" dataDxfId="1311"/>
    <tableColumn id="2" xr3:uid="{00000000-0010-0000-2500-000002000000}" name="Tipo de Pagto" dataDxfId="1310"/>
    <tableColumn id="3" xr3:uid="{00000000-0010-0000-25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6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2600-000001000000}" name="Nº Venda" dataDxfId="1303"/>
    <tableColumn id="2" xr3:uid="{00000000-0010-0000-2600-000002000000}" name="Cliente" dataDxfId="1302"/>
    <tableColumn id="3" xr3:uid="{00000000-0010-0000-2600-000003000000}" name="Forma de Pgto" dataDxfId="1301" dataCellStyle="Moeda"/>
    <tableColumn id="4" xr3:uid="{00000000-0010-0000-2600-000004000000}" name="Valor Venda" dataDxfId="1300" dataCellStyle="Porcentagem"/>
    <tableColumn id="5" xr3:uid="{00000000-0010-0000-26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27000000}" name="os_entr_dia7" displayName="os_entr_dia7" ref="K14:M31" totalsRowShown="0" headerRowDxfId="1298" dataDxfId="1296" headerRowBorderDxfId="1297" tableBorderDxfId="1295" totalsRowBorderDxfId="1294">
  <autoFilter ref="K14:M31" xr:uid="{00000000-0009-0000-0100-000050000000}"/>
  <tableColumns count="3">
    <tableColumn id="1" xr3:uid="{00000000-0010-0000-2700-000001000000}" name="OS" dataDxfId="1293"/>
    <tableColumn id="2" xr3:uid="{00000000-0010-0000-2700-000002000000}" name="Vendedor" dataDxfId="1292"/>
    <tableColumn id="3" xr3:uid="{00000000-0010-0000-2700-000003000000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28000000}" name="rec_carn7" displayName="rec_carn7" ref="E34:I41" totalsRowShown="0" headerRowDxfId="1290" dataDxfId="1288" headerRowBorderDxfId="1289" tableBorderDxfId="1287" totalsRowBorderDxfId="1286">
  <autoFilter ref="E34:I41" xr:uid="{00000000-0009-0000-0100-000002000000}"/>
  <sortState xmlns:xlrd2="http://schemas.microsoft.com/office/spreadsheetml/2017/richdata2" ref="E35:I40">
    <sortCondition ref="E25:E31"/>
  </sortState>
  <tableColumns count="5">
    <tableColumn id="1" xr3:uid="{00000000-0010-0000-2800-000001000000}" name="OS" dataDxfId="1285"/>
    <tableColumn id="2" xr3:uid="{00000000-0010-0000-2800-000002000000}" name="Cliente" dataDxfId="1284"/>
    <tableColumn id="3" xr3:uid="{00000000-0010-0000-2800-000003000000}" name="Forma de Pgto" dataDxfId="1283" dataCellStyle="Moeda"/>
    <tableColumn id="4" xr3:uid="{00000000-0010-0000-2800-000004000000}" name="Valor Parcela" dataDxfId="1282" dataCellStyle="Porcentagem"/>
    <tableColumn id="5" xr3:uid="{00000000-0010-0000-2800-000005000000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29000000}" name="entr_carn7" displayName="entr_carn7" ref="K34:M41" totalsRowShown="0" headerRowDxfId="1280" headerRowBorderDxfId="1279" tableBorderDxfId="1278" totalsRowBorderDxfId="1277">
  <autoFilter ref="K34:M41" xr:uid="{00000000-0009-0000-0100-000004000000}"/>
  <tableColumns count="3">
    <tableColumn id="1" xr3:uid="{00000000-0010-0000-2900-000001000000}" name="OS" dataDxfId="1276"/>
    <tableColumn id="2" xr3:uid="{00000000-0010-0000-2900-000002000000}" name="Parcelas" dataDxfId="1275"/>
    <tableColumn id="3" xr3:uid="{00000000-0010-0000-2900-000003000000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A000000}" name="vend8" displayName="vend8" ref="E5:I22" totalsRowShown="0" headerRowDxfId="1273" dataDxfId="1271" headerRowBorderDxfId="1272" tableBorderDxfId="1270" totalsRowBorderDxfId="1269">
  <autoFilter ref="E5:I22" xr:uid="{00000000-0009-0000-0100-000038000000}"/>
  <sortState xmlns:xlrd2="http://schemas.microsoft.com/office/spreadsheetml/2017/richdata2" ref="E6:I22">
    <sortCondition ref="E5:E22"/>
  </sortState>
  <tableColumns count="5">
    <tableColumn id="1" xr3:uid="{00000000-0010-0000-2A00-000001000000}" name="Nº Venda" dataDxfId="1268" dataCellStyle="Moeda"/>
    <tableColumn id="5" xr3:uid="{00000000-0010-0000-2A00-000005000000}" name="Cliente" dataDxfId="1267" dataCellStyle="Moeda"/>
    <tableColumn id="2" xr3:uid="{00000000-0010-0000-2A00-000002000000}" name="Forma de Pgto" dataDxfId="1266" dataCellStyle="Moeda"/>
    <tableColumn id="3" xr3:uid="{00000000-0010-0000-2A00-000003000000}" name="Valor Venda" dataDxfId="1265" dataCellStyle="Porcentagem"/>
    <tableColumn id="4" xr3:uid="{00000000-0010-0000-2A00-000004000000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B000000}" name="desp8" displayName="desp8" ref="K5:M11" totalsRowShown="0" headerRowDxfId="1263" dataDxfId="1261" headerRowBorderDxfId="1262" tableBorderDxfId="1260" totalsRowBorderDxfId="1259">
  <autoFilter ref="K5:M11" xr:uid="{00000000-0009-0000-0100-000039000000}"/>
  <tableColumns count="3">
    <tableColumn id="1" xr3:uid="{00000000-0010-0000-2B00-000001000000}" name="Descrição" dataDxfId="1258"/>
    <tableColumn id="2" xr3:uid="{00000000-0010-0000-2B00-000002000000}" name="Tipo de Pagto" dataDxfId="1257"/>
    <tableColumn id="3" xr3:uid="{00000000-0010-0000-2B00-000003000000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C000000}" name="rest_entr8" displayName="rest_entr8" ref="E25:I31" totalsRowShown="0" headerRowDxfId="1255" dataDxfId="1253" headerRowBorderDxfId="1254" tableBorderDxfId="1252" totalsRowBorderDxfId="1251">
  <autoFilter ref="E25:I31" xr:uid="{00000000-0009-0000-0100-00003A000000}"/>
  <sortState xmlns:xlrd2="http://schemas.microsoft.com/office/spreadsheetml/2017/richdata2" ref="E26:I31">
    <sortCondition ref="E25:E31"/>
  </sortState>
  <tableColumns count="5">
    <tableColumn id="1" xr3:uid="{00000000-0010-0000-2C00-000001000000}" name="Nº Venda" dataDxfId="1250"/>
    <tableColumn id="2" xr3:uid="{00000000-0010-0000-2C00-000002000000}" name="Cliente" dataDxfId="1249"/>
    <tableColumn id="3" xr3:uid="{00000000-0010-0000-2C00-000003000000}" name="Forma de Pgto" dataDxfId="1248" dataCellStyle="Moeda"/>
    <tableColumn id="4" xr3:uid="{00000000-0010-0000-2C00-000004000000}" name="Valor Venda" dataDxfId="1247" dataCellStyle="Porcentagem"/>
    <tableColumn id="5" xr3:uid="{00000000-0010-0000-2C00-000005000000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D000000}" name="os_entr_dia8" displayName="os_entr_dia8" ref="K14:M31" totalsRowShown="0" headerRowDxfId="1245" dataDxfId="1243" headerRowBorderDxfId="1244" tableBorderDxfId="1242" totalsRowBorderDxfId="1241">
  <autoFilter ref="K14:M31" xr:uid="{00000000-0009-0000-0100-00003B000000}"/>
  <tableColumns count="3">
    <tableColumn id="1" xr3:uid="{00000000-0010-0000-2D00-000001000000}" name="OS" dataDxfId="1240"/>
    <tableColumn id="2" xr3:uid="{00000000-0010-0000-2D00-000002000000}" name="Vendedor" dataDxfId="1239"/>
    <tableColumn id="3" xr3:uid="{00000000-0010-0000-2D00-000003000000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2E000000}" name="rec_carn8" displayName="rec_carn8" ref="E34:I41" totalsRowShown="0" headerRowDxfId="1237" dataDxfId="1235" headerRowBorderDxfId="1236" tableBorderDxfId="1234" totalsRowBorderDxfId="1233">
  <autoFilter ref="E34:I41" xr:uid="{00000000-0009-0000-0100-00003C000000}"/>
  <sortState xmlns:xlrd2="http://schemas.microsoft.com/office/spreadsheetml/2017/richdata2" ref="E35:I40">
    <sortCondition ref="E25:E31"/>
  </sortState>
  <tableColumns count="5">
    <tableColumn id="1" xr3:uid="{00000000-0010-0000-2E00-000001000000}" name="OS" dataDxfId="1232"/>
    <tableColumn id="2" xr3:uid="{00000000-0010-0000-2E00-000002000000}" name="Cliente" dataDxfId="1231"/>
    <tableColumn id="3" xr3:uid="{00000000-0010-0000-2E00-000003000000}" name="Forma de Pgto" dataDxfId="1230" dataCellStyle="Moeda"/>
    <tableColumn id="4" xr3:uid="{00000000-0010-0000-2E00-000004000000}" name="Valor Parcela" dataDxfId="1229" dataCellStyle="Porcentagem"/>
    <tableColumn id="5" xr3:uid="{00000000-0010-0000-2E00-00000500000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2F000000}" name="entr_carn8" displayName="entr_carn8" ref="K34:M41" totalsRowShown="0" headerRowDxfId="1227" headerRowBorderDxfId="1226" tableBorderDxfId="1225" totalsRowBorderDxfId="1224">
  <autoFilter ref="K34:M41" xr:uid="{00000000-0009-0000-0100-00003D000000}"/>
  <tableColumns count="3">
    <tableColumn id="1" xr3:uid="{00000000-0010-0000-2F00-000001000000}" name="OS" dataDxfId="1223"/>
    <tableColumn id="2" xr3:uid="{00000000-0010-0000-2F00-000002000000}" name="Parcelas" dataDxfId="1222"/>
    <tableColumn id="3" xr3:uid="{00000000-0010-0000-2F00-000003000000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0000000}" name="vend9" displayName="vend9" ref="E5:I22" totalsRowShown="0" headerRowDxfId="1220" dataDxfId="1218" headerRowBorderDxfId="1219" tableBorderDxfId="1217" totalsRowBorderDxfId="1216">
  <autoFilter ref="E5:I22" xr:uid="{00000000-0009-0000-0100-000032000000}"/>
  <sortState xmlns:xlrd2="http://schemas.microsoft.com/office/spreadsheetml/2017/richdata2" ref="E6:I22">
    <sortCondition ref="E5:E22"/>
  </sortState>
  <tableColumns count="5">
    <tableColumn id="1" xr3:uid="{00000000-0010-0000-3000-000001000000}" name="Nº Venda" dataDxfId="1215" dataCellStyle="Moeda"/>
    <tableColumn id="5" xr3:uid="{00000000-0010-0000-3000-000005000000}" name="Cliente" dataDxfId="1214" dataCellStyle="Moeda"/>
    <tableColumn id="2" xr3:uid="{00000000-0010-0000-3000-000002000000}" name="Forma de Pgto" dataDxfId="1213" dataCellStyle="Moeda"/>
    <tableColumn id="3" xr3:uid="{00000000-0010-0000-3000-000003000000}" name="Valor Venda" dataDxfId="1212" dataCellStyle="Porcentagem"/>
    <tableColumn id="4" xr3:uid="{00000000-0010-0000-3000-000004000000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1000000}" name="desp9" displayName="desp9" ref="K5:M11" totalsRowShown="0" headerRowDxfId="1210" dataDxfId="1208" headerRowBorderDxfId="1209" tableBorderDxfId="1207" totalsRowBorderDxfId="1206">
  <autoFilter ref="K5:M11" xr:uid="{00000000-0009-0000-0100-000033000000}"/>
  <tableColumns count="3">
    <tableColumn id="1" xr3:uid="{00000000-0010-0000-3100-000001000000}" name="Descrição" dataDxfId="1205"/>
    <tableColumn id="2" xr3:uid="{00000000-0010-0000-3100-000002000000}" name="Tipo de Pagto" dataDxfId="1204"/>
    <tableColumn id="3" xr3:uid="{00000000-0010-0000-3100-000003000000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2000000}" name="rest_entr9" displayName="rest_entr9" ref="E25:I31" totalsRowShown="0" headerRowDxfId="1202" dataDxfId="1200" headerRowBorderDxfId="1201" tableBorderDxfId="1199" totalsRowBorderDxfId="1198">
  <autoFilter ref="E25:I31" xr:uid="{00000000-0009-0000-0100-000034000000}"/>
  <sortState xmlns:xlrd2="http://schemas.microsoft.com/office/spreadsheetml/2017/richdata2" ref="E26:I31">
    <sortCondition ref="E25:E31"/>
  </sortState>
  <tableColumns count="5">
    <tableColumn id="1" xr3:uid="{00000000-0010-0000-3200-000001000000}" name="Nº Venda" dataDxfId="1197"/>
    <tableColumn id="2" xr3:uid="{00000000-0010-0000-3200-000002000000}" name="Cliente" dataDxfId="1196"/>
    <tableColumn id="3" xr3:uid="{00000000-0010-0000-3200-000003000000}" name="Forma de Pgto" dataDxfId="1195" dataCellStyle="Moeda"/>
    <tableColumn id="4" xr3:uid="{00000000-0010-0000-3200-000004000000}" name="Valor Venda" dataDxfId="1194" dataCellStyle="Porcentagem"/>
    <tableColumn id="5" xr3:uid="{00000000-0010-0000-3200-000005000000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3000000}" name="os_entr_dia9" displayName="os_entr_dia9" ref="K14:M31" totalsRowShown="0" headerRowDxfId="1192" dataDxfId="1190" headerRowBorderDxfId="1191" tableBorderDxfId="1189" totalsRowBorderDxfId="1188">
  <autoFilter ref="K14:M31" xr:uid="{00000000-0009-0000-0100-000035000000}"/>
  <tableColumns count="3">
    <tableColumn id="1" xr3:uid="{00000000-0010-0000-3300-000001000000}" name="OS" dataDxfId="1187"/>
    <tableColumn id="2" xr3:uid="{00000000-0010-0000-3300-000002000000}" name="Vendedor" dataDxfId="1186"/>
    <tableColumn id="3" xr3:uid="{00000000-0010-0000-3300-00000300000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4000000}" name="rec_carn9" displayName="rec_carn9" ref="E34:I41" totalsRowShown="0" headerRowDxfId="1184" dataDxfId="1182" headerRowBorderDxfId="1183" tableBorderDxfId="1181" totalsRowBorderDxfId="1180">
  <autoFilter ref="E34:I41" xr:uid="{00000000-0009-0000-0100-000036000000}"/>
  <sortState xmlns:xlrd2="http://schemas.microsoft.com/office/spreadsheetml/2017/richdata2" ref="E35:I40">
    <sortCondition ref="E25:E31"/>
  </sortState>
  <tableColumns count="5">
    <tableColumn id="1" xr3:uid="{00000000-0010-0000-3400-000001000000}" name="OS" dataDxfId="1179"/>
    <tableColumn id="2" xr3:uid="{00000000-0010-0000-3400-000002000000}" name="Cliente" dataDxfId="1178"/>
    <tableColumn id="3" xr3:uid="{00000000-0010-0000-3400-000003000000}" name="Forma de Pgto" dataDxfId="1177" dataCellStyle="Moeda"/>
    <tableColumn id="4" xr3:uid="{00000000-0010-0000-3400-000004000000}" name="Valor Parcela" dataDxfId="1176" dataCellStyle="Porcentagem"/>
    <tableColumn id="5" xr3:uid="{00000000-0010-0000-3400-000005000000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5000000}" name="entr_carn9" displayName="entr_carn9" ref="K34:M41" totalsRowShown="0" headerRowDxfId="1174" headerRowBorderDxfId="1173" tableBorderDxfId="1172" totalsRowBorderDxfId="1171">
  <autoFilter ref="K34:M41" xr:uid="{00000000-0009-0000-0100-000037000000}"/>
  <tableColumns count="3">
    <tableColumn id="1" xr3:uid="{00000000-0010-0000-3500-000001000000}" name="OS" dataDxfId="1170"/>
    <tableColumn id="2" xr3:uid="{00000000-0010-0000-3500-000002000000}" name="Parcelas" dataDxfId="1169"/>
    <tableColumn id="3" xr3:uid="{00000000-0010-0000-3500-000003000000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6000000}" name="vend10" displayName="vend10" ref="E5:I22" totalsRowShown="0" headerRowDxfId="1167" dataDxfId="1165" headerRowBorderDxfId="1166" tableBorderDxfId="1164" totalsRowBorderDxfId="1163">
  <autoFilter ref="E5:I22" xr:uid="{00000000-0009-0000-0100-00002C000000}"/>
  <sortState xmlns:xlrd2="http://schemas.microsoft.com/office/spreadsheetml/2017/richdata2" ref="E6:I22">
    <sortCondition ref="E5:E22"/>
  </sortState>
  <tableColumns count="5">
    <tableColumn id="1" xr3:uid="{00000000-0010-0000-3600-000001000000}" name="Nº Venda" dataDxfId="1162" dataCellStyle="Moeda"/>
    <tableColumn id="5" xr3:uid="{00000000-0010-0000-3600-000005000000}" name="Cliente" dataDxfId="1161" dataCellStyle="Moeda"/>
    <tableColumn id="2" xr3:uid="{00000000-0010-0000-3600-000002000000}" name="Forma de Pgto" dataDxfId="1160" dataCellStyle="Moeda"/>
    <tableColumn id="3" xr3:uid="{00000000-0010-0000-3600-000003000000}" name="Valor Venda" dataDxfId="1159" dataCellStyle="Porcentagem"/>
    <tableColumn id="4" xr3:uid="{00000000-0010-0000-3600-000004000000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37000000}" name="desp10" displayName="desp10" ref="K5:M11" totalsRowShown="0" headerRowDxfId="1157" dataDxfId="1155" headerRowBorderDxfId="1156" tableBorderDxfId="1154" totalsRowBorderDxfId="1153">
  <autoFilter ref="K5:M11" xr:uid="{00000000-0009-0000-0100-00002D000000}"/>
  <tableColumns count="3">
    <tableColumn id="1" xr3:uid="{00000000-0010-0000-3700-000001000000}" name="Descrição" dataDxfId="1152"/>
    <tableColumn id="2" xr3:uid="{00000000-0010-0000-3700-000002000000}" name="Tipo de Pagto" dataDxfId="1151"/>
    <tableColumn id="3" xr3:uid="{00000000-0010-0000-3700-000003000000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38000000}" name="rest_entr10" displayName="rest_entr10" ref="E25:I31" totalsRowShown="0" headerRowDxfId="1149" dataDxfId="1147" headerRowBorderDxfId="1148" tableBorderDxfId="1146" totalsRowBorderDxfId="1145">
  <autoFilter ref="E25:I31" xr:uid="{00000000-0009-0000-0100-00002E000000}"/>
  <sortState xmlns:xlrd2="http://schemas.microsoft.com/office/spreadsheetml/2017/richdata2" ref="E26:I31">
    <sortCondition ref="E25:E31"/>
  </sortState>
  <tableColumns count="5">
    <tableColumn id="1" xr3:uid="{00000000-0010-0000-3800-000001000000}" name="Nº Venda" dataDxfId="1144"/>
    <tableColumn id="2" xr3:uid="{00000000-0010-0000-3800-000002000000}" name="Cliente" dataDxfId="1143"/>
    <tableColumn id="3" xr3:uid="{00000000-0010-0000-3800-000003000000}" name="Forma de Pgto" dataDxfId="1142" dataCellStyle="Moeda"/>
    <tableColumn id="4" xr3:uid="{00000000-0010-0000-3800-000004000000}" name="Valor Venda" dataDxfId="1141" dataCellStyle="Porcentagem"/>
    <tableColumn id="5" xr3:uid="{00000000-0010-0000-3800-000005000000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9000000}" name="os_entr_dia10" displayName="os_entr_dia10" ref="K14:M31" totalsRowShown="0" headerRowDxfId="1139" dataDxfId="1137" headerRowBorderDxfId="1138" tableBorderDxfId="1136" totalsRowBorderDxfId="1135">
  <autoFilter ref="K14:M31" xr:uid="{00000000-0009-0000-0100-00002F000000}"/>
  <tableColumns count="3">
    <tableColumn id="1" xr3:uid="{00000000-0010-0000-3900-000001000000}" name="OS" dataDxfId="1134"/>
    <tableColumn id="2" xr3:uid="{00000000-0010-0000-3900-000002000000}" name="Vendedor" dataDxfId="1133"/>
    <tableColumn id="3" xr3:uid="{00000000-0010-0000-3900-000003000000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3A000000}" name="rec_carn10" displayName="rec_carn10" ref="E34:I41" totalsRowShown="0" headerRowDxfId="1131" dataDxfId="1129" headerRowBorderDxfId="1130" tableBorderDxfId="1128" totalsRowBorderDxfId="1127">
  <autoFilter ref="E34:I41" xr:uid="{00000000-0009-0000-0100-000030000000}"/>
  <sortState xmlns:xlrd2="http://schemas.microsoft.com/office/spreadsheetml/2017/richdata2" ref="E35:I40">
    <sortCondition ref="E25:E31"/>
  </sortState>
  <tableColumns count="5">
    <tableColumn id="1" xr3:uid="{00000000-0010-0000-3A00-000001000000}" name="OS" dataDxfId="1126"/>
    <tableColumn id="2" xr3:uid="{00000000-0010-0000-3A00-000002000000}" name="Cliente" dataDxfId="1125"/>
    <tableColumn id="3" xr3:uid="{00000000-0010-0000-3A00-000003000000}" name="Forma de Pgto" dataDxfId="1124" dataCellStyle="Moeda"/>
    <tableColumn id="4" xr3:uid="{00000000-0010-0000-3A00-000004000000}" name="Valor Parcela" dataDxfId="1123" dataCellStyle="Porcentagem"/>
    <tableColumn id="5" xr3:uid="{00000000-0010-0000-3A00-000005000000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B000000}" name="entr_carn10" displayName="entr_carn10" ref="K34:M41" totalsRowShown="0" headerRowDxfId="1121" headerRowBorderDxfId="1120" tableBorderDxfId="1119" totalsRowBorderDxfId="1118">
  <autoFilter ref="K34:M41" xr:uid="{00000000-0009-0000-0100-000031000000}"/>
  <tableColumns count="3">
    <tableColumn id="1" xr3:uid="{00000000-0010-0000-3B00-000001000000}" name="OS" dataDxfId="1117"/>
    <tableColumn id="2" xr3:uid="{00000000-0010-0000-3B00-000002000000}" name="Parcelas" dataDxfId="1116"/>
    <tableColumn id="3" xr3:uid="{00000000-0010-0000-3B00-000003000000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C000000}" name="vend11" displayName="vend11" ref="E5:I22" totalsRowShown="0" headerRowDxfId="1114" dataDxfId="1112" headerRowBorderDxfId="1113" tableBorderDxfId="1111" totalsRowBorderDxfId="1110">
  <autoFilter ref="E5:I22" xr:uid="{00000000-0009-0000-0100-000044000000}"/>
  <sortState xmlns:xlrd2="http://schemas.microsoft.com/office/spreadsheetml/2017/richdata2" ref="E6:I22">
    <sortCondition ref="E5:E22"/>
  </sortState>
  <tableColumns count="5">
    <tableColumn id="1" xr3:uid="{00000000-0010-0000-3C00-000001000000}" name="Nº Venda" dataDxfId="1109" dataCellStyle="Moeda"/>
    <tableColumn id="5" xr3:uid="{00000000-0010-0000-3C00-000005000000}" name="Cliente" dataDxfId="1108" dataCellStyle="Moeda"/>
    <tableColumn id="2" xr3:uid="{00000000-0010-0000-3C00-000002000000}" name="Forma de Pgto" dataDxfId="1107" dataCellStyle="Moeda"/>
    <tableColumn id="3" xr3:uid="{00000000-0010-0000-3C00-000003000000}" name="Valor Venda" dataDxfId="1106" dataCellStyle="Porcentagem"/>
    <tableColumn id="4" xr3:uid="{00000000-0010-0000-3C00-000004000000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3D000000}" name="desp11" displayName="desp11" ref="K5:M11" totalsRowShown="0" headerRowDxfId="1104" dataDxfId="1102" headerRowBorderDxfId="1103" tableBorderDxfId="1101" totalsRowBorderDxfId="1100">
  <autoFilter ref="K5:M11" xr:uid="{00000000-0009-0000-0100-000045000000}"/>
  <tableColumns count="3">
    <tableColumn id="1" xr3:uid="{00000000-0010-0000-3D00-000001000000}" name="Descrição" dataDxfId="1099"/>
    <tableColumn id="2" xr3:uid="{00000000-0010-0000-3D00-000002000000}" name="Tipo de Pagto" dataDxfId="1098"/>
    <tableColumn id="3" xr3:uid="{00000000-0010-0000-3D00-000003000000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3E000000}" name="rest_entr11" displayName="rest_entr11" ref="E25:I31" totalsRowShown="0" headerRowDxfId="1096" dataDxfId="1094" headerRowBorderDxfId="1095" tableBorderDxfId="1093" totalsRowBorderDxfId="1092">
  <autoFilter ref="E25:I31" xr:uid="{00000000-0009-0000-0100-000046000000}"/>
  <sortState xmlns:xlrd2="http://schemas.microsoft.com/office/spreadsheetml/2017/richdata2" ref="E26:I31">
    <sortCondition ref="E25:E31"/>
  </sortState>
  <tableColumns count="5">
    <tableColumn id="1" xr3:uid="{00000000-0010-0000-3E00-000001000000}" name="Nº Venda" dataDxfId="1091"/>
    <tableColumn id="2" xr3:uid="{00000000-0010-0000-3E00-000002000000}" name="Cliente" dataDxfId="1090"/>
    <tableColumn id="3" xr3:uid="{00000000-0010-0000-3E00-000003000000}" name="Forma de Pgto" dataDxfId="1089" dataCellStyle="Moeda"/>
    <tableColumn id="4" xr3:uid="{00000000-0010-0000-3E00-000004000000}" name="Valor Venda" dataDxfId="1088" dataCellStyle="Porcentagem"/>
    <tableColumn id="5" xr3:uid="{00000000-0010-0000-3E00-000005000000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3F000000}" name="os_entr_dia11" displayName="os_entr_dia11" ref="K14:M31" totalsRowShown="0" headerRowDxfId="1086" dataDxfId="1084" headerRowBorderDxfId="1085" tableBorderDxfId="1083" totalsRowBorderDxfId="1082">
  <autoFilter ref="K14:M31" xr:uid="{00000000-0009-0000-0100-000047000000}"/>
  <tableColumns count="3">
    <tableColumn id="1" xr3:uid="{00000000-0010-0000-3F00-000001000000}" name="OS" dataDxfId="1081"/>
    <tableColumn id="2" xr3:uid="{00000000-0010-0000-3F00-000002000000}" name="Vendedor" dataDxfId="1080"/>
    <tableColumn id="3" xr3:uid="{00000000-0010-0000-3F00-000003000000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0000000}" name="rec_carn11" displayName="rec_carn11" ref="E34:I41" totalsRowShown="0" headerRowDxfId="1078" dataDxfId="1076" headerRowBorderDxfId="1077" tableBorderDxfId="1075" totalsRowBorderDxfId="1074">
  <autoFilter ref="E34:I41" xr:uid="{00000000-0009-0000-0100-000048000000}"/>
  <sortState xmlns:xlrd2="http://schemas.microsoft.com/office/spreadsheetml/2017/richdata2" ref="E35:I40">
    <sortCondition ref="E25:E31"/>
  </sortState>
  <tableColumns count="5">
    <tableColumn id="1" xr3:uid="{00000000-0010-0000-4000-000001000000}" name="OS" dataDxfId="1073"/>
    <tableColumn id="2" xr3:uid="{00000000-0010-0000-4000-000002000000}" name="Cliente" dataDxfId="1072"/>
    <tableColumn id="3" xr3:uid="{00000000-0010-0000-4000-000003000000}" name="Forma de Pgto" dataDxfId="1071" dataCellStyle="Moeda"/>
    <tableColumn id="4" xr3:uid="{00000000-0010-0000-4000-000004000000}" name="Valor Parcela" dataDxfId="1070" dataCellStyle="Porcentagem"/>
    <tableColumn id="5" xr3:uid="{00000000-0010-0000-4000-000005000000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1000000}" name="entr_carn11" displayName="entr_carn11" ref="K34:M41" totalsRowShown="0" headerRowDxfId="1068" headerRowBorderDxfId="1067" tableBorderDxfId="1066" totalsRowBorderDxfId="1065">
  <autoFilter ref="K34:M41" xr:uid="{00000000-0009-0000-0100-000049000000}"/>
  <tableColumns count="3">
    <tableColumn id="1" xr3:uid="{00000000-0010-0000-4100-000001000000}" name="OS" dataDxfId="1064"/>
    <tableColumn id="2" xr3:uid="{00000000-0010-0000-4100-000002000000}" name="Parcelas" dataDxfId="1063"/>
    <tableColumn id="3" xr3:uid="{00000000-0010-0000-4100-000003000000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42000000}" name="vend12" displayName="vend12" ref="E5:I22" totalsRowShown="0" headerRowDxfId="1061" dataDxfId="1059" headerRowBorderDxfId="1060" tableBorderDxfId="1058" totalsRowBorderDxfId="1057">
  <autoFilter ref="E5:I22" xr:uid="{00000000-0009-0000-0100-000051000000}"/>
  <sortState xmlns:xlrd2="http://schemas.microsoft.com/office/spreadsheetml/2017/richdata2" ref="E6:I22">
    <sortCondition ref="E5:E22"/>
  </sortState>
  <tableColumns count="5">
    <tableColumn id="1" xr3:uid="{00000000-0010-0000-4200-000001000000}" name="Nº Venda" dataDxfId="1056" dataCellStyle="Moeda"/>
    <tableColumn id="5" xr3:uid="{00000000-0010-0000-4200-000005000000}" name="Cliente" dataDxfId="1055" dataCellStyle="Moeda"/>
    <tableColumn id="2" xr3:uid="{00000000-0010-0000-4200-000002000000}" name="Forma de Pgto" dataDxfId="1054" dataCellStyle="Moeda"/>
    <tableColumn id="3" xr3:uid="{00000000-0010-0000-4200-000003000000}" name="Valor Venda" dataDxfId="1053" dataCellStyle="Porcentagem"/>
    <tableColumn id="4" xr3:uid="{00000000-0010-0000-4200-000004000000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43000000}" name="desp12" displayName="desp12" ref="K5:M11" totalsRowShown="0" headerRowDxfId="1051" dataDxfId="1049" headerRowBorderDxfId="1050" tableBorderDxfId="1048" totalsRowBorderDxfId="1047">
  <autoFilter ref="K5:M11" xr:uid="{00000000-0009-0000-0100-000052000000}"/>
  <tableColumns count="3">
    <tableColumn id="1" xr3:uid="{00000000-0010-0000-4300-000001000000}" name="Descrição" dataDxfId="1046"/>
    <tableColumn id="2" xr3:uid="{00000000-0010-0000-4300-000002000000}" name="Tipo de Pagto" dataDxfId="1045"/>
    <tableColumn id="3" xr3:uid="{00000000-0010-0000-4300-000003000000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44000000}" name="rest_entr12" displayName="rest_entr12" ref="E25:I31" totalsRowShown="0" headerRowDxfId="1043" dataDxfId="1041" headerRowBorderDxfId="1042" tableBorderDxfId="1040" totalsRowBorderDxfId="1039">
  <autoFilter ref="E25:I31" xr:uid="{00000000-0009-0000-0100-000053000000}"/>
  <sortState xmlns:xlrd2="http://schemas.microsoft.com/office/spreadsheetml/2017/richdata2" ref="E26:I31">
    <sortCondition ref="E25:E31"/>
  </sortState>
  <tableColumns count="5">
    <tableColumn id="1" xr3:uid="{00000000-0010-0000-4400-000001000000}" name="Nº Venda" dataDxfId="1038"/>
    <tableColumn id="2" xr3:uid="{00000000-0010-0000-4400-000002000000}" name="Cliente" dataDxfId="1037"/>
    <tableColumn id="3" xr3:uid="{00000000-0010-0000-4400-000003000000}" name="Forma de Pgto" dataDxfId="1036" dataCellStyle="Moeda"/>
    <tableColumn id="4" xr3:uid="{00000000-0010-0000-4400-000004000000}" name="Valor Venda" dataDxfId="1035" dataCellStyle="Porcentagem"/>
    <tableColumn id="5" xr3:uid="{00000000-0010-0000-4400-000005000000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45000000}" name="os_entr_dia12" displayName="os_entr_dia12" ref="K14:M31" totalsRowShown="0" headerRowDxfId="1033" dataDxfId="1031" headerRowBorderDxfId="1032" tableBorderDxfId="1030" totalsRowBorderDxfId="1029">
  <autoFilter ref="K14:M31" xr:uid="{00000000-0009-0000-0100-000054000000}"/>
  <tableColumns count="3">
    <tableColumn id="1" xr3:uid="{00000000-0010-0000-4500-000001000000}" name="OS" dataDxfId="1028"/>
    <tableColumn id="2" xr3:uid="{00000000-0010-0000-4500-000002000000}" name="Vendedor" dataDxfId="1027"/>
    <tableColumn id="3" xr3:uid="{00000000-0010-0000-4500-000003000000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46000000}" name="rec_carn12" displayName="rec_carn12" ref="E34:I41" totalsRowShown="0" headerRowDxfId="1025" dataDxfId="1023" headerRowBorderDxfId="1024" tableBorderDxfId="1022" totalsRowBorderDxfId="1021">
  <autoFilter ref="E34:I41" xr:uid="{00000000-0009-0000-0100-000055000000}"/>
  <sortState xmlns:xlrd2="http://schemas.microsoft.com/office/spreadsheetml/2017/richdata2" ref="E35:I40">
    <sortCondition ref="E25:E31"/>
  </sortState>
  <tableColumns count="5">
    <tableColumn id="1" xr3:uid="{00000000-0010-0000-4600-000001000000}" name="OS" dataDxfId="1020"/>
    <tableColumn id="2" xr3:uid="{00000000-0010-0000-4600-000002000000}" name="Cliente" dataDxfId="1019"/>
    <tableColumn id="3" xr3:uid="{00000000-0010-0000-4600-000003000000}" name="Forma de Pgto" dataDxfId="1018" dataCellStyle="Moeda"/>
    <tableColumn id="4" xr3:uid="{00000000-0010-0000-4600-000004000000}" name="Valor Parcela" dataDxfId="1017" dataCellStyle="Porcentagem"/>
    <tableColumn id="5" xr3:uid="{00000000-0010-0000-4600-000005000000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47000000}" name="entr_carn12" displayName="entr_carn12" ref="K34:M41" totalsRowShown="0" headerRowDxfId="1015" headerRowBorderDxfId="1014" tableBorderDxfId="1013" totalsRowBorderDxfId="1012">
  <autoFilter ref="K34:M41" xr:uid="{00000000-0009-0000-0100-000056000000}"/>
  <tableColumns count="3">
    <tableColumn id="1" xr3:uid="{00000000-0010-0000-4700-000001000000}" name="OS" dataDxfId="1011"/>
    <tableColumn id="2" xr3:uid="{00000000-0010-0000-4700-000002000000}" name="Parcelas" dataDxfId="1010"/>
    <tableColumn id="3" xr3:uid="{00000000-0010-0000-4700-000003000000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48000000}" name="vend13" displayName="vend13" ref="E5:I22" totalsRowShown="0" headerRowDxfId="1008" dataDxfId="1006" headerRowBorderDxfId="1007" tableBorderDxfId="1005" totalsRowBorderDxfId="1004">
  <autoFilter ref="E5:I22" xr:uid="{00000000-0009-0000-0100-000057000000}"/>
  <sortState xmlns:xlrd2="http://schemas.microsoft.com/office/spreadsheetml/2017/richdata2" ref="E6:I22">
    <sortCondition ref="E5:E22"/>
  </sortState>
  <tableColumns count="5">
    <tableColumn id="1" xr3:uid="{00000000-0010-0000-4800-000001000000}" name="Nº Venda" dataDxfId="1003" dataCellStyle="Moeda"/>
    <tableColumn id="5" xr3:uid="{00000000-0010-0000-4800-000005000000}" name="Cliente" dataDxfId="1002" dataCellStyle="Moeda"/>
    <tableColumn id="2" xr3:uid="{00000000-0010-0000-4800-000002000000}" name="Forma de Pgto" dataDxfId="1001" dataCellStyle="Moeda"/>
    <tableColumn id="3" xr3:uid="{00000000-0010-0000-4800-000003000000}" name="Valor Venda" dataDxfId="1000" dataCellStyle="Porcentagem"/>
    <tableColumn id="4" xr3:uid="{00000000-0010-0000-4800-000004000000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49000000}" name="desp13" displayName="desp13" ref="K5:M11" totalsRowShown="0" headerRowDxfId="998" dataDxfId="996" headerRowBorderDxfId="997" tableBorderDxfId="995" totalsRowBorderDxfId="994">
  <autoFilter ref="K5:M11" xr:uid="{00000000-0009-0000-0100-000058000000}"/>
  <tableColumns count="3">
    <tableColumn id="1" xr3:uid="{00000000-0010-0000-4900-000001000000}" name="Descrição" dataDxfId="993"/>
    <tableColumn id="2" xr3:uid="{00000000-0010-0000-4900-000002000000}" name="Tipo de Pagto" dataDxfId="992"/>
    <tableColumn id="3" xr3:uid="{00000000-0010-0000-4900-000003000000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4A000000}" name="rest_entr13" displayName="rest_entr13" ref="E25:I31" totalsRowShown="0" headerRowDxfId="990" dataDxfId="988" headerRowBorderDxfId="989" tableBorderDxfId="987" totalsRowBorderDxfId="986">
  <autoFilter ref="E25:I31" xr:uid="{00000000-0009-0000-0100-000059000000}"/>
  <sortState xmlns:xlrd2="http://schemas.microsoft.com/office/spreadsheetml/2017/richdata2" ref="E26:I31">
    <sortCondition ref="E25:E31"/>
  </sortState>
  <tableColumns count="5">
    <tableColumn id="1" xr3:uid="{00000000-0010-0000-4A00-000001000000}" name="Nº Venda" dataDxfId="985"/>
    <tableColumn id="2" xr3:uid="{00000000-0010-0000-4A00-000002000000}" name="Cliente" dataDxfId="984"/>
    <tableColumn id="3" xr3:uid="{00000000-0010-0000-4A00-000003000000}" name="Forma de Pgto" dataDxfId="983" dataCellStyle="Moeda"/>
    <tableColumn id="4" xr3:uid="{00000000-0010-0000-4A00-000004000000}" name="Valor Venda" dataDxfId="982" dataCellStyle="Porcentagem"/>
    <tableColumn id="5" xr3:uid="{00000000-0010-0000-4A00-000005000000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4B000000}" name="os_entr_dia13" displayName="os_entr_dia13" ref="K14:M31" totalsRowShown="0" headerRowDxfId="980" dataDxfId="978" headerRowBorderDxfId="979" tableBorderDxfId="977" totalsRowBorderDxfId="976">
  <autoFilter ref="K14:M31" xr:uid="{00000000-0009-0000-0100-00005A000000}"/>
  <tableColumns count="3">
    <tableColumn id="1" xr3:uid="{00000000-0010-0000-4B00-000001000000}" name="OS" dataDxfId="975"/>
    <tableColumn id="2" xr3:uid="{00000000-0010-0000-4B00-000002000000}" name="Vendedor" dataDxfId="974"/>
    <tableColumn id="3" xr3:uid="{00000000-0010-0000-4B00-000003000000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4C000000}" name="rec_carn13" displayName="rec_carn13" ref="E34:I41" totalsRowShown="0" headerRowDxfId="972" dataDxfId="970" headerRowBorderDxfId="971" tableBorderDxfId="969" totalsRowBorderDxfId="968">
  <autoFilter ref="E34:I41" xr:uid="{00000000-0009-0000-0100-00005B000000}"/>
  <sortState xmlns:xlrd2="http://schemas.microsoft.com/office/spreadsheetml/2017/richdata2" ref="E35:I40">
    <sortCondition ref="E25:E31"/>
  </sortState>
  <tableColumns count="5">
    <tableColumn id="1" xr3:uid="{00000000-0010-0000-4C00-000001000000}" name="OS" dataDxfId="967"/>
    <tableColumn id="2" xr3:uid="{00000000-0010-0000-4C00-000002000000}" name="Cliente" dataDxfId="966"/>
    <tableColumn id="3" xr3:uid="{00000000-0010-0000-4C00-000003000000}" name="Forma de Pgto" dataDxfId="965" dataCellStyle="Moeda"/>
    <tableColumn id="4" xr3:uid="{00000000-0010-0000-4C00-000004000000}" name="Valor Parcela" dataDxfId="964" dataCellStyle="Porcentagem"/>
    <tableColumn id="5" xr3:uid="{00000000-0010-0000-4C00-000005000000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4D000000}" name="entr_carn13" displayName="entr_carn13" ref="K34:M41" totalsRowShown="0" headerRowDxfId="962" headerRowBorderDxfId="961" tableBorderDxfId="960" totalsRowBorderDxfId="959">
  <autoFilter ref="K34:M41" xr:uid="{00000000-0009-0000-0100-00005C000000}"/>
  <tableColumns count="3">
    <tableColumn id="1" xr3:uid="{00000000-0010-0000-4D00-000001000000}" name="OS" dataDxfId="958"/>
    <tableColumn id="2" xr3:uid="{00000000-0010-0000-4D00-000002000000}" name="Parcelas" dataDxfId="957"/>
    <tableColumn id="3" xr3:uid="{00000000-0010-0000-4D00-000003000000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E000000}" name="vend14" displayName="vend14" ref="E5:I22" totalsRowShown="0" headerRowDxfId="955" dataDxfId="953" headerRowBorderDxfId="954" tableBorderDxfId="952" totalsRowBorderDxfId="951">
  <autoFilter ref="E5:I22" xr:uid="{00000000-0009-0000-0100-00004A000000}"/>
  <sortState xmlns:xlrd2="http://schemas.microsoft.com/office/spreadsheetml/2017/richdata2" ref="E6:I22">
    <sortCondition ref="E5:E22"/>
  </sortState>
  <tableColumns count="5">
    <tableColumn id="1" xr3:uid="{00000000-0010-0000-4E00-000001000000}" name="Nº Venda" dataDxfId="950" dataCellStyle="Moeda"/>
    <tableColumn id="5" xr3:uid="{00000000-0010-0000-4E00-000005000000}" name="Cliente" dataDxfId="949" dataCellStyle="Moeda"/>
    <tableColumn id="2" xr3:uid="{00000000-0010-0000-4E00-000002000000}" name="Forma de Pgto" dataDxfId="948" dataCellStyle="Moeda"/>
    <tableColumn id="3" xr3:uid="{00000000-0010-0000-4E00-000003000000}" name="Valor Venda" dataDxfId="947" dataCellStyle="Porcentagem"/>
    <tableColumn id="4" xr3:uid="{00000000-0010-0000-4E00-000004000000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F000000}" name="desp14" displayName="desp14" ref="K5:M11" totalsRowShown="0" headerRowDxfId="945" dataDxfId="943" headerRowBorderDxfId="944" tableBorderDxfId="942" totalsRowBorderDxfId="941">
  <autoFilter ref="K5:M11" xr:uid="{00000000-0009-0000-0100-00004B000000}"/>
  <tableColumns count="3">
    <tableColumn id="1" xr3:uid="{00000000-0010-0000-4F00-000001000000}" name="Descrição" dataDxfId="940"/>
    <tableColumn id="2" xr3:uid="{00000000-0010-0000-4F00-000002000000}" name="Tipo de Pagto" dataDxfId="939"/>
    <tableColumn id="3" xr3:uid="{00000000-0010-0000-4F00-000003000000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50000000}" name="rest_entr14" displayName="rest_entr14" ref="E25:I31" totalsRowShown="0" headerRowDxfId="937" dataDxfId="935" headerRowBorderDxfId="936" tableBorderDxfId="934" totalsRowBorderDxfId="933">
  <autoFilter ref="E25:I31" xr:uid="{00000000-0009-0000-0100-00004C000000}"/>
  <sortState xmlns:xlrd2="http://schemas.microsoft.com/office/spreadsheetml/2017/richdata2" ref="E26:I31">
    <sortCondition ref="E25:E31"/>
  </sortState>
  <tableColumns count="5">
    <tableColumn id="1" xr3:uid="{00000000-0010-0000-5000-000001000000}" name="Nº Venda" dataDxfId="932"/>
    <tableColumn id="2" xr3:uid="{00000000-0010-0000-5000-000002000000}" name="Cliente" dataDxfId="931"/>
    <tableColumn id="3" xr3:uid="{00000000-0010-0000-5000-000003000000}" name="Forma de Pgto" dataDxfId="930" dataCellStyle="Moeda"/>
    <tableColumn id="4" xr3:uid="{00000000-0010-0000-5000-000004000000}" name="Valor Venda" dataDxfId="929" dataCellStyle="Porcentagem"/>
    <tableColumn id="5" xr3:uid="{00000000-0010-0000-5000-000005000000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51000000}" name="os_entr_dia14" displayName="os_entr_dia14" ref="K14:M31" totalsRowShown="0" headerRowDxfId="927" dataDxfId="925" headerRowBorderDxfId="926" tableBorderDxfId="924" totalsRowBorderDxfId="923">
  <autoFilter ref="K14:M31" xr:uid="{00000000-0009-0000-0100-00004D000000}"/>
  <tableColumns count="3">
    <tableColumn id="1" xr3:uid="{00000000-0010-0000-5100-000001000000}" name="OS" dataDxfId="922"/>
    <tableColumn id="2" xr3:uid="{00000000-0010-0000-5100-000002000000}" name="Vendedor" dataDxfId="921"/>
    <tableColumn id="3" xr3:uid="{00000000-0010-0000-5100-000003000000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52000000}" name="rec_carn14" displayName="rec_carn14" ref="E34:I41" totalsRowShown="0" headerRowDxfId="919" dataDxfId="917" headerRowBorderDxfId="918" tableBorderDxfId="916" totalsRowBorderDxfId="915">
  <autoFilter ref="E34:I41" xr:uid="{00000000-0009-0000-0100-00004E000000}"/>
  <sortState xmlns:xlrd2="http://schemas.microsoft.com/office/spreadsheetml/2017/richdata2" ref="E35:I40">
    <sortCondition ref="E25:E31"/>
  </sortState>
  <tableColumns count="5">
    <tableColumn id="1" xr3:uid="{00000000-0010-0000-5200-000001000000}" name="OS" dataDxfId="914"/>
    <tableColumn id="2" xr3:uid="{00000000-0010-0000-5200-000002000000}" name="Cliente" dataDxfId="913"/>
    <tableColumn id="3" xr3:uid="{00000000-0010-0000-5200-000003000000}" name="Forma de Pgto" dataDxfId="912" dataCellStyle="Moeda"/>
    <tableColumn id="4" xr3:uid="{00000000-0010-0000-5200-000004000000}" name="Valor Parcela" dataDxfId="911" dataCellStyle="Porcentagem"/>
    <tableColumn id="5" xr3:uid="{00000000-0010-0000-5200-000005000000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53000000}" name="entr_carn14" displayName="entr_carn14" ref="K34:M41" totalsRowShown="0" headerRowDxfId="909" headerRowBorderDxfId="908" tableBorderDxfId="907" totalsRowBorderDxfId="906">
  <autoFilter ref="K34:M41" xr:uid="{00000000-0009-0000-0100-00004F000000}"/>
  <tableColumns count="3">
    <tableColumn id="1" xr3:uid="{00000000-0010-0000-5300-000001000000}" name="OS" dataDxfId="905"/>
    <tableColumn id="2" xr3:uid="{00000000-0010-0000-5300-000002000000}" name="Parcelas" dataDxfId="904"/>
    <tableColumn id="3" xr3:uid="{00000000-0010-0000-5300-000003000000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54000000}" name="vend15" displayName="vend15" ref="E5:I22" totalsRowShown="0" headerRowDxfId="902" dataDxfId="900" headerRowBorderDxfId="901" tableBorderDxfId="899" totalsRowBorderDxfId="898">
  <autoFilter ref="E5:I22" xr:uid="{00000000-0009-0000-0100-00003E000000}"/>
  <sortState xmlns:xlrd2="http://schemas.microsoft.com/office/spreadsheetml/2017/richdata2" ref="E6:I22">
    <sortCondition ref="E5:E22"/>
  </sortState>
  <tableColumns count="5">
    <tableColumn id="1" xr3:uid="{00000000-0010-0000-5400-000001000000}" name="Nº Venda" dataDxfId="897" dataCellStyle="Moeda"/>
    <tableColumn id="5" xr3:uid="{00000000-0010-0000-5400-000005000000}" name="Cliente" dataDxfId="896" dataCellStyle="Moeda"/>
    <tableColumn id="2" xr3:uid="{00000000-0010-0000-5400-000002000000}" name="Forma de Pgto" dataDxfId="895" dataCellStyle="Moeda"/>
    <tableColumn id="3" xr3:uid="{00000000-0010-0000-5400-000003000000}" name="Valor Venda" dataDxfId="894" dataCellStyle="Porcentagem"/>
    <tableColumn id="4" xr3:uid="{00000000-0010-0000-5400-000004000000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55000000}" name="desp15" displayName="desp15" ref="K5:M11" totalsRowShown="0" headerRowDxfId="892" dataDxfId="890" headerRowBorderDxfId="891" tableBorderDxfId="889" totalsRowBorderDxfId="888">
  <autoFilter ref="K5:M11" xr:uid="{00000000-0009-0000-0100-00003F000000}"/>
  <tableColumns count="3">
    <tableColumn id="1" xr3:uid="{00000000-0010-0000-5500-000001000000}" name="Descrição" dataDxfId="887"/>
    <tableColumn id="2" xr3:uid="{00000000-0010-0000-5500-000002000000}" name="Tipo de Pagto" dataDxfId="886"/>
    <tableColumn id="3" xr3:uid="{00000000-0010-0000-5500-000003000000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56000000}" name="rest_entr15" displayName="rest_entr15" ref="E25:I31" totalsRowShown="0" headerRowDxfId="884" dataDxfId="882" headerRowBorderDxfId="883" tableBorderDxfId="881" totalsRowBorderDxfId="880">
  <autoFilter ref="E25:I31" xr:uid="{00000000-0009-0000-0100-000040000000}"/>
  <sortState xmlns:xlrd2="http://schemas.microsoft.com/office/spreadsheetml/2017/richdata2" ref="E26:I31">
    <sortCondition ref="E25:E31"/>
  </sortState>
  <tableColumns count="5">
    <tableColumn id="1" xr3:uid="{00000000-0010-0000-5600-000001000000}" name="Nº Venda" dataDxfId="879"/>
    <tableColumn id="2" xr3:uid="{00000000-0010-0000-5600-000002000000}" name="Cliente" dataDxfId="878"/>
    <tableColumn id="3" xr3:uid="{00000000-0010-0000-5600-000003000000}" name="Forma de Pgto" dataDxfId="877" dataCellStyle="Moeda"/>
    <tableColumn id="4" xr3:uid="{00000000-0010-0000-5600-000004000000}" name="Valor Venda" dataDxfId="876" dataCellStyle="Porcentagem"/>
    <tableColumn id="5" xr3:uid="{00000000-0010-0000-5600-000005000000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57000000}" name="os_entr_dia15" displayName="os_entr_dia15" ref="K14:M31" totalsRowShown="0" headerRowDxfId="874" dataDxfId="872" headerRowBorderDxfId="873" tableBorderDxfId="871" totalsRowBorderDxfId="870">
  <autoFilter ref="K14:M31" xr:uid="{00000000-0009-0000-0100-000041000000}"/>
  <tableColumns count="3">
    <tableColumn id="1" xr3:uid="{00000000-0010-0000-5700-000001000000}" name="OS" dataDxfId="869"/>
    <tableColumn id="2" xr3:uid="{00000000-0010-0000-5700-000002000000}" name="Vendedor" dataDxfId="868"/>
    <tableColumn id="3" xr3:uid="{00000000-0010-0000-5700-000003000000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58000000}" name="rec_carn15" displayName="rec_carn15" ref="E34:I41" totalsRowShown="0" headerRowDxfId="866" dataDxfId="864" headerRowBorderDxfId="865" tableBorderDxfId="863" totalsRowBorderDxfId="862">
  <autoFilter ref="E34:I41" xr:uid="{00000000-0009-0000-0100-000042000000}"/>
  <sortState xmlns:xlrd2="http://schemas.microsoft.com/office/spreadsheetml/2017/richdata2" ref="E35:I40">
    <sortCondition ref="E25:E31"/>
  </sortState>
  <tableColumns count="5">
    <tableColumn id="1" xr3:uid="{00000000-0010-0000-5800-000001000000}" name="OS" dataDxfId="861"/>
    <tableColumn id="2" xr3:uid="{00000000-0010-0000-5800-000002000000}" name="Cliente" dataDxfId="860"/>
    <tableColumn id="3" xr3:uid="{00000000-0010-0000-5800-000003000000}" name="Forma de Pgto" dataDxfId="859" dataCellStyle="Moeda"/>
    <tableColumn id="4" xr3:uid="{00000000-0010-0000-5800-000004000000}" name="Valor Parcela" dataDxfId="858" dataCellStyle="Porcentagem"/>
    <tableColumn id="5" xr3:uid="{00000000-0010-0000-5800-000005000000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59000000}" name="entr_carn15" displayName="entr_carn15" ref="K34:M41" totalsRowShown="0" headerRowDxfId="856" headerRowBorderDxfId="855" tableBorderDxfId="854" totalsRowBorderDxfId="853">
  <autoFilter ref="K34:M41" xr:uid="{00000000-0009-0000-0100-000043000000}"/>
  <tableColumns count="3">
    <tableColumn id="1" xr3:uid="{00000000-0010-0000-5900-000001000000}" name="OS" dataDxfId="852"/>
    <tableColumn id="2" xr3:uid="{00000000-0010-0000-5900-000002000000}" name="Parcelas" dataDxfId="851"/>
    <tableColumn id="3" xr3:uid="{00000000-0010-0000-5900-00000300000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A000000}" name="vend16" displayName="vend16" ref="E5:I22" totalsRowShown="0" headerRowDxfId="849" dataDxfId="847" headerRowBorderDxfId="848" tableBorderDxfId="846" totalsRowBorderDxfId="845">
  <autoFilter ref="E5:I22" xr:uid="{00000000-0009-0000-0100-00005D000000}"/>
  <sortState xmlns:xlrd2="http://schemas.microsoft.com/office/spreadsheetml/2017/richdata2" ref="E6:I22">
    <sortCondition ref="E5:E22"/>
  </sortState>
  <tableColumns count="5">
    <tableColumn id="1" xr3:uid="{00000000-0010-0000-5A00-000001000000}" name="Nº Venda" dataDxfId="844" dataCellStyle="Moeda"/>
    <tableColumn id="5" xr3:uid="{00000000-0010-0000-5A00-000005000000}" name="Cliente" dataDxfId="843" dataCellStyle="Moeda"/>
    <tableColumn id="2" xr3:uid="{00000000-0010-0000-5A00-000002000000}" name="Forma de Pgto" dataDxfId="842" dataCellStyle="Moeda"/>
    <tableColumn id="3" xr3:uid="{00000000-0010-0000-5A00-000003000000}" name="Valor Venda" dataDxfId="841" dataCellStyle="Porcentagem"/>
    <tableColumn id="4" xr3:uid="{00000000-0010-0000-5A00-000004000000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B000000}" name="desp16" displayName="desp16" ref="K5:M11" totalsRowShown="0" headerRowDxfId="839" dataDxfId="837" headerRowBorderDxfId="838" tableBorderDxfId="836" totalsRowBorderDxfId="835">
  <autoFilter ref="K5:M11" xr:uid="{00000000-0009-0000-0100-00005E000000}"/>
  <tableColumns count="3">
    <tableColumn id="1" xr3:uid="{00000000-0010-0000-5B00-000001000000}" name="Descrição" dataDxfId="834"/>
    <tableColumn id="2" xr3:uid="{00000000-0010-0000-5B00-000002000000}" name="Tipo de Pagto" dataDxfId="833"/>
    <tableColumn id="3" xr3:uid="{00000000-0010-0000-5B00-000003000000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C000000}" name="rest_entr16" displayName="rest_entr16" ref="E25:I31" totalsRowShown="0" headerRowDxfId="831" dataDxfId="829" headerRowBorderDxfId="830" tableBorderDxfId="828" totalsRowBorderDxfId="827">
  <autoFilter ref="E25:I31" xr:uid="{00000000-0009-0000-0100-00005F000000}"/>
  <sortState xmlns:xlrd2="http://schemas.microsoft.com/office/spreadsheetml/2017/richdata2" ref="E26:I31">
    <sortCondition ref="E25:E31"/>
  </sortState>
  <tableColumns count="5">
    <tableColumn id="1" xr3:uid="{00000000-0010-0000-5C00-000001000000}" name="Nº Venda" dataDxfId="826"/>
    <tableColumn id="2" xr3:uid="{00000000-0010-0000-5C00-000002000000}" name="Cliente" dataDxfId="825"/>
    <tableColumn id="3" xr3:uid="{00000000-0010-0000-5C00-000003000000}" name="Forma de Pgto" dataDxfId="824" dataCellStyle="Moeda"/>
    <tableColumn id="4" xr3:uid="{00000000-0010-0000-5C00-000004000000}" name="Valor Venda" dataDxfId="823" dataCellStyle="Porcentagem"/>
    <tableColumn id="5" xr3:uid="{00000000-0010-0000-5C00-000005000000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D000000}" name="os_entr_dia16" displayName="os_entr_dia16" ref="K14:M31" totalsRowShown="0" headerRowDxfId="821" dataDxfId="819" headerRowBorderDxfId="820" tableBorderDxfId="818" totalsRowBorderDxfId="817">
  <autoFilter ref="K14:M31" xr:uid="{00000000-0009-0000-0100-000060000000}"/>
  <tableColumns count="3">
    <tableColumn id="1" xr3:uid="{00000000-0010-0000-5D00-000001000000}" name="OS" dataDxfId="816"/>
    <tableColumn id="2" xr3:uid="{00000000-0010-0000-5D00-000002000000}" name="Vendedor" dataDxfId="815"/>
    <tableColumn id="3" xr3:uid="{00000000-0010-0000-5D00-000003000000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5E000000}" name="rec_carn16" displayName="rec_carn16" ref="E34:I41" totalsRowShown="0" headerRowDxfId="813" dataDxfId="811" headerRowBorderDxfId="812" tableBorderDxfId="810" totalsRowBorderDxfId="809">
  <autoFilter ref="E34:I41" xr:uid="{00000000-0009-0000-0100-000061000000}"/>
  <sortState xmlns:xlrd2="http://schemas.microsoft.com/office/spreadsheetml/2017/richdata2" ref="E35:I40">
    <sortCondition ref="E25:E31"/>
  </sortState>
  <tableColumns count="5">
    <tableColumn id="1" xr3:uid="{00000000-0010-0000-5E00-000001000000}" name="OS" dataDxfId="808"/>
    <tableColumn id="2" xr3:uid="{00000000-0010-0000-5E00-000002000000}" name="Cliente" dataDxfId="807"/>
    <tableColumn id="3" xr3:uid="{00000000-0010-0000-5E00-000003000000}" name="Forma de Pgto" dataDxfId="806" dataCellStyle="Moeda"/>
    <tableColumn id="4" xr3:uid="{00000000-0010-0000-5E00-000004000000}" name="Valor Parcela" dataDxfId="805" dataCellStyle="Porcentagem"/>
    <tableColumn id="5" xr3:uid="{00000000-0010-0000-5E00-000005000000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5F000000}" name="entr_carn16" displayName="entr_carn16" ref="K34:M41" totalsRowShown="0" headerRowDxfId="803" headerRowBorderDxfId="802" tableBorderDxfId="801" totalsRowBorderDxfId="800">
  <autoFilter ref="K34:M41" xr:uid="{00000000-0009-0000-0100-000062000000}"/>
  <tableColumns count="3">
    <tableColumn id="1" xr3:uid="{00000000-0010-0000-5F00-000001000000}" name="OS" dataDxfId="799"/>
    <tableColumn id="2" xr3:uid="{00000000-0010-0000-5F00-000002000000}" name="Parcelas" dataDxfId="798"/>
    <tableColumn id="3" xr3:uid="{00000000-0010-0000-5F00-000003000000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0000000}" name="vend17" displayName="vend17" ref="E5:I22" totalsRowShown="0" headerRowDxfId="796" dataDxfId="794" headerRowBorderDxfId="795" tableBorderDxfId="793" totalsRowBorderDxfId="792">
  <autoFilter ref="E5:I22" xr:uid="{00000000-0009-0000-0100-000063000000}"/>
  <sortState xmlns:xlrd2="http://schemas.microsoft.com/office/spreadsheetml/2017/richdata2" ref="E6:I22">
    <sortCondition ref="E5:E22"/>
  </sortState>
  <tableColumns count="5">
    <tableColumn id="1" xr3:uid="{00000000-0010-0000-6000-000001000000}" name="Nº Venda" dataDxfId="791" dataCellStyle="Moeda"/>
    <tableColumn id="5" xr3:uid="{00000000-0010-0000-6000-000005000000}" name="Cliente" dataDxfId="790" dataCellStyle="Moeda"/>
    <tableColumn id="2" xr3:uid="{00000000-0010-0000-6000-000002000000}" name="Forma de Pgto" dataDxfId="789" dataCellStyle="Moeda"/>
    <tableColumn id="3" xr3:uid="{00000000-0010-0000-6000-000003000000}" name="Valor Venda" dataDxfId="788" dataCellStyle="Porcentagem"/>
    <tableColumn id="4" xr3:uid="{00000000-0010-0000-6000-000004000000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1000000}" name="desp17" displayName="desp17" ref="K5:M11" totalsRowShown="0" headerRowDxfId="786" dataDxfId="784" headerRowBorderDxfId="785" tableBorderDxfId="783" totalsRowBorderDxfId="782">
  <autoFilter ref="K5:M11" xr:uid="{00000000-0009-0000-0100-000064000000}"/>
  <tableColumns count="3">
    <tableColumn id="1" xr3:uid="{00000000-0010-0000-6100-000001000000}" name="Descrição" dataDxfId="781"/>
    <tableColumn id="2" xr3:uid="{00000000-0010-0000-6100-000002000000}" name="Tipo de Pagto" dataDxfId="780"/>
    <tableColumn id="3" xr3:uid="{00000000-0010-0000-6100-000003000000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2000000}" name="rest_entr17" displayName="rest_entr17" ref="E25:I31" totalsRowShown="0" headerRowDxfId="778" dataDxfId="776" headerRowBorderDxfId="777" tableBorderDxfId="775" totalsRowBorderDxfId="774">
  <autoFilter ref="E25:I31" xr:uid="{00000000-0009-0000-0100-000065000000}"/>
  <sortState xmlns:xlrd2="http://schemas.microsoft.com/office/spreadsheetml/2017/richdata2" ref="E26:I31">
    <sortCondition ref="E25:E31"/>
  </sortState>
  <tableColumns count="5">
    <tableColumn id="1" xr3:uid="{00000000-0010-0000-6200-000001000000}" name="Nº Venda" dataDxfId="773"/>
    <tableColumn id="2" xr3:uid="{00000000-0010-0000-6200-000002000000}" name="Cliente" dataDxfId="772"/>
    <tableColumn id="3" xr3:uid="{00000000-0010-0000-6200-000003000000}" name="Forma de Pgto" dataDxfId="771" dataCellStyle="Moeda"/>
    <tableColumn id="4" xr3:uid="{00000000-0010-0000-6200-000004000000}" name="Valor Venda" dataDxfId="770" dataCellStyle="Porcentagem"/>
    <tableColumn id="5" xr3:uid="{00000000-0010-0000-6200-000005000000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3000000}" name="os_entr_dia17" displayName="os_entr_dia17" ref="K14:M31" totalsRowShown="0" headerRowDxfId="768" dataDxfId="766" headerRowBorderDxfId="767" tableBorderDxfId="765" totalsRowBorderDxfId="764">
  <autoFilter ref="K14:M31" xr:uid="{00000000-0009-0000-0100-000066000000}"/>
  <tableColumns count="3">
    <tableColumn id="1" xr3:uid="{00000000-0010-0000-6300-000001000000}" name="OS" dataDxfId="763"/>
    <tableColumn id="2" xr3:uid="{00000000-0010-0000-6300-000002000000}" name="Vendedor" dataDxfId="762"/>
    <tableColumn id="3" xr3:uid="{00000000-0010-0000-6300-000003000000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4000000}" name="rec_carn17" displayName="rec_carn17" ref="E34:I41" totalsRowShown="0" headerRowDxfId="760" dataDxfId="758" headerRowBorderDxfId="759" tableBorderDxfId="757" totalsRowBorderDxfId="756">
  <autoFilter ref="E34:I41" xr:uid="{00000000-0009-0000-0100-000067000000}"/>
  <sortState xmlns:xlrd2="http://schemas.microsoft.com/office/spreadsheetml/2017/richdata2" ref="E35:I40">
    <sortCondition ref="E25:E31"/>
  </sortState>
  <tableColumns count="5">
    <tableColumn id="1" xr3:uid="{00000000-0010-0000-6400-000001000000}" name="OS" dataDxfId="755"/>
    <tableColumn id="2" xr3:uid="{00000000-0010-0000-6400-000002000000}" name="Cliente" dataDxfId="754"/>
    <tableColumn id="3" xr3:uid="{00000000-0010-0000-6400-000003000000}" name="Forma de Pgto" dataDxfId="753" dataCellStyle="Moeda"/>
    <tableColumn id="4" xr3:uid="{00000000-0010-0000-6400-000004000000}" name="Valor Parcela" dataDxfId="752" dataCellStyle="Porcentagem"/>
    <tableColumn id="5" xr3:uid="{00000000-0010-0000-6400-000005000000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5000000}" name="entr_carn17" displayName="entr_carn17" ref="K34:M41" totalsRowShown="0" headerRowDxfId="750" headerRowBorderDxfId="749" tableBorderDxfId="748" totalsRowBorderDxfId="747">
  <autoFilter ref="K34:M41" xr:uid="{00000000-0009-0000-0100-000068000000}"/>
  <tableColumns count="3">
    <tableColumn id="1" xr3:uid="{00000000-0010-0000-6500-000001000000}" name="OS" dataDxfId="746"/>
    <tableColumn id="2" xr3:uid="{00000000-0010-0000-6500-000002000000}" name="Parcelas" dataDxfId="745"/>
    <tableColumn id="3" xr3:uid="{00000000-0010-0000-6500-000003000000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6000000}" name="vend18" displayName="vend18" ref="E5:I22" totalsRowShown="0" headerRowDxfId="743" dataDxfId="741" headerRowBorderDxfId="742" tableBorderDxfId="740" totalsRowBorderDxfId="739">
  <autoFilter ref="E5:I22" xr:uid="{00000000-0009-0000-0100-000069000000}"/>
  <sortState xmlns:xlrd2="http://schemas.microsoft.com/office/spreadsheetml/2017/richdata2" ref="E6:I22">
    <sortCondition ref="E5:E22"/>
  </sortState>
  <tableColumns count="5">
    <tableColumn id="1" xr3:uid="{00000000-0010-0000-6600-000001000000}" name="Nº Venda" dataDxfId="738" dataCellStyle="Moeda"/>
    <tableColumn id="5" xr3:uid="{00000000-0010-0000-6600-000005000000}" name="Cliente" dataDxfId="737" dataCellStyle="Moeda"/>
    <tableColumn id="2" xr3:uid="{00000000-0010-0000-6600-000002000000}" name="Forma de Pgto" dataDxfId="736" dataCellStyle="Moeda"/>
    <tableColumn id="3" xr3:uid="{00000000-0010-0000-6600-000003000000}" name="Valor Venda" dataDxfId="735" dataCellStyle="Porcentagem"/>
    <tableColumn id="4" xr3:uid="{00000000-0010-0000-6600-000004000000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7000000}" name="desp18" displayName="desp18" ref="K5:M11" totalsRowShown="0" headerRowDxfId="733" dataDxfId="731" headerRowBorderDxfId="732" tableBorderDxfId="730" totalsRowBorderDxfId="729">
  <autoFilter ref="K5:M11" xr:uid="{00000000-0009-0000-0100-00006A000000}"/>
  <tableColumns count="3">
    <tableColumn id="1" xr3:uid="{00000000-0010-0000-6700-000001000000}" name="Descrição" dataDxfId="728"/>
    <tableColumn id="2" xr3:uid="{00000000-0010-0000-6700-000002000000}" name="Tipo de Pagto" dataDxfId="727"/>
    <tableColumn id="3" xr3:uid="{00000000-0010-0000-6700-000003000000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8000000}" name="rest_entr18" displayName="rest_entr18" ref="E25:I31" totalsRowShown="0" headerRowDxfId="725" dataDxfId="723" headerRowBorderDxfId="724" tableBorderDxfId="722" totalsRowBorderDxfId="721">
  <autoFilter ref="E25:I31" xr:uid="{00000000-0009-0000-0100-00006B000000}"/>
  <sortState xmlns:xlrd2="http://schemas.microsoft.com/office/spreadsheetml/2017/richdata2" ref="E26:I31">
    <sortCondition ref="E25:E31"/>
  </sortState>
  <tableColumns count="5">
    <tableColumn id="1" xr3:uid="{00000000-0010-0000-6800-000001000000}" name="Nº Venda" dataDxfId="720"/>
    <tableColumn id="2" xr3:uid="{00000000-0010-0000-6800-000002000000}" name="Cliente" dataDxfId="719"/>
    <tableColumn id="3" xr3:uid="{00000000-0010-0000-6800-000003000000}" name="Forma de Pgto" dataDxfId="718" dataCellStyle="Moeda"/>
    <tableColumn id="4" xr3:uid="{00000000-0010-0000-6800-000004000000}" name="Valor Venda" dataDxfId="717" dataCellStyle="Porcentagem"/>
    <tableColumn id="5" xr3:uid="{00000000-0010-0000-6800-000005000000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9000000}" name="os_entr_dia18" displayName="os_entr_dia18" ref="K14:M31" totalsRowShown="0" headerRowDxfId="715" dataDxfId="713" headerRowBorderDxfId="714" tableBorderDxfId="712" totalsRowBorderDxfId="711">
  <autoFilter ref="K14:M31" xr:uid="{00000000-0009-0000-0100-00006C000000}"/>
  <tableColumns count="3">
    <tableColumn id="1" xr3:uid="{00000000-0010-0000-6900-000001000000}" name="OS" dataDxfId="710"/>
    <tableColumn id="2" xr3:uid="{00000000-0010-0000-6900-000002000000}" name="Vendedor" dataDxfId="709"/>
    <tableColumn id="3" xr3:uid="{00000000-0010-0000-6900-000003000000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A000000}" name="rec_carn18" displayName="rec_carn18" ref="E34:I41" totalsRowShown="0" headerRowDxfId="707" dataDxfId="705" headerRowBorderDxfId="706" tableBorderDxfId="704" totalsRowBorderDxfId="703">
  <autoFilter ref="E34:I41" xr:uid="{00000000-0009-0000-0100-00006D000000}"/>
  <sortState xmlns:xlrd2="http://schemas.microsoft.com/office/spreadsheetml/2017/richdata2" ref="E35:I40">
    <sortCondition ref="E25:E31"/>
  </sortState>
  <tableColumns count="5">
    <tableColumn id="1" xr3:uid="{00000000-0010-0000-6A00-000001000000}" name="OS" dataDxfId="702"/>
    <tableColumn id="2" xr3:uid="{00000000-0010-0000-6A00-000002000000}" name="Cliente" dataDxfId="701"/>
    <tableColumn id="3" xr3:uid="{00000000-0010-0000-6A00-000003000000}" name="Forma de Pgto" dataDxfId="700" dataCellStyle="Moeda"/>
    <tableColumn id="4" xr3:uid="{00000000-0010-0000-6A00-000004000000}" name="Valor Parcela" dataDxfId="699" dataCellStyle="Porcentagem"/>
    <tableColumn id="5" xr3:uid="{00000000-0010-0000-6A00-000005000000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B000000}" name="entr_carn18" displayName="entr_carn18" ref="K34:M41" totalsRowShown="0" headerRowDxfId="697" headerRowBorderDxfId="696" tableBorderDxfId="695" totalsRowBorderDxfId="694">
  <autoFilter ref="K34:M41" xr:uid="{00000000-0009-0000-0100-00006E000000}"/>
  <tableColumns count="3">
    <tableColumn id="1" xr3:uid="{00000000-0010-0000-6B00-000001000000}" name="OS" dataDxfId="693"/>
    <tableColumn id="2" xr3:uid="{00000000-0010-0000-6B00-000002000000}" name="Parcelas" dataDxfId="692"/>
    <tableColumn id="3" xr3:uid="{00000000-0010-0000-6B00-000003000000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C000000}" name="vend19" displayName="vend19" ref="E5:I22" totalsRowShown="0" headerRowDxfId="690" dataDxfId="688" headerRowBorderDxfId="689" tableBorderDxfId="687" totalsRowBorderDxfId="686">
  <autoFilter ref="E5:I22" xr:uid="{00000000-0009-0000-0100-00006F000000}"/>
  <sortState xmlns:xlrd2="http://schemas.microsoft.com/office/spreadsheetml/2017/richdata2" ref="E6:I22">
    <sortCondition ref="E5:E22"/>
  </sortState>
  <tableColumns count="5">
    <tableColumn id="1" xr3:uid="{00000000-0010-0000-6C00-000001000000}" name="Nº Venda" dataDxfId="685" dataCellStyle="Moeda"/>
    <tableColumn id="5" xr3:uid="{00000000-0010-0000-6C00-000005000000}" name="Cliente" dataDxfId="684" dataCellStyle="Moeda"/>
    <tableColumn id="2" xr3:uid="{00000000-0010-0000-6C00-000002000000}" name="Forma de Pgto" dataDxfId="683" dataCellStyle="Moeda"/>
    <tableColumn id="3" xr3:uid="{00000000-0010-0000-6C00-000003000000}" name="Valor Venda" dataDxfId="682" dataCellStyle="Porcentagem"/>
    <tableColumn id="4" xr3:uid="{00000000-0010-0000-6C00-000004000000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D000000}" name="desp19" displayName="desp19" ref="K5:M11" totalsRowShown="0" headerRowDxfId="680" dataDxfId="678" headerRowBorderDxfId="679" tableBorderDxfId="677" totalsRowBorderDxfId="676">
  <autoFilter ref="K5:M11" xr:uid="{00000000-0009-0000-0100-000070000000}"/>
  <tableColumns count="3">
    <tableColumn id="1" xr3:uid="{00000000-0010-0000-6D00-000001000000}" name="Descrição" dataDxfId="675"/>
    <tableColumn id="2" xr3:uid="{00000000-0010-0000-6D00-000002000000}" name="Tipo de Pagto" dataDxfId="674"/>
    <tableColumn id="3" xr3:uid="{00000000-0010-0000-6D00-000003000000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6E000000}" name="rest_entr19" displayName="rest_entr19" ref="E25:I31" totalsRowShown="0" headerRowDxfId="672" dataDxfId="670" headerRowBorderDxfId="671" tableBorderDxfId="669" totalsRowBorderDxfId="668">
  <autoFilter ref="E25:I31" xr:uid="{00000000-0009-0000-0100-000071000000}"/>
  <sortState xmlns:xlrd2="http://schemas.microsoft.com/office/spreadsheetml/2017/richdata2" ref="E26:I31">
    <sortCondition ref="E25:E31"/>
  </sortState>
  <tableColumns count="5">
    <tableColumn id="1" xr3:uid="{00000000-0010-0000-6E00-000001000000}" name="Nº Venda" dataDxfId="667"/>
    <tableColumn id="2" xr3:uid="{00000000-0010-0000-6E00-000002000000}" name="Cliente" dataDxfId="666"/>
    <tableColumn id="3" xr3:uid="{00000000-0010-0000-6E00-000003000000}" name="Forma de Pgto" dataDxfId="665" dataCellStyle="Moeda"/>
    <tableColumn id="4" xr3:uid="{00000000-0010-0000-6E00-000004000000}" name="Valor Venda" dataDxfId="664" dataCellStyle="Porcentagem"/>
    <tableColumn id="5" xr3:uid="{00000000-0010-0000-6E00-000005000000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6F000000}" name="os_entr_dia19" displayName="os_entr_dia19" ref="K14:M31" totalsRowShown="0" headerRowDxfId="662" dataDxfId="660" headerRowBorderDxfId="661" tableBorderDxfId="659" totalsRowBorderDxfId="658">
  <autoFilter ref="K14:M31" xr:uid="{00000000-0009-0000-0100-000072000000}"/>
  <tableColumns count="3">
    <tableColumn id="1" xr3:uid="{00000000-0010-0000-6F00-000001000000}" name="OS" dataDxfId="657"/>
    <tableColumn id="2" xr3:uid="{00000000-0010-0000-6F00-000002000000}" name="Vendedor" dataDxfId="656"/>
    <tableColumn id="3" xr3:uid="{00000000-0010-0000-6F00-000003000000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0000000}" name="rec_carn19" displayName="rec_carn19" ref="E34:I41" totalsRowShown="0" headerRowDxfId="654" dataDxfId="652" headerRowBorderDxfId="653" tableBorderDxfId="651" totalsRowBorderDxfId="650">
  <autoFilter ref="E34:I41" xr:uid="{00000000-0009-0000-0100-000073000000}"/>
  <sortState xmlns:xlrd2="http://schemas.microsoft.com/office/spreadsheetml/2017/richdata2" ref="E35:I40">
    <sortCondition ref="E25:E31"/>
  </sortState>
  <tableColumns count="5">
    <tableColumn id="1" xr3:uid="{00000000-0010-0000-7000-000001000000}" name="OS" dataDxfId="649"/>
    <tableColumn id="2" xr3:uid="{00000000-0010-0000-7000-000002000000}" name="Cliente" dataDxfId="648"/>
    <tableColumn id="3" xr3:uid="{00000000-0010-0000-7000-000003000000}" name="Forma de Pgto" dataDxfId="647" dataCellStyle="Moeda"/>
    <tableColumn id="4" xr3:uid="{00000000-0010-0000-7000-000004000000}" name="Valor Parcela" dataDxfId="646" dataCellStyle="Porcentagem"/>
    <tableColumn id="5" xr3:uid="{00000000-0010-0000-7000-00000500000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1000000}" name="entr_carn19" displayName="entr_carn19" ref="K34:M41" totalsRowShown="0" headerRowDxfId="644" headerRowBorderDxfId="643" tableBorderDxfId="642" totalsRowBorderDxfId="641">
  <autoFilter ref="K34:M41" xr:uid="{00000000-0009-0000-0100-000074000000}"/>
  <tableColumns count="3">
    <tableColumn id="1" xr3:uid="{00000000-0010-0000-7100-000001000000}" name="OS" dataDxfId="640"/>
    <tableColumn id="2" xr3:uid="{00000000-0010-0000-7100-000002000000}" name="Parcelas" dataDxfId="639"/>
    <tableColumn id="3" xr3:uid="{00000000-0010-0000-7100-000003000000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2000000}" name="vend20" displayName="vend20" ref="E5:I22" totalsRowShown="0" headerRowDxfId="637" dataDxfId="635" headerRowBorderDxfId="636" tableBorderDxfId="634" totalsRowBorderDxfId="633">
  <autoFilter ref="E5:I22" xr:uid="{00000000-0009-0000-0100-00007A000000}"/>
  <sortState xmlns:xlrd2="http://schemas.microsoft.com/office/spreadsheetml/2017/richdata2" ref="E6:I22">
    <sortCondition ref="E5:E22"/>
  </sortState>
  <tableColumns count="5">
    <tableColumn id="1" xr3:uid="{00000000-0010-0000-7200-000001000000}" name="Nº Venda" dataDxfId="632" dataCellStyle="Moeda"/>
    <tableColumn id="5" xr3:uid="{00000000-0010-0000-7200-000005000000}" name="Cliente" dataDxfId="631" dataCellStyle="Moeda"/>
    <tableColumn id="2" xr3:uid="{00000000-0010-0000-7200-000002000000}" name="Forma de Pgto" dataDxfId="630" dataCellStyle="Moeda"/>
    <tableColumn id="3" xr3:uid="{00000000-0010-0000-7200-000003000000}" name="Valor Venda" dataDxfId="629" dataCellStyle="Porcentagem"/>
    <tableColumn id="4" xr3:uid="{00000000-0010-0000-7200-000004000000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3000000}" name="desp20" displayName="desp20" ref="K5:M11" totalsRowShown="0" headerRowDxfId="627" dataDxfId="625" headerRowBorderDxfId="626" tableBorderDxfId="624" totalsRowBorderDxfId="623">
  <autoFilter ref="K5:M11" xr:uid="{00000000-0009-0000-0100-00007B000000}"/>
  <tableColumns count="3">
    <tableColumn id="1" xr3:uid="{00000000-0010-0000-7300-000001000000}" name="Descrição" dataDxfId="622"/>
    <tableColumn id="2" xr3:uid="{00000000-0010-0000-7300-000002000000}" name="Tipo de Pagto" dataDxfId="621"/>
    <tableColumn id="3" xr3:uid="{00000000-0010-0000-7300-000003000000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4000000}" name="rest_entr20" displayName="rest_entr20" ref="E25:I31" totalsRowShown="0" headerRowDxfId="619" dataDxfId="617" headerRowBorderDxfId="618" tableBorderDxfId="616" totalsRowBorderDxfId="615">
  <autoFilter ref="E25:I31" xr:uid="{00000000-0009-0000-0100-00007C000000}"/>
  <sortState xmlns:xlrd2="http://schemas.microsoft.com/office/spreadsheetml/2017/richdata2" ref="E26:I31">
    <sortCondition ref="E25:E31"/>
  </sortState>
  <tableColumns count="5">
    <tableColumn id="1" xr3:uid="{00000000-0010-0000-7400-000001000000}" name="Nº Venda" dataDxfId="614"/>
    <tableColumn id="2" xr3:uid="{00000000-0010-0000-7400-000002000000}" name="Cliente" dataDxfId="613"/>
    <tableColumn id="3" xr3:uid="{00000000-0010-0000-7400-000003000000}" name="Forma de Pgto" dataDxfId="612" dataCellStyle="Moeda"/>
    <tableColumn id="4" xr3:uid="{00000000-0010-0000-7400-000004000000}" name="Valor Venda" dataDxfId="611" dataCellStyle="Porcentagem"/>
    <tableColumn id="5" xr3:uid="{00000000-0010-0000-7400-000005000000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5000000}" name="os_entr_dia20" displayName="os_entr_dia20" ref="K14:M31" totalsRowShown="0" headerRowDxfId="609" dataDxfId="607" headerRowBorderDxfId="608" tableBorderDxfId="606" totalsRowBorderDxfId="605">
  <autoFilter ref="K14:M31" xr:uid="{00000000-0009-0000-0100-00007D000000}"/>
  <tableColumns count="3">
    <tableColumn id="1" xr3:uid="{00000000-0010-0000-7500-000001000000}" name="OS" dataDxfId="604"/>
    <tableColumn id="2" xr3:uid="{00000000-0010-0000-7500-000002000000}" name="Vendedor" dataDxfId="603"/>
    <tableColumn id="3" xr3:uid="{00000000-0010-0000-7500-000003000000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6000000}" name="rec_carn20" displayName="rec_carn20" ref="E34:I41" totalsRowShown="0" headerRowDxfId="601" dataDxfId="599" headerRowBorderDxfId="600" tableBorderDxfId="598" totalsRowBorderDxfId="597">
  <autoFilter ref="E34:I41" xr:uid="{00000000-0009-0000-0100-00007E000000}"/>
  <sortState xmlns:xlrd2="http://schemas.microsoft.com/office/spreadsheetml/2017/richdata2" ref="E35:I40">
    <sortCondition ref="E25:E31"/>
  </sortState>
  <tableColumns count="5">
    <tableColumn id="1" xr3:uid="{00000000-0010-0000-7600-000001000000}" name="OS" dataDxfId="596"/>
    <tableColumn id="2" xr3:uid="{00000000-0010-0000-7600-000002000000}" name="Cliente" dataDxfId="595"/>
    <tableColumn id="3" xr3:uid="{00000000-0010-0000-7600-000003000000}" name="Forma de Pgto" dataDxfId="594" dataCellStyle="Moeda"/>
    <tableColumn id="4" xr3:uid="{00000000-0010-0000-7600-000004000000}" name="Valor Parcela" dataDxfId="593" dataCellStyle="Porcentagem"/>
    <tableColumn id="5" xr3:uid="{00000000-0010-0000-7600-000005000000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7000000}" name="entr_carn20" displayName="entr_carn20" ref="K34:M41" totalsRowShown="0" headerRowDxfId="591" headerRowBorderDxfId="590" tableBorderDxfId="589" totalsRowBorderDxfId="588">
  <autoFilter ref="K34:M41" xr:uid="{00000000-0009-0000-0100-00007F000000}"/>
  <tableColumns count="3">
    <tableColumn id="1" xr3:uid="{00000000-0010-0000-7700-000001000000}" name="OS" dataDxfId="587"/>
    <tableColumn id="2" xr3:uid="{00000000-0010-0000-7700-000002000000}" name="Parcelas" dataDxfId="586"/>
    <tableColumn id="3" xr3:uid="{00000000-0010-0000-7700-000003000000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8000000}" name="vend21" displayName="vend21" ref="E5:I22" totalsRowShown="0" headerRowDxfId="584" dataDxfId="582" headerRowBorderDxfId="583" tableBorderDxfId="581" totalsRowBorderDxfId="580">
  <autoFilter ref="E5:I22" xr:uid="{00000000-0009-0000-0100-000080000000}"/>
  <sortState xmlns:xlrd2="http://schemas.microsoft.com/office/spreadsheetml/2017/richdata2" ref="E6:I22">
    <sortCondition ref="E5:E22"/>
  </sortState>
  <tableColumns count="5">
    <tableColumn id="1" xr3:uid="{00000000-0010-0000-7800-000001000000}" name="Nº Venda" dataDxfId="579" dataCellStyle="Moeda"/>
    <tableColumn id="5" xr3:uid="{00000000-0010-0000-7800-000005000000}" name="Cliente" dataDxfId="578" dataCellStyle="Moeda"/>
    <tableColumn id="2" xr3:uid="{00000000-0010-0000-7800-000002000000}" name="Forma de Pgto" dataDxfId="577" dataCellStyle="Moeda"/>
    <tableColumn id="3" xr3:uid="{00000000-0010-0000-7800-000003000000}" name="Valor Venda" dataDxfId="576" dataCellStyle="Porcentagem"/>
    <tableColumn id="4" xr3:uid="{00000000-0010-0000-7800-000004000000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79000000}" name="desp21" displayName="desp21" ref="K5:M11" totalsRowShown="0" headerRowDxfId="574" dataDxfId="572" headerRowBorderDxfId="573" tableBorderDxfId="571" totalsRowBorderDxfId="570">
  <autoFilter ref="K5:M11" xr:uid="{00000000-0009-0000-0100-000081000000}"/>
  <tableColumns count="3">
    <tableColumn id="1" xr3:uid="{00000000-0010-0000-7900-000001000000}" name="Descrição" dataDxfId="569"/>
    <tableColumn id="2" xr3:uid="{00000000-0010-0000-7900-000002000000}" name="Tipo de Pagto" dataDxfId="568"/>
    <tableColumn id="3" xr3:uid="{00000000-0010-0000-7900-000003000000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7A000000}" name="rest_entr21" displayName="rest_entr21" ref="E25:I31" totalsRowShown="0" headerRowDxfId="566" dataDxfId="564" headerRowBorderDxfId="565" tableBorderDxfId="563" totalsRowBorderDxfId="562">
  <autoFilter ref="E25:I31" xr:uid="{00000000-0009-0000-0100-000082000000}"/>
  <sortState xmlns:xlrd2="http://schemas.microsoft.com/office/spreadsheetml/2017/richdata2" ref="E26:I31">
    <sortCondition ref="E25:E31"/>
  </sortState>
  <tableColumns count="5">
    <tableColumn id="1" xr3:uid="{00000000-0010-0000-7A00-000001000000}" name="Nº Venda" dataDxfId="561"/>
    <tableColumn id="2" xr3:uid="{00000000-0010-0000-7A00-000002000000}" name="Cliente" dataDxfId="560"/>
    <tableColumn id="3" xr3:uid="{00000000-0010-0000-7A00-000003000000}" name="Forma de Pgto" dataDxfId="559" dataCellStyle="Moeda"/>
    <tableColumn id="4" xr3:uid="{00000000-0010-0000-7A00-000004000000}" name="Valor Venda" dataDxfId="558" dataCellStyle="Porcentagem"/>
    <tableColumn id="5" xr3:uid="{00000000-0010-0000-7A00-000005000000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7B000000}" name="os_entr_dia21" displayName="os_entr_dia21" ref="K14:M31" totalsRowShown="0" headerRowDxfId="556" dataDxfId="554" headerRowBorderDxfId="555" tableBorderDxfId="553" totalsRowBorderDxfId="552">
  <autoFilter ref="K14:M31" xr:uid="{00000000-0009-0000-0100-000083000000}"/>
  <tableColumns count="3">
    <tableColumn id="1" xr3:uid="{00000000-0010-0000-7B00-000001000000}" name="OS" dataDxfId="551"/>
    <tableColumn id="2" xr3:uid="{00000000-0010-0000-7B00-000002000000}" name="Vendedor" dataDxfId="550"/>
    <tableColumn id="3" xr3:uid="{00000000-0010-0000-7B00-00000300000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7C000000}" name="rec_carn21" displayName="rec_carn21" ref="E34:I41" totalsRowShown="0" headerRowDxfId="548" dataDxfId="546" headerRowBorderDxfId="547" tableBorderDxfId="545" totalsRowBorderDxfId="544">
  <autoFilter ref="E34:I41" xr:uid="{00000000-0009-0000-0100-000084000000}"/>
  <sortState xmlns:xlrd2="http://schemas.microsoft.com/office/spreadsheetml/2017/richdata2" ref="E35:I40">
    <sortCondition ref="E25:E31"/>
  </sortState>
  <tableColumns count="5">
    <tableColumn id="1" xr3:uid="{00000000-0010-0000-7C00-000001000000}" name="OS" dataDxfId="543"/>
    <tableColumn id="2" xr3:uid="{00000000-0010-0000-7C00-000002000000}" name="Cliente" dataDxfId="542"/>
    <tableColumn id="3" xr3:uid="{00000000-0010-0000-7C00-000003000000}" name="Forma de Pgto" dataDxfId="541" dataCellStyle="Moeda"/>
    <tableColumn id="4" xr3:uid="{00000000-0010-0000-7C00-000004000000}" name="Valor Parcela" dataDxfId="540" dataCellStyle="Porcentagem"/>
    <tableColumn id="5" xr3:uid="{00000000-0010-0000-7C00-000005000000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7D000000}" name="entr_carn21" displayName="entr_carn21" ref="K34:M41" totalsRowShown="0" headerRowDxfId="538" headerRowBorderDxfId="537" tableBorderDxfId="536" totalsRowBorderDxfId="535">
  <autoFilter ref="K34:M41" xr:uid="{00000000-0009-0000-0100-000085000000}"/>
  <tableColumns count="3">
    <tableColumn id="1" xr3:uid="{00000000-0010-0000-7D00-000001000000}" name="OS" dataDxfId="534"/>
    <tableColumn id="2" xr3:uid="{00000000-0010-0000-7D00-000002000000}" name="Parcelas" dataDxfId="533"/>
    <tableColumn id="3" xr3:uid="{00000000-0010-0000-7D00-000003000000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7E000000}" name="vend22" displayName="vend22" ref="E5:I22" totalsRowShown="0" headerRowDxfId="531" dataDxfId="529" headerRowBorderDxfId="530" tableBorderDxfId="528" totalsRowBorderDxfId="527">
  <autoFilter ref="E5:I22" xr:uid="{00000000-0009-0000-0100-000086000000}"/>
  <sortState xmlns:xlrd2="http://schemas.microsoft.com/office/spreadsheetml/2017/richdata2" ref="E6:I22">
    <sortCondition ref="E5:E22"/>
  </sortState>
  <tableColumns count="5">
    <tableColumn id="1" xr3:uid="{00000000-0010-0000-7E00-000001000000}" name="Nº Venda" dataDxfId="526" dataCellStyle="Moeda"/>
    <tableColumn id="5" xr3:uid="{00000000-0010-0000-7E00-000005000000}" name="Cliente" dataDxfId="525" dataCellStyle="Moeda"/>
    <tableColumn id="2" xr3:uid="{00000000-0010-0000-7E00-000002000000}" name="Forma de Pgto" dataDxfId="524" dataCellStyle="Moeda"/>
    <tableColumn id="3" xr3:uid="{00000000-0010-0000-7E00-000003000000}" name="Valor Venda" dataDxfId="523" dataCellStyle="Porcentagem"/>
    <tableColumn id="4" xr3:uid="{00000000-0010-0000-7E00-000004000000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7F000000}" name="desp22" displayName="desp22" ref="K5:M11" totalsRowShown="0" headerRowDxfId="521" dataDxfId="519" headerRowBorderDxfId="520" tableBorderDxfId="518" totalsRowBorderDxfId="517">
  <autoFilter ref="K5:M11" xr:uid="{00000000-0009-0000-0100-000087000000}"/>
  <tableColumns count="3">
    <tableColumn id="1" xr3:uid="{00000000-0010-0000-7F00-000001000000}" name="Descrição" dataDxfId="516"/>
    <tableColumn id="2" xr3:uid="{00000000-0010-0000-7F00-000002000000}" name="Tipo de Pagto" dataDxfId="515"/>
    <tableColumn id="3" xr3:uid="{00000000-0010-0000-7F00-000003000000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0000000}" name="rest_entr22" displayName="rest_entr22" ref="E25:I31" totalsRowShown="0" headerRowDxfId="513" dataDxfId="511" headerRowBorderDxfId="512" tableBorderDxfId="510" totalsRowBorderDxfId="509">
  <autoFilter ref="E25:I31" xr:uid="{00000000-0009-0000-0100-000088000000}"/>
  <sortState xmlns:xlrd2="http://schemas.microsoft.com/office/spreadsheetml/2017/richdata2" ref="E26:I31">
    <sortCondition ref="E25:E31"/>
  </sortState>
  <tableColumns count="5">
    <tableColumn id="1" xr3:uid="{00000000-0010-0000-8000-000001000000}" name="Nº Venda" dataDxfId="508"/>
    <tableColumn id="2" xr3:uid="{00000000-0010-0000-8000-000002000000}" name="Cliente" dataDxfId="507"/>
    <tableColumn id="3" xr3:uid="{00000000-0010-0000-8000-000003000000}" name="Forma de Pgto" dataDxfId="506" dataCellStyle="Moeda"/>
    <tableColumn id="4" xr3:uid="{00000000-0010-0000-8000-000004000000}" name="Valor Venda" dataDxfId="505" dataCellStyle="Porcentagem"/>
    <tableColumn id="5" xr3:uid="{00000000-0010-0000-8000-000005000000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1000000}" name="os_entr_dia22" displayName="os_entr_dia22" ref="K14:M31" totalsRowShown="0" headerRowDxfId="503" dataDxfId="501" headerRowBorderDxfId="502" tableBorderDxfId="500" totalsRowBorderDxfId="499">
  <autoFilter ref="K14:M31" xr:uid="{00000000-0009-0000-0100-000089000000}"/>
  <tableColumns count="3">
    <tableColumn id="1" xr3:uid="{00000000-0010-0000-8100-000001000000}" name="OS" dataDxfId="498"/>
    <tableColumn id="2" xr3:uid="{00000000-0010-0000-8100-000002000000}" name="Vendedor" dataDxfId="497"/>
    <tableColumn id="3" xr3:uid="{00000000-0010-0000-8100-000003000000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2000000}" name="rec_carn22" displayName="rec_carn22" ref="E34:I41" totalsRowShown="0" headerRowDxfId="495" dataDxfId="493" headerRowBorderDxfId="494" tableBorderDxfId="492" totalsRowBorderDxfId="491">
  <autoFilter ref="E34:I41" xr:uid="{00000000-0009-0000-0100-00008A000000}"/>
  <sortState xmlns:xlrd2="http://schemas.microsoft.com/office/spreadsheetml/2017/richdata2" ref="E35:I40">
    <sortCondition ref="E25:E31"/>
  </sortState>
  <tableColumns count="5">
    <tableColumn id="1" xr3:uid="{00000000-0010-0000-8200-000001000000}" name="OS" dataDxfId="490"/>
    <tableColumn id="2" xr3:uid="{00000000-0010-0000-8200-000002000000}" name="Cliente" dataDxfId="489"/>
    <tableColumn id="3" xr3:uid="{00000000-0010-0000-8200-000003000000}" name="Forma de Pgto" dataDxfId="488" dataCellStyle="Moeda"/>
    <tableColumn id="4" xr3:uid="{00000000-0010-0000-8200-000004000000}" name="Valor Parcela" dataDxfId="487" dataCellStyle="Porcentagem"/>
    <tableColumn id="5" xr3:uid="{00000000-0010-0000-8200-000005000000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3000000}" name="entr_carn22" displayName="entr_carn22" ref="K34:M41" totalsRowShown="0" headerRowDxfId="485" headerRowBorderDxfId="484" tableBorderDxfId="483" totalsRowBorderDxfId="482">
  <autoFilter ref="K34:M41" xr:uid="{00000000-0009-0000-0100-00008B000000}"/>
  <tableColumns count="3">
    <tableColumn id="1" xr3:uid="{00000000-0010-0000-8300-000001000000}" name="OS" dataDxfId="481"/>
    <tableColumn id="2" xr3:uid="{00000000-0010-0000-8300-000002000000}" name="Parcelas" dataDxfId="480"/>
    <tableColumn id="3" xr3:uid="{00000000-0010-0000-8300-000003000000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84000000}" name="vend23" displayName="vend23" ref="E5:I22" totalsRowShown="0" headerRowDxfId="478" dataDxfId="476" headerRowBorderDxfId="477" tableBorderDxfId="475" totalsRowBorderDxfId="474">
  <autoFilter ref="E5:I22" xr:uid="{00000000-0009-0000-0100-000003000000}"/>
  <sortState xmlns:xlrd2="http://schemas.microsoft.com/office/spreadsheetml/2017/richdata2" ref="E6:I22">
    <sortCondition ref="E5:E22"/>
  </sortState>
  <tableColumns count="5">
    <tableColumn id="1" xr3:uid="{00000000-0010-0000-8400-000001000000}" name="Nº Venda" dataDxfId="473" dataCellStyle="Moeda"/>
    <tableColumn id="5" xr3:uid="{00000000-0010-0000-8400-000005000000}" name="Cliente" dataDxfId="472" dataCellStyle="Moeda"/>
    <tableColumn id="2" xr3:uid="{00000000-0010-0000-8400-000002000000}" name="Forma de Pgto" dataDxfId="471" dataCellStyle="Moeda"/>
    <tableColumn id="3" xr3:uid="{00000000-0010-0000-8400-000003000000}" name="Valor Venda" dataDxfId="470" dataCellStyle="Porcentagem"/>
    <tableColumn id="4" xr3:uid="{00000000-0010-0000-8400-000004000000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85000000}" name="desp23" displayName="desp23" ref="K5:M11" totalsRowShown="0" headerRowDxfId="468" dataDxfId="466" headerRowBorderDxfId="467" tableBorderDxfId="465" totalsRowBorderDxfId="464">
  <autoFilter ref="K5:M11" xr:uid="{00000000-0009-0000-0100-000075000000}"/>
  <tableColumns count="3">
    <tableColumn id="1" xr3:uid="{00000000-0010-0000-8500-000001000000}" name="Descrição" dataDxfId="463"/>
    <tableColumn id="2" xr3:uid="{00000000-0010-0000-8500-000002000000}" name="Tipo de Pagto" dataDxfId="462"/>
    <tableColumn id="3" xr3:uid="{00000000-0010-0000-8500-000003000000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86000000}" name="rest_entr23" displayName="rest_entr23" ref="E25:I31" totalsRowShown="0" headerRowDxfId="460" dataDxfId="458" headerRowBorderDxfId="459" tableBorderDxfId="457" totalsRowBorderDxfId="456">
  <autoFilter ref="E25:I31" xr:uid="{00000000-0009-0000-0100-000076000000}"/>
  <sortState xmlns:xlrd2="http://schemas.microsoft.com/office/spreadsheetml/2017/richdata2" ref="E26:I31">
    <sortCondition ref="E25:E31"/>
  </sortState>
  <tableColumns count="5">
    <tableColumn id="1" xr3:uid="{00000000-0010-0000-8600-000001000000}" name="Nº Venda" dataDxfId="455"/>
    <tableColumn id="2" xr3:uid="{00000000-0010-0000-8600-000002000000}" name="Cliente" dataDxfId="454"/>
    <tableColumn id="3" xr3:uid="{00000000-0010-0000-8600-000003000000}" name="Forma de Pgto" dataDxfId="453" dataCellStyle="Moeda"/>
    <tableColumn id="4" xr3:uid="{00000000-0010-0000-8600-000004000000}" name="Valor Venda" dataDxfId="452" dataCellStyle="Porcentagem"/>
    <tableColumn id="5" xr3:uid="{00000000-0010-0000-8600-000005000000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87000000}" name="os_entr_dia23" displayName="os_entr_dia23" ref="K14:M31" totalsRowShown="0" headerRowDxfId="450" dataDxfId="448" headerRowBorderDxfId="449" tableBorderDxfId="447" totalsRowBorderDxfId="446">
  <autoFilter ref="K14:M31" xr:uid="{00000000-0009-0000-0100-000077000000}"/>
  <tableColumns count="3">
    <tableColumn id="1" xr3:uid="{00000000-0010-0000-8700-000001000000}" name="OS" dataDxfId="445"/>
    <tableColumn id="2" xr3:uid="{00000000-0010-0000-8700-000002000000}" name="Vendedor" dataDxfId="444"/>
    <tableColumn id="3" xr3:uid="{00000000-0010-0000-8700-000003000000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88000000}" name="rec_carn23" displayName="rec_carn23" ref="E34:I41" totalsRowShown="0" headerRowDxfId="442" dataDxfId="440" headerRowBorderDxfId="441" tableBorderDxfId="439" totalsRowBorderDxfId="438">
  <autoFilter ref="E34:I41" xr:uid="{00000000-0009-0000-0100-000078000000}"/>
  <sortState xmlns:xlrd2="http://schemas.microsoft.com/office/spreadsheetml/2017/richdata2" ref="E35:I40">
    <sortCondition ref="E25:E31"/>
  </sortState>
  <tableColumns count="5">
    <tableColumn id="1" xr3:uid="{00000000-0010-0000-8800-000001000000}" name="OS" dataDxfId="437"/>
    <tableColumn id="2" xr3:uid="{00000000-0010-0000-8800-000002000000}" name="Cliente" dataDxfId="436"/>
    <tableColumn id="3" xr3:uid="{00000000-0010-0000-8800-000003000000}" name="Forma de Pgto" dataDxfId="435" dataCellStyle="Moeda"/>
    <tableColumn id="4" xr3:uid="{00000000-0010-0000-8800-000004000000}" name="Valor Parcela" dataDxfId="434" dataCellStyle="Porcentagem"/>
    <tableColumn id="5" xr3:uid="{00000000-0010-0000-8800-000005000000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89000000}" name="entr_carn23" displayName="entr_carn23" ref="K34:M41" totalsRowShown="0" headerRowDxfId="432" headerRowBorderDxfId="431" tableBorderDxfId="430" totalsRowBorderDxfId="429">
  <autoFilter ref="K34:M41" xr:uid="{00000000-0009-0000-0100-000079000000}"/>
  <tableColumns count="3">
    <tableColumn id="1" xr3:uid="{00000000-0010-0000-8900-000001000000}" name="OS" dataDxfId="428"/>
    <tableColumn id="2" xr3:uid="{00000000-0010-0000-8900-000002000000}" name="Parcelas" dataDxfId="427"/>
    <tableColumn id="3" xr3:uid="{00000000-0010-0000-8900-00000300000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8A000000}" name="vend24" displayName="vend24" ref="E5:I22" totalsRowShown="0" headerRowDxfId="425" dataDxfId="423" headerRowBorderDxfId="424" tableBorderDxfId="422" totalsRowBorderDxfId="421">
  <autoFilter ref="E5:I22" xr:uid="{00000000-0009-0000-0100-000092000000}"/>
  <sortState xmlns:xlrd2="http://schemas.microsoft.com/office/spreadsheetml/2017/richdata2" ref="E6:I22">
    <sortCondition ref="E5:E22"/>
  </sortState>
  <tableColumns count="5">
    <tableColumn id="1" xr3:uid="{00000000-0010-0000-8A00-000001000000}" name="Nº Venda" dataDxfId="420" dataCellStyle="Moeda"/>
    <tableColumn id="5" xr3:uid="{00000000-0010-0000-8A00-000005000000}" name="Cliente" dataDxfId="419" dataCellStyle="Moeda"/>
    <tableColumn id="2" xr3:uid="{00000000-0010-0000-8A00-000002000000}" name="Forma de Pgto" dataDxfId="418" dataCellStyle="Moeda"/>
    <tableColumn id="3" xr3:uid="{00000000-0010-0000-8A00-000003000000}" name="Valor Venda" dataDxfId="417" dataCellStyle="Porcentagem"/>
    <tableColumn id="4" xr3:uid="{00000000-0010-0000-8A00-000004000000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8B000000}" name="desp24" displayName="desp24" ref="K5:M11" totalsRowShown="0" headerRowDxfId="415" dataDxfId="413" headerRowBorderDxfId="414" tableBorderDxfId="412" totalsRowBorderDxfId="411">
  <autoFilter ref="K5:M11" xr:uid="{00000000-0009-0000-0100-000093000000}"/>
  <tableColumns count="3">
    <tableColumn id="1" xr3:uid="{00000000-0010-0000-8B00-000001000000}" name="Descrição" dataDxfId="410"/>
    <tableColumn id="2" xr3:uid="{00000000-0010-0000-8B00-000002000000}" name="Tipo de Pagto" dataDxfId="409"/>
    <tableColumn id="3" xr3:uid="{00000000-0010-0000-8B00-000003000000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8C000000}" name="rest_entr24" displayName="rest_entr24" ref="E25:I31" totalsRowShown="0" headerRowDxfId="407" dataDxfId="405" headerRowBorderDxfId="406" tableBorderDxfId="404" totalsRowBorderDxfId="403">
  <autoFilter ref="E25:I31" xr:uid="{00000000-0009-0000-0100-000094000000}"/>
  <sortState xmlns:xlrd2="http://schemas.microsoft.com/office/spreadsheetml/2017/richdata2" ref="E26:I31">
    <sortCondition ref="E25:E31"/>
  </sortState>
  <tableColumns count="5">
    <tableColumn id="1" xr3:uid="{00000000-0010-0000-8C00-000001000000}" name="Nº Venda" dataDxfId="402"/>
    <tableColumn id="2" xr3:uid="{00000000-0010-0000-8C00-000002000000}" name="Cliente" dataDxfId="401"/>
    <tableColumn id="3" xr3:uid="{00000000-0010-0000-8C00-000003000000}" name="Forma de Pgto" dataDxfId="400" dataCellStyle="Moeda"/>
    <tableColumn id="4" xr3:uid="{00000000-0010-0000-8C00-000004000000}" name="Valor Venda" dataDxfId="399" dataCellStyle="Porcentagem"/>
    <tableColumn id="5" xr3:uid="{00000000-0010-0000-8C00-000005000000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8D000000}" name="os_entr_dia24" displayName="os_entr_dia24" ref="K14:M31" totalsRowShown="0" headerRowDxfId="397" dataDxfId="395" headerRowBorderDxfId="396" tableBorderDxfId="394" totalsRowBorderDxfId="393">
  <autoFilter ref="K14:M31" xr:uid="{00000000-0009-0000-0100-000095000000}"/>
  <tableColumns count="3">
    <tableColumn id="1" xr3:uid="{00000000-0010-0000-8D00-000001000000}" name="OS" dataDxfId="392"/>
    <tableColumn id="2" xr3:uid="{00000000-0010-0000-8D00-000002000000}" name="Vendedor" dataDxfId="391"/>
    <tableColumn id="3" xr3:uid="{00000000-0010-0000-8D00-000003000000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8E000000}" name="rec_carn24" displayName="rec_carn24" ref="E34:I41" totalsRowShown="0" headerRowDxfId="389" dataDxfId="387" headerRowBorderDxfId="388" tableBorderDxfId="386" totalsRowBorderDxfId="385">
  <autoFilter ref="E34:I41" xr:uid="{00000000-0009-0000-0100-000096000000}"/>
  <sortState xmlns:xlrd2="http://schemas.microsoft.com/office/spreadsheetml/2017/richdata2" ref="E35:I40">
    <sortCondition ref="E25:E31"/>
  </sortState>
  <tableColumns count="5">
    <tableColumn id="1" xr3:uid="{00000000-0010-0000-8E00-000001000000}" name="OS" dataDxfId="384"/>
    <tableColumn id="2" xr3:uid="{00000000-0010-0000-8E00-000002000000}" name="Cliente" dataDxfId="383"/>
    <tableColumn id="3" xr3:uid="{00000000-0010-0000-8E00-000003000000}" name="Forma de Pgto" dataDxfId="382" dataCellStyle="Moeda"/>
    <tableColumn id="4" xr3:uid="{00000000-0010-0000-8E00-000004000000}" name="Valor Parcela" dataDxfId="381" dataCellStyle="Porcentagem"/>
    <tableColumn id="5" xr3:uid="{00000000-0010-0000-8E00-000005000000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8F000000}" name="entr_carn24" displayName="entr_carn24" ref="K34:M41" totalsRowShown="0" headerRowDxfId="379" headerRowBorderDxfId="378" tableBorderDxfId="377" totalsRowBorderDxfId="376">
  <autoFilter ref="K34:M41" xr:uid="{00000000-0009-0000-0100-000097000000}"/>
  <tableColumns count="3">
    <tableColumn id="1" xr3:uid="{00000000-0010-0000-8F00-000001000000}" name="OS" dataDxfId="375"/>
    <tableColumn id="2" xr3:uid="{00000000-0010-0000-8F00-000002000000}" name="Parcelas" dataDxfId="374"/>
    <tableColumn id="3" xr3:uid="{00000000-0010-0000-8F00-000003000000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0000000}" name="vend25" displayName="vend25" ref="E5:I22" totalsRowShown="0" headerRowDxfId="372" dataDxfId="370" headerRowBorderDxfId="371" tableBorderDxfId="369" totalsRowBorderDxfId="368">
  <autoFilter ref="E5:I22" xr:uid="{00000000-0009-0000-0100-00009E000000}"/>
  <sortState xmlns:xlrd2="http://schemas.microsoft.com/office/spreadsheetml/2017/richdata2" ref="E6:I22">
    <sortCondition ref="E5:E22"/>
  </sortState>
  <tableColumns count="5">
    <tableColumn id="1" xr3:uid="{00000000-0010-0000-9000-000001000000}" name="Nº Venda" dataDxfId="367" dataCellStyle="Moeda"/>
    <tableColumn id="5" xr3:uid="{00000000-0010-0000-9000-000005000000}" name="Cliente" dataDxfId="366" dataCellStyle="Moeda"/>
    <tableColumn id="2" xr3:uid="{00000000-0010-0000-9000-000002000000}" name="Forma de Pgto" dataDxfId="365" dataCellStyle="Moeda"/>
    <tableColumn id="3" xr3:uid="{00000000-0010-0000-9000-000003000000}" name="Valor Venda" dataDxfId="364" dataCellStyle="Porcentagem"/>
    <tableColumn id="4" xr3:uid="{00000000-0010-0000-9000-000004000000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1000000}" name="desp25" displayName="desp25" ref="K5:M11" totalsRowShown="0" headerRowDxfId="362" dataDxfId="360" headerRowBorderDxfId="361" tableBorderDxfId="359" totalsRowBorderDxfId="358">
  <autoFilter ref="K5:M11" xr:uid="{00000000-0009-0000-0100-00009F000000}"/>
  <tableColumns count="3">
    <tableColumn id="1" xr3:uid="{00000000-0010-0000-9100-000001000000}" name="Descrição" dataDxfId="357"/>
    <tableColumn id="2" xr3:uid="{00000000-0010-0000-9100-000002000000}" name="Tipo de Pagto" dataDxfId="356"/>
    <tableColumn id="3" xr3:uid="{00000000-0010-0000-9100-000003000000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2000000}" name="rest_entr25" displayName="rest_entr25" ref="E25:I31" totalsRowShown="0" headerRowDxfId="354" dataDxfId="352" headerRowBorderDxfId="353" tableBorderDxfId="351" totalsRowBorderDxfId="350">
  <autoFilter ref="E25:I31" xr:uid="{00000000-0009-0000-0100-0000A0000000}"/>
  <sortState xmlns:xlrd2="http://schemas.microsoft.com/office/spreadsheetml/2017/richdata2" ref="E26:I31">
    <sortCondition ref="E25:E31"/>
  </sortState>
  <tableColumns count="5">
    <tableColumn id="1" xr3:uid="{00000000-0010-0000-9200-000001000000}" name="Nº Venda" dataDxfId="349"/>
    <tableColumn id="2" xr3:uid="{00000000-0010-0000-9200-000002000000}" name="Cliente" dataDxfId="348"/>
    <tableColumn id="3" xr3:uid="{00000000-0010-0000-9200-000003000000}" name="Forma de Pgto" dataDxfId="347" dataCellStyle="Moeda"/>
    <tableColumn id="4" xr3:uid="{00000000-0010-0000-9200-000004000000}" name="Valor Venda" dataDxfId="346" dataCellStyle="Porcentagem"/>
    <tableColumn id="5" xr3:uid="{00000000-0010-0000-9200-000005000000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93000000}" name="os_entr_dia25" displayName="os_entr_dia25" ref="K14:M31" totalsRowShown="0" headerRowDxfId="344" dataDxfId="342" headerRowBorderDxfId="343" tableBorderDxfId="341" totalsRowBorderDxfId="340">
  <autoFilter ref="K14:M31" xr:uid="{00000000-0009-0000-0100-0000A1000000}"/>
  <tableColumns count="3">
    <tableColumn id="1" xr3:uid="{00000000-0010-0000-9300-000001000000}" name="OS" dataDxfId="339"/>
    <tableColumn id="2" xr3:uid="{00000000-0010-0000-9300-000002000000}" name="Vendedor" dataDxfId="338"/>
    <tableColumn id="3" xr3:uid="{00000000-0010-0000-9300-000003000000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94000000}" name="rec_carn25" displayName="rec_carn25" ref="E34:I41" totalsRowShown="0" headerRowDxfId="336" dataDxfId="334" headerRowBorderDxfId="335" tableBorderDxfId="333" totalsRowBorderDxfId="332">
  <autoFilter ref="E34:I41" xr:uid="{00000000-0009-0000-0100-0000A2000000}"/>
  <sortState xmlns:xlrd2="http://schemas.microsoft.com/office/spreadsheetml/2017/richdata2" ref="E35:I40">
    <sortCondition ref="E25:E31"/>
  </sortState>
  <tableColumns count="5">
    <tableColumn id="1" xr3:uid="{00000000-0010-0000-9400-000001000000}" name="OS" dataDxfId="331"/>
    <tableColumn id="2" xr3:uid="{00000000-0010-0000-9400-000002000000}" name="Cliente" dataDxfId="330"/>
    <tableColumn id="3" xr3:uid="{00000000-0010-0000-9400-000003000000}" name="Forma de Pgto" dataDxfId="329" dataCellStyle="Moeda"/>
    <tableColumn id="4" xr3:uid="{00000000-0010-0000-9400-000004000000}" name="Valor Parcela" dataDxfId="328" dataCellStyle="Porcentagem"/>
    <tableColumn id="5" xr3:uid="{00000000-0010-0000-9400-000005000000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95000000}" name="entr_carn25" displayName="entr_carn25" ref="K34:M41" totalsRowShown="0" headerRowDxfId="326" headerRowBorderDxfId="325" tableBorderDxfId="324" totalsRowBorderDxfId="323">
  <autoFilter ref="K34:M41" xr:uid="{00000000-0009-0000-0100-0000A3000000}"/>
  <tableColumns count="3">
    <tableColumn id="1" xr3:uid="{00000000-0010-0000-9500-000001000000}" name="OS" dataDxfId="322"/>
    <tableColumn id="2" xr3:uid="{00000000-0010-0000-9500-000002000000}" name="Parcelas" dataDxfId="321"/>
    <tableColumn id="3" xr3:uid="{00000000-0010-0000-9500-000003000000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6000000}" name="vend26" displayName="vend26" ref="E5:I22" totalsRowShown="0" headerRowDxfId="319" dataDxfId="317" headerRowBorderDxfId="318" tableBorderDxfId="316" totalsRowBorderDxfId="315">
  <autoFilter ref="E5:I22" xr:uid="{00000000-0009-0000-0100-000098000000}"/>
  <sortState xmlns:xlrd2="http://schemas.microsoft.com/office/spreadsheetml/2017/richdata2" ref="E6:I22">
    <sortCondition ref="E5:E22"/>
  </sortState>
  <tableColumns count="5">
    <tableColumn id="1" xr3:uid="{00000000-0010-0000-9600-000001000000}" name="Nº Venda" dataDxfId="314" dataCellStyle="Moeda"/>
    <tableColumn id="5" xr3:uid="{00000000-0010-0000-9600-000005000000}" name="Cliente" dataDxfId="313" dataCellStyle="Moeda"/>
    <tableColumn id="2" xr3:uid="{00000000-0010-0000-9600-000002000000}" name="Forma de Pgto" dataDxfId="312" dataCellStyle="Moeda"/>
    <tableColumn id="3" xr3:uid="{00000000-0010-0000-9600-000003000000}" name="Valor Venda" dataDxfId="311" dataCellStyle="Porcentagem"/>
    <tableColumn id="4" xr3:uid="{00000000-0010-0000-9600-000004000000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7000000}" name="desp26" displayName="desp26" ref="K5:M11" totalsRowShown="0" headerRowDxfId="309" dataDxfId="307" headerRowBorderDxfId="308" tableBorderDxfId="306" totalsRowBorderDxfId="305">
  <autoFilter ref="K5:M11" xr:uid="{00000000-0009-0000-0100-000099000000}"/>
  <tableColumns count="3">
    <tableColumn id="1" xr3:uid="{00000000-0010-0000-9700-000001000000}" name="Descrição" dataDxfId="304"/>
    <tableColumn id="2" xr3:uid="{00000000-0010-0000-9700-000002000000}" name="Tipo de Pagto" dataDxfId="303"/>
    <tableColumn id="3" xr3:uid="{00000000-0010-0000-9700-000003000000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8000000}" name="rest_entr26" displayName="rest_entr26" ref="E25:I31" totalsRowShown="0" headerRowDxfId="301" dataDxfId="299" headerRowBorderDxfId="300" tableBorderDxfId="298" totalsRowBorderDxfId="297">
  <autoFilter ref="E25:I31" xr:uid="{00000000-0009-0000-0100-00009A000000}"/>
  <sortState xmlns:xlrd2="http://schemas.microsoft.com/office/spreadsheetml/2017/richdata2" ref="E26:I31">
    <sortCondition ref="E25:E31"/>
  </sortState>
  <tableColumns count="5">
    <tableColumn id="1" xr3:uid="{00000000-0010-0000-9800-000001000000}" name="Nº Venda" dataDxfId="296"/>
    <tableColumn id="2" xr3:uid="{00000000-0010-0000-9800-000002000000}" name="Cliente" dataDxfId="295"/>
    <tableColumn id="3" xr3:uid="{00000000-0010-0000-9800-000003000000}" name="Forma de Pgto" dataDxfId="294" dataCellStyle="Moeda"/>
    <tableColumn id="4" xr3:uid="{00000000-0010-0000-9800-000004000000}" name="Valor Venda" dataDxfId="293" dataCellStyle="Porcentagem"/>
    <tableColumn id="5" xr3:uid="{00000000-0010-0000-9800-000005000000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9000000}" name="os_entr_dia26" displayName="os_entr_dia26" ref="K14:M31" totalsRowShown="0" headerRowDxfId="291" dataDxfId="289" headerRowBorderDxfId="290" tableBorderDxfId="288" totalsRowBorderDxfId="287">
  <autoFilter ref="K14:M31" xr:uid="{00000000-0009-0000-0100-00009B000000}"/>
  <tableColumns count="3">
    <tableColumn id="1" xr3:uid="{00000000-0010-0000-9900-000001000000}" name="OS" dataDxfId="286"/>
    <tableColumn id="2" xr3:uid="{00000000-0010-0000-9900-000002000000}" name="Vendedor" dataDxfId="285"/>
    <tableColumn id="3" xr3:uid="{00000000-0010-0000-9900-000003000000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A000000}" name="rec_carn26" displayName="rec_carn26" ref="E34:I41" totalsRowShown="0" headerRowDxfId="283" dataDxfId="281" headerRowBorderDxfId="282" tableBorderDxfId="280" totalsRowBorderDxfId="279">
  <autoFilter ref="E34:I41" xr:uid="{00000000-0009-0000-0100-00009C000000}"/>
  <sortState xmlns:xlrd2="http://schemas.microsoft.com/office/spreadsheetml/2017/richdata2" ref="E35:I40">
    <sortCondition ref="E25:E31"/>
  </sortState>
  <tableColumns count="5">
    <tableColumn id="1" xr3:uid="{00000000-0010-0000-9A00-000001000000}" name="OS" dataDxfId="278"/>
    <tableColumn id="2" xr3:uid="{00000000-0010-0000-9A00-000002000000}" name="Cliente" dataDxfId="277"/>
    <tableColumn id="3" xr3:uid="{00000000-0010-0000-9A00-000003000000}" name="Forma de Pgto" dataDxfId="276" dataCellStyle="Moeda"/>
    <tableColumn id="4" xr3:uid="{00000000-0010-0000-9A00-000004000000}" name="Valor Parcela" dataDxfId="275" dataCellStyle="Porcentagem"/>
    <tableColumn id="5" xr3:uid="{00000000-0010-0000-9A00-000005000000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B000000}" name="entr_carn26" displayName="entr_carn26" ref="K34:M41" totalsRowShown="0" headerRowDxfId="273" headerRowBorderDxfId="272" tableBorderDxfId="271" totalsRowBorderDxfId="270">
  <autoFilter ref="K34:M41" xr:uid="{00000000-0009-0000-0100-00009D000000}"/>
  <tableColumns count="3">
    <tableColumn id="1" xr3:uid="{00000000-0010-0000-9B00-000001000000}" name="OS" dataDxfId="269"/>
    <tableColumn id="2" xr3:uid="{00000000-0010-0000-9B00-000002000000}" name="Parcelas" dataDxfId="268"/>
    <tableColumn id="3" xr3:uid="{00000000-0010-0000-9B00-000003000000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9C000000}" name="vend27" displayName="vend27" ref="E5:I22" totalsRowShown="0" headerRowDxfId="266" dataDxfId="264" headerRowBorderDxfId="265" tableBorderDxfId="263" totalsRowBorderDxfId="262">
  <autoFilter ref="E5:I22" xr:uid="{00000000-0009-0000-0100-0000AA000000}"/>
  <sortState xmlns:xlrd2="http://schemas.microsoft.com/office/spreadsheetml/2017/richdata2" ref="E6:I22">
    <sortCondition ref="E5:E22"/>
  </sortState>
  <tableColumns count="5">
    <tableColumn id="1" xr3:uid="{00000000-0010-0000-9C00-000001000000}" name="Nº Venda" dataDxfId="261" dataCellStyle="Moeda"/>
    <tableColumn id="5" xr3:uid="{00000000-0010-0000-9C00-000005000000}" name="Cliente" dataDxfId="260" dataCellStyle="Moeda"/>
    <tableColumn id="2" xr3:uid="{00000000-0010-0000-9C00-000002000000}" name="Forma de Pgto" dataDxfId="259" dataCellStyle="Moeda"/>
    <tableColumn id="3" xr3:uid="{00000000-0010-0000-9C00-000003000000}" name="Valor Venda" dataDxfId="258" dataCellStyle="Porcentagem"/>
    <tableColumn id="4" xr3:uid="{00000000-0010-0000-9C00-000004000000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9D000000}" name="desp27" displayName="desp27" ref="K5:M11" totalsRowShown="0" headerRowDxfId="256" dataDxfId="254" headerRowBorderDxfId="255" tableBorderDxfId="253" totalsRowBorderDxfId="252">
  <autoFilter ref="K5:M11" xr:uid="{00000000-0009-0000-0100-0000AB000000}"/>
  <tableColumns count="3">
    <tableColumn id="1" xr3:uid="{00000000-0010-0000-9D00-000001000000}" name="Descrição" dataDxfId="251"/>
    <tableColumn id="2" xr3:uid="{00000000-0010-0000-9D00-000002000000}" name="Tipo de Pagto" dataDxfId="250"/>
    <tableColumn id="3" xr3:uid="{00000000-0010-0000-9D00-000003000000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9E000000}" name="rest_entr27" displayName="rest_entr27" ref="E25:I31" totalsRowShown="0" headerRowDxfId="248" dataDxfId="246" headerRowBorderDxfId="247" tableBorderDxfId="245" totalsRowBorderDxfId="244">
  <autoFilter ref="E25:I31" xr:uid="{00000000-0009-0000-0100-0000AC000000}"/>
  <sortState xmlns:xlrd2="http://schemas.microsoft.com/office/spreadsheetml/2017/richdata2" ref="E26:I31">
    <sortCondition ref="E25:E31"/>
  </sortState>
  <tableColumns count="5">
    <tableColumn id="1" xr3:uid="{00000000-0010-0000-9E00-000001000000}" name="Nº Venda" dataDxfId="243"/>
    <tableColumn id="2" xr3:uid="{00000000-0010-0000-9E00-000002000000}" name="Cliente" dataDxfId="242"/>
    <tableColumn id="3" xr3:uid="{00000000-0010-0000-9E00-000003000000}" name="Forma de Pgto" dataDxfId="241" dataCellStyle="Moeda"/>
    <tableColumn id="4" xr3:uid="{00000000-0010-0000-9E00-000004000000}" name="Valor Venda" dataDxfId="240" dataCellStyle="Porcentagem"/>
    <tableColumn id="5" xr3:uid="{00000000-0010-0000-9E00-00000500000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9F000000}" name="os_entr_dia27" displayName="os_entr_dia27" ref="K14:M31" totalsRowShown="0" headerRowDxfId="238" dataDxfId="236" headerRowBorderDxfId="237" tableBorderDxfId="235" totalsRowBorderDxfId="234">
  <autoFilter ref="K14:M31" xr:uid="{00000000-0009-0000-0100-0000AD000000}"/>
  <tableColumns count="3">
    <tableColumn id="1" xr3:uid="{00000000-0010-0000-9F00-000001000000}" name="OS" dataDxfId="233"/>
    <tableColumn id="2" xr3:uid="{00000000-0010-0000-9F00-000002000000}" name="Vendedor" dataDxfId="232"/>
    <tableColumn id="3" xr3:uid="{00000000-0010-0000-9F00-000003000000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0000000}" name="rec_carn27" displayName="rec_carn27" ref="E34:I41" totalsRowShown="0" headerRowDxfId="230" dataDxfId="228" headerRowBorderDxfId="229" tableBorderDxfId="227" totalsRowBorderDxfId="226">
  <autoFilter ref="E34:I41" xr:uid="{00000000-0009-0000-0100-0000AE000000}"/>
  <sortState xmlns:xlrd2="http://schemas.microsoft.com/office/spreadsheetml/2017/richdata2" ref="E35:I40">
    <sortCondition ref="E25:E31"/>
  </sortState>
  <tableColumns count="5">
    <tableColumn id="1" xr3:uid="{00000000-0010-0000-A000-000001000000}" name="OS" dataDxfId="225"/>
    <tableColumn id="2" xr3:uid="{00000000-0010-0000-A000-000002000000}" name="Cliente" dataDxfId="224"/>
    <tableColumn id="3" xr3:uid="{00000000-0010-0000-A000-000003000000}" name="Forma de Pgto" dataDxfId="223" dataCellStyle="Moeda"/>
    <tableColumn id="4" xr3:uid="{00000000-0010-0000-A000-000004000000}" name="Valor Parcela" dataDxfId="222" dataCellStyle="Porcentagem"/>
    <tableColumn id="5" xr3:uid="{00000000-0010-0000-A000-000005000000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1000000}" name="entr_carn27" displayName="entr_carn27" ref="K34:M41" totalsRowShown="0" headerRowDxfId="220" headerRowBorderDxfId="219" tableBorderDxfId="218" totalsRowBorderDxfId="217">
  <autoFilter ref="K34:M41" xr:uid="{00000000-0009-0000-0100-0000AF000000}"/>
  <tableColumns count="3">
    <tableColumn id="1" xr3:uid="{00000000-0010-0000-A100-000001000000}" name="OS" dataDxfId="216"/>
    <tableColumn id="2" xr3:uid="{00000000-0010-0000-A100-000002000000}" name="Parcelas" dataDxfId="215"/>
    <tableColumn id="3" xr3:uid="{00000000-0010-0000-A100-000003000000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2000000}" name="vend28" displayName="vend28" ref="E5:I22" totalsRowShown="0" headerRowDxfId="213" dataDxfId="211" headerRowBorderDxfId="212" tableBorderDxfId="210" totalsRowBorderDxfId="209">
  <autoFilter ref="E5:I22" xr:uid="{00000000-0009-0000-0100-0000A4000000}"/>
  <sortState xmlns:xlrd2="http://schemas.microsoft.com/office/spreadsheetml/2017/richdata2" ref="E6:I22">
    <sortCondition ref="E5:E22"/>
  </sortState>
  <tableColumns count="5">
    <tableColumn id="1" xr3:uid="{00000000-0010-0000-A200-000001000000}" name="Nº Venda" dataDxfId="208" dataCellStyle="Moeda"/>
    <tableColumn id="5" xr3:uid="{00000000-0010-0000-A200-000005000000}" name="Cliente" dataDxfId="207" dataCellStyle="Moeda"/>
    <tableColumn id="2" xr3:uid="{00000000-0010-0000-A200-000002000000}" name="Forma de Pgto" dataDxfId="206" dataCellStyle="Moeda"/>
    <tableColumn id="3" xr3:uid="{00000000-0010-0000-A200-000003000000}" name="Valor Venda" dataDxfId="205" dataCellStyle="Porcentagem"/>
    <tableColumn id="4" xr3:uid="{00000000-0010-0000-A200-000004000000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3000000}" name="desp28" displayName="desp28" ref="K5:M11" totalsRowShown="0" headerRowDxfId="203" dataDxfId="201" headerRowBorderDxfId="202" tableBorderDxfId="200" totalsRowBorderDxfId="199">
  <autoFilter ref="K5:M11" xr:uid="{00000000-0009-0000-0100-0000A5000000}"/>
  <tableColumns count="3">
    <tableColumn id="1" xr3:uid="{00000000-0010-0000-A300-000001000000}" name="Descrição" dataDxfId="198"/>
    <tableColumn id="2" xr3:uid="{00000000-0010-0000-A300-000002000000}" name="Tipo de Pagto" dataDxfId="197"/>
    <tableColumn id="3" xr3:uid="{00000000-0010-0000-A300-000003000000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4000000}" name="rest_entr28" displayName="rest_entr28" ref="E25:I31" totalsRowShown="0" headerRowDxfId="195" dataDxfId="193" headerRowBorderDxfId="194" tableBorderDxfId="192" totalsRowBorderDxfId="191">
  <autoFilter ref="E25:I31" xr:uid="{00000000-0009-0000-0100-0000A6000000}"/>
  <sortState xmlns:xlrd2="http://schemas.microsoft.com/office/spreadsheetml/2017/richdata2" ref="E26:I31">
    <sortCondition ref="E25:E31"/>
  </sortState>
  <tableColumns count="5">
    <tableColumn id="1" xr3:uid="{00000000-0010-0000-A400-000001000000}" name="Nº Venda" dataDxfId="190"/>
    <tableColumn id="2" xr3:uid="{00000000-0010-0000-A400-000002000000}" name="Cliente" dataDxfId="189"/>
    <tableColumn id="3" xr3:uid="{00000000-0010-0000-A400-000003000000}" name="Forma de Pgto" dataDxfId="188" dataCellStyle="Moeda"/>
    <tableColumn id="4" xr3:uid="{00000000-0010-0000-A400-000004000000}" name="Valor Venda" dataDxfId="187" dataCellStyle="Porcentagem"/>
    <tableColumn id="5" xr3:uid="{00000000-0010-0000-A400-000005000000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5000000}" name="os_entr_dia28" displayName="os_entr_dia28" ref="K14:M31" totalsRowShown="0" headerRowDxfId="185" dataDxfId="183" headerRowBorderDxfId="184" tableBorderDxfId="182" totalsRowBorderDxfId="181">
  <autoFilter ref="K14:M31" xr:uid="{00000000-0009-0000-0100-0000A7000000}"/>
  <tableColumns count="3">
    <tableColumn id="1" xr3:uid="{00000000-0010-0000-A500-000001000000}" name="OS" dataDxfId="180"/>
    <tableColumn id="2" xr3:uid="{00000000-0010-0000-A500-000002000000}" name="Vendedor" dataDxfId="179"/>
    <tableColumn id="3" xr3:uid="{00000000-0010-0000-A500-00000300000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6000000}" name="rec_carn28" displayName="rec_carn28" ref="E34:I41" totalsRowShown="0" headerRowDxfId="177" dataDxfId="175" headerRowBorderDxfId="176" tableBorderDxfId="174" totalsRowBorderDxfId="173">
  <autoFilter ref="E34:I41" xr:uid="{00000000-0009-0000-0100-0000A8000000}"/>
  <sortState xmlns:xlrd2="http://schemas.microsoft.com/office/spreadsheetml/2017/richdata2" ref="E35:I40">
    <sortCondition ref="E25:E31"/>
  </sortState>
  <tableColumns count="5">
    <tableColumn id="1" xr3:uid="{00000000-0010-0000-A600-000001000000}" name="OS" dataDxfId="172"/>
    <tableColumn id="2" xr3:uid="{00000000-0010-0000-A600-000002000000}" name="Cliente" dataDxfId="171"/>
    <tableColumn id="3" xr3:uid="{00000000-0010-0000-A600-000003000000}" name="Forma de Pgto" dataDxfId="170" dataCellStyle="Moeda"/>
    <tableColumn id="4" xr3:uid="{00000000-0010-0000-A600-000004000000}" name="Valor Parcela" dataDxfId="169" dataCellStyle="Porcentagem"/>
    <tableColumn id="5" xr3:uid="{00000000-0010-0000-A600-000005000000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7000000}" name="entr_carn28" displayName="entr_carn28" ref="K34:M41" totalsRowShown="0" headerRowDxfId="167" headerRowBorderDxfId="166" tableBorderDxfId="165" totalsRowBorderDxfId="164">
  <autoFilter ref="K34:M41" xr:uid="{00000000-0009-0000-0100-0000A9000000}"/>
  <tableColumns count="3">
    <tableColumn id="1" xr3:uid="{00000000-0010-0000-A700-000001000000}" name="OS" dataDxfId="163"/>
    <tableColumn id="2" xr3:uid="{00000000-0010-0000-A700-000002000000}" name="Parcelas" dataDxfId="162"/>
    <tableColumn id="3" xr3:uid="{00000000-0010-0000-A700-000003000000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A8000000}" name="vend29" displayName="vend29" ref="E5:I23" totalsRowShown="0" headerRowDxfId="160" dataDxfId="158" headerRowBorderDxfId="159" tableBorderDxfId="157" totalsRowBorderDxfId="156">
  <autoFilter ref="E5:I23" xr:uid="{00000000-0009-0000-0100-00008C000000}"/>
  <sortState xmlns:xlrd2="http://schemas.microsoft.com/office/spreadsheetml/2017/richdata2" ref="E6:I22">
    <sortCondition ref="E5:E22"/>
  </sortState>
  <tableColumns count="5">
    <tableColumn id="1" xr3:uid="{00000000-0010-0000-A800-000001000000}" name="Nº Venda" dataDxfId="155" dataCellStyle="Moeda"/>
    <tableColumn id="5" xr3:uid="{00000000-0010-0000-A800-000005000000}" name="Cliente" dataDxfId="154" dataCellStyle="Moeda"/>
    <tableColumn id="2" xr3:uid="{00000000-0010-0000-A800-000002000000}" name="Forma de Pgto" dataDxfId="153" dataCellStyle="Moeda"/>
    <tableColumn id="3" xr3:uid="{00000000-0010-0000-A800-000003000000}" name="Valor Venda" dataDxfId="152" dataCellStyle="Porcentagem"/>
    <tableColumn id="4" xr3:uid="{00000000-0010-0000-A800-000004000000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A9000000}" name="desp29" displayName="desp29" ref="K5:M11" totalsRowShown="0" headerRowDxfId="150" dataDxfId="148" headerRowBorderDxfId="149" tableBorderDxfId="147" totalsRowBorderDxfId="146">
  <autoFilter ref="K5:M11" xr:uid="{00000000-0009-0000-0100-00008D000000}"/>
  <tableColumns count="3">
    <tableColumn id="1" xr3:uid="{00000000-0010-0000-A900-000001000000}" name="Descrição" dataDxfId="145"/>
    <tableColumn id="2" xr3:uid="{00000000-0010-0000-A900-000002000000}" name="Tipo de Pagto" dataDxfId="144"/>
    <tableColumn id="3" xr3:uid="{00000000-0010-0000-A900-000003000000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AA000000}" name="rest_entr29" displayName="rest_entr29" ref="E26:I32" totalsRowShown="0" headerRowDxfId="142" dataDxfId="140" headerRowBorderDxfId="141" tableBorderDxfId="139" totalsRowBorderDxfId="138">
  <autoFilter ref="E26:I32" xr:uid="{00000000-0009-0000-0100-00008E000000}"/>
  <sortState xmlns:xlrd2="http://schemas.microsoft.com/office/spreadsheetml/2017/richdata2" ref="E26:I31">
    <sortCondition ref="E25:E31"/>
  </sortState>
  <tableColumns count="5">
    <tableColumn id="1" xr3:uid="{00000000-0010-0000-AA00-000001000000}" name="Nº Venda" dataDxfId="137"/>
    <tableColumn id="2" xr3:uid="{00000000-0010-0000-AA00-000002000000}" name="Cliente" dataDxfId="136"/>
    <tableColumn id="3" xr3:uid="{00000000-0010-0000-AA00-000003000000}" name="Forma de Pgto" dataDxfId="135" dataCellStyle="Moeda"/>
    <tableColumn id="4" xr3:uid="{00000000-0010-0000-AA00-000004000000}" name="Valor Venda" dataDxfId="134" dataCellStyle="Porcentagem"/>
    <tableColumn id="5" xr3:uid="{00000000-0010-0000-AA00-000005000000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AB000000}" name="os_entr_dia29" displayName="os_entr_dia29" ref="K14:M31" totalsRowShown="0" headerRowDxfId="132" dataDxfId="130" headerRowBorderDxfId="131" tableBorderDxfId="129" totalsRowBorderDxfId="128">
  <autoFilter ref="K14:M31" xr:uid="{00000000-0009-0000-0100-00008F000000}"/>
  <tableColumns count="3">
    <tableColumn id="1" xr3:uid="{00000000-0010-0000-AB00-000001000000}" name="OS" dataDxfId="127"/>
    <tableColumn id="2" xr3:uid="{00000000-0010-0000-AB00-000002000000}" name="Vendedor" dataDxfId="126"/>
    <tableColumn id="3" xr3:uid="{00000000-0010-0000-AB00-000003000000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AC000000}" name="rec_carn29" displayName="rec_carn29" ref="E35:I42" totalsRowShown="0" headerRowDxfId="124" dataDxfId="122" headerRowBorderDxfId="123" tableBorderDxfId="121" totalsRowBorderDxfId="120">
  <autoFilter ref="E35:I42" xr:uid="{00000000-0009-0000-0100-000090000000}"/>
  <sortState xmlns:xlrd2="http://schemas.microsoft.com/office/spreadsheetml/2017/richdata2" ref="E35:I40">
    <sortCondition ref="E25:E31"/>
  </sortState>
  <tableColumns count="5">
    <tableColumn id="1" xr3:uid="{00000000-0010-0000-AC00-000001000000}" name="OS" dataDxfId="119"/>
    <tableColumn id="2" xr3:uid="{00000000-0010-0000-AC00-000002000000}" name="Cliente" dataDxfId="118"/>
    <tableColumn id="3" xr3:uid="{00000000-0010-0000-AC00-000003000000}" name="Forma de Pgto" dataDxfId="117" dataCellStyle="Moeda"/>
    <tableColumn id="4" xr3:uid="{00000000-0010-0000-AC00-000004000000}" name="Valor Parcela" dataDxfId="116" dataCellStyle="Porcentagem"/>
    <tableColumn id="5" xr3:uid="{00000000-0010-0000-AC00-000005000000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AD000000}" name="entr_carn29" displayName="entr_carn29" ref="K34:M41" totalsRowShown="0" headerRowDxfId="114" headerRowBorderDxfId="113" tableBorderDxfId="112" totalsRowBorderDxfId="111">
  <autoFilter ref="K34:M41" xr:uid="{00000000-0009-0000-0100-000091000000}"/>
  <tableColumns count="3">
    <tableColumn id="1" xr3:uid="{00000000-0010-0000-AD00-000001000000}" name="OS" dataDxfId="110"/>
    <tableColumn id="2" xr3:uid="{00000000-0010-0000-AD00-000002000000}" name="Parcelas" dataDxfId="109"/>
    <tableColumn id="3" xr3:uid="{00000000-0010-0000-AD00-000003000000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AE000000}" name="vend30" displayName="vend30" ref="E5:I22" totalsRowShown="0" headerRowDxfId="107" dataDxfId="105" headerRowBorderDxfId="106" tableBorderDxfId="104" totalsRowBorderDxfId="103">
  <autoFilter ref="E5:I22" xr:uid="{00000000-0009-0000-0100-0000B6000000}"/>
  <sortState xmlns:xlrd2="http://schemas.microsoft.com/office/spreadsheetml/2017/richdata2" ref="E6:I22">
    <sortCondition ref="E5:E22"/>
  </sortState>
  <tableColumns count="5">
    <tableColumn id="1" xr3:uid="{00000000-0010-0000-AE00-000001000000}" name="Nº Venda" dataDxfId="102" dataCellStyle="Moeda"/>
    <tableColumn id="5" xr3:uid="{00000000-0010-0000-AE00-000005000000}" name="Cliente" dataDxfId="101" dataCellStyle="Moeda"/>
    <tableColumn id="2" xr3:uid="{00000000-0010-0000-AE00-000002000000}" name="Forma de Pgto" dataDxfId="100" dataCellStyle="Moeda"/>
    <tableColumn id="3" xr3:uid="{00000000-0010-0000-AE00-000003000000}" name="Valor Venda" dataDxfId="99" dataCellStyle="Porcentagem"/>
    <tableColumn id="4" xr3:uid="{00000000-0010-0000-AE00-000004000000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AF000000}" name="desp30" displayName="desp30" ref="K5:M11" totalsRowShown="0" headerRowDxfId="97" dataDxfId="95" headerRowBorderDxfId="96" tableBorderDxfId="94" totalsRowBorderDxfId="93">
  <autoFilter ref="K5:M11" xr:uid="{00000000-0009-0000-0100-0000B7000000}"/>
  <tableColumns count="3">
    <tableColumn id="1" xr3:uid="{00000000-0010-0000-AF00-000001000000}" name="Descrição" dataDxfId="92"/>
    <tableColumn id="2" xr3:uid="{00000000-0010-0000-AF00-000002000000}" name="Tipo de Pagto" dataDxfId="91"/>
    <tableColumn id="3" xr3:uid="{00000000-0010-0000-AF00-000003000000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0000000}" name="rest_entr30" displayName="rest_entr30" ref="E25:I31" totalsRowShown="0" headerRowDxfId="89" dataDxfId="87" headerRowBorderDxfId="88" tableBorderDxfId="86" totalsRowBorderDxfId="85">
  <autoFilter ref="E25:I31" xr:uid="{00000000-0009-0000-0100-0000B8000000}"/>
  <sortState xmlns:xlrd2="http://schemas.microsoft.com/office/spreadsheetml/2017/richdata2" ref="E26:I31">
    <sortCondition ref="E25:E31"/>
  </sortState>
  <tableColumns count="5">
    <tableColumn id="1" xr3:uid="{00000000-0010-0000-B000-000001000000}" name="Nº Venda" dataDxfId="84"/>
    <tableColumn id="2" xr3:uid="{00000000-0010-0000-B000-000002000000}" name="Cliente" dataDxfId="83"/>
    <tableColumn id="3" xr3:uid="{00000000-0010-0000-B000-000003000000}" name="Forma de Pgto" dataDxfId="82" dataCellStyle="Moeda"/>
    <tableColumn id="4" xr3:uid="{00000000-0010-0000-B000-000004000000}" name="Valor Venda" dataDxfId="81" dataCellStyle="Porcentagem"/>
    <tableColumn id="5" xr3:uid="{00000000-0010-0000-B000-000005000000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1000000}" name="os_entr_dia30" displayName="os_entr_dia30" ref="K14:M31" totalsRowShown="0" headerRowDxfId="79" dataDxfId="77" headerRowBorderDxfId="78" tableBorderDxfId="76" totalsRowBorderDxfId="75">
  <autoFilter ref="K14:M31" xr:uid="{00000000-0009-0000-0100-0000B9000000}"/>
  <tableColumns count="3">
    <tableColumn id="1" xr3:uid="{00000000-0010-0000-B100-000001000000}" name="OS" dataDxfId="74"/>
    <tableColumn id="2" xr3:uid="{00000000-0010-0000-B100-000002000000}" name="Vendedor" dataDxfId="73"/>
    <tableColumn id="3" xr3:uid="{00000000-0010-0000-B100-000003000000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2000000}" name="rec_carn30" displayName="rec_carn30" ref="E34:I41" totalsRowShown="0" headerRowDxfId="71" dataDxfId="69" headerRowBorderDxfId="70" tableBorderDxfId="68" totalsRowBorderDxfId="67">
  <autoFilter ref="E34:I41" xr:uid="{00000000-0009-0000-0100-0000BA000000}"/>
  <sortState xmlns:xlrd2="http://schemas.microsoft.com/office/spreadsheetml/2017/richdata2" ref="E35:I40">
    <sortCondition ref="E25:E31"/>
  </sortState>
  <tableColumns count="5">
    <tableColumn id="1" xr3:uid="{00000000-0010-0000-B200-000001000000}" name="OS" dataDxfId="66"/>
    <tableColumn id="2" xr3:uid="{00000000-0010-0000-B200-000002000000}" name="Cliente" dataDxfId="65"/>
    <tableColumn id="3" xr3:uid="{00000000-0010-0000-B200-000003000000}" name="Forma de Pgto" dataDxfId="64" dataCellStyle="Moeda"/>
    <tableColumn id="4" xr3:uid="{00000000-0010-0000-B200-000004000000}" name="Valor Parcela" dataDxfId="63" dataCellStyle="Porcentagem"/>
    <tableColumn id="5" xr3:uid="{00000000-0010-0000-B200-000005000000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3000000}" name="entr_carn30" displayName="entr_carn30" ref="K34:M41" totalsRowShown="0" headerRowDxfId="61" headerRowBorderDxfId="60" tableBorderDxfId="59" totalsRowBorderDxfId="58">
  <autoFilter ref="K34:M41" xr:uid="{00000000-0009-0000-0100-0000BB000000}"/>
  <tableColumns count="3">
    <tableColumn id="1" xr3:uid="{00000000-0010-0000-B300-000001000000}" name="OS" dataDxfId="57"/>
    <tableColumn id="2" xr3:uid="{00000000-0010-0000-B300-000002000000}" name="Parcelas" dataDxfId="56"/>
    <tableColumn id="3" xr3:uid="{00000000-0010-0000-B300-000003000000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B4000000}" name="vend31" displayName="vend31" ref="E5:I22" totalsRowShown="0" headerRowDxfId="54" dataDxfId="52" headerRowBorderDxfId="53" tableBorderDxfId="51" totalsRowBorderDxfId="50">
  <autoFilter ref="E5:I22" xr:uid="{00000000-0009-0000-0100-0000B0000000}"/>
  <sortState xmlns:xlrd2="http://schemas.microsoft.com/office/spreadsheetml/2017/richdata2" ref="E6:I22">
    <sortCondition ref="E5:E22"/>
  </sortState>
  <tableColumns count="5">
    <tableColumn id="1" xr3:uid="{00000000-0010-0000-B400-000001000000}" name="Nº Venda" dataDxfId="49" dataCellStyle="Moeda"/>
    <tableColumn id="5" xr3:uid="{00000000-0010-0000-B400-000005000000}" name="Cliente" dataDxfId="48" dataCellStyle="Moeda"/>
    <tableColumn id="2" xr3:uid="{00000000-0010-0000-B400-000002000000}" name="Forma de Pgto" dataDxfId="47" dataCellStyle="Moeda"/>
    <tableColumn id="3" xr3:uid="{00000000-0010-0000-B400-000003000000}" name="Valor Venda" dataDxfId="46" dataCellStyle="Porcentagem"/>
    <tableColumn id="4" xr3:uid="{00000000-0010-0000-B400-000004000000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5000000}" name="desp31" displayName="desp31" ref="K5:M11" totalsRowShown="0" headerRowDxfId="44" dataDxfId="42" headerRowBorderDxfId="43" tableBorderDxfId="41" totalsRowBorderDxfId="40">
  <autoFilter ref="K5:M11" xr:uid="{00000000-0009-0000-0100-0000B1000000}"/>
  <tableColumns count="3">
    <tableColumn id="1" xr3:uid="{00000000-0010-0000-B500-000001000000}" name="Descrição" dataDxfId="39"/>
    <tableColumn id="2" xr3:uid="{00000000-0010-0000-B500-000002000000}" name="Tipo de Pagto" dataDxfId="38"/>
    <tableColumn id="3" xr3:uid="{00000000-0010-0000-B500-000003000000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6000000}" name="rest_entr31" displayName="rest_entr31" ref="E25:I31" totalsRowShown="0" headerRowDxfId="36" dataDxfId="34" headerRowBorderDxfId="35" tableBorderDxfId="33" totalsRowBorderDxfId="32">
  <autoFilter ref="E25:I31" xr:uid="{00000000-0009-0000-0100-0000B2000000}"/>
  <sortState xmlns:xlrd2="http://schemas.microsoft.com/office/spreadsheetml/2017/richdata2" ref="E26:I31">
    <sortCondition ref="E25:E31"/>
  </sortState>
  <tableColumns count="5">
    <tableColumn id="1" xr3:uid="{00000000-0010-0000-B600-000001000000}" name="Nº Venda" dataDxfId="31"/>
    <tableColumn id="2" xr3:uid="{00000000-0010-0000-B600-000002000000}" name="Cliente" dataDxfId="30"/>
    <tableColumn id="3" xr3:uid="{00000000-0010-0000-B600-000003000000}" name="Forma de Pgto" dataDxfId="29" dataCellStyle="Moeda"/>
    <tableColumn id="4" xr3:uid="{00000000-0010-0000-B600-000004000000}" name="Valor Venda" dataDxfId="28" dataCellStyle="Porcentagem"/>
    <tableColumn id="5" xr3:uid="{00000000-0010-0000-B600-000005000000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7000000}" name="os_entr_dia31" displayName="os_entr_dia31" ref="K14:M31" totalsRowShown="0" headerRowDxfId="26" dataDxfId="24" headerRowBorderDxfId="25" tableBorderDxfId="23" totalsRowBorderDxfId="22">
  <autoFilter ref="K14:M31" xr:uid="{00000000-0009-0000-0100-0000B3000000}"/>
  <tableColumns count="3">
    <tableColumn id="1" xr3:uid="{00000000-0010-0000-B700-000001000000}" name="OS" dataDxfId="21"/>
    <tableColumn id="2" xr3:uid="{00000000-0010-0000-B700-000002000000}" name="Vendedor" dataDxfId="20"/>
    <tableColumn id="3" xr3:uid="{00000000-0010-0000-B700-000003000000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8000000}" name="rec_carn31" displayName="rec_carn31" ref="E34:I41" totalsRowShown="0" headerRowDxfId="18" dataDxfId="16" headerRowBorderDxfId="17" tableBorderDxfId="15" totalsRowBorderDxfId="14">
  <autoFilter ref="E34:I41" xr:uid="{00000000-0009-0000-0100-0000B4000000}"/>
  <sortState xmlns:xlrd2="http://schemas.microsoft.com/office/spreadsheetml/2017/richdata2" ref="E35:I40">
    <sortCondition ref="E25:E31"/>
  </sortState>
  <tableColumns count="5">
    <tableColumn id="1" xr3:uid="{00000000-0010-0000-B800-000001000000}" name="OS" dataDxfId="13"/>
    <tableColumn id="2" xr3:uid="{00000000-0010-0000-B800-000002000000}" name="Cliente" dataDxfId="12"/>
    <tableColumn id="3" xr3:uid="{00000000-0010-0000-B800-000003000000}" name="Forma de Pgto" dataDxfId="11" dataCellStyle="Moeda"/>
    <tableColumn id="4" xr3:uid="{00000000-0010-0000-B800-000004000000}" name="Valor Parcela" dataDxfId="10" dataCellStyle="Porcentagem"/>
    <tableColumn id="5" xr3:uid="{00000000-0010-0000-B800-000005000000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9000000}" name="entr_carn31" displayName="entr_carn31" ref="K34:M41" totalsRowShown="0" headerRowDxfId="8" headerRowBorderDxfId="7" tableBorderDxfId="6" totalsRowBorderDxfId="5">
  <autoFilter ref="K34:M41" xr:uid="{00000000-0009-0000-0100-0000B5000000}"/>
  <tableColumns count="3">
    <tableColumn id="1" xr3:uid="{00000000-0010-0000-B900-000001000000}" name="OS" dataDxfId="4"/>
    <tableColumn id="2" xr3:uid="{00000000-0010-0000-B900-000002000000}" name="Parcelas" dataDxfId="3"/>
    <tableColumn id="3" xr3:uid="{00000000-0010-0000-B900-000003000000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BA000000}" name="Tabela2" displayName="Tabela2" ref="A1:B9" totalsRowShown="0" headerRowDxfId="1">
  <autoFilter ref="A1:B9" xr:uid="{00000000-0009-0000-0100-000001000000}"/>
  <tableColumns count="2">
    <tableColumn id="1" xr3:uid="{00000000-0010-0000-BA00-000001000000}" name="Tipo Pagto"/>
    <tableColumn id="2" xr3:uid="{00000000-0010-0000-BA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ela188" displayName="Tabela188" ref="E1:E79" totalsRowShown="0" headerRowDxfId="0">
  <autoFilter ref="E1:E79" xr:uid="{00000000-0009-0000-0100-0000BC000000}"/>
  <tableColumns count="1">
    <tableColumn id="1" xr3:uid="{00000000-0010-0000-BB00-000001000000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8"/>
  <sheetViews>
    <sheetView workbookViewId="0">
      <selection activeCell="D15" sqref="D15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19175.900000000001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16765.489999999998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87</v>
      </c>
    </row>
    <row r="6" spans="1:2" ht="15.75" x14ac:dyDescent="0.25">
      <c r="A6" s="28" t="s">
        <v>4</v>
      </c>
      <c r="B6" s="29">
        <f>SUM(B4:B5)</f>
        <v>16852.489999999998</v>
      </c>
    </row>
    <row r="7" spans="1:2" ht="15" x14ac:dyDescent="0.25">
      <c r="A7" s="2"/>
      <c r="B7" s="2"/>
    </row>
    <row r="8" spans="1:2" ht="15" x14ac:dyDescent="0.2">
      <c r="A8" s="77" t="s">
        <v>5</v>
      </c>
      <c r="B8" s="77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3849.66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4045.83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4564.99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4564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1798.75</v>
      </c>
    </row>
    <row r="14" spans="1:2" ht="15.75" x14ac:dyDescent="0.25">
      <c r="A14" s="28" t="s">
        <v>11</v>
      </c>
      <c r="B14" s="32">
        <f>SUM(B9:B13)</f>
        <v>18823.23</v>
      </c>
    </row>
    <row r="15" spans="1:2" ht="15" x14ac:dyDescent="0.25">
      <c r="A15" s="2"/>
      <c r="B15" s="2"/>
    </row>
    <row r="16" spans="1:2" ht="15" x14ac:dyDescent="0.2">
      <c r="A16" s="77" t="s">
        <v>12</v>
      </c>
      <c r="B16" s="77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921.99</v>
      </c>
    </row>
    <row r="18" spans="1:2" ht="15.75" x14ac:dyDescent="0.25">
      <c r="A18" s="28" t="s">
        <v>11</v>
      </c>
      <c r="B18" s="32">
        <f>SUM(B17:B17)</f>
        <v>921.99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1"/>
  <sheetViews>
    <sheetView showGridLines="0" topLeftCell="C1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45170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400</v>
      </c>
      <c r="F6" s="25" t="s">
        <v>21</v>
      </c>
      <c r="G6" s="48" t="s">
        <v>22</v>
      </c>
      <c r="H6" s="8">
        <v>0</v>
      </c>
      <c r="I6" s="8">
        <v>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380</v>
      </c>
      <c r="L15" s="9" t="s">
        <v>28</v>
      </c>
      <c r="M15" s="16" t="s">
        <v>29</v>
      </c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358</v>
      </c>
      <c r="L16" s="9" t="s">
        <v>28</v>
      </c>
      <c r="M16" s="16" t="s">
        <v>29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6" t="s">
        <v>25</v>
      </c>
      <c r="L34" s="6" t="s">
        <v>35</v>
      </c>
      <c r="M34" s="6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100-000000000000}">
      <formula1>"Sim, Não"</formula1>
    </dataValidation>
    <dataValidation type="list" allowBlank="1" showInputMessage="1" showErrorMessage="1" sqref="L35:L41" xr:uid="{00000000-0002-0000-0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showGridLines="0" topLeftCell="A3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45171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950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23</v>
      </c>
      <c r="C8" s="29">
        <f>SUM(C6:C7)</f>
        <v>950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950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379</v>
      </c>
      <c r="L15" s="9" t="s">
        <v>38</v>
      </c>
      <c r="M15" s="16" t="s">
        <v>29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950</v>
      </c>
      <c r="D16" s="2"/>
      <c r="E16" s="18"/>
      <c r="F16" s="25"/>
      <c r="G16" s="26"/>
      <c r="H16" s="8"/>
      <c r="I16" s="8"/>
      <c r="J16" s="2"/>
      <c r="K16" s="25">
        <v>387</v>
      </c>
      <c r="L16" s="9" t="s">
        <v>28</v>
      </c>
      <c r="M16" s="16" t="s">
        <v>29</v>
      </c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371</v>
      </c>
      <c r="L17" s="9" t="s">
        <v>39</v>
      </c>
      <c r="M17" s="16" t="s">
        <v>29</v>
      </c>
      <c r="R17" s="1">
        <f>IF(vend2[[#This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>
        <v>377</v>
      </c>
      <c r="L18" s="9" t="s">
        <v>38</v>
      </c>
      <c r="M18" s="16" t="s">
        <v>29</v>
      </c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371</v>
      </c>
      <c r="F26" s="25" t="s">
        <v>40</v>
      </c>
      <c r="G26" s="26" t="s">
        <v>9</v>
      </c>
      <c r="H26" s="8"/>
      <c r="I26" s="8">
        <v>950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200-000000000000}">
      <formula1>"1,2,3,4,5,6,7,8,9,10"</formula1>
    </dataValidation>
    <dataValidation type="list" allowBlank="1" showInputMessage="1" showErrorMessage="1" sqref="M15:M31" xr:uid="{00000000-0002-0000-0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C11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45172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300-000000000000}">
      <formula1>"Sim, Não"</formula1>
    </dataValidation>
    <dataValidation type="list" allowBlank="1" showInputMessage="1" showErrorMessage="1" sqref="L35:L41" xr:uid="{00000000-0002-0000-03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3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1"/>
  <sheetViews>
    <sheetView showGridLines="0" topLeftCell="A3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45173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401</v>
      </c>
      <c r="F6" s="25" t="s">
        <v>41</v>
      </c>
      <c r="G6" s="48" t="s">
        <v>22</v>
      </c>
      <c r="H6" s="8">
        <v>0</v>
      </c>
      <c r="I6" s="8">
        <v>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23</v>
      </c>
      <c r="C8" s="29">
        <f>SUM(C6:C7)</f>
        <v>100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381</v>
      </c>
      <c r="L15" s="9" t="s">
        <v>28</v>
      </c>
      <c r="M15" s="16" t="s">
        <v>29</v>
      </c>
      <c r="R15" s="1">
        <f>IF(vend4[[#This Row],[Nº Venda]]&gt;1,1,0)</f>
        <v>0</v>
      </c>
    </row>
    <row r="16" spans="2:18" ht="15.75" x14ac:dyDescent="0.25">
      <c r="B16" s="28" t="s">
        <v>11</v>
      </c>
      <c r="C16" s="32">
        <f>SUM(C11:C15)</f>
        <v>230</v>
      </c>
      <c r="D16" s="2"/>
      <c r="E16" s="18"/>
      <c r="F16" s="25"/>
      <c r="G16" s="26"/>
      <c r="H16" s="8"/>
      <c r="I16" s="8"/>
      <c r="J16" s="2"/>
      <c r="K16" s="25">
        <v>378</v>
      </c>
      <c r="L16" s="9" t="s">
        <v>42</v>
      </c>
      <c r="M16" s="16" t="s">
        <v>29</v>
      </c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369</v>
      </c>
      <c r="F26" s="25" t="s">
        <v>43</v>
      </c>
      <c r="G26" s="48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256</v>
      </c>
      <c r="F35" s="25" t="s">
        <v>44</v>
      </c>
      <c r="G35" s="26" t="s">
        <v>6</v>
      </c>
      <c r="H35" s="8">
        <v>130</v>
      </c>
      <c r="I35" s="8" t="s">
        <v>45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400-000000000000}">
      <formula1>"1,2,3,4,5,6,7,8,9,10"</formula1>
    </dataValidation>
    <dataValidation type="list" allowBlank="1" showInputMessage="1" showErrorMessage="1" sqref="M15:M31" xr:uid="{00000000-0002-0000-0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R41"/>
  <sheetViews>
    <sheetView showGridLines="0" topLeftCell="C1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45174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102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375</v>
      </c>
      <c r="L15" s="9" t="s">
        <v>38</v>
      </c>
      <c r="M15" s="16" t="s">
        <v>46</v>
      </c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102</v>
      </c>
      <c r="D16" s="2"/>
      <c r="E16" s="18"/>
      <c r="F16" s="25"/>
      <c r="G16" s="26"/>
      <c r="H16" s="8"/>
      <c r="I16" s="8"/>
      <c r="J16" s="2"/>
      <c r="K16" s="25">
        <v>376</v>
      </c>
      <c r="L16" s="9" t="s">
        <v>38</v>
      </c>
      <c r="M16" s="16" t="s">
        <v>29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221</v>
      </c>
      <c r="F35" s="25" t="s">
        <v>47</v>
      </c>
      <c r="G35" s="26" t="s">
        <v>6</v>
      </c>
      <c r="H35" s="8">
        <v>102</v>
      </c>
      <c r="I35" s="8" t="s">
        <v>48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500-000000000000}">
      <formula1>"Sim, Não"</formula1>
    </dataValidation>
    <dataValidation type="list" allowBlank="1" showInputMessage="1" showErrorMessage="1" sqref="L35:L41" xr:uid="{00000000-0002-0000-0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1"/>
  <sheetViews>
    <sheetView showGridLines="0" topLeftCell="C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45175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420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270</v>
      </c>
      <c r="D6" s="2"/>
      <c r="E6" s="18">
        <v>402</v>
      </c>
      <c r="F6" s="25" t="s">
        <v>49</v>
      </c>
      <c r="G6" s="26" t="s">
        <v>22</v>
      </c>
      <c r="H6" s="8">
        <v>0</v>
      </c>
      <c r="I6" s="8">
        <v>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403</v>
      </c>
      <c r="F7" s="25" t="s">
        <v>50</v>
      </c>
      <c r="G7" s="26" t="s">
        <v>22</v>
      </c>
      <c r="H7" s="8">
        <v>0</v>
      </c>
      <c r="I7" s="8">
        <v>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23</v>
      </c>
      <c r="C8" s="29">
        <f>SUM(C6:C7)</f>
        <v>270</v>
      </c>
      <c r="D8" s="2"/>
      <c r="E8" s="18">
        <v>404</v>
      </c>
      <c r="F8" s="25" t="s">
        <v>51</v>
      </c>
      <c r="G8" s="26" t="s">
        <v>6</v>
      </c>
      <c r="H8" s="8">
        <v>420</v>
      </c>
      <c r="I8" s="8">
        <v>150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120</v>
      </c>
      <c r="D15" s="2"/>
      <c r="E15" s="18"/>
      <c r="F15" s="25"/>
      <c r="G15" s="26"/>
      <c r="H15" s="8"/>
      <c r="I15" s="8"/>
      <c r="J15" s="2"/>
      <c r="K15" s="25">
        <v>374</v>
      </c>
      <c r="L15" s="9" t="s">
        <v>38</v>
      </c>
      <c r="M15" s="16" t="s">
        <v>29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270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320</v>
      </c>
      <c r="F26" s="25" t="s">
        <v>52</v>
      </c>
      <c r="G26" s="26" t="s">
        <v>10</v>
      </c>
      <c r="H26" s="8"/>
      <c r="I26" s="8">
        <v>120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600-000000000000}">
      <formula1>"1,2,3,4,5,6,7,8,9,10"</formula1>
    </dataValidation>
    <dataValidation type="list" allowBlank="1" showInputMessage="1" showErrorMessage="1" sqref="M15:M31" xr:uid="{00000000-0002-0000-0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R41"/>
  <sheetViews>
    <sheetView showGridLines="0" topLeftCell="C1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45176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3"/>
      <c r="F6" s="51"/>
      <c r="G6" s="51"/>
      <c r="H6" s="52"/>
      <c r="I6" s="52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/>
      <c r="L15" s="60"/>
      <c r="M15" s="61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00000000-0002-0000-0700-000000000000}">
      <formula1>"Sim, Não"</formula1>
    </dataValidation>
    <dataValidation type="list" allowBlank="1" showInputMessage="1" showErrorMessage="1" sqref="L35:L41" xr:uid="{00000000-0002-0000-0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41"/>
  <sheetViews>
    <sheetView showGridLines="0" topLeftCell="C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45177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798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1088</v>
      </c>
      <c r="D6" s="2"/>
      <c r="E6" s="62">
        <v>405</v>
      </c>
      <c r="F6" s="8" t="s">
        <v>53</v>
      </c>
      <c r="G6" s="8" t="s">
        <v>22</v>
      </c>
      <c r="H6" s="8">
        <v>0</v>
      </c>
      <c r="I6" s="8">
        <v>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2">
        <v>406</v>
      </c>
      <c r="F7" s="8" t="s">
        <v>54</v>
      </c>
      <c r="G7" s="8" t="s">
        <v>6</v>
      </c>
      <c r="H7" s="8">
        <v>299</v>
      </c>
      <c r="I7" s="8">
        <v>7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23</v>
      </c>
      <c r="C8" s="29">
        <f>SUM(C6:C7)</f>
        <v>1088</v>
      </c>
      <c r="D8" s="2"/>
      <c r="E8" s="62">
        <v>407</v>
      </c>
      <c r="F8" s="8" t="s">
        <v>55</v>
      </c>
      <c r="G8" s="8" t="s">
        <v>7</v>
      </c>
      <c r="H8" s="8">
        <v>499</v>
      </c>
      <c r="I8" s="8">
        <v>499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62">
        <v>408</v>
      </c>
      <c r="F9" s="8" t="s">
        <v>56</v>
      </c>
      <c r="G9" s="8" t="s">
        <v>22</v>
      </c>
      <c r="H9" s="8">
        <v>0</v>
      </c>
      <c r="I9" s="8">
        <v>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334.5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499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582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108</v>
      </c>
      <c r="D15" s="2"/>
      <c r="E15" s="18"/>
      <c r="F15" s="25"/>
      <c r="G15" s="26"/>
      <c r="H15" s="8"/>
      <c r="I15" s="8"/>
      <c r="J15" s="2"/>
      <c r="K15" s="25">
        <v>373</v>
      </c>
      <c r="L15" s="9" t="s">
        <v>38</v>
      </c>
      <c r="M15" s="16" t="s">
        <v>29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1523.5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798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>
        <v>373</v>
      </c>
      <c r="F26" s="57" t="s">
        <v>57</v>
      </c>
      <c r="G26" s="58" t="s">
        <v>9</v>
      </c>
      <c r="H26" s="59"/>
      <c r="I26" s="59">
        <v>582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351</v>
      </c>
      <c r="F35" s="25" t="s">
        <v>58</v>
      </c>
      <c r="G35" s="26" t="s">
        <v>10</v>
      </c>
      <c r="H35" s="8">
        <v>108</v>
      </c>
      <c r="I35" s="8" t="s">
        <v>59</v>
      </c>
      <c r="K35" s="25"/>
      <c r="L35" s="42"/>
      <c r="M35" s="16"/>
    </row>
    <row r="36" spans="2:18" ht="15.75" x14ac:dyDescent="0.25">
      <c r="E36" s="18">
        <v>264</v>
      </c>
      <c r="F36" s="25" t="s">
        <v>60</v>
      </c>
      <c r="G36" s="26" t="s">
        <v>6</v>
      </c>
      <c r="H36" s="8">
        <v>50</v>
      </c>
      <c r="I36" s="8" t="s">
        <v>61</v>
      </c>
      <c r="K36" s="25"/>
      <c r="L36" s="42"/>
      <c r="M36" s="16"/>
    </row>
    <row r="37" spans="2:18" ht="15.75" x14ac:dyDescent="0.25">
      <c r="E37" s="18">
        <v>284</v>
      </c>
      <c r="F37" s="25" t="s">
        <v>62</v>
      </c>
      <c r="G37" s="26" t="s">
        <v>6</v>
      </c>
      <c r="H37" s="8">
        <v>120</v>
      </c>
      <c r="I37" s="8" t="s">
        <v>48</v>
      </c>
      <c r="K37" s="25"/>
      <c r="L37" s="42"/>
      <c r="M37" s="16"/>
    </row>
    <row r="38" spans="2:18" ht="15.75" x14ac:dyDescent="0.25">
      <c r="E38" s="18">
        <v>357</v>
      </c>
      <c r="F38" s="25" t="s">
        <v>62</v>
      </c>
      <c r="G38" s="26" t="s">
        <v>6</v>
      </c>
      <c r="H38" s="8">
        <v>47.5</v>
      </c>
      <c r="I38" s="8" t="s">
        <v>63</v>
      </c>
      <c r="K38" s="25"/>
      <c r="L38" s="42"/>
      <c r="M38" s="16"/>
    </row>
    <row r="39" spans="2:18" ht="15.75" x14ac:dyDescent="0.25">
      <c r="E39" s="18">
        <v>221</v>
      </c>
      <c r="F39" s="39" t="s">
        <v>64</v>
      </c>
      <c r="G39" s="26" t="s">
        <v>6</v>
      </c>
      <c r="H39" s="8">
        <v>110</v>
      </c>
      <c r="I39" s="8" t="s">
        <v>65</v>
      </c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800-000000000000}">
      <formula1>"1,2,3,4,5,6,7,8,9,10"</formula1>
    </dataValidation>
    <dataValidation type="list" allowBlank="1" showInputMessage="1" showErrorMessage="1" sqref="M15:M31" xr:uid="{00000000-0002-0000-08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8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41"/>
  <sheetViews>
    <sheetView showGridLines="0" topLeftCell="C1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45178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900-000000000000}">
      <formula1>"Sim, Não"</formula1>
    </dataValidation>
    <dataValidation type="list" allowBlank="1" showInputMessage="1" showErrorMessage="1" sqref="L35:L41" xr:uid="{00000000-0002-0000-0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R41"/>
  <sheetViews>
    <sheetView showGridLines="0" topLeftCell="C1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45179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A00-000000000000}">
      <formula1>"1,2,3,4,5,6,7,8,9,10"</formula1>
    </dataValidation>
    <dataValidation type="list" allowBlank="1" showInputMessage="1" showErrorMessage="1" sqref="M15:M31" xr:uid="{00000000-0002-0000-0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R41"/>
  <sheetViews>
    <sheetView showGridLines="0" zoomScale="60" zoomScaleNormal="6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45180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1732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1315</v>
      </c>
      <c r="D6" s="2"/>
      <c r="E6" s="18">
        <v>409</v>
      </c>
      <c r="F6" s="25" t="s">
        <v>66</v>
      </c>
      <c r="G6" s="26" t="s">
        <v>8</v>
      </c>
      <c r="H6" s="8">
        <v>1100</v>
      </c>
      <c r="I6" s="8">
        <v>1100</v>
      </c>
      <c r="J6" s="2"/>
      <c r="K6" s="25" t="s">
        <v>67</v>
      </c>
      <c r="L6" s="9" t="s">
        <v>68</v>
      </c>
      <c r="M6" s="16">
        <v>12</v>
      </c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>
        <v>410</v>
      </c>
      <c r="F7" s="25" t="s">
        <v>66</v>
      </c>
      <c r="G7" s="26" t="s">
        <v>8</v>
      </c>
      <c r="H7" s="8">
        <v>172</v>
      </c>
      <c r="I7" s="8">
        <v>145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23</v>
      </c>
      <c r="C8" s="29">
        <f>SUM(C6:C7)</f>
        <v>1327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1245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70</v>
      </c>
      <c r="D15" s="2"/>
      <c r="E15" s="18"/>
      <c r="F15" s="25"/>
      <c r="G15" s="26"/>
      <c r="H15" s="8"/>
      <c r="I15" s="8"/>
      <c r="J15" s="2"/>
      <c r="K15" s="25">
        <v>388</v>
      </c>
      <c r="L15" s="9" t="s">
        <v>28</v>
      </c>
      <c r="M15" s="16" t="s">
        <v>29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1315</v>
      </c>
      <c r="D16" s="2"/>
      <c r="E16" s="18"/>
      <c r="F16" s="25"/>
      <c r="G16" s="26"/>
      <c r="H16" s="8"/>
      <c r="I16" s="8"/>
      <c r="J16" s="2"/>
      <c r="K16" s="25">
        <v>384</v>
      </c>
      <c r="L16" s="9" t="s">
        <v>28</v>
      </c>
      <c r="M16" s="16" t="s">
        <v>46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1</v>
      </c>
      <c r="C19" s="31">
        <f>SUM(entr_carn11[Valor Total])</f>
        <v>179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179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1732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393</v>
      </c>
      <c r="F26" s="25" t="s">
        <v>69</v>
      </c>
      <c r="G26" s="48" t="s">
        <v>10</v>
      </c>
      <c r="H26" s="8">
        <v>0</v>
      </c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383</v>
      </c>
      <c r="F27" s="25" t="s">
        <v>70</v>
      </c>
      <c r="G27" s="26" t="s">
        <v>10</v>
      </c>
      <c r="H27" s="8">
        <v>460</v>
      </c>
      <c r="I27" s="8">
        <v>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>
        <v>384</v>
      </c>
      <c r="L35" s="42">
        <v>2</v>
      </c>
      <c r="M35" s="16">
        <v>179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B00-000000000000}">
      <formula1>"1,2,3,4,5,6,7,8,9,10"</formula1>
    </dataValidation>
    <dataValidation type="list" allowBlank="1" showInputMessage="1" showErrorMessage="1" sqref="M15:M31" xr:uid="{00000000-0002-0000-0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R41"/>
  <sheetViews>
    <sheetView showGridLines="0" zoomScale="70" zoomScaleNormal="7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45181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2886.99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1185</v>
      </c>
      <c r="D6" s="2"/>
      <c r="E6" s="67" t="s">
        <v>71</v>
      </c>
      <c r="F6" s="68" t="s">
        <v>72</v>
      </c>
      <c r="G6" s="68" t="s">
        <v>6</v>
      </c>
      <c r="H6" s="69">
        <v>1000</v>
      </c>
      <c r="I6" s="69">
        <v>50</v>
      </c>
      <c r="J6" s="2"/>
      <c r="K6" s="25" t="s">
        <v>67</v>
      </c>
      <c r="L6" s="9" t="s">
        <v>73</v>
      </c>
      <c r="M6" s="16">
        <v>12</v>
      </c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12</v>
      </c>
      <c r="D7" s="2"/>
      <c r="E7" s="70" t="s">
        <v>74</v>
      </c>
      <c r="F7" s="71" t="s">
        <v>75</v>
      </c>
      <c r="G7" s="71" t="s">
        <v>6</v>
      </c>
      <c r="H7" s="72">
        <v>199.99</v>
      </c>
      <c r="I7" s="72">
        <v>10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23</v>
      </c>
      <c r="C8" s="29">
        <f>SUM(C6:C7)</f>
        <v>1197</v>
      </c>
      <c r="D8" s="2"/>
      <c r="E8" s="74">
        <v>413</v>
      </c>
      <c r="F8" s="71" t="s">
        <v>76</v>
      </c>
      <c r="G8" s="71" t="s">
        <v>10</v>
      </c>
      <c r="H8" s="72">
        <v>792</v>
      </c>
      <c r="I8" s="72">
        <v>100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414</v>
      </c>
      <c r="F9" s="25" t="s">
        <v>77</v>
      </c>
      <c r="G9" s="26" t="s">
        <v>78</v>
      </c>
      <c r="H9" s="8">
        <v>30</v>
      </c>
      <c r="I9" s="8">
        <v>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77" t="s">
        <v>5</v>
      </c>
      <c r="C10" s="77"/>
      <c r="D10" s="2"/>
      <c r="E10" s="18">
        <v>415</v>
      </c>
      <c r="F10" s="25" t="s">
        <v>79</v>
      </c>
      <c r="G10" s="26" t="s">
        <v>8</v>
      </c>
      <c r="H10" s="8">
        <v>895</v>
      </c>
      <c r="I10" s="8">
        <v>895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((SUMIF($G$2:$G$31,B11,$I$2:$I$31))+(SUMIF($G$35:$G$41,B11,$H$35:$H$41)))-(SUMIF(desp12[Tipo de Pagto],B11,desp12[Valor]))</f>
        <v>178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895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370</v>
      </c>
      <c r="L15" s="9" t="s">
        <v>39</v>
      </c>
      <c r="M15" s="16" t="s">
        <v>29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1173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2886.99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370</v>
      </c>
      <c r="F26" s="73" t="s">
        <v>80</v>
      </c>
      <c r="G26" s="48" t="s">
        <v>6</v>
      </c>
      <c r="H26" s="8"/>
      <c r="I26" s="8">
        <v>130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0C00-000000000000}">
      <formula1>"1,2,3,4,5,6,7,8,9,10"</formula1>
    </dataValidation>
    <dataValidation type="list" allowBlank="1" showInputMessage="1" showErrorMessage="1" sqref="M15:M31" xr:uid="{00000000-0002-0000-0C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C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C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R41"/>
  <sheetViews>
    <sheetView showGridLines="0" zoomScale="80" zoomScaleNormal="80" workbookViewId="0">
      <selection activeCell="H26" sqref="H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45182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565</v>
      </c>
      <c r="D6" s="2"/>
      <c r="E6" s="18">
        <v>416</v>
      </c>
      <c r="F6" s="25" t="s">
        <v>81</v>
      </c>
      <c r="G6" s="26" t="s">
        <v>6</v>
      </c>
      <c r="H6" s="8">
        <v>250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416</v>
      </c>
      <c r="F7" s="25" t="s">
        <v>81</v>
      </c>
      <c r="G7" s="26" t="s">
        <v>9</v>
      </c>
      <c r="H7" s="8"/>
      <c r="I7" s="8">
        <v>200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23</v>
      </c>
      <c r="C8" s="29">
        <f>SUM(C6:C7)</f>
        <v>565</v>
      </c>
      <c r="D8" s="2"/>
      <c r="E8" s="18">
        <v>417</v>
      </c>
      <c r="F8" s="25" t="s">
        <v>82</v>
      </c>
      <c r="G8" s="26" t="s">
        <v>6</v>
      </c>
      <c r="H8" s="8">
        <v>450</v>
      </c>
      <c r="I8" s="8">
        <v>25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417</v>
      </c>
      <c r="F9" s="25" t="s">
        <v>82</v>
      </c>
      <c r="G9" s="26" t="s">
        <v>7</v>
      </c>
      <c r="H9" s="8"/>
      <c r="I9" s="8">
        <v>200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290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665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406</v>
      </c>
      <c r="F26" s="25" t="s">
        <v>54</v>
      </c>
      <c r="G26" s="26" t="s">
        <v>9</v>
      </c>
      <c r="H26" s="8"/>
      <c r="I26" s="8">
        <v>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B35" s="1">
        <v>3</v>
      </c>
      <c r="E35" s="18">
        <v>165</v>
      </c>
      <c r="F35" s="25" t="s">
        <v>53</v>
      </c>
      <c r="G35" s="26" t="s">
        <v>10</v>
      </c>
      <c r="H35" s="8">
        <v>100</v>
      </c>
      <c r="I35" s="8" t="s">
        <v>83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D00-000000000000}">
      <formula1>"Sim, Não"</formula1>
    </dataValidation>
    <dataValidation type="list" allowBlank="1" showInputMessage="1" showErrorMessage="1" sqref="L35:L41" xr:uid="{00000000-0002-0000-0D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D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D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45183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450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450</v>
      </c>
      <c r="D6" s="2"/>
      <c r="E6" s="18">
        <v>418</v>
      </c>
      <c r="F6" s="25" t="s">
        <v>84</v>
      </c>
      <c r="G6" s="48" t="s">
        <v>9</v>
      </c>
      <c r="H6" s="8">
        <v>450</v>
      </c>
      <c r="I6" s="8">
        <v>450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23</v>
      </c>
      <c r="C8" s="29">
        <f>SUM(C6:C7)</f>
        <v>450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450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386</v>
      </c>
      <c r="L15" s="9" t="s">
        <v>28</v>
      </c>
      <c r="M15" s="16" t="s">
        <v>46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>
        <v>399</v>
      </c>
      <c r="L16" s="9" t="s">
        <v>28</v>
      </c>
      <c r="M16" s="16" t="s">
        <v>29</v>
      </c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E00-000000000000}">
      <formula1>"Sim, Não"</formula1>
    </dataValidation>
    <dataValidation type="list" allowBlank="1" showInputMessage="1" showErrorMessage="1" sqref="L35:L41" xr:uid="{00000000-0002-0000-0E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E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E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45184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1040</v>
      </c>
      <c r="D6" s="2"/>
      <c r="E6" s="18">
        <v>419</v>
      </c>
      <c r="F6" s="25" t="s">
        <v>85</v>
      </c>
      <c r="G6" s="48" t="s">
        <v>22</v>
      </c>
      <c r="H6" s="8">
        <v>0</v>
      </c>
      <c r="I6" s="8">
        <v>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420</v>
      </c>
      <c r="F7" s="25" t="s">
        <v>86</v>
      </c>
      <c r="G7" s="48" t="s">
        <v>7</v>
      </c>
      <c r="H7" s="8">
        <v>250</v>
      </c>
      <c r="I7" s="8">
        <v>250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23</v>
      </c>
      <c r="C8" s="29">
        <f>SUM(C6:C7)</f>
        <v>1040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>
        <v>297</v>
      </c>
      <c r="L15" s="9" t="s">
        <v>87</v>
      </c>
      <c r="M15" s="16" t="s">
        <v>29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1040</v>
      </c>
      <c r="D16" s="2"/>
      <c r="E16" s="18"/>
      <c r="F16" s="25"/>
      <c r="G16" s="26"/>
      <c r="H16" s="8"/>
      <c r="I16" s="8"/>
      <c r="J16" s="2"/>
      <c r="K16" s="25">
        <v>372</v>
      </c>
      <c r="L16" s="9" t="s">
        <v>39</v>
      </c>
      <c r="M16" s="16" t="s">
        <v>29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408</v>
      </c>
      <c r="L17" s="9" t="s">
        <v>28</v>
      </c>
      <c r="M17" s="16" t="s">
        <v>29</v>
      </c>
      <c r="R17" s="1">
        <f>IF(vend15[[#This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1</v>
      </c>
      <c r="C19" s="31">
        <f>SUM(entr_carn15[Valor Total])</f>
        <v>201.99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201.99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412</v>
      </c>
      <c r="F26" s="25" t="s">
        <v>88</v>
      </c>
      <c r="G26" s="48" t="s">
        <v>6</v>
      </c>
      <c r="H26" s="8"/>
      <c r="I26" s="8">
        <v>190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297</v>
      </c>
      <c r="F27" s="25" t="s">
        <v>89</v>
      </c>
      <c r="G27" s="26" t="s">
        <v>6</v>
      </c>
      <c r="H27" s="8"/>
      <c r="I27" s="8">
        <v>450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360</v>
      </c>
      <c r="F28" s="25" t="s">
        <v>90</v>
      </c>
      <c r="G28" s="26" t="s">
        <v>10</v>
      </c>
      <c r="H28" s="8"/>
      <c r="I28" s="8">
        <v>150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>
        <v>406</v>
      </c>
      <c r="L35" s="42">
        <v>3</v>
      </c>
      <c r="M35" s="16">
        <v>201.99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0F00-000000000000}">
      <formula1>"Sim, Não"</formula1>
    </dataValidation>
    <dataValidation type="list" allowBlank="1" showInputMessage="1" showErrorMessage="1" sqref="L35:L41" xr:uid="{00000000-0002-0000-0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0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0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R41"/>
  <sheetViews>
    <sheetView showGridLines="0" zoomScale="80" zoomScaleNormal="80" workbookViewId="0">
      <selection activeCell="F37" sqref="F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45185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90</v>
      </c>
      <c r="D6" s="2"/>
      <c r="E6" s="18">
        <v>421</v>
      </c>
      <c r="F6" s="25" t="s">
        <v>91</v>
      </c>
      <c r="G6" s="48" t="s">
        <v>22</v>
      </c>
      <c r="H6" s="8">
        <v>0</v>
      </c>
      <c r="I6" s="8">
        <v>0</v>
      </c>
      <c r="J6" s="2"/>
      <c r="K6" s="25" t="s">
        <v>92</v>
      </c>
      <c r="L6" s="9" t="s">
        <v>93</v>
      </c>
      <c r="M6" s="16">
        <v>12</v>
      </c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>
        <v>422</v>
      </c>
      <c r="F7" s="25" t="s">
        <v>94</v>
      </c>
      <c r="G7" s="48" t="s">
        <v>10</v>
      </c>
      <c r="H7" s="8">
        <v>400</v>
      </c>
      <c r="I7" s="8">
        <v>60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23</v>
      </c>
      <c r="C8" s="29">
        <f>SUM(C6:C7)</f>
        <v>102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105.83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30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60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195.82999999999998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414</v>
      </c>
      <c r="F26" s="25" t="s">
        <v>95</v>
      </c>
      <c r="G26" s="48" t="s">
        <v>8</v>
      </c>
      <c r="H26" s="8"/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196</v>
      </c>
      <c r="F35" s="25" t="s">
        <v>96</v>
      </c>
      <c r="G35" s="26" t="s">
        <v>7</v>
      </c>
      <c r="H35" s="8">
        <v>105.83</v>
      </c>
      <c r="I35" s="8" t="s">
        <v>97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000-000000000000}">
      <formula1>"1,2,3,4,5,6,7,8,9,10"</formula1>
    </dataValidation>
    <dataValidation type="list" allowBlank="1" showInputMessage="1" showErrorMessage="1" sqref="M15:M31" xr:uid="{00000000-0002-0000-10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0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0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0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R41"/>
  <sheetViews>
    <sheetView showGridLines="0" topLeftCell="C1" zoomScale="80" zoomScaleNormal="80" workbookViewId="0">
      <selection activeCell="C11" sqref="C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45186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100-000000000000}">
      <formula1>"Sim, Não"</formula1>
    </dataValidation>
    <dataValidation type="list" allowBlank="1" showInputMessage="1" showErrorMessage="1" sqref="L35:L41" xr:uid="{00000000-0002-0000-11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1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1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45187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423</v>
      </c>
      <c r="F6" s="25" t="s">
        <v>98</v>
      </c>
      <c r="G6" s="26" t="s">
        <v>22</v>
      </c>
      <c r="H6" s="8">
        <v>0</v>
      </c>
      <c r="I6" s="8">
        <v>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424</v>
      </c>
      <c r="F7" s="25" t="s">
        <v>99</v>
      </c>
      <c r="G7" s="26" t="s">
        <v>78</v>
      </c>
      <c r="H7" s="8">
        <v>700</v>
      </c>
      <c r="I7" s="8">
        <v>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391</v>
      </c>
      <c r="L15" s="9" t="s">
        <v>38</v>
      </c>
      <c r="M15" s="16" t="s">
        <v>29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394</v>
      </c>
      <c r="L16" s="9" t="s">
        <v>38</v>
      </c>
      <c r="M16" s="16" t="s">
        <v>29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200-000000000000}">
      <formula1>"1,2,3,4,5,6,7,8,9,10"</formula1>
    </dataValidation>
    <dataValidation type="list" allowBlank="1" showInputMessage="1" showErrorMessage="1" sqref="M15:M31" xr:uid="{00000000-0002-0000-12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2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2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R41"/>
  <sheetViews>
    <sheetView showGridLines="0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45188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2424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736</v>
      </c>
      <c r="D6" s="2"/>
      <c r="E6" s="18">
        <v>426</v>
      </c>
      <c r="F6" s="25" t="s">
        <v>100</v>
      </c>
      <c r="G6" s="26" t="s">
        <v>10</v>
      </c>
      <c r="H6" s="8">
        <v>552</v>
      </c>
      <c r="I6" s="8">
        <v>250</v>
      </c>
      <c r="J6" s="2"/>
      <c r="K6" s="25"/>
      <c r="L6" s="9"/>
      <c r="M6" s="1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427</v>
      </c>
      <c r="F7" s="25" t="s">
        <v>101</v>
      </c>
      <c r="G7" s="26" t="s">
        <v>10</v>
      </c>
      <c r="H7" s="8">
        <v>882</v>
      </c>
      <c r="I7" s="8">
        <v>70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23</v>
      </c>
      <c r="C8" s="29">
        <f>SUM(C6:C7)</f>
        <v>736</v>
      </c>
      <c r="D8" s="2"/>
      <c r="E8" s="18">
        <v>428</v>
      </c>
      <c r="F8" s="25" t="s">
        <v>102</v>
      </c>
      <c r="G8" s="26" t="s">
        <v>7</v>
      </c>
      <c r="H8" s="8">
        <v>990</v>
      </c>
      <c r="I8" s="8">
        <v>10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416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320</v>
      </c>
      <c r="D15" s="2"/>
      <c r="E15" s="18"/>
      <c r="F15" s="25"/>
      <c r="G15" s="26"/>
      <c r="H15" s="8"/>
      <c r="I15" s="8"/>
      <c r="J15" s="2"/>
      <c r="K15" s="25">
        <v>398</v>
      </c>
      <c r="L15" s="9" t="s">
        <v>38</v>
      </c>
      <c r="M15" s="16" t="s">
        <v>29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736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2424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398</v>
      </c>
      <c r="F26" s="25" t="s">
        <v>103</v>
      </c>
      <c r="G26" s="26" t="s">
        <v>7</v>
      </c>
      <c r="H26" s="8"/>
      <c r="I26" s="8">
        <v>406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300-000000000000}">
      <formula1>"1,2,3,4,5,6,7,8,9,10"</formula1>
    </dataValidation>
    <dataValidation type="list" allowBlank="1" showInputMessage="1" showErrorMessage="1" sqref="M15:M31" xr:uid="{00000000-0002-0000-13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3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3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45189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425</v>
      </c>
      <c r="F6" s="25" t="s">
        <v>104</v>
      </c>
      <c r="G6" s="26" t="s">
        <v>78</v>
      </c>
      <c r="H6" s="8">
        <v>0</v>
      </c>
      <c r="I6" s="8">
        <v>0</v>
      </c>
      <c r="J6" s="2"/>
      <c r="K6" s="25" t="s">
        <v>105</v>
      </c>
      <c r="L6" s="9" t="s">
        <v>106</v>
      </c>
      <c r="M6" s="16">
        <v>24</v>
      </c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24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23</v>
      </c>
      <c r="C8" s="29">
        <f>SUM(C6:C7)</f>
        <v>24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420</v>
      </c>
      <c r="D15" s="2"/>
      <c r="E15" s="18"/>
      <c r="F15" s="25"/>
      <c r="G15" s="26"/>
      <c r="H15" s="8"/>
      <c r="I15" s="8"/>
      <c r="J15" s="2"/>
      <c r="K15" s="25">
        <v>409</v>
      </c>
      <c r="L15" s="9" t="s">
        <v>107</v>
      </c>
      <c r="M15" s="16" t="s">
        <v>29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420</v>
      </c>
      <c r="D16" s="2"/>
      <c r="E16" s="18"/>
      <c r="F16" s="25"/>
      <c r="G16" s="26"/>
      <c r="H16" s="8"/>
      <c r="I16" s="8"/>
      <c r="J16" s="2"/>
      <c r="K16" s="25">
        <v>402</v>
      </c>
      <c r="L16" s="9" t="s">
        <v>28</v>
      </c>
      <c r="M16" s="16" t="s">
        <v>29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265</v>
      </c>
      <c r="F35" s="25" t="s">
        <v>108</v>
      </c>
      <c r="G35" s="26" t="s">
        <v>10</v>
      </c>
      <c r="H35" s="8">
        <v>270</v>
      </c>
      <c r="I35" s="8" t="s">
        <v>109</v>
      </c>
      <c r="K35" s="25"/>
      <c r="L35" s="42"/>
      <c r="M35" s="16"/>
    </row>
    <row r="36" spans="2:18" ht="15.75" x14ac:dyDescent="0.25">
      <c r="E36" s="18">
        <v>365</v>
      </c>
      <c r="F36" s="25" t="s">
        <v>108</v>
      </c>
      <c r="G36" s="26" t="s">
        <v>10</v>
      </c>
      <c r="H36" s="8">
        <v>150</v>
      </c>
      <c r="I36" s="8" t="s">
        <v>63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400-000000000000}">
      <formula1>"1,2,3,4,5,6,7,8,9,10"</formula1>
    </dataValidation>
    <dataValidation type="list" allowBlank="1" showInputMessage="1" showErrorMessage="1" sqref="M15:M31" xr:uid="{00000000-0002-0000-14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4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4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R41"/>
  <sheetViews>
    <sheetView showGridLines="0" zoomScale="80" zoomScaleNormal="80" workbookViewId="0">
      <selection activeCell="L18" sqref="L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45190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900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23</v>
      </c>
      <c r="C8" s="29">
        <f>SUM(C6:C7)</f>
        <v>900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900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89.5</v>
      </c>
      <c r="D15" s="2"/>
      <c r="E15" s="18"/>
      <c r="F15" s="25"/>
      <c r="G15" s="26"/>
      <c r="H15" s="8"/>
      <c r="I15" s="8"/>
      <c r="J15" s="2"/>
      <c r="K15" s="25">
        <v>404</v>
      </c>
      <c r="L15" s="9" t="s">
        <v>28</v>
      </c>
      <c r="M15" s="16" t="s">
        <v>46</v>
      </c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989.5</v>
      </c>
      <c r="D16" s="2"/>
      <c r="E16" s="18"/>
      <c r="F16" s="25"/>
      <c r="G16" s="26"/>
      <c r="H16" s="8"/>
      <c r="I16" s="8"/>
      <c r="J16" s="2"/>
      <c r="K16" s="25">
        <v>385</v>
      </c>
      <c r="L16" s="9" t="s">
        <v>28</v>
      </c>
      <c r="M16" s="16" t="s">
        <v>29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406</v>
      </c>
      <c r="L17" s="9" t="s">
        <v>28</v>
      </c>
      <c r="M17" s="16" t="s">
        <v>46</v>
      </c>
      <c r="R17" s="1">
        <f>IF(vend21[[#This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1</v>
      </c>
      <c r="C19" s="31">
        <f>SUM(entr_carn21[Valor Total])</f>
        <v>292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292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385</v>
      </c>
      <c r="F26" s="25" t="s">
        <v>110</v>
      </c>
      <c r="G26" s="26" t="s">
        <v>7</v>
      </c>
      <c r="H26" s="8"/>
      <c r="I26" s="8">
        <v>900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384</v>
      </c>
      <c r="F35" s="25" t="s">
        <v>111</v>
      </c>
      <c r="G35" s="26" t="s">
        <v>10</v>
      </c>
      <c r="H35" s="8">
        <v>89.5</v>
      </c>
      <c r="I35" s="8" t="s">
        <v>112</v>
      </c>
      <c r="K35" s="25">
        <v>406</v>
      </c>
      <c r="L35" s="42">
        <v>3</v>
      </c>
      <c r="M35" s="16">
        <v>292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500-000000000000}">
      <formula1>"Sim, Não"</formula1>
    </dataValidation>
    <dataValidation type="list" allowBlank="1" showInputMessage="1" showErrorMessage="1" sqref="L35:L41" xr:uid="{00000000-0002-0000-15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5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5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41"/>
  <sheetViews>
    <sheetView showGridLines="0" topLeftCell="E1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75">
        <v>45191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429</v>
      </c>
      <c r="F6" s="25" t="s">
        <v>113</v>
      </c>
      <c r="G6" s="26" t="s">
        <v>7</v>
      </c>
      <c r="H6" s="8">
        <v>150</v>
      </c>
      <c r="I6" s="8">
        <v>50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23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320</v>
      </c>
      <c r="L15" s="9" t="s">
        <v>28</v>
      </c>
      <c r="M15" s="16" t="s">
        <v>46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>
        <v>407</v>
      </c>
      <c r="L16" s="9" t="s">
        <v>28</v>
      </c>
      <c r="M16" s="16" t="s">
        <v>29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600-000000000000}">
      <formula1>"1,2,3,4,5,6,7,8,9,10"</formula1>
    </dataValidation>
    <dataValidation type="list" allowBlank="1" showInputMessage="1" showErrorMessage="1" sqref="M15:M31" xr:uid="{00000000-0002-0000-16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6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6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R41"/>
  <sheetViews>
    <sheetView showGridLines="0" zoomScale="80" zoomScaleNormal="80" workbookViewId="0">
      <selection activeCell="M36" sqref="M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45192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1449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610</v>
      </c>
      <c r="D6" s="2"/>
      <c r="E6" s="18">
        <v>430</v>
      </c>
      <c r="F6" s="25" t="s">
        <v>114</v>
      </c>
      <c r="G6" s="26" t="s">
        <v>9</v>
      </c>
      <c r="H6" s="8">
        <v>450</v>
      </c>
      <c r="I6" s="8">
        <v>450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431</v>
      </c>
      <c r="F7" s="25" t="s">
        <v>115</v>
      </c>
      <c r="G7" s="26" t="s">
        <v>6</v>
      </c>
      <c r="H7" s="8">
        <v>600</v>
      </c>
      <c r="I7" s="8">
        <v>100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23</v>
      </c>
      <c r="C8" s="29">
        <f>SUM(C6:C7)</f>
        <v>610</v>
      </c>
      <c r="D8" s="2"/>
      <c r="E8" s="18">
        <v>432</v>
      </c>
      <c r="F8" s="25" t="s">
        <v>116</v>
      </c>
      <c r="G8" s="26" t="s">
        <v>6</v>
      </c>
      <c r="H8" s="8">
        <v>399</v>
      </c>
      <c r="I8" s="8">
        <v>10</v>
      </c>
      <c r="J8" s="2"/>
      <c r="K8" s="25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450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81.25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641.25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1</v>
      </c>
      <c r="C19" s="31">
        <f>SUM(entr_carn23[Valor Total])</f>
        <v>249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249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1449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157</v>
      </c>
      <c r="F26" s="25" t="s">
        <v>117</v>
      </c>
      <c r="G26" s="26" t="s">
        <v>10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286</v>
      </c>
      <c r="F35" s="25" t="s">
        <v>118</v>
      </c>
      <c r="G35" s="26" t="s">
        <v>10</v>
      </c>
      <c r="H35" s="8">
        <v>31.25</v>
      </c>
      <c r="I35" s="8" t="s">
        <v>61</v>
      </c>
      <c r="K35" s="25">
        <v>432</v>
      </c>
      <c r="L35" s="42">
        <v>2</v>
      </c>
      <c r="M35" s="16">
        <v>249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700-000000000000}">
      <formula1>"Sim, Não"</formula1>
    </dataValidation>
    <dataValidation type="list" allowBlank="1" showInputMessage="1" showErrorMessage="1" sqref="L35:L41" xr:uid="{00000000-0002-0000-17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7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7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R41"/>
  <sheetViews>
    <sheetView showGridLines="0" zoomScale="80" zoomScaleNormal="80" workbookViewId="0">
      <selection activeCell="C148" sqref="C14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45193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800-000000000000}">
      <formula1>"Sim, Não"</formula1>
    </dataValidation>
    <dataValidation type="list" allowBlank="1" showInputMessage="1" showErrorMessage="1" sqref="L35:L41" xr:uid="{00000000-0002-0000-18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8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8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R41"/>
  <sheetViews>
    <sheetView showGridLines="0" topLeftCell="E1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/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299.99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2093.9899999999998</v>
      </c>
      <c r="D6" s="2"/>
      <c r="E6" s="18">
        <v>433</v>
      </c>
      <c r="F6" s="25" t="s">
        <v>119</v>
      </c>
      <c r="G6" s="26" t="s">
        <v>8</v>
      </c>
      <c r="H6" s="8">
        <v>299.99</v>
      </c>
      <c r="I6" s="8">
        <v>299.99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23</v>
      </c>
      <c r="C8" s="29">
        <f>SUM(C6:C7)</f>
        <v>2093.9899999999998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639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700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843.99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392</v>
      </c>
      <c r="L15" s="9" t="s">
        <v>38</v>
      </c>
      <c r="M15" s="16" t="s">
        <v>29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2182.9899999999998</v>
      </c>
      <c r="D16" s="2"/>
      <c r="E16" s="18"/>
      <c r="F16" s="25"/>
      <c r="G16" s="26"/>
      <c r="H16" s="8"/>
      <c r="I16" s="8"/>
      <c r="J16" s="2"/>
      <c r="K16" s="25">
        <v>262</v>
      </c>
      <c r="L16" s="9" t="s">
        <v>28</v>
      </c>
      <c r="M16" s="16" t="s">
        <v>29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299.99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431</v>
      </c>
      <c r="F26" s="25" t="s">
        <v>120</v>
      </c>
      <c r="G26" s="26" t="s">
        <v>6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392</v>
      </c>
      <c r="F27" s="25" t="s">
        <v>121</v>
      </c>
      <c r="G27" s="26" t="s">
        <v>7</v>
      </c>
      <c r="H27" s="8"/>
      <c r="I27" s="8">
        <v>700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392</v>
      </c>
      <c r="F28" s="25" t="s">
        <v>121</v>
      </c>
      <c r="G28" s="26" t="s">
        <v>8</v>
      </c>
      <c r="H28" s="8"/>
      <c r="I28" s="8">
        <v>544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240</v>
      </c>
      <c r="F29" s="25" t="s">
        <v>122</v>
      </c>
      <c r="G29" s="26" t="s">
        <v>6</v>
      </c>
      <c r="H29" s="8"/>
      <c r="I29" s="8">
        <v>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311</v>
      </c>
      <c r="F35" s="25" t="s">
        <v>123</v>
      </c>
      <c r="G35" s="26" t="s">
        <v>6</v>
      </c>
      <c r="H35" s="8">
        <v>89</v>
      </c>
      <c r="I35" s="8" t="s">
        <v>59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900-000000000000}">
      <formula1>"Sim, Não"</formula1>
    </dataValidation>
    <dataValidation type="list" allowBlank="1" showInputMessage="1" showErrorMessage="1" sqref="L35:L41" xr:uid="{00000000-0002-0000-19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9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9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R41"/>
  <sheetViews>
    <sheetView showGridLines="0" zoomScale="80" zoomScaleNormal="80" workbookViewId="0">
      <selection activeCell="L20" sqref="L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45195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680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624.5</v>
      </c>
      <c r="D6" s="2"/>
      <c r="E6" s="18">
        <v>434</v>
      </c>
      <c r="F6" s="25" t="s">
        <v>124</v>
      </c>
      <c r="G6" s="26" t="s">
        <v>10</v>
      </c>
      <c r="H6" s="8">
        <v>80</v>
      </c>
      <c r="I6" s="8">
        <v>80</v>
      </c>
      <c r="J6" s="2"/>
      <c r="K6" s="25" t="s">
        <v>125</v>
      </c>
      <c r="L6" s="9" t="s">
        <v>126</v>
      </c>
      <c r="M6" s="16">
        <v>15</v>
      </c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15</v>
      </c>
      <c r="D7" s="2"/>
      <c r="E7" s="18">
        <v>435</v>
      </c>
      <c r="F7" s="25" t="s">
        <v>127</v>
      </c>
      <c r="G7" s="26" t="s">
        <v>6</v>
      </c>
      <c r="H7" s="8">
        <v>600</v>
      </c>
      <c r="I7" s="8">
        <v>0.5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23</v>
      </c>
      <c r="C8" s="29">
        <f>SUM(C6:C7)</f>
        <v>639.5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609.5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>
        <v>423</v>
      </c>
      <c r="L15" s="9" t="s">
        <v>28</v>
      </c>
      <c r="M15" s="16" t="s">
        <v>29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689.5</v>
      </c>
      <c r="D16" s="2"/>
      <c r="E16" s="18"/>
      <c r="F16" s="25"/>
      <c r="G16" s="26"/>
      <c r="H16" s="8"/>
      <c r="I16" s="8"/>
      <c r="J16" s="2"/>
      <c r="K16" s="25">
        <v>418</v>
      </c>
      <c r="L16" s="9" t="s">
        <v>28</v>
      </c>
      <c r="M16" s="16" t="s">
        <v>29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363</v>
      </c>
      <c r="L17" s="9" t="s">
        <v>28</v>
      </c>
      <c r="M17" s="16" t="s">
        <v>29</v>
      </c>
      <c r="R17" s="1">
        <f>IF(vend26[[#This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>
        <v>361</v>
      </c>
      <c r="L18" s="9" t="s">
        <v>28</v>
      </c>
      <c r="M18" s="16" t="s">
        <v>29</v>
      </c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>
        <v>420</v>
      </c>
      <c r="L19" s="9" t="s">
        <v>128</v>
      </c>
      <c r="M19" s="16" t="s">
        <v>29</v>
      </c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419</v>
      </c>
      <c r="L20" s="9" t="s">
        <v>28</v>
      </c>
      <c r="M20" s="16" t="s">
        <v>29</v>
      </c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680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392</v>
      </c>
      <c r="F26" s="25" t="s">
        <v>121</v>
      </c>
      <c r="G26" s="26" t="s">
        <v>6</v>
      </c>
      <c r="H26" s="8"/>
      <c r="I26" s="8">
        <v>544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161</v>
      </c>
      <c r="F35" s="25" t="s">
        <v>129</v>
      </c>
      <c r="G35" s="26" t="s">
        <v>6</v>
      </c>
      <c r="H35" s="8">
        <v>65</v>
      </c>
      <c r="I35" s="8" t="s">
        <v>97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A00-000000000000}">
      <formula1>"1,2,3,4,5,6,7,8,9,10"</formula1>
    </dataValidation>
    <dataValidation type="list" allowBlank="1" showInputMessage="1" showErrorMessage="1" sqref="M15:M31" xr:uid="{00000000-0002-0000-1A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A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A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R41"/>
  <sheetViews>
    <sheetView showGridLines="0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45196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452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23</v>
      </c>
      <c r="C8" s="29">
        <f>SUM(C6:C7)</f>
        <v>452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591.66000000000008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225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27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410</v>
      </c>
      <c r="L15" s="9" t="s">
        <v>107</v>
      </c>
      <c r="M15" s="16" t="s">
        <v>29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843.66000000000008</v>
      </c>
      <c r="D16" s="2"/>
      <c r="E16" s="18"/>
      <c r="F16" s="25"/>
      <c r="G16" s="26"/>
      <c r="H16" s="8"/>
      <c r="I16" s="8"/>
      <c r="J16" s="2"/>
      <c r="K16" s="25">
        <v>417</v>
      </c>
      <c r="L16" s="9" t="s">
        <v>28</v>
      </c>
      <c r="M16" s="16" t="s">
        <v>29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435</v>
      </c>
      <c r="F26" s="25" t="s">
        <v>130</v>
      </c>
      <c r="G26" s="26" t="s">
        <v>6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410</v>
      </c>
      <c r="F27" s="25" t="s">
        <v>131</v>
      </c>
      <c r="G27" s="26" t="s">
        <v>8</v>
      </c>
      <c r="H27" s="8"/>
      <c r="I27" s="8">
        <v>27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417</v>
      </c>
      <c r="F28" s="25" t="s">
        <v>132</v>
      </c>
      <c r="G28" s="26" t="s">
        <v>7</v>
      </c>
      <c r="H28" s="8"/>
      <c r="I28" s="8">
        <v>225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>
        <v>386</v>
      </c>
      <c r="F35" s="25" t="s">
        <v>133</v>
      </c>
      <c r="G35" s="26" t="s">
        <v>6</v>
      </c>
      <c r="H35" s="8">
        <v>133.33000000000001</v>
      </c>
      <c r="I35" s="8" t="s">
        <v>134</v>
      </c>
      <c r="K35" s="25"/>
      <c r="L35" s="42"/>
      <c r="M35" s="16"/>
    </row>
    <row r="36" spans="2:18" ht="15.75" x14ac:dyDescent="0.25">
      <c r="E36" s="18">
        <v>386</v>
      </c>
      <c r="F36" s="25" t="s">
        <v>133</v>
      </c>
      <c r="G36" s="26" t="s">
        <v>6</v>
      </c>
      <c r="H36" s="8">
        <v>133.33000000000001</v>
      </c>
      <c r="I36" s="8" t="s">
        <v>135</v>
      </c>
      <c r="K36" s="25"/>
      <c r="L36" s="42"/>
      <c r="M36" s="16"/>
    </row>
    <row r="37" spans="2:18" ht="15.75" x14ac:dyDescent="0.25">
      <c r="E37" s="18">
        <v>200</v>
      </c>
      <c r="F37" s="25" t="s">
        <v>136</v>
      </c>
      <c r="G37" s="26" t="s">
        <v>6</v>
      </c>
      <c r="H37" s="8">
        <v>125</v>
      </c>
      <c r="I37" s="8" t="s">
        <v>137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B00-000000000000}">
      <formula1>"1,2,3,4,5,6,7,8,9,10"</formula1>
    </dataValidation>
    <dataValidation type="list" allowBlank="1" showInputMessage="1" showErrorMessage="1" sqref="M15:M31" xr:uid="{00000000-0002-0000-1B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B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B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R41"/>
  <sheetViews>
    <sheetView showGridLines="0" zoomScale="80" zoomScaleNormal="80" workbookViewId="0">
      <selection activeCell="L19" sqref="L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'27'!B1+1</f>
        <v>45197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436</v>
      </c>
      <c r="F6" s="25" t="s">
        <v>138</v>
      </c>
      <c r="G6" s="26" t="s">
        <v>78</v>
      </c>
      <c r="H6" s="8">
        <v>799.92</v>
      </c>
      <c r="I6" s="8"/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23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434</v>
      </c>
      <c r="L15" s="9" t="s">
        <v>128</v>
      </c>
      <c r="M15" s="16" t="s">
        <v>29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>
        <v>416</v>
      </c>
      <c r="L16" s="9" t="s">
        <v>28</v>
      </c>
      <c r="M16" s="16" t="s">
        <v>29</v>
      </c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360</v>
      </c>
      <c r="L17" s="9" t="s">
        <v>28</v>
      </c>
      <c r="M17" s="16" t="s">
        <v>29</v>
      </c>
      <c r="R17" s="1">
        <f>IF(vend28[[#This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>
        <v>362</v>
      </c>
      <c r="L18" s="9" t="s">
        <v>28</v>
      </c>
      <c r="M18" s="16" t="s">
        <v>29</v>
      </c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360</v>
      </c>
      <c r="F26" s="25" t="s">
        <v>139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C00-000000000000}">
      <formula1>"Sim, Não"</formula1>
    </dataValidation>
    <dataValidation type="list" allowBlank="1" showInputMessage="1" showErrorMessage="1" sqref="L35:L41" xr:uid="{00000000-0002-0000-1C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C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C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R42"/>
  <sheetViews>
    <sheetView showGridLines="0" topLeftCell="E1" zoomScale="80" zoomScaleNormal="80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45198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SUMIF(I6:I32,"&gt;0",H6:H32)</f>
        <v>2766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2306</v>
      </c>
      <c r="D6" s="2"/>
      <c r="E6" s="18">
        <v>437</v>
      </c>
      <c r="F6" s="25" t="s">
        <v>140</v>
      </c>
      <c r="G6" s="26" t="s">
        <v>8</v>
      </c>
      <c r="H6" s="8">
        <v>424</v>
      </c>
      <c r="I6" s="8">
        <v>424</v>
      </c>
      <c r="J6" s="2"/>
      <c r="K6" s="25" t="s">
        <v>141</v>
      </c>
      <c r="L6" s="9" t="s">
        <v>7</v>
      </c>
      <c r="M6" s="16">
        <v>12</v>
      </c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12</v>
      </c>
      <c r="D7" s="2"/>
      <c r="E7" s="18">
        <v>438</v>
      </c>
      <c r="F7" s="76" t="s">
        <v>142</v>
      </c>
      <c r="G7" s="76"/>
      <c r="H7" s="49" t="s">
        <v>143</v>
      </c>
      <c r="I7" s="49"/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23</v>
      </c>
      <c r="C8" s="29">
        <f>SUM(C6:C7)</f>
        <v>2318</v>
      </c>
      <c r="D8" s="2"/>
      <c r="E8" s="18">
        <v>439</v>
      </c>
      <c r="F8" s="25" t="s">
        <v>144</v>
      </c>
      <c r="G8" s="26" t="s">
        <v>7</v>
      </c>
      <c r="H8" s="8">
        <v>500</v>
      </c>
      <c r="I8" s="8">
        <v>40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440</v>
      </c>
      <c r="F9" s="25" t="s">
        <v>145</v>
      </c>
      <c r="G9" s="26" t="s">
        <v>9</v>
      </c>
      <c r="H9" s="8">
        <v>1050</v>
      </c>
      <c r="I9" s="8">
        <v>1050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77" t="s">
        <v>5</v>
      </c>
      <c r="C10" s="77"/>
      <c r="D10" s="2"/>
      <c r="E10" s="18">
        <v>441</v>
      </c>
      <c r="F10" s="25" t="s">
        <v>146</v>
      </c>
      <c r="G10" s="26" t="s">
        <v>9</v>
      </c>
      <c r="H10" s="8">
        <v>792</v>
      </c>
      <c r="I10" s="8">
        <v>792</v>
      </c>
      <c r="J10" s="2"/>
      <c r="K10" s="25"/>
      <c r="L10" s="9"/>
      <c r="M10" s="1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110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40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424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1842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0</v>
      </c>
      <c r="D15" s="2"/>
      <c r="E15" s="18"/>
      <c r="F15" s="25"/>
      <c r="G15" s="26"/>
      <c r="H15" s="8"/>
      <c r="I15" s="8"/>
      <c r="J15" s="2"/>
      <c r="K15" s="25">
        <v>425</v>
      </c>
      <c r="L15" s="9" t="s">
        <v>128</v>
      </c>
      <c r="M15" s="16" t="s">
        <v>29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2416</v>
      </c>
      <c r="D16" s="2"/>
      <c r="E16" s="18"/>
      <c r="F16" s="25"/>
      <c r="G16" s="26"/>
      <c r="H16" s="8"/>
      <c r="I16" s="8"/>
      <c r="J16" s="2"/>
      <c r="K16" s="25">
        <v>401</v>
      </c>
      <c r="L16" s="9" t="s">
        <v>28</v>
      </c>
      <c r="M16" s="16" t="s">
        <v>29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6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2766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.75" x14ac:dyDescent="0.25">
      <c r="B23" s="2"/>
      <c r="C23" s="2"/>
      <c r="D23" s="2"/>
      <c r="E23" s="18"/>
      <c r="F23" s="25"/>
      <c r="G23" s="26"/>
      <c r="H23" s="8"/>
      <c r="I23" s="8"/>
      <c r="J23" s="2"/>
      <c r="K23" s="25"/>
      <c r="L23" s="9"/>
      <c r="M23" s="16"/>
    </row>
    <row r="24" spans="2:18" ht="15" x14ac:dyDescent="0.25">
      <c r="B24" s="2"/>
      <c r="C24" s="2"/>
      <c r="D24" s="2"/>
      <c r="E24" s="33"/>
      <c r="H24" s="7"/>
      <c r="J24" s="2"/>
      <c r="K24" s="25"/>
      <c r="L24" s="9"/>
      <c r="M24" s="16"/>
    </row>
    <row r="25" spans="2:18" ht="15" x14ac:dyDescent="0.25">
      <c r="B25" s="2"/>
      <c r="C25" s="2"/>
      <c r="D25" s="2"/>
      <c r="E25" s="78" t="s">
        <v>31</v>
      </c>
      <c r="F25" s="78"/>
      <c r="G25" s="78"/>
      <c r="H25" s="78"/>
      <c r="I25" s="78"/>
      <c r="J25" s="2"/>
      <c r="K25" s="25"/>
      <c r="L25" s="9"/>
      <c r="M25" s="16"/>
    </row>
    <row r="26" spans="2:18" ht="15" x14ac:dyDescent="0.25">
      <c r="B26" s="2"/>
      <c r="C26" s="2"/>
      <c r="D26" s="2"/>
      <c r="E26" s="10" t="s">
        <v>14</v>
      </c>
      <c r="F26" s="10" t="s">
        <v>15</v>
      </c>
      <c r="G26" s="11" t="s">
        <v>16</v>
      </c>
      <c r="H26" s="12" t="s">
        <v>17</v>
      </c>
      <c r="I26" s="13" t="s">
        <v>2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18"/>
      <c r="F31" s="39"/>
      <c r="G31" s="26"/>
      <c r="H31" s="8"/>
      <c r="I31" s="8"/>
      <c r="J31" s="2"/>
      <c r="K31" s="25"/>
      <c r="L31" s="9"/>
      <c r="M31" s="16"/>
    </row>
    <row r="32" spans="2:18" ht="15.75" x14ac:dyDescent="0.25">
      <c r="B32" s="2"/>
      <c r="C32" s="2"/>
      <c r="E32" s="35"/>
      <c r="F32" s="36"/>
      <c r="G32" s="37"/>
      <c r="H32" s="17"/>
      <c r="I32" s="17"/>
    </row>
    <row r="33" spans="2:18" ht="15" x14ac:dyDescent="0.25">
      <c r="B33" s="2"/>
      <c r="C33" s="2"/>
      <c r="E33" s="33"/>
      <c r="K33" s="79" t="s">
        <v>12</v>
      </c>
      <c r="L33" s="80"/>
      <c r="M33" s="81"/>
    </row>
    <row r="34" spans="2:18" ht="15" x14ac:dyDescent="0.25">
      <c r="E34" s="78" t="s">
        <v>32</v>
      </c>
      <c r="F34" s="78"/>
      <c r="G34" s="78"/>
      <c r="H34" s="78"/>
      <c r="I34" s="78"/>
      <c r="K34" s="14" t="s">
        <v>25</v>
      </c>
      <c r="L34" s="6" t="s">
        <v>35</v>
      </c>
      <c r="M34" s="15" t="s">
        <v>36</v>
      </c>
    </row>
    <row r="35" spans="2:18" ht="15" x14ac:dyDescent="0.25">
      <c r="E35" s="10" t="s">
        <v>25</v>
      </c>
      <c r="F35" s="10" t="s">
        <v>15</v>
      </c>
      <c r="G35" s="11" t="s">
        <v>16</v>
      </c>
      <c r="H35" s="12" t="s">
        <v>33</v>
      </c>
      <c r="I35" s="13" t="s">
        <v>34</v>
      </c>
      <c r="K35" s="25"/>
      <c r="L35" s="42"/>
      <c r="M35" s="16"/>
    </row>
    <row r="36" spans="2:18" ht="15.75" x14ac:dyDescent="0.25">
      <c r="E36" s="18">
        <v>233</v>
      </c>
      <c r="F36" s="25" t="s">
        <v>147</v>
      </c>
      <c r="G36" s="26" t="s">
        <v>6</v>
      </c>
      <c r="H36" s="8">
        <v>110</v>
      </c>
      <c r="I36" s="8" t="s">
        <v>148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2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3"/>
      <c r="M40" s="40"/>
      <c r="Q40" s="1" t="s">
        <v>37</v>
      </c>
      <c r="R40" s="1">
        <f>SUM(R6:R21)</f>
        <v>5</v>
      </c>
    </row>
    <row r="41" spans="2:18" ht="15.75" x14ac:dyDescent="0.25">
      <c r="E41" s="35"/>
      <c r="F41" s="36"/>
      <c r="G41" s="37"/>
      <c r="H41" s="17"/>
      <c r="I41" s="8"/>
      <c r="K41" s="45"/>
      <c r="L41" s="42"/>
      <c r="M41" s="40"/>
    </row>
    <row r="42" spans="2:18" ht="15.75" x14ac:dyDescent="0.25">
      <c r="E42" s="44"/>
      <c r="F42" s="39"/>
      <c r="G42" s="26"/>
      <c r="H42" s="8"/>
      <c r="I42" s="8"/>
    </row>
  </sheetData>
  <mergeCells count="9">
    <mergeCell ref="E25:I25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D00-000000000000}">
      <formula1>"1,2,3,4,5,6,7,8,9,10"</formula1>
    </dataValidation>
    <dataValidation type="list" allowBlank="1" showInputMessage="1" showErrorMessage="1" sqref="M15:M31" xr:uid="{00000000-0002-0000-1D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2000000}">
          <x14:formula1>
            <xm:f>base!$A$2:$A$6</xm:f>
          </x14:formula1>
          <xm:sqref>G27:G32 G36:G42</xm:sqref>
        </x14:dataValidation>
        <x14:dataValidation type="list" allowBlank="1" showInputMessage="1" showErrorMessage="1" xr:uid="{00000000-0002-0000-1D00-000003000000}">
          <x14:formula1>
            <xm:f>base!$E$2:$E$79</xm:f>
          </x14:formula1>
          <xm:sqref>I36:I42</xm:sqref>
        </x14:dataValidation>
        <x14:dataValidation type="list" allowBlank="1" showInputMessage="1" showErrorMessage="1" xr:uid="{00000000-0002-0000-1D00-000004000000}">
          <x14:formula1>
            <xm:f>base!$A$2:$A$9</xm:f>
          </x14:formula1>
          <xm:sqref>G6:G23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R41"/>
  <sheetViews>
    <sheetView showGridLines="0" tabSelected="1" zoomScale="70" zoomScaleNormal="70" workbookViewId="0">
      <selection activeCell="M18" sqref="M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45199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3769.92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1840</v>
      </c>
      <c r="D6" s="2"/>
      <c r="E6" s="18">
        <v>442</v>
      </c>
      <c r="F6" s="25" t="s">
        <v>149</v>
      </c>
      <c r="G6" s="26" t="s">
        <v>7</v>
      </c>
      <c r="H6" s="8">
        <v>890</v>
      </c>
      <c r="I6" s="8">
        <v>10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443</v>
      </c>
      <c r="F7" s="25" t="s">
        <v>150</v>
      </c>
      <c r="G7" s="26" t="s">
        <v>7</v>
      </c>
      <c r="H7" s="8">
        <v>650</v>
      </c>
      <c r="I7" s="8">
        <v>650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23</v>
      </c>
      <c r="C8" s="29">
        <f>SUM(C6:C7)</f>
        <v>1840</v>
      </c>
      <c r="D8" s="2"/>
      <c r="E8" s="18">
        <v>444</v>
      </c>
      <c r="F8" s="25" t="s">
        <v>151</v>
      </c>
      <c r="G8" s="26" t="s">
        <v>6</v>
      </c>
      <c r="H8" s="8">
        <v>330</v>
      </c>
      <c r="I8" s="8">
        <v>10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445</v>
      </c>
      <c r="F9" s="25" t="s">
        <v>152</v>
      </c>
      <c r="G9" s="26" t="s">
        <v>8</v>
      </c>
      <c r="H9" s="8">
        <v>1100</v>
      </c>
      <c r="I9" s="8">
        <v>1100</v>
      </c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660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1100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412</v>
      </c>
      <c r="L15" s="9" t="s">
        <v>107</v>
      </c>
      <c r="M15" s="16" t="s">
        <v>29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1840</v>
      </c>
      <c r="D16" s="2"/>
      <c r="E16" s="18"/>
      <c r="F16" s="25"/>
      <c r="G16" s="26"/>
      <c r="H16" s="8"/>
      <c r="I16" s="8"/>
      <c r="J16" s="2"/>
      <c r="K16" s="25">
        <v>438</v>
      </c>
      <c r="L16" s="9" t="s">
        <v>128</v>
      </c>
      <c r="M16" s="16" t="s">
        <v>29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430</v>
      </c>
      <c r="L17" s="9" t="s">
        <v>28</v>
      </c>
      <c r="M17" s="16" t="s">
        <v>29</v>
      </c>
      <c r="R17" s="1">
        <f>IF(vend30[[#This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>
        <v>380</v>
      </c>
      <c r="L18" s="9" t="s">
        <v>28</v>
      </c>
      <c r="M18" s="16" t="s">
        <v>29</v>
      </c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3769.92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412</v>
      </c>
      <c r="F26" s="25" t="s">
        <v>153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436</v>
      </c>
      <c r="F27" s="25" t="s">
        <v>154</v>
      </c>
      <c r="G27" s="26" t="s">
        <v>6</v>
      </c>
      <c r="H27" s="8">
        <v>799.92</v>
      </c>
      <c r="I27" s="8">
        <v>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00000000-0002-0000-1E00-000000000000}">
      <formula1>"1,2,3,4,5,6,7,8,9,10"</formula1>
    </dataValidation>
    <dataValidation type="list" allowBlank="1" showInputMessage="1" showErrorMessage="1" sqref="M15:M31" xr:uid="{00000000-0002-0000-1E00-0000010000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E00-000002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E00-000003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E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R41"/>
  <sheetViews>
    <sheetView showGridLines="0" zoomScale="80" zoomScaleNormal="80" workbookViewId="0">
      <selection activeCell="K15" sqref="K15:M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'30'!B1+1</f>
        <v>45200</v>
      </c>
    </row>
    <row r="2" spans="2:18" ht="18.75" x14ac:dyDescent="0.2">
      <c r="B2" s="82" t="s">
        <v>13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5" t="s">
        <v>1</v>
      </c>
      <c r="F4" s="85"/>
      <c r="G4" s="85"/>
      <c r="H4" s="85"/>
      <c r="I4" s="85"/>
      <c r="J4" s="22"/>
      <c r="K4" s="79" t="s">
        <v>3</v>
      </c>
      <c r="L4" s="80"/>
      <c r="M4" s="8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77" t="s">
        <v>5</v>
      </c>
      <c r="C10" s="7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9" t="s">
        <v>24</v>
      </c>
      <c r="L13" s="80"/>
      <c r="M13" s="81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25</v>
      </c>
      <c r="L14" s="6" t="s">
        <v>26</v>
      </c>
      <c r="M14" s="15" t="s">
        <v>27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77" t="s">
        <v>12</v>
      </c>
      <c r="C18" s="7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30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78" t="s">
        <v>31</v>
      </c>
      <c r="F24" s="78"/>
      <c r="G24" s="78"/>
      <c r="H24" s="78"/>
      <c r="I24" s="7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78" t="s">
        <v>32</v>
      </c>
      <c r="F33" s="78"/>
      <c r="G33" s="78"/>
      <c r="H33" s="78"/>
      <c r="I33" s="78"/>
      <c r="K33" s="79" t="s">
        <v>12</v>
      </c>
      <c r="L33" s="80"/>
      <c r="M33" s="81"/>
    </row>
    <row r="34" spans="2:18" ht="15" x14ac:dyDescent="0.25">
      <c r="E34" s="10" t="s">
        <v>25</v>
      </c>
      <c r="F34" s="10" t="s">
        <v>15</v>
      </c>
      <c r="G34" s="11" t="s">
        <v>16</v>
      </c>
      <c r="H34" s="12" t="s">
        <v>33</v>
      </c>
      <c r="I34" s="13" t="s">
        <v>34</v>
      </c>
      <c r="K34" s="14" t="s">
        <v>25</v>
      </c>
      <c r="L34" s="6" t="s">
        <v>35</v>
      </c>
      <c r="M34" s="15" t="s">
        <v>36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37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00000000-0002-0000-1F00-000000000000}">
      <formula1>"Sim, Não"</formula1>
    </dataValidation>
    <dataValidation type="list" allowBlank="1" showInputMessage="1" showErrorMessage="1" sqref="L35:L41" xr:uid="{00000000-0002-0000-1F00-000001000000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2000000}">
          <x14:formula1>
            <xm:f>base!$A$2:$A$9</xm:f>
          </x14:formula1>
          <xm:sqref>G6:G22</xm:sqref>
        </x14:dataValidation>
        <x14:dataValidation type="list" allowBlank="1" showInputMessage="1" showErrorMessage="1" xr:uid="{00000000-0002-0000-1F00-000003000000}">
          <x14:formula1>
            <xm:f>base!$A$2:$A$6</xm:f>
          </x14:formula1>
          <xm:sqref>G26:G31 G35:G41</xm:sqref>
        </x14:dataValidation>
        <x14:dataValidation type="list" allowBlank="1" showInputMessage="1" showErrorMessage="1" xr:uid="{00000000-0002-0000-1F00-000004000000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155</v>
      </c>
      <c r="B1" s="38" t="s">
        <v>156</v>
      </c>
      <c r="E1" s="38" t="s">
        <v>157</v>
      </c>
    </row>
    <row r="2" spans="1:5" x14ac:dyDescent="0.2">
      <c r="A2" s="38" t="s">
        <v>6</v>
      </c>
      <c r="B2" s="38" t="s">
        <v>158</v>
      </c>
      <c r="E2" t="s">
        <v>159</v>
      </c>
    </row>
    <row r="3" spans="1:5" x14ac:dyDescent="0.2">
      <c r="A3" s="38" t="s">
        <v>7</v>
      </c>
      <c r="B3" s="38" t="s">
        <v>160</v>
      </c>
      <c r="E3" t="s">
        <v>112</v>
      </c>
    </row>
    <row r="4" spans="1:5" x14ac:dyDescent="0.2">
      <c r="A4" s="38" t="s">
        <v>8</v>
      </c>
      <c r="B4" s="38" t="s">
        <v>161</v>
      </c>
      <c r="E4" t="s">
        <v>109</v>
      </c>
    </row>
    <row r="5" spans="1:5" x14ac:dyDescent="0.2">
      <c r="A5" s="38" t="s">
        <v>9</v>
      </c>
      <c r="B5" s="38" t="s">
        <v>162</v>
      </c>
      <c r="E5" t="s">
        <v>134</v>
      </c>
    </row>
    <row r="6" spans="1:5" x14ac:dyDescent="0.2">
      <c r="A6" s="38" t="s">
        <v>10</v>
      </c>
      <c r="B6" s="38" t="s">
        <v>10</v>
      </c>
      <c r="E6" t="s">
        <v>135</v>
      </c>
    </row>
    <row r="7" spans="1:5" x14ac:dyDescent="0.2">
      <c r="A7" s="38" t="s">
        <v>78</v>
      </c>
      <c r="B7" s="38" t="s">
        <v>163</v>
      </c>
      <c r="E7" t="s">
        <v>164</v>
      </c>
    </row>
    <row r="8" spans="1:5" x14ac:dyDescent="0.2">
      <c r="A8" t="s">
        <v>27</v>
      </c>
      <c r="B8" t="s">
        <v>165</v>
      </c>
      <c r="E8" t="s">
        <v>63</v>
      </c>
    </row>
    <row r="9" spans="1:5" x14ac:dyDescent="0.2">
      <c r="A9" s="38" t="s">
        <v>22</v>
      </c>
      <c r="B9" s="38" t="s">
        <v>166</v>
      </c>
      <c r="E9" t="s">
        <v>65</v>
      </c>
    </row>
    <row r="10" spans="1:5" x14ac:dyDescent="0.2">
      <c r="E10" t="s">
        <v>83</v>
      </c>
    </row>
    <row r="11" spans="1:5" x14ac:dyDescent="0.2">
      <c r="E11" t="s">
        <v>167</v>
      </c>
    </row>
    <row r="12" spans="1:5" x14ac:dyDescent="0.2">
      <c r="E12" t="s">
        <v>59</v>
      </c>
    </row>
    <row r="13" spans="1:5" x14ac:dyDescent="0.2">
      <c r="E13" t="s">
        <v>48</v>
      </c>
    </row>
    <row r="14" spans="1:5" x14ac:dyDescent="0.2">
      <c r="E14" t="s">
        <v>148</v>
      </c>
    </row>
    <row r="15" spans="1:5" x14ac:dyDescent="0.2">
      <c r="E15" t="s">
        <v>168</v>
      </c>
    </row>
    <row r="16" spans="1:5" x14ac:dyDescent="0.2">
      <c r="E16" t="s">
        <v>169</v>
      </c>
    </row>
    <row r="17" spans="5:5" x14ac:dyDescent="0.2">
      <c r="E17" t="s">
        <v>137</v>
      </c>
    </row>
    <row r="18" spans="5:5" x14ac:dyDescent="0.2">
      <c r="E18" t="s">
        <v>170</v>
      </c>
    </row>
    <row r="19" spans="5:5" x14ac:dyDescent="0.2">
      <c r="E19" t="s">
        <v>97</v>
      </c>
    </row>
    <row r="20" spans="5:5" x14ac:dyDescent="0.2">
      <c r="E20" t="s">
        <v>171</v>
      </c>
    </row>
    <row r="21" spans="5:5" x14ac:dyDescent="0.2">
      <c r="E21" t="s">
        <v>172</v>
      </c>
    </row>
    <row r="22" spans="5:5" x14ac:dyDescent="0.2">
      <c r="E22" t="s">
        <v>173</v>
      </c>
    </row>
    <row r="23" spans="5:5" x14ac:dyDescent="0.2">
      <c r="E23" t="s">
        <v>174</v>
      </c>
    </row>
    <row r="24" spans="5:5" x14ac:dyDescent="0.2">
      <c r="E24" t="s">
        <v>45</v>
      </c>
    </row>
    <row r="25" spans="5:5" x14ac:dyDescent="0.2">
      <c r="E25" t="s">
        <v>175</v>
      </c>
    </row>
    <row r="26" spans="5:5" x14ac:dyDescent="0.2">
      <c r="E26" t="s">
        <v>176</v>
      </c>
    </row>
    <row r="27" spans="5:5" x14ac:dyDescent="0.2">
      <c r="E27" t="s">
        <v>177</v>
      </c>
    </row>
    <row r="28" spans="5:5" x14ac:dyDescent="0.2">
      <c r="E28" t="s">
        <v>178</v>
      </c>
    </row>
    <row r="29" spans="5:5" x14ac:dyDescent="0.2">
      <c r="E29" t="s">
        <v>179</v>
      </c>
    </row>
    <row r="30" spans="5:5" x14ac:dyDescent="0.2">
      <c r="E30" t="s">
        <v>180</v>
      </c>
    </row>
    <row r="31" spans="5:5" x14ac:dyDescent="0.2">
      <c r="E31" t="s">
        <v>61</v>
      </c>
    </row>
    <row r="32" spans="5:5" x14ac:dyDescent="0.2">
      <c r="E32" t="s">
        <v>181</v>
      </c>
    </row>
    <row r="33" spans="5:5" x14ac:dyDescent="0.2">
      <c r="E33" t="s">
        <v>182</v>
      </c>
    </row>
    <row r="34" spans="5:5" x14ac:dyDescent="0.2">
      <c r="E34" t="s">
        <v>183</v>
      </c>
    </row>
    <row r="35" spans="5:5" x14ac:dyDescent="0.2">
      <c r="E35" t="s">
        <v>184</v>
      </c>
    </row>
    <row r="36" spans="5:5" x14ac:dyDescent="0.2">
      <c r="E36" t="s">
        <v>185</v>
      </c>
    </row>
    <row r="37" spans="5:5" x14ac:dyDescent="0.2">
      <c r="E37" t="s">
        <v>186</v>
      </c>
    </row>
    <row r="38" spans="5:5" x14ac:dyDescent="0.2">
      <c r="E38" t="s">
        <v>187</v>
      </c>
    </row>
    <row r="39" spans="5:5" x14ac:dyDescent="0.2">
      <c r="E39" t="s">
        <v>188</v>
      </c>
    </row>
    <row r="40" spans="5:5" x14ac:dyDescent="0.2">
      <c r="E40" t="s">
        <v>189</v>
      </c>
    </row>
    <row r="41" spans="5:5" x14ac:dyDescent="0.2">
      <c r="E41" t="s">
        <v>190</v>
      </c>
    </row>
    <row r="42" spans="5:5" x14ac:dyDescent="0.2">
      <c r="E42" t="s">
        <v>191</v>
      </c>
    </row>
    <row r="43" spans="5:5" x14ac:dyDescent="0.2">
      <c r="E43" t="s">
        <v>192</v>
      </c>
    </row>
    <row r="44" spans="5:5" x14ac:dyDescent="0.2">
      <c r="E44" t="s">
        <v>193</v>
      </c>
    </row>
    <row r="45" spans="5:5" x14ac:dyDescent="0.2">
      <c r="E45" t="s">
        <v>194</v>
      </c>
    </row>
    <row r="46" spans="5:5" x14ac:dyDescent="0.2">
      <c r="E46" t="s">
        <v>195</v>
      </c>
    </row>
    <row r="47" spans="5:5" x14ac:dyDescent="0.2">
      <c r="E47" t="s">
        <v>196</v>
      </c>
    </row>
    <row r="48" spans="5:5" x14ac:dyDescent="0.2">
      <c r="E48" t="s">
        <v>197</v>
      </c>
    </row>
    <row r="49" spans="5:5" x14ac:dyDescent="0.2">
      <c r="E49" t="s">
        <v>198</v>
      </c>
    </row>
    <row r="50" spans="5:5" x14ac:dyDescent="0.2">
      <c r="E50" t="s">
        <v>199</v>
      </c>
    </row>
    <row r="51" spans="5:5" x14ac:dyDescent="0.2">
      <c r="E51" t="s">
        <v>200</v>
      </c>
    </row>
    <row r="52" spans="5:5" x14ac:dyDescent="0.2">
      <c r="E52" t="s">
        <v>201</v>
      </c>
    </row>
    <row r="53" spans="5:5" x14ac:dyDescent="0.2">
      <c r="E53" t="s">
        <v>202</v>
      </c>
    </row>
    <row r="54" spans="5:5" x14ac:dyDescent="0.2">
      <c r="E54" t="s">
        <v>203</v>
      </c>
    </row>
    <row r="55" spans="5:5" x14ac:dyDescent="0.2">
      <c r="E55" t="s">
        <v>204</v>
      </c>
    </row>
    <row r="56" spans="5:5" x14ac:dyDescent="0.2">
      <c r="E56" t="s">
        <v>205</v>
      </c>
    </row>
    <row r="57" spans="5:5" x14ac:dyDescent="0.2">
      <c r="E57" t="s">
        <v>206</v>
      </c>
    </row>
    <row r="58" spans="5:5" x14ac:dyDescent="0.2">
      <c r="E58" t="s">
        <v>207</v>
      </c>
    </row>
    <row r="59" spans="5:5" x14ac:dyDescent="0.2">
      <c r="E59" t="s">
        <v>208</v>
      </c>
    </row>
    <row r="60" spans="5:5" x14ac:dyDescent="0.2">
      <c r="E60" t="s">
        <v>209</v>
      </c>
    </row>
    <row r="61" spans="5:5" x14ac:dyDescent="0.2">
      <c r="E61" t="s">
        <v>210</v>
      </c>
    </row>
    <row r="62" spans="5:5" x14ac:dyDescent="0.2">
      <c r="E62" t="s">
        <v>211</v>
      </c>
    </row>
    <row r="63" spans="5:5" x14ac:dyDescent="0.2">
      <c r="E63" t="s">
        <v>212</v>
      </c>
    </row>
    <row r="64" spans="5:5" x14ac:dyDescent="0.2">
      <c r="E64" t="s">
        <v>213</v>
      </c>
    </row>
    <row r="65" spans="5:5" x14ac:dyDescent="0.2">
      <c r="E65" t="s">
        <v>214</v>
      </c>
    </row>
    <row r="66" spans="5:5" x14ac:dyDescent="0.2">
      <c r="E66" t="s">
        <v>215</v>
      </c>
    </row>
    <row r="67" spans="5:5" x14ac:dyDescent="0.2">
      <c r="E67" t="s">
        <v>216</v>
      </c>
    </row>
    <row r="68" spans="5:5" x14ac:dyDescent="0.2">
      <c r="E68" t="s">
        <v>217</v>
      </c>
    </row>
    <row r="69" spans="5:5" x14ac:dyDescent="0.2">
      <c r="E69" t="s">
        <v>218</v>
      </c>
    </row>
    <row r="70" spans="5:5" x14ac:dyDescent="0.2">
      <c r="E70" t="s">
        <v>219</v>
      </c>
    </row>
    <row r="71" spans="5:5" x14ac:dyDescent="0.2">
      <c r="E71" t="s">
        <v>220</v>
      </c>
    </row>
    <row r="72" spans="5:5" x14ac:dyDescent="0.2">
      <c r="E72" t="s">
        <v>221</v>
      </c>
    </row>
    <row r="73" spans="5:5" x14ac:dyDescent="0.2">
      <c r="E73" t="s">
        <v>222</v>
      </c>
    </row>
    <row r="74" spans="5:5" x14ac:dyDescent="0.2">
      <c r="E74" t="s">
        <v>223</v>
      </c>
    </row>
    <row r="75" spans="5:5" x14ac:dyDescent="0.2">
      <c r="E75" t="s">
        <v>224</v>
      </c>
    </row>
    <row r="76" spans="5:5" x14ac:dyDescent="0.2">
      <c r="E76" t="s">
        <v>225</v>
      </c>
    </row>
    <row r="77" spans="5:5" x14ac:dyDescent="0.2">
      <c r="E77" t="s">
        <v>226</v>
      </c>
    </row>
    <row r="78" spans="5:5" x14ac:dyDescent="0.2">
      <c r="E78" t="s">
        <v>227</v>
      </c>
    </row>
    <row r="79" spans="5:5" x14ac:dyDescent="0.2">
      <c r="E79" t="s">
        <v>228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Diretor Gilberto Junior</cp:lastModifiedBy>
  <cp:revision/>
  <dcterms:created xsi:type="dcterms:W3CDTF">2004-04-07T20:43:43Z</dcterms:created>
  <dcterms:modified xsi:type="dcterms:W3CDTF">2024-09-05T00:32:30Z</dcterms:modified>
  <cp:category/>
  <cp:contentStatus/>
</cp:coreProperties>
</file>