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1237" documentId="13_ncr:1_{0402BA61-346E-4614-9EF8-32644BD0418E}" xr6:coauthVersionLast="47" xr6:coauthVersionMax="47" xr10:uidLastSave="{5CDCB348-BECD-4406-987A-D4024E01055E}"/>
  <bookViews>
    <workbookView xWindow="-120" yWindow="330" windowWidth="29040" windowHeight="15990" tabRatio="895" firstSheet="9" activeTab="3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0" l="1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<sst xmlns="http://schemas.openxmlformats.org/spreadsheetml/2006/main" count="1848" uniqueCount="208">
  <si>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</si>
  <si>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</si>
  <si>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</si>
  <si>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</si>
  <si>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</si>
  <si>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</si>
  <si>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</si>
  <si>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</si>
  <si>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</si>
  <si>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</si>
  <si>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</si>
  <si>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</si>
  <si>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</si>
  <si>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</si>
  <si>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</si>
  <si>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</si>
  <si>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</si>
  <si>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</si>
  <si>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</si>
  <si>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</si>
  <si>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</si>
  <si>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</si>
  <si>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</si>
  <si>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</si>
  <si>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</si>
  <si>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</si>
  <si>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</si>
  <si>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</si>
  <si>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</si>
  <si>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</si>
  <si>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</si>
  <si>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</si>
  <si>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</si>
  <si>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</si>
  <si>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</si>
  <si>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</si>
  <si>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</si>
  <si>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</si>
  <si>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</si>
  <si>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</si>
  <si>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</si>
  <si>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</si>
  <si>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</si>
  <si>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</si>
  <si>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</si>
  <si>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</si>
  <si>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</si>
  <si>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</si>
  <si>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</si>
  <si>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</si>
  <si>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</si>
  <si>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</si>
  <si>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</si>
  <si>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</si>
  <si>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</si>
  <si>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</si>
  <si>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</si>
  <si>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</si>
  <si>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</si>
  <si>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</si>
  <si>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</si>
  <si>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</si>
  <si>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</si>
  <si>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</si>
  <si>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</si>
  <si>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</si>
  <si>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</si>
  <si>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</si>
  <si>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</si>
  <si>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</si>
  <si>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</si>
  <si>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</si>
  <si>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</si>
  <si>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</si>
  <si>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</si>
  <si>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</si>
  <si>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</si>
  <si>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</si>
  <si>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</si>
  <si>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</si>
  <si>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</si>
  <si>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</si>
  <si>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</si>
  <si>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</si>
  <si>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</si>
  <si>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</si>
  <si>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</si>
  <si>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</si>
  <si>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</si>
  <si>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</si>
  <si>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</si>
  <si>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</si>
  <si>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</si>
  <si>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</si>
  <si>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</si>
  <si>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</si>
  <si>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</si>
  <si>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</si>
  <si>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</si>
  <si>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</si>
  <si>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</si>
  <si>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</si>
  <si>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</si>
  <si>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</si>
  <si>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</si>
  <si>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</si>
  <si>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</si>
  <si>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</si>
  <si>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</si>
  <si>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</si>
  <si>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</si>
  <si>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</si>
  <si>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</si>
  <si>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</si>
  <si>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</si>
  <si>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</si>
  <si>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</si>
  <si>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</si>
  <si>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</si>
  <si>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</si>
  <si>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</si>
  <si>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</si>
  <si>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</si>
  <si>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</si>
  <si>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</si>
  <si>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</si>
  <si>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</si>
  <si>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</si>
  <si>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</si>
  <si>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</si>
  <si>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</si>
  <si>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</si>
  <si>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</si>
  <si>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</si>
  <si>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</si>
  <si>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</si>
  <si>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</si>
  <si>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</si>
  <si>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</si>
  <si>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</si>
  <si>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</si>
  <si>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</si>
  <si>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Não</t>
  </si>
  <si>
    <t>Sim</t>
  </si>
  <si>
    <t xml:space="preserve">CICERO BENTO DE LIMA </t>
  </si>
  <si>
    <t>ANTONIO JORGE</t>
  </si>
  <si>
    <t>THONY GUSTAVE</t>
  </si>
  <si>
    <t>JOEL GOMES DA SILVA</t>
  </si>
  <si>
    <t xml:space="preserve">CARINE ALMEIDA </t>
  </si>
  <si>
    <t xml:space="preserve">REGINA APARECIDA </t>
  </si>
  <si>
    <t>ALICE DE ALMEIDA</t>
  </si>
  <si>
    <t>SIM</t>
  </si>
  <si>
    <t>ELIZABETH MENES</t>
  </si>
  <si>
    <t>NÃO</t>
  </si>
  <si>
    <t>DEBORA LENE BRANDAO</t>
  </si>
  <si>
    <t>ALEXANDRE DA SILVA</t>
  </si>
  <si>
    <t>ROSANGELA GOMES</t>
  </si>
  <si>
    <t xml:space="preserve">DIVULGADORA </t>
  </si>
  <si>
    <t>GENTENTE / COMISSAO</t>
  </si>
  <si>
    <t>AGUA</t>
  </si>
  <si>
    <t xml:space="preserve">CARLOS ROBERTO </t>
  </si>
  <si>
    <t>JORGE ALVES</t>
  </si>
  <si>
    <t>ANA JULIA</t>
  </si>
  <si>
    <t>ANA VITORIA</t>
  </si>
  <si>
    <t>AUXILIAR /  VANESSA</t>
  </si>
  <si>
    <t xml:space="preserve">MIRIAM BOMFIN </t>
  </si>
  <si>
    <t>Nº 4</t>
  </si>
  <si>
    <t>EVANDRO EMIDIO</t>
  </si>
  <si>
    <t>SANTA CHAGAS</t>
  </si>
  <si>
    <t>VALDIVINA BATISTA</t>
  </si>
  <si>
    <t>EDINEIA POMPEU</t>
  </si>
  <si>
    <t>PATRICIA DA SILVA</t>
  </si>
  <si>
    <t>ALEXSSANDRO DA SILVA</t>
  </si>
  <si>
    <t>JULDITE ALVES</t>
  </si>
  <si>
    <t>REGINA APARECIDA</t>
  </si>
  <si>
    <t>JOSE CARLOS</t>
  </si>
  <si>
    <t>MAYARA SANTOS</t>
  </si>
  <si>
    <t xml:space="preserve">RAFAEL SILVA </t>
  </si>
  <si>
    <t>PEDRO EXPEDITO</t>
  </si>
  <si>
    <t>VALTER  ALMEIDA</t>
  </si>
  <si>
    <t>ELIANE DA SILVA</t>
  </si>
  <si>
    <t>NERIVALDO DOS SANTOS</t>
  </si>
  <si>
    <t>CARMINE ALIBETI</t>
  </si>
  <si>
    <t>VERA ALICE</t>
  </si>
  <si>
    <t>ANDREIA</t>
  </si>
  <si>
    <t>ANA LUCIA</t>
  </si>
  <si>
    <t>JERNIFER VITORIA</t>
  </si>
  <si>
    <t xml:space="preserve">JOSE MANOEL </t>
  </si>
  <si>
    <t>DENIZARTE DOS SANTOS</t>
  </si>
  <si>
    <t>MARIA ARAUJO</t>
  </si>
  <si>
    <t>PATRICIA PACIFICO</t>
  </si>
  <si>
    <t>LAZARO APARECIDA</t>
  </si>
  <si>
    <t>MARCO ANTONIO</t>
  </si>
  <si>
    <t>CLEONICE ROCHA</t>
  </si>
  <si>
    <t>LUIZ  DOS SANTOS</t>
  </si>
  <si>
    <t>SANTAS CHAGAS</t>
  </si>
  <si>
    <t xml:space="preserve">JESILENE </t>
  </si>
  <si>
    <t xml:space="preserve">ADAELTON GONÇALVES </t>
  </si>
  <si>
    <t>LEZIVALDO DE  MELO</t>
  </si>
  <si>
    <t>DEBORA LEME</t>
  </si>
  <si>
    <t>STEPHANIE ALVES</t>
  </si>
  <si>
    <t>ADELMO MARQUES</t>
  </si>
  <si>
    <t>JULDITE  ALVES</t>
  </si>
  <si>
    <t>CICERA DE LIMA</t>
  </si>
  <si>
    <t>ALEXSANDRO</t>
  </si>
  <si>
    <t>MARIA CELIA</t>
  </si>
  <si>
    <t>RAFAEL SILVA SANTOS</t>
  </si>
  <si>
    <t>CARMINE ALINETI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</si>
</sst>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0" fontId="30" fillId="0" borderId="3" xfId="2" applyNumberFormat="1" applyFont="1" applyFill="1" applyBorder="1" applyAlignment="1">
      <alignment horizontal="center"/>
    </xf>
    <xf numFmtId="0" fontId="30" fillId="0" borderId="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4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sqref="A1:A1048576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2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9049.98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12031.98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816.5</v>
      </c>
      <c r="P5" t="s">
        <v>132</v>
      </c>
    </row>
    <row r="6" spans="1:16" ht="15.75" x14ac:dyDescent="0.25">
      <c r="A6" s="28" t="s">
        <v>4</v>
      </c>
      <c r="B6" s="29">
        <f>SUM(B4:B5)</f>
        <v>12848.48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97" t="s">
        <v>5</v>
      </c>
      <c r="B8" s="97"/>
      <c r="P8" t="s">
        <v>135</v>
      </c>
    </row>
    <row r="9" spans="1:16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2035.2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1601.5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1088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7834.98</v>
      </c>
      <c r="P12" t="s">
        <v>139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2417.3000000000002</v>
      </c>
      <c r="P13" t="s">
        <v>140</v>
      </c>
    </row>
    <row r="14" spans="1:16" ht="15.75" x14ac:dyDescent="0.25">
      <c r="A14" s="28" t="s">
        <v>11</v>
      </c>
      <c r="B14" s="73">
        <f ca="1">SUM(B9:B13)</f>
        <v>14976.98</v>
      </c>
    </row>
    <row r="15" spans="1:16" ht="15" x14ac:dyDescent="0.25">
      <c r="A15" s="2"/>
      <c r="B15" s="2"/>
    </row>
    <row r="16" spans="1:16" ht="15" x14ac:dyDescent="0.2">
      <c r="A16" s="97" t="s">
        <v>12</v>
      </c>
      <c r="B16" s="97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1919</v>
      </c>
    </row>
    <row r="18" spans="1:2" ht="15.75" x14ac:dyDescent="0.25">
      <c r="A18" s="28" t="s">
        <v>11</v>
      </c>
      <c r="B18" s="73">
        <f>SUM(B17:B17)</f>
        <v>1919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70" zoomScaleNormal="70" workbookViewId="0">
      <selection activeCell="I6" sqref="I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v>45536</v>
      </c>
    </row>
    <row r="2" spans="2:18" ht="18.75" x14ac:dyDescent="0.2">
      <c r="B2" s="102" t="s">
        <v>127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V27" sqref="V2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'01'!B1+1</f>
        <v>45537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58"/>
      <c r="G13" s="88"/>
      <c r="H13" s="69"/>
      <c r="I13" s="69"/>
      <c r="J13" s="2"/>
      <c r="K13" s="99" t="s">
        <v>22</v>
      </c>
      <c r="L13" s="100"/>
      <c r="M13" s="101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300</v>
      </c>
      <c r="D14" s="2"/>
      <c r="E14" s="87"/>
      <c r="F14" s="58"/>
      <c r="G14" s="88"/>
      <c r="H14" s="69"/>
      <c r="I14" s="69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877</v>
      </c>
      <c r="L15" s="9" t="s">
        <v>139</v>
      </c>
      <c r="M15" s="16" t="s">
        <v>142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868</v>
      </c>
      <c r="L16" s="9" t="s">
        <v>139</v>
      </c>
      <c r="M16" s="16" t="s">
        <v>143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1</v>
      </c>
      <c r="C19" s="31">
        <f>SUM(entr_carn2[Valor Total])</f>
        <v>279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279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877</v>
      </c>
      <c r="F26" s="25" t="s">
        <v>144</v>
      </c>
      <c r="G26" s="26" t="s">
        <v>9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/>
      <c r="F35" s="25"/>
      <c r="G35" s="26"/>
      <c r="H35" s="8"/>
      <c r="I35" s="8"/>
      <c r="K35" s="25">
        <v>868</v>
      </c>
      <c r="L35" s="41">
        <v>5</v>
      </c>
      <c r="M35" s="16">
        <v>279</v>
      </c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70" zoomScaleNormal="7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'02'!B1+1</f>
        <v>45538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854</v>
      </c>
      <c r="L15" s="9" t="s">
        <v>129</v>
      </c>
      <c r="M15" s="16" t="s">
        <v>142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200</v>
      </c>
      <c r="D16" s="2"/>
      <c r="E16" s="18"/>
      <c r="F16" s="25"/>
      <c r="G16" s="26"/>
      <c r="H16" s="8"/>
      <c r="I16" s="8"/>
      <c r="J16" s="2"/>
      <c r="K16" s="25">
        <v>855</v>
      </c>
      <c r="L16" s="9" t="s">
        <v>129</v>
      </c>
      <c r="M16" s="16" t="s">
        <v>142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870</v>
      </c>
      <c r="L17" s="9" t="s">
        <v>136</v>
      </c>
      <c r="M17" s="16" t="s">
        <v>142</v>
      </c>
      <c r="R17" s="1">
        <f>IF(vend3[[#This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>
        <v>871</v>
      </c>
      <c r="L18" s="9" t="s">
        <v>136</v>
      </c>
      <c r="M18" s="16" t="s">
        <v>143</v>
      </c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>
        <v>872</v>
      </c>
      <c r="L19" s="9" t="s">
        <v>136</v>
      </c>
      <c r="M19" s="16" t="s">
        <v>143</v>
      </c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873</v>
      </c>
      <c r="L20" s="9" t="s">
        <v>136</v>
      </c>
      <c r="M20" s="16" t="s">
        <v>143</v>
      </c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680</v>
      </c>
      <c r="F35" s="25" t="s">
        <v>145</v>
      </c>
      <c r="G35" s="26" t="s">
        <v>6</v>
      </c>
      <c r="H35" s="8">
        <v>100</v>
      </c>
      <c r="I35" s="8" t="s">
        <v>79</v>
      </c>
      <c r="K35" s="25"/>
      <c r="L35" s="41"/>
      <c r="M35" s="16"/>
    </row>
    <row r="36" spans="2:18" ht="15.75" x14ac:dyDescent="0.25">
      <c r="E36" s="18">
        <v>759</v>
      </c>
      <c r="F36" s="25" t="s">
        <v>146</v>
      </c>
      <c r="G36" s="26" t="s">
        <v>10</v>
      </c>
      <c r="H36" s="8">
        <v>100</v>
      </c>
      <c r="I36" s="8" t="s">
        <v>69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70" zoomScaleNormal="70" workbookViewId="0">
      <selection activeCell="Z8" sqref="Z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'03'!B1+1</f>
        <v>45539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80</v>
      </c>
      <c r="D6" s="2"/>
      <c r="E6" s="18">
        <v>885</v>
      </c>
      <c r="F6" s="25" t="s">
        <v>147</v>
      </c>
      <c r="G6" s="45" t="s">
        <v>6</v>
      </c>
      <c r="H6" s="8">
        <v>80</v>
      </c>
      <c r="I6" s="8">
        <v>80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80</v>
      </c>
      <c r="D8" s="2"/>
      <c r="E8" s="18"/>
      <c r="F8" s="25"/>
      <c r="G8" s="45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125.4</v>
      </c>
      <c r="D15" s="2"/>
      <c r="E15" s="18"/>
      <c r="F15" s="25"/>
      <c r="G15" s="26"/>
      <c r="H15" s="8"/>
      <c r="I15" s="8"/>
      <c r="J15" s="2"/>
      <c r="K15" s="25"/>
      <c r="L15" s="9"/>
      <c r="M15" s="56"/>
      <c r="R15" s="1">
        <f>IF(vend4[[#This Row],[Nº Venda]]&gt;1,1,0)</f>
        <v>0</v>
      </c>
    </row>
    <row r="16" spans="2:18" ht="18.75" x14ac:dyDescent="0.4">
      <c r="B16" s="28" t="s">
        <v>11</v>
      </c>
      <c r="C16" s="32">
        <f>SUM(C11:C15)</f>
        <v>205.4</v>
      </c>
      <c r="D16" s="2"/>
      <c r="E16" s="18"/>
      <c r="F16" s="25"/>
      <c r="G16" s="26"/>
      <c r="H16" s="8"/>
      <c r="I16" s="8"/>
      <c r="J16" s="2"/>
      <c r="K16" s="25"/>
      <c r="L16" s="9"/>
      <c r="M16" s="56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56"/>
      <c r="R17" s="1">
        <f>IF(vend4[[#This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624</v>
      </c>
      <c r="F35" s="25" t="s">
        <v>148</v>
      </c>
      <c r="G35" s="26" t="s">
        <v>10</v>
      </c>
      <c r="H35" s="8">
        <v>62.7</v>
      </c>
      <c r="I35" s="8" t="s">
        <v>96</v>
      </c>
      <c r="K35" s="25"/>
      <c r="L35" s="41"/>
      <c r="M35" s="16"/>
    </row>
    <row r="36" spans="2:18" ht="15.75" x14ac:dyDescent="0.25">
      <c r="E36" s="18">
        <v>624</v>
      </c>
      <c r="F36" s="25" t="s">
        <v>148</v>
      </c>
      <c r="G36" s="26" t="s">
        <v>10</v>
      </c>
      <c r="H36" s="8">
        <v>62.7</v>
      </c>
      <c r="I36" s="8" t="s">
        <v>97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zoomScale="60" zoomScaleNormal="80" workbookViewId="0">
      <selection activeCell="U20" sqref="U2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'04'!B1+1</f>
        <v>45540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20</v>
      </c>
      <c r="D8" s="2"/>
      <c r="E8" s="18"/>
      <c r="F8" s="25"/>
      <c r="G8" s="45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45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220</v>
      </c>
      <c r="D11" s="2"/>
      <c r="E11" s="18"/>
      <c r="F11" s="25"/>
      <c r="G11" s="45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878</v>
      </c>
      <c r="L15" s="9" t="s">
        <v>129</v>
      </c>
      <c r="M15" s="61" t="s">
        <v>151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240</v>
      </c>
      <c r="D16" s="2"/>
      <c r="E16" s="18"/>
      <c r="F16" s="25"/>
      <c r="G16" s="26"/>
      <c r="H16" s="8"/>
      <c r="I16" s="8"/>
      <c r="J16" s="2"/>
      <c r="K16" s="25">
        <v>849</v>
      </c>
      <c r="L16" s="9" t="s">
        <v>129</v>
      </c>
      <c r="M16" s="60" t="s">
        <v>153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1</v>
      </c>
      <c r="C19" s="31">
        <f>SUM(entr_carn5[Valor Total])</f>
        <v>300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300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878</v>
      </c>
      <c r="F26" s="25" t="s">
        <v>149</v>
      </c>
      <c r="G26" s="45" t="s">
        <v>7</v>
      </c>
      <c r="H26" s="8">
        <v>0</v>
      </c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637</v>
      </c>
      <c r="F35" s="25" t="s">
        <v>150</v>
      </c>
      <c r="G35" s="26" t="s">
        <v>6</v>
      </c>
      <c r="H35" s="8">
        <v>50</v>
      </c>
      <c r="I35" s="8" t="s">
        <v>38</v>
      </c>
      <c r="K35" s="25">
        <v>878</v>
      </c>
      <c r="L35" s="41">
        <v>6</v>
      </c>
      <c r="M35" s="16">
        <v>300</v>
      </c>
    </row>
    <row r="36" spans="2:18" ht="15.75" x14ac:dyDescent="0.25">
      <c r="E36" s="95">
        <v>638</v>
      </c>
      <c r="F36" s="25" t="s">
        <v>150</v>
      </c>
      <c r="G36" s="26" t="s">
        <v>6</v>
      </c>
      <c r="H36" s="8">
        <v>50</v>
      </c>
      <c r="I36" s="8" t="s">
        <v>38</v>
      </c>
      <c r="K36" s="25"/>
      <c r="L36" s="41"/>
      <c r="M36" s="16"/>
    </row>
    <row r="37" spans="2:18" ht="15.75" x14ac:dyDescent="0.25">
      <c r="E37" s="18">
        <v>828</v>
      </c>
      <c r="F37" s="84" t="s">
        <v>152</v>
      </c>
      <c r="G37" s="85" t="s">
        <v>6</v>
      </c>
      <c r="H37" s="86">
        <v>120</v>
      </c>
      <c r="I37" s="86" t="s">
        <v>46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70" zoomScaleNormal="70" workbookViewId="0">
      <selection activeCell="X13" sqref="X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'05'!B1+1</f>
        <v>45541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840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1570</v>
      </c>
      <c r="D6" s="2"/>
      <c r="E6" s="18">
        <v>886</v>
      </c>
      <c r="F6" s="25" t="s">
        <v>154</v>
      </c>
      <c r="G6" s="26" t="s">
        <v>7</v>
      </c>
      <c r="H6" s="8">
        <v>390</v>
      </c>
      <c r="I6" s="8">
        <v>200</v>
      </c>
      <c r="J6" s="2"/>
      <c r="K6" s="25" t="s">
        <v>157</v>
      </c>
      <c r="L6" s="9" t="s">
        <v>6</v>
      </c>
      <c r="M6" s="16">
        <v>350</v>
      </c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790.5</v>
      </c>
      <c r="D7" s="2"/>
      <c r="E7" s="18">
        <v>887</v>
      </c>
      <c r="F7" s="25" t="s">
        <v>161</v>
      </c>
      <c r="G7" s="26" t="s">
        <v>10</v>
      </c>
      <c r="H7" s="8">
        <v>450</v>
      </c>
      <c r="I7" s="8">
        <v>225</v>
      </c>
      <c r="J7" s="2"/>
      <c r="K7" s="25" t="s">
        <v>158</v>
      </c>
      <c r="L7" s="9" t="s">
        <v>6</v>
      </c>
      <c r="M7" s="16">
        <v>340</v>
      </c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2360.5</v>
      </c>
      <c r="D8" s="2"/>
      <c r="E8" s="18"/>
      <c r="F8" s="25"/>
      <c r="G8" s="26"/>
      <c r="H8" s="8"/>
      <c r="I8" s="8"/>
      <c r="J8" s="2"/>
      <c r="K8" s="25" t="s">
        <v>159</v>
      </c>
      <c r="L8" s="9" t="s">
        <v>10</v>
      </c>
      <c r="M8" s="16">
        <v>13</v>
      </c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 t="s">
        <v>164</v>
      </c>
      <c r="L9" s="9" t="s">
        <v>6</v>
      </c>
      <c r="M9" s="16">
        <v>87.5</v>
      </c>
      <c r="R9" s="1">
        <f>IF(vend[[#This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5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207.5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249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896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225</v>
      </c>
      <c r="D15" s="2"/>
      <c r="E15" s="18"/>
      <c r="F15" s="25"/>
      <c r="G15" s="26"/>
      <c r="H15" s="8"/>
      <c r="I15" s="8"/>
      <c r="J15" s="2"/>
      <c r="K15" s="25">
        <v>883</v>
      </c>
      <c r="L15" s="9" t="s">
        <v>139</v>
      </c>
      <c r="M15" s="16" t="s">
        <v>142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1777.5</v>
      </c>
      <c r="D16" s="2"/>
      <c r="E16" s="18"/>
      <c r="F16" s="25"/>
      <c r="G16" s="26"/>
      <c r="H16" s="8"/>
      <c r="I16" s="8"/>
      <c r="J16" s="2"/>
      <c r="K16" s="25">
        <v>879</v>
      </c>
      <c r="L16" s="9" t="s">
        <v>129</v>
      </c>
      <c r="M16" s="16" t="s">
        <v>142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862</v>
      </c>
      <c r="L17" s="9" t="s">
        <v>136</v>
      </c>
      <c r="M17" s="16" t="s">
        <v>142</v>
      </c>
      <c r="R17" s="1">
        <f>IF(vend[[#This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>
        <v>863</v>
      </c>
      <c r="L18" s="9" t="s">
        <v>136</v>
      </c>
      <c r="M18" s="16" t="s">
        <v>142</v>
      </c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879</v>
      </c>
      <c r="F26" s="25" t="s">
        <v>156</v>
      </c>
      <c r="G26" s="26" t="s">
        <v>9</v>
      </c>
      <c r="H26" s="8">
        <v>0</v>
      </c>
      <c r="I26" s="8">
        <v>696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862</v>
      </c>
      <c r="F27" s="25" t="s">
        <v>162</v>
      </c>
      <c r="G27" s="26" t="s">
        <v>9</v>
      </c>
      <c r="H27" s="8">
        <v>0</v>
      </c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863</v>
      </c>
      <c r="F28" s="25" t="s">
        <v>163</v>
      </c>
      <c r="G28" s="26" t="s">
        <v>9</v>
      </c>
      <c r="H28" s="8">
        <v>0</v>
      </c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862</v>
      </c>
      <c r="F29" s="25" t="s">
        <v>162</v>
      </c>
      <c r="G29" s="26" t="s">
        <v>8</v>
      </c>
      <c r="H29" s="8">
        <v>0</v>
      </c>
      <c r="I29" s="8">
        <v>124.5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863</v>
      </c>
      <c r="F30" s="39" t="s">
        <v>163</v>
      </c>
      <c r="G30" s="26" t="s">
        <v>8</v>
      </c>
      <c r="H30" s="8">
        <v>0</v>
      </c>
      <c r="I30" s="8">
        <v>124.5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599</v>
      </c>
      <c r="F35" s="25" t="s">
        <v>155</v>
      </c>
      <c r="G35" s="26" t="s">
        <v>6</v>
      </c>
      <c r="H35" s="8">
        <v>120</v>
      </c>
      <c r="I35" s="8" t="s">
        <v>98</v>
      </c>
      <c r="K35" s="25"/>
      <c r="L35" s="41"/>
      <c r="M35" s="16"/>
    </row>
    <row r="36" spans="2:18" ht="15.75" x14ac:dyDescent="0.25">
      <c r="E36" s="95">
        <v>794</v>
      </c>
      <c r="F36" s="25" t="s">
        <v>160</v>
      </c>
      <c r="G36" s="26" t="s">
        <v>6</v>
      </c>
      <c r="H36" s="8">
        <v>87.5</v>
      </c>
      <c r="I36" s="8" t="s">
        <v>34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70" zoomScaleNormal="7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0">
        <f>'06'!B1+1</f>
        <v>45542</v>
      </c>
    </row>
    <row r="2" spans="2:21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400</v>
      </c>
      <c r="D6" s="2"/>
      <c r="E6" s="18"/>
      <c r="F6" s="78"/>
      <c r="G6" s="78"/>
      <c r="H6" s="79"/>
      <c r="I6" s="79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7"/>
      <c r="G7" s="47"/>
      <c r="H7" s="46"/>
      <c r="I7" s="46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>
        <v>851</v>
      </c>
      <c r="L15" s="9" t="s">
        <v>129</v>
      </c>
      <c r="M15" s="48" t="s">
        <v>142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IF(vend7[[#This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851</v>
      </c>
      <c r="F26" s="57" t="s">
        <v>165</v>
      </c>
      <c r="G26" s="70" t="s">
        <v>6</v>
      </c>
      <c r="H26" s="71">
        <v>0</v>
      </c>
      <c r="I26" s="71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 t="s">
        <v>10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50" zoomScaleNormal="50" workbookViewId="0">
      <selection activeCell="K15" sqref="A1:T42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'07'!B1+1</f>
        <v>45543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1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(SUMIF($G$2:$G$31,B13,$I$2:$I$31))+(SUMIF($G$35:$G$42,B13,$H$35:$H$42))</f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IF(vend8[[#This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(SUMIF($G$2:$G$31,B14,$I$2:$I$31))+(SUMIF($G$35:$G$42,B14,$H$35:$H$42))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81"/>
      <c r="G26" s="82"/>
      <c r="H26" s="83"/>
      <c r="I26" s="83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5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74"/>
      <c r="G42" s="75"/>
      <c r="H42" s="76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7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4">
        <f>'08'!B1+1</f>
        <v>45544</v>
      </c>
    </row>
    <row r="2" spans="2:22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22" ht="15" x14ac:dyDescent="0.25">
      <c r="B5" s="23" t="s">
        <v>1</v>
      </c>
      <c r="C5" s="24">
        <f>SUMIF(I6:I31,"&gt;0",H6:H31)</f>
        <v>800</v>
      </c>
      <c r="D5" s="2"/>
      <c r="E5" s="10" t="s">
        <v>166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400</v>
      </c>
      <c r="D6" s="2"/>
      <c r="E6" s="18">
        <v>888</v>
      </c>
      <c r="F6" s="25" t="s">
        <v>167</v>
      </c>
      <c r="G6" s="45" t="s">
        <v>7</v>
      </c>
      <c r="H6" s="8">
        <v>300</v>
      </c>
      <c r="I6" s="8">
        <v>150</v>
      </c>
      <c r="J6" s="2"/>
      <c r="K6" s="25"/>
      <c r="L6" s="9"/>
      <c r="M6" s="16"/>
      <c r="R6" s="1">
        <f>IF(vend9[[#This Row],[Nº 4]]&gt;1,1,0)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889</v>
      </c>
      <c r="F7" s="25" t="s">
        <v>168</v>
      </c>
      <c r="G7" s="45" t="s">
        <v>6</v>
      </c>
      <c r="H7" s="8">
        <v>500</v>
      </c>
      <c r="I7" s="8">
        <v>50</v>
      </c>
      <c r="J7" s="2"/>
      <c r="K7" s="25"/>
      <c r="L7" s="9"/>
      <c r="M7" s="16"/>
      <c r="R7" s="1">
        <f>IF(vend9[[#This Row],[Nº 4]]&gt;1,1,0)</f>
        <v>1</v>
      </c>
    </row>
    <row r="8" spans="2:22" ht="15.75" x14ac:dyDescent="0.25">
      <c r="B8" s="28" t="s">
        <v>21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4]]&gt;1,1,0)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4]]&gt;1,1,0)</f>
        <v>0</v>
      </c>
    </row>
    <row r="10" spans="2:22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4]]&gt;1,1,0)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429.7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4]]&gt;1,1,0)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249</v>
      </c>
      <c r="D12" s="2"/>
      <c r="E12" s="18"/>
      <c r="F12" s="25"/>
      <c r="G12" s="26"/>
      <c r="H12" s="8"/>
      <c r="I12" s="8"/>
      <c r="J12" s="2"/>
      <c r="R12" s="1">
        <f>IF(vend9[[#This Row],[Nº 4]]&gt;1,1,0)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IF(vend9[[#This Row],[Nº 4]]&gt;1,1,0)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4]]&gt;1,1,0)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882</v>
      </c>
      <c r="L15" s="9" t="s">
        <v>139</v>
      </c>
      <c r="M15" s="16" t="s">
        <v>142</v>
      </c>
      <c r="R15" s="1">
        <f>IF(vend9[[#This Row],[Nº 4]]&gt;1,1,0)</f>
        <v>0</v>
      </c>
    </row>
    <row r="16" spans="2:22" ht="15.75" x14ac:dyDescent="0.25">
      <c r="B16" s="28" t="s">
        <v>11</v>
      </c>
      <c r="C16" s="32">
        <f>SUM(C11:C15)</f>
        <v>678.7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4]]&gt;1,1,0)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4]]&gt;1,1,0)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4]]&gt;1,1,0)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4]]&gt;1,1,0)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4]]&gt;1,1,0)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882</v>
      </c>
      <c r="F26" s="25" t="s">
        <v>169</v>
      </c>
      <c r="G26" s="45" t="s">
        <v>6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721</v>
      </c>
      <c r="F35" s="25" t="s">
        <v>170</v>
      </c>
      <c r="G35" s="26" t="s">
        <v>7</v>
      </c>
      <c r="H35" s="8">
        <v>99</v>
      </c>
      <c r="I35" s="8" t="s">
        <v>95</v>
      </c>
      <c r="K35" s="25"/>
      <c r="L35" s="41"/>
      <c r="M35" s="16"/>
    </row>
    <row r="36" spans="2:18" ht="15.75" x14ac:dyDescent="0.25">
      <c r="E36" s="96">
        <v>712</v>
      </c>
      <c r="F36" s="25" t="s">
        <v>171</v>
      </c>
      <c r="G36" s="26" t="s">
        <v>6</v>
      </c>
      <c r="H36" s="8">
        <v>59.9</v>
      </c>
      <c r="I36" s="8" t="s">
        <v>84</v>
      </c>
      <c r="K36" s="25"/>
      <c r="L36" s="41"/>
      <c r="M36" s="16"/>
    </row>
    <row r="37" spans="2:18" ht="15.75" x14ac:dyDescent="0.25">
      <c r="E37" s="18">
        <v>712</v>
      </c>
      <c r="F37" s="25" t="s">
        <v>171</v>
      </c>
      <c r="G37" s="26" t="s">
        <v>6</v>
      </c>
      <c r="H37" s="8">
        <v>59.9</v>
      </c>
      <c r="I37" s="8" t="s">
        <v>85</v>
      </c>
      <c r="K37" s="25"/>
      <c r="L37" s="41"/>
      <c r="M37" s="16"/>
    </row>
    <row r="38" spans="2:18" ht="15.75" x14ac:dyDescent="0.25">
      <c r="E38" s="18">
        <v>712</v>
      </c>
      <c r="F38" s="25" t="s">
        <v>171</v>
      </c>
      <c r="G38" s="26" t="s">
        <v>6</v>
      </c>
      <c r="H38" s="8">
        <v>59.9</v>
      </c>
      <c r="I38" s="8" t="s">
        <v>86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70" zoomScaleNormal="70" workbookViewId="0">
      <selection activeCell="G32" sqref="G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'09'!B1+1</f>
        <v>45545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SUMIF(I6:I32,"&gt;0",H6:H32)</f>
        <v>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220</v>
      </c>
      <c r="D6" s="2"/>
      <c r="E6" s="18">
        <v>890</v>
      </c>
      <c r="F6" s="25" t="s">
        <v>172</v>
      </c>
      <c r="G6" s="45" t="s">
        <v>7</v>
      </c>
      <c r="H6" s="8">
        <v>400</v>
      </c>
      <c r="I6" s="8">
        <v>200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891</v>
      </c>
      <c r="F7" s="25" t="s">
        <v>172</v>
      </c>
      <c r="G7" s="45" t="s">
        <v>7</v>
      </c>
      <c r="H7" s="8">
        <v>400</v>
      </c>
      <c r="I7" s="8">
        <v>20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220</v>
      </c>
      <c r="D8" s="2"/>
      <c r="E8" s="18">
        <v>892</v>
      </c>
      <c r="F8" s="25" t="s">
        <v>173</v>
      </c>
      <c r="G8" s="26" t="s">
        <v>50</v>
      </c>
      <c r="H8" s="8">
        <v>499.99</v>
      </c>
      <c r="I8" s="8"/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220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220</v>
      </c>
      <c r="D16" s="2"/>
      <c r="E16" s="18"/>
      <c r="F16" s="25"/>
      <c r="G16" s="26"/>
      <c r="H16" s="8"/>
      <c r="I16" s="8"/>
      <c r="J16" s="2"/>
      <c r="K16" s="25"/>
      <c r="L16" s="9"/>
      <c r="M16" s="60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35"/>
      <c r="F32" s="39"/>
      <c r="G32" s="26"/>
      <c r="H32" s="8"/>
      <c r="I32" s="8"/>
    </row>
    <row r="33" spans="2:18" ht="15" x14ac:dyDescent="0.25">
      <c r="B33" s="2"/>
      <c r="C33" s="2"/>
      <c r="E33" s="33"/>
      <c r="K33" s="99" t="s">
        <v>12</v>
      </c>
      <c r="L33" s="100"/>
      <c r="M33" s="101"/>
    </row>
    <row r="34" spans="2:18" ht="15" x14ac:dyDescent="0.25">
      <c r="E34" s="98" t="s">
        <v>28</v>
      </c>
      <c r="F34" s="98"/>
      <c r="G34" s="98"/>
      <c r="H34" s="98"/>
      <c r="I34" s="98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4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50" zoomScaleNormal="50" workbookViewId="0">
      <selection activeCell="K15" sqref="A1:T4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'10'!B1+1</f>
        <v>45546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" zoomScale="60" zoomScaleNormal="6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'11'!B1+1</f>
        <v>45547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893</v>
      </c>
      <c r="F6" s="49" t="s">
        <v>174</v>
      </c>
      <c r="G6" s="49" t="s">
        <v>40</v>
      </c>
      <c r="H6" s="50"/>
      <c r="I6" s="50"/>
      <c r="J6" s="2"/>
      <c r="K6" s="25"/>
      <c r="L6" s="9"/>
      <c r="M6" s="16"/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51"/>
      <c r="G7" s="51"/>
      <c r="H7" s="52"/>
      <c r="I7" s="5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51"/>
      <c r="G8" s="51"/>
      <c r="H8" s="52"/>
      <c r="I8" s="5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72.5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72.5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3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693</v>
      </c>
      <c r="F35" s="25" t="s">
        <v>175</v>
      </c>
      <c r="G35" s="26" t="s">
        <v>7</v>
      </c>
      <c r="H35" s="8">
        <v>72.5</v>
      </c>
      <c r="I35" s="8" t="s">
        <v>77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7" zoomScale="70" zoomScaleNormal="70" workbookViewId="0">
      <selection activeCell="V9" sqref="V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'12'!B1+1</f>
        <v>45548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1380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894</v>
      </c>
      <c r="F6" s="25" t="s">
        <v>176</v>
      </c>
      <c r="G6" s="26" t="s">
        <v>10</v>
      </c>
      <c r="H6" s="8">
        <v>690</v>
      </c>
      <c r="I6" s="8">
        <v>300</v>
      </c>
      <c r="J6" s="2"/>
      <c r="K6" s="25" t="s">
        <v>159</v>
      </c>
      <c r="L6" s="9" t="s">
        <v>10</v>
      </c>
      <c r="M6" s="16">
        <v>13</v>
      </c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13</v>
      </c>
      <c r="D7" s="2"/>
      <c r="E7" s="18">
        <v>895</v>
      </c>
      <c r="F7" s="25" t="s">
        <v>177</v>
      </c>
      <c r="G7" s="26" t="s">
        <v>10</v>
      </c>
      <c r="H7" s="8">
        <v>690</v>
      </c>
      <c r="I7" s="8">
        <v>100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413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821</v>
      </c>
      <c r="F35" s="25" t="s">
        <v>178</v>
      </c>
      <c r="G35" s="26" t="s">
        <v>7</v>
      </c>
      <c r="H35" s="8">
        <v>100</v>
      </c>
      <c r="I35" s="8" t="s">
        <v>39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6" zoomScale="70" zoomScaleNormal="7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'13'!B1+1</f>
        <v>45549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2569.98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1329.98</v>
      </c>
      <c r="D6" s="2"/>
      <c r="E6" s="18">
        <v>896</v>
      </c>
      <c r="F6" s="25" t="s">
        <v>180</v>
      </c>
      <c r="G6" s="45" t="s">
        <v>9</v>
      </c>
      <c r="H6" s="8">
        <v>426.66</v>
      </c>
      <c r="I6" s="8">
        <v>426.66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897</v>
      </c>
      <c r="F7" s="25" t="s">
        <v>180</v>
      </c>
      <c r="G7" s="45" t="s">
        <v>9</v>
      </c>
      <c r="H7" s="8">
        <v>426.66</v>
      </c>
      <c r="I7" s="8">
        <v>426.66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21</v>
      </c>
      <c r="C8" s="29">
        <f>SUM(C6:C7)</f>
        <v>1329.98</v>
      </c>
      <c r="D8" s="2"/>
      <c r="E8" s="18">
        <v>898</v>
      </c>
      <c r="F8" s="25" t="s">
        <v>180</v>
      </c>
      <c r="G8" s="26" t="s">
        <v>9</v>
      </c>
      <c r="H8" s="8">
        <v>426.66</v>
      </c>
      <c r="I8" s="8">
        <v>426.66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899</v>
      </c>
      <c r="F9" s="25" t="s">
        <v>181</v>
      </c>
      <c r="G9" s="26" t="s">
        <v>6</v>
      </c>
      <c r="H9" s="8">
        <v>690</v>
      </c>
      <c r="I9" s="8">
        <v>20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97" t="s">
        <v>5</v>
      </c>
      <c r="C10" s="97"/>
      <c r="D10" s="2"/>
      <c r="E10" s="18">
        <v>900</v>
      </c>
      <c r="F10" s="25" t="s">
        <v>182</v>
      </c>
      <c r="G10" s="26" t="s">
        <v>6</v>
      </c>
      <c r="H10" s="8">
        <v>600</v>
      </c>
      <c r="I10" s="8">
        <v>30</v>
      </c>
      <c r="J10" s="2"/>
      <c r="K10" s="25"/>
      <c r="L10" s="9"/>
      <c r="M10" s="16"/>
      <c r="R10" s="1">
        <f>IF(vend14[[#This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159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1279.98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1638.98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2569.98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818</v>
      </c>
      <c r="F35" s="25" t="s">
        <v>179</v>
      </c>
      <c r="G35" s="26" t="s">
        <v>7</v>
      </c>
      <c r="H35" s="8">
        <v>150</v>
      </c>
      <c r="I35" s="8" t="s">
        <v>67</v>
      </c>
      <c r="K35" s="25"/>
      <c r="L35" s="41"/>
      <c r="M35" s="16"/>
    </row>
    <row r="36" spans="2:18" ht="15.75" x14ac:dyDescent="0.25">
      <c r="E36" s="96">
        <v>781</v>
      </c>
      <c r="F36" s="25" t="s">
        <v>179</v>
      </c>
      <c r="G36" s="26" t="s">
        <v>8</v>
      </c>
      <c r="H36" s="8">
        <v>159</v>
      </c>
      <c r="I36" s="8" t="s">
        <v>53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C6" zoomScale="70" zoomScaleNormal="70" workbookViewId="0">
      <selection activeCell="K15" sqref="A1:T4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'14'!B1+1</f>
        <v>45550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6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60" zoomScaleNormal="6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'15'!B1+1</f>
        <v>45551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901</v>
      </c>
      <c r="F6" s="25" t="s">
        <v>183</v>
      </c>
      <c r="G6" s="45" t="s">
        <v>40</v>
      </c>
      <c r="H6" s="8"/>
      <c r="I6" s="8"/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902</v>
      </c>
      <c r="F7" s="25" t="s">
        <v>184</v>
      </c>
      <c r="G7" s="45" t="s">
        <v>40</v>
      </c>
      <c r="H7" s="8"/>
      <c r="I7" s="8"/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79.900000000000006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79.900000000000006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66"/>
      <c r="R17" s="1">
        <f>IF(vend16[[#This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608</v>
      </c>
      <c r="F35" s="25" t="s">
        <v>185</v>
      </c>
      <c r="G35" s="26" t="s">
        <v>10</v>
      </c>
      <c r="H35" s="8">
        <v>79.900000000000006</v>
      </c>
      <c r="I35" s="8" t="s">
        <v>59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70" zoomScaleNormal="70" workbookViewId="0">
      <selection activeCell="K35" sqref="K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'16'!B1+1</f>
        <v>45552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250</v>
      </c>
      <c r="D6" s="2"/>
      <c r="E6" s="18">
        <v>6903</v>
      </c>
      <c r="F6" s="25" t="s">
        <v>187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250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500</v>
      </c>
      <c r="D15" s="2"/>
      <c r="E15" s="18"/>
      <c r="F15" s="25"/>
      <c r="G15" s="26"/>
      <c r="H15" s="8"/>
      <c r="I15" s="8"/>
      <c r="J15" s="2"/>
      <c r="K15" s="25">
        <v>6827</v>
      </c>
      <c r="L15" s="9" t="s">
        <v>139</v>
      </c>
      <c r="M15" s="16" t="s">
        <v>143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750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1</v>
      </c>
      <c r="C19" s="31">
        <f>SUM(entr_carn17[Valor Total])</f>
        <v>250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250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6827</v>
      </c>
      <c r="F26" s="25" t="s">
        <v>188</v>
      </c>
      <c r="G26" s="26" t="s">
        <v>6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6792</v>
      </c>
      <c r="F35" s="25" t="s">
        <v>186</v>
      </c>
      <c r="G35" s="26" t="s">
        <v>10</v>
      </c>
      <c r="H35" s="8">
        <v>100</v>
      </c>
      <c r="I35" s="8" t="s">
        <v>82</v>
      </c>
      <c r="K35" s="25">
        <v>6827</v>
      </c>
      <c r="L35" s="41">
        <v>2</v>
      </c>
      <c r="M35" s="16">
        <v>250</v>
      </c>
    </row>
    <row r="36" spans="2:18" ht="15.75" x14ac:dyDescent="0.25">
      <c r="E36" s="96">
        <v>6792</v>
      </c>
      <c r="F36" s="25" t="s">
        <v>186</v>
      </c>
      <c r="G36" s="26" t="s">
        <v>10</v>
      </c>
      <c r="H36" s="8">
        <v>100</v>
      </c>
      <c r="I36" s="8" t="s">
        <v>34</v>
      </c>
      <c r="K36" s="25"/>
      <c r="L36" s="41"/>
      <c r="M36" s="16"/>
    </row>
    <row r="37" spans="2:18" ht="15.75" x14ac:dyDescent="0.25">
      <c r="E37" s="18">
        <v>6792</v>
      </c>
      <c r="F37" s="25" t="s">
        <v>186</v>
      </c>
      <c r="G37" s="26" t="s">
        <v>10</v>
      </c>
      <c r="H37" s="8">
        <v>100</v>
      </c>
      <c r="I37" s="8" t="s">
        <v>83</v>
      </c>
      <c r="K37" s="25"/>
      <c r="L37" s="41"/>
      <c r="M37" s="16"/>
    </row>
    <row r="38" spans="2:18" ht="15.75" x14ac:dyDescent="0.25">
      <c r="E38" s="18">
        <v>6792</v>
      </c>
      <c r="F38" s="25" t="s">
        <v>186</v>
      </c>
      <c r="G38" s="26" t="s">
        <v>10</v>
      </c>
      <c r="H38" s="8">
        <v>100</v>
      </c>
      <c r="I38" s="8" t="s">
        <v>57</v>
      </c>
      <c r="K38" s="25"/>
      <c r="L38" s="41"/>
      <c r="M38" s="16"/>
    </row>
    <row r="39" spans="2:18" ht="15.75" x14ac:dyDescent="0.25">
      <c r="E39" s="18">
        <v>6792</v>
      </c>
      <c r="F39" s="39" t="s">
        <v>186</v>
      </c>
      <c r="G39" s="26" t="s">
        <v>10</v>
      </c>
      <c r="H39" s="8">
        <v>100</v>
      </c>
      <c r="I39" s="8" t="s">
        <v>38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70" zoomScaleNormal="7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'17'!B1+1</f>
        <v>45553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58"/>
      <c r="G6" s="88"/>
      <c r="H6" s="69"/>
      <c r="I6" s="69"/>
      <c r="J6" s="2"/>
      <c r="K6" s="25"/>
      <c r="L6" s="64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6845</v>
      </c>
      <c r="L15" s="9" t="s">
        <v>139</v>
      </c>
      <c r="M15" s="16" t="s">
        <v>142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2"/>
      <c r="F23" s="62"/>
      <c r="G23" s="62"/>
      <c r="H23" s="63"/>
      <c r="I23" s="63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70" zoomScaleNormal="70" zoomScaleSheetLayoutView="70" workbookViewId="0">
      <selection activeCell="U23" sqref="U23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'18'!B1+1</f>
        <v>45554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3992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65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3992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58"/>
      <c r="G9" s="88"/>
      <c r="H9" s="69"/>
      <c r="I9" s="69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3839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6776</v>
      </c>
      <c r="L15" s="9" t="s">
        <v>129</v>
      </c>
      <c r="M15" s="16" t="s">
        <v>142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4192</v>
      </c>
      <c r="D16" s="2"/>
      <c r="E16" s="18"/>
      <c r="F16" s="25"/>
      <c r="G16" s="26"/>
      <c r="H16" s="8"/>
      <c r="I16" s="8"/>
      <c r="J16" s="2"/>
      <c r="K16" s="25">
        <v>6888</v>
      </c>
      <c r="L16" s="9" t="s">
        <v>139</v>
      </c>
      <c r="M16" s="16" t="s">
        <v>142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6656</v>
      </c>
      <c r="L17" s="9" t="s">
        <v>129</v>
      </c>
      <c r="M17" s="16" t="s">
        <v>142</v>
      </c>
      <c r="R17" s="1">
        <f>IF(vend19[[#This Row],[Nº Venda]]&gt;1,1,0)</f>
        <v>0</v>
      </c>
    </row>
    <row r="18" spans="2:22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>
        <v>6557</v>
      </c>
      <c r="L18" s="9" t="s">
        <v>129</v>
      </c>
      <c r="M18" s="16" t="s">
        <v>142</v>
      </c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6776</v>
      </c>
      <c r="F26" s="39" t="s">
        <v>189</v>
      </c>
      <c r="G26" s="26" t="s">
        <v>9</v>
      </c>
      <c r="H26" s="8">
        <v>0</v>
      </c>
      <c r="I26" s="8">
        <v>899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6888</v>
      </c>
      <c r="F27" s="25" t="s">
        <v>167</v>
      </c>
      <c r="G27" s="26" t="s">
        <v>7</v>
      </c>
      <c r="H27" s="8">
        <v>0</v>
      </c>
      <c r="I27" s="8">
        <v>50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 t="s">
        <v>6</v>
      </c>
      <c r="H28" s="8">
        <v>0</v>
      </c>
      <c r="I28" s="8">
        <v>100</v>
      </c>
      <c r="J28" s="2"/>
      <c r="K28" s="25"/>
      <c r="L28" s="9"/>
      <c r="M28" s="16"/>
    </row>
    <row r="29" spans="2:22" ht="15.75" x14ac:dyDescent="0.25">
      <c r="B29" s="2"/>
      <c r="C29" s="2"/>
      <c r="D29" s="2"/>
      <c r="E29" s="18">
        <v>6656</v>
      </c>
      <c r="F29" s="25" t="s">
        <v>191</v>
      </c>
      <c r="G29" s="89" t="s">
        <v>9</v>
      </c>
      <c r="H29" s="26"/>
      <c r="I29" s="8">
        <v>1090</v>
      </c>
      <c r="J29" s="2"/>
      <c r="K29" s="25"/>
      <c r="L29" s="9"/>
      <c r="M29" s="16"/>
    </row>
    <row r="30" spans="2:22" ht="15.75" x14ac:dyDescent="0.25">
      <c r="B30" s="2"/>
      <c r="C30" s="2"/>
      <c r="D30" s="2"/>
      <c r="E30" s="18">
        <v>6857</v>
      </c>
      <c r="F30" s="25" t="s">
        <v>191</v>
      </c>
      <c r="G30" s="26" t="s">
        <v>9</v>
      </c>
      <c r="H30" s="8"/>
      <c r="I30" s="8">
        <v>1850</v>
      </c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 t="s">
        <v>191</v>
      </c>
      <c r="G31" s="37" t="s">
        <v>6</v>
      </c>
      <c r="H31" s="17"/>
      <c r="I31" s="17">
        <v>3</v>
      </c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6672</v>
      </c>
      <c r="F35" s="25" t="s">
        <v>190</v>
      </c>
      <c r="G35" s="26" t="s">
        <v>10</v>
      </c>
      <c r="H35" s="8">
        <v>200</v>
      </c>
      <c r="I35" s="8" t="s">
        <v>79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70" zoomScaleNormal="70" workbookViewId="0">
      <selection activeCell="I37" sqref="I3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'19'!B1+1</f>
        <v>45555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9604</v>
      </c>
      <c r="F6" s="25" t="s">
        <v>194</v>
      </c>
      <c r="G6" s="26" t="s">
        <v>7</v>
      </c>
      <c r="H6" s="8">
        <v>490</v>
      </c>
      <c r="I6" s="8">
        <v>50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95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450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307</v>
      </c>
      <c r="D15" s="2"/>
      <c r="E15" s="18"/>
      <c r="F15" s="25"/>
      <c r="G15" s="26"/>
      <c r="H15" s="8"/>
      <c r="I15" s="8"/>
      <c r="J15" s="2"/>
      <c r="K15" s="25">
        <v>6889</v>
      </c>
      <c r="L15" s="9" t="s">
        <v>139</v>
      </c>
      <c r="M15" s="16" t="s">
        <v>142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902</v>
      </c>
      <c r="D16" s="2"/>
      <c r="E16" s="18"/>
      <c r="F16" s="25"/>
      <c r="G16" s="26"/>
      <c r="H16" s="8"/>
      <c r="I16" s="8"/>
      <c r="J16" s="2"/>
      <c r="K16" s="25">
        <v>6894</v>
      </c>
      <c r="L16" s="9" t="s">
        <v>139</v>
      </c>
      <c r="M16" s="66" t="s">
        <v>143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1</v>
      </c>
      <c r="C19" s="31">
        <f>SUM(entr_carn20[Valor Total])</f>
        <v>390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390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6889</v>
      </c>
      <c r="F26" s="25" t="s">
        <v>195</v>
      </c>
      <c r="G26" s="26" t="s">
        <v>9</v>
      </c>
      <c r="H26" s="8"/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6798</v>
      </c>
      <c r="F35" s="25" t="s">
        <v>192</v>
      </c>
      <c r="G35" s="26" t="s">
        <v>10</v>
      </c>
      <c r="H35" s="8">
        <v>167</v>
      </c>
      <c r="I35" s="8" t="s">
        <v>39</v>
      </c>
      <c r="K35" s="25">
        <v>6894</v>
      </c>
      <c r="L35" s="41">
        <v>5</v>
      </c>
      <c r="M35" s="66">
        <v>390</v>
      </c>
    </row>
    <row r="36" spans="2:18" ht="15.75" x14ac:dyDescent="0.25">
      <c r="E36" s="95">
        <v>6810</v>
      </c>
      <c r="F36" s="25" t="s">
        <v>193</v>
      </c>
      <c r="G36" s="26" t="s">
        <v>10</v>
      </c>
      <c r="H36" s="8">
        <v>140</v>
      </c>
      <c r="I36" s="8" t="s">
        <v>39</v>
      </c>
      <c r="K36" s="25"/>
      <c r="L36" s="67"/>
      <c r="M36" s="66"/>
    </row>
    <row r="37" spans="2:18" ht="15.75" x14ac:dyDescent="0.25">
      <c r="E37" s="18">
        <v>6799</v>
      </c>
      <c r="F37" s="25" t="s">
        <v>196</v>
      </c>
      <c r="G37" s="26" t="s">
        <v>6</v>
      </c>
      <c r="H37" s="8">
        <v>95</v>
      </c>
      <c r="I37" s="8" t="s">
        <v>84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70" zoomScaleNormal="70" workbookViewId="0">
      <selection activeCell="H26" sqref="H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'20'!B1+1</f>
        <v>45556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1000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6905</v>
      </c>
      <c r="F6" s="25" t="s">
        <v>197</v>
      </c>
      <c r="G6" s="26" t="s">
        <v>7</v>
      </c>
      <c r="H6" s="8">
        <v>1000</v>
      </c>
      <c r="I6" s="8">
        <v>300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6865</v>
      </c>
      <c r="F26" s="25" t="s">
        <v>198</v>
      </c>
      <c r="G26" s="26" t="s">
        <v>6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50" zoomScaleNormal="50" workbookViewId="0">
      <selection activeCell="K15" sqref="A1:T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'21'!B1+1</f>
        <v>45557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70" zoomScaleNormal="7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'22'!B1+1</f>
        <v>45558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220</v>
      </c>
      <c r="D6" s="2"/>
      <c r="E6" s="18">
        <v>6906</v>
      </c>
      <c r="F6" s="25" t="s">
        <v>200</v>
      </c>
      <c r="G6" s="26" t="s">
        <v>10</v>
      </c>
      <c r="H6" s="8">
        <v>500</v>
      </c>
      <c r="I6" s="8">
        <v>30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220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(SUMIF($G$2:$G$31,B11,$I$2:$I$31))+(SUMIF($G$35:$G$44,B11,$H$35:$H$44))</f>
        <v>56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(SUMIF($G$2:$G$31,B12,$I$2:$I$31))+(SUMIF($G$35:$G$44,B12,$H$35:$H$44))</f>
        <v>190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(SUMIF($G$2:$G$31,B13,$I$2:$I$31))+(SUMIF($G$35:$G$44,B13,$H$35:$H$44))</f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IF(vend23[[#This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(SUMIF($G$2:$G$31,B14,$I$2:$I$31))+(SUMIF($G$35:$G$44,B14,$H$35:$H$44))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(SUMIF($G$2:$G$31,B15,$I$2:$I$31))+(SUMIF($G$35:$G$44,B15,$H$35:$H$44))</f>
        <v>30</v>
      </c>
      <c r="D15" s="2"/>
      <c r="E15" s="18"/>
      <c r="F15" s="25"/>
      <c r="G15" s="26"/>
      <c r="H15" s="8"/>
      <c r="I15" s="8"/>
      <c r="J15" s="2"/>
      <c r="K15" s="25">
        <v>6903</v>
      </c>
      <c r="L15" s="9" t="s">
        <v>139</v>
      </c>
      <c r="M15" s="16" t="s">
        <v>142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276</v>
      </c>
      <c r="D16" s="2"/>
      <c r="E16" s="18"/>
      <c r="F16" s="25"/>
      <c r="G16" s="26"/>
      <c r="H16" s="8"/>
      <c r="I16" s="8"/>
      <c r="J16" s="2"/>
      <c r="K16" s="25">
        <v>6896</v>
      </c>
      <c r="L16" s="9" t="s">
        <v>139</v>
      </c>
      <c r="M16" s="16" t="s">
        <v>142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6897</v>
      </c>
      <c r="L17" s="9" t="s">
        <v>139</v>
      </c>
      <c r="M17" s="16" t="s">
        <v>142</v>
      </c>
      <c r="R17" s="1">
        <f>IF(vend23[[#This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>
        <v>6898</v>
      </c>
      <c r="L18" s="9" t="s">
        <v>139</v>
      </c>
      <c r="M18" s="16" t="s">
        <v>142</v>
      </c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6886</v>
      </c>
      <c r="F26" s="25" t="s">
        <v>199</v>
      </c>
      <c r="G26" s="26" t="s">
        <v>7</v>
      </c>
      <c r="H26" s="8"/>
      <c r="I26" s="8">
        <v>190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6869</v>
      </c>
      <c r="F35" s="25" t="s">
        <v>201</v>
      </c>
      <c r="G35" s="26" t="s">
        <v>6</v>
      </c>
      <c r="H35" s="8">
        <v>56</v>
      </c>
      <c r="I35" s="8" t="s">
        <v>39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92"/>
      <c r="F42" s="74"/>
      <c r="G42" s="75"/>
      <c r="H42" s="76"/>
      <c r="I42" s="17"/>
    </row>
    <row r="43" spans="2:18" ht="15.75" x14ac:dyDescent="0.25">
      <c r="E43" s="92"/>
      <c r="F43" s="90"/>
      <c r="G43" s="89"/>
      <c r="H43" s="91"/>
      <c r="I43" s="8"/>
    </row>
    <row r="44" spans="2:18" ht="15.75" x14ac:dyDescent="0.25">
      <c r="E44" s="93"/>
      <c r="F44" s="74"/>
      <c r="G44" s="75"/>
      <c r="H44" s="76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50" zoomScaleNormal="50" workbookViewId="0">
      <selection activeCell="K15" sqref="A1:T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'23'!B1+1</f>
        <v>45559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70" zoomScaleNormal="70" workbookViewId="0">
      <selection activeCell="W22" sqref="W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'24'!B1+1</f>
        <v>45560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500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6892</v>
      </c>
      <c r="F26" s="25" t="s">
        <v>202</v>
      </c>
      <c r="G26" s="26" t="s">
        <v>9</v>
      </c>
      <c r="H26" s="8">
        <v>500</v>
      </c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71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U41"/>
  <sheetViews>
    <sheetView showGridLines="0" topLeftCell="A12" zoomScale="70" zoomScaleNormal="7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'25'!B1+1</f>
        <v>45561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159</v>
      </c>
      <c r="L6" s="9" t="s">
        <v>10</v>
      </c>
      <c r="M6" s="16">
        <v>13</v>
      </c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13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13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6884</v>
      </c>
      <c r="L15" s="9" t="s">
        <v>139</v>
      </c>
      <c r="M15" s="16" t="s">
        <v>143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158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700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700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  <c r="U33" s="1" t="s">
        <v>58</v>
      </c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21" ht="15.75" x14ac:dyDescent="0.25">
      <c r="E35" s="18">
        <v>6618</v>
      </c>
      <c r="F35" s="25" t="s">
        <v>203</v>
      </c>
      <c r="G35" s="26" t="s">
        <v>6</v>
      </c>
      <c r="H35" s="8">
        <v>158</v>
      </c>
      <c r="I35" s="8" t="s">
        <v>59</v>
      </c>
      <c r="K35" s="25">
        <v>6884</v>
      </c>
      <c r="L35" s="41">
        <v>7</v>
      </c>
      <c r="M35" s="16">
        <v>700</v>
      </c>
    </row>
    <row r="36" spans="2:21" ht="15.75" x14ac:dyDescent="0.25">
      <c r="E36" s="94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6" zoomScale="90" zoomScaleNormal="90" workbookViewId="0">
      <selection activeCell="I27" sqref="I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'26'!B1+1</f>
        <v>45562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6890</v>
      </c>
      <c r="L15" s="9" t="s">
        <v>139</v>
      </c>
      <c r="M15" s="16" t="s">
        <v>142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236</v>
      </c>
      <c r="D16" s="2"/>
      <c r="E16" s="18"/>
      <c r="F16" s="25"/>
      <c r="G16" s="26"/>
      <c r="H16" s="8"/>
      <c r="I16" s="8"/>
      <c r="J16" s="2"/>
      <c r="K16" s="25">
        <v>6900</v>
      </c>
      <c r="L16" s="9" t="s">
        <v>136</v>
      </c>
      <c r="M16" s="16" t="s">
        <v>142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6890</v>
      </c>
      <c r="F26" s="25" t="s">
        <v>204</v>
      </c>
      <c r="G26" s="26" t="s">
        <v>10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6761</v>
      </c>
      <c r="F35" s="25" t="s">
        <v>205</v>
      </c>
      <c r="G35" s="26" t="s">
        <v>6</v>
      </c>
      <c r="H35" s="8">
        <v>36</v>
      </c>
      <c r="I35" s="8" t="s">
        <v>83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94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K35:K41 K15:K31 E35:E37 E39:E41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70" zoomScaleNormal="70" workbookViewId="0">
      <selection activeCell="W10" sqref="W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'27'!B1+1</f>
        <v>45563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680</v>
      </c>
      <c r="D6" s="2"/>
      <c r="E6" s="18">
        <v>6907</v>
      </c>
      <c r="F6" s="25" t="s">
        <v>173</v>
      </c>
      <c r="G6" s="26" t="s">
        <v>8</v>
      </c>
      <c r="H6" s="8">
        <v>90</v>
      </c>
      <c r="I6" s="8">
        <v>90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680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680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6895</v>
      </c>
      <c r="L15" s="9" t="s">
        <v>139</v>
      </c>
      <c r="M15" s="16" t="s">
        <v>142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680</v>
      </c>
      <c r="D16" s="2"/>
      <c r="E16" s="18"/>
      <c r="F16" s="25"/>
      <c r="G16" s="26"/>
      <c r="H16" s="8"/>
      <c r="I16" s="8"/>
      <c r="J16" s="2"/>
      <c r="K16" s="25">
        <v>6892</v>
      </c>
      <c r="L16" s="9" t="s">
        <v>139</v>
      </c>
      <c r="M16" s="16" t="s">
        <v>142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6895</v>
      </c>
      <c r="F26" s="25" t="s">
        <v>206</v>
      </c>
      <c r="G26" s="26" t="s">
        <v>8</v>
      </c>
      <c r="H26" s="8">
        <v>0</v>
      </c>
      <c r="I26" s="8">
        <v>590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50" zoomScaleNormal="50" workbookViewId="0">
      <selection activeCell="G11" sqref="G1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9">
        <f>'28'!B1+1</f>
        <v>45564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6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9" zoomScale="70" zoomScaleNormal="7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'29'!B1+1</f>
        <v>45565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570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570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570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6900</v>
      </c>
      <c r="L15" s="9" t="s">
        <v>139</v>
      </c>
      <c r="M15" s="16" t="s">
        <v>142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570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6900</v>
      </c>
      <c r="F26" s="25" t="s">
        <v>207</v>
      </c>
      <c r="G26" s="26" t="s">
        <v>9</v>
      </c>
      <c r="H26" s="8">
        <v>0</v>
      </c>
      <c r="I26" s="8">
        <v>570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4" zoomScale="50" zoomScaleNormal="50" workbookViewId="0">
      <selection activeCell="K15" sqref="A1:T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'30'!B1+1</f>
        <v>45566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22</v>
      </c>
      <c r="L13" s="100"/>
      <c r="M13" s="101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27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28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tabSelected="1" topLeftCell="A645" workbookViewId="0">
      <selection activeCell="A688" sqref="A688"/>
    </sheetView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2024-10-04T18:14:06Z</cp:lastPrinted>
  <dcterms:created xsi:type="dcterms:W3CDTF">2004-04-07T20:43:43Z</dcterms:created>
  <dcterms:modified xsi:type="dcterms:W3CDTF">2024-11-26T20:01:59Z</dcterms:modified>
  <cp:category/>
  <cp:contentStatus/>
</cp:coreProperties>
</file>