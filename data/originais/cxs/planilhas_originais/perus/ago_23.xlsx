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71" documentId="13_ncr:1_{673E3F9E-2CC2-493D-A098-9EB108058860}" xr6:coauthVersionLast="47" xr6:coauthVersionMax="47" xr10:uidLastSave="{4D6CE50B-7DD7-4B05-B291-6776AF984DB7}"/>
  <bookViews>
    <workbookView xWindow="-120" yWindow="-120" windowWidth="20730" windowHeight="11310" tabRatio="895" firstSheet="10" activeTab="2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1" l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40" i="197" s="1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R40" i="170" l="1"/>
  <c r="R40" i="193"/>
  <c r="C8" i="174"/>
  <c r="B17" i="200"/>
  <c r="B18" i="200" s="1"/>
  <c r="R40" i="190"/>
  <c r="R40" i="194"/>
  <c r="R40" i="198"/>
  <c r="R40" i="177"/>
  <c r="R40" i="191"/>
  <c r="R40" i="195"/>
  <c r="R40" i="184"/>
  <c r="R40" i="199"/>
  <c r="R40" i="183"/>
  <c r="R40" i="180"/>
  <c r="R40" i="185"/>
  <c r="R40" i="188"/>
  <c r="R40" i="192"/>
  <c r="R40" i="196"/>
  <c r="C8" i="188"/>
  <c r="C8" i="191"/>
  <c r="R40" i="187"/>
  <c r="R40" i="186"/>
  <c r="R40" i="179"/>
  <c r="R40" i="178"/>
  <c r="R40" i="172"/>
  <c r="R40" i="173"/>
  <c r="R40" i="174"/>
  <c r="C8" i="175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<sst xmlns="http://schemas.openxmlformats.org/spreadsheetml/2006/main" count="1953" uniqueCount="251">
  <si>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</si>
  <si>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</si>
  <si>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</si>
  <si>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</si>
  <si>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</si>
  <si>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</si>
  <si>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</si>
  <si>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</si>
  <si>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</si>
  <si>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</si>
  <si>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</si>
  <si>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</si>
  <si>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</si>
  <si>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</si>
  <si>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</si>
  <si>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</si>
  <si>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</si>
  <si>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</si>
  <si>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</si>
  <si>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</si>
  <si>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</si>
  <si>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Lourival gonçalves de jesus</t>
  </si>
  <si>
    <t>SS</t>
  </si>
  <si>
    <t>(anexo os 334)</t>
  </si>
  <si>
    <t>Total  entrada</t>
  </si>
  <si>
    <t>Viviane salvoli de souza</t>
  </si>
  <si>
    <t>Quézia ramos G. dos santos</t>
  </si>
  <si>
    <t>Neusa ferreira souza da silva</t>
  </si>
  <si>
    <t>OS Entregue no Dia</t>
  </si>
  <si>
    <t>OS</t>
  </si>
  <si>
    <t>Vendedor</t>
  </si>
  <si>
    <t>CARNE</t>
  </si>
  <si>
    <t>Venda</t>
  </si>
  <si>
    <t>Restante Entrada</t>
  </si>
  <si>
    <t>Marco antônio de souza</t>
  </si>
  <si>
    <t xml:space="preserve">Mercedes debones </t>
  </si>
  <si>
    <t>Recebimento de Carnê</t>
  </si>
  <si>
    <t>Valor Parcela</t>
  </si>
  <si>
    <t>Nº Parcela</t>
  </si>
  <si>
    <t>Parcelas</t>
  </si>
  <si>
    <t>Valor Total</t>
  </si>
  <si>
    <t>Total de OS</t>
  </si>
  <si>
    <t>Vanessa barreto da silva</t>
  </si>
  <si>
    <t>galão de água</t>
  </si>
  <si>
    <t>pix</t>
  </si>
  <si>
    <t xml:space="preserve">Elineide ribeiro </t>
  </si>
  <si>
    <t>ARIANI</t>
  </si>
  <si>
    <t>Não</t>
  </si>
  <si>
    <t>Geovana aparecida</t>
  </si>
  <si>
    <t>Edineu</t>
  </si>
  <si>
    <t>SANDY</t>
  </si>
  <si>
    <t>Sim</t>
  </si>
  <si>
    <t>Maria celeste</t>
  </si>
  <si>
    <t>Deusa aparecida dos santos</t>
  </si>
  <si>
    <t xml:space="preserve">Ana lucia de carvalho </t>
  </si>
  <si>
    <t>WILLIAN</t>
  </si>
  <si>
    <t xml:space="preserve">Pedro cardozo </t>
  </si>
  <si>
    <t xml:space="preserve">Vanderley de oliveira </t>
  </si>
  <si>
    <t>Marilene paula brandão</t>
  </si>
  <si>
    <t>(garantia)</t>
  </si>
  <si>
    <t>Gicélia francisca santos</t>
  </si>
  <si>
    <t xml:space="preserve">Celeste alves </t>
  </si>
  <si>
    <t>Lucia aparecida</t>
  </si>
  <si>
    <t>Edvania oliveira</t>
  </si>
  <si>
    <t xml:space="preserve">Elias zeferino </t>
  </si>
  <si>
    <t>Larissa dos santos</t>
  </si>
  <si>
    <t>Florisa Mossim</t>
  </si>
  <si>
    <t xml:space="preserve">Catharina </t>
  </si>
  <si>
    <t xml:space="preserve">Raquel mendes </t>
  </si>
  <si>
    <t>dn</t>
  </si>
  <si>
    <t xml:space="preserve">Nayara gonçalves </t>
  </si>
  <si>
    <t>ctd</t>
  </si>
  <si>
    <t>kelly cristina de oliveira</t>
  </si>
  <si>
    <t>Helena maria silva</t>
  </si>
  <si>
    <t>Severina carlos</t>
  </si>
  <si>
    <t>(verificação)</t>
  </si>
  <si>
    <t>galão água</t>
  </si>
  <si>
    <t>extensão(cleverson)</t>
  </si>
  <si>
    <t>ANA MARIA</t>
  </si>
  <si>
    <t>ivani de souza</t>
  </si>
  <si>
    <t>Netevaldo cruz</t>
  </si>
  <si>
    <t>maria celeste ferreira</t>
  </si>
  <si>
    <t>Celsindina ribeiro</t>
  </si>
  <si>
    <t>Ivani de souza vasconselos</t>
  </si>
  <si>
    <t>Lucas rogério silva</t>
  </si>
  <si>
    <t xml:space="preserve">Antônio sergio </t>
  </si>
  <si>
    <t>Davi william de mendonça</t>
  </si>
  <si>
    <t>maria lima</t>
  </si>
  <si>
    <t xml:space="preserve">Maria tavares </t>
  </si>
  <si>
    <t>rozemiro</t>
  </si>
  <si>
    <t>Bruce da silva</t>
  </si>
  <si>
    <t>mário sérgiio</t>
  </si>
  <si>
    <t>antonio eudes alves</t>
  </si>
  <si>
    <t>(anexo os 364)</t>
  </si>
  <si>
    <t>beatriz predolti</t>
  </si>
  <si>
    <t>washington luiz</t>
  </si>
  <si>
    <t xml:space="preserve">sandra silva gonçalves </t>
  </si>
  <si>
    <t>helena maria silva</t>
  </si>
  <si>
    <t>José Antônio dos Santos</t>
  </si>
  <si>
    <t>rosangela</t>
  </si>
  <si>
    <t xml:space="preserve">edvania oliveira </t>
  </si>
  <si>
    <t>elias zeferino</t>
  </si>
  <si>
    <t>Carmen Lúcia Ricomini</t>
  </si>
  <si>
    <t xml:space="preserve">Paulo Rogerio </t>
  </si>
  <si>
    <t xml:space="preserve">Aparecida Araujo </t>
  </si>
  <si>
    <t>MARIA</t>
  </si>
  <si>
    <t xml:space="preserve">Katia Machado </t>
  </si>
  <si>
    <t>Jair de Souza (garantia)</t>
  </si>
  <si>
    <t xml:space="preserve">Água </t>
  </si>
  <si>
    <t xml:space="preserve">CTD </t>
  </si>
  <si>
    <t xml:space="preserve">Silmara Vasconcelos </t>
  </si>
  <si>
    <t xml:space="preserve">Guilherme Magno </t>
  </si>
  <si>
    <t>Simeí Souza dos Santos</t>
  </si>
  <si>
    <t xml:space="preserve">Jociane Farias </t>
  </si>
  <si>
    <t>WILLIAM</t>
  </si>
  <si>
    <t xml:space="preserve">Sandra Silva </t>
  </si>
  <si>
    <t xml:space="preserve">Flavio Rodrigues </t>
  </si>
  <si>
    <t>PARC. 1/8</t>
  </si>
  <si>
    <t xml:space="preserve">valter sobral </t>
  </si>
  <si>
    <t>(anexo os 379</t>
  </si>
  <si>
    <t>caren cibele de souza</t>
  </si>
  <si>
    <t>wesley p. da silva</t>
  </si>
  <si>
    <t>Raimunda Silva Matos</t>
  </si>
  <si>
    <t>adilson josé semaquero</t>
  </si>
  <si>
    <t>GARANTIA</t>
  </si>
  <si>
    <t>0.00</t>
  </si>
  <si>
    <t>raquel mendes de moura</t>
  </si>
  <si>
    <t>Ana Lúcia Leonardo</t>
  </si>
  <si>
    <t>Verificação</t>
  </si>
  <si>
    <t xml:space="preserve">Nayane gonçalves </t>
  </si>
  <si>
    <t xml:space="preserve">Helena Maria </t>
  </si>
  <si>
    <t>PARC. 2/5</t>
  </si>
  <si>
    <t>PARC. 3/5</t>
  </si>
  <si>
    <t>PARC. 4/5</t>
  </si>
  <si>
    <t>PARC. 5/5</t>
  </si>
  <si>
    <t xml:space="preserve">Marilene Faria </t>
  </si>
  <si>
    <t xml:space="preserve">Regiane Maciel </t>
  </si>
  <si>
    <t>PARC. 2/4</t>
  </si>
  <si>
    <t>Eliane Almeida</t>
  </si>
  <si>
    <t>joseana lopes</t>
  </si>
  <si>
    <t xml:space="preserve">Carmen Lucia </t>
  </si>
  <si>
    <t>osvaldo cardoso</t>
  </si>
  <si>
    <t>beatriz predoti</t>
  </si>
  <si>
    <t xml:space="preserve">Gabriela Pereira </t>
  </si>
  <si>
    <t>PARC. 1/5</t>
  </si>
  <si>
    <t>Renilton marcos</t>
  </si>
  <si>
    <t>raimunda silva</t>
  </si>
  <si>
    <t>antônio carlos</t>
  </si>
  <si>
    <t>zelita bezerra</t>
  </si>
  <si>
    <t>joão dos santos</t>
  </si>
  <si>
    <t xml:space="preserve">Alcione de souza silva </t>
  </si>
  <si>
    <t>antônio barbosa</t>
  </si>
  <si>
    <t>Maria do Amparo</t>
  </si>
  <si>
    <t>Garantia</t>
  </si>
  <si>
    <t>SAMUEL</t>
  </si>
  <si>
    <t>Rozemiro geraldino da silva</t>
  </si>
  <si>
    <t>josé antônio dos santos</t>
  </si>
  <si>
    <t>sara angélica souza</t>
  </si>
  <si>
    <t>Eni moreira barbosa</t>
  </si>
  <si>
    <t xml:space="preserve">Elena barbosa </t>
  </si>
  <si>
    <t>Ivete de cássia</t>
  </si>
  <si>
    <t>Clarice pereira</t>
  </si>
  <si>
    <t>Roseane julia</t>
  </si>
  <si>
    <t xml:space="preserve">Alzira luiza </t>
  </si>
  <si>
    <t>vanessa rodrigues</t>
  </si>
  <si>
    <t>Eliane souza</t>
  </si>
  <si>
    <t xml:space="preserve">Rafael Lazo </t>
  </si>
  <si>
    <t>jessica amorim</t>
  </si>
  <si>
    <t xml:space="preserve">Antonio Eudes </t>
  </si>
  <si>
    <t>sara angélica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</si>
  <si>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</si>
  <si>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</si>
  <si>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</si>
  <si>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</si>
  <si>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</si>
  <si>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</si>
  <si>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</si>
  <si>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</si>
  <si>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</si>
  <si>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</si>
  <si>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</si>
  <si>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</si>
  <si>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</si>
  <si>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</si>
  <si>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</si>
  <si>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</si>
  <si>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Todas as Garantias</t>
  </si>
  <si>
    <t>PARC. 3/4</t>
  </si>
  <si>
    <t>PARC. 4/4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</si>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</sst>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b/>
      <sz val="12"/>
      <name val="Arial"/>
      <family val="2"/>
    </font>
    <font>
      <b/>
      <sz val="11"/>
      <name val="Calibri"/>
      <family val="2"/>
    </font>
    <font>
      <sz val="11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3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6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8" fontId="2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4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7" fontId="14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4" fillId="0" borderId="17" xfId="4" applyNumberFormat="1" applyFont="1" applyFill="1" applyBorder="1" applyAlignment="1">
      <alignment horizontal="center"/>
    </xf>
    <xf numFmtId="167" fontId="14" fillId="0" borderId="17" xfId="0" applyNumberFormat="1" applyFont="1" applyBorder="1" applyAlignment="1">
      <alignment horizontal="center"/>
    </xf>
    <xf numFmtId="166" fontId="14" fillId="5" borderId="10" xfId="2" applyFont="1" applyFill="1" applyBorder="1" applyAlignment="1">
      <alignment horizontal="center"/>
    </xf>
    <xf numFmtId="166" fontId="14" fillId="5" borderId="13" xfId="2" applyFont="1" applyFill="1" applyBorder="1" applyAlignment="1">
      <alignment horizontal="center"/>
    </xf>
    <xf numFmtId="167" fontId="14" fillId="5" borderId="13" xfId="4" applyNumberFormat="1" applyFont="1" applyFill="1" applyBorder="1" applyAlignment="1">
      <alignment horizontal="center"/>
    </xf>
    <xf numFmtId="167" fontId="14" fillId="5" borderId="9" xfId="4" applyNumberFormat="1" applyFont="1" applyFill="1" applyBorder="1" applyAlignment="1">
      <alignment horizontal="center"/>
    </xf>
    <xf numFmtId="167" fontId="14" fillId="5" borderId="10" xfId="0" applyNumberFormat="1" applyFont="1" applyFill="1" applyBorder="1" applyAlignment="1">
      <alignment horizontal="center"/>
    </xf>
    <xf numFmtId="167" fontId="14" fillId="5" borderId="9" xfId="0" applyNumberFormat="1" applyFont="1" applyFill="1" applyBorder="1" applyAlignment="1">
      <alignment horizontal="center"/>
    </xf>
    <xf numFmtId="167" fontId="14" fillId="0" borderId="6" xfId="0" applyNumberFormat="1" applyFont="1" applyBorder="1" applyAlignment="1">
      <alignment horizontal="center"/>
    </xf>
    <xf numFmtId="167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7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7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6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7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6" fontId="14" fillId="5" borderId="0" xfId="2" applyFont="1" applyFill="1" applyBorder="1" applyAlignment="1">
      <alignment horizontal="center"/>
    </xf>
    <xf numFmtId="166" fontId="15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6" fontId="14" fillId="0" borderId="3" xfId="2" applyFont="1" applyFill="1" applyBorder="1" applyAlignment="1">
      <alignment horizontal="center"/>
    </xf>
    <xf numFmtId="0" fontId="6" fillId="0" borderId="0" xfId="0" applyFont="1"/>
    <xf numFmtId="166" fontId="25" fillId="0" borderId="17" xfId="2" applyFont="1" applyFill="1" applyBorder="1" applyAlignment="1">
      <alignment horizontal="center"/>
    </xf>
    <xf numFmtId="167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6" fontId="31" fillId="0" borderId="17" xfId="2" applyFont="1" applyFill="1" applyBorder="1" applyAlignment="1">
      <alignment horizontal="center"/>
    </xf>
    <xf numFmtId="167" fontId="25" fillId="0" borderId="17" xfId="0" applyNumberFormat="1" applyFont="1" applyBorder="1" applyAlignment="1">
      <alignment horizontal="center"/>
    </xf>
    <xf numFmtId="167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44" fontId="14" fillId="0" borderId="17" xfId="104" applyFont="1" applyFill="1" applyBorder="1" applyAlignment="1">
      <alignment horizontal="center"/>
    </xf>
    <xf numFmtId="44" fontId="25" fillId="0" borderId="17" xfId="104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44" fontId="13" fillId="0" borderId="17" xfId="104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38" fillId="0" borderId="0" xfId="0" applyFont="1"/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7" fontId="11" fillId="7" borderId="5" xfId="0" applyNumberFormat="1" applyFont="1" applyFill="1" applyBorder="1" applyAlignment="1">
      <alignment horizontal="center"/>
    </xf>
    <xf numFmtId="167" fontId="11" fillId="7" borderId="4" xfId="0" applyNumberFormat="1" applyFont="1" applyFill="1" applyBorder="1" applyAlignment="1">
      <alignment horizontal="center"/>
    </xf>
    <xf numFmtId="167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</cellXfs>
  <cellStyles count="113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2 2" xfId="108" xr:uid="{00000000-0005-0000-0000-00000F000000}"/>
    <cellStyle name="Moeda 2 2 2 3" xfId="93" xr:uid="{00000000-0005-0000-0000-000010000000}"/>
    <cellStyle name="Moeda 2 2 2 4" xfId="72" xr:uid="{00000000-0005-0000-0000-000011000000}"/>
    <cellStyle name="Moeda 2 2 3" xfId="59" xr:uid="{00000000-0005-0000-0000-000012000000}"/>
    <cellStyle name="Moeda 2 2 3 2" xfId="101" xr:uid="{00000000-0005-0000-0000-000013000000}"/>
    <cellStyle name="Moeda 2 2 3 3" xfId="80" xr:uid="{00000000-0005-0000-0000-000014000000}"/>
    <cellStyle name="Moeda 2 2 4" xfId="86" xr:uid="{00000000-0005-0000-0000-000015000000}"/>
    <cellStyle name="Moeda 2 2 5" xfId="65" xr:uid="{00000000-0005-0000-0000-000016000000}"/>
    <cellStyle name="Moeda 2 3" xfId="44" xr:uid="{00000000-0005-0000-0000-000017000000}"/>
    <cellStyle name="Moeda 2 3 2" xfId="106" xr:uid="{00000000-0005-0000-0000-000018000000}"/>
    <cellStyle name="Moeda 2 3 3" xfId="91" xr:uid="{00000000-0005-0000-0000-000019000000}"/>
    <cellStyle name="Moeda 2 3 4" xfId="70" xr:uid="{00000000-0005-0000-0000-00001A000000}"/>
    <cellStyle name="Moeda 2 4" xfId="57" xr:uid="{00000000-0005-0000-0000-00001B000000}"/>
    <cellStyle name="Moeda 2 4 2" xfId="99" xr:uid="{00000000-0005-0000-0000-00001C000000}"/>
    <cellStyle name="Moeda 2 4 3" xfId="78" xr:uid="{00000000-0005-0000-0000-00001D000000}"/>
    <cellStyle name="Moeda 2 5" xfId="84" xr:uid="{00000000-0005-0000-0000-00001E000000}"/>
    <cellStyle name="Moeda 2 6" xfId="63" xr:uid="{00000000-0005-0000-0000-00001F000000}"/>
    <cellStyle name="Moeda 3" xfId="39" xr:uid="{00000000-0005-0000-0000-000020000000}"/>
    <cellStyle name="Moeda 3 2" xfId="104" xr:uid="{00000000-0005-0000-0000-000021000000}"/>
    <cellStyle name="Moeda 3 3" xfId="89" xr:uid="{00000000-0005-0000-0000-000022000000}"/>
    <cellStyle name="Moeda 3 4" xfId="68" xr:uid="{00000000-0005-0000-0000-000023000000}"/>
    <cellStyle name="Normal" xfId="0" builtinId="0"/>
    <cellStyle name="Normal 2" xfId="3" xr:uid="{00000000-0005-0000-0000-000025000000}"/>
    <cellStyle name="Normal 2 2" xfId="8" xr:uid="{00000000-0005-0000-0000-000026000000}"/>
    <cellStyle name="Normal 2 2 2" xfId="12" xr:uid="{00000000-0005-0000-0000-000027000000}"/>
    <cellStyle name="Normal 2 2 2 2" xfId="43" xr:uid="{00000000-0005-0000-0000-000028000000}"/>
    <cellStyle name="Normal 2 2 3" xfId="40" xr:uid="{00000000-0005-0000-0000-000029000000}"/>
    <cellStyle name="Normal 2 3" xfId="27" xr:uid="{00000000-0005-0000-0000-00002A000000}"/>
    <cellStyle name="Normal 2 3 2" xfId="48" xr:uid="{00000000-0005-0000-0000-00002B000000}"/>
    <cellStyle name="Normal 3" xfId="18" xr:uid="{00000000-0005-0000-0000-00002C000000}"/>
    <cellStyle name="Normal 3 2" xfId="45" xr:uid="{00000000-0005-0000-0000-00002D000000}"/>
    <cellStyle name="Normal 4" xfId="28" xr:uid="{00000000-0005-0000-0000-00002E000000}"/>
    <cellStyle name="Normal 4 2" xfId="20" xr:uid="{00000000-0005-0000-0000-00002F000000}"/>
    <cellStyle name="Normal 4 3" xfId="49" xr:uid="{00000000-0005-0000-0000-000030000000}"/>
    <cellStyle name="Normal 4 3 2" xfId="109" xr:uid="{00000000-0005-0000-0000-000031000000}"/>
    <cellStyle name="Normal 4 3 3" xfId="94" xr:uid="{00000000-0005-0000-0000-000032000000}"/>
    <cellStyle name="Normal 4 3 4" xfId="73" xr:uid="{00000000-0005-0000-0000-000033000000}"/>
    <cellStyle name="Normal 4 4" xfId="60" xr:uid="{00000000-0005-0000-0000-000034000000}"/>
    <cellStyle name="Normal 4 4 2" xfId="102" xr:uid="{00000000-0005-0000-0000-000035000000}"/>
    <cellStyle name="Normal 4 4 3" xfId="81" xr:uid="{00000000-0005-0000-0000-000036000000}"/>
    <cellStyle name="Normal 4 5" xfId="87" xr:uid="{00000000-0005-0000-0000-000037000000}"/>
    <cellStyle name="Normal 4 6" xfId="66" xr:uid="{00000000-0005-0000-0000-000038000000}"/>
    <cellStyle name="Normal 5" xfId="29" xr:uid="{00000000-0005-0000-0000-000039000000}"/>
    <cellStyle name="Normal 5 2" xfId="50" xr:uid="{00000000-0005-0000-0000-00003A000000}"/>
    <cellStyle name="Normal 6" xfId="30" xr:uid="{00000000-0005-0000-0000-00003B000000}"/>
    <cellStyle name="Normal 6 2" xfId="51" xr:uid="{00000000-0005-0000-0000-00003C000000}"/>
    <cellStyle name="Percentual de métrica-chave" xfId="31" xr:uid="{00000000-0005-0000-0000-00003D000000}"/>
    <cellStyle name="Porcentagem" xfId="4" builtinId="5"/>
    <cellStyle name="Porcentagem 2" xfId="10" xr:uid="{00000000-0005-0000-0000-00003F000000}"/>
    <cellStyle name="Porcentagem 2 2" xfId="41" xr:uid="{00000000-0005-0000-0000-000040000000}"/>
    <cellStyle name="Porcentagem 5" xfId="32" xr:uid="{00000000-0005-0000-0000-000041000000}"/>
    <cellStyle name="Porcentagem 5 2" xfId="52" xr:uid="{00000000-0005-0000-0000-000042000000}"/>
    <cellStyle name="Separador de milhares 2" xfId="11" xr:uid="{00000000-0005-0000-0000-000043000000}"/>
    <cellStyle name="Separador de milhares 2 2" xfId="42" xr:uid="{00000000-0005-0000-0000-000044000000}"/>
    <cellStyle name="Separador de milhares 2 2 2" xfId="105" xr:uid="{00000000-0005-0000-0000-000045000000}"/>
    <cellStyle name="Separador de milhares 2 2 3" xfId="90" xr:uid="{00000000-0005-0000-0000-000046000000}"/>
    <cellStyle name="Separador de milhares 2 2 4" xfId="69" xr:uid="{00000000-0005-0000-0000-000047000000}"/>
    <cellStyle name="Separador de milhares 2 3" xfId="56" xr:uid="{00000000-0005-0000-0000-000048000000}"/>
    <cellStyle name="Separador de milhares 2 3 2" xfId="98" xr:uid="{00000000-0005-0000-0000-000049000000}"/>
    <cellStyle name="Separador de milhares 2 3 3" xfId="77" xr:uid="{00000000-0005-0000-0000-00004A000000}"/>
    <cellStyle name="Separador de milhares 2 4" xfId="83" xr:uid="{00000000-0005-0000-0000-00004B000000}"/>
    <cellStyle name="Separador de milhares 2 5" xfId="62" xr:uid="{00000000-0005-0000-0000-00004C000000}"/>
    <cellStyle name="Separador de milhares 3" xfId="33" xr:uid="{00000000-0005-0000-0000-00004D000000}"/>
    <cellStyle name="Separador de milhares 5" xfId="34" xr:uid="{00000000-0005-0000-0000-00004E000000}"/>
    <cellStyle name="Separador de milhares 5 2" xfId="53" xr:uid="{00000000-0005-0000-0000-00004F000000}"/>
    <cellStyle name="Separador de milhares 5 2 2" xfId="110" xr:uid="{00000000-0005-0000-0000-000050000000}"/>
    <cellStyle name="Separador de milhares 5 2 3" xfId="95" xr:uid="{00000000-0005-0000-0000-000051000000}"/>
    <cellStyle name="Separador de milhares 5 2 4" xfId="74" xr:uid="{00000000-0005-0000-0000-000052000000}"/>
    <cellStyle name="Separador de milhares 6" xfId="35" xr:uid="{00000000-0005-0000-0000-000053000000}"/>
    <cellStyle name="Separador de milhares 6 2" xfId="54" xr:uid="{00000000-0005-0000-0000-000054000000}"/>
    <cellStyle name="Separador de milhares 6 2 2" xfId="111" xr:uid="{00000000-0005-0000-0000-000055000000}"/>
    <cellStyle name="Separador de milhares 6 2 3" xfId="96" xr:uid="{00000000-0005-0000-0000-000056000000}"/>
    <cellStyle name="Separador de milhares 6 2 4" xfId="75" xr:uid="{00000000-0005-0000-0000-000057000000}"/>
    <cellStyle name="Título 1 1" xfId="5" xr:uid="{00000000-0005-0000-0000-000058000000}"/>
    <cellStyle name="Título 1 1 1" xfId="6" xr:uid="{00000000-0005-0000-0000-000059000000}"/>
    <cellStyle name="Título 1 1 1 1" xfId="7" xr:uid="{00000000-0005-0000-0000-00005A000000}"/>
    <cellStyle name="Título 5" xfId="36" xr:uid="{00000000-0005-0000-0000-00005B000000}"/>
    <cellStyle name="Valor de métrica-chave" xfId="37" xr:uid="{00000000-0005-0000-0000-00005C000000}"/>
    <cellStyle name="Vírgula 10" xfId="19" xr:uid="{00000000-0005-0000-0000-00005D000000}"/>
    <cellStyle name="Vírgula 10 2" xfId="46" xr:uid="{00000000-0005-0000-0000-00005E000000}"/>
    <cellStyle name="Vírgula 10 2 2" xfId="107" xr:uid="{00000000-0005-0000-0000-00005F000000}"/>
    <cellStyle name="Vírgula 10 2 3" xfId="92" xr:uid="{00000000-0005-0000-0000-000060000000}"/>
    <cellStyle name="Vírgula 10 2 4" xfId="71" xr:uid="{00000000-0005-0000-0000-000061000000}"/>
    <cellStyle name="Vírgula 10 3" xfId="58" xr:uid="{00000000-0005-0000-0000-000062000000}"/>
    <cellStyle name="Vírgula 10 3 2" xfId="100" xr:uid="{00000000-0005-0000-0000-000063000000}"/>
    <cellStyle name="Vírgula 10 3 3" xfId="79" xr:uid="{00000000-0005-0000-0000-000064000000}"/>
    <cellStyle name="Vírgula 10 4" xfId="85" xr:uid="{00000000-0005-0000-0000-000065000000}"/>
    <cellStyle name="Vírgula 10 5" xfId="64" xr:uid="{00000000-0005-0000-0000-000066000000}"/>
    <cellStyle name="Vírgula 2" xfId="38" xr:uid="{00000000-0005-0000-0000-000067000000}"/>
    <cellStyle name="Vírgula 2 2" xfId="55" xr:uid="{00000000-0005-0000-0000-000068000000}"/>
    <cellStyle name="Vírgula 2 2 2" xfId="112" xr:uid="{00000000-0005-0000-0000-000069000000}"/>
    <cellStyle name="Vírgula 2 2 3" xfId="97" xr:uid="{00000000-0005-0000-0000-00006A000000}"/>
    <cellStyle name="Vírgula 2 2 4" xfId="76" xr:uid="{00000000-0005-0000-0000-00006B000000}"/>
    <cellStyle name="Vírgula 2 3" xfId="61" xr:uid="{00000000-0005-0000-0000-00006C000000}"/>
    <cellStyle name="Vírgula 2 3 2" xfId="103" xr:uid="{00000000-0005-0000-0000-00006D000000}"/>
    <cellStyle name="Vírgula 2 3 3" xfId="82" xr:uid="{00000000-0005-0000-0000-00006E000000}"/>
    <cellStyle name="Vírgula 2 4" xfId="88" xr:uid="{00000000-0005-0000-0000-00006F000000}"/>
    <cellStyle name="Vírgula 2 5" xfId="67" xr:uid="{00000000-0005-0000-0000-00007000000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4" dataDxfId="1642" headerRowBorderDxfId="1643" tableBorderDxfId="1641" totalsRowBorderDxfId="1640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9" dataCellStyle="Moeda"/>
    <tableColumn id="5" xr3:uid="{00000000-0010-0000-0000-000005000000}" name="Cliente" dataDxfId="1638" dataCellStyle="Moeda"/>
    <tableColumn id="2" xr3:uid="{00000000-0010-0000-0000-000002000000}" name="Forma de Pgto" dataDxfId="1637" dataCellStyle="Moeda"/>
    <tableColumn id="3" xr3:uid="{00000000-0010-0000-0000-000003000000}" name="Valor Venda" dataDxfId="1636" dataCellStyle="Porcentagem"/>
    <tableColumn id="4" xr3:uid="{00000000-0010-0000-0000-000004000000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4" dataDxfId="1632" headerRowBorderDxfId="1633" tableBorderDxfId="1631" totalsRowBorderDxfId="1630">
  <autoFilter ref="K5:M11" xr:uid="{00000000-0009-0000-0100-000027000000}"/>
  <tableColumns count="3">
    <tableColumn id="1" xr3:uid="{00000000-0010-0000-0100-000001000000}" name="Descrição" dataDxfId="1629"/>
    <tableColumn id="2" xr3:uid="{00000000-0010-0000-0100-000002000000}" name="Tipo de Pagto" dataDxfId="1628"/>
    <tableColumn id="3" xr3:uid="{00000000-0010-0000-0100-000003000000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6" dataDxfId="1624" headerRowBorderDxfId="1625" tableBorderDxfId="1623" totalsRowBorderDxfId="1622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1"/>
    <tableColumn id="2" xr3:uid="{00000000-0010-0000-0200-000002000000}" name="Cliente" dataDxfId="1620"/>
    <tableColumn id="3" xr3:uid="{00000000-0010-0000-0200-000003000000}" name="Forma de Pgto" dataDxfId="1619" dataCellStyle="Moeda"/>
    <tableColumn id="4" xr3:uid="{00000000-0010-0000-0200-000004000000}" name="Valor Venda" dataDxfId="1618" dataCellStyle="Porcentagem"/>
    <tableColumn id="5" xr3:uid="{00000000-0010-0000-0200-000005000000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6" dataDxfId="1614" headerRowBorderDxfId="1615" tableBorderDxfId="1613" totalsRowBorderDxfId="1612">
  <autoFilter ref="K14:M31" xr:uid="{00000000-0009-0000-0100-000029000000}"/>
  <tableColumns count="3">
    <tableColumn id="1" xr3:uid="{00000000-0010-0000-0300-000001000000}" name="OS" dataDxfId="1611"/>
    <tableColumn id="2" xr3:uid="{00000000-0010-0000-0300-000002000000}" name="Vendedor" dataDxfId="1610"/>
    <tableColumn id="3" xr3:uid="{00000000-0010-0000-0300-000003000000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8" dataDxfId="1606" headerRowBorderDxfId="1607" tableBorderDxfId="1605" totalsRowBorderDxfId="1604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3"/>
    <tableColumn id="2" xr3:uid="{00000000-0010-0000-0400-000002000000}" name="Cliente" dataDxfId="1602"/>
    <tableColumn id="3" xr3:uid="{00000000-0010-0000-0400-000003000000}" name="Forma de Pgto" dataDxfId="1601" dataCellStyle="Moeda"/>
    <tableColumn id="4" xr3:uid="{00000000-0010-0000-0400-000004000000}" name="Valor Parcela" dataDxfId="1600" dataCellStyle="Porcentagem"/>
    <tableColumn id="5" xr3:uid="{00000000-0010-0000-0400-000005000000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8" headerRowBorderDxfId="1597" tableBorderDxfId="1596" totalsRowBorderDxfId="1595">
  <autoFilter ref="K34:M41" xr:uid="{00000000-0009-0000-0100-00002B000000}"/>
  <tableColumns count="3">
    <tableColumn id="1" xr3:uid="{00000000-0010-0000-0500-000001000000}" name="OS" dataDxfId="1594"/>
    <tableColumn id="2" xr3:uid="{00000000-0010-0000-0500-000002000000}" name="Parcelas" dataDxfId="1593"/>
    <tableColumn id="3" xr3:uid="{00000000-0010-0000-0500-000003000000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1" dataDxfId="1589" headerRowBorderDxfId="1590" tableBorderDxfId="1588" totalsRowBorderDxfId="1587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6" dataCellStyle="Moeda"/>
    <tableColumn id="5" xr3:uid="{00000000-0010-0000-0600-000005000000}" name="Cliente" dataDxfId="1585" dataCellStyle="Moeda"/>
    <tableColumn id="2" xr3:uid="{00000000-0010-0000-0600-000002000000}" name="Forma de Pgto" dataDxfId="1584" dataCellStyle="Moeda"/>
    <tableColumn id="3" xr3:uid="{00000000-0010-0000-0600-000003000000}" name="Valor Venda" dataDxfId="1583" dataCellStyle="Porcentagem"/>
    <tableColumn id="4" xr3:uid="{00000000-0010-0000-0600-000004000000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1" dataDxfId="1579" headerRowBorderDxfId="1580" tableBorderDxfId="1578" totalsRowBorderDxfId="1577">
  <autoFilter ref="K5:M11" xr:uid="{00000000-0009-0000-0100-000021000000}"/>
  <tableColumns count="3">
    <tableColumn id="1" xr3:uid="{00000000-0010-0000-0700-000001000000}" name="Descrição" dataDxfId="1576"/>
    <tableColumn id="2" xr3:uid="{00000000-0010-0000-0700-000002000000}" name="Tipo de Pagto" dataDxfId="1575"/>
    <tableColumn id="3" xr3:uid="{00000000-0010-0000-0700-000003000000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3" dataDxfId="1571" headerRowBorderDxfId="1572" tableBorderDxfId="1570" totalsRowBorderDxfId="1569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8"/>
    <tableColumn id="2" xr3:uid="{00000000-0010-0000-0800-000002000000}" name="Cliente" dataDxfId="1567"/>
    <tableColumn id="3" xr3:uid="{00000000-0010-0000-0800-000003000000}" name="Forma de Pgto" dataDxfId="1566" dataCellStyle="Moeda"/>
    <tableColumn id="4" xr3:uid="{00000000-0010-0000-0800-000004000000}" name="Valor Venda" dataDxfId="1565" dataCellStyle="Porcentagem"/>
    <tableColumn id="5" xr3:uid="{00000000-0010-0000-0800-000005000000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3" dataDxfId="1561" headerRowBorderDxfId="1562" tableBorderDxfId="1560" totalsRowBorderDxfId="1559">
  <autoFilter ref="K14:M31" xr:uid="{00000000-0009-0000-0100-000023000000}"/>
  <tableColumns count="3">
    <tableColumn id="1" xr3:uid="{00000000-0010-0000-0900-000001000000}" name="OS" dataDxfId="1558"/>
    <tableColumn id="2" xr3:uid="{00000000-0010-0000-0900-000002000000}" name="Vendedor" dataDxfId="1557"/>
    <tableColumn id="3" xr3:uid="{00000000-0010-0000-0900-000003000000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5" dataDxfId="1553" headerRowBorderDxfId="1554" tableBorderDxfId="1552" totalsRowBorderDxfId="1551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50"/>
    <tableColumn id="2" xr3:uid="{00000000-0010-0000-0A00-000002000000}" name="Cliente" dataDxfId="1549"/>
    <tableColumn id="3" xr3:uid="{00000000-0010-0000-0A00-000003000000}" name="Forma de Pgto" dataDxfId="1548" dataCellStyle="Moeda"/>
    <tableColumn id="4" xr3:uid="{00000000-0010-0000-0A00-000004000000}" name="Valor Parcela" dataDxfId="1547" dataCellStyle="Porcentagem"/>
    <tableColumn id="5" xr3:uid="{00000000-0010-0000-0A00-000005000000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5" headerRowBorderDxfId="1544" tableBorderDxfId="1543" totalsRowBorderDxfId="1542">
  <autoFilter ref="K34:M41" xr:uid="{00000000-0009-0000-0100-000025000000}"/>
  <tableColumns count="3">
    <tableColumn id="1" xr3:uid="{00000000-0010-0000-0B00-000001000000}" name="OS" dataDxfId="1541"/>
    <tableColumn id="2" xr3:uid="{00000000-0010-0000-0B00-000002000000}" name="Parcelas" dataDxfId="1540"/>
    <tableColumn id="3" xr3:uid="{00000000-0010-0000-0B00-000003000000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8" dataDxfId="1536" headerRowBorderDxfId="1537" tableBorderDxfId="1535" totalsRowBorderDxfId="1534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3" dataCellStyle="Moeda"/>
    <tableColumn id="5" xr3:uid="{00000000-0010-0000-0C00-000005000000}" name="Cliente" dataDxfId="1532" dataCellStyle="Moeda"/>
    <tableColumn id="2" xr3:uid="{00000000-0010-0000-0C00-000002000000}" name="Forma de Pgto" dataDxfId="1531" dataCellStyle="Moeda"/>
    <tableColumn id="3" xr3:uid="{00000000-0010-0000-0C00-000003000000}" name="Valor Venda" dataDxfId="1530" dataCellStyle="Porcentagem"/>
    <tableColumn id="4" xr3:uid="{00000000-0010-0000-0C00-000004000000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8" dataDxfId="1526" headerRowBorderDxfId="1527" tableBorderDxfId="1525" totalsRowBorderDxfId="1524">
  <autoFilter ref="K5:M11" xr:uid="{00000000-0009-0000-0100-00001B000000}"/>
  <tableColumns count="3">
    <tableColumn id="1" xr3:uid="{00000000-0010-0000-0D00-000001000000}" name="Descrição" dataDxfId="1523"/>
    <tableColumn id="2" xr3:uid="{00000000-0010-0000-0D00-000002000000}" name="Tipo de Pagto" dataDxfId="1522"/>
    <tableColumn id="3" xr3:uid="{00000000-0010-0000-0D00-000003000000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20" dataDxfId="1518" headerRowBorderDxfId="1519" tableBorderDxfId="1517" totalsRowBorderDxfId="1516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5"/>
    <tableColumn id="2" xr3:uid="{00000000-0010-0000-0E00-000002000000}" name="Cliente" dataDxfId="1514"/>
    <tableColumn id="3" xr3:uid="{00000000-0010-0000-0E00-000003000000}" name="Forma de Pgto" dataDxfId="1513" dataCellStyle="Moeda"/>
    <tableColumn id="4" xr3:uid="{00000000-0010-0000-0E00-000004000000}" name="Valor Venda" dataDxfId="1512" dataCellStyle="Porcentagem"/>
    <tableColumn id="5" xr3:uid="{00000000-0010-0000-0E00-000005000000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10" dataDxfId="1508" headerRowBorderDxfId="1509" tableBorderDxfId="1507" totalsRowBorderDxfId="1506">
  <autoFilter ref="K14:M31" xr:uid="{00000000-0009-0000-0100-00001D000000}"/>
  <tableColumns count="3">
    <tableColumn id="1" xr3:uid="{00000000-0010-0000-0F00-000001000000}" name="OS" dataDxfId="1505"/>
    <tableColumn id="2" xr3:uid="{00000000-0010-0000-0F00-000002000000}" name="Vendedor" dataDxfId="1504"/>
    <tableColumn id="3" xr3:uid="{00000000-0010-0000-0F00-000003000000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2" dataDxfId="1500" headerRowBorderDxfId="1501" tableBorderDxfId="1499" totalsRowBorderDxfId="1498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7"/>
    <tableColumn id="2" xr3:uid="{00000000-0010-0000-1000-000002000000}" name="Cliente" dataDxfId="1496"/>
    <tableColumn id="3" xr3:uid="{00000000-0010-0000-1000-000003000000}" name="Forma de Pgto" dataDxfId="1495" dataCellStyle="Moeda"/>
    <tableColumn id="4" xr3:uid="{00000000-0010-0000-1000-000004000000}" name="Valor Parcela" dataDxfId="1494" dataCellStyle="Porcentagem"/>
    <tableColumn id="5" xr3:uid="{00000000-0010-0000-1000-000005000000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2" headerRowBorderDxfId="1491" tableBorderDxfId="1490" totalsRowBorderDxfId="1489">
  <autoFilter ref="K34:M41" xr:uid="{00000000-0009-0000-0100-00001F000000}"/>
  <tableColumns count="3">
    <tableColumn id="1" xr3:uid="{00000000-0010-0000-1100-000001000000}" name="OS" dataDxfId="1488"/>
    <tableColumn id="2" xr3:uid="{00000000-0010-0000-1100-000002000000}" name="Parcelas" dataDxfId="1487"/>
    <tableColumn id="3" xr3:uid="{00000000-0010-0000-1100-000003000000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5" dataDxfId="1483" headerRowBorderDxfId="1484" tableBorderDxfId="1482" totalsRowBorderDxfId="1481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80" dataCellStyle="Moeda"/>
    <tableColumn id="5" xr3:uid="{00000000-0010-0000-1200-000005000000}" name="Cliente" dataDxfId="1479" dataCellStyle="Moeda"/>
    <tableColumn id="2" xr3:uid="{00000000-0010-0000-1200-000002000000}" name="Forma de Pgto" dataDxfId="1478" dataCellStyle="Moeda"/>
    <tableColumn id="3" xr3:uid="{00000000-0010-0000-1200-000003000000}" name="Valor Venda" dataDxfId="1477" dataCellStyle="Porcentagem"/>
    <tableColumn id="4" xr3:uid="{00000000-0010-0000-1200-000004000000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5" dataDxfId="1473" headerRowBorderDxfId="1474" tableBorderDxfId="1472" totalsRowBorderDxfId="1471">
  <autoFilter ref="K5:M11" xr:uid="{00000000-0009-0000-0100-000012000000}"/>
  <tableColumns count="3">
    <tableColumn id="1" xr3:uid="{00000000-0010-0000-1300-000001000000}" name="Descrição" dataDxfId="1470"/>
    <tableColumn id="2" xr3:uid="{00000000-0010-0000-1300-000002000000}" name="Tipo de Pagto" dataDxfId="1469"/>
    <tableColumn id="3" xr3:uid="{00000000-0010-0000-1300-000003000000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7" dataDxfId="1465" headerRowBorderDxfId="1466" tableBorderDxfId="1464" totalsRowBorderDxfId="1463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2"/>
    <tableColumn id="2" xr3:uid="{00000000-0010-0000-1400-000002000000}" name="Cliente" dataDxfId="1461"/>
    <tableColumn id="3" xr3:uid="{00000000-0010-0000-1400-000003000000}" name="Forma de Pgto" dataDxfId="1460" dataCellStyle="Moeda"/>
    <tableColumn id="4" xr3:uid="{00000000-0010-0000-1400-000004000000}" name="Valor Venda" dataDxfId="1459" dataCellStyle="Porcentagem"/>
    <tableColumn id="5" xr3:uid="{00000000-0010-0000-1400-000005000000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7" dataDxfId="1455" headerRowBorderDxfId="1456" tableBorderDxfId="1454" totalsRowBorderDxfId="1453">
  <autoFilter ref="K14:M31" xr:uid="{00000000-0009-0000-0100-000017000000}"/>
  <tableColumns count="3">
    <tableColumn id="1" xr3:uid="{00000000-0010-0000-1500-000001000000}" name="OS" dataDxfId="1452"/>
    <tableColumn id="2" xr3:uid="{00000000-0010-0000-1500-000002000000}" name="Vendedor" dataDxfId="1451"/>
    <tableColumn id="3" xr3:uid="{00000000-0010-0000-1500-00000300000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9" dataDxfId="1447" headerRowBorderDxfId="1448" tableBorderDxfId="1446" totalsRowBorderDxfId="1445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4"/>
    <tableColumn id="2" xr3:uid="{00000000-0010-0000-1600-000002000000}" name="Cliente" dataDxfId="1443"/>
    <tableColumn id="3" xr3:uid="{00000000-0010-0000-1600-000003000000}" name="Forma de Pgto" dataDxfId="1442" dataCellStyle="Moeda"/>
    <tableColumn id="4" xr3:uid="{00000000-0010-0000-1600-000004000000}" name="Valor Parcela" dataDxfId="1441" dataCellStyle="Porcentagem"/>
    <tableColumn id="5" xr3:uid="{00000000-0010-0000-1600-000005000000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9" headerRowBorderDxfId="1438" tableBorderDxfId="1437" totalsRowBorderDxfId="1436">
  <autoFilter ref="K34:M41" xr:uid="{00000000-0009-0000-0100-000019000000}"/>
  <tableColumns count="3">
    <tableColumn id="1" xr3:uid="{00000000-0010-0000-1700-000001000000}" name="OS" dataDxfId="1435"/>
    <tableColumn id="2" xr3:uid="{00000000-0010-0000-1700-000002000000}" name="Parcelas" dataDxfId="1434"/>
    <tableColumn id="3" xr3:uid="{00000000-0010-0000-1700-000003000000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2" dataDxfId="1430" headerRowBorderDxfId="1431" tableBorderDxfId="1429" totalsRowBorderDxfId="1428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7" dataCellStyle="Moeda"/>
    <tableColumn id="5" xr3:uid="{00000000-0010-0000-1800-000005000000}" name="Cliente" dataDxfId="1426" dataCellStyle="Moeda"/>
    <tableColumn id="2" xr3:uid="{00000000-0010-0000-1800-000002000000}" name="Forma de Pgto" dataDxfId="1425" dataCellStyle="Moeda"/>
    <tableColumn id="3" xr3:uid="{00000000-0010-0000-1800-000003000000}" name="Valor Venda" dataDxfId="1424" dataCellStyle="Porcentagem"/>
    <tableColumn id="4" xr3:uid="{00000000-0010-0000-1800-000004000000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2" dataDxfId="1420" headerRowBorderDxfId="1421" tableBorderDxfId="1419" totalsRowBorderDxfId="1418">
  <autoFilter ref="K5:M11" xr:uid="{00000000-0009-0000-0100-00000C000000}"/>
  <tableColumns count="3">
    <tableColumn id="1" xr3:uid="{00000000-0010-0000-1900-000001000000}" name="Descrição" dataDxfId="1417"/>
    <tableColumn id="2" xr3:uid="{00000000-0010-0000-1900-000002000000}" name="Tipo de Pagto" dataDxfId="1416"/>
    <tableColumn id="3" xr3:uid="{00000000-0010-0000-1900-000003000000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4" dataDxfId="1412" headerRowBorderDxfId="1413" tableBorderDxfId="1411" totalsRowBorderDxfId="1410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9"/>
    <tableColumn id="2" xr3:uid="{00000000-0010-0000-1A00-000002000000}" name="Cliente" dataDxfId="1408"/>
    <tableColumn id="3" xr3:uid="{00000000-0010-0000-1A00-000003000000}" name="Forma de Pgto" dataDxfId="1407" dataCellStyle="Moeda"/>
    <tableColumn id="4" xr3:uid="{00000000-0010-0000-1A00-000004000000}" name="Valor Venda" dataDxfId="1406" dataCellStyle="Porcentagem"/>
    <tableColumn id="5" xr3:uid="{00000000-0010-0000-1A00-000005000000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4" dataDxfId="1402" headerRowBorderDxfId="1403" tableBorderDxfId="1401" totalsRowBorderDxfId="1400">
  <autoFilter ref="K14:M31" xr:uid="{00000000-0009-0000-0100-00000E000000}"/>
  <tableColumns count="3">
    <tableColumn id="1" xr3:uid="{00000000-0010-0000-1B00-000001000000}" name="OS" dataDxfId="1399"/>
    <tableColumn id="2" xr3:uid="{00000000-0010-0000-1B00-000002000000}" name="Vendedor" dataDxfId="1398"/>
    <tableColumn id="3" xr3:uid="{00000000-0010-0000-1B00-00000300000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6" dataDxfId="1394" headerRowBorderDxfId="1395" tableBorderDxfId="1393" totalsRowBorderDxfId="1392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1"/>
    <tableColumn id="2" xr3:uid="{00000000-0010-0000-1C00-000002000000}" name="Cliente" dataDxfId="1390"/>
    <tableColumn id="3" xr3:uid="{00000000-0010-0000-1C00-000003000000}" name="Forma de Pgto" dataDxfId="1389" dataCellStyle="Moeda"/>
    <tableColumn id="4" xr3:uid="{00000000-0010-0000-1C00-000004000000}" name="Valor Parcela" dataDxfId="1388" dataCellStyle="Porcentagem"/>
    <tableColumn id="5" xr3:uid="{00000000-0010-0000-1C00-000005000000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6" headerRowBorderDxfId="1385" tableBorderDxfId="1384" totalsRowBorderDxfId="1383">
  <autoFilter ref="K34:M41" xr:uid="{00000000-0009-0000-0100-000010000000}"/>
  <tableColumns count="3">
    <tableColumn id="1" xr3:uid="{00000000-0010-0000-1D00-000001000000}" name="OS" dataDxfId="1382"/>
    <tableColumn id="2" xr3:uid="{00000000-0010-0000-1D00-000002000000}" name="Parcelas" dataDxfId="1381"/>
    <tableColumn id="3" xr3:uid="{00000000-0010-0000-1D00-000003000000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9" dataDxfId="1377" headerRowBorderDxfId="1378" tableBorderDxfId="1376" totalsRowBorderDxfId="1375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4" dataCellStyle="Moeda"/>
    <tableColumn id="5" xr3:uid="{00000000-0010-0000-1E00-000005000000}" name="Cliente" dataDxfId="1373" dataCellStyle="Moeda"/>
    <tableColumn id="2" xr3:uid="{00000000-0010-0000-1E00-000002000000}" name="Forma de Pgto" dataDxfId="1372" dataCellStyle="Moeda"/>
    <tableColumn id="3" xr3:uid="{00000000-0010-0000-1E00-000003000000}" name="Valor Venda" dataDxfId="1371" dataCellStyle="Porcentagem"/>
    <tableColumn id="4" xr3:uid="{00000000-0010-0000-1E00-000004000000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9" dataDxfId="1367" headerRowBorderDxfId="1368" tableBorderDxfId="1366" totalsRowBorderDxfId="1365">
  <autoFilter ref="K5:M11" xr:uid="{00000000-0009-0000-0100-000006000000}"/>
  <tableColumns count="3">
    <tableColumn id="1" xr3:uid="{00000000-0010-0000-1F00-000001000000}" name="Descrição" dataDxfId="1364"/>
    <tableColumn id="2" xr3:uid="{00000000-0010-0000-1F00-000002000000}" name="Tipo de Pagto" dataDxfId="1363"/>
    <tableColumn id="3" xr3:uid="{00000000-0010-0000-1F00-000003000000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1" dataDxfId="1359" headerRowBorderDxfId="1360" tableBorderDxfId="1358" totalsRowBorderDxfId="1357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6"/>
    <tableColumn id="2" xr3:uid="{00000000-0010-0000-2000-000002000000}" name="Cliente" dataDxfId="1355"/>
    <tableColumn id="3" xr3:uid="{00000000-0010-0000-2000-000003000000}" name="Forma de Pgto" dataDxfId="1354" dataCellStyle="Moeda"/>
    <tableColumn id="4" xr3:uid="{00000000-0010-0000-2000-000004000000}" name="Valor Venda" dataDxfId="1353" dataCellStyle="Porcentagem"/>
    <tableColumn id="5" xr3:uid="{00000000-0010-0000-2000-000005000000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1" dataDxfId="1349" headerRowBorderDxfId="1350" tableBorderDxfId="1348" totalsRowBorderDxfId="1347">
  <autoFilter ref="K14:M31" xr:uid="{00000000-0009-0000-0100-000008000000}"/>
  <tableColumns count="3">
    <tableColumn id="1" xr3:uid="{00000000-0010-0000-2100-000001000000}" name="OS" dataDxfId="1346"/>
    <tableColumn id="2" xr3:uid="{00000000-0010-0000-2100-000002000000}" name="Vendedor" dataDxfId="1345"/>
    <tableColumn id="3" xr3:uid="{00000000-0010-0000-2100-000003000000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3" dataDxfId="1341" headerRowBorderDxfId="1342" tableBorderDxfId="1340" totalsRowBorderDxfId="1339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8"/>
    <tableColumn id="2" xr3:uid="{00000000-0010-0000-2200-000002000000}" name="Cliente" dataDxfId="1337"/>
    <tableColumn id="3" xr3:uid="{00000000-0010-0000-2200-000003000000}" name="Forma de Pgto" dataDxfId="1336" dataCellStyle="Moeda"/>
    <tableColumn id="4" xr3:uid="{00000000-0010-0000-2200-000004000000}" name="Valor Parcela" dataDxfId="1335" dataCellStyle="Porcentagem"/>
    <tableColumn id="5" xr3:uid="{00000000-0010-0000-2200-000005000000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3" headerRowBorderDxfId="1332" tableBorderDxfId="1331" totalsRowBorderDxfId="1330">
  <autoFilter ref="K34:M41" xr:uid="{00000000-0009-0000-0100-00000A000000}"/>
  <tableColumns count="3">
    <tableColumn id="1" xr3:uid="{00000000-0010-0000-2300-000001000000}" name="OS" dataDxfId="1329"/>
    <tableColumn id="2" xr3:uid="{00000000-0010-0000-2300-000002000000}" name="Parcelas" dataDxfId="1328"/>
    <tableColumn id="3" xr3:uid="{00000000-0010-0000-2300-000003000000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1" dataCellStyle="Moeda"/>
    <tableColumn id="5" xr3:uid="{00000000-0010-0000-2400-000005000000}" name="Cliente" dataDxfId="1320" dataCellStyle="Moeda"/>
    <tableColumn id="2" xr3:uid="{00000000-0010-0000-2400-000002000000}" name="Forma de Pgto" dataDxfId="1319" dataCellStyle="Moeda"/>
    <tableColumn id="3" xr3:uid="{00000000-0010-0000-2400-000003000000}" name="Valor Venda" dataDxfId="1318" dataCellStyle="Porcentagem"/>
    <tableColumn id="4" xr3:uid="{00000000-0010-0000-24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2500-000001000000}" name="Descrição" dataDxfId="1311"/>
    <tableColumn id="2" xr3:uid="{00000000-0010-0000-2500-000002000000}" name="Tipo de Pagto" dataDxfId="1310"/>
    <tableColumn id="3" xr3:uid="{00000000-0010-0000-25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3"/>
    <tableColumn id="2" xr3:uid="{00000000-0010-0000-2600-000002000000}" name="Cliente" dataDxfId="1302"/>
    <tableColumn id="3" xr3:uid="{00000000-0010-0000-2600-000003000000}" name="Forma de Pgto" dataDxfId="1301" dataCellStyle="Moeda"/>
    <tableColumn id="4" xr3:uid="{00000000-0010-0000-2600-000004000000}" name="Valor Venda" dataDxfId="1300" dataCellStyle="Porcentagem"/>
    <tableColumn id="5" xr3:uid="{00000000-0010-0000-26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8" dataDxfId="1296" headerRowBorderDxfId="1297" tableBorderDxfId="1295" totalsRowBorderDxfId="1294">
  <autoFilter ref="K14:M31" xr:uid="{00000000-0009-0000-0100-000050000000}"/>
  <tableColumns count="3">
    <tableColumn id="1" xr3:uid="{00000000-0010-0000-2700-000001000000}" name="OS" dataDxfId="1293"/>
    <tableColumn id="2" xr3:uid="{00000000-0010-0000-2700-000002000000}" name="Vendedor" dataDxfId="1292"/>
    <tableColumn id="3" xr3:uid="{00000000-0010-0000-2700-000003000000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90" dataDxfId="1288" headerRowBorderDxfId="1289" tableBorderDxfId="1287" totalsRowBorderDxfId="1286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5"/>
    <tableColumn id="2" xr3:uid="{00000000-0010-0000-2800-000002000000}" name="Cliente" dataDxfId="1284"/>
    <tableColumn id="3" xr3:uid="{00000000-0010-0000-2800-000003000000}" name="Forma de Pgto" dataDxfId="1283" dataCellStyle="Moeda"/>
    <tableColumn id="4" xr3:uid="{00000000-0010-0000-2800-000004000000}" name="Valor Parcela" dataDxfId="1282" dataCellStyle="Porcentagem"/>
    <tableColumn id="5" xr3:uid="{00000000-0010-0000-2800-000005000000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80" headerRowBorderDxfId="1279" tableBorderDxfId="1278" totalsRowBorderDxfId="1277">
  <autoFilter ref="K34:M41" xr:uid="{00000000-0009-0000-0100-000004000000}"/>
  <tableColumns count="3">
    <tableColumn id="1" xr3:uid="{00000000-0010-0000-2900-000001000000}" name="OS" dataDxfId="1276"/>
    <tableColumn id="2" xr3:uid="{00000000-0010-0000-2900-000002000000}" name="Parcelas" dataDxfId="1275"/>
    <tableColumn id="3" xr3:uid="{00000000-0010-0000-2900-000003000000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3" dataDxfId="1271" headerRowBorderDxfId="1272" tableBorderDxfId="1270" totalsRowBorderDxfId="1269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8" dataCellStyle="Moeda"/>
    <tableColumn id="5" xr3:uid="{00000000-0010-0000-2A00-000005000000}" name="Cliente" dataDxfId="1267" dataCellStyle="Moeda"/>
    <tableColumn id="2" xr3:uid="{00000000-0010-0000-2A00-000002000000}" name="Forma de Pgto" dataDxfId="1266" dataCellStyle="Moeda"/>
    <tableColumn id="3" xr3:uid="{00000000-0010-0000-2A00-000003000000}" name="Valor Venda" dataDxfId="1265" dataCellStyle="Porcentagem"/>
    <tableColumn id="4" xr3:uid="{00000000-0010-0000-2A00-000004000000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3" dataDxfId="1261" headerRowBorderDxfId="1262" tableBorderDxfId="1260" totalsRowBorderDxfId="1259">
  <autoFilter ref="K5:M11" xr:uid="{00000000-0009-0000-0100-000039000000}"/>
  <tableColumns count="3">
    <tableColumn id="1" xr3:uid="{00000000-0010-0000-2B00-000001000000}" name="Descrição" dataDxfId="1258"/>
    <tableColumn id="2" xr3:uid="{00000000-0010-0000-2B00-000002000000}" name="Tipo de Pagto" dataDxfId="1257"/>
    <tableColumn id="3" xr3:uid="{00000000-0010-0000-2B00-000003000000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5" dataDxfId="1253" headerRowBorderDxfId="1254" tableBorderDxfId="1252" totalsRowBorderDxfId="1251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50"/>
    <tableColumn id="2" xr3:uid="{00000000-0010-0000-2C00-000002000000}" name="Cliente" dataDxfId="1249"/>
    <tableColumn id="3" xr3:uid="{00000000-0010-0000-2C00-000003000000}" name="Forma de Pgto" dataDxfId="1248" dataCellStyle="Moeda"/>
    <tableColumn id="4" xr3:uid="{00000000-0010-0000-2C00-000004000000}" name="Valor Venda" dataDxfId="1247" dataCellStyle="Porcentagem"/>
    <tableColumn id="5" xr3:uid="{00000000-0010-0000-2C00-000005000000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5" dataDxfId="1243" headerRowBorderDxfId="1244" tableBorderDxfId="1242" totalsRowBorderDxfId="1241">
  <autoFilter ref="K14:M31" xr:uid="{00000000-0009-0000-0100-00003B000000}"/>
  <tableColumns count="3">
    <tableColumn id="1" xr3:uid="{00000000-0010-0000-2D00-000001000000}" name="OS" dataDxfId="1240"/>
    <tableColumn id="2" xr3:uid="{00000000-0010-0000-2D00-000002000000}" name="Vendedor" dataDxfId="1239"/>
    <tableColumn id="3" xr3:uid="{00000000-0010-0000-2D00-000003000000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7" dataDxfId="1235" headerRowBorderDxfId="1236" tableBorderDxfId="1234" totalsRowBorderDxfId="1233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2"/>
    <tableColumn id="2" xr3:uid="{00000000-0010-0000-2E00-000002000000}" name="Cliente" dataDxfId="1231"/>
    <tableColumn id="3" xr3:uid="{00000000-0010-0000-2E00-000003000000}" name="Forma de Pgto" dataDxfId="1230" dataCellStyle="Moeda"/>
    <tableColumn id="4" xr3:uid="{00000000-0010-0000-2E00-000004000000}" name="Valor Parcela" dataDxfId="1229" dataCellStyle="Porcentagem"/>
    <tableColumn id="5" xr3:uid="{00000000-0010-0000-2E00-00000500000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7" headerRowBorderDxfId="1226" tableBorderDxfId="1225" totalsRowBorderDxfId="1224">
  <autoFilter ref="K34:M41" xr:uid="{00000000-0009-0000-0100-00003D000000}"/>
  <tableColumns count="3">
    <tableColumn id="1" xr3:uid="{00000000-0010-0000-2F00-000001000000}" name="OS" dataDxfId="1223"/>
    <tableColumn id="2" xr3:uid="{00000000-0010-0000-2F00-000002000000}" name="Parcelas" dataDxfId="1222"/>
    <tableColumn id="3" xr3:uid="{00000000-0010-0000-2F00-000003000000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20" dataDxfId="1218" headerRowBorderDxfId="1219" tableBorderDxfId="1217" totalsRowBorderDxfId="1216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5" dataCellStyle="Moeda"/>
    <tableColumn id="5" xr3:uid="{00000000-0010-0000-3000-000005000000}" name="Cliente" dataDxfId="1214" dataCellStyle="Moeda"/>
    <tableColumn id="2" xr3:uid="{00000000-0010-0000-3000-000002000000}" name="Forma de Pgto" dataDxfId="1213" dataCellStyle="Moeda"/>
    <tableColumn id="3" xr3:uid="{00000000-0010-0000-3000-000003000000}" name="Valor Venda" dataDxfId="1212" dataCellStyle="Porcentagem"/>
    <tableColumn id="4" xr3:uid="{00000000-0010-0000-3000-000004000000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10" dataDxfId="1208" headerRowBorderDxfId="1209" tableBorderDxfId="1207" totalsRowBorderDxfId="1206">
  <autoFilter ref="K5:M11" xr:uid="{00000000-0009-0000-0100-000033000000}"/>
  <tableColumns count="3">
    <tableColumn id="1" xr3:uid="{00000000-0010-0000-3100-000001000000}" name="Descrição" dataDxfId="1205"/>
    <tableColumn id="2" xr3:uid="{00000000-0010-0000-3100-000002000000}" name="Tipo de Pagto" dataDxfId="1204"/>
    <tableColumn id="3" xr3:uid="{00000000-0010-0000-3100-000003000000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2" dataDxfId="1200" headerRowBorderDxfId="1201" tableBorderDxfId="1199" totalsRowBorderDxfId="1198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7"/>
    <tableColumn id="2" xr3:uid="{00000000-0010-0000-3200-000002000000}" name="Cliente" dataDxfId="1196"/>
    <tableColumn id="3" xr3:uid="{00000000-0010-0000-3200-000003000000}" name="Forma de Pgto" dataDxfId="1195" dataCellStyle="Moeda"/>
    <tableColumn id="4" xr3:uid="{00000000-0010-0000-3200-000004000000}" name="Valor Venda" dataDxfId="1194" dataCellStyle="Porcentagem"/>
    <tableColumn id="5" xr3:uid="{00000000-0010-0000-3200-000005000000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2" dataDxfId="1190" headerRowBorderDxfId="1191" tableBorderDxfId="1189" totalsRowBorderDxfId="1188">
  <autoFilter ref="K14:M31" xr:uid="{00000000-0009-0000-0100-000035000000}"/>
  <tableColumns count="3">
    <tableColumn id="1" xr3:uid="{00000000-0010-0000-3300-000001000000}" name="OS" dataDxfId="1187"/>
    <tableColumn id="2" xr3:uid="{00000000-0010-0000-3300-000002000000}" name="Vendedor" dataDxfId="1186"/>
    <tableColumn id="3" xr3:uid="{00000000-0010-0000-3300-00000300000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4" dataDxfId="1182" headerRowBorderDxfId="1183" tableBorderDxfId="1181" totalsRowBorderDxfId="1180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9"/>
    <tableColumn id="2" xr3:uid="{00000000-0010-0000-3400-000002000000}" name="Cliente" dataDxfId="1178"/>
    <tableColumn id="3" xr3:uid="{00000000-0010-0000-3400-000003000000}" name="Forma de Pgto" dataDxfId="1177" dataCellStyle="Moeda"/>
    <tableColumn id="4" xr3:uid="{00000000-0010-0000-3400-000004000000}" name="Valor Parcela" dataDxfId="1176" dataCellStyle="Porcentagem"/>
    <tableColumn id="5" xr3:uid="{00000000-0010-0000-3400-000005000000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4" headerRowBorderDxfId="1173" tableBorderDxfId="1172" totalsRowBorderDxfId="1171">
  <autoFilter ref="K34:M41" xr:uid="{00000000-0009-0000-0100-000037000000}"/>
  <tableColumns count="3">
    <tableColumn id="1" xr3:uid="{00000000-0010-0000-3500-000001000000}" name="OS" dataDxfId="1170"/>
    <tableColumn id="2" xr3:uid="{00000000-0010-0000-3500-000002000000}" name="Parcelas" dataDxfId="1169"/>
    <tableColumn id="3" xr3:uid="{00000000-0010-0000-3500-000003000000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7" dataDxfId="1165" headerRowBorderDxfId="1166" tableBorderDxfId="1164" totalsRowBorderDxfId="1163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2" dataCellStyle="Moeda"/>
    <tableColumn id="5" xr3:uid="{00000000-0010-0000-3600-000005000000}" name="Cliente" dataDxfId="1161" dataCellStyle="Moeda"/>
    <tableColumn id="2" xr3:uid="{00000000-0010-0000-3600-000002000000}" name="Forma de Pgto" dataDxfId="1160" dataCellStyle="Moeda"/>
    <tableColumn id="3" xr3:uid="{00000000-0010-0000-3600-000003000000}" name="Valor Venda" dataDxfId="1159" dataCellStyle="Porcentagem"/>
    <tableColumn id="4" xr3:uid="{00000000-0010-0000-3600-000004000000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7" dataDxfId="1155" headerRowBorderDxfId="1156" tableBorderDxfId="1154" totalsRowBorderDxfId="1153">
  <autoFilter ref="K5:M11" xr:uid="{00000000-0009-0000-0100-00002D000000}"/>
  <tableColumns count="3">
    <tableColumn id="1" xr3:uid="{00000000-0010-0000-3700-000001000000}" name="Descrição" dataDxfId="1152"/>
    <tableColumn id="2" xr3:uid="{00000000-0010-0000-3700-000002000000}" name="Tipo de Pagto" dataDxfId="1151"/>
    <tableColumn id="3" xr3:uid="{00000000-0010-0000-3700-000003000000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9" dataDxfId="1147" headerRowBorderDxfId="1148" tableBorderDxfId="1146" totalsRowBorderDxfId="1145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4"/>
    <tableColumn id="2" xr3:uid="{00000000-0010-0000-3800-000002000000}" name="Cliente" dataDxfId="1143"/>
    <tableColumn id="3" xr3:uid="{00000000-0010-0000-3800-000003000000}" name="Forma de Pgto" dataDxfId="1142" dataCellStyle="Moeda"/>
    <tableColumn id="4" xr3:uid="{00000000-0010-0000-3800-000004000000}" name="Valor Venda" dataDxfId="1141" dataCellStyle="Porcentagem"/>
    <tableColumn id="5" xr3:uid="{00000000-0010-0000-3800-000005000000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9" dataDxfId="1137" headerRowBorderDxfId="1138" tableBorderDxfId="1136" totalsRowBorderDxfId="1135">
  <autoFilter ref="K14:M31" xr:uid="{00000000-0009-0000-0100-00002F000000}"/>
  <tableColumns count="3">
    <tableColumn id="1" xr3:uid="{00000000-0010-0000-3900-000001000000}" name="OS" dataDxfId="1134"/>
    <tableColumn id="2" xr3:uid="{00000000-0010-0000-3900-000002000000}" name="Vendedor" dataDxfId="1133"/>
    <tableColumn id="3" xr3:uid="{00000000-0010-0000-3900-000003000000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31" dataDxfId="1129" headerRowBorderDxfId="1130" tableBorderDxfId="1128" totalsRowBorderDxfId="1127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6"/>
    <tableColumn id="2" xr3:uid="{00000000-0010-0000-3A00-000002000000}" name="Cliente" dataDxfId="1125"/>
    <tableColumn id="3" xr3:uid="{00000000-0010-0000-3A00-000003000000}" name="Forma de Pgto" dataDxfId="1124" dataCellStyle="Moeda"/>
    <tableColumn id="4" xr3:uid="{00000000-0010-0000-3A00-000004000000}" name="Valor Parcela" dataDxfId="1123" dataCellStyle="Porcentagem"/>
    <tableColumn id="5" xr3:uid="{00000000-0010-0000-3A00-000005000000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21" headerRowBorderDxfId="1120" tableBorderDxfId="1119" totalsRowBorderDxfId="1118">
  <autoFilter ref="K34:M41" xr:uid="{00000000-0009-0000-0100-000031000000}"/>
  <tableColumns count="3">
    <tableColumn id="1" xr3:uid="{00000000-0010-0000-3B00-000001000000}" name="OS" dataDxfId="1117"/>
    <tableColumn id="2" xr3:uid="{00000000-0010-0000-3B00-000002000000}" name="Parcelas" dataDxfId="1116"/>
    <tableColumn id="3" xr3:uid="{00000000-0010-0000-3B00-000003000000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4" dataDxfId="1112" headerRowBorderDxfId="1113" tableBorderDxfId="1111" totalsRowBorderDxfId="1110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9" dataCellStyle="Moeda"/>
    <tableColumn id="5" xr3:uid="{00000000-0010-0000-3C00-000005000000}" name="Cliente" dataDxfId="1108" dataCellStyle="Moeda"/>
    <tableColumn id="2" xr3:uid="{00000000-0010-0000-3C00-000002000000}" name="Forma de Pgto" dataDxfId="1107" dataCellStyle="Moeda"/>
    <tableColumn id="3" xr3:uid="{00000000-0010-0000-3C00-000003000000}" name="Valor Venda" dataDxfId="1106" dataCellStyle="Porcentagem"/>
    <tableColumn id="4" xr3:uid="{00000000-0010-0000-3C00-000004000000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4" dataDxfId="1102" headerRowBorderDxfId="1103" tableBorderDxfId="1101" totalsRowBorderDxfId="1100">
  <autoFilter ref="K5:M11" xr:uid="{00000000-0009-0000-0100-000045000000}"/>
  <tableColumns count="3">
    <tableColumn id="1" xr3:uid="{00000000-0010-0000-3D00-000001000000}" name="Descrição" dataDxfId="1099"/>
    <tableColumn id="2" xr3:uid="{00000000-0010-0000-3D00-000002000000}" name="Tipo de Pagto" dataDxfId="1098"/>
    <tableColumn id="3" xr3:uid="{00000000-0010-0000-3D00-000003000000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6" dataDxfId="1094" headerRowBorderDxfId="1095" tableBorderDxfId="1093" totalsRowBorderDxfId="1092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1"/>
    <tableColumn id="2" xr3:uid="{00000000-0010-0000-3E00-000002000000}" name="Cliente" dataDxfId="1090"/>
    <tableColumn id="3" xr3:uid="{00000000-0010-0000-3E00-000003000000}" name="Forma de Pgto" dataDxfId="1089" dataCellStyle="Moeda"/>
    <tableColumn id="4" xr3:uid="{00000000-0010-0000-3E00-000004000000}" name="Valor Venda" dataDxfId="1088" dataCellStyle="Porcentagem"/>
    <tableColumn id="5" xr3:uid="{00000000-0010-0000-3E00-000005000000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6" dataDxfId="1084" headerRowBorderDxfId="1085" tableBorderDxfId="1083" totalsRowBorderDxfId="1082">
  <autoFilter ref="K14:M31" xr:uid="{00000000-0009-0000-0100-000047000000}"/>
  <tableColumns count="3">
    <tableColumn id="1" xr3:uid="{00000000-0010-0000-3F00-000001000000}" name="OS" dataDxfId="1081"/>
    <tableColumn id="2" xr3:uid="{00000000-0010-0000-3F00-000002000000}" name="Vendedor" dataDxfId="1080"/>
    <tableColumn id="3" xr3:uid="{00000000-0010-0000-3F00-000003000000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8" dataDxfId="1076" headerRowBorderDxfId="1077" tableBorderDxfId="1075" totalsRowBorderDxfId="1074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3"/>
    <tableColumn id="2" xr3:uid="{00000000-0010-0000-4000-000002000000}" name="Cliente" dataDxfId="1072"/>
    <tableColumn id="3" xr3:uid="{00000000-0010-0000-4000-000003000000}" name="Forma de Pgto" dataDxfId="1071" dataCellStyle="Moeda"/>
    <tableColumn id="4" xr3:uid="{00000000-0010-0000-4000-000004000000}" name="Valor Parcela" dataDxfId="1070" dataCellStyle="Porcentagem"/>
    <tableColumn id="5" xr3:uid="{00000000-0010-0000-4000-000005000000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8" headerRowBorderDxfId="1067" tableBorderDxfId="1066" totalsRowBorderDxfId="1065">
  <autoFilter ref="K34:M41" xr:uid="{00000000-0009-0000-0100-000049000000}"/>
  <tableColumns count="3">
    <tableColumn id="1" xr3:uid="{00000000-0010-0000-4100-000001000000}" name="OS" dataDxfId="1064"/>
    <tableColumn id="2" xr3:uid="{00000000-0010-0000-4100-000002000000}" name="Parcelas" dataDxfId="1063"/>
    <tableColumn id="3" xr3:uid="{00000000-0010-0000-4100-000003000000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1" dataDxfId="1059" headerRowBorderDxfId="1060" tableBorderDxfId="1058" totalsRowBorderDxfId="1057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6" dataCellStyle="Moeda"/>
    <tableColumn id="5" xr3:uid="{00000000-0010-0000-4200-000005000000}" name="Cliente" dataDxfId="1055" dataCellStyle="Moeda"/>
    <tableColumn id="2" xr3:uid="{00000000-0010-0000-4200-000002000000}" name="Forma de Pgto" dataDxfId="1054" dataCellStyle="Moeda"/>
    <tableColumn id="3" xr3:uid="{00000000-0010-0000-4200-000003000000}" name="Valor Venda" dataDxfId="1053" dataCellStyle="Porcentagem"/>
    <tableColumn id="4" xr3:uid="{00000000-0010-0000-4200-000004000000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1" dataDxfId="1049" headerRowBorderDxfId="1050" tableBorderDxfId="1048" totalsRowBorderDxfId="1047">
  <autoFilter ref="K5:M11" xr:uid="{00000000-0009-0000-0100-000052000000}"/>
  <tableColumns count="3">
    <tableColumn id="1" xr3:uid="{00000000-0010-0000-4300-000001000000}" name="Descrição" dataDxfId="1046"/>
    <tableColumn id="2" xr3:uid="{00000000-0010-0000-4300-000002000000}" name="Tipo de Pagto" dataDxfId="1045"/>
    <tableColumn id="3" xr3:uid="{00000000-0010-0000-4300-000003000000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3" dataDxfId="1041" headerRowBorderDxfId="1042" tableBorderDxfId="1040" totalsRowBorderDxfId="1039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8"/>
    <tableColumn id="2" xr3:uid="{00000000-0010-0000-4400-000002000000}" name="Cliente" dataDxfId="1037"/>
    <tableColumn id="3" xr3:uid="{00000000-0010-0000-4400-000003000000}" name="Forma de Pgto" dataDxfId="1036" dataCellStyle="Moeda"/>
    <tableColumn id="4" xr3:uid="{00000000-0010-0000-4400-000004000000}" name="Valor Venda" dataDxfId="1035" dataCellStyle="Porcentagem"/>
    <tableColumn id="5" xr3:uid="{00000000-0010-0000-4400-000005000000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3" dataDxfId="1031" headerRowBorderDxfId="1032" tableBorderDxfId="1030" totalsRowBorderDxfId="1029">
  <autoFilter ref="K14:M31" xr:uid="{00000000-0009-0000-0100-000054000000}"/>
  <tableColumns count="3">
    <tableColumn id="1" xr3:uid="{00000000-0010-0000-4500-000001000000}" name="OS" dataDxfId="1028"/>
    <tableColumn id="2" xr3:uid="{00000000-0010-0000-4500-000002000000}" name="Vendedor" dataDxfId="1027"/>
    <tableColumn id="3" xr3:uid="{00000000-0010-0000-4500-000003000000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5" dataDxfId="1023" headerRowBorderDxfId="1024" tableBorderDxfId="1022" totalsRowBorderDxfId="1021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20"/>
    <tableColumn id="2" xr3:uid="{00000000-0010-0000-4600-000002000000}" name="Cliente" dataDxfId="1019"/>
    <tableColumn id="3" xr3:uid="{00000000-0010-0000-4600-000003000000}" name="Forma de Pgto" dataDxfId="1018" dataCellStyle="Moeda"/>
    <tableColumn id="4" xr3:uid="{00000000-0010-0000-4600-000004000000}" name="Valor Parcela" dataDxfId="1017" dataCellStyle="Porcentagem"/>
    <tableColumn id="5" xr3:uid="{00000000-0010-0000-4600-000005000000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5" headerRowBorderDxfId="1014" tableBorderDxfId="1013" totalsRowBorderDxfId="1012">
  <autoFilter ref="K34:M41" xr:uid="{00000000-0009-0000-0100-000056000000}"/>
  <tableColumns count="3">
    <tableColumn id="1" xr3:uid="{00000000-0010-0000-4700-000001000000}" name="OS" dataDxfId="1011"/>
    <tableColumn id="2" xr3:uid="{00000000-0010-0000-4700-000002000000}" name="Parcelas" dataDxfId="1010"/>
    <tableColumn id="3" xr3:uid="{00000000-0010-0000-4700-000003000000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8" dataDxfId="1006" headerRowBorderDxfId="1007" tableBorderDxfId="1005" totalsRowBorderDxfId="1004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3" dataCellStyle="Moeda"/>
    <tableColumn id="5" xr3:uid="{00000000-0010-0000-4800-000005000000}" name="Cliente" dataDxfId="1002" dataCellStyle="Moeda"/>
    <tableColumn id="2" xr3:uid="{00000000-0010-0000-4800-000002000000}" name="Forma de Pgto" dataDxfId="1001" dataCellStyle="Moeda"/>
    <tableColumn id="3" xr3:uid="{00000000-0010-0000-4800-000003000000}" name="Valor Venda" dataDxfId="1000" dataCellStyle="Porcentagem"/>
    <tableColumn id="4" xr3:uid="{00000000-0010-0000-4800-000004000000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8" dataDxfId="996" headerRowBorderDxfId="997" tableBorderDxfId="995" totalsRowBorderDxfId="994">
  <autoFilter ref="K5:M11" xr:uid="{00000000-0009-0000-0100-000058000000}"/>
  <tableColumns count="3">
    <tableColumn id="1" xr3:uid="{00000000-0010-0000-4900-000001000000}" name="Descrição" dataDxfId="993"/>
    <tableColumn id="2" xr3:uid="{00000000-0010-0000-4900-000002000000}" name="Tipo de Pagto" dataDxfId="992"/>
    <tableColumn id="3" xr3:uid="{00000000-0010-0000-4900-000003000000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90" dataDxfId="988" headerRowBorderDxfId="989" tableBorderDxfId="987" totalsRowBorderDxfId="986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5"/>
    <tableColumn id="2" xr3:uid="{00000000-0010-0000-4A00-000002000000}" name="Cliente" dataDxfId="984"/>
    <tableColumn id="3" xr3:uid="{00000000-0010-0000-4A00-000003000000}" name="Forma de Pgto" dataDxfId="983" dataCellStyle="Moeda"/>
    <tableColumn id="4" xr3:uid="{00000000-0010-0000-4A00-000004000000}" name="Valor Venda" dataDxfId="982" dataCellStyle="Porcentagem"/>
    <tableColumn id="5" xr3:uid="{00000000-0010-0000-4A00-000005000000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80" dataDxfId="978" headerRowBorderDxfId="979" tableBorderDxfId="977" totalsRowBorderDxfId="976">
  <autoFilter ref="K14:M31" xr:uid="{00000000-0009-0000-0100-00005A000000}"/>
  <tableColumns count="3">
    <tableColumn id="1" xr3:uid="{00000000-0010-0000-4B00-000001000000}" name="OS" dataDxfId="975"/>
    <tableColumn id="2" xr3:uid="{00000000-0010-0000-4B00-000002000000}" name="Vendedor" dataDxfId="974"/>
    <tableColumn id="3" xr3:uid="{00000000-0010-0000-4B00-000003000000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2" dataDxfId="970" headerRowBorderDxfId="971" tableBorderDxfId="969" totalsRowBorderDxfId="968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7"/>
    <tableColumn id="2" xr3:uid="{00000000-0010-0000-4C00-000002000000}" name="Cliente" dataDxfId="966"/>
    <tableColumn id="3" xr3:uid="{00000000-0010-0000-4C00-000003000000}" name="Forma de Pgto" dataDxfId="965" dataCellStyle="Moeda"/>
    <tableColumn id="4" xr3:uid="{00000000-0010-0000-4C00-000004000000}" name="Valor Parcela" dataDxfId="964" dataCellStyle="Porcentagem"/>
    <tableColumn id="5" xr3:uid="{00000000-0010-0000-4C00-000005000000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2" headerRowBorderDxfId="961" tableBorderDxfId="960" totalsRowBorderDxfId="959">
  <autoFilter ref="K34:M41" xr:uid="{00000000-0009-0000-0100-00005C000000}"/>
  <tableColumns count="3">
    <tableColumn id="1" xr3:uid="{00000000-0010-0000-4D00-000001000000}" name="OS" dataDxfId="958"/>
    <tableColumn id="2" xr3:uid="{00000000-0010-0000-4D00-000002000000}" name="Parcelas" dataDxfId="957"/>
    <tableColumn id="3" xr3:uid="{00000000-0010-0000-4D00-000003000000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5" dataDxfId="953" headerRowBorderDxfId="954" tableBorderDxfId="952" totalsRowBorderDxfId="951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50" dataCellStyle="Moeda"/>
    <tableColumn id="5" xr3:uid="{00000000-0010-0000-4E00-000005000000}" name="Cliente" dataDxfId="949" dataCellStyle="Moeda"/>
    <tableColumn id="2" xr3:uid="{00000000-0010-0000-4E00-000002000000}" name="Forma de Pgto" dataDxfId="948" dataCellStyle="Moeda"/>
    <tableColumn id="3" xr3:uid="{00000000-0010-0000-4E00-000003000000}" name="Valor Venda" dataDxfId="947" dataCellStyle="Porcentagem"/>
    <tableColumn id="4" xr3:uid="{00000000-0010-0000-4E00-000004000000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5" dataDxfId="943" headerRowBorderDxfId="944" tableBorderDxfId="942" totalsRowBorderDxfId="941">
  <autoFilter ref="K5:M11" xr:uid="{00000000-0009-0000-0100-00004B000000}"/>
  <tableColumns count="3">
    <tableColumn id="1" xr3:uid="{00000000-0010-0000-4F00-000001000000}" name="Descrição" dataDxfId="940"/>
    <tableColumn id="2" xr3:uid="{00000000-0010-0000-4F00-000002000000}" name="Tipo de Pagto" dataDxfId="939"/>
    <tableColumn id="3" xr3:uid="{00000000-0010-0000-4F00-000003000000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7" dataDxfId="935" headerRowBorderDxfId="936" tableBorderDxfId="934" totalsRowBorderDxfId="933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2"/>
    <tableColumn id="2" xr3:uid="{00000000-0010-0000-5000-000002000000}" name="Cliente" dataDxfId="931"/>
    <tableColumn id="3" xr3:uid="{00000000-0010-0000-5000-000003000000}" name="Forma de Pgto" dataDxfId="930" dataCellStyle="Moeda"/>
    <tableColumn id="4" xr3:uid="{00000000-0010-0000-5000-000004000000}" name="Valor Venda" dataDxfId="929" dataCellStyle="Porcentagem"/>
    <tableColumn id="5" xr3:uid="{00000000-0010-0000-5000-000005000000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7" dataDxfId="925" headerRowBorderDxfId="926" tableBorderDxfId="924" totalsRowBorderDxfId="923">
  <autoFilter ref="K14:M31" xr:uid="{00000000-0009-0000-0100-00004D000000}"/>
  <tableColumns count="3">
    <tableColumn id="1" xr3:uid="{00000000-0010-0000-5100-000001000000}" name="OS" dataDxfId="922"/>
    <tableColumn id="2" xr3:uid="{00000000-0010-0000-5100-000002000000}" name="Vendedor" dataDxfId="921"/>
    <tableColumn id="3" xr3:uid="{00000000-0010-0000-5100-000003000000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9" dataDxfId="917" headerRowBorderDxfId="918" tableBorderDxfId="916" totalsRowBorderDxfId="915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4"/>
    <tableColumn id="2" xr3:uid="{00000000-0010-0000-5200-000002000000}" name="Cliente" dataDxfId="913"/>
    <tableColumn id="3" xr3:uid="{00000000-0010-0000-5200-000003000000}" name="Forma de Pgto" dataDxfId="912" dataCellStyle="Moeda"/>
    <tableColumn id="4" xr3:uid="{00000000-0010-0000-5200-000004000000}" name="Valor Parcela" dataDxfId="911" dataCellStyle="Porcentagem"/>
    <tableColumn id="5" xr3:uid="{00000000-0010-0000-5200-000005000000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9" headerRowBorderDxfId="908" tableBorderDxfId="907" totalsRowBorderDxfId="906">
  <autoFilter ref="K34:M41" xr:uid="{00000000-0009-0000-0100-00004F000000}"/>
  <tableColumns count="3">
    <tableColumn id="1" xr3:uid="{00000000-0010-0000-5300-000001000000}" name="OS" dataDxfId="905"/>
    <tableColumn id="2" xr3:uid="{00000000-0010-0000-5300-000002000000}" name="Parcelas" dataDxfId="904"/>
    <tableColumn id="3" xr3:uid="{00000000-0010-0000-5300-000003000000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2" dataDxfId="900" headerRowBorderDxfId="901" tableBorderDxfId="899" totalsRowBorderDxfId="898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7" dataCellStyle="Moeda"/>
    <tableColumn id="5" xr3:uid="{00000000-0010-0000-5400-000005000000}" name="Cliente" dataDxfId="896" dataCellStyle="Moeda"/>
    <tableColumn id="2" xr3:uid="{00000000-0010-0000-5400-000002000000}" name="Forma de Pgto" dataDxfId="895" dataCellStyle="Moeda"/>
    <tableColumn id="3" xr3:uid="{00000000-0010-0000-5400-000003000000}" name="Valor Venda" dataDxfId="894" dataCellStyle="Porcentagem"/>
    <tableColumn id="4" xr3:uid="{00000000-0010-0000-5400-000004000000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2" dataDxfId="890" headerRowBorderDxfId="891" tableBorderDxfId="889" totalsRowBorderDxfId="888">
  <autoFilter ref="K5:M11" xr:uid="{00000000-0009-0000-0100-00003F000000}"/>
  <tableColumns count="3">
    <tableColumn id="1" xr3:uid="{00000000-0010-0000-5500-000001000000}" name="Descrição" dataDxfId="887"/>
    <tableColumn id="2" xr3:uid="{00000000-0010-0000-5500-000002000000}" name="Tipo de Pagto" dataDxfId="886"/>
    <tableColumn id="3" xr3:uid="{00000000-0010-0000-5500-000003000000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4" dataDxfId="882" headerRowBorderDxfId="883" tableBorderDxfId="881" totalsRowBorderDxfId="880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9"/>
    <tableColumn id="2" xr3:uid="{00000000-0010-0000-5600-000002000000}" name="Cliente" dataDxfId="878"/>
    <tableColumn id="3" xr3:uid="{00000000-0010-0000-5600-000003000000}" name="Forma de Pgto" dataDxfId="877" dataCellStyle="Moeda"/>
    <tableColumn id="4" xr3:uid="{00000000-0010-0000-5600-000004000000}" name="Valor Venda" dataDxfId="876" dataCellStyle="Porcentagem"/>
    <tableColumn id="5" xr3:uid="{00000000-0010-0000-5600-000005000000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4" dataDxfId="872" headerRowBorderDxfId="873" tableBorderDxfId="871" totalsRowBorderDxfId="870">
  <autoFilter ref="K14:M31" xr:uid="{00000000-0009-0000-0100-000041000000}"/>
  <tableColumns count="3">
    <tableColumn id="1" xr3:uid="{00000000-0010-0000-5700-000001000000}" name="OS" dataDxfId="869"/>
    <tableColumn id="2" xr3:uid="{00000000-0010-0000-5700-000002000000}" name="Vendedor" dataDxfId="868"/>
    <tableColumn id="3" xr3:uid="{00000000-0010-0000-5700-000003000000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6" dataDxfId="864" headerRowBorderDxfId="865" tableBorderDxfId="863" totalsRowBorderDxfId="862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1"/>
    <tableColumn id="2" xr3:uid="{00000000-0010-0000-5800-000002000000}" name="Cliente" dataDxfId="860"/>
    <tableColumn id="3" xr3:uid="{00000000-0010-0000-5800-000003000000}" name="Forma de Pgto" dataDxfId="859" dataCellStyle="Moeda"/>
    <tableColumn id="4" xr3:uid="{00000000-0010-0000-5800-000004000000}" name="Valor Parcela" dataDxfId="858" dataCellStyle="Porcentagem"/>
    <tableColumn id="5" xr3:uid="{00000000-0010-0000-5800-000005000000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6" headerRowBorderDxfId="855" tableBorderDxfId="854" totalsRowBorderDxfId="853">
  <autoFilter ref="K34:M41" xr:uid="{00000000-0009-0000-0100-000043000000}"/>
  <tableColumns count="3">
    <tableColumn id="1" xr3:uid="{00000000-0010-0000-5900-000001000000}" name="OS" dataDxfId="852"/>
    <tableColumn id="2" xr3:uid="{00000000-0010-0000-5900-000002000000}" name="Parcelas" dataDxfId="851"/>
    <tableColumn id="3" xr3:uid="{00000000-0010-0000-5900-00000300000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9" dataDxfId="847" headerRowBorderDxfId="848" tableBorderDxfId="846" totalsRowBorderDxfId="845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4" dataCellStyle="Moeda"/>
    <tableColumn id="5" xr3:uid="{00000000-0010-0000-5A00-000005000000}" name="Cliente" dataDxfId="843" dataCellStyle="Moeda"/>
    <tableColumn id="2" xr3:uid="{00000000-0010-0000-5A00-000002000000}" name="Forma de Pgto" dataDxfId="842" dataCellStyle="Moeda"/>
    <tableColumn id="3" xr3:uid="{00000000-0010-0000-5A00-000003000000}" name="Valor Venda" dataDxfId="841" dataCellStyle="Porcentagem"/>
    <tableColumn id="4" xr3:uid="{00000000-0010-0000-5A00-000004000000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9" dataDxfId="837" headerRowBorderDxfId="838" tableBorderDxfId="836" totalsRowBorderDxfId="835">
  <autoFilter ref="K5:M11" xr:uid="{00000000-0009-0000-0100-00005E000000}"/>
  <tableColumns count="3">
    <tableColumn id="1" xr3:uid="{00000000-0010-0000-5B00-000001000000}" name="Descrição" dataDxfId="834"/>
    <tableColumn id="2" xr3:uid="{00000000-0010-0000-5B00-000002000000}" name="Tipo de Pagto" dataDxfId="833"/>
    <tableColumn id="3" xr3:uid="{00000000-0010-0000-5B00-000003000000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1" dataDxfId="829" headerRowBorderDxfId="830" tableBorderDxfId="828" totalsRowBorderDxfId="827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6"/>
    <tableColumn id="2" xr3:uid="{00000000-0010-0000-5C00-000002000000}" name="Cliente" dataDxfId="825"/>
    <tableColumn id="3" xr3:uid="{00000000-0010-0000-5C00-000003000000}" name="Forma de Pgto" dataDxfId="824" dataCellStyle="Moeda"/>
    <tableColumn id="4" xr3:uid="{00000000-0010-0000-5C00-000004000000}" name="Valor Venda" dataDxfId="823" dataCellStyle="Porcentagem"/>
    <tableColumn id="5" xr3:uid="{00000000-0010-0000-5C00-000005000000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1" dataDxfId="819" headerRowBorderDxfId="820" tableBorderDxfId="818" totalsRowBorderDxfId="817">
  <autoFilter ref="K14:M31" xr:uid="{00000000-0009-0000-0100-000060000000}"/>
  <sortState xmlns:xlrd2="http://schemas.microsoft.com/office/spreadsheetml/2017/richdata2" ref="K15:M31">
    <sortCondition ref="K14:K31"/>
  </sortState>
  <tableColumns count="3">
    <tableColumn id="1" xr3:uid="{00000000-0010-0000-5D00-000001000000}" name="OS" dataDxfId="816"/>
    <tableColumn id="2" xr3:uid="{00000000-0010-0000-5D00-000002000000}" name="Vendedor" dataDxfId="815"/>
    <tableColumn id="3" xr3:uid="{00000000-0010-0000-5D00-000003000000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3" dataDxfId="811" headerRowBorderDxfId="812" tableBorderDxfId="810" totalsRowBorderDxfId="809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8"/>
    <tableColumn id="2" xr3:uid="{00000000-0010-0000-5E00-000002000000}" name="Cliente" dataDxfId="807"/>
    <tableColumn id="3" xr3:uid="{00000000-0010-0000-5E00-000003000000}" name="Forma de Pgto" dataDxfId="806" dataCellStyle="Moeda"/>
    <tableColumn id="4" xr3:uid="{00000000-0010-0000-5E00-000004000000}" name="Valor Parcela" dataDxfId="805" dataCellStyle="Porcentagem"/>
    <tableColumn id="5" xr3:uid="{00000000-0010-0000-5E00-000005000000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3" headerRowBorderDxfId="802" tableBorderDxfId="801" totalsRowBorderDxfId="800">
  <autoFilter ref="K34:M41" xr:uid="{00000000-0009-0000-0100-000062000000}"/>
  <tableColumns count="3">
    <tableColumn id="1" xr3:uid="{00000000-0010-0000-5F00-000001000000}" name="OS" dataDxfId="799"/>
    <tableColumn id="2" xr3:uid="{00000000-0010-0000-5F00-000002000000}" name="Parcelas" dataDxfId="798"/>
    <tableColumn id="3" xr3:uid="{00000000-0010-0000-5F00-000003000000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6" dataDxfId="794" headerRowBorderDxfId="795" tableBorderDxfId="793" totalsRowBorderDxfId="792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1" dataCellStyle="Moeda"/>
    <tableColumn id="5" xr3:uid="{00000000-0010-0000-6000-000005000000}" name="Cliente" dataDxfId="790" dataCellStyle="Moeda"/>
    <tableColumn id="2" xr3:uid="{00000000-0010-0000-6000-000002000000}" name="Forma de Pgto" dataDxfId="789" dataCellStyle="Moeda"/>
    <tableColumn id="3" xr3:uid="{00000000-0010-0000-6000-000003000000}" name="Valor Venda" dataDxfId="788" dataCellStyle="Porcentagem"/>
    <tableColumn id="4" xr3:uid="{00000000-0010-0000-6000-000004000000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6" dataDxfId="784" headerRowBorderDxfId="785" tableBorderDxfId="783" totalsRowBorderDxfId="782">
  <autoFilter ref="K5:M11" xr:uid="{00000000-0009-0000-0100-000064000000}"/>
  <tableColumns count="3">
    <tableColumn id="1" xr3:uid="{00000000-0010-0000-6100-000001000000}" name="Descrição" dataDxfId="781"/>
    <tableColumn id="2" xr3:uid="{00000000-0010-0000-6100-000002000000}" name="Tipo de Pagto" dataDxfId="780"/>
    <tableColumn id="3" xr3:uid="{00000000-0010-0000-6100-000003000000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8" dataDxfId="776" headerRowBorderDxfId="777" tableBorderDxfId="775" totalsRowBorderDxfId="774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3"/>
    <tableColumn id="2" xr3:uid="{00000000-0010-0000-6200-000002000000}" name="Cliente" dataDxfId="772"/>
    <tableColumn id="3" xr3:uid="{00000000-0010-0000-6200-000003000000}" name="Forma de Pgto" dataDxfId="771" dataCellStyle="Moeda"/>
    <tableColumn id="4" xr3:uid="{00000000-0010-0000-6200-000004000000}" name="Valor Venda" dataDxfId="770" dataCellStyle="Porcentagem"/>
    <tableColumn id="5" xr3:uid="{00000000-0010-0000-6200-000005000000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8" dataDxfId="766" headerRowBorderDxfId="767" tableBorderDxfId="765" totalsRowBorderDxfId="764">
  <autoFilter ref="K14:M31" xr:uid="{00000000-0009-0000-0100-000066000000}"/>
  <tableColumns count="3">
    <tableColumn id="1" xr3:uid="{00000000-0010-0000-6300-000001000000}" name="OS" dataDxfId="763"/>
    <tableColumn id="2" xr3:uid="{00000000-0010-0000-6300-000002000000}" name="Vendedor" dataDxfId="762"/>
    <tableColumn id="3" xr3:uid="{00000000-0010-0000-6300-000003000000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60" dataDxfId="758" headerRowBorderDxfId="759" tableBorderDxfId="757" totalsRowBorderDxfId="756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5"/>
    <tableColumn id="2" xr3:uid="{00000000-0010-0000-6400-000002000000}" name="Cliente" dataDxfId="754"/>
    <tableColumn id="3" xr3:uid="{00000000-0010-0000-6400-000003000000}" name="Forma de Pgto" dataDxfId="753" dataCellStyle="Moeda"/>
    <tableColumn id="4" xr3:uid="{00000000-0010-0000-6400-000004000000}" name="Valor Parcela" dataDxfId="752" dataCellStyle="Porcentagem"/>
    <tableColumn id="5" xr3:uid="{00000000-0010-0000-6400-000005000000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50" headerRowBorderDxfId="749" tableBorderDxfId="748" totalsRowBorderDxfId="747">
  <autoFilter ref="K34:M41" xr:uid="{00000000-0009-0000-0100-000068000000}"/>
  <tableColumns count="3">
    <tableColumn id="1" xr3:uid="{00000000-0010-0000-6500-000001000000}" name="OS" dataDxfId="746"/>
    <tableColumn id="2" xr3:uid="{00000000-0010-0000-6500-000002000000}" name="Parcelas" dataDxfId="745"/>
    <tableColumn id="3" xr3:uid="{00000000-0010-0000-6500-000003000000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3" dataDxfId="741" headerRowBorderDxfId="742" tableBorderDxfId="740" totalsRowBorderDxfId="739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8" dataCellStyle="Moeda"/>
    <tableColumn id="5" xr3:uid="{00000000-0010-0000-6600-000005000000}" name="Cliente" dataDxfId="737" dataCellStyle="Moeda"/>
    <tableColumn id="2" xr3:uid="{00000000-0010-0000-6600-000002000000}" name="Forma de Pgto" dataDxfId="736" dataCellStyle="Moeda"/>
    <tableColumn id="3" xr3:uid="{00000000-0010-0000-6600-000003000000}" name="Valor Venda" dataDxfId="735" dataCellStyle="Porcentagem"/>
    <tableColumn id="4" xr3:uid="{00000000-0010-0000-6600-000004000000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3" dataDxfId="731" headerRowBorderDxfId="732" tableBorderDxfId="730" totalsRowBorderDxfId="729">
  <autoFilter ref="K5:M11" xr:uid="{00000000-0009-0000-0100-00006A000000}"/>
  <tableColumns count="3">
    <tableColumn id="1" xr3:uid="{00000000-0010-0000-6700-000001000000}" name="Descrição" dataDxfId="728"/>
    <tableColumn id="2" xr3:uid="{00000000-0010-0000-6700-000002000000}" name="Tipo de Pagto" dataDxfId="727"/>
    <tableColumn id="3" xr3:uid="{00000000-0010-0000-6700-000003000000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5" dataDxfId="723" headerRowBorderDxfId="724" tableBorderDxfId="722" totalsRowBorderDxfId="721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20"/>
    <tableColumn id="2" xr3:uid="{00000000-0010-0000-6800-000002000000}" name="Cliente" dataDxfId="719"/>
    <tableColumn id="3" xr3:uid="{00000000-0010-0000-6800-000003000000}" name="Forma de Pgto" dataDxfId="718" dataCellStyle="Moeda"/>
    <tableColumn id="4" xr3:uid="{00000000-0010-0000-6800-000004000000}" name="Valor Venda" dataDxfId="717" dataCellStyle="Porcentagem"/>
    <tableColumn id="5" xr3:uid="{00000000-0010-0000-6800-000005000000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5" dataDxfId="713" headerRowBorderDxfId="714" tableBorderDxfId="712" totalsRowBorderDxfId="711">
  <autoFilter ref="K14:M31" xr:uid="{00000000-0009-0000-0100-00006C000000}"/>
  <tableColumns count="3">
    <tableColumn id="1" xr3:uid="{00000000-0010-0000-6900-000001000000}" name="OS" dataDxfId="710"/>
    <tableColumn id="2" xr3:uid="{00000000-0010-0000-6900-000002000000}" name="Vendedor" dataDxfId="709"/>
    <tableColumn id="3" xr3:uid="{00000000-0010-0000-6900-000003000000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7" dataDxfId="705" headerRowBorderDxfId="706" tableBorderDxfId="704" totalsRowBorderDxfId="703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2"/>
    <tableColumn id="2" xr3:uid="{00000000-0010-0000-6A00-000002000000}" name="Cliente" dataDxfId="701"/>
    <tableColumn id="3" xr3:uid="{00000000-0010-0000-6A00-000003000000}" name="Forma de Pgto" dataDxfId="700" dataCellStyle="Moeda"/>
    <tableColumn id="4" xr3:uid="{00000000-0010-0000-6A00-000004000000}" name="Valor Parcela" dataDxfId="699" dataCellStyle="Porcentagem"/>
    <tableColumn id="5" xr3:uid="{00000000-0010-0000-6A00-000005000000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7" headerRowBorderDxfId="696" tableBorderDxfId="695" totalsRowBorderDxfId="694">
  <autoFilter ref="K34:M41" xr:uid="{00000000-0009-0000-0100-00006E000000}"/>
  <tableColumns count="3">
    <tableColumn id="1" xr3:uid="{00000000-0010-0000-6B00-000001000000}" name="OS" dataDxfId="693"/>
    <tableColumn id="2" xr3:uid="{00000000-0010-0000-6B00-000002000000}" name="Parcelas" dataDxfId="692"/>
    <tableColumn id="3" xr3:uid="{00000000-0010-0000-6B00-000003000000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90" dataDxfId="688" headerRowBorderDxfId="689" tableBorderDxfId="687" totalsRowBorderDxfId="686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5" dataCellStyle="Moeda"/>
    <tableColumn id="5" xr3:uid="{00000000-0010-0000-6C00-000005000000}" name="Cliente" dataDxfId="684" dataCellStyle="Moeda"/>
    <tableColumn id="2" xr3:uid="{00000000-0010-0000-6C00-000002000000}" name="Forma de Pgto" dataDxfId="683" dataCellStyle="Moeda"/>
    <tableColumn id="3" xr3:uid="{00000000-0010-0000-6C00-000003000000}" name="Valor Venda" dataDxfId="682" dataCellStyle="Porcentagem"/>
    <tableColumn id="4" xr3:uid="{00000000-0010-0000-6C00-000004000000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80" dataDxfId="678" headerRowBorderDxfId="679" tableBorderDxfId="677" totalsRowBorderDxfId="676">
  <autoFilter ref="K5:M11" xr:uid="{00000000-0009-0000-0100-000070000000}"/>
  <tableColumns count="3">
    <tableColumn id="1" xr3:uid="{00000000-0010-0000-6D00-000001000000}" name="Descrição" dataDxfId="675"/>
    <tableColumn id="2" xr3:uid="{00000000-0010-0000-6D00-000002000000}" name="Tipo de Pagto" dataDxfId="674"/>
    <tableColumn id="3" xr3:uid="{00000000-0010-0000-6D00-000003000000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2" dataDxfId="670" headerRowBorderDxfId="671" tableBorderDxfId="669" totalsRowBorderDxfId="668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7"/>
    <tableColumn id="2" xr3:uid="{00000000-0010-0000-6E00-000002000000}" name="Cliente" dataDxfId="666"/>
    <tableColumn id="3" xr3:uid="{00000000-0010-0000-6E00-000003000000}" name="Forma de Pgto" dataDxfId="665" dataCellStyle="Moeda"/>
    <tableColumn id="4" xr3:uid="{00000000-0010-0000-6E00-000004000000}" name="Valor Venda" dataDxfId="664" dataCellStyle="Porcentagem"/>
    <tableColumn id="5" xr3:uid="{00000000-0010-0000-6E00-000005000000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2" dataDxfId="660" headerRowBorderDxfId="661" tableBorderDxfId="659" totalsRowBorderDxfId="658">
  <autoFilter ref="K14:M31" xr:uid="{00000000-0009-0000-0100-000072000000}"/>
  <tableColumns count="3">
    <tableColumn id="1" xr3:uid="{00000000-0010-0000-6F00-000001000000}" name="OS" dataDxfId="657"/>
    <tableColumn id="2" xr3:uid="{00000000-0010-0000-6F00-000002000000}" name="Vendedor" dataDxfId="656"/>
    <tableColumn id="3" xr3:uid="{00000000-0010-0000-6F00-000003000000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4" dataDxfId="652" headerRowBorderDxfId="653" tableBorderDxfId="651" totalsRowBorderDxfId="650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9"/>
    <tableColumn id="2" xr3:uid="{00000000-0010-0000-7000-000002000000}" name="Cliente" dataDxfId="648"/>
    <tableColumn id="3" xr3:uid="{00000000-0010-0000-7000-000003000000}" name="Forma de Pgto" dataDxfId="647" dataCellStyle="Moeda"/>
    <tableColumn id="4" xr3:uid="{00000000-0010-0000-7000-000004000000}" name="Valor Parcela" dataDxfId="646" dataCellStyle="Porcentagem"/>
    <tableColumn id="5" xr3:uid="{00000000-0010-0000-7000-00000500000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4" headerRowBorderDxfId="643" tableBorderDxfId="642" totalsRowBorderDxfId="641">
  <autoFilter ref="K34:M41" xr:uid="{00000000-0009-0000-0100-000074000000}"/>
  <tableColumns count="3">
    <tableColumn id="1" xr3:uid="{00000000-0010-0000-7100-000001000000}" name="OS" dataDxfId="640"/>
    <tableColumn id="2" xr3:uid="{00000000-0010-0000-7100-000002000000}" name="Parcelas" dataDxfId="639"/>
    <tableColumn id="3" xr3:uid="{00000000-0010-0000-7100-000003000000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7" dataDxfId="635" headerRowBorderDxfId="636" tableBorderDxfId="634" totalsRowBorderDxfId="633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2" dataCellStyle="Moeda"/>
    <tableColumn id="5" xr3:uid="{00000000-0010-0000-7200-000005000000}" name="Cliente" dataDxfId="631" dataCellStyle="Moeda"/>
    <tableColumn id="2" xr3:uid="{00000000-0010-0000-7200-000002000000}" name="Forma de Pgto" dataDxfId="630" dataCellStyle="Moeda"/>
    <tableColumn id="3" xr3:uid="{00000000-0010-0000-7200-000003000000}" name="Valor Venda" dataDxfId="629" dataCellStyle="Porcentagem"/>
    <tableColumn id="4" xr3:uid="{00000000-0010-0000-7200-000004000000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7" dataDxfId="625" headerRowBorderDxfId="626" tableBorderDxfId="624" totalsRowBorderDxfId="623">
  <autoFilter ref="K5:M11" xr:uid="{00000000-0009-0000-0100-00007B000000}"/>
  <tableColumns count="3">
    <tableColumn id="1" xr3:uid="{00000000-0010-0000-7300-000001000000}" name="Descrição" dataDxfId="622"/>
    <tableColumn id="2" xr3:uid="{00000000-0010-0000-7300-000002000000}" name="Tipo de Pagto" dataDxfId="621"/>
    <tableColumn id="3" xr3:uid="{00000000-0010-0000-7300-000003000000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9" dataDxfId="617" headerRowBorderDxfId="618" tableBorderDxfId="616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7" headerRowBorderDxfId="608" tableBorderDxfId="606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599" headerRowBorderDxfId="600" tableBorderDxfId="598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90" tableBorderDxfId="589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2" headerRowBorderDxfId="583" tableBorderDxfId="581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2" headerRowBorderDxfId="573" tableBorderDxfId="571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4" headerRowBorderDxfId="565" tableBorderDxfId="563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4" headerRowBorderDxfId="555" tableBorderDxfId="553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6" headerRowBorderDxfId="547" tableBorderDxfId="545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7" tableBorderDxfId="536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29" headerRowBorderDxfId="530" tableBorderDxfId="528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19" headerRowBorderDxfId="520" tableBorderDxfId="518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1" headerRowBorderDxfId="512" tableBorderDxfId="510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1" headerRowBorderDxfId="502" tableBorderDxfId="500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3" headerRowBorderDxfId="494" tableBorderDxfId="492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4" tableBorderDxfId="483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>
      <calculatedColumnFormula>540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6" headerRowBorderDxfId="477" tableBorderDxfId="475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6" headerRowBorderDxfId="467" tableBorderDxfId="465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8" headerRowBorderDxfId="459" tableBorderDxfId="457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8" headerRowBorderDxfId="449" tableBorderDxfId="447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0" headerRowBorderDxfId="441" tableBorderDxfId="439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1" tableBorderDxfId="430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3" headerRowBorderDxfId="424" tableBorderDxfId="422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3" headerRowBorderDxfId="414" tableBorderDxfId="412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5" headerRowBorderDxfId="406" tableBorderDxfId="404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5" headerRowBorderDxfId="396" tableBorderDxfId="394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7" headerRowBorderDxfId="388" tableBorderDxfId="386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8" tableBorderDxfId="377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0" headerRowBorderDxfId="371" tableBorderDxfId="369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0" headerRowBorderDxfId="361" tableBorderDxfId="359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2" headerRowBorderDxfId="353" tableBorderDxfId="351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2" headerRowBorderDxfId="343" tableBorderDxfId="341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4" headerRowBorderDxfId="335" tableBorderDxfId="333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5" tableBorderDxfId="324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7" headerRowBorderDxfId="318" tableBorderDxfId="316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7" headerRowBorderDxfId="308" tableBorderDxfId="306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299" headerRowBorderDxfId="300" tableBorderDxfId="298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89" headerRowBorderDxfId="290" tableBorderDxfId="288" totalsRowBorderDxfId="287">
  <autoFilter ref="K14:M31" xr:uid="{00000000-0009-0000-0100-00009B000000}"/>
  <sortState xmlns:xlrd2="http://schemas.microsoft.com/office/spreadsheetml/2017/richdata2" ref="K15:M31">
    <sortCondition ref="M14:M31"/>
  </sortState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1" headerRowBorderDxfId="282" tableBorderDxfId="280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2" tableBorderDxfId="271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4" headerRowBorderDxfId="265" tableBorderDxfId="263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4" headerRowBorderDxfId="255" tableBorderDxfId="253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6" headerRowBorderDxfId="247" tableBorderDxfId="245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6" headerRowBorderDxfId="237" tableBorderDxfId="235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8" headerRowBorderDxfId="229" tableBorderDxfId="227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9" tableBorderDxfId="218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1" headerRowBorderDxfId="212" tableBorderDxfId="210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1" headerRowBorderDxfId="202" tableBorderDxfId="200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3" headerRowBorderDxfId="194" tableBorderDxfId="192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3" headerRowBorderDxfId="184" tableBorderDxfId="182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5" headerRowBorderDxfId="176" tableBorderDxfId="174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6" tableBorderDxfId="165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2" totalsRowShown="0" headerRowDxfId="160" dataDxfId="158" headerRowBorderDxfId="159" tableBorderDxfId="157" totalsRowBorderDxfId="156">
  <autoFilter ref="E5:I22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8" headerRowBorderDxfId="149" tableBorderDxfId="147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5:I31" totalsRowShown="0" headerRowDxfId="142" dataDxfId="140" headerRowBorderDxfId="141" tableBorderDxfId="139" totalsRowBorderDxfId="138">
  <autoFilter ref="E25:I31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0" headerRowBorderDxfId="131" tableBorderDxfId="129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4:I41" totalsRowShown="0" headerRowDxfId="124" dataDxfId="122" headerRowBorderDxfId="123" tableBorderDxfId="121" totalsRowBorderDxfId="120">
  <autoFilter ref="E34:I41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3" tableBorderDxfId="112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5" headerRowBorderDxfId="106" tableBorderDxfId="104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5" headerRowBorderDxfId="96" tableBorderDxfId="94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7" headerRowBorderDxfId="88" tableBorderDxfId="86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7" headerRowBorderDxfId="78" tableBorderDxfId="76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69" headerRowBorderDxfId="70" tableBorderDxfId="68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60" tableBorderDxfId="59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2" headerRowBorderDxfId="53" tableBorderDxfId="51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2" headerRowBorderDxfId="43" tableBorderDxfId="41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4" headerRowBorderDxfId="35" tableBorderDxfId="33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4" headerRowBorderDxfId="25" tableBorderDxfId="23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6" headerRowBorderDxfId="17" tableBorderDxfId="15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7" tableBorderDxfId="6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B3" sqref="B3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31500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26597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117.9</v>
      </c>
    </row>
    <row r="6" spans="1:2" ht="15.75" x14ac:dyDescent="0.25">
      <c r="A6" s="28" t="s">
        <v>4</v>
      </c>
      <c r="B6" s="29">
        <f>SUM(B4:B5)</f>
        <v>26714.9</v>
      </c>
    </row>
    <row r="7" spans="1:2" ht="15" x14ac:dyDescent="0.25">
      <c r="A7" s="2"/>
      <c r="B7" s="2"/>
    </row>
    <row r="8" spans="1:2" ht="15" x14ac:dyDescent="0.2">
      <c r="A8" s="64" t="s">
        <v>5</v>
      </c>
      <c r="B8" s="64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3726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6060.5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599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15187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1963.75</v>
      </c>
    </row>
    <row r="14" spans="1:2" ht="15.75" x14ac:dyDescent="0.25">
      <c r="A14" s="28" t="s">
        <v>11</v>
      </c>
      <c r="B14" s="32">
        <f>SUM(B9:B13)</f>
        <v>27536.25</v>
      </c>
    </row>
    <row r="15" spans="1:2" ht="15" x14ac:dyDescent="0.25">
      <c r="A15" s="2"/>
      <c r="B15" s="2"/>
    </row>
    <row r="16" spans="1:2" ht="15" x14ac:dyDescent="0.2">
      <c r="A16" s="64" t="s">
        <v>12</v>
      </c>
      <c r="B16" s="64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3688</v>
      </c>
    </row>
    <row r="18" spans="1:2" ht="15.75" x14ac:dyDescent="0.25">
      <c r="A18" s="28" t="s">
        <v>11</v>
      </c>
      <c r="B18" s="32">
        <f>SUM(B17:B17)</f>
        <v>3688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topLeftCell="A3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45139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2672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3302</v>
      </c>
      <c r="D6" s="2"/>
      <c r="E6" s="18">
        <v>334</v>
      </c>
      <c r="F6" s="25" t="s">
        <v>21</v>
      </c>
      <c r="G6" s="54" t="s">
        <v>7</v>
      </c>
      <c r="H6" s="8">
        <v>600</v>
      </c>
      <c r="I6" s="8">
        <v>20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335</v>
      </c>
      <c r="F7" s="25" t="s">
        <v>21</v>
      </c>
      <c r="G7" s="54" t="s">
        <v>22</v>
      </c>
      <c r="H7" s="8">
        <v>0</v>
      </c>
      <c r="I7" s="8" t="s">
        <v>23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24</v>
      </c>
      <c r="C8" s="29">
        <f>SUM(C6:C7)</f>
        <v>3302</v>
      </c>
      <c r="D8" s="2"/>
      <c r="E8" s="18">
        <v>336</v>
      </c>
      <c r="F8" s="25" t="s">
        <v>25</v>
      </c>
      <c r="G8" s="54" t="s">
        <v>7</v>
      </c>
      <c r="H8" s="8">
        <v>25</v>
      </c>
      <c r="I8" s="8">
        <v>25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337</v>
      </c>
      <c r="F9" s="25" t="s">
        <v>26</v>
      </c>
      <c r="G9" s="54" t="s">
        <v>9</v>
      </c>
      <c r="H9" s="8">
        <v>499</v>
      </c>
      <c r="I9" s="8">
        <v>499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64" t="s">
        <v>5</v>
      </c>
      <c r="C10" s="64"/>
      <c r="D10" s="2"/>
      <c r="E10" s="18">
        <v>338</v>
      </c>
      <c r="F10" s="25" t="s">
        <v>26</v>
      </c>
      <c r="G10" s="54" t="s">
        <v>9</v>
      </c>
      <c r="H10" s="8">
        <v>499</v>
      </c>
      <c r="I10" s="8">
        <v>499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110</v>
      </c>
      <c r="D11" s="2"/>
      <c r="E11" s="18">
        <v>339</v>
      </c>
      <c r="F11" s="25" t="s">
        <v>26</v>
      </c>
      <c r="G11" s="54" t="s">
        <v>9</v>
      </c>
      <c r="H11" s="8">
        <v>399</v>
      </c>
      <c r="I11" s="8">
        <v>399</v>
      </c>
      <c r="J11" s="2"/>
      <c r="K11" s="27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265</v>
      </c>
      <c r="D12" s="2"/>
      <c r="E12" s="18">
        <v>340</v>
      </c>
      <c r="F12" s="25" t="s">
        <v>27</v>
      </c>
      <c r="G12" s="54" t="s">
        <v>9</v>
      </c>
      <c r="H12" s="8">
        <v>650</v>
      </c>
      <c r="I12" s="8">
        <v>650</v>
      </c>
      <c r="J12" s="2"/>
      <c r="R12" s="1">
        <f>IF(vend1[[#This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2927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3302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2672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221</v>
      </c>
      <c r="F26" s="25" t="s">
        <v>34</v>
      </c>
      <c r="G26" s="55" t="s">
        <v>6</v>
      </c>
      <c r="H26" s="8"/>
      <c r="I26" s="8">
        <v>110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327</v>
      </c>
      <c r="F27" s="25" t="s">
        <v>35</v>
      </c>
      <c r="G27" s="55" t="s">
        <v>7</v>
      </c>
      <c r="H27" s="8"/>
      <c r="I27" s="8">
        <v>220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327</v>
      </c>
      <c r="F28" s="25" t="s">
        <v>35</v>
      </c>
      <c r="G28" s="55" t="s">
        <v>9</v>
      </c>
      <c r="H28" s="8"/>
      <c r="I28" s="8">
        <v>880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6" t="s">
        <v>29</v>
      </c>
      <c r="L34" s="6" t="s">
        <v>39</v>
      </c>
      <c r="M34" s="6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41</v>
      </c>
      <c r="R40" s="1">
        <f>SUM(R6:R21)</f>
        <v>7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45140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710</v>
      </c>
      <c r="D6" s="2"/>
      <c r="E6" s="18">
        <v>341</v>
      </c>
      <c r="F6" s="25" t="s">
        <v>42</v>
      </c>
      <c r="G6" s="55" t="s">
        <v>9</v>
      </c>
      <c r="H6" s="8">
        <v>700</v>
      </c>
      <c r="I6" s="8">
        <v>700</v>
      </c>
      <c r="J6" s="2"/>
      <c r="K6" s="25" t="s">
        <v>43</v>
      </c>
      <c r="L6" s="9" t="s">
        <v>44</v>
      </c>
      <c r="M6" s="16">
        <v>12</v>
      </c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342</v>
      </c>
      <c r="F7" s="25" t="s">
        <v>45</v>
      </c>
      <c r="G7" s="55" t="s">
        <v>10</v>
      </c>
      <c r="H7" s="8">
        <v>690</v>
      </c>
      <c r="I7" s="8">
        <v>10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24</v>
      </c>
      <c r="C8" s="29">
        <f>SUM(C6:C7)</f>
        <v>722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700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>
        <v>269</v>
      </c>
      <c r="L15" s="9" t="s">
        <v>46</v>
      </c>
      <c r="M15" s="16" t="s">
        <v>47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710</v>
      </c>
      <c r="D16" s="2"/>
      <c r="E16" s="18"/>
      <c r="F16" s="25"/>
      <c r="G16" s="26"/>
      <c r="H16" s="8"/>
      <c r="I16" s="8"/>
      <c r="J16" s="2"/>
      <c r="K16" s="25">
        <v>302</v>
      </c>
      <c r="L16" s="9" t="s">
        <v>46</v>
      </c>
      <c r="M16" s="16" t="s">
        <v>47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45141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1500</v>
      </c>
      <c r="D6" s="2"/>
      <c r="E6" s="18">
        <v>343</v>
      </c>
      <c r="F6" s="25" t="s">
        <v>48</v>
      </c>
      <c r="G6" s="55" t="s">
        <v>9</v>
      </c>
      <c r="H6" s="8">
        <v>450</v>
      </c>
      <c r="I6" s="8">
        <v>450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344</v>
      </c>
      <c r="F7" s="25" t="s">
        <v>49</v>
      </c>
      <c r="G7" s="55" t="s">
        <v>6</v>
      </c>
      <c r="H7" s="8">
        <v>100</v>
      </c>
      <c r="I7" s="8">
        <v>100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24</v>
      </c>
      <c r="C8" s="29">
        <f>SUM(C6:C7)</f>
        <v>1500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930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296</v>
      </c>
      <c r="L15" s="9" t="s">
        <v>50</v>
      </c>
      <c r="M15" s="16" t="s">
        <v>51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1500</v>
      </c>
      <c r="D16" s="2"/>
      <c r="E16" s="18"/>
      <c r="F16" s="25"/>
      <c r="G16" s="26"/>
      <c r="H16" s="8"/>
      <c r="I16" s="8"/>
      <c r="J16" s="2"/>
      <c r="K16" s="25">
        <v>293</v>
      </c>
      <c r="L16" s="9" t="s">
        <v>50</v>
      </c>
      <c r="M16" s="16" t="s">
        <v>47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284</v>
      </c>
      <c r="F26" s="25" t="s">
        <v>52</v>
      </c>
      <c r="G26" s="55" t="s">
        <v>6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334</v>
      </c>
      <c r="F27" s="25" t="s">
        <v>21</v>
      </c>
      <c r="G27" s="55" t="s">
        <v>6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334</v>
      </c>
      <c r="F28" s="25" t="s">
        <v>21</v>
      </c>
      <c r="G28" s="55" t="s">
        <v>9</v>
      </c>
      <c r="H28" s="8"/>
      <c r="I28" s="8">
        <v>480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296</v>
      </c>
      <c r="F29" s="25" t="s">
        <v>53</v>
      </c>
      <c r="G29" s="55" t="s">
        <v>6</v>
      </c>
      <c r="H29" s="8"/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296</v>
      </c>
      <c r="F30" s="56" t="s">
        <v>53</v>
      </c>
      <c r="G30" s="55" t="s">
        <v>7</v>
      </c>
      <c r="H30" s="8"/>
      <c r="I30" s="8">
        <v>200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45142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450</v>
      </c>
      <c r="D6" s="2"/>
      <c r="E6" s="18">
        <v>345</v>
      </c>
      <c r="F6" s="25" t="s">
        <v>54</v>
      </c>
      <c r="G6" s="55" t="s">
        <v>9</v>
      </c>
      <c r="H6" s="8">
        <v>120</v>
      </c>
      <c r="I6" s="8">
        <v>120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24</v>
      </c>
      <c r="C8" s="29">
        <f>SUM(C6:C7)</f>
        <v>450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120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330</v>
      </c>
      <c r="D15" s="2"/>
      <c r="E15" s="18"/>
      <c r="F15" s="25"/>
      <c r="G15" s="26"/>
      <c r="H15" s="8"/>
      <c r="I15" s="8"/>
      <c r="J15" s="2"/>
      <c r="K15" s="25">
        <v>331</v>
      </c>
      <c r="L15" s="9" t="s">
        <v>50</v>
      </c>
      <c r="M15" s="16" t="s">
        <v>47</v>
      </c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>
        <v>325</v>
      </c>
      <c r="L16" s="9" t="s">
        <v>55</v>
      </c>
      <c r="M16" s="16" t="s">
        <v>47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325</v>
      </c>
      <c r="F26" s="25" t="s">
        <v>56</v>
      </c>
      <c r="G26" s="55" t="s">
        <v>10</v>
      </c>
      <c r="H26" s="8"/>
      <c r="I26" s="8">
        <v>330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45143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780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902</v>
      </c>
      <c r="D6" s="2"/>
      <c r="E6" s="18">
        <v>346</v>
      </c>
      <c r="F6" s="25" t="s">
        <v>57</v>
      </c>
      <c r="G6" s="55" t="s">
        <v>10</v>
      </c>
      <c r="H6" s="8">
        <v>780</v>
      </c>
      <c r="I6" s="8">
        <v>350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347</v>
      </c>
      <c r="F7" s="25" t="s">
        <v>58</v>
      </c>
      <c r="G7" s="55" t="s">
        <v>22</v>
      </c>
      <c r="H7" s="8">
        <v>0</v>
      </c>
      <c r="I7" s="8" t="s">
        <v>59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24</v>
      </c>
      <c r="C8" s="29">
        <f>SUM(C6:C7)</f>
        <v>902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152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350</v>
      </c>
      <c r="D15" s="2"/>
      <c r="E15" s="18"/>
      <c r="F15" s="25"/>
      <c r="G15" s="26"/>
      <c r="H15" s="8"/>
      <c r="I15" s="8"/>
      <c r="J15" s="2"/>
      <c r="K15" s="25">
        <v>300</v>
      </c>
      <c r="L15" s="9" t="s">
        <v>46</v>
      </c>
      <c r="M15" s="16" t="s">
        <v>47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902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780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264</v>
      </c>
      <c r="F26" s="25" t="s">
        <v>60</v>
      </c>
      <c r="G26" s="55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300</v>
      </c>
      <c r="F27" s="25" t="s">
        <v>61</v>
      </c>
      <c r="G27" s="55" t="s">
        <v>9</v>
      </c>
      <c r="H27" s="8"/>
      <c r="I27" s="8">
        <v>400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221</v>
      </c>
      <c r="F28" s="25" t="s">
        <v>62</v>
      </c>
      <c r="G28" s="55" t="s">
        <v>6</v>
      </c>
      <c r="H28" s="8"/>
      <c r="I28" s="8">
        <v>102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45144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430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430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346</v>
      </c>
      <c r="L35" s="42">
        <v>2</v>
      </c>
      <c r="M35" s="16">
        <v>430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45145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1489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1419</v>
      </c>
      <c r="D6" s="2"/>
      <c r="E6" s="18">
        <v>348</v>
      </c>
      <c r="F6" s="25" t="s">
        <v>63</v>
      </c>
      <c r="G6" s="55" t="s">
        <v>6</v>
      </c>
      <c r="H6" s="8">
        <v>490</v>
      </c>
      <c r="I6" s="8">
        <v>200</v>
      </c>
      <c r="J6" s="2"/>
      <c r="K6" s="25"/>
      <c r="L6" s="9"/>
      <c r="M6" s="16"/>
      <c r="R6" s="1">
        <f>IF(vend7[[#This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349</v>
      </c>
      <c r="F7" s="25" t="s">
        <v>64</v>
      </c>
      <c r="G7" s="55" t="s">
        <v>7</v>
      </c>
      <c r="H7" s="8">
        <v>150</v>
      </c>
      <c r="I7" s="8">
        <v>50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24</v>
      </c>
      <c r="C8" s="29">
        <f>SUM(C6:C7)</f>
        <v>1419</v>
      </c>
      <c r="D8" s="2"/>
      <c r="E8" s="18">
        <v>350</v>
      </c>
      <c r="F8" s="25" t="s">
        <v>65</v>
      </c>
      <c r="G8" s="55" t="s">
        <v>8</v>
      </c>
      <c r="H8" s="8">
        <v>399</v>
      </c>
      <c r="I8" s="8">
        <v>399</v>
      </c>
      <c r="J8" s="2"/>
      <c r="K8" s="25"/>
      <c r="L8" s="9"/>
      <c r="M8" s="16"/>
      <c r="R8" s="1">
        <f>IF(vend7[[#This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399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770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330</v>
      </c>
      <c r="L15" s="9" t="s">
        <v>46</v>
      </c>
      <c r="M15" s="16" t="s">
        <v>47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1419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32</v>
      </c>
      <c r="C22" s="32">
        <f>C5</f>
        <v>1489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7">
        <v>323</v>
      </c>
      <c r="F26" s="58" t="s">
        <v>66</v>
      </c>
      <c r="G26" s="59" t="s">
        <v>9</v>
      </c>
      <c r="H26" s="60">
        <v>450</v>
      </c>
      <c r="I26" s="60">
        <v>450</v>
      </c>
      <c r="J26" s="2"/>
      <c r="K26" s="47"/>
      <c r="L26" s="9"/>
      <c r="M26" s="16"/>
    </row>
    <row r="27" spans="2:18" ht="15.75" x14ac:dyDescent="0.25">
      <c r="B27" s="2"/>
      <c r="C27" s="2"/>
      <c r="D27" s="2"/>
      <c r="E27" s="18">
        <v>330</v>
      </c>
      <c r="F27" s="25" t="s">
        <v>67</v>
      </c>
      <c r="G27" s="55" t="s">
        <v>9</v>
      </c>
      <c r="H27" s="8"/>
      <c r="I27" s="8">
        <v>320</v>
      </c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45146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2470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475</v>
      </c>
      <c r="D6" s="2"/>
      <c r="E6" s="49">
        <v>351</v>
      </c>
      <c r="F6" s="8" t="s">
        <v>68</v>
      </c>
      <c r="G6" s="8" t="s">
        <v>69</v>
      </c>
      <c r="H6" s="8">
        <v>900</v>
      </c>
      <c r="I6" s="8">
        <v>200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49">
        <v>352</v>
      </c>
      <c r="F7" s="8" t="s">
        <v>70</v>
      </c>
      <c r="G7" s="8" t="s">
        <v>71</v>
      </c>
      <c r="H7" s="8">
        <v>890</v>
      </c>
      <c r="I7" s="8">
        <v>100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24</v>
      </c>
      <c r="C8" s="29">
        <f>SUM(C6:C7)</f>
        <v>475</v>
      </c>
      <c r="D8" s="2"/>
      <c r="E8" s="49">
        <v>353</v>
      </c>
      <c r="F8" s="8" t="s">
        <v>72</v>
      </c>
      <c r="G8" s="8" t="s">
        <v>69</v>
      </c>
      <c r="H8" s="8">
        <v>680</v>
      </c>
      <c r="I8" s="8">
        <v>40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49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135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475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2470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267</v>
      </c>
      <c r="F26" s="25" t="s">
        <v>73</v>
      </c>
      <c r="G26" s="55" t="s">
        <v>10</v>
      </c>
      <c r="H26" s="8"/>
      <c r="I26" s="8">
        <v>135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52"/>
      <c r="F27" s="53"/>
      <c r="G27" s="50"/>
      <c r="H27" s="51"/>
      <c r="I27" s="51"/>
      <c r="J27" s="2"/>
      <c r="K27" s="25"/>
      <c r="L27" s="9"/>
      <c r="M27" s="16"/>
    </row>
    <row r="28" spans="2:18" ht="15.75" x14ac:dyDescent="0.25">
      <c r="B28" s="2"/>
      <c r="C28" s="2"/>
      <c r="D28" s="2"/>
      <c r="E28" s="52"/>
      <c r="F28" s="53"/>
      <c r="G28" s="50"/>
      <c r="H28" s="51"/>
      <c r="I28" s="5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45147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354</v>
      </c>
      <c r="F6" s="25" t="s">
        <v>74</v>
      </c>
      <c r="G6" s="55" t="s">
        <v>22</v>
      </c>
      <c r="H6" s="8">
        <v>0</v>
      </c>
      <c r="I6" s="8" t="s">
        <v>75</v>
      </c>
      <c r="J6" s="2"/>
      <c r="K6" s="25" t="s">
        <v>76</v>
      </c>
      <c r="L6" s="9" t="s">
        <v>44</v>
      </c>
      <c r="M6" s="16">
        <v>12</v>
      </c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57.9</v>
      </c>
      <c r="D7" s="2"/>
      <c r="E7" s="18"/>
      <c r="F7" s="25"/>
      <c r="G7" s="26"/>
      <c r="H7" s="8"/>
      <c r="I7" s="8"/>
      <c r="J7" s="2"/>
      <c r="K7" s="25" t="s">
        <v>77</v>
      </c>
      <c r="L7" s="9" t="s">
        <v>71</v>
      </c>
      <c r="M7" s="16">
        <v>45.9</v>
      </c>
      <c r="R7" s="1">
        <f>IF(vend9[[#This Row],[Nº Venda]]&gt;1,1,0)</f>
        <v>0</v>
      </c>
    </row>
    <row r="8" spans="2:18" ht="15.75" x14ac:dyDescent="0.25">
      <c r="B8" s="28" t="s">
        <v>24</v>
      </c>
      <c r="C8" s="29">
        <f>SUM(C6:C7)</f>
        <v>107.9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338</v>
      </c>
      <c r="L15" s="9" t="s">
        <v>50</v>
      </c>
      <c r="M15" s="16" t="s">
        <v>47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339</v>
      </c>
      <c r="L16" s="9" t="s">
        <v>50</v>
      </c>
      <c r="M16" s="16" t="s">
        <v>47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336</v>
      </c>
      <c r="L17" s="9" t="s">
        <v>46</v>
      </c>
      <c r="M17" s="16" t="s">
        <v>47</v>
      </c>
      <c r="R17" s="1">
        <f>IF(vend9[[#This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1625</v>
      </c>
      <c r="F26" s="25" t="s">
        <v>78</v>
      </c>
      <c r="G26" s="48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45148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900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1740</v>
      </c>
      <c r="D6" s="2"/>
      <c r="E6" s="18">
        <v>355</v>
      </c>
      <c r="F6" s="25" t="s">
        <v>79</v>
      </c>
      <c r="G6" s="55" t="s">
        <v>9</v>
      </c>
      <c r="H6" s="8">
        <v>80</v>
      </c>
      <c r="I6" s="8">
        <v>80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356</v>
      </c>
      <c r="F7" s="25" t="s">
        <v>80</v>
      </c>
      <c r="G7" s="55" t="s">
        <v>7</v>
      </c>
      <c r="H7" s="8">
        <v>120</v>
      </c>
      <c r="I7" s="8">
        <v>120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24</v>
      </c>
      <c r="C8" s="29">
        <f>SUM(C6:C7)</f>
        <v>1740</v>
      </c>
      <c r="D8" s="2"/>
      <c r="E8" s="18">
        <v>357</v>
      </c>
      <c r="F8" s="25" t="s">
        <v>81</v>
      </c>
      <c r="G8" s="55" t="s">
        <v>6</v>
      </c>
      <c r="H8" s="8">
        <v>200</v>
      </c>
      <c r="I8" s="8">
        <v>10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358</v>
      </c>
      <c r="F9" s="25" t="s">
        <v>82</v>
      </c>
      <c r="G9" s="55" t="s">
        <v>9</v>
      </c>
      <c r="H9" s="8">
        <v>500</v>
      </c>
      <c r="I9" s="8">
        <v>500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64" t="s">
        <v>5</v>
      </c>
      <c r="C10" s="64"/>
      <c r="D10" s="2"/>
      <c r="E10" s="18">
        <v>358</v>
      </c>
      <c r="F10" s="25" t="s">
        <v>82</v>
      </c>
      <c r="G10" s="55" t="s">
        <v>7</v>
      </c>
      <c r="H10" s="8">
        <v>0</v>
      </c>
      <c r="I10" s="8">
        <v>200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320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1290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329</v>
      </c>
      <c r="L15" s="9" t="s">
        <v>46</v>
      </c>
      <c r="M15" s="16" t="s">
        <v>47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1740</v>
      </c>
      <c r="D16" s="2"/>
      <c r="E16" s="18"/>
      <c r="F16" s="25"/>
      <c r="G16" s="26"/>
      <c r="H16" s="8"/>
      <c r="I16" s="8"/>
      <c r="J16" s="2"/>
      <c r="K16" s="25">
        <v>322</v>
      </c>
      <c r="L16" s="9" t="s">
        <v>46</v>
      </c>
      <c r="M16" s="16" t="s">
        <v>47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355</v>
      </c>
      <c r="L17" s="9" t="s">
        <v>46</v>
      </c>
      <c r="M17" s="16" t="s">
        <v>47</v>
      </c>
      <c r="R17" s="1">
        <f>IF(vend10[[#This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>
        <v>356</v>
      </c>
      <c r="L18" s="9" t="s">
        <v>50</v>
      </c>
      <c r="M18" s="16" t="s">
        <v>47</v>
      </c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>
        <v>315</v>
      </c>
      <c r="L19" s="9" t="s">
        <v>50</v>
      </c>
      <c r="M19" s="16" t="s">
        <v>47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900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322</v>
      </c>
      <c r="F26" s="25" t="s">
        <v>83</v>
      </c>
      <c r="G26" s="55" t="s">
        <v>9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315</v>
      </c>
      <c r="F27" s="25" t="s">
        <v>84</v>
      </c>
      <c r="G27" s="55" t="s">
        <v>9</v>
      </c>
      <c r="H27" s="8"/>
      <c r="I27" s="8">
        <v>460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320</v>
      </c>
      <c r="F28" s="25" t="s">
        <v>85</v>
      </c>
      <c r="G28" s="55" t="s">
        <v>10</v>
      </c>
      <c r="H28" s="8"/>
      <c r="I28" s="8">
        <v>120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45149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610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460</v>
      </c>
      <c r="D6" s="2"/>
      <c r="E6" s="18">
        <v>360</v>
      </c>
      <c r="F6" s="25" t="s">
        <v>86</v>
      </c>
      <c r="G6" s="55" t="s">
        <v>6</v>
      </c>
      <c r="H6" s="8">
        <v>300</v>
      </c>
      <c r="I6" s="8">
        <v>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359</v>
      </c>
      <c r="F7" s="25" t="s">
        <v>87</v>
      </c>
      <c r="G7" s="55" t="s">
        <v>6</v>
      </c>
      <c r="H7" s="8">
        <v>310</v>
      </c>
      <c r="I7" s="8">
        <v>310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24</v>
      </c>
      <c r="C8" s="29">
        <f>SUM(C6:C7)</f>
        <v>460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460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610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165</v>
      </c>
      <c r="F26" s="25" t="s">
        <v>88</v>
      </c>
      <c r="G26" s="55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topLeftCell="A3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45150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1200</v>
      </c>
      <c r="D6" s="2"/>
      <c r="E6" s="18">
        <v>361</v>
      </c>
      <c r="F6" s="25" t="s">
        <v>89</v>
      </c>
      <c r="G6" s="55" t="s">
        <v>6</v>
      </c>
      <c r="H6" s="8">
        <v>400</v>
      </c>
      <c r="I6" s="8">
        <v>20</v>
      </c>
      <c r="J6" s="2"/>
      <c r="K6" s="25"/>
      <c r="L6" s="9"/>
      <c r="M6" s="16"/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362</v>
      </c>
      <c r="F7" s="25" t="s">
        <v>90</v>
      </c>
      <c r="G7" s="55" t="s">
        <v>9</v>
      </c>
      <c r="H7" s="8">
        <v>290</v>
      </c>
      <c r="I7" s="8">
        <v>290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24</v>
      </c>
      <c r="C8" s="29">
        <f>SUM(C6:C7)</f>
        <v>1200</v>
      </c>
      <c r="D8" s="2"/>
      <c r="E8" s="18">
        <v>363</v>
      </c>
      <c r="F8" s="25" t="s">
        <v>90</v>
      </c>
      <c r="G8" s="55" t="s">
        <v>9</v>
      </c>
      <c r="H8" s="8">
        <v>490</v>
      </c>
      <c r="I8" s="8">
        <v>490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1180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314</v>
      </c>
      <c r="L15" s="9" t="s">
        <v>50</v>
      </c>
      <c r="M15" s="16" t="s">
        <v>47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1200</v>
      </c>
      <c r="D16" s="2"/>
      <c r="E16" s="18"/>
      <c r="F16" s="25"/>
      <c r="G16" s="26"/>
      <c r="H16" s="8"/>
      <c r="I16" s="8"/>
      <c r="J16" s="2"/>
      <c r="K16" s="25">
        <v>343</v>
      </c>
      <c r="L16" s="9" t="s">
        <v>46</v>
      </c>
      <c r="M16" s="16" t="s">
        <v>47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340</v>
      </c>
      <c r="L17" s="9" t="s">
        <v>50</v>
      </c>
      <c r="M17" s="16" t="s">
        <v>47</v>
      </c>
      <c r="R17" s="1">
        <f>IF(vend12[[#This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>
        <v>318</v>
      </c>
      <c r="L18" s="9" t="s">
        <v>46</v>
      </c>
      <c r="M18" s="16" t="s">
        <v>47</v>
      </c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314</v>
      </c>
      <c r="F26" s="25" t="s">
        <v>91</v>
      </c>
      <c r="G26" s="55" t="s">
        <v>9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45151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topLeftCell="A3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45152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45153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2170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608</v>
      </c>
      <c r="D6" s="2"/>
      <c r="E6" s="18">
        <v>364</v>
      </c>
      <c r="F6" s="25" t="s">
        <v>92</v>
      </c>
      <c r="G6" s="55" t="s">
        <v>6</v>
      </c>
      <c r="H6" s="8">
        <v>600</v>
      </c>
      <c r="I6" s="8">
        <v>100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364</v>
      </c>
      <c r="F7" s="25" t="s">
        <v>92</v>
      </c>
      <c r="G7" s="55" t="s">
        <v>10</v>
      </c>
      <c r="H7" s="8" t="s">
        <v>93</v>
      </c>
      <c r="I7" s="8">
        <v>100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24</v>
      </c>
      <c r="C8" s="29">
        <f>SUM(C6:C7)</f>
        <v>608</v>
      </c>
      <c r="D8" s="2"/>
      <c r="E8" s="18">
        <v>365</v>
      </c>
      <c r="F8" s="25" t="s">
        <v>94</v>
      </c>
      <c r="G8" s="55" t="s">
        <v>10</v>
      </c>
      <c r="H8" s="8">
        <v>920</v>
      </c>
      <c r="I8" s="8">
        <v>200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366</v>
      </c>
      <c r="F9" s="25" t="s">
        <v>95</v>
      </c>
      <c r="G9" s="55" t="s">
        <v>6</v>
      </c>
      <c r="H9" s="8">
        <v>500</v>
      </c>
      <c r="I9" s="8">
        <v>20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64" t="s">
        <v>5</v>
      </c>
      <c r="C10" s="64"/>
      <c r="D10" s="2"/>
      <c r="E10" s="18">
        <v>367</v>
      </c>
      <c r="F10" s="25" t="s">
        <v>96</v>
      </c>
      <c r="G10" s="55" t="s">
        <v>6</v>
      </c>
      <c r="H10" s="8">
        <v>150</v>
      </c>
      <c r="I10" s="8">
        <v>50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138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275</v>
      </c>
      <c r="L15" s="9" t="s">
        <v>50</v>
      </c>
      <c r="M15" s="16" t="s">
        <v>47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608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600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2170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265</v>
      </c>
      <c r="F26" s="25" t="s">
        <v>97</v>
      </c>
      <c r="G26" s="55" t="s">
        <v>7</v>
      </c>
      <c r="H26" s="8"/>
      <c r="I26" s="8">
        <v>138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365</v>
      </c>
      <c r="L35" s="42">
        <v>4</v>
      </c>
      <c r="M35" s="16">
        <v>600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zoomScale="80" zoomScaleNormal="80" workbookViewId="0">
      <selection activeCell="L22" sqref="L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45154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640</v>
      </c>
      <c r="D6" s="2"/>
      <c r="E6" s="57">
        <v>368</v>
      </c>
      <c r="F6" s="58" t="s">
        <v>98</v>
      </c>
      <c r="G6" s="61" t="s">
        <v>22</v>
      </c>
      <c r="H6" s="60">
        <v>50</v>
      </c>
      <c r="I6" s="60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24</v>
      </c>
      <c r="C8" s="29">
        <f>SUM(C6:C7)</f>
        <v>640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290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311</v>
      </c>
      <c r="L15" s="63" t="s">
        <v>50</v>
      </c>
      <c r="M15" s="16" t="s">
        <v>47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640</v>
      </c>
      <c r="D16" s="2"/>
      <c r="E16" s="18"/>
      <c r="F16" s="25"/>
      <c r="G16" s="26"/>
      <c r="H16" s="8"/>
      <c r="I16" s="8"/>
      <c r="J16" s="2"/>
      <c r="K16" s="25">
        <v>323</v>
      </c>
      <c r="L16" s="9" t="s">
        <v>46</v>
      </c>
      <c r="M16" s="16" t="s">
        <v>47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326</v>
      </c>
      <c r="L17" s="63" t="s">
        <v>50</v>
      </c>
      <c r="M17" s="16" t="s">
        <v>47</v>
      </c>
      <c r="R17" s="1">
        <f>IF(vend16[[#This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>
        <v>337</v>
      </c>
      <c r="L18" s="63" t="s">
        <v>50</v>
      </c>
      <c r="M18" s="16" t="s">
        <v>47</v>
      </c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>
        <v>348</v>
      </c>
      <c r="L19" s="63" t="s">
        <v>50</v>
      </c>
      <c r="M19" s="16" t="s">
        <v>47</v>
      </c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7">
        <v>349</v>
      </c>
      <c r="L20" s="9" t="s">
        <v>46</v>
      </c>
      <c r="M20" s="16" t="s">
        <v>47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7">
        <v>350</v>
      </c>
      <c r="L21" s="9" t="s">
        <v>46</v>
      </c>
      <c r="M21" s="16" t="s">
        <v>47</v>
      </c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311</v>
      </c>
      <c r="F26" s="25" t="s">
        <v>99</v>
      </c>
      <c r="G26" s="55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348</v>
      </c>
      <c r="F27" s="25" t="s">
        <v>100</v>
      </c>
      <c r="G27" s="55" t="s">
        <v>7</v>
      </c>
      <c r="H27" s="8"/>
      <c r="I27" s="8">
        <v>290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349</v>
      </c>
      <c r="F28" s="25" t="s">
        <v>101</v>
      </c>
      <c r="G28" s="55" t="s">
        <v>6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topLeftCell="A3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45155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2032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1220</v>
      </c>
      <c r="D6" s="2"/>
      <c r="E6" s="18">
        <v>369</v>
      </c>
      <c r="F6" s="25" t="s">
        <v>102</v>
      </c>
      <c r="G6" s="26" t="s">
        <v>6</v>
      </c>
      <c r="H6" s="8">
        <v>150</v>
      </c>
      <c r="I6" s="8">
        <v>10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370</v>
      </c>
      <c r="F7" s="25" t="s">
        <v>102</v>
      </c>
      <c r="G7" s="26" t="s">
        <v>6</v>
      </c>
      <c r="H7" s="8">
        <v>150</v>
      </c>
      <c r="I7" s="8">
        <v>10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24</v>
      </c>
      <c r="C8" s="29">
        <f>SUM(C6:C7)</f>
        <v>1220</v>
      </c>
      <c r="D8" s="2"/>
      <c r="E8" s="18">
        <v>371</v>
      </c>
      <c r="F8" s="25" t="s">
        <v>103</v>
      </c>
      <c r="G8" s="26" t="s">
        <v>7</v>
      </c>
      <c r="H8" s="8">
        <v>1100</v>
      </c>
      <c r="I8" s="8">
        <v>150</v>
      </c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>
        <v>372</v>
      </c>
      <c r="F9" s="25" t="s">
        <v>103</v>
      </c>
      <c r="G9" s="26" t="s">
        <v>22</v>
      </c>
      <c r="H9" s="8">
        <v>0</v>
      </c>
      <c r="I9" s="8">
        <v>0</v>
      </c>
      <c r="J9" s="2"/>
      <c r="K9" s="25"/>
      <c r="L9" s="9"/>
      <c r="M9" s="16"/>
      <c r="R9" s="1">
        <f>IF(vend17[[#This Row],[Nº Venda]]&gt;1,1,0)</f>
        <v>1</v>
      </c>
    </row>
    <row r="10" spans="2:18" ht="15.75" x14ac:dyDescent="0.25">
      <c r="B10" s="64" t="s">
        <v>5</v>
      </c>
      <c r="C10" s="64"/>
      <c r="D10" s="2"/>
      <c r="E10" s="18">
        <v>373</v>
      </c>
      <c r="F10" s="25" t="s">
        <v>104</v>
      </c>
      <c r="G10" s="26" t="s">
        <v>10</v>
      </c>
      <c r="H10" s="8">
        <v>632</v>
      </c>
      <c r="I10" s="8">
        <v>50</v>
      </c>
      <c r="J10" s="2"/>
      <c r="K10" s="25"/>
      <c r="L10" s="9"/>
      <c r="M10" s="1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1150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334</v>
      </c>
      <c r="L15" s="9" t="s">
        <v>50</v>
      </c>
      <c r="M15" s="16" t="s">
        <v>47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1220</v>
      </c>
      <c r="D16" s="2"/>
      <c r="E16" s="18"/>
      <c r="F16" s="25"/>
      <c r="G16" s="26"/>
      <c r="H16" s="8"/>
      <c r="I16" s="8"/>
      <c r="J16" s="2"/>
      <c r="K16" s="25">
        <v>335</v>
      </c>
      <c r="L16" s="9" t="s">
        <v>50</v>
      </c>
      <c r="M16" s="16" t="s">
        <v>47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237</v>
      </c>
      <c r="L17" s="9" t="s">
        <v>105</v>
      </c>
      <c r="M17" s="16" t="s">
        <v>47</v>
      </c>
      <c r="R17" s="1">
        <f>IF(vend17[[#This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2032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237</v>
      </c>
      <c r="F26" s="25" t="s">
        <v>106</v>
      </c>
      <c r="G26" s="26" t="s">
        <v>7</v>
      </c>
      <c r="H26" s="8"/>
      <c r="I26" s="8">
        <v>1000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topLeftCell="A4" zoomScale="80" zoomScaleNormal="80" workbookViewId="0">
      <selection activeCell="N35" sqref="N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45156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1379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330</v>
      </c>
      <c r="D6" s="2"/>
      <c r="E6" s="18">
        <v>374</v>
      </c>
      <c r="F6" s="25" t="s">
        <v>107</v>
      </c>
      <c r="G6" s="26" t="s">
        <v>22</v>
      </c>
      <c r="H6" s="8">
        <v>0</v>
      </c>
      <c r="I6" s="8">
        <v>0</v>
      </c>
      <c r="J6" s="2"/>
      <c r="K6" s="25" t="s">
        <v>108</v>
      </c>
      <c r="L6" s="9" t="s">
        <v>109</v>
      </c>
      <c r="M6" s="16">
        <v>12</v>
      </c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375</v>
      </c>
      <c r="F7" s="25" t="s">
        <v>110</v>
      </c>
      <c r="G7" s="26" t="s">
        <v>10</v>
      </c>
      <c r="H7" s="8">
        <v>789</v>
      </c>
      <c r="I7" s="8">
        <v>300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24</v>
      </c>
      <c r="C8" s="29">
        <f>SUM(C6:C7)</f>
        <v>342</v>
      </c>
      <c r="D8" s="2"/>
      <c r="E8" s="18">
        <v>376</v>
      </c>
      <c r="F8" s="25" t="s">
        <v>111</v>
      </c>
      <c r="G8" s="26" t="s">
        <v>10</v>
      </c>
      <c r="H8" s="8">
        <v>590</v>
      </c>
      <c r="I8" s="8">
        <v>30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330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330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1</v>
      </c>
      <c r="C19" s="31">
        <f>SUM(entr_carn18[Valor Total])</f>
        <v>498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498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1379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375</v>
      </c>
      <c r="L35" s="42">
        <v>5</v>
      </c>
      <c r="M35" s="16">
        <v>498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45157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1467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1567</v>
      </c>
      <c r="D6" s="2"/>
      <c r="E6" s="18">
        <v>377</v>
      </c>
      <c r="F6" s="25" t="s">
        <v>112</v>
      </c>
      <c r="G6" s="26" t="s">
        <v>9</v>
      </c>
      <c r="H6" s="8">
        <v>768</v>
      </c>
      <c r="I6" s="8">
        <v>768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378</v>
      </c>
      <c r="F7" s="25" t="s">
        <v>113</v>
      </c>
      <c r="G7" s="26" t="s">
        <v>7</v>
      </c>
      <c r="H7" s="8">
        <v>699</v>
      </c>
      <c r="I7" s="8">
        <v>699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24</v>
      </c>
      <c r="C8" s="29">
        <f>SUM(C6:C7)</f>
        <v>1567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799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768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31.25</v>
      </c>
      <c r="D15" s="2"/>
      <c r="E15" s="18"/>
      <c r="F15" s="25"/>
      <c r="G15" s="26"/>
      <c r="H15" s="8"/>
      <c r="I15" s="8"/>
      <c r="J15" s="2"/>
      <c r="K15" s="25">
        <v>321</v>
      </c>
      <c r="L15" s="9" t="s">
        <v>114</v>
      </c>
      <c r="M15" s="16" t="s">
        <v>47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1598.25</v>
      </c>
      <c r="D16" s="2"/>
      <c r="E16" s="18"/>
      <c r="F16" s="25"/>
      <c r="G16" s="26"/>
      <c r="H16" s="8"/>
      <c r="I16" s="8"/>
      <c r="J16" s="2"/>
      <c r="K16" s="25">
        <v>346</v>
      </c>
      <c r="L16" s="9" t="s">
        <v>50</v>
      </c>
      <c r="M16" s="16" t="s">
        <v>51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367</v>
      </c>
      <c r="L17" s="9" t="s">
        <v>46</v>
      </c>
      <c r="M17" s="16" t="s">
        <v>47</v>
      </c>
      <c r="R17" s="1">
        <f>IF(vend19[[#This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1</v>
      </c>
      <c r="C19" s="31">
        <f>SUM(entr_carn19[Valor Total])</f>
        <v>430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430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1467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367</v>
      </c>
      <c r="F26" s="25" t="s">
        <v>115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286</v>
      </c>
      <c r="F35" s="25" t="s">
        <v>116</v>
      </c>
      <c r="G35" s="26" t="s">
        <v>10</v>
      </c>
      <c r="H35" s="8">
        <v>31.25</v>
      </c>
      <c r="I35" s="8" t="s">
        <v>117</v>
      </c>
      <c r="K35" s="25">
        <v>346</v>
      </c>
      <c r="L35" s="42">
        <v>2</v>
      </c>
      <c r="M35" s="16">
        <v>430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45158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topLeftCell="A4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45159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1086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1236</v>
      </c>
      <c r="D6" s="2"/>
      <c r="E6" s="18">
        <v>379</v>
      </c>
      <c r="F6" s="25" t="s">
        <v>118</v>
      </c>
      <c r="G6" s="26" t="s">
        <v>7</v>
      </c>
      <c r="H6" s="8">
        <v>736</v>
      </c>
      <c r="I6" s="8">
        <v>200</v>
      </c>
      <c r="J6" s="2"/>
      <c r="K6" s="25" t="s">
        <v>43</v>
      </c>
      <c r="L6" s="9" t="s">
        <v>44</v>
      </c>
      <c r="M6" s="16">
        <v>12</v>
      </c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379</v>
      </c>
      <c r="F7" s="25" t="s">
        <v>118</v>
      </c>
      <c r="G7" s="26" t="s">
        <v>9</v>
      </c>
      <c r="H7" s="8" t="s">
        <v>119</v>
      </c>
      <c r="I7" s="8">
        <v>536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24</v>
      </c>
      <c r="C8" s="29">
        <f>SUM(C6:C7)</f>
        <v>1248</v>
      </c>
      <c r="D8" s="2"/>
      <c r="E8" s="18">
        <v>380</v>
      </c>
      <c r="F8" s="25" t="s">
        <v>120</v>
      </c>
      <c r="G8" s="26" t="s">
        <v>9</v>
      </c>
      <c r="H8" s="8">
        <v>350</v>
      </c>
      <c r="I8" s="8">
        <v>350</v>
      </c>
      <c r="J8" s="2"/>
      <c r="K8" s="25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886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327</v>
      </c>
      <c r="L15" s="9" t="s">
        <v>46</v>
      </c>
      <c r="M15" s="16" t="s">
        <v>47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1236</v>
      </c>
      <c r="D16" s="2"/>
      <c r="E16" s="18"/>
      <c r="F16" s="25"/>
      <c r="G16" s="26"/>
      <c r="H16" s="8"/>
      <c r="I16" s="8"/>
      <c r="J16" s="2"/>
      <c r="K16" s="25">
        <v>245</v>
      </c>
      <c r="L16" s="9" t="s">
        <v>46</v>
      </c>
      <c r="M16" s="16" t="s">
        <v>47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1086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245</v>
      </c>
      <c r="F26" s="25" t="s">
        <v>121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57">
        <v>200</v>
      </c>
      <c r="F27" s="58" t="s">
        <v>122</v>
      </c>
      <c r="G27" s="62" t="s">
        <v>6</v>
      </c>
      <c r="H27" s="60">
        <v>0</v>
      </c>
      <c r="I27" s="60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A12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45160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160</v>
      </c>
      <c r="D6" s="2"/>
      <c r="E6" s="18">
        <v>381</v>
      </c>
      <c r="F6" s="25" t="s">
        <v>123</v>
      </c>
      <c r="G6" s="26" t="s">
        <v>124</v>
      </c>
      <c r="H6" s="8">
        <v>0</v>
      </c>
      <c r="I6" s="8" t="s">
        <v>125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24</v>
      </c>
      <c r="C8" s="29">
        <f>SUM(C6:C7)</f>
        <v>160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351</v>
      </c>
      <c r="L15" s="9" t="s">
        <v>50</v>
      </c>
      <c r="M15" s="16" t="s">
        <v>51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160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540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540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351</v>
      </c>
      <c r="F26" s="25" t="s">
        <v>126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351</v>
      </c>
      <c r="F27" s="25" t="s">
        <v>126</v>
      </c>
      <c r="G27" s="26" t="s">
        <v>7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351</v>
      </c>
      <c r="L35" s="42">
        <v>5</v>
      </c>
      <c r="M35" s="16">
        <f>540</f>
        <v>540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topLeftCell="H11" zoomScale="80" zoomScaleNormal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45161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790</v>
      </c>
      <c r="D6" s="2"/>
      <c r="E6" s="57">
        <v>382</v>
      </c>
      <c r="F6" s="58" t="s">
        <v>127</v>
      </c>
      <c r="G6" s="62" t="s">
        <v>22</v>
      </c>
      <c r="H6" s="60">
        <v>0</v>
      </c>
      <c r="I6" s="60" t="s">
        <v>128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24</v>
      </c>
      <c r="C8" s="29">
        <f>SUM(C6:C7)</f>
        <v>790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552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790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1342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352</v>
      </c>
      <c r="F26" s="25" t="s">
        <v>129</v>
      </c>
      <c r="G26" s="26" t="s">
        <v>9</v>
      </c>
      <c r="H26" s="8"/>
      <c r="I26" s="8">
        <v>790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265</v>
      </c>
      <c r="F35" s="25" t="s">
        <v>130</v>
      </c>
      <c r="G35" s="26" t="s">
        <v>7</v>
      </c>
      <c r="H35" s="8">
        <v>138</v>
      </c>
      <c r="I35" s="8" t="s">
        <v>131</v>
      </c>
      <c r="K35" s="25"/>
      <c r="L35" s="42"/>
      <c r="M35" s="16"/>
    </row>
    <row r="36" spans="2:18" ht="15.75" x14ac:dyDescent="0.25">
      <c r="E36" s="18">
        <v>265</v>
      </c>
      <c r="F36" s="25" t="s">
        <v>130</v>
      </c>
      <c r="G36" s="26" t="s">
        <v>7</v>
      </c>
      <c r="H36" s="8">
        <v>138</v>
      </c>
      <c r="I36" s="8" t="s">
        <v>132</v>
      </c>
      <c r="K36" s="25"/>
      <c r="L36" s="42"/>
      <c r="M36" s="16"/>
    </row>
    <row r="37" spans="2:18" ht="15.75" x14ac:dyDescent="0.25">
      <c r="E37" s="18">
        <v>265</v>
      </c>
      <c r="F37" s="25" t="s">
        <v>130</v>
      </c>
      <c r="G37" s="26" t="s">
        <v>7</v>
      </c>
      <c r="H37" s="8">
        <v>138</v>
      </c>
      <c r="I37" s="8" t="s">
        <v>133</v>
      </c>
      <c r="K37" s="25"/>
      <c r="L37" s="42"/>
      <c r="M37" s="16"/>
    </row>
    <row r="38" spans="2:18" ht="15.75" x14ac:dyDescent="0.25">
      <c r="E38" s="18">
        <v>265</v>
      </c>
      <c r="F38" s="25" t="s">
        <v>130</v>
      </c>
      <c r="G38" s="26" t="s">
        <v>7</v>
      </c>
      <c r="H38" s="8">
        <v>138</v>
      </c>
      <c r="I38" s="8" t="s">
        <v>134</v>
      </c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G35:G41 G27:G31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topLeftCell="A8" zoomScale="80" zoomScaleNormal="80" workbookViewId="0">
      <selection activeCell="D36" sqref="D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45162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680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24</v>
      </c>
      <c r="C8" s="29">
        <f>SUM(C6:C7)</f>
        <v>680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560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127.5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807.5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290</v>
      </c>
      <c r="F26" s="25" t="s">
        <v>135</v>
      </c>
      <c r="G26" s="26" t="s">
        <v>7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376</v>
      </c>
      <c r="F27" s="25" t="s">
        <v>111</v>
      </c>
      <c r="G27" s="26" t="s">
        <v>9</v>
      </c>
      <c r="H27" s="8"/>
      <c r="I27" s="8">
        <v>560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217</v>
      </c>
      <c r="F35" s="25" t="s">
        <v>136</v>
      </c>
      <c r="G35" s="26" t="s">
        <v>10</v>
      </c>
      <c r="H35" s="8">
        <v>127.5</v>
      </c>
      <c r="I35" s="8" t="s">
        <v>137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abSelected="1" topLeftCell="A12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45163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299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440</v>
      </c>
      <c r="D6" s="2"/>
      <c r="E6" s="57">
        <v>383</v>
      </c>
      <c r="F6" s="58" t="s">
        <v>138</v>
      </c>
      <c r="G6" s="62" t="s">
        <v>22</v>
      </c>
      <c r="H6" s="60">
        <v>499</v>
      </c>
      <c r="I6" s="60">
        <v>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384</v>
      </c>
      <c r="F7" s="25" t="s">
        <v>139</v>
      </c>
      <c r="G7" s="26" t="s">
        <v>7</v>
      </c>
      <c r="H7" s="8">
        <v>299</v>
      </c>
      <c r="I7" s="8">
        <v>120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24</v>
      </c>
      <c r="C8" s="29">
        <f>SUM(C6:C7)</f>
        <v>440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334.5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363</v>
      </c>
      <c r="L15" s="9" t="s">
        <v>46</v>
      </c>
      <c r="M15" s="16" t="s">
        <v>47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534.5</v>
      </c>
      <c r="D16" s="2"/>
      <c r="E16" s="18"/>
      <c r="F16" s="25"/>
      <c r="G16" s="26"/>
      <c r="H16" s="8"/>
      <c r="I16" s="8"/>
      <c r="J16" s="2"/>
      <c r="K16" s="25">
        <v>365</v>
      </c>
      <c r="L16" s="9" t="s">
        <v>114</v>
      </c>
      <c r="M16" s="16" t="s">
        <v>51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347</v>
      </c>
      <c r="L17" s="9" t="s">
        <v>46</v>
      </c>
      <c r="M17" s="16" t="s">
        <v>47</v>
      </c>
      <c r="R17" s="1">
        <f>IF(vend25[[#This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>
        <v>357</v>
      </c>
      <c r="L18" s="9" t="s">
        <v>50</v>
      </c>
      <c r="M18" s="16" t="s">
        <v>51</v>
      </c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369</v>
      </c>
      <c r="F26" s="25" t="s">
        <v>140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370</v>
      </c>
      <c r="F27" s="25" t="s">
        <v>140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240</v>
      </c>
      <c r="F28" s="25" t="s">
        <v>141</v>
      </c>
      <c r="G28" s="26" t="s">
        <v>6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365</v>
      </c>
      <c r="F29" s="25" t="s">
        <v>142</v>
      </c>
      <c r="G29" s="26" t="s">
        <v>7</v>
      </c>
      <c r="H29" s="8"/>
      <c r="I29" s="8">
        <v>120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230</v>
      </c>
      <c r="F35" s="25" t="s">
        <v>143</v>
      </c>
      <c r="G35" s="26" t="s">
        <v>7</v>
      </c>
      <c r="H35" s="8">
        <v>94.5</v>
      </c>
      <c r="I35" s="8" t="s">
        <v>144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topLeftCell="A12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45164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950</v>
      </c>
      <c r="D6" s="2"/>
      <c r="E6" s="18">
        <v>385</v>
      </c>
      <c r="F6" s="25" t="s">
        <v>145</v>
      </c>
      <c r="G6" s="26" t="s">
        <v>7</v>
      </c>
      <c r="H6" s="8">
        <v>1400</v>
      </c>
      <c r="I6" s="8">
        <v>500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24</v>
      </c>
      <c r="C8" s="29">
        <f>SUM(C6:C7)</f>
        <v>950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565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353</v>
      </c>
      <c r="L15" s="9" t="s">
        <v>50</v>
      </c>
      <c r="M15" s="16" t="s">
        <v>51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1015</v>
      </c>
      <c r="D16" s="2"/>
      <c r="E16" s="18"/>
      <c r="F16" s="25"/>
      <c r="G16" s="26"/>
      <c r="H16" s="8"/>
      <c r="I16" s="8"/>
      <c r="J16" s="2"/>
      <c r="K16" s="25">
        <v>200</v>
      </c>
      <c r="L16" s="9" t="s">
        <v>50</v>
      </c>
      <c r="M16" s="16" t="s">
        <v>51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353</v>
      </c>
      <c r="F26" s="25" t="s">
        <v>72</v>
      </c>
      <c r="G26" s="26" t="s">
        <v>8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200</v>
      </c>
      <c r="F27" s="25" t="s">
        <v>146</v>
      </c>
      <c r="G27" s="26" t="s">
        <v>6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161</v>
      </c>
      <c r="F35" s="25" t="s">
        <v>147</v>
      </c>
      <c r="G35" s="26" t="s">
        <v>7</v>
      </c>
      <c r="H35" s="8">
        <v>65</v>
      </c>
      <c r="I35" s="8" t="s">
        <v>131</v>
      </c>
      <c r="K35" s="25">
        <v>200</v>
      </c>
      <c r="L35" s="42">
        <v>6</v>
      </c>
      <c r="M35" s="16">
        <v>750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zoomScale="80" zoomScaleNormal="80" workbookViewId="0">
      <selection activeCell="B30" sqref="B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45165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topLeftCell="B9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45166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386</v>
      </c>
      <c r="F6" s="25" t="s">
        <v>148</v>
      </c>
      <c r="G6" s="26" t="s">
        <v>6</v>
      </c>
      <c r="H6" s="8">
        <v>700</v>
      </c>
      <c r="I6" s="8">
        <v>300</v>
      </c>
      <c r="J6" s="2"/>
      <c r="K6" s="25" t="s">
        <v>43</v>
      </c>
      <c r="L6" s="9" t="s">
        <v>71</v>
      </c>
      <c r="M6" s="16">
        <v>24</v>
      </c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24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24</v>
      </c>
      <c r="C8" s="29">
        <f>SUM(C6:C7)</f>
        <v>324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341</v>
      </c>
      <c r="L15" s="9" t="s">
        <v>46</v>
      </c>
      <c r="M15" s="16" t="s">
        <v>47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359</v>
      </c>
      <c r="L16" s="9" t="s">
        <v>46</v>
      </c>
      <c r="M16" s="16" t="s">
        <v>47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1"/>
  <sheetViews>
    <sheetView showGridLines="0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45167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387</v>
      </c>
      <c r="F6" s="25" t="s">
        <v>149</v>
      </c>
      <c r="G6" s="26" t="s">
        <v>124</v>
      </c>
      <c r="H6" s="8"/>
      <c r="I6" s="8">
        <v>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388</v>
      </c>
      <c r="F7" s="25" t="s">
        <v>150</v>
      </c>
      <c r="G7" s="26" t="s">
        <v>7</v>
      </c>
      <c r="H7" s="8">
        <v>150</v>
      </c>
      <c r="I7" s="8">
        <v>150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24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306</v>
      </c>
      <c r="L15" s="9" t="s">
        <v>46</v>
      </c>
      <c r="M15" s="16" t="s">
        <v>47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>
        <v>307</v>
      </c>
      <c r="L16" s="9" t="s">
        <v>46</v>
      </c>
      <c r="M16" s="16" t="s">
        <v>47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388</v>
      </c>
      <c r="L17" s="9" t="s">
        <v>46</v>
      </c>
      <c r="M17" s="16" t="s">
        <v>47</v>
      </c>
      <c r="R17" s="1">
        <f>IF(vend29[[#This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307</v>
      </c>
      <c r="F26" s="25" t="s">
        <v>151</v>
      </c>
      <c r="G26" s="26" t="s">
        <v>9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306</v>
      </c>
      <c r="F27" s="25" t="s">
        <v>151</v>
      </c>
      <c r="G27" s="26" t="s">
        <v>9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D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45168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</v>
      </c>
      <c r="D6" s="2"/>
      <c r="E6" s="57">
        <v>389</v>
      </c>
      <c r="F6" s="58" t="s">
        <v>152</v>
      </c>
      <c r="G6" s="62" t="s">
        <v>22</v>
      </c>
      <c r="H6" s="60">
        <v>0</v>
      </c>
      <c r="I6" s="60" t="s">
        <v>153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24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64" t="s">
        <v>5</v>
      </c>
      <c r="C10" s="64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140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6" t="s">
        <v>28</v>
      </c>
      <c r="L13" s="67"/>
      <c r="M13" s="68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29</v>
      </c>
      <c r="L14" s="6" t="s">
        <v>30</v>
      </c>
      <c r="M14" s="15" t="s">
        <v>31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361</v>
      </c>
      <c r="L15" s="9" t="s">
        <v>46</v>
      </c>
      <c r="M15" s="16" t="s">
        <v>51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190</v>
      </c>
      <c r="D16" s="2"/>
      <c r="E16" s="18"/>
      <c r="F16" s="25"/>
      <c r="G16" s="26"/>
      <c r="H16" s="8"/>
      <c r="I16" s="8"/>
      <c r="J16" s="2"/>
      <c r="K16" s="25">
        <v>368</v>
      </c>
      <c r="L16" s="9" t="s">
        <v>46</v>
      </c>
      <c r="M16" s="16" t="s">
        <v>47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369</v>
      </c>
      <c r="L17" s="9" t="s">
        <v>154</v>
      </c>
      <c r="M17" s="16" t="s">
        <v>47</v>
      </c>
      <c r="R17" s="1">
        <f>IF(vend30[[#This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>
        <v>382</v>
      </c>
      <c r="L18" s="9" t="s">
        <v>46</v>
      </c>
      <c r="M18" s="16" t="s">
        <v>47</v>
      </c>
      <c r="R18" s="1">
        <f>IF(vend30[[#This Row],[Nº Venda]]&gt;1,1,0)</f>
        <v>0</v>
      </c>
    </row>
    <row r="19" spans="2:18" ht="15.75" x14ac:dyDescent="0.25">
      <c r="B19" s="30">
        <f>COUNT(entr_carn30[OS])</f>
        <v>1</v>
      </c>
      <c r="C19" s="31">
        <f>SUM(entr_carn30[Valor Total])</f>
        <v>240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240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361</v>
      </c>
      <c r="F26" s="25" t="s">
        <v>155</v>
      </c>
      <c r="G26" s="26" t="s">
        <v>7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368</v>
      </c>
      <c r="F27" s="25" t="s">
        <v>156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/>
      <c r="F35" s="25"/>
      <c r="G35" s="26"/>
      <c r="H35" s="8"/>
      <c r="I35" s="8"/>
      <c r="K35" s="25">
        <v>361</v>
      </c>
      <c r="L35" s="42">
        <v>2</v>
      </c>
      <c r="M35" s="16">
        <v>240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45169</v>
      </c>
    </row>
    <row r="2" spans="2:18" ht="18.75" x14ac:dyDescent="0.2">
      <c r="B2" s="69" t="s">
        <v>13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72" t="s">
        <v>1</v>
      </c>
      <c r="F4" s="72"/>
      <c r="G4" s="72"/>
      <c r="H4" s="72"/>
      <c r="I4" s="72"/>
      <c r="J4" s="22"/>
      <c r="K4" s="66" t="s">
        <v>3</v>
      </c>
      <c r="L4" s="67"/>
      <c r="M4" s="68"/>
    </row>
    <row r="5" spans="2:18" ht="15" x14ac:dyDescent="0.25">
      <c r="B5" s="23" t="s">
        <v>1</v>
      </c>
      <c r="C5" s="24">
        <f>SUMIF(I6:I31,"&gt;0",H6:H31)</f>
        <v>8656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4928</v>
      </c>
      <c r="D6" s="2"/>
      <c r="E6" s="18">
        <v>390</v>
      </c>
      <c r="F6" s="25" t="s">
        <v>157</v>
      </c>
      <c r="G6" s="26" t="s">
        <v>6</v>
      </c>
      <c r="H6" s="8">
        <v>250</v>
      </c>
      <c r="I6" s="8">
        <v>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391</v>
      </c>
      <c r="F7" s="25" t="s">
        <v>158</v>
      </c>
      <c r="G7" s="26" t="s">
        <v>9</v>
      </c>
      <c r="H7" s="8">
        <v>1496</v>
      </c>
      <c r="I7" s="8">
        <v>1496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24</v>
      </c>
      <c r="C8" s="29">
        <f>SUM(C6:C7)</f>
        <v>4928</v>
      </c>
      <c r="D8" s="2"/>
      <c r="E8" s="18">
        <v>392</v>
      </c>
      <c r="F8" s="25" t="s">
        <v>159</v>
      </c>
      <c r="G8" s="26" t="s">
        <v>7</v>
      </c>
      <c r="H8" s="8">
        <v>1744</v>
      </c>
      <c r="I8" s="8">
        <v>500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297</v>
      </c>
      <c r="F9" s="25" t="s">
        <v>160</v>
      </c>
      <c r="G9" s="26" t="s">
        <v>6</v>
      </c>
      <c r="H9" s="8">
        <v>600</v>
      </c>
      <c r="I9" s="8">
        <v>150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64" t="s">
        <v>5</v>
      </c>
      <c r="C10" s="64"/>
      <c r="D10" s="2"/>
      <c r="E10" s="18">
        <v>393</v>
      </c>
      <c r="F10" s="25" t="s">
        <v>161</v>
      </c>
      <c r="G10" s="26" t="s">
        <v>10</v>
      </c>
      <c r="H10" s="8">
        <v>580</v>
      </c>
      <c r="I10" s="8">
        <v>30</v>
      </c>
      <c r="J10" s="2"/>
      <c r="K10" s="25"/>
      <c r="L10" s="9"/>
      <c r="M10" s="1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674</v>
      </c>
      <c r="D11" s="2"/>
      <c r="E11" s="18">
        <v>394</v>
      </c>
      <c r="F11" s="25" t="s">
        <v>162</v>
      </c>
      <c r="G11" s="26" t="s">
        <v>9</v>
      </c>
      <c r="H11" s="8">
        <v>580</v>
      </c>
      <c r="I11" s="8">
        <v>580</v>
      </c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627</v>
      </c>
      <c r="D12" s="2"/>
      <c r="E12" s="18">
        <v>395</v>
      </c>
      <c r="F12" s="25" t="s">
        <v>163</v>
      </c>
      <c r="G12" s="26" t="s">
        <v>22</v>
      </c>
      <c r="H12" s="8">
        <v>400</v>
      </c>
      <c r="I12" s="8">
        <v>0</v>
      </c>
      <c r="J12" s="2"/>
      <c r="R12" s="1">
        <f>IF(vend31[[#This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396</v>
      </c>
      <c r="F13" s="25" t="s">
        <v>164</v>
      </c>
      <c r="G13" s="26" t="s">
        <v>7</v>
      </c>
      <c r="H13" s="8">
        <v>552</v>
      </c>
      <c r="I13" s="8">
        <v>69</v>
      </c>
      <c r="J13" s="2"/>
      <c r="K13" s="66" t="s">
        <v>28</v>
      </c>
      <c r="L13" s="67"/>
      <c r="M13" s="68"/>
      <c r="R13" s="1">
        <f>IF(vend31[[#This Row],[Nº Venda]]&gt;1,1,0)</f>
        <v>1</v>
      </c>
    </row>
    <row r="14" spans="2:18" ht="15.75" x14ac:dyDescent="0.25">
      <c r="B14" s="30" t="s">
        <v>9</v>
      </c>
      <c r="C14" s="31">
        <f t="shared" si="0"/>
        <v>3666</v>
      </c>
      <c r="D14" s="2"/>
      <c r="E14" s="18">
        <v>397</v>
      </c>
      <c r="F14" s="25" t="s">
        <v>165</v>
      </c>
      <c r="G14" s="26" t="s">
        <v>6</v>
      </c>
      <c r="H14" s="8">
        <v>800</v>
      </c>
      <c r="I14" s="8">
        <v>5</v>
      </c>
      <c r="J14" s="2"/>
      <c r="K14" s="14" t="s">
        <v>29</v>
      </c>
      <c r="L14" s="6" t="s">
        <v>30</v>
      </c>
      <c r="M14" s="15" t="s">
        <v>31</v>
      </c>
      <c r="R14" s="1">
        <f>IF(vend31[[#This Row],[Nº Venda]]&gt;1,1,0)</f>
        <v>1</v>
      </c>
    </row>
    <row r="15" spans="2:18" ht="15.75" x14ac:dyDescent="0.25">
      <c r="B15" s="30" t="s">
        <v>10</v>
      </c>
      <c r="C15" s="31">
        <f t="shared" si="0"/>
        <v>30</v>
      </c>
      <c r="D15" s="2"/>
      <c r="E15" s="18">
        <v>398</v>
      </c>
      <c r="F15" s="25" t="s">
        <v>166</v>
      </c>
      <c r="G15" s="26" t="s">
        <v>7</v>
      </c>
      <c r="H15" s="8">
        <v>464</v>
      </c>
      <c r="I15" s="8">
        <v>58</v>
      </c>
      <c r="J15" s="2"/>
      <c r="K15" s="25">
        <v>364</v>
      </c>
      <c r="L15" s="9" t="s">
        <v>114</v>
      </c>
      <c r="M15" s="16" t="s">
        <v>47</v>
      </c>
      <c r="R15" s="1">
        <f>IF(vend31[[#This Row],[Nº Venda]]&gt;1,1,0)</f>
        <v>1</v>
      </c>
    </row>
    <row r="16" spans="2:18" ht="15.75" x14ac:dyDescent="0.25">
      <c r="B16" s="28" t="s">
        <v>11</v>
      </c>
      <c r="C16" s="32">
        <f>SUM(C11:C15)</f>
        <v>4997</v>
      </c>
      <c r="D16" s="2"/>
      <c r="E16" s="18">
        <v>399</v>
      </c>
      <c r="F16" s="25" t="s">
        <v>167</v>
      </c>
      <c r="G16" s="26" t="s">
        <v>9</v>
      </c>
      <c r="H16" s="8">
        <v>1590</v>
      </c>
      <c r="I16" s="8">
        <v>1590</v>
      </c>
      <c r="J16" s="2"/>
      <c r="K16" s="25">
        <v>390</v>
      </c>
      <c r="L16" s="9" t="s">
        <v>46</v>
      </c>
      <c r="M16" s="16" t="s">
        <v>51</v>
      </c>
      <c r="R16" s="1">
        <f>IF(vend31[[#This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64" t="s">
        <v>12</v>
      </c>
      <c r="C18" s="64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1</v>
      </c>
      <c r="C19" s="31">
        <f>SUM(entr_carn31[Valor Total])</f>
        <v>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32</v>
      </c>
      <c r="C22" s="32">
        <f>C5</f>
        <v>8656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65" t="s">
        <v>33</v>
      </c>
      <c r="F24" s="65"/>
      <c r="G24" s="65"/>
      <c r="H24" s="65"/>
      <c r="I24" s="65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364</v>
      </c>
      <c r="F26" s="25" t="s">
        <v>168</v>
      </c>
      <c r="G26" s="26" t="s">
        <v>6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65" t="s">
        <v>36</v>
      </c>
      <c r="F33" s="65"/>
      <c r="G33" s="65"/>
      <c r="H33" s="65"/>
      <c r="I33" s="65"/>
      <c r="K33" s="66" t="s">
        <v>12</v>
      </c>
      <c r="L33" s="67"/>
      <c r="M33" s="68"/>
    </row>
    <row r="34" spans="2:18" ht="15" x14ac:dyDescent="0.25">
      <c r="E34" s="10" t="s">
        <v>29</v>
      </c>
      <c r="F34" s="10" t="s">
        <v>15</v>
      </c>
      <c r="G34" s="11" t="s">
        <v>16</v>
      </c>
      <c r="H34" s="12" t="s">
        <v>37</v>
      </c>
      <c r="I34" s="13" t="s">
        <v>38</v>
      </c>
      <c r="K34" s="14" t="s">
        <v>29</v>
      </c>
      <c r="L34" s="6" t="s">
        <v>39</v>
      </c>
      <c r="M34" s="15" t="s">
        <v>40</v>
      </c>
    </row>
    <row r="35" spans="2:18" ht="15.75" x14ac:dyDescent="0.25">
      <c r="E35" s="18">
        <v>199</v>
      </c>
      <c r="F35" s="25" t="s">
        <v>169</v>
      </c>
      <c r="G35" s="26" t="s">
        <v>6</v>
      </c>
      <c r="H35" s="8">
        <v>69</v>
      </c>
      <c r="I35" s="8" t="s">
        <v>132</v>
      </c>
      <c r="K35" s="25">
        <v>390</v>
      </c>
      <c r="L35" s="42">
        <v>2</v>
      </c>
      <c r="M35" s="16">
        <v>200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41</v>
      </c>
      <c r="R40" s="1">
        <f>SUM(R6:R21)</f>
        <v>11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170</v>
      </c>
      <c r="B1" s="38" t="s">
        <v>171</v>
      </c>
      <c r="E1" s="38" t="s">
        <v>172</v>
      </c>
    </row>
    <row r="2" spans="1:5" x14ac:dyDescent="0.2">
      <c r="A2" s="38" t="s">
        <v>6</v>
      </c>
      <c r="B2" s="38" t="s">
        <v>173</v>
      </c>
      <c r="E2" t="s">
        <v>174</v>
      </c>
    </row>
    <row r="3" spans="1:5" x14ac:dyDescent="0.2">
      <c r="A3" s="38" t="s">
        <v>7</v>
      </c>
      <c r="B3" s="38" t="s">
        <v>175</v>
      </c>
      <c r="E3" t="s">
        <v>176</v>
      </c>
    </row>
    <row r="4" spans="1:5" x14ac:dyDescent="0.2">
      <c r="A4" s="38" t="s">
        <v>8</v>
      </c>
      <c r="B4" s="38" t="s">
        <v>177</v>
      </c>
      <c r="E4" t="s">
        <v>178</v>
      </c>
    </row>
    <row r="5" spans="1:5" x14ac:dyDescent="0.2">
      <c r="A5" s="38" t="s">
        <v>9</v>
      </c>
      <c r="B5" s="38" t="s">
        <v>179</v>
      </c>
      <c r="E5" t="s">
        <v>180</v>
      </c>
    </row>
    <row r="6" spans="1:5" x14ac:dyDescent="0.2">
      <c r="A6" s="38" t="s">
        <v>10</v>
      </c>
      <c r="B6" s="38" t="s">
        <v>10</v>
      </c>
      <c r="E6" t="s">
        <v>181</v>
      </c>
    </row>
    <row r="7" spans="1:5" x14ac:dyDescent="0.2">
      <c r="A7" s="38" t="s">
        <v>22</v>
      </c>
      <c r="B7" s="38" t="s">
        <v>182</v>
      </c>
      <c r="E7" t="s">
        <v>183</v>
      </c>
    </row>
    <row r="8" spans="1:5" x14ac:dyDescent="0.2">
      <c r="A8" t="s">
        <v>31</v>
      </c>
      <c r="B8" t="s">
        <v>184</v>
      </c>
      <c r="E8" t="s">
        <v>185</v>
      </c>
    </row>
    <row r="9" spans="1:5" x14ac:dyDescent="0.2">
      <c r="A9" s="38" t="s">
        <v>124</v>
      </c>
      <c r="B9" s="38" t="s">
        <v>186</v>
      </c>
      <c r="E9" t="s">
        <v>137</v>
      </c>
    </row>
    <row r="10" spans="1:5" x14ac:dyDescent="0.2">
      <c r="E10" t="s">
        <v>187</v>
      </c>
    </row>
    <row r="11" spans="1:5" x14ac:dyDescent="0.2">
      <c r="E11" t="s">
        <v>188</v>
      </c>
    </row>
    <row r="12" spans="1:5" x14ac:dyDescent="0.2">
      <c r="E12" t="s">
        <v>144</v>
      </c>
    </row>
    <row r="13" spans="1:5" x14ac:dyDescent="0.2">
      <c r="E13" t="s">
        <v>131</v>
      </c>
    </row>
    <row r="14" spans="1:5" x14ac:dyDescent="0.2">
      <c r="E14" t="s">
        <v>132</v>
      </c>
    </row>
    <row r="15" spans="1:5" x14ac:dyDescent="0.2">
      <c r="E15" t="s">
        <v>133</v>
      </c>
    </row>
    <row r="16" spans="1:5" x14ac:dyDescent="0.2">
      <c r="E16" t="s">
        <v>134</v>
      </c>
    </row>
    <row r="17" spans="5:5" x14ac:dyDescent="0.2">
      <c r="E17" t="s">
        <v>189</v>
      </c>
    </row>
    <row r="18" spans="5:5" x14ac:dyDescent="0.2">
      <c r="E18" t="s">
        <v>190</v>
      </c>
    </row>
    <row r="19" spans="5:5" x14ac:dyDescent="0.2">
      <c r="E19" t="s">
        <v>191</v>
      </c>
    </row>
    <row r="20" spans="5:5" x14ac:dyDescent="0.2">
      <c r="E20" t="s">
        <v>192</v>
      </c>
    </row>
    <row r="21" spans="5:5" x14ac:dyDescent="0.2">
      <c r="E21" t="s">
        <v>193</v>
      </c>
    </row>
    <row r="22" spans="5:5" x14ac:dyDescent="0.2">
      <c r="E22" t="s">
        <v>194</v>
      </c>
    </row>
    <row r="23" spans="5:5" x14ac:dyDescent="0.2">
      <c r="E23" t="s">
        <v>195</v>
      </c>
    </row>
    <row r="24" spans="5:5" x14ac:dyDescent="0.2">
      <c r="E24" t="s">
        <v>196</v>
      </c>
    </row>
    <row r="25" spans="5:5" x14ac:dyDescent="0.2">
      <c r="E25" t="s">
        <v>197</v>
      </c>
    </row>
    <row r="26" spans="5:5" x14ac:dyDescent="0.2">
      <c r="E26" t="s">
        <v>198</v>
      </c>
    </row>
    <row r="27" spans="5:5" x14ac:dyDescent="0.2">
      <c r="E27" t="s">
        <v>199</v>
      </c>
    </row>
    <row r="28" spans="5:5" x14ac:dyDescent="0.2">
      <c r="E28" t="s">
        <v>200</v>
      </c>
    </row>
    <row r="29" spans="5:5" x14ac:dyDescent="0.2">
      <c r="E29" t="s">
        <v>201</v>
      </c>
    </row>
    <row r="30" spans="5:5" x14ac:dyDescent="0.2">
      <c r="E30" t="s">
        <v>117</v>
      </c>
    </row>
    <row r="31" spans="5:5" x14ac:dyDescent="0.2">
      <c r="E31" t="s">
        <v>202</v>
      </c>
    </row>
    <row r="32" spans="5:5" x14ac:dyDescent="0.2">
      <c r="E32" t="s">
        <v>203</v>
      </c>
    </row>
    <row r="33" spans="5:5" x14ac:dyDescent="0.2">
      <c r="E33" t="s">
        <v>204</v>
      </c>
    </row>
    <row r="34" spans="5:5" x14ac:dyDescent="0.2">
      <c r="E34" t="s">
        <v>205</v>
      </c>
    </row>
    <row r="35" spans="5:5" x14ac:dyDescent="0.2">
      <c r="E35" t="s">
        <v>206</v>
      </c>
    </row>
    <row r="36" spans="5:5" x14ac:dyDescent="0.2">
      <c r="E36" t="s">
        <v>207</v>
      </c>
    </row>
    <row r="37" spans="5:5" x14ac:dyDescent="0.2">
      <c r="E37" t="s">
        <v>208</v>
      </c>
    </row>
    <row r="38" spans="5:5" x14ac:dyDescent="0.2">
      <c r="E38" t="s">
        <v>209</v>
      </c>
    </row>
    <row r="39" spans="5:5" x14ac:dyDescent="0.2">
      <c r="E39" t="s">
        <v>210</v>
      </c>
    </row>
    <row r="40" spans="5:5" x14ac:dyDescent="0.2">
      <c r="E40" t="s">
        <v>211</v>
      </c>
    </row>
    <row r="41" spans="5:5" x14ac:dyDescent="0.2">
      <c r="E41" t="s">
        <v>212</v>
      </c>
    </row>
    <row r="42" spans="5:5" x14ac:dyDescent="0.2">
      <c r="E42" t="s">
        <v>213</v>
      </c>
    </row>
    <row r="43" spans="5:5" x14ac:dyDescent="0.2">
      <c r="E43" t="s">
        <v>214</v>
      </c>
    </row>
    <row r="44" spans="5:5" x14ac:dyDescent="0.2">
      <c r="E44" t="s">
        <v>215</v>
      </c>
    </row>
    <row r="45" spans="5:5" x14ac:dyDescent="0.2">
      <c r="E45" t="s">
        <v>216</v>
      </c>
    </row>
    <row r="46" spans="5:5" x14ac:dyDescent="0.2">
      <c r="E46" t="s">
        <v>217</v>
      </c>
    </row>
    <row r="47" spans="5:5" x14ac:dyDescent="0.2">
      <c r="E47" t="s">
        <v>218</v>
      </c>
    </row>
    <row r="48" spans="5:5" x14ac:dyDescent="0.2">
      <c r="E48" t="s">
        <v>219</v>
      </c>
    </row>
    <row r="49" spans="5:5" x14ac:dyDescent="0.2">
      <c r="E49" t="s">
        <v>220</v>
      </c>
    </row>
    <row r="50" spans="5:5" x14ac:dyDescent="0.2">
      <c r="E50" t="s">
        <v>221</v>
      </c>
    </row>
    <row r="51" spans="5:5" x14ac:dyDescent="0.2">
      <c r="E51" t="s">
        <v>222</v>
      </c>
    </row>
    <row r="52" spans="5:5" x14ac:dyDescent="0.2">
      <c r="E52" t="s">
        <v>223</v>
      </c>
    </row>
    <row r="53" spans="5:5" x14ac:dyDescent="0.2">
      <c r="E53" t="s">
        <v>224</v>
      </c>
    </row>
    <row r="54" spans="5:5" x14ac:dyDescent="0.2">
      <c r="E54" t="s">
        <v>225</v>
      </c>
    </row>
    <row r="55" spans="5:5" x14ac:dyDescent="0.2">
      <c r="E55" t="s">
        <v>226</v>
      </c>
    </row>
    <row r="56" spans="5:5" x14ac:dyDescent="0.2">
      <c r="E56" t="s">
        <v>227</v>
      </c>
    </row>
    <row r="57" spans="5:5" x14ac:dyDescent="0.2">
      <c r="E57" t="s">
        <v>228</v>
      </c>
    </row>
    <row r="58" spans="5:5" x14ac:dyDescent="0.2">
      <c r="E58" t="s">
        <v>229</v>
      </c>
    </row>
    <row r="59" spans="5:5" x14ac:dyDescent="0.2">
      <c r="E59" t="s">
        <v>230</v>
      </c>
    </row>
    <row r="60" spans="5:5" x14ac:dyDescent="0.2">
      <c r="E60" t="s">
        <v>231</v>
      </c>
    </row>
    <row r="61" spans="5:5" x14ac:dyDescent="0.2">
      <c r="E61" t="s">
        <v>232</v>
      </c>
    </row>
    <row r="62" spans="5:5" x14ac:dyDescent="0.2">
      <c r="E62" t="s">
        <v>233</v>
      </c>
    </row>
    <row r="63" spans="5:5" x14ac:dyDescent="0.2">
      <c r="E63" t="s">
        <v>234</v>
      </c>
    </row>
    <row r="64" spans="5:5" x14ac:dyDescent="0.2">
      <c r="E64" t="s">
        <v>235</v>
      </c>
    </row>
    <row r="65" spans="5:5" x14ac:dyDescent="0.2">
      <c r="E65" t="s">
        <v>236</v>
      </c>
    </row>
    <row r="66" spans="5:5" x14ac:dyDescent="0.2">
      <c r="E66" t="s">
        <v>237</v>
      </c>
    </row>
    <row r="67" spans="5:5" x14ac:dyDescent="0.2">
      <c r="E67" t="s">
        <v>238</v>
      </c>
    </row>
    <row r="68" spans="5:5" x14ac:dyDescent="0.2">
      <c r="E68" t="s">
        <v>239</v>
      </c>
    </row>
    <row r="69" spans="5:5" x14ac:dyDescent="0.2">
      <c r="E69" t="s">
        <v>240</v>
      </c>
    </row>
    <row r="70" spans="5:5" x14ac:dyDescent="0.2">
      <c r="E70" t="s">
        <v>241</v>
      </c>
    </row>
    <row r="71" spans="5:5" x14ac:dyDescent="0.2">
      <c r="E71" t="s">
        <v>242</v>
      </c>
    </row>
    <row r="72" spans="5:5" x14ac:dyDescent="0.2">
      <c r="E72" t="s">
        <v>243</v>
      </c>
    </row>
    <row r="73" spans="5:5" x14ac:dyDescent="0.2">
      <c r="E73" t="s">
        <v>244</v>
      </c>
    </row>
    <row r="74" spans="5:5" x14ac:dyDescent="0.2">
      <c r="E74" t="s">
        <v>245</v>
      </c>
    </row>
    <row r="75" spans="5:5" x14ac:dyDescent="0.2">
      <c r="E75" t="s">
        <v>246</v>
      </c>
    </row>
    <row r="76" spans="5:5" x14ac:dyDescent="0.2">
      <c r="E76" t="s">
        <v>247</v>
      </c>
    </row>
    <row r="77" spans="5:5" x14ac:dyDescent="0.2">
      <c r="E77" t="s">
        <v>248</v>
      </c>
    </row>
    <row r="78" spans="5:5" x14ac:dyDescent="0.2">
      <c r="E78" t="s">
        <v>249</v>
      </c>
    </row>
    <row r="79" spans="5:5" x14ac:dyDescent="0.2">
      <c r="E79" t="s">
        <v>250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perus lojas</cp:lastModifiedBy>
  <cp:revision/>
  <dcterms:created xsi:type="dcterms:W3CDTF">2004-04-07T20:43:43Z</dcterms:created>
  <dcterms:modified xsi:type="dcterms:W3CDTF">2024-07-27T18:06:29Z</dcterms:modified>
  <cp:category/>
  <cp:contentStatus/>
</cp:coreProperties>
</file>