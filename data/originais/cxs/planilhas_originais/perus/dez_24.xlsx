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PERUS/CAIXA/2024/"/>
    </mc:Choice>
  </mc:AlternateContent>
  <xr:revisionPtr revIDLastSave="286" documentId="8_{20048746-4408-4412-9F4D-B1900827C9FD}" xr6:coauthVersionLast="47" xr6:coauthVersionMax="47" xr10:uidLastSave="{B6CD6ECD-3D4D-4F5F-9BC1-1FEF016A1CA1}"/>
  <bookViews>
    <workbookView xWindow="-120" yWindow="-120" windowWidth="29040" windowHeight="15840" tabRatio="895" firstSheet="4" activeTab="4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state="hidden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00" l="1"/>
  <c r="C6" i="174"/>
  <c r="C6" i="173"/>
  <c r="C6" i="172"/>
  <c r="C6" i="171"/>
  <c r="C6" i="103"/>
  <c r="C6" i="178"/>
  <c r="C6" i="177"/>
  <c r="C6" i="182"/>
  <c r="C6" i="179"/>
  <c r="C6" i="185"/>
  <c r="C6" i="186"/>
  <c r="C6" i="189"/>
  <c r="C6" i="191"/>
  <c r="C6" i="193"/>
  <c r="C6" i="194"/>
  <c r="C6" i="196"/>
  <c r="C6" i="192"/>
  <c r="C6" i="198"/>
  <c r="C6" i="175"/>
  <c r="C12" i="170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8" i="174"/>
  <c r="C8" i="172"/>
  <c r="C8" i="171"/>
  <c r="C8" i="179"/>
  <c r="C8" i="189"/>
  <c r="C8" i="194"/>
  <c r="C8" i="196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6" l="1"/>
  <c r="C8" i="173"/>
  <c r="C8" i="192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16" i="170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12" i="200"/>
  <c r="C16" i="196"/>
  <c r="O11" i="196" s="1"/>
  <c r="C16" i="189"/>
  <c r="O11" i="189" s="1"/>
  <c r="C16" i="188"/>
  <c r="C16" i="185"/>
  <c r="O11" i="185" s="1"/>
  <c r="C8" i="193"/>
  <c r="C8" i="178"/>
  <c r="C8" i="198"/>
  <c r="C8" i="185"/>
  <c r="C8" i="177"/>
  <c r="C8" i="182"/>
  <c r="C16" i="198"/>
  <c r="O11" i="198" s="1"/>
  <c r="C16" i="199"/>
  <c r="C16" i="192"/>
  <c r="O11" i="192" s="1"/>
  <c r="C16" i="197"/>
  <c r="C16" i="194"/>
  <c r="O11" i="194" s="1"/>
  <c r="C16" i="195"/>
  <c r="C16" i="193"/>
  <c r="O11" i="193" s="1"/>
  <c r="C16" i="191"/>
  <c r="O11" i="191" s="1"/>
  <c r="C16" i="190"/>
  <c r="C16" i="187"/>
  <c r="C16" i="186"/>
  <c r="O11" i="186" s="1"/>
  <c r="C16" i="184"/>
  <c r="C16" i="179"/>
  <c r="O11" i="179" s="1"/>
  <c r="C16" i="181"/>
  <c r="C16" i="183"/>
  <c r="C16" i="182"/>
  <c r="O11" i="182" s="1"/>
  <c r="C16" i="180"/>
  <c r="C16" i="176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99" l="1"/>
  <c r="C6" i="199"/>
  <c r="C8" i="199" s="1"/>
  <c r="O11" i="197"/>
  <c r="C6" i="197"/>
  <c r="C8" i="197" s="1"/>
  <c r="O11" i="188"/>
  <c r="C6" i="188"/>
  <c r="C8" i="188" s="1"/>
  <c r="O11" i="190"/>
  <c r="C6" i="190"/>
  <c r="C8" i="190" s="1"/>
  <c r="O11" i="187"/>
  <c r="C6" i="187"/>
  <c r="C8" i="187" s="1"/>
  <c r="O11" i="184"/>
  <c r="C6" i="184"/>
  <c r="C8" i="184" s="1"/>
  <c r="O11" i="181"/>
  <c r="C6" i="181"/>
  <c r="C8" i="181" s="1"/>
  <c r="O11" i="183"/>
  <c r="C6" i="183"/>
  <c r="C8" i="183" s="1"/>
  <c r="O11" i="180"/>
  <c r="C6" i="180"/>
  <c r="C8" i="180" s="1"/>
  <c r="O11" i="176"/>
  <c r="C6" i="176"/>
  <c r="C8" i="176" s="1"/>
  <c r="O11" i="170"/>
  <c r="C6" i="170"/>
  <c r="C8" i="170" s="1"/>
  <c r="O11" i="195"/>
  <c r="C6" i="195"/>
  <c r="B14" i="200"/>
  <c r="C16" i="103"/>
  <c r="O11" i="103" s="1"/>
  <c r="C8" i="103"/>
  <c r="R40" i="103"/>
  <c r="B4" i="200" l="1"/>
  <c r="B6" i="200" s="1"/>
  <c r="C8" i="19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<sst xmlns="http://schemas.openxmlformats.org/spreadsheetml/2006/main" count="1705" uniqueCount="175">
  <si>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</si>
  <si>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</si>
  <si>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</si>
  <si>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</si>
  <si>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</si>
  <si>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</si>
  <si>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</si>
  <si>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</si>
  <si>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</si>
  <si>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</si>
  <si>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</si>
  <si>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</si>
  <si>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</si>
  <si>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</si>
  <si>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</si>
  <si>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</si>
  <si>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</si>
  <si>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</si>
  <si>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</si>
  <si>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</si>
  <si>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</si>
  <si>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</si>
  <si>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</si>
  <si>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</si>
  <si>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</si>
  <si>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</si>
  <si>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</si>
  <si>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</si>
  <si>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</si>
  <si>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</si>
  <si>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</si>
  <si>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</si>
  <si>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</si>
  <si>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</si>
  <si>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</si>
  <si>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</si>
  <si>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</si>
  <si>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</si>
  <si>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</si>
  <si>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</si>
  <si>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</si>
  <si>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</si>
  <si>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</si>
  <si>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</si>
  <si>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</si>
  <si>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</si>
  <si>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</si>
  <si>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</si>
  <si>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</si>
  <si>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</si>
  <si>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</si>
  <si>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</si>
  <si>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</si>
  <si>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</si>
  <si>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</si>
  <si>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</si>
  <si>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</si>
  <si>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</si>
  <si>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</si>
  <si>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</si>
  <si>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</si>
  <si>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</si>
  <si>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</si>
  <si>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</si>
  <si>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</si>
  <si>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</si>
  <si>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</si>
  <si>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</si>
  <si>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</si>
  <si>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</si>
  <si>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</si>
  <si>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</si>
  <si>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</si>
  <si>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</si>
  <si>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</si>
  <si>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</si>
  <si>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</si>
  <si>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</si>
  <si>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</si>
  <si>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</si>
  <si>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</si>
  <si>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</si>
  <si>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</si>
  <si>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</si>
  <si>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</si>
  <si>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</si>
  <si>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</si>
  <si>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</si>
  <si>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</si>
  <si>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</si>
  <si>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</si>
  <si>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</si>
  <si>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</si>
  <si>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</si>
  <si>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</si>
  <si>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</si>
  <si>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</si>
  <si>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</si>
  <si>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</si>
  <si>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</si>
  <si>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</si>
  <si>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</si>
  <si>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</si>
  <si>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</si>
  <si>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</si>
  <si>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</si>
  <si>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</si>
  <si>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</si>
  <si>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</si>
  <si>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</si>
  <si>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</si>
  <si>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</si>
  <si>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</si>
  <si>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</si>
  <si>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</si>
  <si>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</si>
  <si>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</si>
  <si>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</si>
  <si>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</si>
  <si>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</si>
  <si>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</si>
  <si>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</si>
  <si>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</si>
  <si>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</si>
  <si>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</si>
  <si>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</si>
  <si>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</si>
  <si>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</si>
  <si>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</si>
  <si>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</si>
  <si>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</si>
  <si>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</si>
  <si>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</si>
  <si>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</si>
  <si>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</si>
  <si>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</si>
  <si>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</si>
  <si>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</si>
  <si>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</si>
  <si>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</si>
  <si>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</si>
  <si>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</si>
  <si>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PEDRO HENRIQUE</t>
  </si>
  <si>
    <t>VIVIANE DE JESUS</t>
  </si>
  <si>
    <t>FERNANDA DAS NEVES</t>
  </si>
  <si>
    <t xml:space="preserve">ELIZANGELA BASILIO </t>
  </si>
  <si>
    <t>DEBORA</t>
  </si>
  <si>
    <t>ATANIEL APARECIDO</t>
  </si>
  <si>
    <t>REGINA APARECIDA</t>
  </si>
  <si>
    <t>Não</t>
  </si>
  <si>
    <t>ELZA DOS REIS SANTOS</t>
  </si>
  <si>
    <t>ADAO PEREIRA  DA FONCECA</t>
  </si>
  <si>
    <t>SEVERINO ROMUALDO</t>
  </si>
  <si>
    <t>ALICE DE ALMEIDA</t>
  </si>
  <si>
    <t>MAYME  SANTOS</t>
  </si>
  <si>
    <t xml:space="preserve">AGUA </t>
  </si>
  <si>
    <t>NÃO</t>
  </si>
  <si>
    <t>VTP BEATRIZ</t>
  </si>
  <si>
    <t>DAVID FLAVIO</t>
  </si>
  <si>
    <t xml:space="preserve">EDINEIA POMPEU </t>
  </si>
  <si>
    <t>CARLOS ROBERTO</t>
  </si>
  <si>
    <t>VALTER ALMEIDA PINTO</t>
  </si>
  <si>
    <t>APARECIDA PIRES</t>
  </si>
  <si>
    <t>EVANY DOS SANTOS</t>
  </si>
  <si>
    <t>MARCO ANTONIO</t>
  </si>
  <si>
    <t>JOAO IRAN</t>
  </si>
  <si>
    <t xml:space="preserve">REJANE  DA SILVA </t>
  </si>
  <si>
    <t>Sim</t>
  </si>
  <si>
    <t>CABO DE CARREGADOR</t>
  </si>
  <si>
    <t>CLEONICE ROCHA</t>
  </si>
  <si>
    <t xml:space="preserve">ARTHUR  FERREIRA DA SILVA </t>
  </si>
  <si>
    <t>JUVENAL BORGES</t>
  </si>
  <si>
    <t>JESILINE SILVA</t>
  </si>
  <si>
    <t>MAYME SANTOS</t>
  </si>
  <si>
    <t>CRISTINA CAPELLI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</si>
</sst>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8"/>
      <name val="Arial"/>
      <family val="2"/>
    </font>
    <font>
      <sz val="11"/>
      <name val="Arial Black"/>
      <family val="2"/>
    </font>
    <font>
      <b/>
      <i/>
      <sz val="11"/>
      <name val="Calibri"/>
      <family val="2"/>
    </font>
    <font>
      <b/>
      <i/>
      <sz val="11"/>
      <name val="Calibri"/>
      <family val="2"/>
      <scheme val="minor"/>
    </font>
    <font>
      <sz val="11"/>
      <name val="Calibri"/>
    </font>
    <font>
      <sz val="11"/>
      <name val="Calibri"/>
      <scheme val="minor"/>
    </font>
    <font>
      <b/>
      <i/>
      <sz val="10"/>
      <name val="Arial"/>
      <family val="2"/>
    </font>
    <font>
      <b/>
      <i/>
      <sz val="12"/>
      <name val="Arial"/>
      <family val="2"/>
    </font>
    <font>
      <b/>
      <sz val="11"/>
      <name val="Calibri"/>
      <family val="2"/>
    </font>
    <font>
      <sz val="12"/>
      <name val="Arial"/>
    </font>
    <font>
      <sz val="22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164" fontId="0" fillId="0" borderId="17" xfId="2" applyFont="1" applyFill="1" applyBorder="1" applyAlignment="1">
      <alignment horizontal="center"/>
    </xf>
    <xf numFmtId="165" fontId="33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5" fillId="0" borderId="6" xfId="0" applyNumberFormat="1" applyFont="1" applyBorder="1" applyAlignment="1">
      <alignment horizontal="center"/>
    </xf>
    <xf numFmtId="1" fontId="35" fillId="0" borderId="17" xfId="0" applyNumberFormat="1" applyFont="1" applyBorder="1" applyAlignment="1">
      <alignment horizontal="center"/>
    </xf>
    <xf numFmtId="165" fontId="35" fillId="0" borderId="17" xfId="4" applyNumberFormat="1" applyFont="1" applyFill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36" fillId="0" borderId="3" xfId="2" applyFont="1" applyFill="1" applyBorder="1" applyAlignment="1">
      <alignment horizontal="center"/>
    </xf>
    <xf numFmtId="164" fontId="37" fillId="0" borderId="3" xfId="2" applyFont="1" applyFill="1" applyBorder="1" applyAlignment="1">
      <alignment horizontal="center"/>
    </xf>
    <xf numFmtId="165" fontId="37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44" fontId="38" fillId="0" borderId="13" xfId="39" applyFont="1" applyFill="1" applyBorder="1" applyAlignment="1">
      <alignment horizontal="center"/>
    </xf>
    <xf numFmtId="165" fontId="38" fillId="0" borderId="13" xfId="4" applyNumberFormat="1" applyFont="1" applyFill="1" applyBorder="1" applyAlignment="1">
      <alignment horizontal="center"/>
    </xf>
    <xf numFmtId="164" fontId="34" fillId="0" borderId="13" xfId="2" applyFont="1" applyFill="1" applyBorder="1" applyAlignment="1">
      <alignment horizontal="center"/>
    </xf>
    <xf numFmtId="164" fontId="35" fillId="0" borderId="13" xfId="2" applyFont="1" applyFill="1" applyBorder="1" applyAlignment="1">
      <alignment horizontal="center"/>
    </xf>
    <xf numFmtId="165" fontId="35" fillId="0" borderId="13" xfId="4" applyNumberFormat="1" applyFont="1" applyFill="1" applyBorder="1" applyAlignment="1">
      <alignment horizontal="center"/>
    </xf>
    <xf numFmtId="0" fontId="40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164" fontId="35" fillId="0" borderId="17" xfId="2" applyFont="1" applyFill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164" fontId="36" fillId="0" borderId="17" xfId="2" applyFont="1" applyFill="1" applyBorder="1" applyAlignment="1">
      <alignment horizontal="center"/>
    </xf>
    <xf numFmtId="165" fontId="37" fillId="0" borderId="17" xfId="4" applyNumberFormat="1" applyFont="1" applyFill="1" applyBorder="1" applyAlignment="1">
      <alignment horizontal="center"/>
    </xf>
    <xf numFmtId="0" fontId="41" fillId="0" borderId="3" xfId="0" applyFont="1" applyBorder="1" applyAlignment="1">
      <alignment horizontal="center"/>
    </xf>
    <xf numFmtId="164" fontId="41" fillId="0" borderId="3" xfId="2" applyFont="1" applyFill="1" applyBorder="1" applyAlignment="1">
      <alignment horizontal="center"/>
    </xf>
    <xf numFmtId="165" fontId="0" fillId="0" borderId="0" xfId="4" applyNumberFormat="1" applyFont="1" applyAlignment="1">
      <alignment horizontal="center"/>
    </xf>
    <xf numFmtId="164" fontId="0" fillId="0" borderId="0" xfId="2" applyFont="1" applyAlignment="1">
      <alignment horizontal="center"/>
    </xf>
    <xf numFmtId="1" fontId="30" fillId="0" borderId="17" xfId="0" applyNumberFormat="1" applyFont="1" applyBorder="1" applyAlignment="1">
      <alignment horizontal="center"/>
    </xf>
    <xf numFmtId="1" fontId="39" fillId="0" borderId="17" xfId="0" applyNumberFormat="1" applyFont="1" applyBorder="1" applyAlignment="1">
      <alignment horizontal="center"/>
    </xf>
    <xf numFmtId="1" fontId="30" fillId="0" borderId="3" xfId="0" applyNumberFormat="1" applyFont="1" applyBorder="1" applyAlignment="1">
      <alignment horizontal="center"/>
    </xf>
    <xf numFmtId="1" fontId="30" fillId="0" borderId="17" xfId="2" applyNumberFormat="1" applyFont="1" applyFill="1" applyBorder="1" applyAlignment="1">
      <alignment horizontal="center"/>
    </xf>
    <xf numFmtId="1" fontId="30" fillId="0" borderId="3" xfId="2" applyNumberFormat="1" applyFont="1" applyBorder="1" applyAlignment="1">
      <alignment horizontal="center"/>
    </xf>
    <xf numFmtId="1" fontId="30" fillId="0" borderId="17" xfId="2" applyNumberFormat="1" applyFont="1" applyBorder="1" applyAlignment="1">
      <alignment horizontal="center"/>
    </xf>
    <xf numFmtId="1" fontId="13" fillId="5" borderId="10" xfId="2" applyNumberFormat="1" applyFont="1" applyFill="1" applyBorder="1" applyAlignment="1">
      <alignment horizontal="center"/>
    </xf>
    <xf numFmtId="1" fontId="30" fillId="0" borderId="3" xfId="2" applyNumberFormat="1" applyFont="1" applyFill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1" fontId="24" fillId="0" borderId="3" xfId="0" applyNumberFormat="1" applyFont="1" applyBorder="1" applyAlignment="1">
      <alignment horizontal="center"/>
    </xf>
    <xf numFmtId="14" fontId="42" fillId="0" borderId="0" xfId="0" applyNumberFormat="1" applyFont="1" applyAlignment="1">
      <alignment horizontal="center"/>
    </xf>
    <xf numFmtId="0" fontId="42" fillId="0" borderId="0" xfId="0" applyFont="1"/>
    <xf numFmtId="164" fontId="37" fillId="0" borderId="13" xfId="2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0" headerRowBorderDxfId="1639" tableBorderDxfId="1638" totalsRowBorderDxfId="1637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6" dataCellStyle="Moeda"/>
    <tableColumn id="5" xr3:uid="{45BECD08-8ABE-4A34-BD78-E2D3AFB8C62A}" name="Cliente" dataDxfId="1635" dataCellStyle="Moeda"/>
    <tableColumn id="2" xr3:uid="{A0D6666C-9CF7-4343-AF6B-BDFE62F94469}" name="Forma de Pgto" dataDxfId="1634" dataCellStyle="Moeda"/>
    <tableColumn id="3" xr3:uid="{988F127F-9D83-4428-BB94-C16FBBB1BD89}" name="Valor Venda" dataDxfId="1633" dataCellStyle="Porcentagem"/>
    <tableColumn id="4" xr3:uid="{6A2928C3-17B0-4FA3-B60C-9E1A2C0324E1}" name="Entrada" dataDxfId="1632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31" dataDxfId="1629" headerRowBorderDxfId="1630" tableBorderDxfId="1628" totalsRowBorderDxfId="1627">
  <autoFilter ref="K5:M11" xr:uid="{DD403130-B35C-452C-92F9-290622D77A3D}"/>
  <tableColumns count="3">
    <tableColumn id="1" xr3:uid="{FAD87634-3375-4B41-BEC0-5B072F6B52CE}" name="Descrição" dataDxfId="1626"/>
    <tableColumn id="2" xr3:uid="{7688071E-9548-4552-8BB1-3BA5128DF645}" name="Tipo de Pagto" dataDxfId="1625"/>
    <tableColumn id="3" xr3:uid="{2B260C33-79A5-4C5D-9195-15780C53A861}" name="Valor" dataDxfId="16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3" headerRowBorderDxfId="1622" tableBorderDxfId="1621" totalsRowBorderDxfId="1620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19"/>
    <tableColumn id="2" xr3:uid="{606BE417-6802-4580-90D2-86F95EFAAEB7}" name="Cliente" dataDxfId="1618"/>
    <tableColumn id="3" xr3:uid="{2F522A54-F708-4DA3-97E3-CE7C29912E04}" name="Forma de Pgto" dataDxfId="1617" dataCellStyle="Moeda"/>
    <tableColumn id="4" xr3:uid="{7B46EE64-F7F1-4449-A783-67286A94A7C4}" name="Valor Venda" dataDxfId="1616" dataCellStyle="Porcentagem"/>
    <tableColumn id="5" xr3:uid="{389A7D1A-3C35-485E-9958-8A78EF77BE9B}" name="Entrada" dataDxfId="1615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14" headerRowBorderDxfId="1613" tableBorderDxfId="1612" totalsRowBorderDxfId="1611">
  <autoFilter ref="K14:M31" xr:uid="{F07D43AD-1A4D-4B31-96B8-824F8623E518}"/>
  <tableColumns count="3">
    <tableColumn id="1" xr3:uid="{3AF01421-A7B6-4D23-9DA8-C20FAFAFDD9C}" name="OS" dataDxfId="1610"/>
    <tableColumn id="2" xr3:uid="{55DCC30E-EB52-427E-A16A-B2C93A41F1CE}" name="Vendedor" dataDxfId="1609"/>
    <tableColumn id="3" xr3:uid="{23EDA46C-42B4-4F6C-97D9-7040D6B9797C}" name="CARNE" dataDxfId="160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07" headerRowBorderDxfId="1606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7" dataDxfId="1235" headerRowBorderDxfId="1236" tableBorderDxfId="1234" totalsRowBorderDxfId="123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2" dataDxfId="440" headerRowBorderDxfId="441" tableBorderDxfId="439" totalsRowBorderDxfId="438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18"/>
  <sheetViews>
    <sheetView workbookViewId="0">
      <selection activeCell="F18" sqref="F18"/>
    </sheetView>
  </sheetViews>
  <sheetFormatPr defaultColWidth="21.28515625" defaultRowHeight="12.75" x14ac:dyDescent="0.2"/>
  <cols>
    <col min="2" max="2" width="22.7109375" customWidth="1"/>
  </cols>
  <sheetData>
    <row r="1" spans="1:16" ht="33.75" x14ac:dyDescent="0.65">
      <c r="B1" s="100"/>
      <c r="P1" t="s">
        <v>128</v>
      </c>
    </row>
    <row r="2" spans="1:16" ht="15" x14ac:dyDescent="0.2">
      <c r="A2" s="18" t="s">
        <v>0</v>
      </c>
      <c r="B2" s="67">
        <v>0</v>
      </c>
      <c r="P2" t="s">
        <v>129</v>
      </c>
    </row>
    <row r="3" spans="1:16" ht="15" x14ac:dyDescent="0.25">
      <c r="A3" s="22" t="s">
        <v>1</v>
      </c>
      <c r="B3" s="23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4585</v>
      </c>
      <c r="P3" t="s">
        <v>130</v>
      </c>
    </row>
    <row r="4" spans="1:16" ht="15" x14ac:dyDescent="0.25">
      <c r="A4" s="22" t="s">
        <v>2</v>
      </c>
      <c r="B4" s="23">
        <f ca="1">SUM('01'!C6,'02'!C6,'03'!C6,'04'!C6,'05'!C6,'06'!C6,'07'!C6,'08'!C6,'09'!C6,'10'!C6,'11'!C6,'12'!C6,'13'!C6,'14'!C6,'15'!C6,'16'!C6,'17'!C6,'18'!C6,'19'!C6,'20'!C6,'21'!C6,'22'!C6,'23'!C6,'24'!C6,'25'!C6,'26'!C6,'27'!C6,'28'!C6,'29'!C6,'30'!C6,'31'!C6)</f>
        <v>7434</v>
      </c>
      <c r="P4" t="s">
        <v>131</v>
      </c>
    </row>
    <row r="5" spans="1:16" ht="15" x14ac:dyDescent="0.25">
      <c r="A5" s="22" t="s">
        <v>3</v>
      </c>
      <c r="B5" s="23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54.4</v>
      </c>
      <c r="P5" t="s">
        <v>132</v>
      </c>
    </row>
    <row r="6" spans="1:16" ht="15.75" x14ac:dyDescent="0.25">
      <c r="A6" s="27" t="s">
        <v>4</v>
      </c>
      <c r="B6" s="28">
        <f ca="1">SUM(B4:B5)</f>
        <v>7488.4</v>
      </c>
      <c r="C6">
        <f>C16</f>
        <v>0</v>
      </c>
      <c r="P6" t="s">
        <v>133</v>
      </c>
    </row>
    <row r="7" spans="1:16" ht="15" x14ac:dyDescent="0.25">
      <c r="A7" s="2"/>
      <c r="B7" s="2"/>
      <c r="P7" t="s">
        <v>134</v>
      </c>
    </row>
    <row r="8" spans="1:16" ht="15" x14ac:dyDescent="0.2">
      <c r="A8" s="102" t="s">
        <v>5</v>
      </c>
      <c r="B8" s="102"/>
      <c r="P8" t="s">
        <v>135</v>
      </c>
    </row>
    <row r="9" spans="1:16" ht="15" x14ac:dyDescent="0.25">
      <c r="A9" s="29" t="s">
        <v>6</v>
      </c>
      <c r="B9" s="23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785.5</v>
      </c>
      <c r="P9" t="s">
        <v>136</v>
      </c>
    </row>
    <row r="10" spans="1:16" ht="15" x14ac:dyDescent="0.25">
      <c r="A10" s="29" t="s">
        <v>7</v>
      </c>
      <c r="B10" s="23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1332.5</v>
      </c>
      <c r="P10" t="s">
        <v>137</v>
      </c>
    </row>
    <row r="11" spans="1:16" ht="15" x14ac:dyDescent="0.25">
      <c r="A11" s="29" t="s">
        <v>8</v>
      </c>
      <c r="B11" s="23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1643</v>
      </c>
      <c r="P11" t="s">
        <v>138</v>
      </c>
    </row>
    <row r="12" spans="1:16" ht="15" x14ac:dyDescent="0.25">
      <c r="A12" s="29" t="s">
        <v>9</v>
      </c>
      <c r="B12" s="23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1380</v>
      </c>
      <c r="P12" t="s">
        <v>139</v>
      </c>
    </row>
    <row r="13" spans="1:16" ht="15" x14ac:dyDescent="0.25">
      <c r="A13" s="29" t="s">
        <v>10</v>
      </c>
      <c r="B13" s="23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2293</v>
      </c>
      <c r="P13" t="s">
        <v>140</v>
      </c>
    </row>
    <row r="14" spans="1:16" ht="15.75" x14ac:dyDescent="0.25">
      <c r="A14" s="27" t="s">
        <v>11</v>
      </c>
      <c r="B14" s="68">
        <f ca="1">SUM(B9:B13)</f>
        <v>7434</v>
      </c>
    </row>
    <row r="15" spans="1:16" ht="15" x14ac:dyDescent="0.25">
      <c r="A15" s="2"/>
      <c r="B15" s="2"/>
    </row>
    <row r="16" spans="1:16" ht="15" x14ac:dyDescent="0.2">
      <c r="A16" s="102" t="s">
        <v>12</v>
      </c>
      <c r="B16" s="102"/>
    </row>
    <row r="17" spans="1:2" ht="15" x14ac:dyDescent="0.25">
      <c r="A17" s="29">
        <f>COUNT(#REF!)</f>
        <v>0</v>
      </c>
      <c r="B17" s="23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1080</v>
      </c>
    </row>
    <row r="18" spans="1:2" ht="15.75" x14ac:dyDescent="0.25">
      <c r="A18" s="27" t="s">
        <v>11</v>
      </c>
      <c r="B18" s="68">
        <f>SUM(B17:B17)</f>
        <v>1080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zoomScale="90" zoomScaleNormal="90" workbookViewId="0">
      <selection activeCell="F18" sqref="F18"/>
    </sheetView>
  </sheetViews>
  <sheetFormatPr defaultColWidth="9.140625" defaultRowHeight="12.75" x14ac:dyDescent="0.2"/>
  <cols>
    <col min="1" max="1" width="3.7109375" style="1" customWidth="1"/>
    <col min="2" max="2" width="30.5703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99">
        <v>45627</v>
      </c>
    </row>
    <row r="2" spans="2:18" ht="18.75" x14ac:dyDescent="0.2">
      <c r="B2" s="107" t="s">
        <v>127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IF(vend1[[#This Row],[Nº Venda]]&gt;1,1,0)</f>
        <v>0</v>
      </c>
    </row>
    <row r="10" spans="2:18" ht="15.75" x14ac:dyDescent="0.25">
      <c r="B10" s="102" t="s">
        <v>5</v>
      </c>
      <c r="C10" s="102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9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IF(vend1[[#This Row],[Nº Venda]]&gt;1,1,0)</f>
        <v>0</v>
      </c>
    </row>
    <row r="18" spans="2:18" ht="15.75" x14ac:dyDescent="0.25">
      <c r="B18" s="102" t="s">
        <v>12</v>
      </c>
      <c r="C18" s="102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IF(vend1[[#This Row],[Nº Venda]]&gt;1,1,0)</f>
        <v>0</v>
      </c>
    </row>
    <row r="19" spans="2:18" ht="15.75" x14ac:dyDescent="0.25">
      <c r="B19" s="29">
        <f>COUNT(entr_carn1[OS])</f>
        <v>0</v>
      </c>
      <c r="C19" s="30">
        <f>SUM(entr_carn1[Valor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89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2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topLeftCell="A3" zoomScale="90" zoomScaleNormal="90" workbookViewId="0">
      <selection activeCell="F25" sqref="F25"/>
    </sheetView>
  </sheetViews>
  <sheetFormatPr defaultColWidth="9.140625" defaultRowHeight="12.75" x14ac:dyDescent="0.2"/>
  <cols>
    <col min="1" max="1" width="3.7109375" style="1" customWidth="1"/>
    <col min="2" max="2" width="30.5703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99">
        <f>'01'!B1+1</f>
        <v>45628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1400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1572.5</v>
      </c>
      <c r="D6" s="2"/>
      <c r="E6" s="89">
        <v>6955</v>
      </c>
      <c r="F6" s="24" t="s">
        <v>142</v>
      </c>
      <c r="G6" s="43" t="s">
        <v>10</v>
      </c>
      <c r="H6" s="8">
        <v>700</v>
      </c>
      <c r="I6" s="8">
        <v>700</v>
      </c>
      <c r="J6" s="2"/>
      <c r="K6" s="24"/>
      <c r="L6" s="9"/>
      <c r="M6" s="16"/>
      <c r="R6" s="1">
        <f>IF(vend2[[#This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9">
        <v>6956</v>
      </c>
      <c r="F7" s="24" t="s">
        <v>143</v>
      </c>
      <c r="G7" s="43" t="s">
        <v>10</v>
      </c>
      <c r="H7" s="8">
        <v>700</v>
      </c>
      <c r="I7" s="8">
        <v>700</v>
      </c>
      <c r="J7" s="2"/>
      <c r="K7" s="24"/>
      <c r="L7" s="9"/>
      <c r="M7" s="16"/>
      <c r="R7" s="1">
        <f>IF(vend2[[#This Row],[Nº Venda]]&gt;1,1,0)</f>
        <v>1</v>
      </c>
    </row>
    <row r="8" spans="2:18" ht="15.75" x14ac:dyDescent="0.25">
      <c r="B8" s="27" t="s">
        <v>21</v>
      </c>
      <c r="C8" s="28">
        <f>SUM(C6:C7)</f>
        <v>1572.5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IF(vend2[[#This Row],[Nº Venda]]&gt;1,1,0)</f>
        <v>0</v>
      </c>
    </row>
    <row r="10" spans="2:18" ht="15.75" x14ac:dyDescent="0.25">
      <c r="B10" s="102" t="s">
        <v>5</v>
      </c>
      <c r="C10" s="102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172.5</v>
      </c>
      <c r="D12" s="2"/>
      <c r="E12" s="89"/>
      <c r="F12" s="24"/>
      <c r="G12" s="25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55"/>
      <c r="G13" s="81"/>
      <c r="H13" s="64"/>
      <c r="I13" s="64"/>
      <c r="J13" s="2"/>
      <c r="K13" s="104" t="s">
        <v>22</v>
      </c>
      <c r="L13" s="105"/>
      <c r="M13" s="106"/>
      <c r="R13" s="1">
        <f>IF(vend2[[#This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55"/>
      <c r="G14" s="81"/>
      <c r="H14" s="64"/>
      <c r="I14" s="64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29" t="s">
        <v>10</v>
      </c>
      <c r="C15" s="30">
        <f t="shared" si="0"/>
        <v>1400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IF(vend2[[#This Row],[Nº Venda]]&gt;1,1,0)</f>
        <v>0</v>
      </c>
    </row>
    <row r="16" spans="2:18" ht="15.75" x14ac:dyDescent="0.25">
      <c r="B16" s="27" t="s">
        <v>11</v>
      </c>
      <c r="C16" s="31">
        <f>SUM(C11:C15)</f>
        <v>1572.5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IF(vend2[[#This Row],[Nº Venda]]&gt;1,1,0)</f>
        <v>0</v>
      </c>
    </row>
    <row r="18" spans="2:18" ht="15.75" x14ac:dyDescent="0.25">
      <c r="B18" s="102" t="s">
        <v>12</v>
      </c>
      <c r="C18" s="102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IF(vend2[[#This Row],[Nº Venda]]&gt;1,1,0)</f>
        <v>0</v>
      </c>
    </row>
    <row r="19" spans="2:18" ht="15.75" x14ac:dyDescent="0.25">
      <c r="B19" s="29">
        <f>COUNT(entr_carn2[OS])</f>
        <v>0</v>
      </c>
      <c r="C19" s="30">
        <f>SUM(entr_carn2[Valor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1400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21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21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  <c r="U34" s="1" t="s">
        <v>37</v>
      </c>
    </row>
    <row r="35" spans="2:21" ht="15.75" x14ac:dyDescent="0.25">
      <c r="E35" s="89">
        <v>8769</v>
      </c>
      <c r="F35" s="24" t="s">
        <v>144</v>
      </c>
      <c r="G35" s="25" t="s">
        <v>7</v>
      </c>
      <c r="H35" s="8">
        <v>86.25</v>
      </c>
      <c r="I35" s="8" t="s">
        <v>57</v>
      </c>
      <c r="K35" s="97"/>
      <c r="L35" s="40"/>
      <c r="M35" s="16"/>
    </row>
    <row r="36" spans="2:21" ht="15.75" x14ac:dyDescent="0.25">
      <c r="E36" s="89">
        <v>8769</v>
      </c>
      <c r="F36" s="24" t="s">
        <v>144</v>
      </c>
      <c r="G36" s="25" t="s">
        <v>7</v>
      </c>
      <c r="H36" s="8">
        <v>86.25</v>
      </c>
      <c r="I36" s="8" t="s">
        <v>38</v>
      </c>
      <c r="K36" s="97"/>
      <c r="L36" s="40"/>
      <c r="M36" s="16"/>
    </row>
    <row r="37" spans="2:21" ht="15.75" x14ac:dyDescent="0.25">
      <c r="E37" s="89"/>
      <c r="F37" s="24"/>
      <c r="G37" s="25"/>
      <c r="H37" s="8"/>
      <c r="I37" s="8"/>
      <c r="K37" s="97"/>
      <c r="L37" s="40"/>
      <c r="M37" s="16"/>
    </row>
    <row r="38" spans="2:21" ht="15.75" x14ac:dyDescent="0.25">
      <c r="E38" s="89"/>
      <c r="F38" s="24"/>
      <c r="G38" s="25"/>
      <c r="H38" s="8"/>
      <c r="I38" s="8"/>
      <c r="K38" s="97"/>
      <c r="L38" s="40"/>
      <c r="M38" s="16"/>
    </row>
    <row r="39" spans="2:21" ht="15.75" x14ac:dyDescent="0.25">
      <c r="E39" s="89"/>
      <c r="F39" s="38"/>
      <c r="G39" s="25"/>
      <c r="H39" s="8"/>
      <c r="I39" s="8"/>
      <c r="K39" s="97"/>
      <c r="L39" s="40"/>
      <c r="M39" s="16"/>
    </row>
    <row r="40" spans="2:21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2</v>
      </c>
    </row>
    <row r="41" spans="2:21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16" zoomScale="90" zoomScaleNormal="90" workbookViewId="0">
      <selection activeCell="F18" sqref="F18"/>
    </sheetView>
  </sheetViews>
  <sheetFormatPr defaultColWidth="9.140625" defaultRowHeight="12.75" x14ac:dyDescent="0.2"/>
  <cols>
    <col min="1" max="1" width="3.7109375" style="1" customWidth="1"/>
    <col min="2" max="2" width="30.5703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99">
        <f>'02'!B1+1</f>
        <v>45629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990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990</v>
      </c>
      <c r="D6" s="2"/>
      <c r="E6" s="89">
        <v>6957</v>
      </c>
      <c r="F6" s="24" t="s">
        <v>145</v>
      </c>
      <c r="G6" s="43" t="s">
        <v>8</v>
      </c>
      <c r="H6" s="8">
        <v>100</v>
      </c>
      <c r="I6" s="8">
        <v>100</v>
      </c>
      <c r="J6" s="2"/>
      <c r="K6" s="24"/>
      <c r="L6" s="9"/>
      <c r="M6" s="16"/>
      <c r="R6" s="1">
        <f>IF(vend3[[#This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9">
        <v>6958</v>
      </c>
      <c r="F7" s="24" t="s">
        <v>146</v>
      </c>
      <c r="G7" s="25" t="s">
        <v>7</v>
      </c>
      <c r="H7" s="8">
        <v>100</v>
      </c>
      <c r="I7" s="8">
        <v>50</v>
      </c>
      <c r="J7" s="2"/>
      <c r="K7" s="24"/>
      <c r="L7" s="9"/>
      <c r="M7" s="16"/>
      <c r="R7" s="1">
        <f>IF(vend3[[#This Row],[Nº Venda]]&gt;1,1,0)</f>
        <v>1</v>
      </c>
    </row>
    <row r="8" spans="2:18" ht="15.75" x14ac:dyDescent="0.25">
      <c r="B8" s="27" t="s">
        <v>21</v>
      </c>
      <c r="C8" s="28">
        <f>SUM(C6:C7)</f>
        <v>990</v>
      </c>
      <c r="D8" s="2"/>
      <c r="E8" s="89">
        <v>6959</v>
      </c>
      <c r="F8" s="24" t="s">
        <v>147</v>
      </c>
      <c r="G8" s="25" t="s">
        <v>9</v>
      </c>
      <c r="H8" s="8">
        <v>790</v>
      </c>
      <c r="I8" s="8">
        <v>790</v>
      </c>
      <c r="J8" s="2"/>
      <c r="K8" s="24"/>
      <c r="L8" s="9"/>
      <c r="M8" s="16"/>
      <c r="R8" s="1">
        <f>IF(vend3[[#This Row],[Nº Venda]]&gt;1,1,0)</f>
        <v>1</v>
      </c>
    </row>
    <row r="9" spans="2:18" ht="15.75" x14ac:dyDescent="0.25">
      <c r="B9" s="2"/>
      <c r="C9" s="2"/>
      <c r="D9" s="2"/>
      <c r="E9" s="89">
        <v>6960</v>
      </c>
      <c r="F9" s="24" t="s">
        <v>147</v>
      </c>
      <c r="G9" s="25" t="s">
        <v>9</v>
      </c>
      <c r="H9" s="8">
        <v>0</v>
      </c>
      <c r="I9" s="8">
        <v>0</v>
      </c>
      <c r="J9" s="2"/>
      <c r="K9" s="24"/>
      <c r="L9" s="9"/>
      <c r="M9" s="16"/>
      <c r="R9" s="1">
        <f>IF(vend3[[#This Row],[Nº Venda]]&gt;1,1,0)</f>
        <v>1</v>
      </c>
    </row>
    <row r="10" spans="2:18" ht="15.75" x14ac:dyDescent="0.25">
      <c r="B10" s="102" t="s">
        <v>5</v>
      </c>
      <c r="C10" s="102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100</v>
      </c>
      <c r="D12" s="2"/>
      <c r="E12" s="89"/>
      <c r="F12" s="24"/>
      <c r="G12" s="25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29" t="s">
        <v>8</v>
      </c>
      <c r="C13" s="30">
        <f t="shared" si="0"/>
        <v>100</v>
      </c>
      <c r="D13" s="2"/>
      <c r="E13" s="90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IF(vend3[[#This Row],[Nº Venda]]&gt;1,1,0)</f>
        <v>0</v>
      </c>
    </row>
    <row r="14" spans="2:18" ht="15.75" x14ac:dyDescent="0.25">
      <c r="B14" s="29" t="s">
        <v>9</v>
      </c>
      <c r="C14" s="30">
        <f t="shared" si="0"/>
        <v>790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>
        <v>6957</v>
      </c>
      <c r="L15" s="9" t="s">
        <v>139</v>
      </c>
      <c r="M15" s="16" t="s">
        <v>149</v>
      </c>
      <c r="R15" s="1">
        <f>IF(vend3[[#This Row],[Nº Venda]]&gt;1,1,0)</f>
        <v>0</v>
      </c>
    </row>
    <row r="16" spans="2:18" ht="15.75" x14ac:dyDescent="0.25">
      <c r="B16" s="27" t="s">
        <v>11</v>
      </c>
      <c r="C16" s="31">
        <f>SUM(C11:C15)</f>
        <v>990</v>
      </c>
      <c r="D16" s="2"/>
      <c r="E16" s="89"/>
      <c r="F16" s="24"/>
      <c r="G16" s="25"/>
      <c r="H16" s="8"/>
      <c r="I16" s="8"/>
      <c r="J16" s="2"/>
      <c r="K16" s="97">
        <v>6958</v>
      </c>
      <c r="L16" s="9" t="s">
        <v>139</v>
      </c>
      <c r="M16" s="16" t="s">
        <v>149</v>
      </c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IF(vend3[[#This Row],[Nº Venda]]&gt;1,1,0)</f>
        <v>0</v>
      </c>
    </row>
    <row r="18" spans="2:18" ht="15.75" x14ac:dyDescent="0.25">
      <c r="B18" s="102" t="s">
        <v>12</v>
      </c>
      <c r="C18" s="102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IF(vend3[[#This Row],[Nº Venda]]&gt;1,1,0)</f>
        <v>0</v>
      </c>
    </row>
    <row r="19" spans="2:18" ht="15.75" x14ac:dyDescent="0.25">
      <c r="B19" s="29">
        <f>COUNT(entr_carn3[OS])</f>
        <v>0</v>
      </c>
      <c r="C19" s="30">
        <f>SUM(entr_carn3[Valor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990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43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>
        <v>6878</v>
      </c>
      <c r="F35" s="24" t="s">
        <v>148</v>
      </c>
      <c r="G35" s="25" t="s">
        <v>7</v>
      </c>
      <c r="H35" s="8">
        <v>50</v>
      </c>
      <c r="I35" s="8" t="s">
        <v>54</v>
      </c>
      <c r="K35" s="97"/>
      <c r="L35" s="40"/>
      <c r="M35" s="16"/>
    </row>
    <row r="36" spans="2:18" ht="15.75" x14ac:dyDescent="0.25">
      <c r="E36" s="89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4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abSelected="1" view="pageBreakPreview" zoomScale="60" zoomScaleNormal="90" workbookViewId="0">
      <selection activeCell="F35" sqref="F35"/>
    </sheetView>
  </sheetViews>
  <sheetFormatPr defaultColWidth="9.140625" defaultRowHeight="12.75" x14ac:dyDescent="0.2"/>
  <cols>
    <col min="1" max="1" width="3.7109375" style="1" customWidth="1"/>
    <col min="2" max="2" width="30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5.855468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99">
        <f>'03'!B1+1</f>
        <v>45630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790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868</v>
      </c>
      <c r="D6" s="2"/>
      <c r="E6" s="89">
        <v>6961</v>
      </c>
      <c r="F6" s="24" t="s">
        <v>151</v>
      </c>
      <c r="G6" s="43" t="s">
        <v>8</v>
      </c>
      <c r="H6" s="8">
        <v>790</v>
      </c>
      <c r="I6" s="8">
        <v>790</v>
      </c>
      <c r="J6" s="2"/>
      <c r="K6" s="24"/>
      <c r="L6" s="9"/>
      <c r="M6" s="16"/>
      <c r="R6" s="1">
        <f>IF(vend4[[#This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43"/>
      <c r="H7" s="8"/>
      <c r="I7" s="8"/>
      <c r="J7" s="2"/>
      <c r="K7" s="24"/>
      <c r="L7" s="9"/>
      <c r="M7" s="16"/>
      <c r="R7" s="1">
        <f>IF(vend4[[#This Row],[Nº Venda]]&gt;1,1,0)</f>
        <v>0</v>
      </c>
    </row>
    <row r="8" spans="2:18" ht="15.75" x14ac:dyDescent="0.25">
      <c r="B8" s="27" t="s">
        <v>21</v>
      </c>
      <c r="C8" s="28">
        <f>SUM(C6:C7)</f>
        <v>868</v>
      </c>
      <c r="D8" s="2"/>
      <c r="E8" s="89"/>
      <c r="F8" s="24"/>
      <c r="G8" s="43"/>
      <c r="H8" s="8"/>
      <c r="I8" s="8"/>
      <c r="J8" s="2"/>
      <c r="K8" s="24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43"/>
      <c r="H9" s="8"/>
      <c r="I9" s="8"/>
      <c r="J9" s="2"/>
      <c r="K9" s="24"/>
      <c r="L9" s="9"/>
      <c r="M9" s="16"/>
      <c r="R9" s="1">
        <f>IF(vend4[[#This Row],[Nº Venda]]&gt;1,1,0)</f>
        <v>0</v>
      </c>
    </row>
    <row r="10" spans="2:18" ht="15.75" x14ac:dyDescent="0.25">
      <c r="B10" s="102" t="s">
        <v>5</v>
      </c>
      <c r="C10" s="102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78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29" t="s">
        <v>8</v>
      </c>
      <c r="C13" s="30">
        <f t="shared" si="0"/>
        <v>790</v>
      </c>
      <c r="D13" s="2"/>
      <c r="E13" s="90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53"/>
      <c r="R15" s="1">
        <f>IF(vend4[[#This Row],[Nº Venda]]&gt;1,1,0)</f>
        <v>0</v>
      </c>
    </row>
    <row r="16" spans="2:18" ht="18.75" x14ac:dyDescent="0.4">
      <c r="B16" s="27" t="s">
        <v>11</v>
      </c>
      <c r="C16" s="31">
        <f>SUM(C11:C15)</f>
        <v>868</v>
      </c>
      <c r="D16" s="2"/>
      <c r="E16" s="89"/>
      <c r="F16" s="24"/>
      <c r="G16" s="25"/>
      <c r="H16" s="8"/>
      <c r="I16" s="8"/>
      <c r="J16" s="2"/>
      <c r="K16" s="97"/>
      <c r="L16" s="9"/>
      <c r="M16" s="53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53"/>
      <c r="R17" s="1">
        <f>IF(vend4[[#This Row],[Nº Venda]]&gt;1,1,0)</f>
        <v>0</v>
      </c>
    </row>
    <row r="18" spans="2:18" ht="15.75" x14ac:dyDescent="0.25">
      <c r="B18" s="102" t="s">
        <v>12</v>
      </c>
      <c r="C18" s="102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IF(vend4[[#This Row],[Nº Venda]]&gt;1,1,0)</f>
        <v>0</v>
      </c>
    </row>
    <row r="19" spans="2:18" ht="15.75" x14ac:dyDescent="0.25">
      <c r="B19" s="29">
        <f>COUNT(entr_carn4[OS])</f>
        <v>0</v>
      </c>
      <c r="C19" s="30">
        <f>SUM(entr_carn4[Valor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790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43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43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43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>
        <v>6894</v>
      </c>
      <c r="F35" s="24" t="s">
        <v>150</v>
      </c>
      <c r="G35" s="25" t="s">
        <v>6</v>
      </c>
      <c r="H35" s="8">
        <v>78</v>
      </c>
      <c r="I35" s="8" t="s">
        <v>53</v>
      </c>
      <c r="K35" s="97"/>
      <c r="L35" s="40"/>
      <c r="M35" s="16"/>
    </row>
    <row r="36" spans="2:18" ht="15.75" x14ac:dyDescent="0.25">
      <c r="E36" s="89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view="pageBreakPreview" zoomScale="60" zoomScaleNormal="8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31.5703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99">
        <f>'04'!B1+1</f>
        <v>45631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644</v>
      </c>
      <c r="D6" s="2"/>
      <c r="E6" s="89"/>
      <c r="F6" s="24"/>
      <c r="G6" s="43"/>
      <c r="H6" s="8"/>
      <c r="I6" s="8"/>
      <c r="J6" s="2"/>
      <c r="K6" s="24" t="s">
        <v>155</v>
      </c>
      <c r="L6" s="9" t="s">
        <v>10</v>
      </c>
      <c r="M6" s="16">
        <v>13</v>
      </c>
      <c r="R6" s="1">
        <f>IF(vend5[[#This Row],[Nº Venda]]&gt;1,1,0)</f>
        <v>0</v>
      </c>
    </row>
    <row r="7" spans="2:18" ht="15.75" x14ac:dyDescent="0.25">
      <c r="B7" s="22" t="s">
        <v>3</v>
      </c>
      <c r="C7" s="23">
        <f>SUM(M6:M11)</f>
        <v>39.4</v>
      </c>
      <c r="D7" s="2"/>
      <c r="E7" s="89"/>
      <c r="F7" s="24"/>
      <c r="G7" s="43"/>
      <c r="H7" s="8"/>
      <c r="I7" s="8"/>
      <c r="J7" s="2"/>
      <c r="K7" s="24" t="s">
        <v>157</v>
      </c>
      <c r="L7" s="9" t="s">
        <v>10</v>
      </c>
      <c r="M7" s="16">
        <v>26.4</v>
      </c>
      <c r="R7" s="1">
        <f>IF(vend5[[#This Row],[Nº Venda]]&gt;1,1,0)</f>
        <v>0</v>
      </c>
    </row>
    <row r="8" spans="2:18" ht="15.75" x14ac:dyDescent="0.25">
      <c r="B8" s="27" t="s">
        <v>21</v>
      </c>
      <c r="C8" s="28">
        <f>SUM(C6:C7)</f>
        <v>683.4</v>
      </c>
      <c r="D8" s="2"/>
      <c r="E8" s="89"/>
      <c r="F8" s="24"/>
      <c r="G8" s="43"/>
      <c r="H8" s="8"/>
      <c r="I8" s="8"/>
      <c r="J8" s="2"/>
      <c r="K8" s="24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43"/>
      <c r="H9" s="8"/>
      <c r="I9" s="8"/>
      <c r="J9" s="2"/>
      <c r="K9" s="24"/>
      <c r="L9" s="9"/>
      <c r="M9" s="16"/>
      <c r="R9" s="1">
        <f>IF(vend5[[#This Row],[Nº Venda]]&gt;1,1,0)</f>
        <v>0</v>
      </c>
    </row>
    <row r="10" spans="2:18" ht="15.75" x14ac:dyDescent="0.25">
      <c r="B10" s="102" t="s">
        <v>5</v>
      </c>
      <c r="C10" s="102"/>
      <c r="D10" s="2"/>
      <c r="E10" s="89"/>
      <c r="F10" s="24"/>
      <c r="G10" s="43"/>
      <c r="H10" s="8"/>
      <c r="I10" s="8"/>
      <c r="J10" s="2"/>
      <c r="K10" s="24"/>
      <c r="L10" s="9"/>
      <c r="M10" s="16"/>
      <c r="R10" s="1">
        <f>IF(vend5[[#This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100</v>
      </c>
      <c r="D11" s="2"/>
      <c r="E11" s="89"/>
      <c r="F11" s="24"/>
      <c r="G11" s="43"/>
      <c r="H11" s="8"/>
      <c r="I11" s="8"/>
      <c r="J11" s="2"/>
      <c r="K11" s="26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450</v>
      </c>
      <c r="D12" s="2"/>
      <c r="E12" s="89"/>
      <c r="F12" s="24"/>
      <c r="G12" s="25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IF(vend5[[#This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 x14ac:dyDescent="0.25">
      <c r="B15" s="29" t="s">
        <v>10</v>
      </c>
      <c r="C15" s="30">
        <f t="shared" si="0"/>
        <v>94</v>
      </c>
      <c r="D15" s="2"/>
      <c r="E15" s="89"/>
      <c r="F15" s="24"/>
      <c r="G15" s="25"/>
      <c r="H15" s="8"/>
      <c r="I15" s="8"/>
      <c r="J15" s="2"/>
      <c r="K15" s="97">
        <v>6945</v>
      </c>
      <c r="L15" s="9" t="s">
        <v>139</v>
      </c>
      <c r="M15" s="57" t="s">
        <v>156</v>
      </c>
      <c r="N15" s="16"/>
      <c r="R15" s="1">
        <f>IF(vend5[[#This Row],[Nº Venda]]&gt;1,1,0)</f>
        <v>0</v>
      </c>
    </row>
    <row r="16" spans="2:18" ht="15.75" x14ac:dyDescent="0.25">
      <c r="B16" s="27" t="s">
        <v>11</v>
      </c>
      <c r="C16" s="31">
        <f>SUM(C11:C15)</f>
        <v>644</v>
      </c>
      <c r="D16" s="2"/>
      <c r="E16" s="89"/>
      <c r="F16" s="24"/>
      <c r="G16" s="25"/>
      <c r="H16" s="8"/>
      <c r="I16" s="8"/>
      <c r="J16" s="2"/>
      <c r="K16" s="97">
        <v>6941</v>
      </c>
      <c r="L16" s="9" t="s">
        <v>139</v>
      </c>
      <c r="M16" s="56" t="s">
        <v>156</v>
      </c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IF(vend5[[#This Row],[Nº Venda]]&gt;1,1,0)</f>
        <v>0</v>
      </c>
    </row>
    <row r="18" spans="2:18" ht="15.75" x14ac:dyDescent="0.25">
      <c r="B18" s="102" t="s">
        <v>12</v>
      </c>
      <c r="C18" s="102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IF(vend5[[#This Row],[Nº Venda]]&gt;1,1,0)</f>
        <v>0</v>
      </c>
    </row>
    <row r="19" spans="2:18" ht="15.75" x14ac:dyDescent="0.25">
      <c r="B19" s="29">
        <f>COUNT(entr_carn5[OS])</f>
        <v>0</v>
      </c>
      <c r="C19" s="30">
        <f>SUM(entr_carn5[Valor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>
        <v>6945</v>
      </c>
      <c r="F26" s="24" t="s">
        <v>152</v>
      </c>
      <c r="G26" s="43" t="s">
        <v>7</v>
      </c>
      <c r="H26" s="8">
        <v>0</v>
      </c>
      <c r="I26" s="8">
        <v>450</v>
      </c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43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43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>
        <v>6637</v>
      </c>
      <c r="F35" s="24" t="s">
        <v>153</v>
      </c>
      <c r="G35" s="25" t="s">
        <v>6</v>
      </c>
      <c r="H35" s="8">
        <v>100</v>
      </c>
      <c r="I35" s="8" t="s">
        <v>51</v>
      </c>
      <c r="K35" s="97"/>
      <c r="L35" s="40"/>
      <c r="M35" s="16"/>
    </row>
    <row r="36" spans="2:18" ht="15.75" x14ac:dyDescent="0.25">
      <c r="E36" s="96">
        <v>6928</v>
      </c>
      <c r="F36" s="24" t="s">
        <v>154</v>
      </c>
      <c r="G36" s="25" t="s">
        <v>10</v>
      </c>
      <c r="H36" s="8">
        <v>94</v>
      </c>
      <c r="I36" s="8" t="s">
        <v>39</v>
      </c>
      <c r="K36" s="97"/>
      <c r="L36" s="40"/>
      <c r="M36" s="16"/>
    </row>
    <row r="37" spans="2:18" ht="15.75" x14ac:dyDescent="0.25">
      <c r="E37" s="89"/>
      <c r="F37" s="78"/>
      <c r="G37" s="79"/>
      <c r="H37" s="80"/>
      <c r="I37" s="80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2"/>
  <sheetViews>
    <sheetView showGridLines="0" topLeftCell="A25" zoomScale="90" zoomScaleNormal="90" workbookViewId="0">
      <selection activeCell="F18" sqref="F18"/>
    </sheetView>
  </sheetViews>
  <sheetFormatPr defaultColWidth="9.140625" defaultRowHeight="12.75" x14ac:dyDescent="0.2"/>
  <cols>
    <col min="1" max="1" width="3.7109375" style="1" customWidth="1"/>
    <col min="2" max="2" width="30.5703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99">
        <f>'05'!B1+1</f>
        <v>45632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590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IF(vend[[#This Row],[Nº Venda]]&gt;1,1,0)</f>
        <v>0</v>
      </c>
    </row>
    <row r="8" spans="2:18" ht="15.75" x14ac:dyDescent="0.25">
      <c r="B8" s="27" t="s">
        <v>21</v>
      </c>
      <c r="C8" s="28">
        <f>SUM(C6:C7)</f>
        <v>590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IF(vend[[#This Row],[Nº Venda]]&gt;1,1,0)</f>
        <v>0</v>
      </c>
    </row>
    <row r="10" spans="2:18" ht="15.75" x14ac:dyDescent="0.25">
      <c r="B10" s="102" t="s">
        <v>5</v>
      </c>
      <c r="C10" s="102"/>
      <c r="D10" s="2"/>
      <c r="E10" s="89"/>
      <c r="F10" s="52"/>
      <c r="G10" s="25"/>
      <c r="H10" s="8"/>
      <c r="I10" s="8"/>
      <c r="J10" s="2"/>
      <c r="K10" s="24"/>
      <c r="L10" s="9"/>
      <c r="M10" s="16"/>
      <c r="R10" s="1">
        <f>IF(vend[[#This Row],[Nº Venda]]&gt;1,1,0)</f>
        <v>0</v>
      </c>
    </row>
    <row r="11" spans="2:18" ht="15.75" x14ac:dyDescent="0.25">
      <c r="B11" s="29" t="s">
        <v>6</v>
      </c>
      <c r="C11" s="72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29" t="s">
        <v>7</v>
      </c>
      <c r="C12" s="72">
        <f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29" t="s">
        <v>8</v>
      </c>
      <c r="C13" s="72">
        <f>(SUMIF($G$2:$G$31,B13,$I$2:$I$31))+(SUMIF($G$35:$G$41,B13,$H$35:$H$41))</f>
        <v>0</v>
      </c>
      <c r="D13" s="2"/>
      <c r="E13" s="90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IF(vend[[#This Row],[Nº Venda]]&gt;1,1,0)</f>
        <v>0</v>
      </c>
    </row>
    <row r="14" spans="2:18" ht="15.75" x14ac:dyDescent="0.25">
      <c r="B14" s="29" t="s">
        <v>9</v>
      </c>
      <c r="C14" s="72">
        <f>(SUMIF($G$2:$G$31,B14,$I$2:$I$31))+(SUMIF($G$35:$G$41,B14,$H$35:$H$41))</f>
        <v>590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29" t="s">
        <v>10</v>
      </c>
      <c r="C15" s="72">
        <f>(SUMIF($G$2:$G$31,B15,$I$2:$I$31))+(SUMIF($G$35:$G$41,B15,$H$35:$H$41))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IF(vend[[#This Row],[Nº Venda]]&gt;1,1,0)</f>
        <v>0</v>
      </c>
    </row>
    <row r="16" spans="2:18" ht="15.75" x14ac:dyDescent="0.25">
      <c r="B16" s="27" t="s">
        <v>11</v>
      </c>
      <c r="C16" s="31">
        <f>SUM(C11:C15)</f>
        <v>590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IF(vend[[#This Row],[Nº Venda]]&gt;1,1,0)</f>
        <v>0</v>
      </c>
    </row>
    <row r="18" spans="2:18" ht="15.75" x14ac:dyDescent="0.25">
      <c r="B18" s="102" t="s">
        <v>12</v>
      </c>
      <c r="C18" s="102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IF(vend[[#This Row],[Nº Venda]]&gt;1,1,0)</f>
        <v>0</v>
      </c>
    </row>
    <row r="19" spans="2:18" ht="15.75" x14ac:dyDescent="0.25">
      <c r="B19" s="29">
        <f>COUNT(entr_carn6[OS])</f>
        <v>0</v>
      </c>
      <c r="C19" s="30">
        <f>SUM(entr_carn6[Valor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>
        <v>6950</v>
      </c>
      <c r="F26" s="24" t="s">
        <v>158</v>
      </c>
      <c r="G26" s="25" t="s">
        <v>9</v>
      </c>
      <c r="H26" s="8"/>
      <c r="I26" s="8">
        <v>590</v>
      </c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4"/>
      <c r="F41" s="38"/>
      <c r="G41" s="25"/>
      <c r="H41" s="8"/>
      <c r="I41" s="8"/>
      <c r="K41" s="97"/>
      <c r="L41" s="40"/>
      <c r="M41" s="39"/>
    </row>
    <row r="42" spans="2:18" x14ac:dyDescent="0.2">
      <c r="F42" s="88"/>
      <c r="G42" s="88"/>
      <c r="H42" s="87"/>
      <c r="I42" s="8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topLeftCell="A23" zoomScale="90" zoomScaleNormal="90" workbookViewId="0">
      <selection activeCell="F18" sqref="F18"/>
    </sheetView>
  </sheetViews>
  <sheetFormatPr defaultColWidth="9.140625" defaultRowHeight="12.75" x14ac:dyDescent="0.2"/>
  <cols>
    <col min="1" max="1" width="3.7109375" style="1" customWidth="1"/>
    <col min="2" max="2" width="30.5703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3.75" x14ac:dyDescent="0.65">
      <c r="B1" s="99">
        <f>'06'!B1+1</f>
        <v>45633</v>
      </c>
    </row>
    <row r="2" spans="2:21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  <c r="U4" s="1">
        <v>0</v>
      </c>
    </row>
    <row r="5" spans="2:21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2" t="s">
        <v>2</v>
      </c>
      <c r="C6" s="23">
        <f>C16</f>
        <v>0</v>
      </c>
      <c r="D6" s="2"/>
      <c r="E6" s="89"/>
      <c r="F6" s="73"/>
      <c r="G6" s="73"/>
      <c r="H6" s="74"/>
      <c r="I6" s="74"/>
      <c r="J6" s="2"/>
      <c r="K6" s="24"/>
      <c r="L6" s="9"/>
      <c r="M6" s="16"/>
      <c r="R6" s="1">
        <f>IF(vend7[[#This Row],[Nº Venda]]&gt;1,1,0)</f>
        <v>0</v>
      </c>
    </row>
    <row r="7" spans="2:21" ht="15.75" x14ac:dyDescent="0.25">
      <c r="B7" s="22" t="s">
        <v>3</v>
      </c>
      <c r="C7" s="23">
        <f>SUM(M6:M11)</f>
        <v>0</v>
      </c>
      <c r="D7" s="2"/>
      <c r="E7" s="89"/>
      <c r="F7" s="45"/>
      <c r="G7" s="45"/>
      <c r="H7" s="44"/>
      <c r="I7" s="44"/>
      <c r="J7" s="2"/>
      <c r="K7" s="24"/>
      <c r="L7" s="9"/>
      <c r="M7" s="16"/>
      <c r="R7" s="1">
        <f>IF(vend7[[#This Row],[Nº Venda]]&gt;1,1,0)</f>
        <v>0</v>
      </c>
    </row>
    <row r="8" spans="2:21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IF(vend7[[#This Row],[Nº Venda]]&gt;1,1,0)</f>
        <v>0</v>
      </c>
    </row>
    <row r="9" spans="2:21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IF(vend7[[#This Row],[Nº Venda]]&gt;1,1,0)</f>
        <v>0</v>
      </c>
    </row>
    <row r="10" spans="2:21" ht="15.75" x14ac:dyDescent="0.25">
      <c r="B10" s="102" t="s">
        <v>5</v>
      </c>
      <c r="C10" s="102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IF(vend7[[#This Row],[Nº Venda]]&gt;1,1,0)</f>
        <v>0</v>
      </c>
    </row>
    <row r="11" spans="2:21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IF(vend7[[#This Row],[Nº Venda]]&gt;1,1,0)</f>
        <v>0</v>
      </c>
    </row>
    <row r="12" spans="2:21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IF(vend7[[#This Row],[Nº Venda]]&gt;1,1,0)</f>
        <v>0</v>
      </c>
    </row>
    <row r="14" spans="2:21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21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46"/>
      <c r="R15" s="1">
        <f>IF(vend7[[#This Row],[Nº Venda]]&gt;1,1,0)</f>
        <v>0</v>
      </c>
    </row>
    <row r="16" spans="2:21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IF(vend7[[#This Row],[Nº Venda]]&gt;1,1,0)</f>
        <v>0</v>
      </c>
    </row>
    <row r="18" spans="2:18" ht="15.75" x14ac:dyDescent="0.25">
      <c r="B18" s="102" t="s">
        <v>12</v>
      </c>
      <c r="C18" s="102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IF(vend7[[#This Row],[Nº Venda]]&gt;1,1,0)</f>
        <v>0</v>
      </c>
    </row>
    <row r="19" spans="2:18" ht="15.75" x14ac:dyDescent="0.25">
      <c r="B19" s="29">
        <f>COUNT(entr_carn7[OS])</f>
        <v>0</v>
      </c>
      <c r="C19" s="30">
        <f>SUM(entr_carn7[Valor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54"/>
      <c r="G26" s="65"/>
      <c r="H26" s="66"/>
      <c r="I26" s="66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topLeftCell="A22" zoomScale="90" zoomScaleNormal="90" workbookViewId="0">
      <selection activeCell="F18" sqref="F18"/>
    </sheetView>
  </sheetViews>
  <sheetFormatPr defaultColWidth="9.140625" defaultRowHeight="12.75" x14ac:dyDescent="0.2"/>
  <cols>
    <col min="1" max="1" width="3.7109375" style="1" customWidth="1"/>
    <col min="2" max="2" width="30.5703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0.71093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99">
        <f>'07'!B1+1</f>
        <v>45634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8"/>
      <c r="G6" s="8"/>
      <c r="H6" s="8"/>
      <c r="I6" s="8"/>
      <c r="J6" s="2"/>
      <c r="K6" s="24"/>
      <c r="L6" s="9"/>
      <c r="M6" s="16"/>
      <c r="R6" s="1">
        <f>IF(vend8[[#This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8"/>
      <c r="G7" s="8"/>
      <c r="H7" s="8"/>
      <c r="I7" s="8"/>
      <c r="J7" s="2"/>
      <c r="K7" s="24"/>
      <c r="L7" s="9"/>
      <c r="M7" s="16"/>
      <c r="R7" s="1">
        <f>IF(vend8[[#This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8"/>
      <c r="G8" s="8"/>
      <c r="H8" s="8"/>
      <c r="I8" s="8"/>
      <c r="J8" s="2"/>
      <c r="K8" s="24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89"/>
      <c r="F9" s="8"/>
      <c r="G9" s="8"/>
      <c r="H9" s="8"/>
      <c r="I9" s="8"/>
      <c r="J9" s="2"/>
      <c r="K9" s="24"/>
      <c r="L9" s="9"/>
      <c r="M9" s="16"/>
      <c r="R9" s="1">
        <f>IF(vend8[[#This Row],[Nº Venda]]&gt;1,1,0)</f>
        <v>0</v>
      </c>
    </row>
    <row r="10" spans="2:18" ht="15.75" x14ac:dyDescent="0.25">
      <c r="B10" s="102" t="s">
        <v>5</v>
      </c>
      <c r="C10" s="102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IF(vend8[[#This Row],[Nº Venda]]&gt;1,1,0)</f>
        <v>0</v>
      </c>
    </row>
    <row r="11" spans="2:18" ht="15.75" x14ac:dyDescent="0.25">
      <c r="B11" s="29" t="s">
        <v>6</v>
      </c>
      <c r="C11" s="72">
        <f>(SUMIF($G$2:$G$31,B11,$I$2:$I$31))+(SUMIF($G$35:$G$42,B11,$H$35:$H$42))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IF(vend8[[#This Row],[Nº Venda]]&gt;1,1,0)</f>
        <v>0</v>
      </c>
    </row>
    <row r="12" spans="2:18" ht="15.75" x14ac:dyDescent="0.25">
      <c r="B12" s="29" t="s">
        <v>7</v>
      </c>
      <c r="C12" s="72">
        <f>(SUMIF($G$2:$G$31,B12,$I$2:$I$31))+(SUMIF($G$35:$G$42,B12,$H$35:$H$42))</f>
        <v>0</v>
      </c>
      <c r="D12" s="2"/>
      <c r="E12" s="89"/>
      <c r="F12" s="24"/>
      <c r="G12" s="25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29" t="s">
        <v>8</v>
      </c>
      <c r="C13" s="72">
        <f>(SUMIF($G$2:$G$31,B13,$I$2:$I$31))+(SUMIF($G$35:$G$42,B13,$H$35:$H$42))</f>
        <v>0</v>
      </c>
      <c r="D13" s="2"/>
      <c r="E13" s="90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IF(vend8[[#This Row],[Nº Venda]]&gt;1,1,0)</f>
        <v>0</v>
      </c>
    </row>
    <row r="14" spans="2:18" ht="15.75" x14ac:dyDescent="0.25">
      <c r="B14" s="29" t="s">
        <v>9</v>
      </c>
      <c r="C14" s="72">
        <f>(SUMIF($G$2:$G$31,B14,$I$2:$I$31))+(SUMIF($G$35:$G$42,B14,$H$35:$H$42))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29" t="s">
        <v>10</v>
      </c>
      <c r="C15" s="72">
        <f>(SUMIF($G$2:$G$31,B15,$I$2:$I$31))+(SUMIF($G$35:$G$42,B15,$H$35:$H$42))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IF(vend8[[#This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IF(vend8[[#This Row],[Nº Venda]]&gt;1,1,0)</f>
        <v>0</v>
      </c>
    </row>
    <row r="18" spans="2:18" ht="15.75" x14ac:dyDescent="0.25">
      <c r="B18" s="102" t="s">
        <v>12</v>
      </c>
      <c r="C18" s="102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IF(vend8[[#This Row],[Nº Venda]]&gt;1,1,0)</f>
        <v>0</v>
      </c>
    </row>
    <row r="19" spans="2:18" ht="15.75" x14ac:dyDescent="0.25">
      <c r="B19" s="29">
        <f>COUNT(entr_carn8[OS])</f>
        <v>0</v>
      </c>
      <c r="C19" s="30">
        <f>SUM(entr_carn8[Valor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75"/>
      <c r="G26" s="76"/>
      <c r="H26" s="77"/>
      <c r="I26" s="77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43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43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43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24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4"/>
      <c r="F41" s="38"/>
      <c r="G41" s="25"/>
      <c r="H41" s="8"/>
      <c r="I41" s="8"/>
      <c r="K41" s="97"/>
      <c r="L41" s="40"/>
      <c r="M41" s="39"/>
    </row>
    <row r="42" spans="2:18" ht="15.75" x14ac:dyDescent="0.25">
      <c r="E42" s="34"/>
      <c r="F42" s="69"/>
      <c r="G42" s="70"/>
      <c r="H42" s="71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topLeftCell="A22" zoomScale="90" zoomScaleNormal="90" workbookViewId="0">
      <selection activeCell="F18" sqref="F18"/>
    </sheetView>
  </sheetViews>
  <sheetFormatPr defaultColWidth="9.140625" defaultRowHeight="12.75" x14ac:dyDescent="0.2"/>
  <cols>
    <col min="1" max="1" width="3.7109375" style="1" customWidth="1"/>
    <col min="2" max="2" width="30.5703125" style="1" bestFit="1" customWidth="1"/>
    <col min="3" max="3" width="15.28515625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33.75" x14ac:dyDescent="0.65">
      <c r="B1" s="99">
        <f>'08'!B1+1</f>
        <v>45635</v>
      </c>
    </row>
    <row r="2" spans="2:22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22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2" t="s">
        <v>2</v>
      </c>
      <c r="C6" s="23">
        <f>C16</f>
        <v>0</v>
      </c>
      <c r="D6" s="2"/>
      <c r="E6" s="89"/>
      <c r="F6" s="24"/>
      <c r="G6" s="43"/>
      <c r="H6" s="8"/>
      <c r="I6" s="8"/>
      <c r="J6" s="2"/>
      <c r="K6" s="24"/>
      <c r="L6" s="9"/>
      <c r="M6" s="16"/>
      <c r="R6" s="1">
        <f>IF(vend9[[#This Row],[Nº Venda]]&gt;1,1,0)</f>
        <v>0</v>
      </c>
    </row>
    <row r="7" spans="2:22" ht="15.75" x14ac:dyDescent="0.25">
      <c r="B7" s="22" t="s">
        <v>3</v>
      </c>
      <c r="C7" s="23">
        <f>SUM(M6:M11)</f>
        <v>0</v>
      </c>
      <c r="D7" s="2"/>
      <c r="E7" s="89"/>
      <c r="F7" s="24"/>
      <c r="G7" s="43"/>
      <c r="H7" s="8"/>
      <c r="I7" s="8"/>
      <c r="J7" s="2"/>
      <c r="K7" s="24"/>
      <c r="L7" s="9"/>
      <c r="M7" s="16"/>
      <c r="R7" s="1">
        <f>IF(vend9[[#This Row],[Nº Venda]]&gt;1,1,0)</f>
        <v>0</v>
      </c>
    </row>
    <row r="8" spans="2:22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IF(vend9[[#This Row],[Nº Venda]]&gt;1,1,0)</f>
        <v>0</v>
      </c>
    </row>
    <row r="10" spans="2:22" ht="15.75" x14ac:dyDescent="0.25">
      <c r="B10" s="102" t="s">
        <v>5</v>
      </c>
      <c r="C10" s="102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IF(vend9[[#This Row],[Nº Venda]]&gt;1,1,0)</f>
        <v>0</v>
      </c>
    </row>
    <row r="11" spans="2:22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IF(vend9[[#This Row],[Nº Venda]]&gt;1,1,0)</f>
        <v>0</v>
      </c>
    </row>
    <row r="12" spans="2:22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IF(vend9[[#This Row],[Nº Venda]]&gt;1,1,0)</f>
        <v>0</v>
      </c>
    </row>
    <row r="14" spans="2:22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22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IF(vend9[[#This Row],[Nº Venda]]&gt;1,1,0)</f>
        <v>0</v>
      </c>
    </row>
    <row r="16" spans="2:22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IF(vend9[[#This Row],[Nº Venda]]&gt;1,1,0)</f>
        <v>0</v>
      </c>
    </row>
    <row r="18" spans="2:18" ht="15.75" x14ac:dyDescent="0.25">
      <c r="B18" s="102" t="s">
        <v>12</v>
      </c>
      <c r="C18" s="102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IF(vend9[[#This Row],[Nº Venda]]&gt;1,1,0)</f>
        <v>0</v>
      </c>
    </row>
    <row r="19" spans="2:18" ht="15.75" x14ac:dyDescent="0.25">
      <c r="B19" s="29">
        <f>COUNT(entr_carn9[OS])</f>
        <v>0</v>
      </c>
      <c r="C19" s="30">
        <f>SUM(entr_carn9[Valor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4"/>
      <c r="G20" s="25"/>
      <c r="H20" s="8"/>
      <c r="I20" s="8"/>
      <c r="J20" s="2"/>
      <c r="K20" s="97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43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view="pageBreakPreview" topLeftCell="A7" zoomScale="60" zoomScaleNormal="90" workbookViewId="0">
      <selection activeCell="F31" sqref="F31"/>
    </sheetView>
  </sheetViews>
  <sheetFormatPr defaultColWidth="9.140625" defaultRowHeight="12.75" x14ac:dyDescent="0.2"/>
  <cols>
    <col min="1" max="1" width="3.7109375" style="1" customWidth="1"/>
    <col min="2" max="2" width="30.5703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99">
        <f>'09'!B1+1</f>
        <v>45636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SUMIF(I6:I32,"&gt;0",H6:H32)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99</v>
      </c>
      <c r="D6" s="2"/>
      <c r="E6" s="89"/>
      <c r="F6" s="24"/>
      <c r="G6" s="43"/>
      <c r="H6" s="8"/>
      <c r="I6" s="8"/>
      <c r="J6" s="2"/>
      <c r="K6" s="24"/>
      <c r="L6" s="9"/>
      <c r="M6" s="16"/>
      <c r="R6" s="1">
        <f>IF(vend10[[#This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43"/>
      <c r="H7" s="8"/>
      <c r="I7" s="8"/>
      <c r="J7" s="2"/>
      <c r="K7" s="24"/>
      <c r="L7" s="9"/>
      <c r="M7" s="16"/>
      <c r="R7" s="1">
        <f>IF(vend10[[#This Row],[Nº Venda]]&gt;1,1,0)</f>
        <v>0</v>
      </c>
    </row>
    <row r="8" spans="2:18" ht="15.75" x14ac:dyDescent="0.25">
      <c r="B8" s="27" t="s">
        <v>21</v>
      </c>
      <c r="C8" s="28">
        <f>SUM(C6:C7)</f>
        <v>99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IF(vend10[[#This Row],[Nº Venda]]&gt;1,1,0)</f>
        <v>0</v>
      </c>
    </row>
    <row r="10" spans="2:18" ht="15.75" x14ac:dyDescent="0.25">
      <c r="B10" s="102" t="s">
        <v>5</v>
      </c>
      <c r="C10" s="102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IF(vend10[[#This Row],[Nº Venda]]&gt;1,1,0)</f>
        <v>0</v>
      </c>
    </row>
    <row r="11" spans="2:18" ht="15.75" x14ac:dyDescent="0.25">
      <c r="B11" s="29" t="s">
        <v>6</v>
      </c>
      <c r="C11" s="30">
        <f>(SUMIF($G$2:$G$32,B11,$I$2:$I$32))+(SUMIF($G$36:$G$42,B11,$H$36:$H$42))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29" t="s">
        <v>7</v>
      </c>
      <c r="C12" s="30">
        <f>(SUMIF($G$2:$G$32,B12,$I$2:$I$32))+(SUMIF($G$36:$G$42,B12,$H$36:$H$42))</f>
        <v>99</v>
      </c>
      <c r="D12" s="2"/>
      <c r="E12" s="89"/>
      <c r="F12" s="24"/>
      <c r="G12" s="25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29" t="s">
        <v>8</v>
      </c>
      <c r="C13" s="30">
        <f>(SUMIF($G$2:$G$32,B13,$I$2:$I$32))+(SUMIF($G$36:$G$42,B13,$H$36:$H$42))</f>
        <v>0</v>
      </c>
      <c r="D13" s="2"/>
      <c r="E13" s="90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IF(vend10[[#This Row],[Nº Venda]]&gt;1,1,0)</f>
        <v>0</v>
      </c>
    </row>
    <row r="14" spans="2:18" ht="15.75" x14ac:dyDescent="0.25">
      <c r="B14" s="29" t="s">
        <v>9</v>
      </c>
      <c r="C14" s="30">
        <f>(SUMIF($G$2:$G$32,B14,$I$2:$I$32))+(SUMIF($G$36:$G$42,B14,$H$36:$H$42))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29" t="s">
        <v>10</v>
      </c>
      <c r="C15" s="30">
        <f>(SUMIF($G$2:$G$32,B15,$I$2:$I$32))+(SUMIF($G$36:$G$42,B15,$H$36:$H$42))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IF(vend10[[#This Row],[Nº Venda]]&gt;1,1,0)</f>
        <v>0</v>
      </c>
    </row>
    <row r="16" spans="2:18" ht="15.75" x14ac:dyDescent="0.25">
      <c r="B16" s="27" t="s">
        <v>11</v>
      </c>
      <c r="C16" s="31">
        <f>SUM(C11:C15)</f>
        <v>99</v>
      </c>
      <c r="D16" s="2"/>
      <c r="E16" s="89"/>
      <c r="F16" s="24"/>
      <c r="G16" s="25"/>
      <c r="H16" s="8"/>
      <c r="I16" s="8"/>
      <c r="J16" s="2"/>
      <c r="K16" s="97"/>
      <c r="L16" s="9"/>
      <c r="M16" s="56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IF(vend10[[#This Row],[Nº Venda]]&gt;1,1,0)</f>
        <v>0</v>
      </c>
    </row>
    <row r="18" spans="2:18" ht="15.75" x14ac:dyDescent="0.25">
      <c r="B18" s="102" t="s">
        <v>12</v>
      </c>
      <c r="C18" s="102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IF(vend10[[#This Row],[Nº Venda]]&gt;1,1,0)</f>
        <v>0</v>
      </c>
    </row>
    <row r="19" spans="2:18" ht="15.75" x14ac:dyDescent="0.25">
      <c r="B19" s="29">
        <f>COUNT(entr_carn10[OS])</f>
        <v>0</v>
      </c>
      <c r="C19" s="30">
        <f>SUM(entr_carn10[Valor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43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43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43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.75" x14ac:dyDescent="0.25">
      <c r="B32" s="2"/>
      <c r="C32" s="2"/>
      <c r="E32" s="34"/>
      <c r="F32" s="38"/>
      <c r="G32" s="25"/>
      <c r="H32" s="8"/>
      <c r="I32" s="8"/>
    </row>
    <row r="33" spans="2:18" ht="15" x14ac:dyDescent="0.25">
      <c r="B33" s="2"/>
      <c r="C33" s="2"/>
      <c r="E33" s="32"/>
      <c r="K33" s="104" t="s">
        <v>12</v>
      </c>
      <c r="L33" s="105"/>
      <c r="M33" s="106"/>
    </row>
    <row r="34" spans="2:18" ht="15" x14ac:dyDescent="0.25">
      <c r="E34" s="103" t="s">
        <v>28</v>
      </c>
      <c r="F34" s="103"/>
      <c r="G34" s="103"/>
      <c r="H34" s="103"/>
      <c r="I34" s="103"/>
      <c r="K34" s="14" t="s">
        <v>23</v>
      </c>
      <c r="L34" s="6" t="s">
        <v>31</v>
      </c>
      <c r="M34" s="15" t="s">
        <v>32</v>
      </c>
    </row>
    <row r="35" spans="2:18" ht="15" x14ac:dyDescent="0.25">
      <c r="E35" s="95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97"/>
      <c r="L35" s="40"/>
      <c r="M35" s="16"/>
    </row>
    <row r="36" spans="2:18" ht="15.75" x14ac:dyDescent="0.25">
      <c r="E36" s="89">
        <v>6721</v>
      </c>
      <c r="F36" s="24" t="s">
        <v>159</v>
      </c>
      <c r="G36" s="25" t="s">
        <v>7</v>
      </c>
      <c r="H36" s="8">
        <v>99</v>
      </c>
      <c r="I36" s="8" t="s">
        <v>99</v>
      </c>
      <c r="K36" s="97"/>
      <c r="L36" s="40"/>
      <c r="M36" s="16"/>
    </row>
    <row r="37" spans="2:18" ht="15.75" x14ac:dyDescent="0.25">
      <c r="E37" s="93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24"/>
      <c r="G39" s="25"/>
      <c r="H39" s="8"/>
      <c r="I39" s="8"/>
      <c r="K39" s="97"/>
      <c r="L39" s="40"/>
      <c r="M39" s="16"/>
    </row>
    <row r="40" spans="2:18" ht="15.75" x14ac:dyDescent="0.25">
      <c r="E40" s="89"/>
      <c r="F40" s="38"/>
      <c r="G40" s="25"/>
      <c r="H40" s="8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1"/>
      <c r="F41" s="35"/>
      <c r="G41" s="36"/>
      <c r="H41" s="17"/>
      <c r="I41" s="8"/>
      <c r="K41" s="97"/>
      <c r="L41" s="40"/>
      <c r="M41" s="39"/>
    </row>
    <row r="42" spans="2:18" ht="15.75" x14ac:dyDescent="0.25">
      <c r="E42" s="42"/>
      <c r="F42" s="38"/>
      <c r="G42" s="25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topLeftCell="A20" zoomScale="90" zoomScaleNormal="9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30.5703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99">
        <f>'10'!B1+1</f>
        <v>45637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87.5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IF(vend11[[#This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IF(vend11[[#This Row],[Nº Venda]]&gt;1,1,0)</f>
        <v>0</v>
      </c>
    </row>
    <row r="8" spans="2:18" ht="15.75" x14ac:dyDescent="0.25">
      <c r="B8" s="27" t="s">
        <v>21</v>
      </c>
      <c r="C8" s="28">
        <f>SUM(C6:C7)</f>
        <v>87.5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IF(vend11[[#This Row],[Nº Venda]]&gt;1,1,0)</f>
        <v>0</v>
      </c>
    </row>
    <row r="10" spans="2:18" ht="15.75" x14ac:dyDescent="0.25">
      <c r="B10" s="102" t="s">
        <v>5</v>
      </c>
      <c r="C10" s="102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87.5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>
        <v>6954</v>
      </c>
      <c r="L15" s="9" t="s">
        <v>139</v>
      </c>
      <c r="M15" s="16" t="s">
        <v>149</v>
      </c>
      <c r="R15" s="1">
        <f>IF(vend11[[#This Row],[Nº Venda]]&gt;1,1,0)</f>
        <v>0</v>
      </c>
    </row>
    <row r="16" spans="2:18" ht="15.75" x14ac:dyDescent="0.25">
      <c r="B16" s="27" t="s">
        <v>11</v>
      </c>
      <c r="C16" s="31">
        <f>SUM(C11:C15)</f>
        <v>87.5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IF(vend11[[#This Row],[Nº Venda]]&gt;1,1,0)</f>
        <v>0</v>
      </c>
    </row>
    <row r="18" spans="2:18" ht="15.75" x14ac:dyDescent="0.25">
      <c r="B18" s="102" t="s">
        <v>12</v>
      </c>
      <c r="C18" s="102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IF(vend11[[#This Row],[Nº Venda]]&gt;1,1,0)</f>
        <v>0</v>
      </c>
    </row>
    <row r="19" spans="2:18" ht="15.75" x14ac:dyDescent="0.25">
      <c r="B19" s="29">
        <f>COUNT(entr_carn11[OS])</f>
        <v>0</v>
      </c>
      <c r="C19" s="30">
        <f>SUM(entr_carn11[Valor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43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>
        <v>6794</v>
      </c>
      <c r="F35" s="24" t="s">
        <v>160</v>
      </c>
      <c r="G35" s="25" t="s">
        <v>6</v>
      </c>
      <c r="H35" s="8">
        <v>87.5</v>
      </c>
      <c r="I35" s="8" t="s">
        <v>38</v>
      </c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opLeftCell="A21" zoomScale="90" zoomScaleNormal="90" workbookViewId="0">
      <selection activeCell="F18" sqref="F18"/>
    </sheetView>
  </sheetViews>
  <sheetFormatPr defaultColWidth="9.140625" defaultRowHeight="12.75" x14ac:dyDescent="0.2"/>
  <cols>
    <col min="1" max="1" width="3.7109375" style="1" customWidth="1"/>
    <col min="2" max="2" width="30.5703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99">
        <f>'11'!B1+1</f>
        <v>45638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47"/>
      <c r="G6" s="47"/>
      <c r="H6" s="48"/>
      <c r="I6" s="48"/>
      <c r="J6" s="2"/>
      <c r="K6" s="24"/>
      <c r="L6" s="9"/>
      <c r="M6" s="16"/>
      <c r="R6" s="1">
        <f>IF(vend12[[#This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49"/>
      <c r="G7" s="49"/>
      <c r="H7" s="50"/>
      <c r="I7" s="50"/>
      <c r="J7" s="2"/>
      <c r="K7" s="24"/>
      <c r="L7" s="9"/>
      <c r="M7" s="16"/>
      <c r="R7" s="1">
        <f>IF(vend12[[#This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49"/>
      <c r="G8" s="49"/>
      <c r="H8" s="50"/>
      <c r="I8" s="50"/>
      <c r="J8" s="2"/>
      <c r="K8" s="24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IF(vend12[[#This Row],[Nº Venda]]&gt;1,1,0)</f>
        <v>0</v>
      </c>
    </row>
    <row r="10" spans="2:18" ht="15.75" x14ac:dyDescent="0.25">
      <c r="B10" s="102" t="s">
        <v>5</v>
      </c>
      <c r="C10" s="102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IF(vend12[[#This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IF(vend12[[#This Row],[Nº Venda]]&gt;1,1,0)</f>
        <v>0</v>
      </c>
    </row>
    <row r="18" spans="2:18" ht="15.75" x14ac:dyDescent="0.25">
      <c r="B18" s="102" t="s">
        <v>12</v>
      </c>
      <c r="C18" s="102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IF(vend12[[#This Row],[Nº Venda]]&gt;1,1,0)</f>
        <v>0</v>
      </c>
    </row>
    <row r="19" spans="2:18" ht="15.75" x14ac:dyDescent="0.25">
      <c r="B19" s="29">
        <f>COUNT(entr_carn12[OS])</f>
        <v>0</v>
      </c>
      <c r="C19" s="30">
        <f>SUM(entr_carn12[Valor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51"/>
      <c r="G26" s="43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view="pageBreakPreview" topLeftCell="A17" zoomScale="60" zoomScaleNormal="90" workbookViewId="0">
      <selection activeCell="G26" sqref="G26"/>
    </sheetView>
  </sheetViews>
  <sheetFormatPr defaultColWidth="9.140625" defaultRowHeight="12.75" x14ac:dyDescent="0.2"/>
  <cols>
    <col min="1" max="1" width="3.7109375" style="1" customWidth="1"/>
    <col min="2" max="2" width="30.5703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99">
        <f>'12'!B1+1</f>
        <v>45639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80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IF(vend13[[#This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IF(vend13[[#This Row],[Nº Venda]]&gt;1,1,0)</f>
        <v>0</v>
      </c>
    </row>
    <row r="8" spans="2:18" ht="15.75" x14ac:dyDescent="0.25">
      <c r="B8" s="27" t="s">
        <v>21</v>
      </c>
      <c r="C8" s="28">
        <f>SUM(C6:C7)</f>
        <v>80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IF(vend13[[#This Row],[Nº Venda]]&gt;1,1,0)</f>
        <v>0</v>
      </c>
    </row>
    <row r="10" spans="2:18" ht="15.75" x14ac:dyDescent="0.25">
      <c r="B10" s="102" t="s">
        <v>5</v>
      </c>
      <c r="C10" s="102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29" t="s">
        <v>8</v>
      </c>
      <c r="C13" s="30">
        <f t="shared" si="0"/>
        <v>80</v>
      </c>
      <c r="D13" s="2"/>
      <c r="E13" s="90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>
        <v>6943</v>
      </c>
      <c r="L15" s="9" t="s">
        <v>139</v>
      </c>
      <c r="M15" s="16" t="s">
        <v>149</v>
      </c>
      <c r="R15" s="1">
        <f>IF(vend13[[#This Row],[Nº Venda]]&gt;1,1,0)</f>
        <v>0</v>
      </c>
    </row>
    <row r="16" spans="2:18" ht="15.75" x14ac:dyDescent="0.25">
      <c r="B16" s="27" t="s">
        <v>11</v>
      </c>
      <c r="C16" s="31">
        <f>SUM(C11:C15)</f>
        <v>80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IF(vend13[[#This Row],[Nº Venda]]&gt;1,1,0)</f>
        <v>0</v>
      </c>
    </row>
    <row r="18" spans="2:18" ht="15.75" x14ac:dyDescent="0.25">
      <c r="B18" s="102" t="s">
        <v>12</v>
      </c>
      <c r="C18" s="102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IF(vend13[[#This Row],[Nº Venda]]&gt;1,1,0)</f>
        <v>0</v>
      </c>
    </row>
    <row r="19" spans="2:18" ht="15.75" x14ac:dyDescent="0.25">
      <c r="B19" s="29">
        <f>COUNT(entr_carn13[OS])</f>
        <v>0</v>
      </c>
      <c r="C19" s="30">
        <f>SUM(entr_carn13[Valor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>
        <v>6953</v>
      </c>
      <c r="F26" s="24" t="s">
        <v>170</v>
      </c>
      <c r="G26" s="25" t="s">
        <v>8</v>
      </c>
      <c r="H26" s="8">
        <v>0</v>
      </c>
      <c r="I26" s="8">
        <v>80</v>
      </c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view="pageBreakPreview" zoomScale="60" zoomScaleNormal="9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30.5703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9.425781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99">
        <f>'13'!B1+1</f>
        <v>45640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159</v>
      </c>
      <c r="D6" s="2"/>
      <c r="E6" s="89"/>
      <c r="F6" s="24"/>
      <c r="G6" s="43"/>
      <c r="H6" s="8"/>
      <c r="I6" s="8"/>
      <c r="J6" s="2"/>
      <c r="K6" s="24"/>
      <c r="L6" s="9"/>
      <c r="M6" s="16"/>
      <c r="R6" s="1">
        <f>IF(vend14[[#This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43"/>
      <c r="H7" s="8"/>
      <c r="I7" s="8"/>
      <c r="J7" s="2"/>
      <c r="K7" s="24"/>
      <c r="L7" s="9"/>
      <c r="M7" s="16"/>
      <c r="R7" s="1">
        <f>IF(vend14[[#This Row],[Nº Venda]]&gt;1,1,0)</f>
        <v>0</v>
      </c>
    </row>
    <row r="8" spans="2:18" ht="15.75" x14ac:dyDescent="0.25">
      <c r="B8" s="27" t="s">
        <v>21</v>
      </c>
      <c r="C8" s="28">
        <f>SUM(C6:C7)</f>
        <v>159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IF(vend14[[#This Row],[Nº Venda]]&gt;1,1,0)</f>
        <v>0</v>
      </c>
    </row>
    <row r="10" spans="2:18" ht="15.75" x14ac:dyDescent="0.25">
      <c r="B10" s="102" t="s">
        <v>5</v>
      </c>
      <c r="C10" s="102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159</v>
      </c>
      <c r="D12" s="2"/>
      <c r="E12" s="89"/>
      <c r="F12" s="24"/>
      <c r="G12" s="25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>
        <v>6956</v>
      </c>
      <c r="L15" s="9" t="s">
        <v>139</v>
      </c>
      <c r="M15" s="16" t="s">
        <v>149</v>
      </c>
      <c r="R15" s="1">
        <f>IF(vend14[[#This Row],[Nº Venda]]&gt;1,1,0)</f>
        <v>0</v>
      </c>
    </row>
    <row r="16" spans="2:18" ht="15.75" x14ac:dyDescent="0.25">
      <c r="B16" s="27" t="s">
        <v>11</v>
      </c>
      <c r="C16" s="31">
        <f>SUM(C11:C15)</f>
        <v>159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IF(vend14[[#This Row],[Nº Venda]]&gt;1,1,0)</f>
        <v>0</v>
      </c>
    </row>
    <row r="18" spans="2:18" ht="15.75" x14ac:dyDescent="0.25">
      <c r="B18" s="102" t="s">
        <v>12</v>
      </c>
      <c r="C18" s="102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IF(vend14[[#This Row],[Nº Venda]]&gt;1,1,0)</f>
        <v>0</v>
      </c>
    </row>
    <row r="19" spans="2:18" ht="15.75" x14ac:dyDescent="0.25">
      <c r="B19" s="29">
        <f>COUNT(entr_carn14[OS])</f>
        <v>0</v>
      </c>
      <c r="C19" s="30">
        <f>SUM(entr_carn14[Valor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>
        <v>6781</v>
      </c>
      <c r="F35" s="24" t="s">
        <v>161</v>
      </c>
      <c r="G35" s="25" t="s">
        <v>7</v>
      </c>
      <c r="H35" s="8">
        <v>159</v>
      </c>
      <c r="I35" s="8" t="s">
        <v>48</v>
      </c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20" zoomScale="90" zoomScaleNormal="90" workbookViewId="0">
      <selection activeCell="F18" sqref="F18"/>
    </sheetView>
  </sheetViews>
  <sheetFormatPr defaultColWidth="9.140625" defaultRowHeight="12.75" x14ac:dyDescent="0.2"/>
  <cols>
    <col min="1" max="1" width="3.7109375" style="1" customWidth="1"/>
    <col min="2" max="2" width="30.5703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99">
        <f>'14'!B1+1</f>
        <v>45641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43"/>
      <c r="H6" s="8"/>
      <c r="I6" s="8"/>
      <c r="J6" s="2"/>
      <c r="K6" s="24"/>
      <c r="L6" s="9"/>
      <c r="M6" s="16"/>
      <c r="R6" s="1">
        <f>IF(vend15[[#This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43"/>
      <c r="H7" s="8"/>
      <c r="I7" s="8"/>
      <c r="J7" s="2"/>
      <c r="K7" s="24"/>
      <c r="L7" s="9"/>
      <c r="M7" s="16"/>
      <c r="R7" s="1">
        <f>IF(vend15[[#This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IF(vend15[[#This Row],[Nº Venda]]&gt;1,1,0)</f>
        <v>0</v>
      </c>
    </row>
    <row r="10" spans="2:18" ht="15.75" x14ac:dyDescent="0.25">
      <c r="B10" s="102" t="s">
        <v>5</v>
      </c>
      <c r="C10" s="102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IF(vend15[[#This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IF(vend15[[#This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62"/>
      <c r="R15" s="1">
        <f>IF(vend15[[#This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IF(vend15[[#This Row],[Nº Venda]]&gt;1,1,0)</f>
        <v>0</v>
      </c>
    </row>
    <row r="18" spans="2:18" ht="15.75" x14ac:dyDescent="0.25">
      <c r="B18" s="102" t="s">
        <v>12</v>
      </c>
      <c r="C18" s="102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IF(vend15[[#This Row],[Nº Venda]]&gt;1,1,0)</f>
        <v>0</v>
      </c>
    </row>
    <row r="19" spans="2:18" ht="15.75" x14ac:dyDescent="0.25">
      <c r="B19" s="29">
        <f>COUNT(entr_carn15[OS])</f>
        <v>0</v>
      </c>
      <c r="C19" s="30">
        <f>SUM(entr_carn15[Valor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62"/>
      <c r="R19" s="1">
        <f>IF(vend15[[#This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43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4" zoomScale="90" zoomScaleNormal="90" workbookViewId="0">
      <selection activeCell="F18" sqref="F18"/>
    </sheetView>
  </sheetViews>
  <sheetFormatPr defaultColWidth="9.140625" defaultRowHeight="12.75" x14ac:dyDescent="0.2"/>
  <cols>
    <col min="1" max="1" width="3.7109375" style="1" customWidth="1"/>
    <col min="2" max="2" width="30.5703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99">
        <f>'15'!B1+1</f>
        <v>45642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1285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835</v>
      </c>
      <c r="D6" s="2"/>
      <c r="E6" s="89">
        <v>6962</v>
      </c>
      <c r="F6" s="24" t="s">
        <v>162</v>
      </c>
      <c r="G6" s="43" t="s">
        <v>7</v>
      </c>
      <c r="H6" s="8">
        <v>45</v>
      </c>
      <c r="I6" s="8">
        <v>45</v>
      </c>
      <c r="J6" s="2"/>
      <c r="K6" s="24"/>
      <c r="L6" s="9"/>
      <c r="M6" s="16"/>
      <c r="R6" s="1">
        <f>IF(vend16[[#This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9">
        <v>6963</v>
      </c>
      <c r="F7" s="24" t="s">
        <v>163</v>
      </c>
      <c r="G7" s="43" t="s">
        <v>40</v>
      </c>
      <c r="H7" s="8">
        <v>0</v>
      </c>
      <c r="I7" s="8">
        <v>0</v>
      </c>
      <c r="J7" s="2"/>
      <c r="K7" s="24"/>
      <c r="L7" s="9"/>
      <c r="M7" s="16"/>
      <c r="R7" s="1">
        <f>IF(vend16[[#This Row],[Nº Venda]]&gt;1,1,0)</f>
        <v>1</v>
      </c>
    </row>
    <row r="8" spans="2:18" ht="15.75" x14ac:dyDescent="0.25">
      <c r="B8" s="27" t="s">
        <v>21</v>
      </c>
      <c r="C8" s="28">
        <f>SUM(C6:C7)</f>
        <v>835</v>
      </c>
      <c r="D8" s="2"/>
      <c r="E8" s="24">
        <v>6964</v>
      </c>
      <c r="F8" s="52" t="s">
        <v>164</v>
      </c>
      <c r="G8" s="25" t="s">
        <v>7</v>
      </c>
      <c r="H8" s="8">
        <v>870</v>
      </c>
      <c r="I8" s="8">
        <v>200</v>
      </c>
      <c r="J8" s="2"/>
      <c r="K8" s="24"/>
      <c r="L8" s="9"/>
      <c r="M8" s="16"/>
      <c r="R8" s="1">
        <f>IF(vend16[[#This Row],[Nº Venda]]&gt;1,1,0)</f>
        <v>1</v>
      </c>
    </row>
    <row r="9" spans="2:18" ht="15.75" x14ac:dyDescent="0.25">
      <c r="B9" s="2"/>
      <c r="C9" s="2"/>
      <c r="D9" s="2"/>
      <c r="E9" s="89">
        <v>6965</v>
      </c>
      <c r="F9" s="24" t="s">
        <v>164</v>
      </c>
      <c r="G9" s="25" t="s">
        <v>6</v>
      </c>
      <c r="H9" s="8">
        <v>0</v>
      </c>
      <c r="I9" s="8">
        <v>300</v>
      </c>
      <c r="J9" s="2"/>
      <c r="K9" s="24"/>
      <c r="L9" s="9"/>
      <c r="M9" s="16"/>
      <c r="R9" s="1">
        <f>IF(vend16[[#This Row],[Nº Venda]]&gt;1,1,0)</f>
        <v>1</v>
      </c>
    </row>
    <row r="10" spans="2:18" ht="15.75" x14ac:dyDescent="0.25">
      <c r="B10" s="102" t="s">
        <v>5</v>
      </c>
      <c r="C10" s="102"/>
      <c r="D10" s="2"/>
      <c r="E10" s="89">
        <v>6966</v>
      </c>
      <c r="F10" s="24" t="s">
        <v>165</v>
      </c>
      <c r="G10" s="25" t="s">
        <v>10</v>
      </c>
      <c r="H10" s="8">
        <v>370</v>
      </c>
      <c r="I10" s="8">
        <v>90</v>
      </c>
      <c r="J10" s="2"/>
      <c r="K10" s="24"/>
      <c r="L10" s="9"/>
      <c r="M10" s="16"/>
      <c r="R10" s="1">
        <f>IF(vend16[[#This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300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245</v>
      </c>
      <c r="D12" s="2"/>
      <c r="E12" s="89"/>
      <c r="F12" s="24"/>
      <c r="G12" s="25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29" t="s">
        <v>10</v>
      </c>
      <c r="C15" s="30">
        <f t="shared" si="0"/>
        <v>290</v>
      </c>
      <c r="D15" s="2"/>
      <c r="E15" s="89"/>
      <c r="F15" s="24"/>
      <c r="G15" s="25"/>
      <c r="H15" s="8"/>
      <c r="I15" s="8"/>
      <c r="J15" s="2"/>
      <c r="K15" s="97">
        <v>6951</v>
      </c>
      <c r="L15" s="9" t="s">
        <v>139</v>
      </c>
      <c r="M15" s="16" t="s">
        <v>167</v>
      </c>
      <c r="R15" s="1">
        <f>IF(vend16[[#This Row],[Nº Venda]]&gt;1,1,0)</f>
        <v>0</v>
      </c>
    </row>
    <row r="16" spans="2:18" ht="15.75" x14ac:dyDescent="0.25">
      <c r="B16" s="27" t="s">
        <v>11</v>
      </c>
      <c r="C16" s="31">
        <f>SUM(C11:C15)</f>
        <v>835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62"/>
      <c r="R17" s="1">
        <f>IF(vend16[[#This Row],[Nº Venda]]&gt;1,1,0)</f>
        <v>0</v>
      </c>
    </row>
    <row r="18" spans="2:18" ht="15.75" x14ac:dyDescent="0.25">
      <c r="B18" s="102" t="s">
        <v>12</v>
      </c>
      <c r="C18" s="102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IF(vend16[[#This Row],[Nº Venda]]&gt;1,1,0)</f>
        <v>0</v>
      </c>
    </row>
    <row r="19" spans="2:18" ht="15.75" x14ac:dyDescent="0.25">
      <c r="B19" s="29">
        <f>COUNT(entr_carn16[OS])</f>
        <v>1</v>
      </c>
      <c r="C19" s="30">
        <f>SUM(entr_carn16[Valor Total])</f>
        <v>810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IF(vend16[[#This Row],[Nº Venda]]&gt;1,1,0)</f>
        <v>0</v>
      </c>
    </row>
    <row r="20" spans="2:18" ht="15.75" x14ac:dyDescent="0.25">
      <c r="B20" s="27" t="s">
        <v>11</v>
      </c>
      <c r="C20" s="31">
        <f>SUM(C19:C19)</f>
        <v>810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1285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>
        <v>6951</v>
      </c>
      <c r="F26" s="24" t="s">
        <v>166</v>
      </c>
      <c r="G26" s="43" t="s">
        <v>10</v>
      </c>
      <c r="H26" s="8">
        <v>0</v>
      </c>
      <c r="I26" s="8">
        <v>200</v>
      </c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>
        <v>6951</v>
      </c>
      <c r="L35" s="40">
        <v>6</v>
      </c>
      <c r="M35" s="16">
        <v>810</v>
      </c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5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13" zoomScale="90" zoomScaleNormal="90" workbookViewId="0">
      <selection activeCell="F18" sqref="F18"/>
    </sheetView>
  </sheetViews>
  <sheetFormatPr defaultColWidth="9.140625" defaultRowHeight="12.75" x14ac:dyDescent="0.2"/>
  <cols>
    <col min="1" max="1" width="3.7109375" style="1" customWidth="1"/>
    <col min="2" max="2" width="30.5703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99">
        <f>'16'!B1+1</f>
        <v>45643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IF(vend17[[#This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IF(vend17[[#This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IF(vend17[[#This Row],[Nº Venda]]&gt;1,1,0)</f>
        <v>0</v>
      </c>
    </row>
    <row r="10" spans="2:18" ht="15.75" x14ac:dyDescent="0.25">
      <c r="B10" s="102" t="s">
        <v>5</v>
      </c>
      <c r="C10" s="102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IF(vend17[[#This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IF(vend17[[#This Row],[Nº Venda]]&gt;1,1,0)</f>
        <v>0</v>
      </c>
    </row>
    <row r="18" spans="2:18" ht="15.75" x14ac:dyDescent="0.25">
      <c r="B18" s="102" t="s">
        <v>12</v>
      </c>
      <c r="C18" s="102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IF(vend17[[#This Row],[Nº Venda]]&gt;1,1,0)</f>
        <v>0</v>
      </c>
    </row>
    <row r="19" spans="2:18" ht="15.75" x14ac:dyDescent="0.25">
      <c r="B19" s="29">
        <f>COUNT(entr_carn17[OS])</f>
        <v>0</v>
      </c>
      <c r="C19" s="30">
        <f>SUM(entr_carn17[Valor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opLeftCell="A4" zoomScale="90" zoomScaleNormal="90" workbookViewId="0">
      <selection activeCell="F18" sqref="F18"/>
    </sheetView>
  </sheetViews>
  <sheetFormatPr defaultColWidth="9.140625" defaultRowHeight="12.75" x14ac:dyDescent="0.2"/>
  <cols>
    <col min="1" max="1" width="3.7109375" style="1" customWidth="1"/>
    <col min="2" max="2" width="30.5703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99">
        <f>'17'!B1+1</f>
        <v>45644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55"/>
      <c r="G6" s="81"/>
      <c r="H6" s="64"/>
      <c r="I6" s="64"/>
      <c r="J6" s="2"/>
      <c r="K6" s="24" t="s">
        <v>168</v>
      </c>
      <c r="L6" s="60" t="s">
        <v>10</v>
      </c>
      <c r="M6" s="16">
        <v>15</v>
      </c>
      <c r="R6" s="1">
        <f>IF(vend18[[#This Row],[Nº Venda]]&gt;1,1,0)</f>
        <v>0</v>
      </c>
    </row>
    <row r="7" spans="2:18" ht="15.75" x14ac:dyDescent="0.25">
      <c r="B7" s="22" t="s">
        <v>3</v>
      </c>
      <c r="C7" s="23">
        <f>SUM(M6:M11)</f>
        <v>15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IF(vend18[[#This Row],[Nº Venda]]&gt;1,1,0)</f>
        <v>0</v>
      </c>
    </row>
    <row r="8" spans="2:18" ht="15.75" x14ac:dyDescent="0.25">
      <c r="B8" s="27" t="s">
        <v>21</v>
      </c>
      <c r="C8" s="28">
        <f>SUM(C6:C7)</f>
        <v>15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IF(vend18[[#This Row],[Nº Venda]]&gt;1,1,0)</f>
        <v>0</v>
      </c>
    </row>
    <row r="10" spans="2:18" ht="15.75" x14ac:dyDescent="0.25">
      <c r="B10" s="102" t="s">
        <v>5</v>
      </c>
      <c r="C10" s="102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>
        <v>6959</v>
      </c>
      <c r="L15" s="9" t="s">
        <v>139</v>
      </c>
      <c r="M15" s="16" t="s">
        <v>149</v>
      </c>
      <c r="R15" s="1">
        <f>IF(vend18[[#This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IF(vend18[[#This Row],[Nº Venda]]&gt;1,1,0)</f>
        <v>0</v>
      </c>
    </row>
    <row r="18" spans="2:18" ht="15.75" x14ac:dyDescent="0.25">
      <c r="B18" s="102" t="s">
        <v>12</v>
      </c>
      <c r="C18" s="102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IF(vend18[[#This Row],[Nº Venda]]&gt;1,1,0)</f>
        <v>0</v>
      </c>
    </row>
    <row r="19" spans="2:18" ht="15.75" x14ac:dyDescent="0.25">
      <c r="B19" s="29">
        <f>COUNT(entr_carn18[OS])</f>
        <v>0</v>
      </c>
      <c r="C19" s="30">
        <f>SUM(entr_carn18[Valor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58"/>
      <c r="F23" s="58"/>
      <c r="G23" s="58"/>
      <c r="H23" s="59"/>
      <c r="I23" s="59"/>
      <c r="J23" s="2"/>
      <c r="K23" s="97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zoomScale="90" zoomScaleNormal="90" zoomScaleSheetLayoutView="70" workbookViewId="0">
      <selection activeCell="F18" sqref="F18"/>
    </sheetView>
  </sheetViews>
  <sheetFormatPr defaultColWidth="9.140625" defaultRowHeight="12.75" x14ac:dyDescent="0.2"/>
  <cols>
    <col min="1" max="1" width="3.7109375" style="1" customWidth="1"/>
    <col min="2" max="2" width="30.5703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99">
        <f>'18'!B1+1</f>
        <v>45645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320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IF(vend19[[#This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61"/>
      <c r="I7" s="8"/>
      <c r="J7" s="2"/>
      <c r="K7" s="24"/>
      <c r="L7" s="9"/>
      <c r="M7" s="16"/>
      <c r="R7" s="1">
        <f>IF(vend19[[#This Row],[Nº Venda]]&gt;1,1,0)</f>
        <v>0</v>
      </c>
    </row>
    <row r="8" spans="2:18" ht="15.75" x14ac:dyDescent="0.25">
      <c r="B8" s="27" t="s">
        <v>21</v>
      </c>
      <c r="C8" s="28">
        <f>SUM(C6:C7)</f>
        <v>320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89"/>
      <c r="F9" s="55"/>
      <c r="G9" s="81"/>
      <c r="H9" s="64"/>
      <c r="I9" s="64"/>
      <c r="J9" s="2"/>
      <c r="K9" s="24"/>
      <c r="L9" s="9"/>
      <c r="M9" s="16"/>
      <c r="R9" s="1">
        <f>IF(vend19[[#This Row],[Nº Venda]]&gt;1,1,0)</f>
        <v>0</v>
      </c>
    </row>
    <row r="10" spans="2:18" ht="15.75" x14ac:dyDescent="0.25">
      <c r="B10" s="102" t="s">
        <v>5</v>
      </c>
      <c r="C10" s="102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IF(vend19[[#This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29" t="s">
        <v>10</v>
      </c>
      <c r="C15" s="30">
        <f t="shared" si="0"/>
        <v>320</v>
      </c>
      <c r="D15" s="2"/>
      <c r="E15" s="89"/>
      <c r="F15" s="24"/>
      <c r="G15" s="25"/>
      <c r="H15" s="8"/>
      <c r="I15" s="8"/>
      <c r="J15" s="2"/>
      <c r="K15" s="97">
        <v>6948</v>
      </c>
      <c r="L15" s="9" t="s">
        <v>139</v>
      </c>
      <c r="M15" s="16" t="s">
        <v>149</v>
      </c>
      <c r="R15" s="1">
        <f>IF(vend19[[#This Row],[Nº Venda]]&gt;1,1,0)</f>
        <v>0</v>
      </c>
    </row>
    <row r="16" spans="2:18" ht="15.75" x14ac:dyDescent="0.25">
      <c r="B16" s="27" t="s">
        <v>11</v>
      </c>
      <c r="C16" s="31">
        <f>SUM(C11:C15)</f>
        <v>320</v>
      </c>
      <c r="D16" s="2"/>
      <c r="E16" s="89"/>
      <c r="F16" s="24"/>
      <c r="G16" s="25"/>
      <c r="H16" s="8"/>
      <c r="I16" s="8"/>
      <c r="J16" s="2"/>
      <c r="K16" s="97">
        <v>6949</v>
      </c>
      <c r="L16" s="9" t="s">
        <v>139</v>
      </c>
      <c r="M16" s="16" t="s">
        <v>149</v>
      </c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IF(vend19[[#This Row],[Nº Venda]]&gt;1,1,0)</f>
        <v>0</v>
      </c>
    </row>
    <row r="18" spans="2:22" ht="15.75" x14ac:dyDescent="0.25">
      <c r="B18" s="102" t="s">
        <v>12</v>
      </c>
      <c r="C18" s="102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IF(vend19[[#This Row],[Nº Venda]]&gt;1,1,0)</f>
        <v>0</v>
      </c>
    </row>
    <row r="19" spans="2:22" ht="15.75" x14ac:dyDescent="0.25">
      <c r="B19" s="29">
        <f>COUNT(entr_carn19[OS])</f>
        <v>0</v>
      </c>
      <c r="C19" s="30">
        <f>SUM(entr_carn19[Valor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IF(vend19[[#This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IF(vend19[[#This Row],[Nº Venda]]&gt;1,1,0)</f>
        <v>0</v>
      </c>
      <c r="V20" s="1" t="s">
        <v>58</v>
      </c>
    </row>
    <row r="21" spans="2:22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22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22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7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22" ht="15.75" x14ac:dyDescent="0.25">
      <c r="B26" s="2"/>
      <c r="C26" s="2"/>
      <c r="D26" s="2"/>
      <c r="E26" s="89"/>
      <c r="F26" s="38"/>
      <c r="G26" s="25"/>
      <c r="H26" s="8"/>
      <c r="I26" s="8"/>
      <c r="J26" s="2"/>
      <c r="K26" s="97"/>
      <c r="L26" s="9"/>
      <c r="M26" s="16"/>
    </row>
    <row r="27" spans="2:22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22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22" ht="15.75" x14ac:dyDescent="0.25">
      <c r="B29" s="2"/>
      <c r="C29" s="2"/>
      <c r="D29" s="2"/>
      <c r="E29" s="89"/>
      <c r="F29" s="24"/>
      <c r="G29" s="82"/>
      <c r="H29" s="25"/>
      <c r="I29" s="8"/>
      <c r="J29" s="2"/>
      <c r="K29" s="97"/>
      <c r="L29" s="9"/>
      <c r="M29" s="16"/>
    </row>
    <row r="30" spans="2:22" ht="15.75" x14ac:dyDescent="0.25">
      <c r="B30" s="2"/>
      <c r="C30" s="2"/>
      <c r="D30" s="2"/>
      <c r="E30" s="89"/>
      <c r="F30" s="24"/>
      <c r="G30" s="25"/>
      <c r="H30" s="8"/>
      <c r="I30" s="8"/>
      <c r="J30" s="2"/>
      <c r="K30" s="97"/>
      <c r="L30" s="9"/>
      <c r="M30" s="16"/>
    </row>
    <row r="31" spans="2:22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>
        <v>798</v>
      </c>
      <c r="F35" s="24" t="s">
        <v>164</v>
      </c>
      <c r="G35" s="25" t="s">
        <v>10</v>
      </c>
      <c r="H35" s="8">
        <v>173.5</v>
      </c>
      <c r="I35" s="8" t="s">
        <v>79</v>
      </c>
      <c r="K35" s="97"/>
      <c r="L35" s="40"/>
      <c r="M35" s="16"/>
    </row>
    <row r="36" spans="2:18" ht="15.75" x14ac:dyDescent="0.25">
      <c r="E36" s="93">
        <v>810</v>
      </c>
      <c r="F36" s="24" t="s">
        <v>169</v>
      </c>
      <c r="G36" s="25" t="s">
        <v>10</v>
      </c>
      <c r="H36" s="8">
        <v>146.5</v>
      </c>
      <c r="I36" s="8" t="s">
        <v>79</v>
      </c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zoomScale="90" zoomScaleNormal="90" workbookViewId="0">
      <selection activeCell="M15" sqref="M15"/>
    </sheetView>
  </sheetViews>
  <sheetFormatPr defaultColWidth="9.140625" defaultRowHeight="12.75" x14ac:dyDescent="0.2"/>
  <cols>
    <col min="1" max="1" width="3.7109375" style="1" customWidth="1"/>
    <col min="2" max="2" width="30.5703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99">
        <f>'19'!B1+1</f>
        <v>45646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IF(vend20[[#This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IF(vend20[[#This Row],[Nº Venda]]&gt;1,1,0)</f>
        <v>0</v>
      </c>
    </row>
    <row r="10" spans="2:18" ht="15.75" x14ac:dyDescent="0.25">
      <c r="B10" s="102" t="s">
        <v>5</v>
      </c>
      <c r="C10" s="102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IF(vend20[[#This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IF(vend20[[#This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>
        <v>6961</v>
      </c>
      <c r="L15" s="9" t="s">
        <v>139</v>
      </c>
      <c r="M15" s="16" t="s">
        <v>149</v>
      </c>
      <c r="R15" s="1">
        <f>IF(vend20[[#This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62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IF(vend20[[#This Row],[Nº Venda]]&gt;1,1,0)</f>
        <v>0</v>
      </c>
    </row>
    <row r="18" spans="2:18" ht="15.75" x14ac:dyDescent="0.25">
      <c r="B18" s="102" t="s">
        <v>12</v>
      </c>
      <c r="C18" s="102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IF(vend20[[#This Row],[Nº Venda]]&gt;1,1,0)</f>
        <v>0</v>
      </c>
    </row>
    <row r="19" spans="2:18" ht="15.75" x14ac:dyDescent="0.25">
      <c r="B19" s="29">
        <f>COUNT(entr_carn20[OS])</f>
        <v>0</v>
      </c>
      <c r="C19" s="30">
        <f>SUM(entr_carn20[Valor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62"/>
    </row>
    <row r="36" spans="2:18" ht="15.75" x14ac:dyDescent="0.25">
      <c r="E36" s="93"/>
      <c r="F36" s="24"/>
      <c r="G36" s="25"/>
      <c r="H36" s="8"/>
      <c r="I36" s="8"/>
      <c r="K36" s="97"/>
      <c r="L36" s="63"/>
      <c r="M36" s="62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opLeftCell="B1" zoomScale="90" zoomScaleNormal="90" workbookViewId="0">
      <selection activeCell="H27" sqref="H27"/>
    </sheetView>
  </sheetViews>
  <sheetFormatPr defaultColWidth="9.140625" defaultRowHeight="12.75" x14ac:dyDescent="0.2"/>
  <cols>
    <col min="1" max="1" width="3.7109375" style="1" customWidth="1"/>
    <col min="2" max="2" width="30.5703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99">
        <f>'20'!B1+1</f>
        <v>45647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875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IF(vend21[[#This Row],[Nº Venda]]&gt;1,1,0)</f>
        <v>0</v>
      </c>
    </row>
    <row r="8" spans="2:18" ht="15.75" x14ac:dyDescent="0.25">
      <c r="B8" s="27" t="s">
        <v>21</v>
      </c>
      <c r="C8" s="28">
        <f>SUM(C6:C7)</f>
        <v>875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IF(vend21[[#This Row],[Nº Venda]]&gt;1,1,0)</f>
        <v>0</v>
      </c>
    </row>
    <row r="10" spans="2:18" ht="15.75" x14ac:dyDescent="0.25">
      <c r="B10" s="102" t="s">
        <v>5</v>
      </c>
      <c r="C10" s="102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107</v>
      </c>
      <c r="D12" s="2"/>
      <c r="E12" s="89"/>
      <c r="F12" s="24"/>
      <c r="G12" s="25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29" t="s">
        <v>8</v>
      </c>
      <c r="C13" s="30">
        <f t="shared" si="0"/>
        <v>673</v>
      </c>
      <c r="D13" s="2"/>
      <c r="E13" s="90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IF(vend21[[#This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29" t="s">
        <v>10</v>
      </c>
      <c r="C15" s="30">
        <f t="shared" si="0"/>
        <v>95</v>
      </c>
      <c r="D15" s="2"/>
      <c r="E15" s="89"/>
      <c r="F15" s="24"/>
      <c r="G15" s="25"/>
      <c r="H15" s="8"/>
      <c r="I15" s="8"/>
      <c r="J15" s="2"/>
      <c r="K15" s="97">
        <v>6946</v>
      </c>
      <c r="L15" s="9" t="s">
        <v>139</v>
      </c>
      <c r="M15" s="16" t="s">
        <v>149</v>
      </c>
      <c r="R15" s="1">
        <f>IF(vend21[[#This Row],[Nº Venda]]&gt;1,1,0)</f>
        <v>0</v>
      </c>
    </row>
    <row r="16" spans="2:18" ht="15.75" x14ac:dyDescent="0.25">
      <c r="B16" s="27" t="s">
        <v>11</v>
      </c>
      <c r="C16" s="31">
        <f>SUM(C11:C15)</f>
        <v>875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IF(vend21[[#This Row],[Nº Venda]]&gt;1,1,0)</f>
        <v>0</v>
      </c>
    </row>
    <row r="18" spans="2:18" ht="15.75" x14ac:dyDescent="0.25">
      <c r="B18" s="102" t="s">
        <v>12</v>
      </c>
      <c r="C18" s="102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IF(vend21[[#This Row],[Nº Venda]]&gt;1,1,0)</f>
        <v>0</v>
      </c>
    </row>
    <row r="19" spans="2:18" ht="15.75" x14ac:dyDescent="0.25">
      <c r="B19" s="29">
        <f>COUNT(entr_carn21[OS])</f>
        <v>0</v>
      </c>
      <c r="C19" s="30">
        <f>SUM(entr_carn21[Valor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>
        <v>6946</v>
      </c>
      <c r="F26" s="24" t="s">
        <v>171</v>
      </c>
      <c r="G26" s="25" t="s">
        <v>8</v>
      </c>
      <c r="H26" s="8">
        <v>0</v>
      </c>
      <c r="I26" s="8">
        <v>673</v>
      </c>
      <c r="J26" s="2"/>
      <c r="K26" s="97"/>
      <c r="L26" s="9"/>
      <c r="M26" s="16"/>
    </row>
    <row r="27" spans="2:18" ht="15.75" x14ac:dyDescent="0.25">
      <c r="B27" s="2"/>
      <c r="C27" s="2"/>
      <c r="D27" s="2"/>
      <c r="E27" s="89">
        <v>6946</v>
      </c>
      <c r="F27" s="24" t="s">
        <v>171</v>
      </c>
      <c r="G27" s="25" t="s">
        <v>7</v>
      </c>
      <c r="H27" s="8">
        <v>0</v>
      </c>
      <c r="I27" s="8">
        <v>107</v>
      </c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>
        <v>798</v>
      </c>
      <c r="F35" s="24" t="s">
        <v>172</v>
      </c>
      <c r="G35" s="25" t="s">
        <v>10</v>
      </c>
      <c r="H35" s="8">
        <v>95</v>
      </c>
      <c r="I35" s="8" t="s">
        <v>86</v>
      </c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zoomScale="90" zoomScaleNormal="90" workbookViewId="0">
      <selection activeCell="F18" sqref="F18"/>
    </sheetView>
  </sheetViews>
  <sheetFormatPr defaultColWidth="9.140625" defaultRowHeight="12.75" x14ac:dyDescent="0.2"/>
  <cols>
    <col min="1" max="1" width="3.7109375" style="1" customWidth="1"/>
    <col min="2" max="2" width="30.5703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99">
        <f>'21'!B1+1</f>
        <v>45648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IF(vend22[[#This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IF(vend22[[#This Row],[Nº Venda]]&gt;1,1,0)</f>
        <v>0</v>
      </c>
    </row>
    <row r="10" spans="2:18" ht="15.75" x14ac:dyDescent="0.25">
      <c r="B10" s="102" t="s">
        <v>5</v>
      </c>
      <c r="C10" s="102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IF(vend22[[#This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IF(vend22[[#This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IF(vend22[[#This Row],[Nº Venda]]&gt;1,1,0)</f>
        <v>0</v>
      </c>
    </row>
    <row r="18" spans="2:18" ht="15.75" x14ac:dyDescent="0.25">
      <c r="B18" s="102" t="s">
        <v>12</v>
      </c>
      <c r="C18" s="102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IF(vend22[[#This Row],[Nº Venda]]&gt;1,1,0)</f>
        <v>0</v>
      </c>
    </row>
    <row r="19" spans="2:18" ht="15.75" x14ac:dyDescent="0.25">
      <c r="B19" s="29">
        <f>COUNT(entr_carn22[OS])</f>
        <v>0</v>
      </c>
      <c r="C19" s="30">
        <f>SUM(entr_carn22[Valor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zoomScale="90" zoomScaleNormal="90" workbookViewId="0">
      <selection activeCell="I6" sqref="I6"/>
    </sheetView>
  </sheetViews>
  <sheetFormatPr defaultColWidth="9.140625" defaultRowHeight="12.75" x14ac:dyDescent="0.2"/>
  <cols>
    <col min="1" max="1" width="3.7109375" style="1" customWidth="1"/>
    <col min="2" max="2" width="30.5703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99">
        <f>'22'!B1+1</f>
        <v>45649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>
        <v>6967</v>
      </c>
      <c r="F6" s="24" t="s">
        <v>164</v>
      </c>
      <c r="G6" s="25" t="s">
        <v>40</v>
      </c>
      <c r="H6" s="8">
        <v>0</v>
      </c>
      <c r="I6" s="8">
        <v>0</v>
      </c>
      <c r="J6" s="2"/>
      <c r="K6" s="24"/>
      <c r="L6" s="9"/>
      <c r="M6" s="16"/>
      <c r="R6" s="1">
        <f>IF(vend23[[#This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IF(vend23[[#This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IF(vend23[[#This Row],[Nº Venda]]&gt;1,1,0)</f>
        <v>0</v>
      </c>
    </row>
    <row r="10" spans="2:18" ht="15.75" x14ac:dyDescent="0.25">
      <c r="B10" s="102" t="s">
        <v>5</v>
      </c>
      <c r="C10" s="102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IF(vend23[[#This Row],[Nº Venda]]&gt;1,1,0)</f>
        <v>0</v>
      </c>
    </row>
    <row r="11" spans="2:18" ht="15.75" x14ac:dyDescent="0.25">
      <c r="B11" s="29" t="s">
        <v>6</v>
      </c>
      <c r="C11" s="72">
        <f>(SUMIF($G$2:$G$31,B11,$I$2:$I$31))+(SUMIF($G$35:$G$44,B11,$H$35:$H$44))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IF(vend23[[#This Row],[Nº Venda]]&gt;1,1,0)</f>
        <v>0</v>
      </c>
    </row>
    <row r="12" spans="2:18" ht="15.75" x14ac:dyDescent="0.25">
      <c r="B12" s="29" t="s">
        <v>7</v>
      </c>
      <c r="C12" s="72">
        <f>(SUMIF($G$2:$G$31,B12,$I$2:$I$31))+(SUMIF($G$35:$G$44,B12,$H$35:$H$44))</f>
        <v>0</v>
      </c>
      <c r="D12" s="2"/>
      <c r="E12" s="89"/>
      <c r="F12" s="24"/>
      <c r="G12" s="25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29" t="s">
        <v>8</v>
      </c>
      <c r="C13" s="72">
        <f>(SUMIF($G$2:$G$31,B13,$I$2:$I$31))+(SUMIF($G$35:$G$44,B13,$H$35:$H$44))</f>
        <v>0</v>
      </c>
      <c r="D13" s="2"/>
      <c r="E13" s="90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IF(vend23[[#This Row],[Nº Venda]]&gt;1,1,0)</f>
        <v>0</v>
      </c>
    </row>
    <row r="14" spans="2:18" ht="15.75" x14ac:dyDescent="0.25">
      <c r="B14" s="29" t="s">
        <v>9</v>
      </c>
      <c r="C14" s="72">
        <f>(SUMIF($G$2:$G$31,B14,$I$2:$I$31))+(SUMIF($G$35:$G$44,B14,$H$35:$H$44))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29" t="s">
        <v>10</v>
      </c>
      <c r="C15" s="72">
        <f>(SUMIF($G$2:$G$31,B15,$I$2:$I$31))+(SUMIF($G$35:$G$44,B15,$H$35:$H$44))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IF(vend23[[#This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IF(vend23[[#This Row],[Nº Venda]]&gt;1,1,0)</f>
        <v>0</v>
      </c>
    </row>
    <row r="18" spans="2:18" ht="15.75" x14ac:dyDescent="0.25">
      <c r="B18" s="102" t="s">
        <v>12</v>
      </c>
      <c r="C18" s="102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IF(vend23[[#This Row],[Nº Venda]]&gt;1,1,0)</f>
        <v>0</v>
      </c>
    </row>
    <row r="19" spans="2:18" ht="15.75" x14ac:dyDescent="0.25">
      <c r="B19" s="29">
        <f>COUNT(entr_carn23[OS])</f>
        <v>0</v>
      </c>
      <c r="C19" s="30">
        <f>SUM(entr_carn23[Valor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4"/>
      <c r="F41" s="38"/>
      <c r="G41" s="25"/>
      <c r="H41" s="8"/>
      <c r="I41" s="8"/>
      <c r="K41" s="97"/>
      <c r="L41" s="40"/>
      <c r="M41" s="39"/>
    </row>
    <row r="42" spans="2:18" ht="15.75" x14ac:dyDescent="0.25">
      <c r="E42" s="85"/>
      <c r="F42" s="69"/>
      <c r="G42" s="70"/>
      <c r="H42" s="71"/>
      <c r="I42" s="17"/>
    </row>
    <row r="43" spans="2:18" ht="15.75" x14ac:dyDescent="0.25">
      <c r="E43" s="85"/>
      <c r="F43" s="83"/>
      <c r="G43" s="82"/>
      <c r="H43" s="84"/>
      <c r="I43" s="8"/>
    </row>
    <row r="44" spans="2:18" ht="15.75" x14ac:dyDescent="0.25">
      <c r="E44" s="86"/>
      <c r="F44" s="69"/>
      <c r="G44" s="70"/>
      <c r="H44" s="71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opLeftCell="A25" zoomScale="90" zoomScaleNormal="90" workbookViewId="0">
      <selection activeCell="F18" sqref="F18"/>
    </sheetView>
  </sheetViews>
  <sheetFormatPr defaultColWidth="9.140625" defaultRowHeight="12.75" x14ac:dyDescent="0.2"/>
  <cols>
    <col min="1" max="1" width="3.7109375" style="1" customWidth="1"/>
    <col min="2" max="2" width="30.5703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99">
        <f>'23'!B1+1</f>
        <v>45650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IF(vend24[[#This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IF(vend24[[#This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IF(vend24[[#This Row],[Nº Venda]]&gt;1,1,0)</f>
        <v>0</v>
      </c>
    </row>
    <row r="10" spans="2:18" ht="15.75" x14ac:dyDescent="0.25">
      <c r="B10" s="102" t="s">
        <v>5</v>
      </c>
      <c r="C10" s="102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IF(vend24[[#This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IF(vend24[[#This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IF(vend24[[#This Row],[Nº Venda]]&gt;1,1,0)</f>
        <v>0</v>
      </c>
    </row>
    <row r="18" spans="2:18" ht="15.75" x14ac:dyDescent="0.25">
      <c r="B18" s="102" t="s">
        <v>12</v>
      </c>
      <c r="C18" s="102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IF(vend24[[#This Row],[Nº Venda]]&gt;1,1,0)</f>
        <v>0</v>
      </c>
    </row>
    <row r="19" spans="2:18" ht="15.75" x14ac:dyDescent="0.25">
      <c r="B19" s="29">
        <f>COUNT(entr_carn24[OS])</f>
        <v>0</v>
      </c>
      <c r="C19" s="30">
        <f>SUM(entr_carn24[Valor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topLeftCell="A18" zoomScale="90" zoomScaleNormal="90" workbookViewId="0">
      <selection activeCell="F18" sqref="F18"/>
    </sheetView>
  </sheetViews>
  <sheetFormatPr defaultColWidth="9.140625" defaultRowHeight="12.75" x14ac:dyDescent="0.2"/>
  <cols>
    <col min="1" max="1" width="3.7109375" style="1" customWidth="1"/>
    <col min="2" max="2" width="30.5703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99">
        <f>'24'!B1+1</f>
        <v>45651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 ca="1"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IF(vend25[[#This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IF(vend25[[#This Row],[Nº Venda]]&gt;1,1,0)</f>
        <v>0</v>
      </c>
    </row>
    <row r="8" spans="2:18" ht="15.75" x14ac:dyDescent="0.25">
      <c r="B8" s="27" t="s">
        <v>21</v>
      </c>
      <c r="C8" s="28">
        <f ca="1"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IF(vend25[[#This Row],[Nº Venda]]&gt;1,1,0)</f>
        <v>0</v>
      </c>
    </row>
    <row r="10" spans="2:18" ht="15.75" x14ac:dyDescent="0.25">
      <c r="B10" s="102" t="s">
        <v>5</v>
      </c>
      <c r="C10" s="102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IF(vend25[[#This Row],[Nº Venda]]&gt;1,1,0)</f>
        <v>0</v>
      </c>
    </row>
    <row r="11" spans="2:18" ht="15.75" x14ac:dyDescent="0.25">
      <c r="B11" s="29" t="s">
        <v>6</v>
      </c>
      <c r="C11" s="30">
        <f ca="1">(SUMIF($G$2:$G$31,B11,$I$2:$I$31))+(SUMIF($G$35:$G$41,B11,$H$36:$H$41))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 ca="1">IF(C16=0,0,1)</f>
        <v>0</v>
      </c>
      <c r="R11" s="1">
        <f>IF(vend25[[#This Row],[Nº Venda]]&gt;1,1,0)</f>
        <v>0</v>
      </c>
    </row>
    <row r="12" spans="2:18" ht="15.75" x14ac:dyDescent="0.25">
      <c r="B12" s="29" t="s">
        <v>7</v>
      </c>
      <c r="C12" s="30">
        <f ca="1">(SUMIF($G$2:$G$31,B12,$I$2:$I$31))+(SUMIF($G$35:$G$41,B12,$H$36:$H$41))</f>
        <v>0</v>
      </c>
      <c r="D12" s="2"/>
      <c r="E12" s="89"/>
      <c r="F12" s="24"/>
      <c r="G12" s="25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29" t="s">
        <v>8</v>
      </c>
      <c r="C13" s="30">
        <f ca="1">(SUMIF($G$2:$G$31,B13,$I$2:$I$31))+(SUMIF($G$35:$G$41,B13,$H$36:$H$41))</f>
        <v>0</v>
      </c>
      <c r="D13" s="2"/>
      <c r="E13" s="90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IF(vend25[[#This Row],[Nº Venda]]&gt;1,1,0)</f>
        <v>0</v>
      </c>
    </row>
    <row r="14" spans="2:18" ht="15.75" x14ac:dyDescent="0.25">
      <c r="B14" s="29" t="s">
        <v>9</v>
      </c>
      <c r="C14" s="30">
        <f ca="1">(SUMIF($G$2:$G$31,B14,$I$2:$I$31))+(SUMIF($G$35:$G$41,B14,$H$36:$H$41))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29" t="s">
        <v>10</v>
      </c>
      <c r="C15" s="30">
        <f ca="1">(SUMIF($G$2:$G$31,B15,$I$2:$I$31))+(SUMIF($G$35:$G$41,B15,$H$36:$H$41))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IF(vend25[[#This Row],[Nº Venda]]&gt;1,1,0)</f>
        <v>0</v>
      </c>
    </row>
    <row r="16" spans="2:18" ht="15.75" x14ac:dyDescent="0.25">
      <c r="B16" s="27" t="s">
        <v>11</v>
      </c>
      <c r="C16" s="31">
        <f ca="1"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IF(vend25[[#This Row],[Nº Venda]]&gt;1,1,0)</f>
        <v>0</v>
      </c>
    </row>
    <row r="18" spans="2:18" ht="15.75" x14ac:dyDescent="0.25">
      <c r="B18" s="102" t="s">
        <v>12</v>
      </c>
      <c r="C18" s="102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IF(vend25[[#This Row],[Nº Venda]]&gt;1,1,0)</f>
        <v>0</v>
      </c>
    </row>
    <row r="19" spans="2:18" ht="15.75" x14ac:dyDescent="0.25">
      <c r="B19" s="29">
        <f>COUNT(entr_carn25[OS])</f>
        <v>0</v>
      </c>
      <c r="C19" s="30">
        <f>SUM(entr_carn25[Valor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66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opLeftCell="A28" zoomScale="90" zoomScaleNormal="90" workbookViewId="0">
      <selection activeCell="F18" sqref="F18"/>
    </sheetView>
  </sheetViews>
  <sheetFormatPr defaultColWidth="9.140625" defaultRowHeight="12.75" x14ac:dyDescent="0.2"/>
  <cols>
    <col min="1" max="1" width="3.7109375" style="1" customWidth="1"/>
    <col min="2" max="2" width="30.5703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99">
        <f>'25'!B1+1</f>
        <v>45652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IF(vend26[[#This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IF(vend26[[#This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IF(vend26[[#This Row],[Nº Venda]]&gt;1,1,0)</f>
        <v>0</v>
      </c>
    </row>
    <row r="10" spans="2:18" ht="15.75" x14ac:dyDescent="0.25">
      <c r="B10" s="102" t="s">
        <v>5</v>
      </c>
      <c r="C10" s="102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IF(vend26[[#This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IF(vend26[[#This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IF(vend26[[#This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IF(vend26[[#This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IF(vend26[[#This Row],[Nº Venda]]&gt;1,1,0)</f>
        <v>0</v>
      </c>
    </row>
    <row r="18" spans="2:18" ht="15.75" x14ac:dyDescent="0.25">
      <c r="B18" s="102" t="s">
        <v>12</v>
      </c>
      <c r="C18" s="102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IF(vend26[[#This Row],[Nº Venda]]&gt;1,1,0)</f>
        <v>0</v>
      </c>
    </row>
    <row r="19" spans="2:18" ht="15.75" x14ac:dyDescent="0.25">
      <c r="B19" s="29">
        <f>COUNT(entr_carn26[OS])</f>
        <v>0</v>
      </c>
      <c r="C19" s="30">
        <f>SUM(entr_carn26[Valor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C1" zoomScale="90" zoomScaleNormal="90" workbookViewId="0">
      <selection activeCell="M15" sqref="M15"/>
    </sheetView>
  </sheetViews>
  <sheetFormatPr defaultColWidth="9.140625" defaultRowHeight="12.75" x14ac:dyDescent="0.2"/>
  <cols>
    <col min="1" max="1" width="3.7109375" style="1" customWidth="1"/>
    <col min="2" max="2" width="30.5703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99">
        <f>'26'!B1+1</f>
        <v>45653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94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IF(vend27[[#This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IF(vend27[[#This Row],[Nº Venda]]&gt;1,1,0)</f>
        <v>0</v>
      </c>
    </row>
    <row r="8" spans="2:18" ht="15.75" x14ac:dyDescent="0.25">
      <c r="B8" s="27" t="s">
        <v>21</v>
      </c>
      <c r="C8" s="28">
        <f>SUM(C6:C7)</f>
        <v>94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IF(vend27[[#This Row],[Nº Venda]]&gt;1,1,0)</f>
        <v>0</v>
      </c>
    </row>
    <row r="10" spans="2:18" ht="15.75" x14ac:dyDescent="0.25">
      <c r="B10" s="102" t="s">
        <v>5</v>
      </c>
      <c r="C10" s="102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IF(vend27[[#This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29" t="s">
        <v>10</v>
      </c>
      <c r="C15" s="30">
        <f t="shared" si="0"/>
        <v>94</v>
      </c>
      <c r="D15" s="2"/>
      <c r="E15" s="89"/>
      <c r="F15" s="24"/>
      <c r="G15" s="25"/>
      <c r="H15" s="8"/>
      <c r="I15" s="8"/>
      <c r="J15" s="2"/>
      <c r="K15" s="97">
        <v>6963</v>
      </c>
      <c r="L15" s="9" t="s">
        <v>139</v>
      </c>
      <c r="M15" s="16" t="s">
        <v>149</v>
      </c>
      <c r="R15" s="1">
        <f>IF(vend27[[#This Row],[Nº Venda]]&gt;1,1,0)</f>
        <v>0</v>
      </c>
    </row>
    <row r="16" spans="2:18" ht="15.75" x14ac:dyDescent="0.25">
      <c r="B16" s="27" t="s">
        <v>11</v>
      </c>
      <c r="C16" s="31">
        <f>SUM(C11:C15)</f>
        <v>94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IF(vend27[[#This Row],[Nº Venda]]&gt;1,1,0)</f>
        <v>0</v>
      </c>
    </row>
    <row r="18" spans="2:18" ht="15.75" x14ac:dyDescent="0.25">
      <c r="B18" s="102" t="s">
        <v>12</v>
      </c>
      <c r="C18" s="102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IF(vend27[[#This Row],[Nº Venda]]&gt;1,1,0)</f>
        <v>0</v>
      </c>
    </row>
    <row r="19" spans="2:18" ht="15.75" x14ac:dyDescent="0.25">
      <c r="B19" s="29">
        <f>COUNT(entr_carn27[OS])</f>
        <v>0</v>
      </c>
      <c r="C19" s="30">
        <f>SUM(entr_carn27[Valor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>
        <v>6928</v>
      </c>
      <c r="F35" s="24" t="s">
        <v>173</v>
      </c>
      <c r="G35" s="25" t="s">
        <v>10</v>
      </c>
      <c r="H35" s="8">
        <v>94</v>
      </c>
      <c r="I35" s="8" t="s">
        <v>53</v>
      </c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35" zoomScale="90" zoomScaleNormal="90" workbookViewId="0">
      <selection activeCell="F18" sqref="F18"/>
    </sheetView>
  </sheetViews>
  <sheetFormatPr defaultColWidth="9.140625" defaultRowHeight="12.75" x14ac:dyDescent="0.2"/>
  <cols>
    <col min="1" max="1" width="3.7109375" style="1" customWidth="1"/>
    <col min="2" max="2" width="30.5703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99">
        <f>'27'!B1+1</f>
        <v>45654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IF(vend28[[#This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IF(vend28[[#This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IF(vend28[[#This Row],[Nº Venda]]&gt;1,1,0)</f>
        <v>0</v>
      </c>
    </row>
    <row r="10" spans="2:18" ht="15.75" x14ac:dyDescent="0.25">
      <c r="B10" s="102" t="s">
        <v>5</v>
      </c>
      <c r="C10" s="102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IF(vend28[[#This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IF(vend28[[#This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IF(vend28[[#This Row],[Nº Venda]]&gt;1,1,0)</f>
        <v>0</v>
      </c>
    </row>
    <row r="18" spans="2:18" ht="15.75" x14ac:dyDescent="0.25">
      <c r="B18" s="102" t="s">
        <v>12</v>
      </c>
      <c r="C18" s="102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IF(vend28[[#This Row],[Nº Venda]]&gt;1,1,0)</f>
        <v>0</v>
      </c>
    </row>
    <row r="19" spans="2:18" ht="15.75" x14ac:dyDescent="0.25">
      <c r="B19" s="29">
        <f>COUNT(entr_carn28[OS])</f>
        <v>0</v>
      </c>
      <c r="C19" s="30">
        <f>SUM(entr_carn28[Valor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A11" zoomScale="90" zoomScaleNormal="90" workbookViewId="0">
      <selection activeCell="F18" sqref="F18"/>
    </sheetView>
  </sheetViews>
  <sheetFormatPr defaultColWidth="9.140625" defaultRowHeight="12.75" x14ac:dyDescent="0.2"/>
  <cols>
    <col min="1" max="1" width="3.7109375" style="1" customWidth="1"/>
    <col min="2" max="2" width="30.5703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99">
        <f>'28'!B1+1</f>
        <v>45655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IF(vend29[[#This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IF(vend29[[#This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44"/>
      <c r="I9" s="8"/>
      <c r="J9" s="2"/>
      <c r="K9" s="24"/>
      <c r="L9" s="9"/>
      <c r="M9" s="16"/>
      <c r="R9" s="1">
        <f>IF(vend29[[#This Row],[Nº Venda]]&gt;1,1,0)</f>
        <v>0</v>
      </c>
    </row>
    <row r="10" spans="2:18" ht="15.75" x14ac:dyDescent="0.25">
      <c r="B10" s="102" t="s">
        <v>5</v>
      </c>
      <c r="C10" s="102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IF(vend29[[#This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IF(vend29[[#This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IF(vend29[[#This Row],[Nº Venda]]&gt;1,1,0)</f>
        <v>0</v>
      </c>
    </row>
    <row r="18" spans="2:18" ht="15.75" x14ac:dyDescent="0.25">
      <c r="B18" s="102" t="s">
        <v>12</v>
      </c>
      <c r="C18" s="102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IF(vend29[[#This Row],[Nº Venda]]&gt;1,1,0)</f>
        <v>0</v>
      </c>
    </row>
    <row r="19" spans="2:18" ht="15.75" x14ac:dyDescent="0.25">
      <c r="B19" s="29">
        <f>COUNT(entr_carn29[OS])</f>
        <v>0</v>
      </c>
      <c r="C19" s="30">
        <f>SUM(entr_carn29[Valor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topLeftCell="B1" zoomScale="90" zoomScaleNormal="90" workbookViewId="0">
      <selection activeCell="E24" sqref="E24:I24"/>
    </sheetView>
  </sheetViews>
  <sheetFormatPr defaultColWidth="9.140625" defaultRowHeight="12.75" x14ac:dyDescent="0.2"/>
  <cols>
    <col min="1" max="1" width="3.7109375" style="1" customWidth="1"/>
    <col min="2" max="2" width="30.5703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99">
        <f>'29'!B1+1</f>
        <v>45656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120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220</v>
      </c>
      <c r="D6" s="2"/>
      <c r="E6" s="89">
        <v>6968</v>
      </c>
      <c r="F6" s="24" t="s">
        <v>174</v>
      </c>
      <c r="G6" s="25" t="s">
        <v>6</v>
      </c>
      <c r="H6" s="8">
        <v>120</v>
      </c>
      <c r="I6" s="8">
        <v>120</v>
      </c>
      <c r="J6" s="2"/>
      <c r="K6" s="24"/>
      <c r="L6" s="9"/>
      <c r="M6" s="16"/>
      <c r="R6" s="1">
        <f>IF(vend30[[#This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IF(vend30[[#This Row],[Nº Venda]]&gt;1,1,0)</f>
        <v>0</v>
      </c>
    </row>
    <row r="8" spans="2:18" ht="15.75" x14ac:dyDescent="0.25">
      <c r="B8" s="27" t="s">
        <v>21</v>
      </c>
      <c r="C8" s="28">
        <f>SUM(C6:C7)</f>
        <v>220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IF(vend30[[#This Row],[Nº Venda]]&gt;1,1,0)</f>
        <v>0</v>
      </c>
    </row>
    <row r="10" spans="2:18" ht="15.75" x14ac:dyDescent="0.25">
      <c r="B10" s="102" t="s">
        <v>5</v>
      </c>
      <c r="C10" s="102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IF(vend30[[#This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220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IF(vend30[[#This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>
        <v>6968</v>
      </c>
      <c r="L15" s="9" t="s">
        <v>139</v>
      </c>
      <c r="M15" s="16" t="s">
        <v>149</v>
      </c>
      <c r="R15" s="1">
        <f>IF(vend30[[#This Row],[Nº Venda]]&gt;1,1,0)</f>
        <v>0</v>
      </c>
    </row>
    <row r="16" spans="2:18" ht="15.75" x14ac:dyDescent="0.25">
      <c r="B16" s="27" t="s">
        <v>11</v>
      </c>
      <c r="C16" s="31">
        <f>SUM(C11:C15)</f>
        <v>220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IF(vend30[[#This Row],[Nº Venda]]&gt;1,1,0)</f>
        <v>0</v>
      </c>
    </row>
    <row r="18" spans="2:22" ht="15.75" x14ac:dyDescent="0.25">
      <c r="B18" s="102" t="s">
        <v>12</v>
      </c>
      <c r="C18" s="102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IF(vend30[[#This Row],[Nº Venda]]&gt;1,1,0)</f>
        <v>0</v>
      </c>
    </row>
    <row r="19" spans="2:22" ht="15.75" x14ac:dyDescent="0.25">
      <c r="B19" s="29">
        <f>COUNT(entr_carn30[OS])</f>
        <v>1</v>
      </c>
      <c r="C19" s="30">
        <f>SUM(entr_carn30[Valor Total])</f>
        <v>270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IF(vend30[[#This Row],[Nº Venda]]&gt;1,1,0)</f>
        <v>0</v>
      </c>
    </row>
    <row r="20" spans="2:22" ht="15.75" x14ac:dyDescent="0.25">
      <c r="B20" s="27" t="s">
        <v>11</v>
      </c>
      <c r="C20" s="31">
        <f>SUM(C19:C19)</f>
        <v>270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  <c r="V21" s="1" t="s">
        <v>126</v>
      </c>
    </row>
    <row r="22" spans="2:22" ht="15.75" x14ac:dyDescent="0.25">
      <c r="B22" s="27" t="s">
        <v>26</v>
      </c>
      <c r="C22" s="31">
        <f>C5</f>
        <v>120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22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7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22" ht="15.75" x14ac:dyDescent="0.25">
      <c r="B26" s="2"/>
      <c r="C26" s="2"/>
      <c r="D26" s="2"/>
      <c r="E26" s="89">
        <v>6964</v>
      </c>
      <c r="F26" s="24" t="s">
        <v>164</v>
      </c>
      <c r="G26" s="101" t="s">
        <v>6</v>
      </c>
      <c r="H26" s="25"/>
      <c r="I26" s="8">
        <v>50</v>
      </c>
      <c r="J26" s="2"/>
      <c r="K26" s="97"/>
      <c r="L26" s="9"/>
      <c r="M26" s="16"/>
    </row>
    <row r="27" spans="2:22" ht="15.75" x14ac:dyDescent="0.25">
      <c r="B27" s="2"/>
      <c r="C27" s="2"/>
      <c r="D27" s="2"/>
      <c r="E27" s="89">
        <v>6965</v>
      </c>
      <c r="F27" s="24" t="s">
        <v>164</v>
      </c>
      <c r="G27" s="25" t="s">
        <v>6</v>
      </c>
      <c r="H27" s="8"/>
      <c r="I27" s="8">
        <v>50</v>
      </c>
      <c r="J27" s="2"/>
      <c r="K27" s="97"/>
      <c r="L27" s="9"/>
      <c r="M27" s="16"/>
    </row>
    <row r="28" spans="2:22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22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22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22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B34" s="1" t="s">
        <v>58</v>
      </c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>
        <v>6964</v>
      </c>
      <c r="L35" s="40">
        <v>3</v>
      </c>
      <c r="M35" s="16">
        <v>270</v>
      </c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G35:G41 H26 G27:G31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topLeftCell="A2" zoomScale="90" zoomScaleNormal="90" workbookViewId="0">
      <selection activeCell="F18" sqref="F18"/>
    </sheetView>
  </sheetViews>
  <sheetFormatPr defaultColWidth="9.140625" defaultRowHeight="12.75" x14ac:dyDescent="0.2"/>
  <cols>
    <col min="1" max="1" width="3.7109375" style="1" customWidth="1"/>
    <col min="2" max="2" width="30.5703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99">
        <f>'30'!B1+1</f>
        <v>45657</v>
      </c>
    </row>
    <row r="2" spans="2:18" ht="18.75" x14ac:dyDescent="0.2">
      <c r="B2" s="107" t="s">
        <v>13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0" t="s">
        <v>1</v>
      </c>
      <c r="F4" s="110"/>
      <c r="G4" s="110"/>
      <c r="H4" s="110"/>
      <c r="I4" s="110"/>
      <c r="J4" s="21"/>
      <c r="K4" s="104" t="s">
        <v>3</v>
      </c>
      <c r="L4" s="105"/>
      <c r="M4" s="10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IF(vend31[[#This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IF(vend31[[#This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IF(vend31[[#This Row],[Nº Venda]]&gt;1,1,0)</f>
        <v>0</v>
      </c>
    </row>
    <row r="10" spans="2:18" ht="15.75" x14ac:dyDescent="0.25">
      <c r="B10" s="102" t="s">
        <v>5</v>
      </c>
      <c r="C10" s="102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IF(vend31[[#This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9"/>
      <c r="F13" s="24"/>
      <c r="G13" s="25"/>
      <c r="H13" s="8"/>
      <c r="I13" s="8"/>
      <c r="J13" s="2"/>
      <c r="K13" s="104" t="s">
        <v>22</v>
      </c>
      <c r="L13" s="105"/>
      <c r="M13" s="106"/>
      <c r="R13" s="1">
        <f>IF(vend31[[#This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IF(vend31[[#This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IF(vend31[[#This Row],[Nº Venda]]&gt;1,1,0)</f>
        <v>0</v>
      </c>
    </row>
    <row r="18" spans="2:18" ht="15.75" x14ac:dyDescent="0.25">
      <c r="B18" s="102" t="s">
        <v>12</v>
      </c>
      <c r="C18" s="102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IF(vend31[[#This Row],[Nº Venda]]&gt;1,1,0)</f>
        <v>0</v>
      </c>
    </row>
    <row r="19" spans="2:18" ht="15.75" x14ac:dyDescent="0.25">
      <c r="B19" s="29">
        <f>COUNT(entr_carn31[OS])</f>
        <v>0</v>
      </c>
      <c r="C19" s="30">
        <f>SUM(entr_carn31[Valor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IF(vend31[[#This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3" t="s">
        <v>27</v>
      </c>
      <c r="F24" s="103"/>
      <c r="G24" s="103"/>
      <c r="H24" s="103"/>
      <c r="I24" s="103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3" t="s">
        <v>28</v>
      </c>
      <c r="F33" s="103"/>
      <c r="G33" s="103"/>
      <c r="H33" s="103"/>
      <c r="I33" s="103"/>
      <c r="K33" s="104" t="s">
        <v>12</v>
      </c>
      <c r="L33" s="105"/>
      <c r="M33" s="10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141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7" t="s">
        <v>62</v>
      </c>
      <c r="B1" s="37" t="s">
        <v>63</v>
      </c>
      <c r="E1" s="37" t="s">
        <v>64</v>
      </c>
    </row>
    <row r="2" spans="1:5" x14ac:dyDescent="0.2">
      <c r="A2" s="37" t="s">
        <v>6</v>
      </c>
      <c r="B2" s="37" t="s">
        <v>65</v>
      </c>
      <c r="E2" t="s">
        <v>46</v>
      </c>
    </row>
    <row r="3" spans="1:5" x14ac:dyDescent="0.2">
      <c r="A3" s="37" t="s">
        <v>7</v>
      </c>
      <c r="B3" s="37" t="s">
        <v>66</v>
      </c>
      <c r="E3" t="s">
        <v>67</v>
      </c>
    </row>
    <row r="4" spans="1:5" x14ac:dyDescent="0.2">
      <c r="A4" s="37" t="s">
        <v>8</v>
      </c>
      <c r="B4" s="37" t="s">
        <v>68</v>
      </c>
      <c r="E4" t="s">
        <v>69</v>
      </c>
    </row>
    <row r="5" spans="1:5" x14ac:dyDescent="0.2">
      <c r="A5" s="37" t="s">
        <v>9</v>
      </c>
      <c r="B5" s="37" t="s">
        <v>70</v>
      </c>
      <c r="E5" t="s">
        <v>71</v>
      </c>
    </row>
    <row r="6" spans="1:5" x14ac:dyDescent="0.2">
      <c r="A6" s="37" t="s">
        <v>10</v>
      </c>
      <c r="B6" s="37" t="s">
        <v>10</v>
      </c>
      <c r="E6" t="s">
        <v>33</v>
      </c>
    </row>
    <row r="7" spans="1:5" x14ac:dyDescent="0.2">
      <c r="A7" s="37" t="s">
        <v>50</v>
      </c>
      <c r="B7" s="37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7" t="s">
        <v>40</v>
      </c>
      <c r="B9" s="37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5</vt:i4>
      </vt:variant>
    </vt:vector>
  </HeadingPairs>
  <TitlesOfParts>
    <vt:vector size="39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Aline Cristina</cp:lastModifiedBy>
  <cp:revision/>
  <cp:lastPrinted>2024-12-20T15:31:09Z</cp:lastPrinted>
  <dcterms:created xsi:type="dcterms:W3CDTF">2004-04-07T20:43:43Z</dcterms:created>
  <dcterms:modified xsi:type="dcterms:W3CDTF">2025-03-08T14:40:15Z</dcterms:modified>
  <cp:category/>
  <cp:contentStatus/>
</cp:coreProperties>
</file>