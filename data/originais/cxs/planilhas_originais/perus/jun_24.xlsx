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comments1.xml" ContentType="application/vnd.openxmlformats-officedocument.spreadsheetml.comments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comments2.xml" ContentType="application/vnd.openxmlformats-officedocument.spreadsheetml.comments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PERUS/CAIXA/2024/"/>
    </mc:Choice>
  </mc:AlternateContent>
  <xr:revisionPtr revIDLastSave="1181" documentId="13_ncr:1_{0402BA61-346E-4614-9EF8-32644BD0418E}" xr6:coauthVersionLast="47" xr6:coauthVersionMax="47" xr10:uidLastSave="{7D32BFC0-92A9-4B35-9E59-A25DFFF9D7E6}"/>
  <bookViews>
    <workbookView xWindow="-120" yWindow="330" windowWidth="29040" windowHeight="15990" tabRatio="895" firstSheet="7" activeTab="2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2">'12'!$A$1:$M$41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88" l="1"/>
  <c r="C13" i="188"/>
  <c r="C14" i="188"/>
  <c r="C15" i="188"/>
  <c r="C11" i="188"/>
  <c r="C12" i="178"/>
  <c r="C13" i="178"/>
  <c r="C14" i="178"/>
  <c r="C15" i="178"/>
  <c r="C11" i="178"/>
  <c r="R20" i="175"/>
  <c r="R19" i="175"/>
  <c r="C19" i="175"/>
  <c r="C20" i="175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70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/>
  <c r="C5" i="173"/>
  <c r="C22" i="173"/>
  <c r="C5" i="172"/>
  <c r="C22" i="172"/>
  <c r="C5" i="171"/>
  <c r="C22" i="171"/>
  <c r="C5" i="170"/>
  <c r="C22" i="170"/>
  <c r="C5" i="103"/>
  <c r="C5" i="178"/>
  <c r="C22" i="178"/>
  <c r="C5" i="177"/>
  <c r="C22" i="177"/>
  <c r="C5" i="176"/>
  <c r="C22" i="176"/>
  <c r="C5" i="180"/>
  <c r="C22" i="180"/>
  <c r="C5" i="182"/>
  <c r="C22" i="182"/>
  <c r="C5" i="183"/>
  <c r="C22" i="183"/>
  <c r="C5" i="181"/>
  <c r="C22" i="181"/>
  <c r="C5" i="179"/>
  <c r="C22" i="179"/>
  <c r="C5" i="184"/>
  <c r="C22" i="184"/>
  <c r="C5" i="185"/>
  <c r="C22" i="185"/>
  <c r="C5" i="186"/>
  <c r="C22" i="186"/>
  <c r="C5" i="187"/>
  <c r="C22" i="187"/>
  <c r="C5" i="189"/>
  <c r="C22" i="189"/>
  <c r="C5" i="190"/>
  <c r="C22" i="190" s="1"/>
  <c r="C5" i="191"/>
  <c r="C22" i="191"/>
  <c r="C5" i="188"/>
  <c r="C22" i="188"/>
  <c r="C5" i="193"/>
  <c r="C22" i="193"/>
  <c r="C5" i="195"/>
  <c r="C22" i="195"/>
  <c r="C5" i="194"/>
  <c r="C22" i="194"/>
  <c r="C5" i="197"/>
  <c r="C22" i="197"/>
  <c r="C5" i="196"/>
  <c r="C22" i="196"/>
  <c r="C5" i="192"/>
  <c r="C22" i="192"/>
  <c r="C5" i="199"/>
  <c r="C22" i="199"/>
  <c r="C5" i="198"/>
  <c r="C22" i="198"/>
  <c r="C6" i="174"/>
  <c r="C8" i="174"/>
  <c r="C6" i="173"/>
  <c r="C6" i="172"/>
  <c r="C8" i="172"/>
  <c r="C6" i="171"/>
  <c r="C8" i="171"/>
  <c r="C6" i="170"/>
  <c r="C6" i="103"/>
  <c r="C6" i="178"/>
  <c r="C6" i="177"/>
  <c r="C6" i="176"/>
  <c r="C6" i="180"/>
  <c r="C6" i="182"/>
  <c r="C6" i="183"/>
  <c r="C6" i="181"/>
  <c r="C6" i="179"/>
  <c r="C8" i="179"/>
  <c r="C6" i="184"/>
  <c r="C6" i="185"/>
  <c r="C6" i="186"/>
  <c r="C6" i="187"/>
  <c r="C8" i="187"/>
  <c r="C6" i="189"/>
  <c r="C8" i="189"/>
  <c r="C6" i="190"/>
  <c r="C8" i="190"/>
  <c r="C6" i="191"/>
  <c r="C6" i="188"/>
  <c r="C6" i="193"/>
  <c r="C6" i="195"/>
  <c r="C6" i="194"/>
  <c r="C8" i="194"/>
  <c r="C6" i="197"/>
  <c r="C8" i="197"/>
  <c r="C6" i="196"/>
  <c r="C8" i="196"/>
  <c r="C6" i="192"/>
  <c r="C6" i="199"/>
  <c r="C8" i="199"/>
  <c r="C6" i="198"/>
  <c r="R20" i="199"/>
  <c r="R19" i="199"/>
  <c r="C19" i="199"/>
  <c r="C20" i="199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40" i="190" s="1"/>
  <c r="R20" i="189"/>
  <c r="R19" i="189"/>
  <c r="C19" i="189"/>
  <c r="C20" i="189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/>
  <c r="C8" i="186"/>
  <c r="C8" i="173"/>
  <c r="C8" i="176"/>
  <c r="C8" i="192"/>
  <c r="C8" i="183"/>
  <c r="C8" i="175"/>
  <c r="R40" i="194"/>
  <c r="R40" i="183"/>
  <c r="R40" i="192"/>
  <c r="R40" i="196"/>
  <c r="C8" i="191"/>
  <c r="R40" i="198"/>
  <c r="B17" i="200"/>
  <c r="B18" i="200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/>
  <c r="R40" i="170"/>
  <c r="C16" i="175"/>
  <c r="O11" i="175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/>
  <c r="R40" i="171"/>
  <c r="B5" i="200"/>
  <c r="B4" i="200"/>
  <c r="C16" i="196"/>
  <c r="O11" i="196"/>
  <c r="C16" i="189"/>
  <c r="O11" i="189"/>
  <c r="C16" i="188"/>
  <c r="O11" i="188"/>
  <c r="C16" i="185"/>
  <c r="O11" i="185"/>
  <c r="C8" i="195"/>
  <c r="C8" i="193"/>
  <c r="C8" i="178"/>
  <c r="C8" i="198"/>
  <c r="C8" i="185"/>
  <c r="C8" i="181"/>
  <c r="C8" i="170"/>
  <c r="C8" i="177"/>
  <c r="C8" i="182"/>
  <c r="C16" i="198"/>
  <c r="O11" i="198"/>
  <c r="C16" i="199"/>
  <c r="O11" i="199"/>
  <c r="C16" i="192"/>
  <c r="O11" i="192"/>
  <c r="C16" i="197"/>
  <c r="O11" i="197"/>
  <c r="C16" i="194"/>
  <c r="O11" i="194"/>
  <c r="C16" i="193"/>
  <c r="O11" i="193"/>
  <c r="C16" i="191"/>
  <c r="O11" i="191"/>
  <c r="C16" i="190"/>
  <c r="O11" i="190"/>
  <c r="C16" i="187"/>
  <c r="O11" i="187"/>
  <c r="C16" i="186"/>
  <c r="O11" i="186"/>
  <c r="C16" i="184"/>
  <c r="O11" i="184"/>
  <c r="C8" i="184"/>
  <c r="C16" i="179"/>
  <c r="O11" i="179"/>
  <c r="C16" i="181"/>
  <c r="O11" i="181"/>
  <c r="C16" i="183"/>
  <c r="O11" i="183"/>
  <c r="C16" i="182"/>
  <c r="O11" i="182"/>
  <c r="C16" i="180"/>
  <c r="O11" i="180"/>
  <c r="C16" i="176"/>
  <c r="O11" i="176"/>
  <c r="C16" i="177"/>
  <c r="O11" i="177"/>
  <c r="C16" i="178"/>
  <c r="O11" i="178"/>
  <c r="C16" i="172"/>
  <c r="O11" i="172"/>
  <c r="C16" i="173"/>
  <c r="O11" i="173"/>
  <c r="C16" i="174"/>
  <c r="O11" i="174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/>
  <c r="C16" i="103"/>
  <c r="O11" i="103"/>
  <c r="C8" i="103"/>
  <c r="R40" i="103"/>
  <c r="B1" i="174"/>
  <c r="B1" i="173"/>
  <c r="B1" i="172"/>
  <c r="B1" i="171"/>
  <c r="B1" i="170"/>
  <c r="B1" i="103"/>
  <c r="B1" i="178"/>
  <c r="B1" i="177"/>
  <c r="B1" i="176"/>
  <c r="B1" i="180"/>
  <c r="B1" i="182"/>
  <c r="B1" i="183"/>
  <c r="B1" i="181"/>
  <c r="B1" i="179"/>
  <c r="B1" i="184"/>
  <c r="B1" i="185"/>
  <c r="B1" i="186"/>
  <c r="B1" i="187"/>
  <c r="B1" i="189"/>
  <c r="B1" i="190"/>
  <c r="B1" i="191"/>
  <c r="B1" i="188"/>
  <c r="B1" i="193"/>
  <c r="B1" i="195"/>
  <c r="B1" i="194"/>
  <c r="B1" i="197"/>
  <c r="B1" i="196"/>
  <c r="B1" i="192"/>
  <c r="B1" i="199"/>
  <c r="B1" i="198"/>
  <c r="B3" i="200" l="1"/>
  <c r="B9" i="200"/>
  <c r="B13" i="200"/>
  <c r="B12" i="200"/>
  <c r="B11" i="200"/>
  <c r="B10" i="200"/>
  <c r="C16" i="195"/>
  <c r="O11" i="195" s="1"/>
  <c r="B14" i="20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H8" authorId="0" shapeId="0" xr:uid="{EBF87B7C-EAEF-4E86-B3D5-D1441BEED6B3}">
      <text>
        <r>
          <rPr>
            <b/>
            <sz val="9"/>
            <color indexed="81"/>
            <rFont val="Segoe UI"/>
            <charset val="1"/>
          </rPr>
          <t>Admin:</t>
        </r>
        <r>
          <rPr>
            <sz val="9"/>
            <color indexed="81"/>
            <rFont val="Segoe UI"/>
            <charset val="1"/>
          </rPr>
          <t xml:space="preserve">
valor renegociado pela Taty
&gt; novo valor: R$ 599,00 
&gt; sinal: R$ 110,00
&gt; R$ 489,00 parcelado em 10x no carnê da loja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6" authorId="0" shapeId="0" xr:uid="{A778CFA5-7269-435D-BE79-4ED902EF3FC9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OS CANCELADA
&gt; NOVA OS 884 - sinal de R$ 50,00 utilizado referente o dia 28/06/2024. 
At.te, 
Aline - ciente.</t>
        </r>
      </text>
    </comment>
  </commentList>
</comments>
</file>

<file path=xl/sharedStrings.xml><?xml version="1.0" encoding="utf-8"?>
<sst xmlns="http://schemas.openxmlformats.org/spreadsheetml/2006/main" count="1922" uniqueCount="239">
  <si>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</si>
  <si>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</si>
  <si>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</si>
  <si>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</si>
  <si>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</si>
  <si>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</si>
  <si>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</si>
  <si>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</si>
  <si>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</si>
  <si>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</si>
  <si>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</si>
  <si>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</si>
  <si>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</si>
  <si>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 - Escritório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</si>
  <si>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</si>
  <si>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</si>
  <si>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</si>
  <si>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</si>
  <si>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</si>
  <si>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</si>
  <si>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</si>
  <si>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 xml:space="preserve">GABRIEL APARECIDO 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</si>
  <si>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</si>
  <si>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</si>
  <si>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</si>
  <si>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</si>
  <si>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</si>
  <si>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</si>
  <si>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</si>
  <si>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</si>
  <si>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</si>
  <si>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</si>
  <si>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</si>
  <si>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</si>
  <si>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Total de OS</t>
  </si>
  <si>
    <t>Fechamento Diário do Caixa</t>
  </si>
  <si>
    <t xml:space="preserve"> V</t>
  </si>
  <si>
    <t xml:space="preserve">LEANDRO ALONSO </t>
  </si>
  <si>
    <t>LUANA</t>
  </si>
  <si>
    <t>Não</t>
  </si>
  <si>
    <t>LUINEIDE MARIA</t>
  </si>
  <si>
    <t>SIM</t>
  </si>
  <si>
    <t>NÃO</t>
  </si>
  <si>
    <t>JOSE CARLOS DE CARVALHO</t>
  </si>
  <si>
    <t>IARA PAIXAO</t>
  </si>
  <si>
    <t>ANTONIO JORGE</t>
  </si>
  <si>
    <t>PARC. 1/5</t>
  </si>
  <si>
    <t xml:space="preserve"> BENEDITO GERALDO</t>
  </si>
  <si>
    <t xml:space="preserve">MARIA MARTA </t>
  </si>
  <si>
    <t>JOEL GOMES</t>
  </si>
  <si>
    <t>PRISCILA  RANATA</t>
  </si>
  <si>
    <t>EDINEIA POMPEU</t>
  </si>
  <si>
    <t>VERA ALICE</t>
  </si>
  <si>
    <t>ARIOVALDO FERNANDES</t>
  </si>
  <si>
    <t>JACKSON DE JESUS</t>
  </si>
  <si>
    <t>SS</t>
  </si>
  <si>
    <t>SARA DAS CHAGAS</t>
  </si>
  <si>
    <t>LEANDRO ALONSO</t>
  </si>
  <si>
    <t>ALEXANDRE DA SILVA</t>
  </si>
  <si>
    <t>PARC. 3/10</t>
  </si>
  <si>
    <t xml:space="preserve">SILVIO GERALDO </t>
  </si>
  <si>
    <t>JENIFER VITORIA</t>
  </si>
  <si>
    <t>THONY</t>
  </si>
  <si>
    <t>INACIO JOSE</t>
  </si>
  <si>
    <t>PARC. 2/4</t>
  </si>
  <si>
    <t>CARINE ALMEIDA</t>
  </si>
  <si>
    <t>PARC. 2/10</t>
  </si>
  <si>
    <t xml:space="preserve"> </t>
  </si>
  <si>
    <t xml:space="preserve">        </t>
  </si>
  <si>
    <t>Tipo Pagto</t>
  </si>
  <si>
    <t>descricao</t>
  </si>
  <si>
    <t xml:space="preserve">Parcelas </t>
  </si>
  <si>
    <t>Dinheiro</t>
  </si>
  <si>
    <t>PARC. 1/1</t>
  </si>
  <si>
    <t>Cartão Débito</t>
  </si>
  <si>
    <t>PARC. 1/2</t>
  </si>
  <si>
    <t>Cartão Crédito</t>
  </si>
  <si>
    <t>PARC. 2/2</t>
  </si>
  <si>
    <t>Parcelado Cartão Crédito</t>
  </si>
  <si>
    <t>PARC. 1/3</t>
  </si>
  <si>
    <t>PARC. 2/3</t>
  </si>
  <si>
    <t>Sem Sinal</t>
  </si>
  <si>
    <t>PARC. 3/3</t>
  </si>
  <si>
    <t xml:space="preserve">Carne </t>
  </si>
  <si>
    <t>PARC. 1/4</t>
  </si>
  <si>
    <t>GARANTIA</t>
  </si>
  <si>
    <t>Todas as Garantias</t>
  </si>
  <si>
    <t>PARC. 3/4</t>
  </si>
  <si>
    <t>PARC. 4/4</t>
  </si>
  <si>
    <t>PARC. 2/5</t>
  </si>
  <si>
    <t>PARC. 3/5</t>
  </si>
  <si>
    <t>PARC. 4/5</t>
  </si>
  <si>
    <t>PARC. 5/5</t>
  </si>
  <si>
    <t>PARC. 1/6</t>
  </si>
  <si>
    <t>PARC. 2/6</t>
  </si>
  <si>
    <t>PARC. 3/6</t>
  </si>
  <si>
    <t>PARC. 4/6</t>
  </si>
  <si>
    <t>PARC. 5/6</t>
  </si>
  <si>
    <t>PARC. 6/6</t>
  </si>
  <si>
    <t>PARC. 1/7</t>
  </si>
  <si>
    <t>PARC. 2/7</t>
  </si>
  <si>
    <t>PARC. 3/7</t>
  </si>
  <si>
    <t>PARC. 4/7</t>
  </si>
  <si>
    <t>PARC. 5/7</t>
  </si>
  <si>
    <t>PARC. 6/7</t>
  </si>
  <si>
    <t>PARC. 7/7</t>
  </si>
  <si>
    <t>PARC. 1/8</t>
  </si>
  <si>
    <t>PARC. 2/8</t>
  </si>
  <si>
    <t>PARC. 3/8</t>
  </si>
  <si>
    <t>PARC. 4/8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</si>
  <si>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</si>
  <si>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</si>
  <si>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</si>
  <si>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</si>
  <si>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</si>
  <si>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</si>
  <si>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</si>
  <si>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</si>
  <si>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</si>
  <si>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</si>
  <si>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</si>
  <si>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</si>
  <si>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</si>
  <si>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</si>
  <si>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</si>
  <si>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</si>
  <si>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</si>
  <si>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</si>
  <si>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</si>
  <si>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</si>
  <si>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</si>
  <si>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</si>
  <si>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</si>
  <si>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</si>
  <si>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</si>
  <si>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</si>
  <si>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</si>
  <si>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</si>
  <si>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</si>
  <si>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</si>
  <si>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</si>
  <si>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</si>
  <si>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</si>
  <si>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</si>
  <si>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</si>
  <si>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</si>
  <si>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</si>
  <si>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</si>
  <si>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</si>
  <si>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</si>
  <si>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</si>
  <si>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</si>
  <si>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</si>
  <si>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</si>
  <si>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,,,,</t>
  </si>
  <si>
    <t>JOSE AGUINALDO</t>
  </si>
  <si>
    <t>GABRIEL APERECIDO</t>
  </si>
  <si>
    <t>ROGER ALVES</t>
  </si>
  <si>
    <t>ALINE MENSES</t>
  </si>
  <si>
    <t>AGUA</t>
  </si>
  <si>
    <t xml:space="preserve">JORGE LUIZ </t>
  </si>
  <si>
    <t>CONSULTA</t>
  </si>
  <si>
    <t>CICERA DE LIMA PACHECO</t>
  </si>
  <si>
    <t>Aline Cristina</t>
  </si>
  <si>
    <t>Taty</t>
  </si>
  <si>
    <t>FRANCISCO GLAUDIO</t>
  </si>
  <si>
    <t>Sim</t>
  </si>
  <si>
    <t>edvan araujo de paiva</t>
  </si>
  <si>
    <t xml:space="preserve">osvaldo vieira do carmo </t>
  </si>
  <si>
    <t>cleber gonçalves</t>
  </si>
  <si>
    <t>augusta de carvalho</t>
  </si>
  <si>
    <t>juliana galter</t>
  </si>
  <si>
    <t xml:space="preserve">cibele cristina </t>
  </si>
  <si>
    <t>max aparecido</t>
  </si>
  <si>
    <t xml:space="preserve">max aparecido </t>
  </si>
  <si>
    <t>eliana vidal</t>
  </si>
  <si>
    <t>orlando luiz</t>
  </si>
  <si>
    <t>luana</t>
  </si>
  <si>
    <t xml:space="preserve">vera lucia </t>
  </si>
  <si>
    <t>thiago Yuri</t>
  </si>
  <si>
    <t>vanessa mendes</t>
  </si>
  <si>
    <t>,</t>
  </si>
  <si>
    <t xml:space="preserve">   </t>
  </si>
  <si>
    <t>IOLANDA DO NASCIMENTO</t>
  </si>
  <si>
    <t>LAERCIO AUGUSTA DA SILVA</t>
  </si>
  <si>
    <t>+</t>
  </si>
  <si>
    <t xml:space="preserve">JACKSON  DE JESUS </t>
  </si>
  <si>
    <t>RODRIGO  SALUSTIANO</t>
  </si>
  <si>
    <t xml:space="preserve">agua </t>
  </si>
  <si>
    <t>pix</t>
  </si>
  <si>
    <t xml:space="preserve">ROSINEIDE ANGILINA </t>
  </si>
  <si>
    <t>ALEX FERNANDES</t>
  </si>
  <si>
    <t>BENEDITO GERALDO</t>
  </si>
  <si>
    <t>Raíssa Aparecida da Silva Previato</t>
  </si>
  <si>
    <t>SARA CHAGAS</t>
  </si>
  <si>
    <t>Luana</t>
  </si>
  <si>
    <t>MARIZA SOARES</t>
  </si>
  <si>
    <t>JOAO DO SANTOS</t>
  </si>
  <si>
    <t>EDUARDO APARECIDO</t>
  </si>
  <si>
    <t>THONY GUSTAVE</t>
  </si>
  <si>
    <t>HAMILTON ANTONIO</t>
  </si>
  <si>
    <t>MARIA CELIA</t>
  </si>
  <si>
    <t>ROSANA CRISTINA</t>
  </si>
  <si>
    <t>VANESSA</t>
  </si>
  <si>
    <t>ANA BRAZ</t>
  </si>
  <si>
    <t>LUCINEIDE</t>
  </si>
  <si>
    <t>JOGE LUIZ</t>
  </si>
  <si>
    <t>SULFITE</t>
  </si>
  <si>
    <t>ANTONIO DESODERIO</t>
  </si>
  <si>
    <t>ROSIMERI XAVIER</t>
  </si>
  <si>
    <t>PATRCIA PACIFICO</t>
  </si>
  <si>
    <t>VERA LUCIA</t>
  </si>
  <si>
    <t>CHAVEIRO</t>
  </si>
  <si>
    <t>JUSSARA CARVALHO</t>
  </si>
  <si>
    <t>SOLANGE DO ESPIRITO</t>
  </si>
  <si>
    <t xml:space="preserve">Rogerio </t>
  </si>
  <si>
    <t xml:space="preserve">RODRIGO </t>
  </si>
  <si>
    <t>FERNADA DAS NEVES</t>
  </si>
  <si>
    <t>VANESSA GOMES</t>
  </si>
  <si>
    <t>TAWANI THAIS</t>
  </si>
  <si>
    <t>OSVALDO VIERIRA</t>
  </si>
  <si>
    <t xml:space="preserve">LUANA </t>
  </si>
  <si>
    <t xml:space="preserve">ANA LUCIA </t>
  </si>
  <si>
    <t>JOSEFA GOMES</t>
  </si>
  <si>
    <t xml:space="preserve">MARCELO RAIMUNDO </t>
  </si>
  <si>
    <t>ODAIR APARECIDO</t>
  </si>
  <si>
    <t>MARIA ARAUJO</t>
  </si>
  <si>
    <t>JOSE CICERO</t>
  </si>
  <si>
    <t>ELIENE NOVAES</t>
  </si>
  <si>
    <t>ANTHONY BUENO</t>
  </si>
  <si>
    <t xml:space="preserve">NIVEA CAPRIANO TOLEDO </t>
  </si>
  <si>
    <t>VALTER DE ALMEIDA</t>
  </si>
  <si>
    <t xml:space="preserve">JOSE CARLOS GOMES </t>
  </si>
  <si>
    <t xml:space="preserve">PILHAS </t>
  </si>
  <si>
    <t>R$ 0,00</t>
  </si>
  <si>
    <t>GISLENE CORREA</t>
  </si>
  <si>
    <t>TAWANI</t>
  </si>
  <si>
    <t>LUANA CRISTINA</t>
  </si>
  <si>
    <t xml:space="preserve">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</si>
</sst>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5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sz val="12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b/>
      <sz val="12"/>
      <name val="Arial"/>
      <family val="2"/>
    </font>
    <font>
      <strike/>
      <sz val="12"/>
      <name val="Arial"/>
      <family val="2"/>
    </font>
    <font>
      <strike/>
      <sz val="11"/>
      <name val="Calibri"/>
      <family val="2"/>
    </font>
    <font>
      <strike/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4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17" xfId="0" applyNumberFormat="1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8" fillId="0" borderId="17" xfId="0" applyNumberFormat="1" applyFont="1" applyBorder="1" applyAlignment="1">
      <alignment horizontal="center"/>
    </xf>
    <xf numFmtId="165" fontId="38" fillId="0" borderId="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0" fillId="5" borderId="0" xfId="2" applyFont="1" applyFill="1" applyBorder="1" applyAlignment="1">
      <alignment horizontal="center"/>
    </xf>
    <xf numFmtId="44" fontId="40" fillId="0" borderId="13" xfId="39" applyFont="1" applyFill="1" applyBorder="1" applyAlignment="1">
      <alignment horizontal="center"/>
    </xf>
    <xf numFmtId="165" fontId="40" fillId="0" borderId="13" xfId="4" applyNumberFormat="1" applyFont="1" applyFill="1" applyBorder="1" applyAlignment="1">
      <alignment horizontal="center"/>
    </xf>
    <xf numFmtId="14" fontId="41" fillId="0" borderId="0" xfId="0" applyNumberFormat="1" applyFont="1" applyAlignment="1">
      <alignment horizontal="center"/>
    </xf>
    <xf numFmtId="0" fontId="30" fillId="0" borderId="17" xfId="4" applyNumberFormat="1" applyFont="1" applyFill="1" applyBorder="1" applyAlignment="1">
      <alignment horizontal="center"/>
    </xf>
    <xf numFmtId="0" fontId="42" fillId="0" borderId="13" xfId="0" applyFont="1" applyBorder="1" applyAlignment="1">
      <alignment horizontal="center"/>
    </xf>
    <xf numFmtId="164" fontId="36" fillId="0" borderId="13" xfId="2" applyFont="1" applyFill="1" applyBorder="1" applyAlignment="1">
      <alignment horizontal="center"/>
    </xf>
    <xf numFmtId="164" fontId="38" fillId="0" borderId="13" xfId="2" applyFont="1" applyFill="1" applyBorder="1" applyAlignment="1">
      <alignment horizontal="center"/>
    </xf>
    <xf numFmtId="165" fontId="38" fillId="0" borderId="13" xfId="4" applyNumberFormat="1" applyFont="1" applyFill="1" applyBorder="1" applyAlignment="1">
      <alignment horizontal="center"/>
    </xf>
    <xf numFmtId="0" fontId="43" fillId="0" borderId="17" xfId="0" applyFont="1" applyBorder="1" applyAlignment="1">
      <alignment horizontal="center"/>
    </xf>
    <xf numFmtId="0" fontId="44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0" fontId="42" fillId="0" borderId="17" xfId="0" applyFont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64" fontId="24" fillId="0" borderId="3" xfId="2" applyFont="1" applyFill="1" applyBorder="1" applyAlignment="1">
      <alignment horizontal="center"/>
    </xf>
    <xf numFmtId="164" fontId="30" fillId="0" borderId="3" xfId="2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30" fillId="0" borderId="17" xfId="2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164" fontId="13" fillId="0" borderId="13" xfId="2" applyFont="1" applyFill="1" applyBorder="1" applyAlignment="1">
      <alignment horizontal="center"/>
    </xf>
    <xf numFmtId="0" fontId="45" fillId="0" borderId="17" xfId="0" applyFont="1" applyBorder="1" applyAlignment="1">
      <alignment horizontal="center"/>
    </xf>
    <xf numFmtId="0" fontId="46" fillId="0" borderId="17" xfId="0" applyFont="1" applyBorder="1" applyAlignment="1">
      <alignment horizontal="center"/>
    </xf>
    <xf numFmtId="164" fontId="47" fillId="0" borderId="17" xfId="2" applyFont="1" applyFill="1" applyBorder="1" applyAlignment="1">
      <alignment horizontal="center"/>
    </xf>
    <xf numFmtId="165" fontId="47" fillId="0" borderId="17" xfId="4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0" headerRowBorderDxfId="1639" tableBorderDxfId="1638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1" dataDxfId="1629" headerRowBorderDxfId="1630" tableBorderDxfId="1628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3" headerRowBorderDxfId="1622" tableBorderDxfId="1621" totalsRowBorderDxfId="1620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4" headerRowBorderDxfId="1613" tableBorderDxfId="1612" totalsRowBorderDxfId="1611">
  <autoFilter ref="K14:M31" xr:uid="{F07D43AD-1A4D-4B31-96B8-824F8623E518}"/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7" headerRowBorderDxfId="1606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R$ 0,00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2.xml"/><Relationship Id="rId3" Type="http://schemas.openxmlformats.org/officeDocument/2006/relationships/table" Target="../tables/table157.xml"/><Relationship Id="rId7" Type="http://schemas.openxmlformats.org/officeDocument/2006/relationships/table" Target="../tables/table16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0.xml"/><Relationship Id="rId5" Type="http://schemas.openxmlformats.org/officeDocument/2006/relationships/table" Target="../tables/table159.xml"/><Relationship Id="rId4" Type="http://schemas.openxmlformats.org/officeDocument/2006/relationships/table" Target="../tables/table158.xml"/><Relationship Id="rId9" Type="http://schemas.openxmlformats.org/officeDocument/2006/relationships/comments" Target="../comments1.xm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8.xml"/><Relationship Id="rId3" Type="http://schemas.openxmlformats.org/officeDocument/2006/relationships/table" Target="../tables/table163.xml"/><Relationship Id="rId7" Type="http://schemas.openxmlformats.org/officeDocument/2006/relationships/table" Target="../tables/table167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6.xml"/><Relationship Id="rId5" Type="http://schemas.openxmlformats.org/officeDocument/2006/relationships/table" Target="../tables/table165.xml"/><Relationship Id="rId4" Type="http://schemas.openxmlformats.org/officeDocument/2006/relationships/table" Target="../tables/table164.xml"/><Relationship Id="rId9" Type="http://schemas.openxmlformats.org/officeDocument/2006/relationships/comments" Target="../comments2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2:B18"/>
  <sheetViews>
    <sheetView workbookViewId="0">
      <selection activeCell="D10" sqref="D10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77">
        <v>0</v>
      </c>
    </row>
    <row r="3" spans="1:2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40701.69</v>
      </c>
    </row>
    <row r="4" spans="1:2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26670.690000000002</v>
      </c>
    </row>
    <row r="5" spans="1:2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293.89999999999998</v>
      </c>
    </row>
    <row r="6" spans="1:2" ht="15.75" x14ac:dyDescent="0.25">
      <c r="A6" s="28" t="s">
        <v>4</v>
      </c>
      <c r="B6" s="29">
        <f>SUM(B4:B5)</f>
        <v>26964.590000000004</v>
      </c>
    </row>
    <row r="7" spans="1:2" ht="15" x14ac:dyDescent="0.25">
      <c r="A7" s="2"/>
      <c r="B7" s="2"/>
    </row>
    <row r="8" spans="1:2" ht="15" x14ac:dyDescent="0.2">
      <c r="A8" s="105" t="s">
        <v>5</v>
      </c>
      <c r="B8" s="105"/>
    </row>
    <row r="9" spans="1:2" ht="15" x14ac:dyDescent="0.25">
      <c r="A9" s="30" t="s">
        <v>6</v>
      </c>
      <c r="B9" s="24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2514.6</v>
      </c>
    </row>
    <row r="10" spans="1:2" ht="15" x14ac:dyDescent="0.25">
      <c r="A10" s="30" t="s">
        <v>7</v>
      </c>
      <c r="B10" s="24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4420</v>
      </c>
    </row>
    <row r="11" spans="1:2" ht="15" x14ac:dyDescent="0.25">
      <c r="A11" s="30" t="s">
        <v>8</v>
      </c>
      <c r="B11" s="24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5868.8899999999994</v>
      </c>
    </row>
    <row r="12" spans="1:2" ht="15" x14ac:dyDescent="0.25">
      <c r="A12" s="30" t="s">
        <v>9</v>
      </c>
      <c r="B12" s="24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11708</v>
      </c>
    </row>
    <row r="13" spans="1:2" ht="15" x14ac:dyDescent="0.25">
      <c r="A13" s="30" t="s">
        <v>10</v>
      </c>
      <c r="B13" s="24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3431.0499999999997</v>
      </c>
    </row>
    <row r="14" spans="1:2" ht="15.75" x14ac:dyDescent="0.25">
      <c r="A14" s="28" t="s">
        <v>11</v>
      </c>
      <c r="B14" s="78">
        <f ca="1">SUM(B9:B13)</f>
        <v>27942.539999999997</v>
      </c>
    </row>
    <row r="15" spans="1:2" ht="15" x14ac:dyDescent="0.25">
      <c r="A15" s="2"/>
      <c r="B15" s="2"/>
    </row>
    <row r="16" spans="1:2" ht="15" x14ac:dyDescent="0.2">
      <c r="A16" s="105" t="s">
        <v>12</v>
      </c>
      <c r="B16" s="105"/>
    </row>
    <row r="17" spans="1:2" ht="15" x14ac:dyDescent="0.25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2877</v>
      </c>
    </row>
    <row r="18" spans="1:2" ht="15.75" x14ac:dyDescent="0.25">
      <c r="A18" s="28" t="s">
        <v>11</v>
      </c>
      <c r="B18" s="78">
        <f>SUM(B17:B17)</f>
        <v>2877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B1" zoomScale="80" zoomScaleNormal="80" workbookViewId="0">
      <selection activeCell="V9" sqref="V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6">
        <v>45444</v>
      </c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3" t="s">
        <v>1</v>
      </c>
      <c r="F4" s="113"/>
      <c r="G4" s="113"/>
      <c r="H4" s="113"/>
      <c r="I4" s="113"/>
      <c r="J4" s="22"/>
      <c r="K4" s="107" t="s">
        <v>3</v>
      </c>
      <c r="L4" s="108"/>
      <c r="M4" s="109"/>
    </row>
    <row r="5" spans="2:18" ht="15" x14ac:dyDescent="0.25">
      <c r="B5" s="23" t="s">
        <v>1</v>
      </c>
      <c r="C5" s="24">
        <f>SUMIF(I6:I31,"&gt;0",H6:H31)</f>
        <v>700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200</v>
      </c>
      <c r="D6" s="2"/>
      <c r="E6" s="18">
        <v>714</v>
      </c>
      <c r="F6" s="25" t="s">
        <v>21</v>
      </c>
      <c r="G6" s="26" t="s">
        <v>7</v>
      </c>
      <c r="H6" s="8">
        <v>700</v>
      </c>
      <c r="I6" s="8">
        <v>200</v>
      </c>
      <c r="J6" s="2"/>
      <c r="K6" s="25"/>
      <c r="L6" s="9"/>
      <c r="M6" s="16"/>
      <c r="R6" s="1">
        <f>IF(vend1[[#This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22</v>
      </c>
      <c r="C8" s="29">
        <f>SUM(C6:C7)</f>
        <v>200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105" t="s">
        <v>5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7" t="s">
        <v>23</v>
      </c>
      <c r="L13" s="108"/>
      <c r="M13" s="109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200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105" t="s">
        <v>12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700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6" t="s">
        <v>28</v>
      </c>
      <c r="F24" s="106"/>
      <c r="G24" s="106"/>
      <c r="H24" s="106"/>
      <c r="I24" s="10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6" t="s">
        <v>29</v>
      </c>
      <c r="F33" s="106"/>
      <c r="G33" s="106"/>
      <c r="H33" s="106"/>
      <c r="I33" s="106"/>
      <c r="K33" s="107" t="s">
        <v>12</v>
      </c>
      <c r="L33" s="108"/>
      <c r="M33" s="109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34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topLeftCell="A11" zoomScale="80" zoomScaleNormal="80" workbookViewId="0">
      <selection activeCell="E37" sqref="E37:I37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2">
        <f>'01'!B1+1</f>
        <v>45445</v>
      </c>
    </row>
    <row r="2" spans="2:18" ht="18.75" x14ac:dyDescent="0.2">
      <c r="B2" s="110" t="s">
        <v>35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3" t="s">
        <v>1</v>
      </c>
      <c r="F4" s="113"/>
      <c r="G4" s="113"/>
      <c r="H4" s="113"/>
      <c r="I4" s="113"/>
      <c r="J4" s="22"/>
      <c r="K4" s="107" t="s">
        <v>3</v>
      </c>
      <c r="L4" s="108"/>
      <c r="M4" s="10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105" t="s">
        <v>5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2"/>
      <c r="F13" s="62"/>
      <c r="G13" s="93"/>
      <c r="H13" s="74"/>
      <c r="I13" s="74"/>
      <c r="J13" s="2"/>
      <c r="K13" s="107" t="s">
        <v>23</v>
      </c>
      <c r="L13" s="108"/>
      <c r="M13" s="109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2"/>
      <c r="F14" s="62"/>
      <c r="G14" s="93"/>
      <c r="H14" s="74"/>
      <c r="I14" s="74"/>
      <c r="J14" s="2"/>
      <c r="K14" s="14" t="s">
        <v>24</v>
      </c>
      <c r="L14" s="6" t="s">
        <v>25</v>
      </c>
      <c r="M14" s="15" t="s">
        <v>26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105" t="s">
        <v>12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6" t="s">
        <v>28</v>
      </c>
      <c r="F24" s="106"/>
      <c r="G24" s="106"/>
      <c r="H24" s="106"/>
      <c r="I24" s="10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21" ht="15" x14ac:dyDescent="0.25">
      <c r="B33" s="2"/>
      <c r="C33" s="2"/>
      <c r="E33" s="106" t="s">
        <v>29</v>
      </c>
      <c r="F33" s="106"/>
      <c r="G33" s="106"/>
      <c r="H33" s="106"/>
      <c r="I33" s="106"/>
      <c r="K33" s="107" t="s">
        <v>12</v>
      </c>
      <c r="L33" s="108"/>
      <c r="M33" s="109"/>
    </row>
    <row r="34" spans="2:21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  <c r="U34" s="1" t="s">
        <v>36</v>
      </c>
    </row>
    <row r="35" spans="2:21" ht="15.75" x14ac:dyDescent="0.25">
      <c r="E35" s="18"/>
      <c r="F35" s="25"/>
      <c r="G35" s="26"/>
      <c r="H35" s="8"/>
      <c r="I35" s="8"/>
      <c r="K35" s="25"/>
      <c r="L35" s="41"/>
      <c r="M35" s="16"/>
    </row>
    <row r="36" spans="2:21" ht="15.75" x14ac:dyDescent="0.25">
      <c r="E36" s="18"/>
      <c r="F36" s="25"/>
      <c r="G36" s="26"/>
      <c r="H36" s="8"/>
      <c r="I36" s="8"/>
      <c r="K36" s="25"/>
      <c r="L36" s="41"/>
      <c r="M36" s="16"/>
    </row>
    <row r="37" spans="2:21" ht="15.75" x14ac:dyDescent="0.25">
      <c r="E37" s="18"/>
      <c r="F37" s="25"/>
      <c r="G37" s="26"/>
      <c r="H37" s="8"/>
      <c r="I37" s="8"/>
      <c r="K37" s="25"/>
      <c r="L37" s="41"/>
      <c r="M37" s="16"/>
    </row>
    <row r="38" spans="2:21" ht="15.75" x14ac:dyDescent="0.25">
      <c r="E38" s="18"/>
      <c r="F38" s="25"/>
      <c r="G38" s="26"/>
      <c r="H38" s="8"/>
      <c r="I38" s="8"/>
      <c r="K38" s="25"/>
      <c r="L38" s="41"/>
      <c r="M38" s="16"/>
    </row>
    <row r="39" spans="2:21" ht="15.75" x14ac:dyDescent="0.25">
      <c r="E39" s="18"/>
      <c r="F39" s="39"/>
      <c r="G39" s="26"/>
      <c r="H39" s="8"/>
      <c r="I39" s="8"/>
      <c r="K39" s="25"/>
      <c r="L39" s="41"/>
      <c r="M39" s="16"/>
    </row>
    <row r="40" spans="2:21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34</v>
      </c>
      <c r="R40" s="1">
        <f>SUM(R6:R21)</f>
        <v>0</v>
      </c>
    </row>
    <row r="41" spans="2:21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80" zoomScaleNormal="80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6">
        <f>'02'!B1+1</f>
        <v>45446</v>
      </c>
    </row>
    <row r="2" spans="2:18" ht="18.75" x14ac:dyDescent="0.2">
      <c r="B2" s="110" t="s">
        <v>35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3" t="s">
        <v>1</v>
      </c>
      <c r="F4" s="113"/>
      <c r="G4" s="113"/>
      <c r="H4" s="113"/>
      <c r="I4" s="113"/>
      <c r="J4" s="22"/>
      <c r="K4" s="107" t="s">
        <v>3</v>
      </c>
      <c r="L4" s="108"/>
      <c r="M4" s="109"/>
    </row>
    <row r="5" spans="2:18" ht="15" x14ac:dyDescent="0.25">
      <c r="B5" s="23" t="s">
        <v>1</v>
      </c>
      <c r="C5" s="24">
        <f>SUMIF(I6:I31,"&gt;0",H6:H31)</f>
        <v>590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</v>
      </c>
      <c r="D6" s="2"/>
      <c r="E6" s="18">
        <v>715</v>
      </c>
      <c r="F6" s="25" t="s">
        <v>37</v>
      </c>
      <c r="G6" s="46" t="s">
        <v>6</v>
      </c>
      <c r="H6" s="8">
        <v>590</v>
      </c>
      <c r="I6" s="8">
        <v>50</v>
      </c>
      <c r="J6" s="2"/>
      <c r="K6" s="25"/>
      <c r="L6" s="9"/>
      <c r="M6" s="16"/>
      <c r="R6" s="1">
        <f>IF(vend3[[#This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22</v>
      </c>
      <c r="C8" s="29">
        <f>SUM(C6:C7)</f>
        <v>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105" t="s">
        <v>5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7" t="s">
        <v>23</v>
      </c>
      <c r="L13" s="108"/>
      <c r="M13" s="109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701</v>
      </c>
      <c r="L15" s="9" t="s">
        <v>38</v>
      </c>
      <c r="M15" s="16" t="s">
        <v>39</v>
      </c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105" t="s">
        <v>12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590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6" t="s">
        <v>28</v>
      </c>
      <c r="F24" s="106"/>
      <c r="G24" s="106"/>
      <c r="H24" s="106"/>
      <c r="I24" s="10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6" t="s">
        <v>29</v>
      </c>
      <c r="F33" s="106"/>
      <c r="G33" s="106"/>
      <c r="H33" s="106"/>
      <c r="I33" s="106"/>
      <c r="K33" s="107" t="s">
        <v>12</v>
      </c>
      <c r="L33" s="108"/>
      <c r="M33" s="109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34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80" zoomScaleNormal="80" workbookViewId="0">
      <selection activeCell="U10" sqref="U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6">
        <f>'03'!B1+1</f>
        <v>45447</v>
      </c>
    </row>
    <row r="2" spans="2:18" ht="18.75" x14ac:dyDescent="0.2">
      <c r="B2" s="110" t="s">
        <v>35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3" t="s">
        <v>1</v>
      </c>
      <c r="F4" s="113"/>
      <c r="G4" s="113"/>
      <c r="H4" s="113"/>
      <c r="I4" s="113"/>
      <c r="J4" s="22"/>
      <c r="K4" s="107" t="s">
        <v>3</v>
      </c>
      <c r="L4" s="108"/>
      <c r="M4" s="109"/>
    </row>
    <row r="5" spans="2:18" ht="15" x14ac:dyDescent="0.25">
      <c r="B5" s="23" t="s">
        <v>1</v>
      </c>
      <c r="C5" s="24">
        <f>SUMIF(I6:I31,"&gt;0",H6:H31)</f>
        <v>590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100</v>
      </c>
      <c r="D6" s="2"/>
      <c r="E6" s="18">
        <v>716</v>
      </c>
      <c r="F6" s="25" t="s">
        <v>40</v>
      </c>
      <c r="G6" s="46" t="s">
        <v>6</v>
      </c>
      <c r="H6" s="8">
        <v>590</v>
      </c>
      <c r="I6" s="8">
        <v>100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22</v>
      </c>
      <c r="C8" s="29">
        <f>SUM(C6:C7)</f>
        <v>100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105" t="s">
        <v>5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7" t="s">
        <v>23</v>
      </c>
      <c r="L13" s="108"/>
      <c r="M13" s="109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IF(vend4[[#This Row],[Nº Venda]]&gt;1,1,0)</f>
        <v>0</v>
      </c>
    </row>
    <row r="15" spans="2:18" ht="18.75" x14ac:dyDescent="0.4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58"/>
      <c r="L15" s="59"/>
      <c r="M15" s="60"/>
      <c r="R15" s="1">
        <f>IF(vend4[[#This Row],[Nº Venda]]&gt;1,1,0)</f>
        <v>0</v>
      </c>
    </row>
    <row r="16" spans="2:18" ht="19.5" x14ac:dyDescent="0.4">
      <c r="B16" s="28" t="s">
        <v>11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61"/>
      <c r="L16" s="58"/>
      <c r="M16" s="60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18"/>
      <c r="F17" s="25"/>
      <c r="G17" s="26"/>
      <c r="H17" s="8"/>
      <c r="I17" s="8"/>
      <c r="J17" s="2"/>
      <c r="K17" s="58"/>
      <c r="L17" s="59"/>
      <c r="M17" s="60"/>
      <c r="R17" s="1">
        <f>IF(vend4[[#This Row],[Nº Venda]]&gt;1,1,0)</f>
        <v>0</v>
      </c>
    </row>
    <row r="18" spans="2:18" ht="15.75" x14ac:dyDescent="0.25">
      <c r="B18" s="105" t="s">
        <v>12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590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6" t="s">
        <v>28</v>
      </c>
      <c r="F24" s="106"/>
      <c r="G24" s="106"/>
      <c r="H24" s="106"/>
      <c r="I24" s="10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6" t="s">
        <v>29</v>
      </c>
      <c r="F33" s="106"/>
      <c r="G33" s="106"/>
      <c r="H33" s="106"/>
      <c r="I33" s="106"/>
      <c r="K33" s="107" t="s">
        <v>12</v>
      </c>
      <c r="L33" s="108"/>
      <c r="M33" s="109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34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zoomScale="80" zoomScaleNormal="80" workbookViewId="0">
      <selection activeCell="E30" sqref="E30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2">
        <f>'04'!B1+1</f>
        <v>45448</v>
      </c>
    </row>
    <row r="2" spans="2:18" ht="18.75" x14ac:dyDescent="0.2">
      <c r="B2" s="110" t="s">
        <v>35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3" t="s">
        <v>1</v>
      </c>
      <c r="F4" s="113"/>
      <c r="G4" s="113"/>
      <c r="H4" s="113"/>
      <c r="I4" s="113"/>
      <c r="J4" s="22"/>
      <c r="K4" s="107" t="s">
        <v>3</v>
      </c>
      <c r="L4" s="108"/>
      <c r="M4" s="10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989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22</v>
      </c>
      <c r="C8" s="29">
        <f>SUM(C6:C7)</f>
        <v>989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105" t="s">
        <v>5</v>
      </c>
      <c r="C10" s="105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500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7" t="s">
        <v>23</v>
      </c>
      <c r="L13" s="108"/>
      <c r="M13" s="109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589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693</v>
      </c>
      <c r="L15" s="9" t="s">
        <v>38</v>
      </c>
      <c r="M15" s="65" t="s">
        <v>41</v>
      </c>
      <c r="N15" s="16"/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1089</v>
      </c>
      <c r="D16" s="2"/>
      <c r="E16" s="18"/>
      <c r="F16" s="25"/>
      <c r="G16" s="26"/>
      <c r="H16" s="8"/>
      <c r="I16" s="8"/>
      <c r="J16" s="2"/>
      <c r="K16" s="25">
        <v>699</v>
      </c>
      <c r="L16" s="9" t="s">
        <v>38</v>
      </c>
      <c r="M16" s="64" t="s">
        <v>42</v>
      </c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105" t="s">
        <v>12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1</v>
      </c>
      <c r="C19" s="31">
        <f>SUM(entr_carn5[Valor Total])</f>
        <v>290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290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6" t="s">
        <v>28</v>
      </c>
      <c r="F24" s="106"/>
      <c r="G24" s="106"/>
      <c r="H24" s="106"/>
      <c r="I24" s="10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693</v>
      </c>
      <c r="F26" s="25" t="s">
        <v>43</v>
      </c>
      <c r="G26" s="46" t="s">
        <v>7</v>
      </c>
      <c r="H26" s="8"/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710</v>
      </c>
      <c r="F27" s="25" t="s">
        <v>44</v>
      </c>
      <c r="G27" s="46" t="s">
        <v>7</v>
      </c>
      <c r="H27" s="8"/>
      <c r="I27" s="8">
        <v>100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710</v>
      </c>
      <c r="F28" s="25" t="s">
        <v>44</v>
      </c>
      <c r="G28" s="46" t="s">
        <v>9</v>
      </c>
      <c r="H28" s="8"/>
      <c r="I28" s="8">
        <v>294.5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711</v>
      </c>
      <c r="F29" s="25" t="s">
        <v>44</v>
      </c>
      <c r="G29" s="26" t="s">
        <v>7</v>
      </c>
      <c r="H29" s="8"/>
      <c r="I29" s="8">
        <v>100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711</v>
      </c>
      <c r="F30" s="39" t="s">
        <v>44</v>
      </c>
      <c r="G30" s="26" t="s">
        <v>9</v>
      </c>
      <c r="H30" s="8"/>
      <c r="I30" s="8">
        <v>294.5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6" t="s">
        <v>29</v>
      </c>
      <c r="F33" s="106"/>
      <c r="G33" s="106"/>
      <c r="H33" s="106"/>
      <c r="I33" s="106"/>
      <c r="K33" s="107" t="s">
        <v>12</v>
      </c>
      <c r="L33" s="108"/>
      <c r="M33" s="109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>
        <v>680</v>
      </c>
      <c r="F35" s="25" t="s">
        <v>45</v>
      </c>
      <c r="G35" s="26" t="s">
        <v>7</v>
      </c>
      <c r="H35" s="8">
        <v>100</v>
      </c>
      <c r="I35" s="8" t="s">
        <v>46</v>
      </c>
      <c r="K35" s="25">
        <v>693</v>
      </c>
      <c r="L35" s="41">
        <v>4</v>
      </c>
      <c r="M35" s="16">
        <v>290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89"/>
      <c r="F37" s="88"/>
      <c r="G37" s="90"/>
      <c r="H37" s="91"/>
      <c r="I37" s="91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34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zoomScale="80" zoomScaleNormal="80" workbookViewId="0">
      <selection activeCell="E13" sqref="E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6">
        <f>'05'!B1+1</f>
        <v>45449</v>
      </c>
    </row>
    <row r="2" spans="2:18" ht="18.75" x14ac:dyDescent="0.2">
      <c r="B2" s="110" t="s">
        <v>35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3" t="s">
        <v>1</v>
      </c>
      <c r="F4" s="113"/>
      <c r="G4" s="113"/>
      <c r="H4" s="113"/>
      <c r="I4" s="113"/>
      <c r="J4" s="22"/>
      <c r="K4" s="107" t="s">
        <v>3</v>
      </c>
      <c r="L4" s="108"/>
      <c r="M4" s="109"/>
    </row>
    <row r="5" spans="2:18" ht="15" x14ac:dyDescent="0.25">
      <c r="B5" s="23" t="s">
        <v>1</v>
      </c>
      <c r="C5" s="24">
        <f>SUMIF(I6:I31,"&gt;0",H6:H31)</f>
        <v>5783.8899999999994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2814.9</v>
      </c>
      <c r="D6" s="2"/>
      <c r="E6" s="18">
        <v>717</v>
      </c>
      <c r="F6" s="25" t="s">
        <v>47</v>
      </c>
      <c r="G6" s="26" t="s">
        <v>9</v>
      </c>
      <c r="H6" s="8">
        <v>700</v>
      </c>
      <c r="I6" s="8">
        <v>100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718</v>
      </c>
      <c r="F7" s="25" t="s">
        <v>48</v>
      </c>
      <c r="G7" s="26" t="s">
        <v>9</v>
      </c>
      <c r="H7" s="8">
        <v>1290</v>
      </c>
      <c r="I7" s="8">
        <v>1290</v>
      </c>
      <c r="J7" s="2"/>
      <c r="K7" s="25"/>
      <c r="L7" s="9"/>
      <c r="M7" s="16"/>
      <c r="R7" s="1">
        <f>IF(vend[[#This Row],[Nº Venda]]&gt;1,1,0)</f>
        <v>1</v>
      </c>
    </row>
    <row r="8" spans="2:18" ht="15.75" x14ac:dyDescent="0.25">
      <c r="B8" s="28" t="s">
        <v>22</v>
      </c>
      <c r="C8" s="29">
        <f>SUM(C6:C7)</f>
        <v>2814.9</v>
      </c>
      <c r="D8" s="2"/>
      <c r="E8" s="18">
        <v>719</v>
      </c>
      <c r="F8" s="25" t="s">
        <v>49</v>
      </c>
      <c r="G8" s="26" t="s">
        <v>6</v>
      </c>
      <c r="H8" s="8">
        <v>5</v>
      </c>
      <c r="I8" s="8">
        <v>5</v>
      </c>
      <c r="J8" s="2"/>
      <c r="K8" s="25"/>
      <c r="L8" s="9"/>
      <c r="M8" s="16"/>
      <c r="R8" s="1">
        <f>IF(vend[[#This Row],[Nº Venda]]&gt;1,1,0)</f>
        <v>1</v>
      </c>
    </row>
    <row r="9" spans="2:18" ht="15.75" x14ac:dyDescent="0.25">
      <c r="B9" s="2"/>
      <c r="C9" s="2"/>
      <c r="D9" s="2"/>
      <c r="E9" s="18">
        <v>720</v>
      </c>
      <c r="F9" s="25" t="s">
        <v>50</v>
      </c>
      <c r="G9" s="26" t="s">
        <v>9</v>
      </c>
      <c r="H9" s="8">
        <v>400</v>
      </c>
      <c r="I9" s="8">
        <v>400</v>
      </c>
      <c r="J9" s="2"/>
      <c r="K9" s="25"/>
      <c r="L9" s="9"/>
      <c r="M9" s="16"/>
      <c r="R9" s="1">
        <f>IF(vend[[#This Row],[Nº Venda]]&gt;1,1,0)</f>
        <v>1</v>
      </c>
    </row>
    <row r="10" spans="2:18" ht="15.75" x14ac:dyDescent="0.25">
      <c r="B10" s="105" t="s">
        <v>5</v>
      </c>
      <c r="C10" s="105"/>
      <c r="D10" s="2"/>
      <c r="E10" s="18">
        <v>721</v>
      </c>
      <c r="F10" s="57" t="s">
        <v>51</v>
      </c>
      <c r="G10" s="26" t="s">
        <v>7</v>
      </c>
      <c r="H10" s="8">
        <v>1390</v>
      </c>
      <c r="I10" s="8">
        <v>100</v>
      </c>
      <c r="J10" s="2"/>
      <c r="K10" s="25"/>
      <c r="L10" s="9"/>
      <c r="M10" s="16"/>
      <c r="R10" s="1">
        <f>IF(vend[[#This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335</v>
      </c>
      <c r="D11" s="2"/>
      <c r="E11" s="18">
        <v>722</v>
      </c>
      <c r="F11" s="25" t="s">
        <v>52</v>
      </c>
      <c r="G11" s="26" t="s">
        <v>8</v>
      </c>
      <c r="H11" s="8">
        <v>600</v>
      </c>
      <c r="I11" s="8">
        <v>600</v>
      </c>
      <c r="J11" s="2"/>
      <c r="K11" s="27"/>
      <c r="L11" s="9"/>
      <c r="M11" s="16"/>
      <c r="O11" s="1">
        <f>IF(C16=0,0,1)</f>
        <v>1</v>
      </c>
      <c r="R11" s="1">
        <f>IF(vend[[#This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>
        <v>723</v>
      </c>
      <c r="F12" s="25" t="s">
        <v>52</v>
      </c>
      <c r="G12" s="26" t="s">
        <v>8</v>
      </c>
      <c r="H12" s="8">
        <v>99.9</v>
      </c>
      <c r="I12" s="8">
        <v>99.9</v>
      </c>
      <c r="J12" s="2"/>
      <c r="R12" s="1">
        <f>IF(vend[[#This Row],[Nº Venda]]&gt;1,1,0)</f>
        <v>1</v>
      </c>
    </row>
    <row r="13" spans="2:18" ht="15.75" x14ac:dyDescent="0.25">
      <c r="B13" s="30" t="s">
        <v>8</v>
      </c>
      <c r="C13" s="31">
        <f t="shared" si="0"/>
        <v>699.9</v>
      </c>
      <c r="D13" s="2"/>
      <c r="E13" s="18">
        <v>724</v>
      </c>
      <c r="F13" s="25" t="s">
        <v>53</v>
      </c>
      <c r="G13" s="26" t="s">
        <v>10</v>
      </c>
      <c r="H13" s="8">
        <v>699</v>
      </c>
      <c r="I13" s="8">
        <v>10</v>
      </c>
      <c r="J13" s="2"/>
      <c r="K13" s="107" t="s">
        <v>23</v>
      </c>
      <c r="L13" s="108"/>
      <c r="M13" s="109"/>
      <c r="R13" s="1">
        <f>IF(vend[[#This Row],[Nº Venda]]&gt;1,1,0)</f>
        <v>1</v>
      </c>
    </row>
    <row r="14" spans="2:18" ht="15.75" x14ac:dyDescent="0.25">
      <c r="B14" s="30" t="s">
        <v>9</v>
      </c>
      <c r="C14" s="31">
        <f t="shared" si="0"/>
        <v>1790</v>
      </c>
      <c r="D14" s="2"/>
      <c r="E14" s="18">
        <v>725</v>
      </c>
      <c r="F14" s="25" t="s">
        <v>54</v>
      </c>
      <c r="G14" s="26" t="s">
        <v>55</v>
      </c>
      <c r="H14" s="8">
        <v>399</v>
      </c>
      <c r="I14" s="8"/>
      <c r="J14" s="2"/>
      <c r="K14" s="14" t="s">
        <v>24</v>
      </c>
      <c r="L14" s="6" t="s">
        <v>25</v>
      </c>
      <c r="M14" s="15" t="s">
        <v>26</v>
      </c>
      <c r="R14" s="1">
        <f>IF(vend[[#This Row],[Nº Venda]]&gt;1,1,0)</f>
        <v>1</v>
      </c>
    </row>
    <row r="15" spans="2:18" ht="15.75" x14ac:dyDescent="0.25">
      <c r="B15" s="30" t="s">
        <v>10</v>
      </c>
      <c r="C15" s="31">
        <f t="shared" si="0"/>
        <v>10</v>
      </c>
      <c r="D15" s="2"/>
      <c r="E15" s="18">
        <v>726</v>
      </c>
      <c r="F15" s="25" t="s">
        <v>56</v>
      </c>
      <c r="G15" s="26" t="s">
        <v>6</v>
      </c>
      <c r="H15" s="8">
        <v>599.99</v>
      </c>
      <c r="I15" s="8">
        <v>10</v>
      </c>
      <c r="J15" s="2"/>
      <c r="K15" s="18"/>
      <c r="L15" s="25"/>
      <c r="M15" s="16"/>
      <c r="R15" s="1">
        <f>IF(vend[[#This Row],[Nº Venda]]&gt;1,1,0)</f>
        <v>1</v>
      </c>
    </row>
    <row r="16" spans="2:18" ht="15.75" x14ac:dyDescent="0.25">
      <c r="B16" s="28" t="s">
        <v>11</v>
      </c>
      <c r="C16" s="32">
        <f>SUM(C11:C15)</f>
        <v>2934.9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105" t="s">
        <v>12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5783.8899999999994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6" t="s">
        <v>28</v>
      </c>
      <c r="F24" s="106"/>
      <c r="G24" s="106"/>
      <c r="H24" s="106"/>
      <c r="I24" s="10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715</v>
      </c>
      <c r="F26" s="25" t="s">
        <v>57</v>
      </c>
      <c r="G26" s="26" t="s">
        <v>6</v>
      </c>
      <c r="H26" s="8">
        <v>0</v>
      </c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 t="s">
        <v>154</v>
      </c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6" t="s">
        <v>29</v>
      </c>
      <c r="F33" s="106"/>
      <c r="G33" s="106"/>
      <c r="H33" s="106"/>
      <c r="I33" s="106"/>
      <c r="K33" s="107" t="s">
        <v>12</v>
      </c>
      <c r="L33" s="108"/>
      <c r="M33" s="109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>
        <v>599</v>
      </c>
      <c r="F35" s="25" t="s">
        <v>58</v>
      </c>
      <c r="G35" s="26" t="s">
        <v>6</v>
      </c>
      <c r="H35" s="8">
        <v>120</v>
      </c>
      <c r="I35" s="8" t="s">
        <v>59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34</v>
      </c>
      <c r="R40" s="1">
        <f>SUM(R6:R21)</f>
        <v>10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zoomScale="80" zoomScaleNormal="80" workbookViewId="0">
      <selection activeCell="M20" sqref="M20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82">
        <f>'06'!B1+1</f>
        <v>45450</v>
      </c>
    </row>
    <row r="2" spans="2:21" ht="18.75" x14ac:dyDescent="0.2">
      <c r="B2" s="110" t="s">
        <v>35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0</v>
      </c>
      <c r="C4" s="20">
        <v>0</v>
      </c>
      <c r="D4" s="21"/>
      <c r="E4" s="113" t="s">
        <v>1</v>
      </c>
      <c r="F4" s="113"/>
      <c r="G4" s="113"/>
      <c r="H4" s="113"/>
      <c r="I4" s="113"/>
      <c r="J4" s="22"/>
      <c r="K4" s="107" t="s">
        <v>3</v>
      </c>
      <c r="L4" s="108"/>
      <c r="M4" s="109"/>
      <c r="U4" s="1">
        <v>0</v>
      </c>
    </row>
    <row r="5" spans="2:21" ht="15" x14ac:dyDescent="0.25">
      <c r="B5" s="23" t="s">
        <v>1</v>
      </c>
      <c r="C5" s="24">
        <f>SUMIF(I6:I31,"&gt;0",H6:H31)</f>
        <v>2180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3" t="s">
        <v>2</v>
      </c>
      <c r="C6" s="24">
        <f>SUM(I6:I41)</f>
        <v>2100</v>
      </c>
      <c r="D6" s="2"/>
      <c r="E6" s="18">
        <v>727</v>
      </c>
      <c r="F6" s="80" t="s">
        <v>60</v>
      </c>
      <c r="G6" s="80" t="s">
        <v>10</v>
      </c>
      <c r="H6" s="81">
        <v>1180</v>
      </c>
      <c r="I6" s="81">
        <v>300</v>
      </c>
      <c r="J6" s="2"/>
      <c r="K6" s="25"/>
      <c r="L6" s="9"/>
      <c r="M6" s="16"/>
      <c r="R6" s="1">
        <f>IF(vend7[[#This Row],[Nº Venda]]&gt;1,1,0)</f>
        <v>1</v>
      </c>
    </row>
    <row r="7" spans="2:21" ht="15.75" x14ac:dyDescent="0.25">
      <c r="B7" s="23" t="s">
        <v>3</v>
      </c>
      <c r="C7" s="24">
        <f>SUM(M6:M11)</f>
        <v>0</v>
      </c>
      <c r="D7" s="2"/>
      <c r="E7" s="18">
        <v>728</v>
      </c>
      <c r="F7" s="48" t="s">
        <v>61</v>
      </c>
      <c r="G7" s="48" t="s">
        <v>7</v>
      </c>
      <c r="H7" s="47">
        <v>350</v>
      </c>
      <c r="I7" s="47">
        <v>50</v>
      </c>
      <c r="J7" s="2"/>
      <c r="K7" s="25"/>
      <c r="L7" s="9"/>
      <c r="M7" s="16"/>
      <c r="R7" s="1">
        <f>IF(vend7[[#This Row],[Nº Venda]]&gt;1,1,0)</f>
        <v>1</v>
      </c>
    </row>
    <row r="8" spans="2:21" ht="15.75" x14ac:dyDescent="0.25">
      <c r="B8" s="28" t="s">
        <v>22</v>
      </c>
      <c r="C8" s="29">
        <f>SUM(C6:C7)</f>
        <v>2100</v>
      </c>
      <c r="D8" s="2"/>
      <c r="E8" s="18">
        <v>729</v>
      </c>
      <c r="F8" s="25" t="s">
        <v>61</v>
      </c>
      <c r="G8" s="26" t="s">
        <v>7</v>
      </c>
      <c r="H8" s="8">
        <v>350</v>
      </c>
      <c r="I8" s="8">
        <v>50</v>
      </c>
      <c r="J8" s="2"/>
      <c r="K8" s="25"/>
      <c r="L8" s="9"/>
      <c r="M8" s="16"/>
      <c r="R8" s="1">
        <f>IF(vend7[[#This Row],[Nº Venda]]&gt;1,1,0)</f>
        <v>1</v>
      </c>
    </row>
    <row r="9" spans="2:21" ht="15.75" x14ac:dyDescent="0.25">
      <c r="B9" s="2"/>
      <c r="C9" s="2"/>
      <c r="D9" s="2"/>
      <c r="E9" s="18">
        <v>730</v>
      </c>
      <c r="F9" s="25" t="s">
        <v>61</v>
      </c>
      <c r="G9" s="26" t="s">
        <v>7</v>
      </c>
      <c r="H9" s="8">
        <v>300</v>
      </c>
      <c r="I9" s="8">
        <v>50</v>
      </c>
      <c r="J9" s="2"/>
      <c r="K9" s="25"/>
      <c r="L9" s="9"/>
      <c r="M9" s="16"/>
      <c r="R9" s="1">
        <f>IF(vend7[[#This Row],[Nº Venda]]&gt;1,1,0)</f>
        <v>1</v>
      </c>
    </row>
    <row r="10" spans="2:21" ht="15.75" x14ac:dyDescent="0.25">
      <c r="B10" s="105" t="s">
        <v>5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21" ht="15.75" x14ac:dyDescent="0.25">
      <c r="B11" s="30" t="s">
        <v>6</v>
      </c>
      <c r="C11" s="31">
        <f>(SUMIF($G$2:$G$31,B11,$I$2:$I$31))+(SUMIF($G$35:$G$41,B11,$H$35:$H$41))</f>
        <v>76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21" ht="15.75" x14ac:dyDescent="0.25">
      <c r="B12" s="30" t="s">
        <v>7</v>
      </c>
      <c r="C12" s="31">
        <f t="shared" ref="C12:C15" si="0">(SUMIF($G$2:$G$31,B12,$I$2:$I$31))+(SUMIF($G$35:$G$41,B12,$H$35:$H$41))</f>
        <v>900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7" t="s">
        <v>23</v>
      </c>
      <c r="L13" s="108"/>
      <c r="M13" s="109"/>
      <c r="R13" s="1">
        <f>IF(vend7[[#This Row],[Nº Venda]]&gt;1,1,0)</f>
        <v>0</v>
      </c>
    </row>
    <row r="14" spans="2:21" ht="15.75" x14ac:dyDescent="0.25">
      <c r="B14" s="30" t="s">
        <v>9</v>
      </c>
      <c r="C14" s="31">
        <f t="shared" si="0"/>
        <v>900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IF(vend7[[#This Row],[Nº Venda]]&gt;1,1,0)</f>
        <v>0</v>
      </c>
    </row>
    <row r="15" spans="2:21" ht="15.75" x14ac:dyDescent="0.25">
      <c r="B15" s="30" t="s">
        <v>10</v>
      </c>
      <c r="C15" s="31">
        <f t="shared" si="0"/>
        <v>362.7</v>
      </c>
      <c r="D15" s="2"/>
      <c r="E15" s="18"/>
      <c r="F15" s="25"/>
      <c r="G15" s="26"/>
      <c r="H15" s="8"/>
      <c r="I15" s="8"/>
      <c r="J15" s="2"/>
      <c r="K15" s="49">
        <v>692</v>
      </c>
      <c r="L15" s="50" t="s">
        <v>38</v>
      </c>
      <c r="M15" s="51" t="s">
        <v>39</v>
      </c>
      <c r="R15" s="1">
        <f>IF(vend7[[#This Row],[Nº Venda]]&gt;1,1,0)</f>
        <v>0</v>
      </c>
    </row>
    <row r="16" spans="2:21" ht="15.75" x14ac:dyDescent="0.25">
      <c r="B16" s="28" t="s">
        <v>11</v>
      </c>
      <c r="C16" s="32">
        <f>SUM(C11:C15)</f>
        <v>2238.6999999999998</v>
      </c>
      <c r="D16" s="2"/>
      <c r="E16" s="18"/>
      <c r="F16" s="25"/>
      <c r="G16" s="26"/>
      <c r="H16" s="8"/>
      <c r="I16" s="8"/>
      <c r="J16" s="2"/>
      <c r="K16" s="45">
        <v>700</v>
      </c>
      <c r="L16" s="9" t="s">
        <v>38</v>
      </c>
      <c r="M16" s="16" t="s">
        <v>39</v>
      </c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5">
        <v>685</v>
      </c>
      <c r="L17" s="9" t="s">
        <v>38</v>
      </c>
      <c r="M17" s="16" t="s">
        <v>39</v>
      </c>
      <c r="R17" s="1">
        <f>IF(vend7[[#This Row],[Nº Venda]]&gt;1,1,0)</f>
        <v>0</v>
      </c>
    </row>
    <row r="18" spans="2:18" ht="15.75" x14ac:dyDescent="0.25">
      <c r="B18" s="105" t="s">
        <v>12</v>
      </c>
      <c r="C18" s="105"/>
      <c r="D18" s="2"/>
      <c r="E18" s="18"/>
      <c r="F18" s="25"/>
      <c r="G18" s="26"/>
      <c r="H18" s="8"/>
      <c r="I18" s="8"/>
      <c r="J18" s="2"/>
      <c r="K18" s="45">
        <v>686</v>
      </c>
      <c r="L18" s="9" t="s">
        <v>38</v>
      </c>
      <c r="M18" s="16" t="s">
        <v>39</v>
      </c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5">
        <v>709</v>
      </c>
      <c r="L19" s="9" t="s">
        <v>38</v>
      </c>
      <c r="M19" s="16" t="s">
        <v>39</v>
      </c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8" t="s">
        <v>27</v>
      </c>
      <c r="C22" s="32">
        <f>C5</f>
        <v>2180</v>
      </c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106" t="s">
        <v>28</v>
      </c>
      <c r="F24" s="106"/>
      <c r="G24" s="106"/>
      <c r="H24" s="106"/>
      <c r="I24" s="106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18">
        <v>721</v>
      </c>
      <c r="F26" s="57" t="s">
        <v>51</v>
      </c>
      <c r="G26" s="75" t="s">
        <v>7</v>
      </c>
      <c r="H26" s="76">
        <v>0</v>
      </c>
      <c r="I26" s="76">
        <v>300</v>
      </c>
      <c r="J26" s="2"/>
      <c r="K26" s="45"/>
      <c r="L26" s="9"/>
      <c r="M26" s="16"/>
    </row>
    <row r="27" spans="2:18" ht="15.75" x14ac:dyDescent="0.25">
      <c r="B27" s="2"/>
      <c r="C27" s="2"/>
      <c r="D27" s="2"/>
      <c r="E27" s="18">
        <v>692</v>
      </c>
      <c r="F27" s="25" t="s">
        <v>61</v>
      </c>
      <c r="G27" s="26" t="s">
        <v>7</v>
      </c>
      <c r="H27" s="8">
        <v>0</v>
      </c>
      <c r="I27" s="8">
        <v>50</v>
      </c>
      <c r="J27" s="2"/>
      <c r="K27" s="45"/>
      <c r="L27" s="9"/>
      <c r="M27" s="16"/>
    </row>
    <row r="28" spans="2:18" ht="15.75" x14ac:dyDescent="0.25">
      <c r="B28" s="2"/>
      <c r="C28" s="2"/>
      <c r="D28" s="2"/>
      <c r="E28" s="18">
        <v>685</v>
      </c>
      <c r="F28" s="25" t="s">
        <v>62</v>
      </c>
      <c r="G28" s="26" t="s">
        <v>9</v>
      </c>
      <c r="H28" s="8">
        <v>0</v>
      </c>
      <c r="I28" s="8">
        <v>450</v>
      </c>
      <c r="J28" s="2"/>
      <c r="K28" s="45"/>
      <c r="L28" s="9"/>
      <c r="M28" s="16"/>
    </row>
    <row r="29" spans="2:18" ht="15.75" x14ac:dyDescent="0.25">
      <c r="B29" s="2"/>
      <c r="C29" s="2"/>
      <c r="D29" s="2"/>
      <c r="E29" s="18">
        <v>685</v>
      </c>
      <c r="F29" s="25" t="s">
        <v>62</v>
      </c>
      <c r="G29" s="26" t="s">
        <v>7</v>
      </c>
      <c r="H29" s="8">
        <v>0</v>
      </c>
      <c r="I29" s="8">
        <v>200</v>
      </c>
      <c r="J29" s="2"/>
      <c r="K29" s="45"/>
      <c r="L29" s="9"/>
      <c r="M29" s="16"/>
    </row>
    <row r="30" spans="2:18" ht="15.75" x14ac:dyDescent="0.25">
      <c r="B30" s="2"/>
      <c r="C30" s="2"/>
      <c r="D30" s="2"/>
      <c r="E30" s="18">
        <v>686</v>
      </c>
      <c r="F30" s="39" t="s">
        <v>62</v>
      </c>
      <c r="G30" s="26" t="s">
        <v>9</v>
      </c>
      <c r="H30" s="8">
        <v>0</v>
      </c>
      <c r="I30" s="8">
        <v>450</v>
      </c>
      <c r="J30" s="2"/>
      <c r="K30" s="45"/>
      <c r="L30" s="9"/>
      <c r="M30" s="16"/>
    </row>
    <row r="31" spans="2:18" ht="15.75" x14ac:dyDescent="0.25">
      <c r="B31" s="2"/>
      <c r="C31" s="2"/>
      <c r="D31" s="2"/>
      <c r="E31" s="35">
        <v>686</v>
      </c>
      <c r="F31" s="36" t="s">
        <v>62</v>
      </c>
      <c r="G31" s="37" t="s">
        <v>7</v>
      </c>
      <c r="H31" s="17">
        <v>0</v>
      </c>
      <c r="I31" s="17">
        <v>200</v>
      </c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6" t="s">
        <v>29</v>
      </c>
      <c r="F33" s="106"/>
      <c r="G33" s="106"/>
      <c r="H33" s="106"/>
      <c r="I33" s="106"/>
      <c r="K33" s="107" t="s">
        <v>12</v>
      </c>
      <c r="L33" s="108"/>
      <c r="M33" s="109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>
        <v>633</v>
      </c>
      <c r="F35" s="25" t="s">
        <v>63</v>
      </c>
      <c r="G35" s="26" t="s">
        <v>6</v>
      </c>
      <c r="H35" s="8">
        <v>76</v>
      </c>
      <c r="I35" s="8" t="s">
        <v>64</v>
      </c>
      <c r="K35" s="25"/>
      <c r="L35" s="41"/>
      <c r="M35" s="16"/>
    </row>
    <row r="36" spans="2:18" ht="15.75" x14ac:dyDescent="0.25">
      <c r="E36" s="18">
        <v>624</v>
      </c>
      <c r="F36" s="25" t="s">
        <v>65</v>
      </c>
      <c r="G36" s="26" t="s">
        <v>10</v>
      </c>
      <c r="H36" s="8">
        <v>62.7</v>
      </c>
      <c r="I36" s="8" t="s">
        <v>66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34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zoomScale="80" zoomScaleNormal="80" workbookViewId="0">
      <selection activeCell="K18" sqref="K17:M18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2">
        <f>'07'!B1+1</f>
        <v>45451</v>
      </c>
    </row>
    <row r="2" spans="2:18" ht="18.75" x14ac:dyDescent="0.2">
      <c r="B2" s="110" t="s">
        <v>35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3" t="s">
        <v>1</v>
      </c>
      <c r="F4" s="113"/>
      <c r="G4" s="113"/>
      <c r="H4" s="113"/>
      <c r="I4" s="113"/>
      <c r="J4" s="22"/>
      <c r="K4" s="107" t="s">
        <v>3</v>
      </c>
      <c r="L4" s="108"/>
      <c r="M4" s="109"/>
    </row>
    <row r="5" spans="2:18" ht="15" x14ac:dyDescent="0.25">
      <c r="B5" s="23" t="s">
        <v>1</v>
      </c>
      <c r="C5" s="24">
        <f>SUMIF(I6:I31,"&gt;0",H6:H31)</f>
        <v>300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1280</v>
      </c>
      <c r="D6" s="2"/>
      <c r="E6" s="83">
        <v>731</v>
      </c>
      <c r="F6" s="8" t="s">
        <v>157</v>
      </c>
      <c r="G6" s="8" t="s">
        <v>9</v>
      </c>
      <c r="H6" s="8">
        <v>300</v>
      </c>
      <c r="I6" s="8">
        <v>300</v>
      </c>
      <c r="J6" s="2"/>
      <c r="K6" s="25"/>
      <c r="L6" s="9"/>
      <c r="M6" s="16"/>
      <c r="R6" s="1">
        <f>IF(vend8[[#This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83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22</v>
      </c>
      <c r="C8" s="29">
        <f>SUM(C6:C7)</f>
        <v>1280</v>
      </c>
      <c r="D8" s="2"/>
      <c r="E8" s="83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83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105" t="s">
        <v>5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79">
        <f>(SUMIF($G$2:$G$31,B11,$I$2:$I$31))+(SUMIF($G$35:$G$42,B11,$H$35:$H$42))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79">
        <f>(SUMIF($G$2:$G$31,B12,$I$2:$I$31))+(SUMIF($G$35:$G$42,B12,$H$35:$H$42))</f>
        <v>480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79">
        <f>(SUMIF($G$2:$G$31,B13,$I$2:$I$31))+(SUMIF($G$35:$G$42,B13,$H$35:$H$42))</f>
        <v>0</v>
      </c>
      <c r="D13" s="2"/>
      <c r="E13" s="18"/>
      <c r="F13" s="25"/>
      <c r="G13" s="26"/>
      <c r="H13" s="8"/>
      <c r="I13" s="8"/>
      <c r="J13" s="2"/>
      <c r="K13" s="107" t="s">
        <v>23</v>
      </c>
      <c r="L13" s="108"/>
      <c r="M13" s="109"/>
      <c r="R13" s="1">
        <f>IF(vend8[[#This Row],[Nº Venda]]&gt;1,1,0)</f>
        <v>0</v>
      </c>
    </row>
    <row r="14" spans="2:18" ht="15.75" x14ac:dyDescent="0.25">
      <c r="B14" s="30" t="s">
        <v>9</v>
      </c>
      <c r="C14" s="79">
        <f>(SUMIF($G$2:$G$31,B14,$I$2:$I$31))+(SUMIF($G$35:$G$42,B14,$H$35:$H$42))</f>
        <v>800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79">
        <f>(SUMIF($G$2:$G$31,B15,$I$2:$I$31))+(SUMIF($G$35:$G$42,B15,$H$35:$H$42))</f>
        <v>0</v>
      </c>
      <c r="D15" s="2"/>
      <c r="E15" s="18"/>
      <c r="F15" s="25"/>
      <c r="G15" s="26"/>
      <c r="H15" s="8"/>
      <c r="I15" s="8"/>
      <c r="J15" s="2"/>
      <c r="K15" s="25">
        <v>706</v>
      </c>
      <c r="L15" s="9" t="s">
        <v>38</v>
      </c>
      <c r="M15" s="16" t="s">
        <v>39</v>
      </c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1280</v>
      </c>
      <c r="D16" s="2"/>
      <c r="E16" s="18"/>
      <c r="F16" s="25"/>
      <c r="G16" s="26"/>
      <c r="H16" s="8"/>
      <c r="I16" s="8"/>
      <c r="J16" s="2"/>
      <c r="K16" s="25">
        <v>714</v>
      </c>
      <c r="L16" s="9" t="s">
        <v>38</v>
      </c>
      <c r="M16" s="16" t="s">
        <v>39</v>
      </c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105" t="s">
        <v>12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300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6" t="s">
        <v>28</v>
      </c>
      <c r="F24" s="106"/>
      <c r="G24" s="106"/>
      <c r="H24" s="106"/>
      <c r="I24" s="10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4">
        <v>706</v>
      </c>
      <c r="F26" s="85" t="s">
        <v>155</v>
      </c>
      <c r="G26" s="86" t="s">
        <v>7</v>
      </c>
      <c r="H26" s="87"/>
      <c r="I26" s="87">
        <v>480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714</v>
      </c>
      <c r="F27" s="25" t="s">
        <v>156</v>
      </c>
      <c r="G27" s="46" t="s">
        <v>9</v>
      </c>
      <c r="H27" s="8"/>
      <c r="I27" s="8">
        <v>500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4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6" t="s">
        <v>29</v>
      </c>
      <c r="F33" s="106"/>
      <c r="G33" s="106"/>
      <c r="H33" s="106"/>
      <c r="I33" s="106"/>
      <c r="K33" s="107" t="s">
        <v>12</v>
      </c>
      <c r="L33" s="108"/>
      <c r="M33" s="109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34</v>
      </c>
      <c r="R40" s="1">
        <f>SUM(R6:R21)</f>
        <v>1</v>
      </c>
    </row>
    <row r="41" spans="2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2:18" ht="15.75" x14ac:dyDescent="0.25">
      <c r="E42" s="35"/>
      <c r="F42" s="94"/>
      <c r="G42" s="37"/>
      <c r="H42" s="17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zoomScale="80" zoomScaleNormal="80" workbookViewId="0">
      <selection activeCell="K35" sqref="K35:M4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6">
        <f>'08'!B1+1</f>
        <v>45452</v>
      </c>
    </row>
    <row r="2" spans="2:22" ht="18.75" x14ac:dyDescent="0.2">
      <c r="B2" s="110" t="s">
        <v>35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13" t="s">
        <v>1</v>
      </c>
      <c r="F4" s="113"/>
      <c r="G4" s="113"/>
      <c r="H4" s="113"/>
      <c r="I4" s="113"/>
      <c r="J4" s="22"/>
      <c r="K4" s="107" t="s">
        <v>3</v>
      </c>
      <c r="L4" s="108"/>
      <c r="M4" s="109"/>
    </row>
    <row r="5" spans="2:22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22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22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22" ht="15.75" x14ac:dyDescent="0.25">
      <c r="B10" s="105" t="s">
        <v>5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22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22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7" t="s">
        <v>23</v>
      </c>
      <c r="L13" s="108"/>
      <c r="M13" s="109"/>
      <c r="R13" s="1">
        <f>IF(vend9[[#This Row],[Nº Venda]]&gt;1,1,0)</f>
        <v>0</v>
      </c>
    </row>
    <row r="14" spans="2:22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IF(vend9[[#This Row],[Nº Venda]]&gt;1,1,0)</f>
        <v>0</v>
      </c>
    </row>
    <row r="15" spans="2:22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22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105" t="s">
        <v>12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6" t="s">
        <v>28</v>
      </c>
      <c r="F24" s="106"/>
      <c r="G24" s="106"/>
      <c r="H24" s="106"/>
      <c r="I24" s="10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6" t="s">
        <v>29</v>
      </c>
      <c r="F33" s="106"/>
      <c r="G33" s="106"/>
      <c r="H33" s="106"/>
      <c r="I33" s="106"/>
      <c r="K33" s="107" t="s">
        <v>12</v>
      </c>
      <c r="L33" s="108"/>
      <c r="M33" s="109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34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zoomScale="80" zoomScaleNormal="80" workbookViewId="0">
      <selection activeCell="V14" sqref="V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6">
        <f>'09'!B1+1</f>
        <v>45453</v>
      </c>
    </row>
    <row r="2" spans="2:18" ht="18.75" x14ac:dyDescent="0.2">
      <c r="B2" s="110" t="s">
        <v>35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3" t="s">
        <v>1</v>
      </c>
      <c r="F4" s="113"/>
      <c r="G4" s="113"/>
      <c r="H4" s="113"/>
      <c r="I4" s="113"/>
      <c r="J4" s="22"/>
      <c r="K4" s="107" t="s">
        <v>3</v>
      </c>
      <c r="L4" s="108"/>
      <c r="M4" s="109"/>
    </row>
    <row r="5" spans="2:18" ht="15" x14ac:dyDescent="0.25">
      <c r="B5" s="23" t="s">
        <v>1</v>
      </c>
      <c r="C5" s="24">
        <f>SUMIF(I6:I32,"&gt;0",H6:H32)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SUM(I6:I42)</f>
        <v>0</v>
      </c>
      <c r="D6" s="2"/>
      <c r="E6" s="18">
        <v>732</v>
      </c>
      <c r="F6" s="25" t="s">
        <v>158</v>
      </c>
      <c r="G6" s="46" t="s">
        <v>85</v>
      </c>
      <c r="H6" s="8">
        <v>0</v>
      </c>
      <c r="I6" s="8">
        <v>0</v>
      </c>
      <c r="J6" s="2"/>
      <c r="K6" s="25" t="s">
        <v>159</v>
      </c>
      <c r="L6" s="9" t="s">
        <v>10</v>
      </c>
      <c r="M6" s="16">
        <v>13</v>
      </c>
      <c r="R6" s="1">
        <f>IF(vend10[[#This Row],[Nº Venda]]&gt;1,1,0)</f>
        <v>1</v>
      </c>
    </row>
    <row r="7" spans="2:18" ht="15.75" x14ac:dyDescent="0.25">
      <c r="B7" s="23" t="s">
        <v>3</v>
      </c>
      <c r="C7" s="24">
        <f>SUM(M6:M11)</f>
        <v>13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22</v>
      </c>
      <c r="C8" s="29">
        <f>SUM(C6:C7)</f>
        <v>13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105" t="s">
        <v>5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(SUMIF($G$2:$G$32,B11,$I$2:$I$32))+(SUMIF($G$36:$G$42,B11,$H$36:$H$42))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>(SUMIF($G$2:$G$32,B12,$I$2:$I$32))+(SUMIF($G$36:$G$42,B12,$H$36:$H$42))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>(SUMIF($G$2:$G$32,B13,$I$2:$I$32))+(SUMIF($G$36:$G$42,B13,$H$36:$H$42))</f>
        <v>0</v>
      </c>
      <c r="D13" s="2"/>
      <c r="E13" s="18"/>
      <c r="F13" s="25"/>
      <c r="G13" s="26"/>
      <c r="H13" s="8"/>
      <c r="I13" s="8"/>
      <c r="J13" s="2"/>
      <c r="K13" s="107" t="s">
        <v>23</v>
      </c>
      <c r="L13" s="108"/>
      <c r="M13" s="109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>(SUMIF($G$2:$G$32,B14,$I$2:$I$32))+(SUMIF($G$36:$G$42,B14,$H$36:$H$42))</f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>(SUMIF($G$2:$G$32,B15,$I$2:$I$32))+(SUMIF($G$36:$G$42,B15,$H$36:$H$42))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64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105" t="s">
        <v>12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6" t="s">
        <v>28</v>
      </c>
      <c r="F24" s="106"/>
      <c r="G24" s="106"/>
      <c r="H24" s="106"/>
      <c r="I24" s="10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18"/>
      <c r="F32" s="39"/>
      <c r="G32" s="26"/>
      <c r="H32" s="8"/>
      <c r="I32" s="8"/>
    </row>
    <row r="33" spans="2:18" ht="15" x14ac:dyDescent="0.25">
      <c r="B33" s="2"/>
      <c r="C33" s="2"/>
      <c r="E33" s="33"/>
      <c r="K33" s="107" t="s">
        <v>12</v>
      </c>
      <c r="L33" s="108"/>
      <c r="M33" s="109"/>
    </row>
    <row r="34" spans="2:18" ht="15" x14ac:dyDescent="0.25">
      <c r="E34" s="106" t="s">
        <v>29</v>
      </c>
      <c r="F34" s="106"/>
      <c r="G34" s="106"/>
      <c r="H34" s="106"/>
      <c r="I34" s="106"/>
      <c r="K34" s="14" t="s">
        <v>24</v>
      </c>
      <c r="L34" s="6" t="s">
        <v>32</v>
      </c>
      <c r="M34" s="15" t="s">
        <v>33</v>
      </c>
    </row>
    <row r="35" spans="2:18" ht="15" x14ac:dyDescent="0.25">
      <c r="E35" s="10" t="s">
        <v>24</v>
      </c>
      <c r="F35" s="10" t="s">
        <v>15</v>
      </c>
      <c r="G35" s="11" t="s">
        <v>16</v>
      </c>
      <c r="H35" s="12" t="s">
        <v>30</v>
      </c>
      <c r="I35" s="13" t="s">
        <v>31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34</v>
      </c>
      <c r="R40" s="1">
        <f>SUM(R6:R21)</f>
        <v>1</v>
      </c>
    </row>
    <row r="41" spans="2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2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80" zoomScaleNormal="80" workbookViewId="0">
      <selection activeCell="H27" sqref="H27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2">
        <f>'10'!B1+1</f>
        <v>45454</v>
      </c>
    </row>
    <row r="2" spans="2:18" ht="18.75" x14ac:dyDescent="0.2">
      <c r="B2" s="110" t="s">
        <v>35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3" t="s">
        <v>1</v>
      </c>
      <c r="F4" s="113"/>
      <c r="G4" s="113"/>
      <c r="H4" s="113"/>
      <c r="I4" s="113"/>
      <c r="J4" s="22"/>
      <c r="K4" s="107" t="s">
        <v>3</v>
      </c>
      <c r="L4" s="108"/>
      <c r="M4" s="109"/>
    </row>
    <row r="5" spans="2:18" ht="15" x14ac:dyDescent="0.25">
      <c r="B5" s="23" t="s">
        <v>1</v>
      </c>
      <c r="C5" s="24">
        <f>SUMIF(I6:I31,"&gt;0",H6:H31)</f>
        <v>630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260</v>
      </c>
      <c r="D6" s="2"/>
      <c r="E6" s="18">
        <v>733</v>
      </c>
      <c r="F6" s="25" t="s">
        <v>160</v>
      </c>
      <c r="G6" s="26" t="s">
        <v>10</v>
      </c>
      <c r="H6" s="8">
        <v>630</v>
      </c>
      <c r="I6" s="8">
        <v>130</v>
      </c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22</v>
      </c>
      <c r="C8" s="29">
        <f>SUM(C6:C7)</f>
        <v>260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105" t="s">
        <v>5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157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7" t="s">
        <v>23</v>
      </c>
      <c r="L13" s="108"/>
      <c r="M13" s="109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130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130</v>
      </c>
      <c r="D15" s="2"/>
      <c r="E15" s="18"/>
      <c r="F15" s="25"/>
      <c r="G15" s="26"/>
      <c r="H15" s="8"/>
      <c r="I15" s="8"/>
      <c r="J15" s="2"/>
      <c r="K15" s="25">
        <v>707</v>
      </c>
      <c r="L15" s="9" t="s">
        <v>38</v>
      </c>
      <c r="M15" s="16" t="s">
        <v>39</v>
      </c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417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105" t="s">
        <v>12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630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6" t="s">
        <v>28</v>
      </c>
      <c r="F24" s="106"/>
      <c r="G24" s="106"/>
      <c r="H24" s="106"/>
      <c r="I24" s="10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 t="s">
        <v>161</v>
      </c>
      <c r="G26" s="46" t="s">
        <v>9</v>
      </c>
      <c r="H26" s="8">
        <v>0</v>
      </c>
      <c r="I26" s="8">
        <v>130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6" t="s">
        <v>29</v>
      </c>
      <c r="F33" s="106"/>
      <c r="G33" s="106"/>
      <c r="H33" s="106"/>
      <c r="I33" s="106"/>
      <c r="K33" s="107" t="s">
        <v>12</v>
      </c>
      <c r="L33" s="108"/>
      <c r="M33" s="109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>
        <v>618</v>
      </c>
      <c r="F35" s="25" t="s">
        <v>162</v>
      </c>
      <c r="G35" s="26" t="s">
        <v>6</v>
      </c>
      <c r="H35" s="8">
        <v>157</v>
      </c>
      <c r="I35" s="8" t="s">
        <v>94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34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U41"/>
  <sheetViews>
    <sheetView showGridLines="0" view="pageBreakPreview" zoomScale="6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6">
        <f>'11'!B1+1</f>
        <v>45455</v>
      </c>
    </row>
    <row r="2" spans="2:18" ht="18.75" x14ac:dyDescent="0.2">
      <c r="B2" s="110" t="s">
        <v>35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3" t="s">
        <v>1</v>
      </c>
      <c r="F4" s="113"/>
      <c r="G4" s="113"/>
      <c r="H4" s="113"/>
      <c r="I4" s="113"/>
      <c r="J4" s="22"/>
      <c r="K4" s="107" t="s">
        <v>3</v>
      </c>
      <c r="L4" s="108"/>
      <c r="M4" s="109"/>
    </row>
    <row r="5" spans="2:18" ht="15" x14ac:dyDescent="0.25">
      <c r="B5" s="23" t="s">
        <v>1</v>
      </c>
      <c r="C5" s="24">
        <f>SUMIF(I6:I31,"&gt;0",H6:H31)</f>
        <v>1060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1060</v>
      </c>
      <c r="D6" s="2"/>
      <c r="E6" s="98">
        <v>735</v>
      </c>
      <c r="F6" s="99" t="s">
        <v>163</v>
      </c>
      <c r="G6" s="100" t="s">
        <v>10</v>
      </c>
      <c r="H6" s="76">
        <v>80</v>
      </c>
      <c r="I6" s="76">
        <v>80</v>
      </c>
      <c r="J6" s="2"/>
      <c r="K6" s="25"/>
      <c r="L6" s="9"/>
      <c r="M6" s="16"/>
      <c r="R6" s="1">
        <f>IF(vend12[[#This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5">
        <v>736</v>
      </c>
      <c r="F7" s="52" t="s">
        <v>165</v>
      </c>
      <c r="G7" s="52" t="s">
        <v>9</v>
      </c>
      <c r="H7" s="53">
        <v>980</v>
      </c>
      <c r="I7" s="53">
        <v>980</v>
      </c>
      <c r="J7" s="2"/>
      <c r="K7" s="25"/>
      <c r="L7" s="9"/>
      <c r="M7" s="16"/>
      <c r="R7" s="1">
        <f>IF(vend12[[#This Row],[Nº Venda]]&gt;1,1,0)</f>
        <v>1</v>
      </c>
    </row>
    <row r="8" spans="2:18" ht="15.75" x14ac:dyDescent="0.25">
      <c r="B8" s="28" t="s">
        <v>22</v>
      </c>
      <c r="C8" s="29">
        <f>SUM(C6:C7)</f>
        <v>1060</v>
      </c>
      <c r="D8" s="2"/>
      <c r="E8" s="55"/>
      <c r="F8" s="52"/>
      <c r="G8" s="52"/>
      <c r="H8" s="53"/>
      <c r="I8" s="53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105" t="s">
        <v>5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7" t="s">
        <v>23</v>
      </c>
      <c r="L13" s="108"/>
      <c r="M13" s="109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980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80</v>
      </c>
      <c r="D15" s="2"/>
      <c r="E15" s="18"/>
      <c r="F15" s="25"/>
      <c r="G15" s="26"/>
      <c r="H15" s="8"/>
      <c r="I15" s="8"/>
      <c r="J15" s="2"/>
      <c r="K15" s="25">
        <v>712</v>
      </c>
      <c r="L15" s="9" t="s">
        <v>38</v>
      </c>
      <c r="M15" s="16" t="s">
        <v>166</v>
      </c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1060</v>
      </c>
      <c r="D16" s="2"/>
      <c r="E16" s="18"/>
      <c r="F16" s="25"/>
      <c r="G16" s="26"/>
      <c r="H16" s="8"/>
      <c r="I16" s="8"/>
      <c r="J16" s="2"/>
      <c r="K16" s="25">
        <v>705</v>
      </c>
      <c r="L16" s="9" t="s">
        <v>195</v>
      </c>
      <c r="M16" s="16" t="s">
        <v>39</v>
      </c>
      <c r="R16" s="1">
        <f>IF(vend12[[#This Row],[Nº Venda]]&gt;1,1,0)</f>
        <v>0</v>
      </c>
    </row>
    <row r="17" spans="2:21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735</v>
      </c>
      <c r="L17" s="9" t="s">
        <v>164</v>
      </c>
      <c r="M17" s="16" t="s">
        <v>39</v>
      </c>
      <c r="R17" s="1">
        <f>IF(vend12[[#This Row],[Nº Venda]]&gt;1,1,0)</f>
        <v>0</v>
      </c>
    </row>
    <row r="18" spans="2:21" ht="15.75" x14ac:dyDescent="0.25">
      <c r="B18" s="105" t="s">
        <v>12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21" ht="15.75" x14ac:dyDescent="0.25">
      <c r="B19" s="30">
        <f>COUNT(entr_carn12[OS])</f>
        <v>1</v>
      </c>
      <c r="C19" s="31">
        <f>SUM(entr_carn12[Valor Total])</f>
        <v>539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21" ht="15.75" x14ac:dyDescent="0.25">
      <c r="B20" s="28" t="s">
        <v>11</v>
      </c>
      <c r="C20" s="32">
        <f>SUM(C19:C19)</f>
        <v>539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21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1" ht="15.75" x14ac:dyDescent="0.25">
      <c r="B22" s="28" t="s">
        <v>27</v>
      </c>
      <c r="C22" s="32">
        <f>C5</f>
        <v>1060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1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1" ht="15" x14ac:dyDescent="0.25">
      <c r="B24" s="2"/>
      <c r="C24" s="2"/>
      <c r="D24" s="2"/>
      <c r="E24" s="106" t="s">
        <v>28</v>
      </c>
      <c r="F24" s="106"/>
      <c r="G24" s="106"/>
      <c r="H24" s="106"/>
      <c r="I24" s="106"/>
      <c r="J24" s="2"/>
      <c r="K24" s="25"/>
      <c r="L24" s="9"/>
      <c r="M24" s="16"/>
    </row>
    <row r="25" spans="2:21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1" ht="15.75" x14ac:dyDescent="0.25">
      <c r="B26" s="2"/>
      <c r="C26" s="2"/>
      <c r="D26" s="2"/>
      <c r="E26" s="18"/>
      <c r="F26" s="54"/>
      <c r="G26" s="46"/>
      <c r="H26" s="8"/>
      <c r="I26" s="8"/>
      <c r="J26" s="2"/>
      <c r="K26" s="25"/>
      <c r="L26" s="9"/>
      <c r="M26" s="16"/>
    </row>
    <row r="27" spans="2:21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1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1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1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1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  <c r="U31" s="1" t="s">
        <v>181</v>
      </c>
    </row>
    <row r="32" spans="2:21" ht="15" x14ac:dyDescent="0.25">
      <c r="B32" s="2"/>
      <c r="C32" s="2"/>
      <c r="E32" s="33"/>
      <c r="N32" s="1" t="s">
        <v>182</v>
      </c>
    </row>
    <row r="33" spans="2:18" ht="15" x14ac:dyDescent="0.25">
      <c r="B33" s="2"/>
      <c r="C33" s="2"/>
      <c r="E33" s="106" t="s">
        <v>29</v>
      </c>
      <c r="F33" s="106"/>
      <c r="G33" s="106"/>
      <c r="H33" s="106"/>
      <c r="I33" s="106"/>
      <c r="K33" s="107" t="s">
        <v>12</v>
      </c>
      <c r="L33" s="108"/>
      <c r="M33" s="109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>
        <v>712</v>
      </c>
      <c r="L35" s="41">
        <v>9</v>
      </c>
      <c r="M35" s="16">
        <v>539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34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zoomScale="80" zoomScaleNormal="80" workbookViewId="0">
      <selection activeCell="E15" sqref="E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6">
        <f>'12'!B1+1</f>
        <v>45456</v>
      </c>
    </row>
    <row r="2" spans="2:18" ht="18.75" x14ac:dyDescent="0.2">
      <c r="B2" s="110" t="s">
        <v>35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3" t="s">
        <v>1</v>
      </c>
      <c r="F4" s="113"/>
      <c r="G4" s="113"/>
      <c r="H4" s="113"/>
      <c r="I4" s="113"/>
      <c r="J4" s="22"/>
      <c r="K4" s="107" t="s">
        <v>3</v>
      </c>
      <c r="L4" s="108"/>
      <c r="M4" s="109"/>
    </row>
    <row r="5" spans="2:18" ht="15" x14ac:dyDescent="0.25">
      <c r="B5" s="23" t="s">
        <v>1</v>
      </c>
      <c r="C5" s="24">
        <f>SUMIF(I6:I31,"&gt;0",H6:H31)</f>
        <v>8215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5497</v>
      </c>
      <c r="D6" s="2"/>
      <c r="E6" s="18">
        <v>737</v>
      </c>
      <c r="F6" s="25" t="s">
        <v>167</v>
      </c>
      <c r="G6" s="26" t="s">
        <v>10</v>
      </c>
      <c r="H6" s="8">
        <v>590</v>
      </c>
      <c r="I6" s="8">
        <v>10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738</v>
      </c>
      <c r="F7" s="25" t="s">
        <v>168</v>
      </c>
      <c r="G7" s="26" t="s">
        <v>7</v>
      </c>
      <c r="H7" s="8">
        <v>840</v>
      </c>
      <c r="I7" s="8">
        <v>200</v>
      </c>
      <c r="J7" s="2"/>
      <c r="K7" s="25"/>
      <c r="L7" s="9"/>
      <c r="M7" s="16"/>
      <c r="R7" s="1">
        <f>IF(vend13[[#This Row],[Nº Venda]]&gt;1,1,0)</f>
        <v>1</v>
      </c>
    </row>
    <row r="8" spans="2:18" ht="15.75" x14ac:dyDescent="0.25">
      <c r="B8" s="28" t="s">
        <v>22</v>
      </c>
      <c r="C8" s="29">
        <f>SUM(C6:C7)</f>
        <v>5497</v>
      </c>
      <c r="D8" s="2"/>
      <c r="E8" s="18">
        <v>739</v>
      </c>
      <c r="F8" s="25" t="s">
        <v>169</v>
      </c>
      <c r="G8" s="26" t="s">
        <v>7</v>
      </c>
      <c r="H8" s="8">
        <v>700</v>
      </c>
      <c r="I8" s="8">
        <v>40</v>
      </c>
      <c r="J8" s="2"/>
      <c r="K8" s="25"/>
      <c r="L8" s="9"/>
      <c r="M8" s="16"/>
      <c r="R8" s="1">
        <f>IF(vend13[[#This Row],[Nº Venda]]&gt;1,1,0)</f>
        <v>1</v>
      </c>
    </row>
    <row r="9" spans="2:18" ht="15.75" x14ac:dyDescent="0.25">
      <c r="B9" s="2"/>
      <c r="C9" s="2"/>
      <c r="D9" s="2"/>
      <c r="E9" s="18">
        <v>740</v>
      </c>
      <c r="F9" s="25" t="s">
        <v>169</v>
      </c>
      <c r="G9" s="26" t="s">
        <v>7</v>
      </c>
      <c r="H9" s="8">
        <v>500</v>
      </c>
      <c r="I9" s="8">
        <v>10</v>
      </c>
      <c r="J9" s="2"/>
      <c r="K9" s="25"/>
      <c r="L9" s="9"/>
      <c r="M9" s="16"/>
      <c r="R9" s="1">
        <f>IF(vend13[[#This Row],[Nº Venda]]&gt;1,1,0)</f>
        <v>1</v>
      </c>
    </row>
    <row r="10" spans="2:18" ht="15.75" x14ac:dyDescent="0.25">
      <c r="B10" s="105" t="s">
        <v>5</v>
      </c>
      <c r="C10" s="105"/>
      <c r="D10" s="2"/>
      <c r="E10" s="18">
        <v>741</v>
      </c>
      <c r="F10" s="25" t="s">
        <v>170</v>
      </c>
      <c r="G10" s="26" t="s">
        <v>8</v>
      </c>
      <c r="H10" s="8">
        <v>250</v>
      </c>
      <c r="I10" s="8">
        <v>250</v>
      </c>
      <c r="J10" s="2"/>
      <c r="K10" s="25"/>
      <c r="L10" s="9"/>
      <c r="M10" s="16"/>
      <c r="R10" s="1">
        <f>IF(vend13[[#This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</v>
      </c>
      <c r="D11" s="2"/>
      <c r="E11" s="18">
        <v>742</v>
      </c>
      <c r="F11" s="25" t="s">
        <v>171</v>
      </c>
      <c r="G11" s="26" t="s">
        <v>8</v>
      </c>
      <c r="H11" s="8">
        <v>549</v>
      </c>
      <c r="I11" s="8">
        <v>549</v>
      </c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250</v>
      </c>
      <c r="D12" s="2"/>
      <c r="E12" s="18">
        <v>743</v>
      </c>
      <c r="F12" s="25" t="s">
        <v>172</v>
      </c>
      <c r="G12" s="26" t="s">
        <v>8</v>
      </c>
      <c r="H12" s="8">
        <v>1259</v>
      </c>
      <c r="I12" s="8">
        <v>1259</v>
      </c>
      <c r="J12" s="2"/>
      <c r="R12" s="1">
        <f>IF(vend13[[#This Row],[Nº Venda]]&gt;1,1,0)</f>
        <v>1</v>
      </c>
    </row>
    <row r="13" spans="2:18" ht="15.75" x14ac:dyDescent="0.25">
      <c r="B13" s="30" t="s">
        <v>8</v>
      </c>
      <c r="C13" s="31">
        <f t="shared" si="0"/>
        <v>4545</v>
      </c>
      <c r="D13" s="2"/>
      <c r="E13" s="18">
        <v>744</v>
      </c>
      <c r="F13" s="25" t="s">
        <v>173</v>
      </c>
      <c r="G13" s="26" t="s">
        <v>8</v>
      </c>
      <c r="H13" s="8">
        <v>1090</v>
      </c>
      <c r="I13" s="8">
        <v>788</v>
      </c>
      <c r="J13" s="2"/>
      <c r="K13" s="107" t="s">
        <v>23</v>
      </c>
      <c r="L13" s="108"/>
      <c r="M13" s="109"/>
      <c r="R13" s="1">
        <f>IF(vend13[[#This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 t="s">
        <v>10</v>
      </c>
      <c r="H14" s="8"/>
      <c r="I14" s="8">
        <v>302</v>
      </c>
      <c r="J14" s="2"/>
      <c r="K14" s="14" t="s">
        <v>24</v>
      </c>
      <c r="L14" s="6" t="s">
        <v>25</v>
      </c>
      <c r="M14" s="15" t="s">
        <v>26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988.56</v>
      </c>
      <c r="D15" s="2"/>
      <c r="E15" s="18" t="s">
        <v>238</v>
      </c>
      <c r="F15" s="25" t="s">
        <v>174</v>
      </c>
      <c r="G15" s="26" t="s">
        <v>10</v>
      </c>
      <c r="H15" s="8">
        <v>98</v>
      </c>
      <c r="I15" s="8">
        <v>98</v>
      </c>
      <c r="J15" s="2"/>
      <c r="K15" s="25">
        <v>713</v>
      </c>
      <c r="L15" s="9" t="s">
        <v>177</v>
      </c>
      <c r="M15" s="16" t="s">
        <v>39</v>
      </c>
      <c r="R15" s="1">
        <f>IF(vend13[[#This Row],[Nº Venda]]&gt;1,1,0)</f>
        <v>1</v>
      </c>
    </row>
    <row r="16" spans="2:18" ht="15.75" x14ac:dyDescent="0.25">
      <c r="B16" s="28" t="s">
        <v>11</v>
      </c>
      <c r="C16" s="32">
        <f>SUM(C11:C15)</f>
        <v>5785.5599999999995</v>
      </c>
      <c r="D16" s="2"/>
      <c r="E16" s="18">
        <v>746</v>
      </c>
      <c r="F16" s="25" t="s">
        <v>175</v>
      </c>
      <c r="G16" s="26" t="s">
        <v>8</v>
      </c>
      <c r="H16" s="8">
        <v>1699</v>
      </c>
      <c r="I16" s="8">
        <v>1699</v>
      </c>
      <c r="J16" s="2"/>
      <c r="K16" s="25"/>
      <c r="L16" s="9"/>
      <c r="M16" s="16"/>
      <c r="R16" s="1">
        <f>IF(vend13[[#This Row],[Nº Venda]]&gt;1,1,0)</f>
        <v>1</v>
      </c>
    </row>
    <row r="17" spans="2:18" ht="15.75" x14ac:dyDescent="0.25">
      <c r="B17" s="2"/>
      <c r="C17" s="2"/>
      <c r="D17" s="2"/>
      <c r="E17" s="18">
        <v>747</v>
      </c>
      <c r="F17" s="25" t="s">
        <v>176</v>
      </c>
      <c r="G17" s="26" t="s">
        <v>55</v>
      </c>
      <c r="H17" s="8">
        <v>799</v>
      </c>
      <c r="I17" s="8"/>
      <c r="J17" s="2"/>
      <c r="K17" s="25"/>
      <c r="L17" s="9"/>
      <c r="M17" s="16"/>
      <c r="R17" s="1">
        <f>IF(vend13[[#This Row],[Nº Venda]]&gt;1,1,0)</f>
        <v>1</v>
      </c>
    </row>
    <row r="18" spans="2:18" ht="15.75" x14ac:dyDescent="0.25">
      <c r="B18" s="105" t="s">
        <v>12</v>
      </c>
      <c r="C18" s="105"/>
      <c r="D18" s="2"/>
      <c r="E18" s="18">
        <v>748</v>
      </c>
      <c r="F18" s="25" t="s">
        <v>179</v>
      </c>
      <c r="G18" s="26" t="s">
        <v>10</v>
      </c>
      <c r="H18" s="8">
        <v>290</v>
      </c>
      <c r="I18" s="8">
        <v>290</v>
      </c>
      <c r="J18" s="2"/>
      <c r="K18" s="25"/>
      <c r="L18" s="9"/>
      <c r="M18" s="16"/>
      <c r="R18" s="1">
        <f>IF(vend13[[#This Row],[Nº Venda]]&gt;1,1,0)</f>
        <v>1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>
        <v>749</v>
      </c>
      <c r="F19" s="25" t="s">
        <v>180</v>
      </c>
      <c r="G19" s="26" t="s">
        <v>6</v>
      </c>
      <c r="H19" s="8">
        <v>350</v>
      </c>
      <c r="I19" s="8">
        <v>2</v>
      </c>
      <c r="J19" s="2"/>
      <c r="K19" s="25"/>
      <c r="L19" s="9"/>
      <c r="M19" s="16"/>
      <c r="R19" s="1">
        <f>IF(vend13[[#This Row],[Nº Venda]]&gt;1,1,0)</f>
        <v>1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8215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6" t="s">
        <v>28</v>
      </c>
      <c r="F24" s="106"/>
      <c r="G24" s="106"/>
      <c r="H24" s="106"/>
      <c r="I24" s="10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6" t="s">
        <v>29</v>
      </c>
      <c r="F33" s="106"/>
      <c r="G33" s="106"/>
      <c r="H33" s="106"/>
      <c r="I33" s="106"/>
      <c r="K33" s="107" t="s">
        <v>12</v>
      </c>
      <c r="L33" s="108"/>
      <c r="M33" s="109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>
        <v>522</v>
      </c>
      <c r="F35" s="25" t="s">
        <v>178</v>
      </c>
      <c r="G35" s="26" t="s">
        <v>10</v>
      </c>
      <c r="H35" s="8">
        <v>144.28</v>
      </c>
      <c r="I35" s="8" t="s">
        <v>104</v>
      </c>
      <c r="K35" s="25"/>
      <c r="L35" s="41"/>
      <c r="M35" s="16"/>
    </row>
    <row r="36" spans="2:18" ht="15.75" x14ac:dyDescent="0.25">
      <c r="E36" s="18">
        <v>522</v>
      </c>
      <c r="F36" s="25" t="s">
        <v>178</v>
      </c>
      <c r="G36" s="26" t="s">
        <v>10</v>
      </c>
      <c r="H36" s="8">
        <v>144.28</v>
      </c>
      <c r="I36" s="8" t="s">
        <v>105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34</v>
      </c>
      <c r="R40" s="1">
        <f>SUM(R6:R21)</f>
        <v>13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zoomScale="80" zoomScaleNormal="80" workbookViewId="0">
      <selection activeCell="V8" sqref="V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6">
        <f>'13'!B1+1</f>
        <v>45457</v>
      </c>
    </row>
    <row r="2" spans="2:18" ht="18.75" x14ac:dyDescent="0.2">
      <c r="B2" s="110" t="s">
        <v>35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3" t="s">
        <v>1</v>
      </c>
      <c r="F4" s="113"/>
      <c r="G4" s="113"/>
      <c r="H4" s="113"/>
      <c r="I4" s="113"/>
      <c r="J4" s="22"/>
      <c r="K4" s="107" t="s">
        <v>3</v>
      </c>
      <c r="L4" s="108"/>
      <c r="M4" s="109"/>
    </row>
    <row r="5" spans="2:18" ht="15" x14ac:dyDescent="0.25">
      <c r="B5" s="23" t="s">
        <v>1</v>
      </c>
      <c r="C5" s="24">
        <f>SUMIF(I6:I31,"&gt;0",H6:H31)</f>
        <v>1390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1390</v>
      </c>
      <c r="D6" s="2"/>
      <c r="E6" s="18">
        <v>750</v>
      </c>
      <c r="F6" s="25" t="s">
        <v>183</v>
      </c>
      <c r="G6" s="46" t="s">
        <v>9</v>
      </c>
      <c r="H6" s="8">
        <v>1300</v>
      </c>
      <c r="I6" s="8">
        <v>1300</v>
      </c>
      <c r="J6" s="2"/>
      <c r="K6" s="25"/>
      <c r="L6" s="9"/>
      <c r="M6" s="16"/>
      <c r="R6" s="1">
        <f>IF(vend14[[#This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751</v>
      </c>
      <c r="F7" s="25" t="s">
        <v>183</v>
      </c>
      <c r="G7" s="46" t="s">
        <v>9</v>
      </c>
      <c r="H7" s="8">
        <v>90</v>
      </c>
      <c r="I7" s="8">
        <v>90</v>
      </c>
      <c r="J7" s="2"/>
      <c r="K7" s="25"/>
      <c r="L7" s="9"/>
      <c r="M7" s="16"/>
      <c r="R7" s="1">
        <f>IF(vend14[[#This Row],[Nº Venda]]&gt;1,1,0)</f>
        <v>1</v>
      </c>
    </row>
    <row r="8" spans="2:18" ht="15.75" x14ac:dyDescent="0.25">
      <c r="B8" s="28" t="s">
        <v>22</v>
      </c>
      <c r="C8" s="29">
        <f>SUM(C6:C7)</f>
        <v>1390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105" t="s">
        <v>5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7" t="s">
        <v>23</v>
      </c>
      <c r="L13" s="108"/>
      <c r="M13" s="109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1390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732</v>
      </c>
      <c r="L15" s="9" t="s">
        <v>177</v>
      </c>
      <c r="M15" s="16" t="s">
        <v>39</v>
      </c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1390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105" t="s">
        <v>12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1390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6" t="s">
        <v>28</v>
      </c>
      <c r="F24" s="106"/>
      <c r="G24" s="106"/>
      <c r="H24" s="106"/>
      <c r="I24" s="10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6" t="s">
        <v>29</v>
      </c>
      <c r="F33" s="106"/>
      <c r="G33" s="106"/>
      <c r="H33" s="106"/>
      <c r="I33" s="106"/>
      <c r="K33" s="107" t="s">
        <v>12</v>
      </c>
      <c r="L33" s="108"/>
      <c r="M33" s="109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34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V41"/>
  <sheetViews>
    <sheetView showGridLines="0" zoomScale="80" zoomScaleNormal="80" workbookViewId="0">
      <selection activeCell="V6" sqref="V6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31.5" x14ac:dyDescent="0.5">
      <c r="B1" s="82">
        <f>'14'!B1+1</f>
        <v>45458</v>
      </c>
    </row>
    <row r="2" spans="2:22" ht="18.75" x14ac:dyDescent="0.2">
      <c r="B2" s="110" t="s">
        <v>35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13" t="s">
        <v>1</v>
      </c>
      <c r="F4" s="113"/>
      <c r="G4" s="113"/>
      <c r="H4" s="113"/>
      <c r="I4" s="113"/>
      <c r="J4" s="22"/>
      <c r="K4" s="107" t="s">
        <v>3</v>
      </c>
      <c r="L4" s="108"/>
      <c r="M4" s="109"/>
    </row>
    <row r="5" spans="2:22" ht="15" x14ac:dyDescent="0.25">
      <c r="B5" s="23" t="s">
        <v>1</v>
      </c>
      <c r="C5" s="24">
        <f>SUMIF(I6:I31,"&gt;0",H6:H31)</f>
        <v>1290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3" t="s">
        <v>2</v>
      </c>
      <c r="C6" s="24">
        <f>SUM(I6:I41)</f>
        <v>1290</v>
      </c>
      <c r="D6" s="2"/>
      <c r="E6" s="18">
        <v>752</v>
      </c>
      <c r="F6" s="25" t="s">
        <v>184</v>
      </c>
      <c r="G6" s="46" t="s">
        <v>9</v>
      </c>
      <c r="H6" s="8">
        <v>1290</v>
      </c>
      <c r="I6" s="8">
        <v>1290</v>
      </c>
      <c r="J6" s="2"/>
      <c r="K6" s="25"/>
      <c r="L6" s="9"/>
      <c r="M6" s="16"/>
      <c r="R6" s="1">
        <f>IF(vend15[[#This Row],[Nº Venda]]&gt;1,1,0)</f>
        <v>1</v>
      </c>
      <c r="V6" s="1" t="s">
        <v>185</v>
      </c>
    </row>
    <row r="7" spans="2:22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22" ht="15.75" x14ac:dyDescent="0.25">
      <c r="B8" s="28" t="s">
        <v>22</v>
      </c>
      <c r="C8" s="29">
        <f>SUM(C6:C7)</f>
        <v>1290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22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22" ht="15.75" x14ac:dyDescent="0.25">
      <c r="B10" s="105" t="s">
        <v>5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22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22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22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7" t="s">
        <v>23</v>
      </c>
      <c r="L13" s="108"/>
      <c r="M13" s="109"/>
      <c r="R13" s="1">
        <f>IF(vend15[[#This Row],[Nº Venda]]&gt;1,1,0)</f>
        <v>0</v>
      </c>
    </row>
    <row r="14" spans="2:22" ht="15.75" x14ac:dyDescent="0.25">
      <c r="B14" s="30" t="s">
        <v>9</v>
      </c>
      <c r="C14" s="31">
        <f t="shared" si="0"/>
        <v>1290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IF(vend15[[#This Row],[Nº Venda]]&gt;1,1,0)</f>
        <v>0</v>
      </c>
    </row>
    <row r="15" spans="2:22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62">
        <v>720</v>
      </c>
      <c r="L15" s="70" t="s">
        <v>38</v>
      </c>
      <c r="M15" s="71" t="s">
        <v>39</v>
      </c>
      <c r="R15" s="1">
        <f>IF(vend15[[#This Row],[Nº Venda]]&gt;1,1,0)</f>
        <v>0</v>
      </c>
    </row>
    <row r="16" spans="2:22" ht="15.75" x14ac:dyDescent="0.25">
      <c r="B16" s="28" t="s">
        <v>11</v>
      </c>
      <c r="C16" s="32">
        <f>SUM(C11:C15)</f>
        <v>1290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105" t="s">
        <v>12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62"/>
      <c r="L19" s="70"/>
      <c r="M19" s="71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1290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6" t="s">
        <v>28</v>
      </c>
      <c r="F24" s="106"/>
      <c r="G24" s="106"/>
      <c r="H24" s="106"/>
      <c r="I24" s="10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6" t="s">
        <v>29</v>
      </c>
      <c r="F33" s="106"/>
      <c r="G33" s="106"/>
      <c r="H33" s="106"/>
      <c r="I33" s="106"/>
      <c r="K33" s="107" t="s">
        <v>12</v>
      </c>
      <c r="L33" s="108"/>
      <c r="M33" s="109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34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zoomScale="80" zoomScaleNormal="80" workbookViewId="0">
      <selection activeCell="E35" sqref="E35:I41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2">
        <f>'15'!B1+1</f>
        <v>45459</v>
      </c>
    </row>
    <row r="2" spans="2:18" ht="18.75" x14ac:dyDescent="0.2">
      <c r="B2" s="110" t="s">
        <v>35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3" t="s">
        <v>1</v>
      </c>
      <c r="F4" s="113"/>
      <c r="G4" s="113"/>
      <c r="H4" s="113"/>
      <c r="I4" s="113"/>
      <c r="J4" s="22"/>
      <c r="K4" s="107" t="s">
        <v>3</v>
      </c>
      <c r="L4" s="108"/>
      <c r="M4" s="10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105" t="s">
        <v>5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7" t="s">
        <v>23</v>
      </c>
      <c r="L13" s="108"/>
      <c r="M13" s="109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62"/>
      <c r="L17" s="70"/>
      <c r="M17" s="71"/>
      <c r="R17" s="1">
        <f>IF(vend16[[#This Row],[Nº Venda]]&gt;1,1,0)</f>
        <v>0</v>
      </c>
    </row>
    <row r="18" spans="2:18" ht="15.75" x14ac:dyDescent="0.25">
      <c r="B18" s="105" t="s">
        <v>12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6" t="s">
        <v>28</v>
      </c>
      <c r="F24" s="106"/>
      <c r="G24" s="106"/>
      <c r="H24" s="106"/>
      <c r="I24" s="10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6" t="s">
        <v>29</v>
      </c>
      <c r="F33" s="106"/>
      <c r="G33" s="106"/>
      <c r="H33" s="106"/>
      <c r="I33" s="106"/>
      <c r="K33" s="107" t="s">
        <v>12</v>
      </c>
      <c r="L33" s="108"/>
      <c r="M33" s="109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34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V41"/>
  <sheetViews>
    <sheetView showGridLines="0" zoomScale="80" zoomScaleNormal="80" workbookViewId="0">
      <selection activeCell="V9" sqref="V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6">
        <f>'16'!B1+1</f>
        <v>45460</v>
      </c>
    </row>
    <row r="2" spans="2:18" ht="18.75" x14ac:dyDescent="0.2">
      <c r="B2" s="110" t="s">
        <v>35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3" t="s">
        <v>1</v>
      </c>
      <c r="F4" s="113"/>
      <c r="G4" s="113"/>
      <c r="H4" s="113"/>
      <c r="I4" s="113"/>
      <c r="J4" s="22"/>
      <c r="K4" s="107" t="s">
        <v>3</v>
      </c>
      <c r="L4" s="108"/>
      <c r="M4" s="10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629</v>
      </c>
      <c r="D6" s="2"/>
      <c r="E6" s="18">
        <v>753</v>
      </c>
      <c r="F6" s="25" t="s">
        <v>190</v>
      </c>
      <c r="G6" s="26" t="s">
        <v>85</v>
      </c>
      <c r="H6" s="8">
        <v>0</v>
      </c>
      <c r="I6" s="8">
        <v>0</v>
      </c>
      <c r="J6" s="2"/>
      <c r="K6" s="25" t="s">
        <v>188</v>
      </c>
      <c r="L6" s="9" t="s">
        <v>189</v>
      </c>
      <c r="M6" s="16">
        <v>13</v>
      </c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13</v>
      </c>
      <c r="D7" s="2"/>
      <c r="E7" s="18">
        <v>754</v>
      </c>
      <c r="F7" s="25" t="s">
        <v>191</v>
      </c>
      <c r="G7" s="26" t="s">
        <v>85</v>
      </c>
      <c r="H7" s="8">
        <v>0</v>
      </c>
      <c r="I7" s="8">
        <v>0</v>
      </c>
      <c r="J7" s="2"/>
      <c r="K7" s="25"/>
      <c r="L7" s="9"/>
      <c r="M7" s="16"/>
      <c r="R7" s="1">
        <f>IF(vend17[[#This Row],[Nº Venda]]&gt;1,1,0)</f>
        <v>1</v>
      </c>
    </row>
    <row r="8" spans="2:18" ht="15.75" x14ac:dyDescent="0.25">
      <c r="B8" s="28" t="s">
        <v>22</v>
      </c>
      <c r="C8" s="29">
        <f>SUM(C6:C7)</f>
        <v>642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105" t="s">
        <v>5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230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7" t="s">
        <v>23</v>
      </c>
      <c r="L13" s="108"/>
      <c r="M13" s="109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399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702</v>
      </c>
      <c r="L15" s="9" t="s">
        <v>38</v>
      </c>
      <c r="M15" s="16" t="s">
        <v>39</v>
      </c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629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22" ht="15.75" x14ac:dyDescent="0.25">
      <c r="B18" s="105" t="s">
        <v>12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22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  <c r="V20" s="96"/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2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06" t="s">
        <v>28</v>
      </c>
      <c r="F24" s="106"/>
      <c r="G24" s="106"/>
      <c r="H24" s="106"/>
      <c r="I24" s="106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>
        <v>725</v>
      </c>
      <c r="F26" s="25" t="s">
        <v>186</v>
      </c>
      <c r="G26" s="26" t="s">
        <v>9</v>
      </c>
      <c r="H26" s="8"/>
      <c r="I26" s="8">
        <v>399</v>
      </c>
      <c r="J26" s="2"/>
      <c r="K26" s="25"/>
      <c r="L26" s="9"/>
      <c r="M26" s="16"/>
    </row>
    <row r="27" spans="2:22" ht="15.75" x14ac:dyDescent="0.25">
      <c r="B27" s="2"/>
      <c r="C27" s="2"/>
      <c r="D27" s="2"/>
      <c r="E27" s="97">
        <v>702</v>
      </c>
      <c r="F27" s="25" t="s">
        <v>187</v>
      </c>
      <c r="G27" s="26" t="s">
        <v>7</v>
      </c>
      <c r="H27" s="8"/>
      <c r="I27" s="8">
        <v>230</v>
      </c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06" t="s">
        <v>29</v>
      </c>
      <c r="F33" s="106"/>
      <c r="G33" s="106"/>
      <c r="H33" s="106"/>
      <c r="I33" s="106"/>
      <c r="K33" s="107" t="s">
        <v>12</v>
      </c>
      <c r="L33" s="108"/>
      <c r="M33" s="109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 t="s">
        <v>67</v>
      </c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34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80" zoomScaleNormal="80" workbookViewId="0">
      <selection activeCell="K19" sqref="K19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57031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3">
        <f>'17'!B1+1</f>
        <v>45461</v>
      </c>
    </row>
    <row r="2" spans="2:18" ht="18.75" x14ac:dyDescent="0.2">
      <c r="B2" s="110" t="s">
        <v>35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3" t="s">
        <v>1</v>
      </c>
      <c r="F4" s="113"/>
      <c r="G4" s="113"/>
      <c r="H4" s="113"/>
      <c r="I4" s="113"/>
      <c r="J4" s="22"/>
      <c r="K4" s="107" t="s">
        <v>3</v>
      </c>
      <c r="L4" s="108"/>
      <c r="M4" s="109"/>
    </row>
    <row r="5" spans="2:18" ht="15" x14ac:dyDescent="0.25">
      <c r="B5" s="23" t="s">
        <v>1</v>
      </c>
      <c r="C5" s="24">
        <f>SUMIF(I6:I31,"&gt;0",H6:H31)</f>
        <v>79.8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1269.79</v>
      </c>
      <c r="D6" s="2"/>
      <c r="E6" s="18">
        <v>755</v>
      </c>
      <c r="F6" s="25" t="s">
        <v>193</v>
      </c>
      <c r="G6" s="26" t="s">
        <v>10</v>
      </c>
      <c r="H6" s="8">
        <v>79.8</v>
      </c>
      <c r="I6" s="8">
        <v>79.8</v>
      </c>
      <c r="J6" s="2"/>
      <c r="K6" s="25"/>
      <c r="L6" s="68"/>
      <c r="M6" s="16"/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22</v>
      </c>
      <c r="C8" s="29">
        <f>SUM(C6:C7)</f>
        <v>1269.79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105" t="s">
        <v>5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40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549.99</v>
      </c>
      <c r="D13" s="2"/>
      <c r="E13" s="18"/>
      <c r="F13" s="25"/>
      <c r="G13" s="26"/>
      <c r="H13" s="8"/>
      <c r="I13" s="8"/>
      <c r="J13" s="2"/>
      <c r="K13" s="107" t="s">
        <v>23</v>
      </c>
      <c r="L13" s="108"/>
      <c r="M13" s="109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679.8</v>
      </c>
      <c r="D15" s="2"/>
      <c r="E15" s="18"/>
      <c r="F15" s="25"/>
      <c r="G15" s="26"/>
      <c r="H15" s="8"/>
      <c r="I15" s="8"/>
      <c r="J15" s="2"/>
      <c r="K15" s="25">
        <v>710</v>
      </c>
      <c r="L15" s="9" t="s">
        <v>38</v>
      </c>
      <c r="M15" s="16" t="s">
        <v>39</v>
      </c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1269.79</v>
      </c>
      <c r="D16" s="2"/>
      <c r="E16" s="18"/>
      <c r="F16" s="25"/>
      <c r="G16" s="26"/>
      <c r="H16" s="8"/>
      <c r="I16" s="8"/>
      <c r="J16" s="2"/>
      <c r="K16" s="25">
        <v>717</v>
      </c>
      <c r="L16" s="9" t="s">
        <v>38</v>
      </c>
      <c r="M16" s="16" t="s">
        <v>39</v>
      </c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722</v>
      </c>
      <c r="L17" s="9" t="s">
        <v>38</v>
      </c>
      <c r="M17" s="16" t="s">
        <v>39</v>
      </c>
      <c r="R17" s="1">
        <f>IF(vend18[[#This Row],[Nº Venda]]&gt;1,1,0)</f>
        <v>0</v>
      </c>
    </row>
    <row r="18" spans="2:18" ht="15.75" x14ac:dyDescent="0.25">
      <c r="B18" s="105" t="s">
        <v>12</v>
      </c>
      <c r="C18" s="105"/>
      <c r="D18" s="2"/>
      <c r="E18" s="18"/>
      <c r="F18" s="25"/>
      <c r="G18" s="26"/>
      <c r="H18" s="8"/>
      <c r="I18" s="8"/>
      <c r="J18" s="2"/>
      <c r="K18" s="25">
        <v>730</v>
      </c>
      <c r="L18" s="9" t="s">
        <v>38</v>
      </c>
      <c r="M18" s="16" t="s">
        <v>39</v>
      </c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>
        <v>726</v>
      </c>
      <c r="L19" s="9" t="s">
        <v>38</v>
      </c>
      <c r="M19" s="16" t="s">
        <v>39</v>
      </c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755</v>
      </c>
      <c r="L20" s="9" t="s">
        <v>164</v>
      </c>
      <c r="M20" s="16" t="s">
        <v>39</v>
      </c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79.8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66"/>
      <c r="F23" s="66"/>
      <c r="G23" s="66"/>
      <c r="H23" s="67"/>
      <c r="I23" s="67"/>
      <c r="J23" s="2"/>
      <c r="K23" s="25"/>
      <c r="L23" s="9"/>
      <c r="M23" s="16"/>
    </row>
    <row r="24" spans="2:18" ht="15" x14ac:dyDescent="0.25">
      <c r="B24" s="2"/>
      <c r="C24" s="2"/>
      <c r="D24" s="2"/>
      <c r="E24" s="106" t="s">
        <v>28</v>
      </c>
      <c r="F24" s="106"/>
      <c r="G24" s="106"/>
      <c r="H24" s="106"/>
      <c r="I24" s="10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717</v>
      </c>
      <c r="F26" s="25" t="s">
        <v>192</v>
      </c>
      <c r="G26" s="26" t="s">
        <v>10</v>
      </c>
      <c r="H26" s="8">
        <v>0</v>
      </c>
      <c r="I26" s="8">
        <v>600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726</v>
      </c>
      <c r="F27" s="25" t="s">
        <v>194</v>
      </c>
      <c r="G27" s="26" t="s">
        <v>7</v>
      </c>
      <c r="H27" s="8"/>
      <c r="I27" s="8">
        <v>40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 t="s">
        <v>194</v>
      </c>
      <c r="G28" s="26" t="s">
        <v>8</v>
      </c>
      <c r="H28" s="8"/>
      <c r="I28" s="8">
        <v>549.99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6" t="s">
        <v>29</v>
      </c>
      <c r="F33" s="106"/>
      <c r="G33" s="106"/>
      <c r="H33" s="106"/>
      <c r="I33" s="106"/>
      <c r="K33" s="107" t="s">
        <v>12</v>
      </c>
      <c r="L33" s="108"/>
      <c r="M33" s="109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34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zoomScale="80" zoomScaleNormal="80" zoomScaleSheetLayoutView="70" workbookViewId="0">
      <selection activeCell="M16" sqref="M16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2">
        <f>'18'!B1+1</f>
        <v>45462</v>
      </c>
    </row>
    <row r="2" spans="2:18" ht="18.75" x14ac:dyDescent="0.2">
      <c r="B2" s="110" t="s">
        <v>35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3" t="s">
        <v>1</v>
      </c>
      <c r="F4" s="113"/>
      <c r="G4" s="113"/>
      <c r="H4" s="113"/>
      <c r="I4" s="113"/>
      <c r="J4" s="22"/>
      <c r="K4" s="107" t="s">
        <v>3</v>
      </c>
      <c r="L4" s="108"/>
      <c r="M4" s="10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756</v>
      </c>
      <c r="F6" s="25" t="s">
        <v>196</v>
      </c>
      <c r="G6" s="26" t="s">
        <v>85</v>
      </c>
      <c r="H6" s="8">
        <v>0</v>
      </c>
      <c r="I6" s="8">
        <v>0</v>
      </c>
      <c r="J6" s="2"/>
      <c r="K6" s="25"/>
      <c r="L6" s="9"/>
      <c r="M6" s="16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69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92"/>
      <c r="F9" s="62"/>
      <c r="G9" s="93"/>
      <c r="H9" s="74"/>
      <c r="I9" s="74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105" t="s">
        <v>5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7" t="s">
        <v>23</v>
      </c>
      <c r="L13" s="108"/>
      <c r="M13" s="109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723</v>
      </c>
      <c r="L15" s="9" t="s">
        <v>38</v>
      </c>
      <c r="M15" s="16" t="s">
        <v>39</v>
      </c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>
        <v>741</v>
      </c>
      <c r="L16" s="9" t="s">
        <v>38</v>
      </c>
      <c r="M16" s="16" t="s">
        <v>39</v>
      </c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22" ht="15.75" x14ac:dyDescent="0.25">
      <c r="B18" s="105" t="s">
        <v>12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22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  <c r="V20" s="1" t="s">
        <v>67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2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06" t="s">
        <v>28</v>
      </c>
      <c r="F24" s="106"/>
      <c r="G24" s="106"/>
      <c r="H24" s="106"/>
      <c r="I24" s="106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/>
      <c r="F26" s="39"/>
      <c r="G26" s="26"/>
      <c r="H26" s="8"/>
      <c r="I26" s="8"/>
      <c r="J26" s="2"/>
      <c r="K26" s="25"/>
      <c r="L26" s="9"/>
      <c r="M26" s="16"/>
    </row>
    <row r="27" spans="2:22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26"/>
      <c r="H29" s="26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06" t="s">
        <v>29</v>
      </c>
      <c r="F33" s="106"/>
      <c r="G33" s="106"/>
      <c r="H33" s="106"/>
      <c r="I33" s="106"/>
      <c r="K33" s="107" t="s">
        <v>12</v>
      </c>
      <c r="L33" s="108"/>
      <c r="M33" s="109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34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A2" zoomScale="80" zoomScaleNormal="80" workbookViewId="0">
      <selection activeCell="E13" sqref="E13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3">
        <f>'19'!B1+1</f>
        <v>45463</v>
      </c>
    </row>
    <row r="2" spans="2:18" ht="18.75" x14ac:dyDescent="0.2">
      <c r="B2" s="110" t="s">
        <v>35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3" t="s">
        <v>1</v>
      </c>
      <c r="F4" s="113"/>
      <c r="G4" s="113"/>
      <c r="H4" s="113"/>
      <c r="I4" s="113"/>
      <c r="J4" s="22"/>
      <c r="K4" s="107" t="s">
        <v>3</v>
      </c>
      <c r="L4" s="108"/>
      <c r="M4" s="109"/>
    </row>
    <row r="5" spans="2:18" ht="15" x14ac:dyDescent="0.25">
      <c r="B5" s="23" t="s">
        <v>1</v>
      </c>
      <c r="C5" s="24">
        <f>SUMIF(I6:I31,"&gt;0",H6:H31)</f>
        <v>5310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3710</v>
      </c>
      <c r="D6" s="2"/>
      <c r="E6" s="18">
        <v>757</v>
      </c>
      <c r="F6" s="25" t="s">
        <v>197</v>
      </c>
      <c r="G6" s="26" t="s">
        <v>6</v>
      </c>
      <c r="H6" s="8">
        <v>1390</v>
      </c>
      <c r="I6" s="8">
        <v>1390</v>
      </c>
      <c r="J6" s="2"/>
      <c r="K6" s="25" t="s">
        <v>207</v>
      </c>
      <c r="L6" s="9" t="s">
        <v>6</v>
      </c>
      <c r="M6" s="16">
        <v>7.9</v>
      </c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7.9</v>
      </c>
      <c r="D7" s="2"/>
      <c r="E7" s="18">
        <v>758</v>
      </c>
      <c r="F7" s="25" t="s">
        <v>198</v>
      </c>
      <c r="G7" s="26" t="s">
        <v>10</v>
      </c>
      <c r="H7" s="8">
        <v>850</v>
      </c>
      <c r="I7" s="8">
        <v>20</v>
      </c>
      <c r="J7" s="2"/>
      <c r="K7" s="25" t="s">
        <v>67</v>
      </c>
      <c r="L7" s="9"/>
      <c r="M7" s="16"/>
      <c r="R7" s="1">
        <f>IF(vend20[[#This Row],[Nº Venda]]&gt;1,1,0)</f>
        <v>1</v>
      </c>
    </row>
    <row r="8" spans="2:18" ht="15.75" x14ac:dyDescent="0.25">
      <c r="B8" s="28" t="s">
        <v>22</v>
      </c>
      <c r="C8" s="29">
        <f>SUM(C6:C7)</f>
        <v>3717.9</v>
      </c>
      <c r="D8" s="2"/>
      <c r="E8" s="18">
        <v>759</v>
      </c>
      <c r="F8" s="25" t="s">
        <v>199</v>
      </c>
      <c r="G8" s="26" t="s">
        <v>10</v>
      </c>
      <c r="H8" s="8">
        <v>1000</v>
      </c>
      <c r="I8" s="8">
        <v>300</v>
      </c>
      <c r="J8" s="2"/>
      <c r="K8" s="25"/>
      <c r="L8" s="9"/>
      <c r="M8" s="16"/>
      <c r="R8" s="1">
        <f>IF(vend20[[#This Row],[Nº Venda]]&gt;1,1,0)</f>
        <v>1</v>
      </c>
    </row>
    <row r="9" spans="2:18" ht="15.75" x14ac:dyDescent="0.25">
      <c r="B9" s="2"/>
      <c r="C9" s="2"/>
      <c r="D9" s="2"/>
      <c r="E9" s="18">
        <v>760</v>
      </c>
      <c r="F9" s="25" t="s">
        <v>200</v>
      </c>
      <c r="G9" s="26" t="s">
        <v>9</v>
      </c>
      <c r="H9" s="8">
        <v>790</v>
      </c>
      <c r="I9" s="8">
        <v>790</v>
      </c>
      <c r="J9" s="2"/>
      <c r="K9" s="25"/>
      <c r="L9" s="9"/>
      <c r="M9" s="16"/>
      <c r="R9" s="1">
        <f>IF(vend20[[#This Row],[Nº Venda]]&gt;1,1,0)</f>
        <v>1</v>
      </c>
    </row>
    <row r="10" spans="2:18" ht="15.75" x14ac:dyDescent="0.25">
      <c r="B10" s="105" t="s">
        <v>5</v>
      </c>
      <c r="C10" s="105"/>
      <c r="D10" s="2"/>
      <c r="E10" s="18">
        <v>761</v>
      </c>
      <c r="F10" s="25" t="s">
        <v>201</v>
      </c>
      <c r="G10" s="26" t="s">
        <v>6</v>
      </c>
      <c r="H10" s="8">
        <v>390</v>
      </c>
      <c r="I10" s="8">
        <v>10</v>
      </c>
      <c r="J10" s="2"/>
      <c r="K10" s="25"/>
      <c r="L10" s="9"/>
      <c r="M10" s="16"/>
      <c r="R10" s="1">
        <f>IF(vend20[[#This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1400</v>
      </c>
      <c r="D11" s="2"/>
      <c r="E11" s="18">
        <v>762</v>
      </c>
      <c r="F11" s="25" t="s">
        <v>202</v>
      </c>
      <c r="G11" s="26" t="s">
        <v>7</v>
      </c>
      <c r="H11" s="8">
        <v>890</v>
      </c>
      <c r="I11" s="8">
        <v>30</v>
      </c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30</v>
      </c>
      <c r="D12" s="2"/>
      <c r="E12" s="18">
        <v>763</v>
      </c>
      <c r="F12" s="25" t="s">
        <v>203</v>
      </c>
      <c r="G12" s="26" t="s">
        <v>55</v>
      </c>
      <c r="H12" s="8">
        <v>290</v>
      </c>
      <c r="I12" s="8">
        <v>0</v>
      </c>
      <c r="J12" s="2"/>
      <c r="R12" s="1">
        <f>IF(vend20[[#This Row],[Nº Venda]]&gt;1,1,0)</f>
        <v>1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>
        <v>764</v>
      </c>
      <c r="F13" s="25" t="s">
        <v>204</v>
      </c>
      <c r="G13" s="26" t="s">
        <v>55</v>
      </c>
      <c r="H13" s="8">
        <v>420</v>
      </c>
      <c r="I13" s="8">
        <v>0</v>
      </c>
      <c r="J13" s="2"/>
      <c r="K13" s="107" t="s">
        <v>23</v>
      </c>
      <c r="L13" s="108"/>
      <c r="M13" s="109"/>
      <c r="R13" s="1">
        <f>IF(vend20[[#This Row],[Nº Venda]]&gt;1,1,0)</f>
        <v>1</v>
      </c>
    </row>
    <row r="14" spans="2:18" ht="15.75" x14ac:dyDescent="0.25">
      <c r="B14" s="30" t="s">
        <v>9</v>
      </c>
      <c r="C14" s="31">
        <f t="shared" si="0"/>
        <v>1960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320</v>
      </c>
      <c r="D15" s="2"/>
      <c r="E15" s="18"/>
      <c r="F15" s="25"/>
      <c r="G15" s="26"/>
      <c r="H15" s="8"/>
      <c r="I15" s="8"/>
      <c r="J15" s="2"/>
      <c r="K15" s="62">
        <v>716</v>
      </c>
      <c r="L15" s="9" t="s">
        <v>38</v>
      </c>
      <c r="M15" s="16" t="s">
        <v>166</v>
      </c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3710</v>
      </c>
      <c r="D16" s="2"/>
      <c r="E16" s="18"/>
      <c r="F16" s="25"/>
      <c r="G16" s="26"/>
      <c r="H16" s="8"/>
      <c r="I16" s="8"/>
      <c r="J16" s="2"/>
      <c r="K16" s="62">
        <v>731</v>
      </c>
      <c r="L16" s="70" t="s">
        <v>38</v>
      </c>
      <c r="M16" s="71" t="s">
        <v>39</v>
      </c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715</v>
      </c>
      <c r="L17" s="9" t="s">
        <v>38</v>
      </c>
      <c r="M17" s="16" t="s">
        <v>39</v>
      </c>
      <c r="R17" s="1">
        <f>IF(vend20[[#This Row],[Nº Venda]]&gt;1,1,0)</f>
        <v>0</v>
      </c>
    </row>
    <row r="18" spans="2:18" ht="15.75" x14ac:dyDescent="0.25">
      <c r="B18" s="105" t="s">
        <v>12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1</v>
      </c>
      <c r="C19" s="31">
        <f>SUM(entr_carn20[Valor Total])</f>
        <v>340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340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5310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6" t="s">
        <v>28</v>
      </c>
      <c r="F24" s="106"/>
      <c r="G24" s="106"/>
      <c r="H24" s="106"/>
      <c r="I24" s="10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716</v>
      </c>
      <c r="F26" s="25" t="s">
        <v>205</v>
      </c>
      <c r="G26" s="26" t="s">
        <v>9</v>
      </c>
      <c r="H26" s="8"/>
      <c r="I26" s="8">
        <v>490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733</v>
      </c>
      <c r="F27" s="25" t="s">
        <v>206</v>
      </c>
      <c r="G27" s="26" t="s">
        <v>9</v>
      </c>
      <c r="H27" s="8"/>
      <c r="I27" s="8">
        <v>680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6" t="s">
        <v>29</v>
      </c>
      <c r="F33" s="106"/>
      <c r="G33" s="106"/>
      <c r="H33" s="106"/>
      <c r="I33" s="106"/>
      <c r="K33" s="107" t="s">
        <v>12</v>
      </c>
      <c r="L33" s="108"/>
      <c r="M33" s="109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>
        <v>716</v>
      </c>
      <c r="L35" s="41">
        <v>2</v>
      </c>
      <c r="M35" s="71">
        <v>340</v>
      </c>
    </row>
    <row r="36" spans="2:18" ht="15.75" x14ac:dyDescent="0.25">
      <c r="E36" s="18"/>
      <c r="F36" s="25"/>
      <c r="G36" s="26"/>
      <c r="H36" s="8"/>
      <c r="I36" s="8"/>
      <c r="K36" s="62"/>
      <c r="L36" s="72"/>
      <c r="M36" s="71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34</v>
      </c>
      <c r="R40" s="1">
        <f>SUM(R6:R21)</f>
        <v>8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abSelected="1" topLeftCell="A2" zoomScale="80" zoomScaleNormal="80" workbookViewId="0">
      <selection activeCell="E27" sqref="E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6">
        <f>'20'!B1+1</f>
        <v>45464</v>
      </c>
    </row>
    <row r="2" spans="2:18" ht="18.75" x14ac:dyDescent="0.2">
      <c r="B2" s="110" t="s">
        <v>35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3" t="s">
        <v>1</v>
      </c>
      <c r="F4" s="113"/>
      <c r="G4" s="113"/>
      <c r="H4" s="113"/>
      <c r="I4" s="113"/>
      <c r="J4" s="22"/>
      <c r="K4" s="107" t="s">
        <v>3</v>
      </c>
      <c r="L4" s="108"/>
      <c r="M4" s="109"/>
    </row>
    <row r="5" spans="2:18" ht="15" x14ac:dyDescent="0.25">
      <c r="B5" s="23" t="s">
        <v>1</v>
      </c>
      <c r="C5" s="24">
        <f>SUMIF(I6:I31,"&gt;0",H6:H31)</f>
        <v>710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60</v>
      </c>
      <c r="D6" s="2"/>
      <c r="E6" s="18">
        <v>838</v>
      </c>
      <c r="F6" s="25" t="s">
        <v>208</v>
      </c>
      <c r="G6" s="26" t="s">
        <v>85</v>
      </c>
      <c r="H6" s="8">
        <v>0</v>
      </c>
      <c r="I6" s="8">
        <v>0</v>
      </c>
      <c r="J6" s="2"/>
      <c r="K6" s="25"/>
      <c r="L6" s="9"/>
      <c r="M6" s="16"/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22</v>
      </c>
      <c r="C8" s="29">
        <f>SUM(C6:C7)</f>
        <v>60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105" t="s">
        <v>5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7" t="s">
        <v>23</v>
      </c>
      <c r="L13" s="108"/>
      <c r="M13" s="109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60</v>
      </c>
      <c r="D15" s="2"/>
      <c r="E15" s="18"/>
      <c r="F15" s="25"/>
      <c r="G15" s="26"/>
      <c r="H15" s="8"/>
      <c r="I15" s="8"/>
      <c r="J15" s="2"/>
      <c r="K15" s="25">
        <v>721</v>
      </c>
      <c r="L15" s="9" t="s">
        <v>177</v>
      </c>
      <c r="M15" s="16" t="s">
        <v>166</v>
      </c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60</v>
      </c>
      <c r="D16" s="2"/>
      <c r="E16" s="18"/>
      <c r="F16" s="25"/>
      <c r="G16" s="26"/>
      <c r="H16" s="8"/>
      <c r="I16" s="8"/>
      <c r="J16" s="2"/>
      <c r="K16" s="25">
        <v>718</v>
      </c>
      <c r="L16" s="9" t="s">
        <v>177</v>
      </c>
      <c r="M16" s="16" t="s">
        <v>39</v>
      </c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744</v>
      </c>
      <c r="L17" s="9" t="s">
        <v>177</v>
      </c>
      <c r="M17" s="16" t="s">
        <v>39</v>
      </c>
      <c r="R17" s="1">
        <f>IF(vend21[[#This Row],[Nº Venda]]&gt;1,1,0)</f>
        <v>0</v>
      </c>
    </row>
    <row r="18" spans="2:18" ht="15.75" x14ac:dyDescent="0.25">
      <c r="B18" s="105" t="s">
        <v>12</v>
      </c>
      <c r="C18" s="105"/>
      <c r="D18" s="2"/>
      <c r="E18" s="18"/>
      <c r="F18" s="25"/>
      <c r="G18" s="26"/>
      <c r="H18" s="8"/>
      <c r="I18" s="8"/>
      <c r="J18" s="2"/>
      <c r="K18" s="25">
        <v>698</v>
      </c>
      <c r="L18" s="9" t="s">
        <v>177</v>
      </c>
      <c r="M18" s="16" t="s">
        <v>39</v>
      </c>
      <c r="R18" s="1">
        <f>IF(vend21[[#This Row],[Nº Venda]]&gt;1,1,0)</f>
        <v>0</v>
      </c>
    </row>
    <row r="19" spans="2:18" ht="15.75" x14ac:dyDescent="0.25">
      <c r="B19" s="30">
        <f>COUNT(entr_carn21[OS])</f>
        <v>1</v>
      </c>
      <c r="C19" s="31">
        <f>SUM(entr_carn21[Valor Total])</f>
        <v>990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990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710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6" t="s">
        <v>28</v>
      </c>
      <c r="F24" s="106"/>
      <c r="G24" s="106"/>
      <c r="H24" s="106"/>
      <c r="I24" s="10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763</v>
      </c>
      <c r="F26" s="25" t="s">
        <v>203</v>
      </c>
      <c r="G26" s="26" t="s">
        <v>10</v>
      </c>
      <c r="H26" s="8">
        <v>290</v>
      </c>
      <c r="I26" s="8">
        <v>10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764</v>
      </c>
      <c r="F27" s="25" t="s">
        <v>204</v>
      </c>
      <c r="G27" s="26" t="s">
        <v>10</v>
      </c>
      <c r="H27" s="8">
        <v>420</v>
      </c>
      <c r="I27" s="8">
        <v>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6" t="s">
        <v>29</v>
      </c>
      <c r="F33" s="106"/>
      <c r="G33" s="106"/>
      <c r="H33" s="106"/>
      <c r="I33" s="106"/>
      <c r="K33" s="107" t="s">
        <v>12</v>
      </c>
      <c r="L33" s="108"/>
      <c r="M33" s="109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>
        <v>721</v>
      </c>
      <c r="L35" s="41">
        <v>10</v>
      </c>
      <c r="M35" s="16">
        <v>990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34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 G26:G27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G35:G41 G28:G31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5" zoomScale="80" zoomScaleNormal="80" workbookViewId="0">
      <selection activeCell="K17" sqref="K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6">
        <f>'21'!B1+1</f>
        <v>45465</v>
      </c>
    </row>
    <row r="2" spans="2:18" ht="18.75" x14ac:dyDescent="0.2">
      <c r="B2" s="110" t="s">
        <v>35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3" t="s">
        <v>1</v>
      </c>
      <c r="F4" s="113"/>
      <c r="G4" s="113"/>
      <c r="H4" s="113"/>
      <c r="I4" s="113"/>
      <c r="J4" s="22"/>
      <c r="K4" s="107" t="s">
        <v>3</v>
      </c>
      <c r="L4" s="108"/>
      <c r="M4" s="109"/>
    </row>
    <row r="5" spans="2:18" ht="15" x14ac:dyDescent="0.25">
      <c r="B5" s="23" t="s">
        <v>1</v>
      </c>
      <c r="C5" s="24">
        <f>SUMIF(I6:I31,"&gt;0",H6:H31)</f>
        <v>650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1480</v>
      </c>
      <c r="D6" s="2"/>
      <c r="E6" s="18">
        <v>765</v>
      </c>
      <c r="F6" s="25" t="s">
        <v>209</v>
      </c>
      <c r="G6" s="26" t="s">
        <v>9</v>
      </c>
      <c r="H6" s="8">
        <v>650</v>
      </c>
      <c r="I6" s="8">
        <v>650</v>
      </c>
      <c r="J6" s="2"/>
      <c r="K6" s="25" t="s">
        <v>212</v>
      </c>
      <c r="L6" s="9" t="s">
        <v>10</v>
      </c>
      <c r="M6" s="16">
        <v>250</v>
      </c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250</v>
      </c>
      <c r="D7" s="2"/>
      <c r="E7" s="18">
        <v>766</v>
      </c>
      <c r="F7" s="25" t="s">
        <v>213</v>
      </c>
      <c r="G7" s="26" t="s">
        <v>55</v>
      </c>
      <c r="H7" s="8">
        <v>590</v>
      </c>
      <c r="I7" s="8">
        <v>0</v>
      </c>
      <c r="J7" s="2"/>
      <c r="K7" s="25"/>
      <c r="L7" s="9"/>
      <c r="M7" s="16"/>
      <c r="R7" s="1">
        <f>IF(vend22[[#This Row],[Nº Venda]]&gt;1,1,0)</f>
        <v>1</v>
      </c>
    </row>
    <row r="8" spans="2:18" ht="15.75" x14ac:dyDescent="0.25">
      <c r="B8" s="28" t="s">
        <v>22</v>
      </c>
      <c r="C8" s="29">
        <f>SUM(C6:C7)</f>
        <v>1730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105" t="s">
        <v>5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102.6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285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7" t="s">
        <v>23</v>
      </c>
      <c r="L13" s="108"/>
      <c r="M13" s="109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1480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708</v>
      </c>
      <c r="L15" s="9" t="s">
        <v>38</v>
      </c>
      <c r="M15" s="16" t="s">
        <v>39</v>
      </c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1867.6</v>
      </c>
      <c r="D16" s="2"/>
      <c r="E16" s="18"/>
      <c r="F16" s="25"/>
      <c r="G16" s="26"/>
      <c r="H16" s="8"/>
      <c r="I16" s="8"/>
      <c r="J16" s="2"/>
      <c r="K16" s="25">
        <v>729</v>
      </c>
      <c r="L16" s="9" t="s">
        <v>38</v>
      </c>
      <c r="M16" s="16" t="s">
        <v>39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105" t="s">
        <v>12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650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6" t="s">
        <v>28</v>
      </c>
      <c r="F24" s="106"/>
      <c r="G24" s="106"/>
      <c r="H24" s="106"/>
      <c r="I24" s="10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758</v>
      </c>
      <c r="F26" s="25" t="s">
        <v>198</v>
      </c>
      <c r="G26" s="26" t="s">
        <v>9</v>
      </c>
      <c r="H26" s="8">
        <v>0</v>
      </c>
      <c r="I26" s="8">
        <v>830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6" t="s">
        <v>29</v>
      </c>
      <c r="F33" s="106"/>
      <c r="G33" s="106"/>
      <c r="H33" s="106"/>
      <c r="I33" s="106"/>
      <c r="K33" s="107" t="s">
        <v>12</v>
      </c>
      <c r="L33" s="108"/>
      <c r="M33" s="109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>
        <v>672</v>
      </c>
      <c r="F35" s="25" t="s">
        <v>210</v>
      </c>
      <c r="G35" s="26" t="s">
        <v>7</v>
      </c>
      <c r="H35" s="8">
        <v>200</v>
      </c>
      <c r="I35" s="8" t="s">
        <v>46</v>
      </c>
      <c r="K35" s="25"/>
      <c r="L35" s="41"/>
      <c r="M35" s="16"/>
    </row>
    <row r="36" spans="2:18" ht="15.75" x14ac:dyDescent="0.25">
      <c r="E36" s="18">
        <v>521</v>
      </c>
      <c r="F36" s="25" t="s">
        <v>211</v>
      </c>
      <c r="G36" s="26" t="s">
        <v>7</v>
      </c>
      <c r="H36" s="8">
        <v>85</v>
      </c>
      <c r="I36" s="8" t="s">
        <v>105</v>
      </c>
      <c r="K36" s="25"/>
      <c r="L36" s="41"/>
      <c r="M36" s="16"/>
    </row>
    <row r="37" spans="2:18" ht="15.75" x14ac:dyDescent="0.25">
      <c r="E37" s="18">
        <v>694</v>
      </c>
      <c r="F37" s="25" t="s">
        <v>214</v>
      </c>
      <c r="G37" s="26" t="s">
        <v>6</v>
      </c>
      <c r="H37" s="8">
        <v>102.6</v>
      </c>
      <c r="I37" s="8" t="s">
        <v>106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34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topLeftCell="A17" zoomScale="80" zoomScaleNormal="80" workbookViewId="0">
      <selection activeCell="K35" sqref="K35:M4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6">
        <f>'22'!B1+1</f>
        <v>45466</v>
      </c>
    </row>
    <row r="2" spans="2:18" ht="18.75" x14ac:dyDescent="0.2">
      <c r="B2" s="110" t="s">
        <v>35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3" t="s">
        <v>1</v>
      </c>
      <c r="F4" s="113"/>
      <c r="G4" s="113"/>
      <c r="H4" s="113"/>
      <c r="I4" s="113"/>
      <c r="J4" s="22"/>
      <c r="K4" s="107" t="s">
        <v>3</v>
      </c>
      <c r="L4" s="108"/>
      <c r="M4" s="10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105" t="s">
        <v>5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79">
        <f>(SUMIF($G$2:$G$31,B11,$I$2:$I$31))+(SUMIF($G$35:$G$44,B11,$H$35:$H$44))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79">
        <f>(SUMIF($G$2:$G$31,B12,$I$2:$I$31))+(SUMIF($G$35:$G$44,B12,$H$35:$H$44))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79">
        <f>(SUMIF($G$2:$G$31,B13,$I$2:$I$31))+(SUMIF($G$35:$G$44,B13,$H$35:$H$44))</f>
        <v>0</v>
      </c>
      <c r="D13" s="2"/>
      <c r="E13" s="18"/>
      <c r="F13" s="25"/>
      <c r="G13" s="26"/>
      <c r="H13" s="8"/>
      <c r="I13" s="8"/>
      <c r="J13" s="2"/>
      <c r="K13" s="107" t="s">
        <v>23</v>
      </c>
      <c r="L13" s="108"/>
      <c r="M13" s="109"/>
      <c r="R13" s="1">
        <f>IF(vend23[[#This Row],[Nº Venda]]&gt;1,1,0)</f>
        <v>0</v>
      </c>
    </row>
    <row r="14" spans="2:18" ht="15.75" x14ac:dyDescent="0.25">
      <c r="B14" s="30" t="s">
        <v>9</v>
      </c>
      <c r="C14" s="79">
        <f>(SUMIF($G$2:$G$31,B14,$I$2:$I$31))+(SUMIF($G$35:$G$44,B14,$H$35:$H$44))</f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79">
        <f>(SUMIF($G$2:$G$31,B15,$I$2:$I$31))+(SUMIF($G$35:$G$44,B15,$H$35:$H$44))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105" t="s">
        <v>12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6" t="s">
        <v>28</v>
      </c>
      <c r="F24" s="106"/>
      <c r="G24" s="106"/>
      <c r="H24" s="106"/>
      <c r="I24" s="10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6" t="s">
        <v>29</v>
      </c>
      <c r="F33" s="106"/>
      <c r="G33" s="106"/>
      <c r="H33" s="106"/>
      <c r="I33" s="106"/>
      <c r="K33" s="107" t="s">
        <v>12</v>
      </c>
      <c r="L33" s="108"/>
      <c r="M33" s="109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34</v>
      </c>
      <c r="R40" s="1">
        <f>SUM(R6:R21)</f>
        <v>0</v>
      </c>
    </row>
    <row r="41" spans="2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2:18" ht="15.75" x14ac:dyDescent="0.25">
      <c r="E42" s="35"/>
      <c r="F42" s="94"/>
      <c r="G42" s="37"/>
      <c r="H42" s="17"/>
      <c r="I42" s="17"/>
    </row>
    <row r="43" spans="2:18" ht="15.75" x14ac:dyDescent="0.25">
      <c r="E43" s="35"/>
      <c r="F43" s="39"/>
      <c r="G43" s="26"/>
      <c r="H43" s="8"/>
      <c r="I43" s="8"/>
    </row>
    <row r="44" spans="2:18" ht="15.75" x14ac:dyDescent="0.25">
      <c r="E44" s="95"/>
      <c r="F44" s="94"/>
      <c r="G44" s="37"/>
      <c r="H44" s="17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2" zoomScale="80" zoomScaleNormal="80" workbookViewId="0">
      <selection activeCell="W12" sqref="W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6">
        <f>'23'!B1+1</f>
        <v>45467</v>
      </c>
    </row>
    <row r="2" spans="2:18" ht="18.75" x14ac:dyDescent="0.2">
      <c r="B2" s="110" t="s">
        <v>35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3" t="s">
        <v>1</v>
      </c>
      <c r="F4" s="113"/>
      <c r="G4" s="113"/>
      <c r="H4" s="113"/>
      <c r="I4" s="113"/>
      <c r="J4" s="22"/>
      <c r="K4" s="107" t="s">
        <v>3</v>
      </c>
      <c r="L4" s="108"/>
      <c r="M4" s="109"/>
    </row>
    <row r="5" spans="2:18" ht="15" x14ac:dyDescent="0.25">
      <c r="B5" s="23" t="s">
        <v>1</v>
      </c>
      <c r="C5" s="24">
        <f>SUMIF(I6:I31,"&gt;0",H6:H31)</f>
        <v>590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20</v>
      </c>
      <c r="D6" s="2"/>
      <c r="E6" s="18">
        <v>767</v>
      </c>
      <c r="F6" s="25" t="s">
        <v>216</v>
      </c>
      <c r="G6" s="26" t="s">
        <v>85</v>
      </c>
      <c r="H6" s="8">
        <v>0</v>
      </c>
      <c r="I6" s="8">
        <v>0</v>
      </c>
      <c r="J6" s="2"/>
      <c r="K6" s="25"/>
      <c r="L6" s="9"/>
      <c r="M6" s="16"/>
      <c r="R6" s="1">
        <f>IF(vend24[[#This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768</v>
      </c>
      <c r="F7" s="25" t="s">
        <v>65</v>
      </c>
      <c r="G7" s="26" t="s">
        <v>85</v>
      </c>
      <c r="H7" s="8">
        <v>0</v>
      </c>
      <c r="I7" s="8">
        <v>0</v>
      </c>
      <c r="J7" s="2"/>
      <c r="K7" s="25"/>
      <c r="L7" s="9"/>
      <c r="M7" s="16"/>
      <c r="R7" s="1">
        <f>IF(vend24[[#This Row],[Nº Venda]]&gt;1,1,0)</f>
        <v>1</v>
      </c>
    </row>
    <row r="8" spans="2:18" ht="15.75" x14ac:dyDescent="0.25">
      <c r="B8" s="28" t="s">
        <v>22</v>
      </c>
      <c r="C8" s="29">
        <f>SUM(C6:C7)</f>
        <v>20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105" t="s">
        <v>5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7" t="s">
        <v>23</v>
      </c>
      <c r="L13" s="108"/>
      <c r="M13" s="109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20</v>
      </c>
      <c r="D15" s="2"/>
      <c r="E15" s="18"/>
      <c r="F15" s="25"/>
      <c r="G15" s="26"/>
      <c r="H15" s="8"/>
      <c r="I15" s="8"/>
      <c r="J15" s="2"/>
      <c r="K15" s="25">
        <v>742</v>
      </c>
      <c r="L15" s="9" t="s">
        <v>215</v>
      </c>
      <c r="M15" s="16" t="s">
        <v>39</v>
      </c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20</v>
      </c>
      <c r="D16" s="2"/>
      <c r="E16" s="18"/>
      <c r="F16" s="25"/>
      <c r="G16" s="26"/>
      <c r="H16" s="8"/>
      <c r="I16" s="8"/>
      <c r="J16" s="2"/>
      <c r="K16" s="25">
        <v>754</v>
      </c>
      <c r="L16" s="9" t="s">
        <v>195</v>
      </c>
      <c r="M16" s="16" t="s">
        <v>39</v>
      </c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105" t="s">
        <v>12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590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6" t="s">
        <v>28</v>
      </c>
      <c r="F24" s="106"/>
      <c r="G24" s="106"/>
      <c r="H24" s="106"/>
      <c r="I24" s="10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766</v>
      </c>
      <c r="F26" s="25" t="s">
        <v>213</v>
      </c>
      <c r="G26" s="26" t="s">
        <v>10</v>
      </c>
      <c r="H26" s="8">
        <v>590</v>
      </c>
      <c r="I26" s="8">
        <v>20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6" t="s">
        <v>29</v>
      </c>
      <c r="F33" s="106"/>
      <c r="G33" s="106"/>
      <c r="H33" s="106"/>
      <c r="I33" s="106"/>
      <c r="K33" s="107" t="s">
        <v>12</v>
      </c>
      <c r="L33" s="108"/>
      <c r="M33" s="109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34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80" zoomScaleNormal="80" workbookViewId="0">
      <selection activeCell="K17" sqref="K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6">
        <f>'24'!B1+1</f>
        <v>45468</v>
      </c>
    </row>
    <row r="2" spans="2:18" ht="18.75" x14ac:dyDescent="0.2">
      <c r="B2" s="110" t="s">
        <v>35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3" t="s">
        <v>1</v>
      </c>
      <c r="F4" s="113"/>
      <c r="G4" s="113"/>
      <c r="H4" s="113"/>
      <c r="I4" s="113"/>
      <c r="J4" s="22"/>
      <c r="K4" s="107" t="s">
        <v>3</v>
      </c>
      <c r="L4" s="108"/>
      <c r="M4" s="109"/>
    </row>
    <row r="5" spans="2:18" ht="15" x14ac:dyDescent="0.25">
      <c r="B5" s="23" t="s">
        <v>1</v>
      </c>
      <c r="C5" s="24">
        <f>SUMIF(I6:I31,"&gt;0",H6:H31)</f>
        <v>2249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1130</v>
      </c>
      <c r="D6" s="2"/>
      <c r="E6" s="18">
        <v>769</v>
      </c>
      <c r="F6" s="25" t="s">
        <v>217</v>
      </c>
      <c r="G6" s="26" t="s">
        <v>7</v>
      </c>
      <c r="H6" s="8">
        <v>569</v>
      </c>
      <c r="I6" s="8">
        <v>200</v>
      </c>
      <c r="J6" s="2"/>
      <c r="K6" s="25"/>
      <c r="L6" s="9"/>
      <c r="M6" s="16"/>
      <c r="R6" s="1">
        <f>IF(vend25[[#This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770</v>
      </c>
      <c r="F7" s="25" t="s">
        <v>217</v>
      </c>
      <c r="G7" s="26" t="s">
        <v>7</v>
      </c>
      <c r="H7" s="8">
        <v>500</v>
      </c>
      <c r="I7" s="8">
        <v>200</v>
      </c>
      <c r="J7" s="2"/>
      <c r="K7" s="25"/>
      <c r="L7" s="9"/>
      <c r="M7" s="16"/>
      <c r="R7" s="1">
        <f>IF(vend25[[#This Row],[Nº Venda]]&gt;1,1,0)</f>
        <v>1</v>
      </c>
    </row>
    <row r="8" spans="2:18" ht="15.75" x14ac:dyDescent="0.25">
      <c r="B8" s="28" t="s">
        <v>22</v>
      </c>
      <c r="C8" s="29">
        <f>SUM(C6:C7)</f>
        <v>1130</v>
      </c>
      <c r="D8" s="2"/>
      <c r="E8" s="18">
        <v>771</v>
      </c>
      <c r="F8" s="25" t="s">
        <v>218</v>
      </c>
      <c r="G8" s="26" t="s">
        <v>10</v>
      </c>
      <c r="H8" s="8">
        <v>590</v>
      </c>
      <c r="I8" s="8">
        <v>45</v>
      </c>
      <c r="J8" s="2"/>
      <c r="K8" s="25"/>
      <c r="L8" s="9"/>
      <c r="M8" s="16"/>
      <c r="R8" s="1">
        <f>IF(vend25[[#This Row],[Nº Venda]]&gt;1,1,0)</f>
        <v>1</v>
      </c>
    </row>
    <row r="9" spans="2:18" ht="15.75" x14ac:dyDescent="0.25">
      <c r="B9" s="2"/>
      <c r="C9" s="2"/>
      <c r="D9" s="2"/>
      <c r="E9" s="18">
        <v>772</v>
      </c>
      <c r="F9" s="25" t="s">
        <v>219</v>
      </c>
      <c r="G9" s="26" t="s">
        <v>10</v>
      </c>
      <c r="H9" s="8">
        <v>590</v>
      </c>
      <c r="I9" s="8">
        <v>45</v>
      </c>
      <c r="J9" s="2"/>
      <c r="K9" s="25"/>
      <c r="L9" s="9"/>
      <c r="M9" s="16"/>
      <c r="R9" s="1">
        <f>IF(vend25[[#This Row],[Nº Venda]]&gt;1,1,0)</f>
        <v>1</v>
      </c>
    </row>
    <row r="10" spans="2:18" ht="15.75" x14ac:dyDescent="0.25">
      <c r="B10" s="105" t="s">
        <v>5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 ca="1">(SUMIF($G$2:$G$31,B11,$I$2:$I$31))+(SUMIF($G$35:$G$41,B11,$H$36:$H$41))</f>
        <v>140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 ca="1">IF(C16=0,0,1)</f>
        <v>1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ca="1">(SUMIF($G$2:$G$31,B12,$I$2:$I$31))+(SUMIF($G$35:$G$41,B12,$H$36:$H$41))</f>
        <v>900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ca="1">(SUMIF($G$2:$G$31,B13,$I$2:$I$31))+(SUMIF($G$35:$G$41,B13,$H$36:$H$41))</f>
        <v>0</v>
      </c>
      <c r="D13" s="2"/>
      <c r="E13" s="18"/>
      <c r="F13" s="25"/>
      <c r="G13" s="26"/>
      <c r="H13" s="8"/>
      <c r="I13" s="8"/>
      <c r="J13" s="2"/>
      <c r="K13" s="107" t="s">
        <v>23</v>
      </c>
      <c r="L13" s="108"/>
      <c r="M13" s="109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ca="1">(SUMIF($G$2:$G$31,B14,$I$2:$I$31))+(SUMIF($G$35:$G$41,B14,$H$36:$H$41))</f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 ca="1">(SUMIF($G$2:$G$31,B15,$I$2:$I$31))+(SUMIF($G$35:$G$41,B15,$H$36:$H$41))</f>
        <v>90</v>
      </c>
      <c r="D15" s="2"/>
      <c r="E15" s="18"/>
      <c r="F15" s="25"/>
      <c r="G15" s="26"/>
      <c r="H15" s="8"/>
      <c r="I15" s="8"/>
      <c r="J15" s="2"/>
      <c r="K15" s="25">
        <v>733</v>
      </c>
      <c r="L15" s="9" t="s">
        <v>177</v>
      </c>
      <c r="M15" s="16" t="s">
        <v>39</v>
      </c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 ca="1">SUM(C11:C15)</f>
        <v>1130</v>
      </c>
      <c r="D16" s="2"/>
      <c r="E16" s="18"/>
      <c r="F16" s="25"/>
      <c r="G16" s="26"/>
      <c r="H16" s="8"/>
      <c r="I16" s="8"/>
      <c r="J16" s="2"/>
      <c r="K16" s="25">
        <v>738</v>
      </c>
      <c r="L16" s="9" t="s">
        <v>38</v>
      </c>
      <c r="M16" s="16" t="s">
        <v>39</v>
      </c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105" t="s">
        <v>12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2249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6" t="s">
        <v>28</v>
      </c>
      <c r="F24" s="106"/>
      <c r="G24" s="106"/>
      <c r="H24" s="106"/>
      <c r="I24" s="10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738</v>
      </c>
      <c r="F26" s="25" t="s">
        <v>220</v>
      </c>
      <c r="G26" s="26" t="s">
        <v>7</v>
      </c>
      <c r="H26" s="8"/>
      <c r="I26" s="8">
        <v>500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738</v>
      </c>
      <c r="F27" s="25" t="s">
        <v>220</v>
      </c>
      <c r="G27" s="26" t="s">
        <v>6</v>
      </c>
      <c r="H27" s="8"/>
      <c r="I27" s="8">
        <v>140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6" t="s">
        <v>29</v>
      </c>
      <c r="F33" s="106"/>
      <c r="G33" s="106"/>
      <c r="H33" s="106"/>
      <c r="I33" s="106"/>
      <c r="K33" s="107" t="s">
        <v>12</v>
      </c>
      <c r="L33" s="108"/>
      <c r="M33" s="109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76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34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80" zoomScaleNormal="80" workbookViewId="0">
      <selection activeCell="H17" sqref="H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6">
        <f>'25'!B1+1</f>
        <v>45469</v>
      </c>
    </row>
    <row r="2" spans="2:18" ht="18.75" x14ac:dyDescent="0.2">
      <c r="B2" s="110" t="s">
        <v>35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3" t="s">
        <v>1</v>
      </c>
      <c r="F4" s="113"/>
      <c r="G4" s="113"/>
      <c r="H4" s="113"/>
      <c r="I4" s="113"/>
      <c r="J4" s="22"/>
      <c r="K4" s="107" t="s">
        <v>3</v>
      </c>
      <c r="L4" s="108"/>
      <c r="M4" s="10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234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105" t="s">
        <v>5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>(SUMIF($G$2:$G$31,B13,$I$2:$I$31))+(SUMIF($G$35:$G$41,B13,$H$35:$H$41))</f>
        <v>0</v>
      </c>
      <c r="D13" s="2"/>
      <c r="E13" s="18"/>
      <c r="F13" s="25"/>
      <c r="G13" s="26"/>
      <c r="H13" s="8"/>
      <c r="I13" s="8"/>
      <c r="J13" s="2"/>
      <c r="K13" s="107" t="s">
        <v>23</v>
      </c>
      <c r="L13" s="108"/>
      <c r="M13" s="109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>(SUMIF($G$2:$G$31,B14,$I$2:$I$31))+(SUMIF($G$35:$G$41,B14,$H$35:$H$41))</f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>(SUMIF($G$2:$G$31,B15,$I$2:$I$31))+(SUMIF($G$35:$G$41,B15,$H$35:$H$41))</f>
        <v>79.989999999999995</v>
      </c>
      <c r="D15" s="2"/>
      <c r="E15" s="18"/>
      <c r="F15" s="25"/>
      <c r="G15" s="26"/>
      <c r="H15" s="8"/>
      <c r="I15" s="8"/>
      <c r="J15" s="2"/>
      <c r="K15" s="25">
        <v>749</v>
      </c>
      <c r="L15" s="9" t="s">
        <v>221</v>
      </c>
      <c r="M15" s="16" t="s">
        <v>166</v>
      </c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79.989999999999995</v>
      </c>
      <c r="D16" s="2"/>
      <c r="E16" s="18"/>
      <c r="F16" s="25"/>
      <c r="G16" s="26"/>
      <c r="H16" s="8"/>
      <c r="I16" s="8"/>
      <c r="J16" s="2"/>
      <c r="K16" s="25">
        <v>743</v>
      </c>
      <c r="L16" s="9" t="s">
        <v>221</v>
      </c>
      <c r="M16" s="16" t="s">
        <v>39</v>
      </c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105" t="s">
        <v>12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1</v>
      </c>
      <c r="C19" s="31">
        <f>SUM(entr_carn26[Valor Total])</f>
        <v>348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348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6" t="s">
        <v>28</v>
      </c>
      <c r="F24" s="106"/>
      <c r="G24" s="106"/>
      <c r="H24" s="106"/>
      <c r="I24" s="10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6" t="s">
        <v>29</v>
      </c>
      <c r="F33" s="106"/>
      <c r="G33" s="106"/>
      <c r="H33" s="106"/>
      <c r="I33" s="106"/>
      <c r="K33" s="107" t="s">
        <v>12</v>
      </c>
      <c r="L33" s="108"/>
      <c r="M33" s="109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>
        <v>608</v>
      </c>
      <c r="F35" s="25" t="s">
        <v>222</v>
      </c>
      <c r="G35" s="26" t="s">
        <v>10</v>
      </c>
      <c r="H35" s="8">
        <v>79.989999999999995</v>
      </c>
      <c r="I35" s="8" t="s">
        <v>95</v>
      </c>
      <c r="K35" s="25">
        <v>749</v>
      </c>
      <c r="L35" s="41">
        <v>5</v>
      </c>
      <c r="M35" s="16">
        <v>348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34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80" zoomScaleNormal="80" workbookViewId="0">
      <selection activeCell="H7" sqref="H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6">
        <f>'26'!B1+1</f>
        <v>45470</v>
      </c>
    </row>
    <row r="2" spans="2:18" ht="18.75" x14ac:dyDescent="0.2">
      <c r="B2" s="110" t="s">
        <v>35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3" t="s">
        <v>1</v>
      </c>
      <c r="F4" s="113"/>
      <c r="G4" s="113"/>
      <c r="H4" s="113"/>
      <c r="I4" s="113"/>
      <c r="J4" s="22"/>
      <c r="K4" s="107" t="s">
        <v>3</v>
      </c>
      <c r="L4" s="108"/>
      <c r="M4" s="109"/>
    </row>
    <row r="5" spans="2:18" ht="15" x14ac:dyDescent="0.25">
      <c r="B5" s="23" t="s">
        <v>1</v>
      </c>
      <c r="C5" s="24">
        <f>SUMIF(I6:I31,"&gt;0",H6:H31)</f>
        <v>8134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1139</v>
      </c>
      <c r="D6" s="2"/>
      <c r="E6" s="18">
        <v>773</v>
      </c>
      <c r="F6" s="25" t="s">
        <v>223</v>
      </c>
      <c r="G6" s="26" t="s">
        <v>10</v>
      </c>
      <c r="H6" s="8">
        <v>990</v>
      </c>
      <c r="I6" s="8">
        <v>50</v>
      </c>
      <c r="J6" s="2"/>
      <c r="K6" s="25" t="s">
        <v>233</v>
      </c>
      <c r="L6" s="9" t="s">
        <v>10</v>
      </c>
      <c r="M6" s="16">
        <v>10</v>
      </c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10</v>
      </c>
      <c r="D7" s="2"/>
      <c r="E7" s="18">
        <v>774</v>
      </c>
      <c r="F7" s="25" t="s">
        <v>224</v>
      </c>
      <c r="G7" s="26" t="s">
        <v>8</v>
      </c>
      <c r="H7" s="8">
        <v>784</v>
      </c>
      <c r="I7" s="8">
        <v>34</v>
      </c>
      <c r="J7" s="2"/>
      <c r="K7" s="25"/>
      <c r="L7" s="9"/>
      <c r="M7" s="16"/>
      <c r="R7" s="1">
        <f>IF(vend27[[#This Row],[Nº Venda]]&gt;1,1,0)</f>
        <v>1</v>
      </c>
    </row>
    <row r="8" spans="2:18" ht="15.75" x14ac:dyDescent="0.25">
      <c r="B8" s="28" t="s">
        <v>22</v>
      </c>
      <c r="C8" s="29">
        <f>SUM(C6:C7)</f>
        <v>1149</v>
      </c>
      <c r="D8" s="2"/>
      <c r="E8" s="18">
        <v>775</v>
      </c>
      <c r="F8" s="25" t="s">
        <v>225</v>
      </c>
      <c r="G8" s="26" t="s">
        <v>10</v>
      </c>
      <c r="H8" s="8">
        <v>599</v>
      </c>
      <c r="I8" s="8">
        <v>10</v>
      </c>
      <c r="J8" s="2"/>
      <c r="K8" s="25"/>
      <c r="L8" s="9"/>
      <c r="M8" s="16"/>
      <c r="R8" s="1">
        <f>IF(vend27[[#This Row],[Nº Venda]]&gt;1,1,0)</f>
        <v>1</v>
      </c>
    </row>
    <row r="9" spans="2:18" ht="15.75" x14ac:dyDescent="0.25">
      <c r="B9" s="2"/>
      <c r="C9" s="2"/>
      <c r="D9" s="2"/>
      <c r="E9" s="18">
        <v>776</v>
      </c>
      <c r="F9" s="25" t="s">
        <v>226</v>
      </c>
      <c r="G9" s="26" t="s">
        <v>10</v>
      </c>
      <c r="H9" s="8">
        <v>999</v>
      </c>
      <c r="I9" s="8">
        <v>100</v>
      </c>
      <c r="J9" s="2"/>
      <c r="K9" s="25"/>
      <c r="L9" s="9"/>
      <c r="M9" s="16"/>
      <c r="R9" s="1">
        <f>IF(vend27[[#This Row],[Nº Venda]]&gt;1,1,0)</f>
        <v>1</v>
      </c>
    </row>
    <row r="10" spans="2:18" ht="15.75" x14ac:dyDescent="0.25">
      <c r="B10" s="105" t="s">
        <v>5</v>
      </c>
      <c r="C10" s="105"/>
      <c r="D10" s="2"/>
      <c r="E10" s="18">
        <v>777</v>
      </c>
      <c r="F10" s="25" t="s">
        <v>227</v>
      </c>
      <c r="G10" s="26" t="s">
        <v>7</v>
      </c>
      <c r="H10" s="8">
        <v>500</v>
      </c>
      <c r="I10" s="8">
        <v>500</v>
      </c>
      <c r="J10" s="2"/>
      <c r="K10" s="25"/>
      <c r="L10" s="9"/>
      <c r="M10" s="16"/>
      <c r="R10" s="1">
        <f>IF(vend27[[#This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50</v>
      </c>
      <c r="D11" s="2"/>
      <c r="E11" s="18">
        <v>778</v>
      </c>
      <c r="F11" s="25" t="s">
        <v>228</v>
      </c>
      <c r="G11" s="26" t="s">
        <v>8</v>
      </c>
      <c r="H11" s="8">
        <v>590</v>
      </c>
      <c r="I11" s="8">
        <v>40</v>
      </c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505</v>
      </c>
      <c r="D12" s="2"/>
      <c r="E12" s="18">
        <v>779</v>
      </c>
      <c r="F12" s="25" t="s">
        <v>229</v>
      </c>
      <c r="G12" s="26" t="s">
        <v>10</v>
      </c>
      <c r="H12" s="8">
        <v>585</v>
      </c>
      <c r="I12" s="8">
        <v>50</v>
      </c>
      <c r="J12" s="2"/>
      <c r="R12" s="1">
        <f>IF(vend27[[#This Row],[Nº Venda]]&gt;1,1,0)</f>
        <v>1</v>
      </c>
    </row>
    <row r="13" spans="2:18" ht="15.75" x14ac:dyDescent="0.25">
      <c r="B13" s="30" t="s">
        <v>8</v>
      </c>
      <c r="C13" s="31">
        <f t="shared" si="0"/>
        <v>74</v>
      </c>
      <c r="D13" s="2"/>
      <c r="E13" s="18">
        <v>780</v>
      </c>
      <c r="F13" s="25" t="s">
        <v>230</v>
      </c>
      <c r="G13" s="26" t="s">
        <v>10</v>
      </c>
      <c r="H13" s="8">
        <v>599</v>
      </c>
      <c r="I13" s="8">
        <v>150</v>
      </c>
      <c r="J13" s="2"/>
      <c r="K13" s="107" t="s">
        <v>23</v>
      </c>
      <c r="L13" s="108"/>
      <c r="M13" s="109"/>
      <c r="R13" s="1">
        <f>IF(vend27[[#This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>
        <v>781</v>
      </c>
      <c r="F14" s="25" t="s">
        <v>231</v>
      </c>
      <c r="G14" s="26" t="s">
        <v>6</v>
      </c>
      <c r="H14" s="8">
        <v>990</v>
      </c>
      <c r="I14" s="8">
        <v>50</v>
      </c>
      <c r="J14" s="2"/>
      <c r="K14" s="14" t="s">
        <v>24</v>
      </c>
      <c r="L14" s="6" t="s">
        <v>25</v>
      </c>
      <c r="M14" s="15" t="s">
        <v>26</v>
      </c>
      <c r="R14" s="1">
        <f>IF(vend27[[#This Row],[Nº Venda]]&gt;1,1,0)</f>
        <v>1</v>
      </c>
    </row>
    <row r="15" spans="2:18" ht="15.75" x14ac:dyDescent="0.25">
      <c r="B15" s="30" t="s">
        <v>10</v>
      </c>
      <c r="C15" s="31">
        <f t="shared" si="0"/>
        <v>510</v>
      </c>
      <c r="D15" s="2"/>
      <c r="E15" s="18">
        <v>782</v>
      </c>
      <c r="F15" s="25" t="s">
        <v>230</v>
      </c>
      <c r="G15" s="26" t="s">
        <v>10</v>
      </c>
      <c r="H15" s="8">
        <v>599</v>
      </c>
      <c r="I15" s="8">
        <v>150</v>
      </c>
      <c r="J15" s="2"/>
      <c r="K15" s="25">
        <v>764</v>
      </c>
      <c r="L15" s="9" t="s">
        <v>195</v>
      </c>
      <c r="M15" s="16" t="s">
        <v>166</v>
      </c>
      <c r="R15" s="1">
        <f>IF(vend27[[#This Row],[Nº Venda]]&gt;1,1,0)</f>
        <v>1</v>
      </c>
    </row>
    <row r="16" spans="2:18" ht="15.75" x14ac:dyDescent="0.25">
      <c r="B16" s="28" t="s">
        <v>11</v>
      </c>
      <c r="C16" s="32">
        <f>SUM(C11:C15)</f>
        <v>1139</v>
      </c>
      <c r="D16" s="2"/>
      <c r="E16" s="18">
        <v>783</v>
      </c>
      <c r="F16" s="25" t="s">
        <v>232</v>
      </c>
      <c r="G16" s="26" t="s">
        <v>7</v>
      </c>
      <c r="H16" s="8">
        <v>899</v>
      </c>
      <c r="I16" s="8">
        <v>5</v>
      </c>
      <c r="J16" s="2"/>
      <c r="K16" s="25"/>
      <c r="L16" s="9"/>
      <c r="M16" s="16"/>
      <c r="R16" s="1">
        <f>IF(vend27[[#This Row],[Nº Venda]]&gt;1,1,0)</f>
        <v>1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105" t="s">
        <v>12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1</v>
      </c>
      <c r="C19" s="31">
        <f>SUM(entr_carn27[Valor Total])</f>
        <v>370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370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8134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6" t="s">
        <v>28</v>
      </c>
      <c r="F24" s="106"/>
      <c r="G24" s="106"/>
      <c r="H24" s="106"/>
      <c r="I24" s="10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6" t="s">
        <v>29</v>
      </c>
      <c r="F33" s="106"/>
      <c r="G33" s="106"/>
      <c r="H33" s="106"/>
      <c r="I33" s="106"/>
      <c r="K33" s="107" t="s">
        <v>12</v>
      </c>
      <c r="L33" s="108"/>
      <c r="M33" s="109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>
        <v>764</v>
      </c>
      <c r="L35" s="41">
        <v>5</v>
      </c>
      <c r="M35" s="16">
        <v>370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34</v>
      </c>
      <c r="R40" s="1">
        <f>SUM(R6:R21)</f>
        <v>11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view="pageBreakPreview" zoomScale="6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6">
        <f>'27'!B1+1</f>
        <v>45471</v>
      </c>
    </row>
    <row r="2" spans="2:18" ht="18.75" x14ac:dyDescent="0.2">
      <c r="B2" s="110" t="s">
        <v>35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3" t="s">
        <v>1</v>
      </c>
      <c r="F4" s="113"/>
      <c r="G4" s="113"/>
      <c r="H4" s="113"/>
      <c r="I4" s="113"/>
      <c r="J4" s="22"/>
      <c r="K4" s="107" t="s">
        <v>3</v>
      </c>
      <c r="L4" s="108"/>
      <c r="M4" s="10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100</v>
      </c>
      <c r="D6" s="2"/>
      <c r="E6" s="101">
        <v>784</v>
      </c>
      <c r="F6" s="102" t="s">
        <v>235</v>
      </c>
      <c r="G6" s="103" t="s">
        <v>7</v>
      </c>
      <c r="H6" s="104">
        <v>1050</v>
      </c>
      <c r="I6" s="104">
        <v>0</v>
      </c>
      <c r="J6" s="2"/>
      <c r="K6" s="25"/>
      <c r="L6" s="9"/>
      <c r="M6" s="16"/>
      <c r="R6" s="1">
        <f>IF(vend28[[#This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22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105" t="s">
        <v>5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7" t="s">
        <v>23</v>
      </c>
      <c r="L13" s="108"/>
      <c r="M13" s="109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734</v>
      </c>
      <c r="L15" s="9" t="s">
        <v>38</v>
      </c>
      <c r="M15" s="16" t="s">
        <v>39</v>
      </c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25">
        <v>761</v>
      </c>
      <c r="L16" s="9" t="s">
        <v>38</v>
      </c>
      <c r="M16" s="16" t="s">
        <v>39</v>
      </c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105" t="s">
        <v>12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6" t="s">
        <v>28</v>
      </c>
      <c r="F24" s="106"/>
      <c r="G24" s="106"/>
      <c r="H24" s="106"/>
      <c r="I24" s="10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761</v>
      </c>
      <c r="F26" s="25" t="s">
        <v>201</v>
      </c>
      <c r="G26" s="26" t="s">
        <v>6</v>
      </c>
      <c r="H26" s="8">
        <v>0</v>
      </c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6" t="s">
        <v>29</v>
      </c>
      <c r="F33" s="106"/>
      <c r="G33" s="106"/>
      <c r="H33" s="106"/>
      <c r="I33" s="106"/>
      <c r="K33" s="107" t="s">
        <v>12</v>
      </c>
      <c r="L33" s="108"/>
      <c r="M33" s="109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34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2" zoomScale="80" zoomScaleNormal="80" workbookViewId="0">
      <selection activeCell="G6" sqref="G6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63">
        <f>'28'!B1+1</f>
        <v>45472</v>
      </c>
    </row>
    <row r="2" spans="2:18" ht="18.75" x14ac:dyDescent="0.2">
      <c r="B2" s="110" t="s">
        <v>35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3" t="s">
        <v>1</v>
      </c>
      <c r="F4" s="113"/>
      <c r="G4" s="113"/>
      <c r="H4" s="113"/>
      <c r="I4" s="113"/>
      <c r="J4" s="22"/>
      <c r="K4" s="107" t="s">
        <v>3</v>
      </c>
      <c r="L4" s="108"/>
      <c r="M4" s="109"/>
    </row>
    <row r="5" spans="2:18" ht="15" x14ac:dyDescent="0.25">
      <c r="B5" s="23" t="s">
        <v>1</v>
      </c>
      <c r="C5" s="24">
        <f>SUMIF(I6:I31,"&gt;0",H6:H31)</f>
        <v>250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102</v>
      </c>
      <c r="D6" s="2"/>
      <c r="E6" s="18">
        <v>785</v>
      </c>
      <c r="F6" s="25" t="s">
        <v>237</v>
      </c>
      <c r="G6" s="26" t="s">
        <v>6</v>
      </c>
      <c r="H6" s="8">
        <v>250</v>
      </c>
      <c r="I6" s="8">
        <v>2</v>
      </c>
      <c r="J6" s="2"/>
      <c r="K6" s="25"/>
      <c r="L6" s="9"/>
      <c r="M6" s="16"/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22</v>
      </c>
      <c r="C8" s="29">
        <f>SUM(C6:C7)</f>
        <v>102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47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105" t="s">
        <v>5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7" t="s">
        <v>23</v>
      </c>
      <c r="L13" s="108"/>
      <c r="M13" s="109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62">
        <v>760</v>
      </c>
      <c r="L15" s="9" t="s">
        <v>38</v>
      </c>
      <c r="M15" s="16" t="s">
        <v>39</v>
      </c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102</v>
      </c>
      <c r="D16" s="2"/>
      <c r="E16" s="18"/>
      <c r="F16" s="25"/>
      <c r="G16" s="26"/>
      <c r="H16" s="8"/>
      <c r="I16" s="8"/>
      <c r="J16" s="2"/>
      <c r="K16" s="62">
        <v>725</v>
      </c>
      <c r="L16" s="9" t="s">
        <v>38</v>
      </c>
      <c r="M16" s="16" t="s">
        <v>39</v>
      </c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62">
        <v>704</v>
      </c>
      <c r="L17" s="9" t="s">
        <v>38</v>
      </c>
      <c r="M17" s="16" t="s">
        <v>39</v>
      </c>
      <c r="R17" s="1">
        <f>IF(vend29[[#This Row],[Nº Venda]]&gt;1,1,0)</f>
        <v>0</v>
      </c>
    </row>
    <row r="18" spans="2:18" ht="15.75" x14ac:dyDescent="0.25">
      <c r="B18" s="105" t="s">
        <v>12</v>
      </c>
      <c r="C18" s="105"/>
      <c r="D18" s="2"/>
      <c r="E18" s="18"/>
      <c r="F18" s="25"/>
      <c r="G18" s="26"/>
      <c r="H18" s="8"/>
      <c r="I18" s="8"/>
      <c r="J18" s="2"/>
      <c r="K18" s="25">
        <v>758</v>
      </c>
      <c r="L18" s="9" t="s">
        <v>38</v>
      </c>
      <c r="M18" s="16" t="s">
        <v>39</v>
      </c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250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6" t="s">
        <v>28</v>
      </c>
      <c r="F24" s="106"/>
      <c r="G24" s="106"/>
      <c r="H24" s="106"/>
      <c r="I24" s="10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772</v>
      </c>
      <c r="F26" s="25" t="s">
        <v>236</v>
      </c>
      <c r="G26" s="26" t="s">
        <v>10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6" t="s">
        <v>29</v>
      </c>
      <c r="F33" s="106"/>
      <c r="G33" s="106"/>
      <c r="H33" s="106"/>
      <c r="I33" s="106"/>
      <c r="K33" s="107" t="s">
        <v>12</v>
      </c>
      <c r="L33" s="108"/>
      <c r="M33" s="109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34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zoomScale="80" zoomScaleNormal="80" workbookViewId="0">
      <selection activeCell="E35" sqref="E35:I4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6">
        <f>'29'!B1+1</f>
        <v>45473</v>
      </c>
    </row>
    <row r="2" spans="2:18" ht="18.75" x14ac:dyDescent="0.2">
      <c r="B2" s="110" t="s">
        <v>35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3" t="s">
        <v>1</v>
      </c>
      <c r="F4" s="113"/>
      <c r="G4" s="113"/>
      <c r="H4" s="113"/>
      <c r="I4" s="113"/>
      <c r="J4" s="22"/>
      <c r="K4" s="107" t="s">
        <v>3</v>
      </c>
      <c r="L4" s="108"/>
      <c r="M4" s="10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105" t="s">
        <v>5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7" t="s">
        <v>23</v>
      </c>
      <c r="L13" s="108"/>
      <c r="M13" s="109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22" ht="15.75" x14ac:dyDescent="0.25">
      <c r="B18" s="105" t="s">
        <v>12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22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  <c r="V21" s="1" t="s">
        <v>68</v>
      </c>
    </row>
    <row r="22" spans="2:22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06" t="s">
        <v>28</v>
      </c>
      <c r="F24" s="106"/>
      <c r="G24" s="106"/>
      <c r="H24" s="106"/>
      <c r="I24" s="106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22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06" t="s">
        <v>29</v>
      </c>
      <c r="F33" s="106"/>
      <c r="G33" s="106"/>
      <c r="H33" s="106"/>
      <c r="I33" s="106"/>
      <c r="K33" s="107" t="s">
        <v>12</v>
      </c>
      <c r="L33" s="108"/>
      <c r="M33" s="109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34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topLeftCell="A9" zoomScale="80" zoomScaleNormal="80" workbookViewId="0">
      <selection activeCell="A38" sqref="A38:B3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6">
        <f>'30'!B1+1</f>
        <v>45474</v>
      </c>
    </row>
    <row r="2" spans="2:18" ht="18.75" x14ac:dyDescent="0.2">
      <c r="B2" s="110" t="s">
        <v>35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3" t="s">
        <v>1</v>
      </c>
      <c r="F4" s="113"/>
      <c r="G4" s="113"/>
      <c r="H4" s="113"/>
      <c r="I4" s="113"/>
      <c r="J4" s="22"/>
      <c r="K4" s="107" t="s">
        <v>3</v>
      </c>
      <c r="L4" s="108"/>
      <c r="M4" s="10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105" t="s">
        <v>5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7" t="s">
        <v>23</v>
      </c>
      <c r="L13" s="108"/>
      <c r="M13" s="109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105" t="s">
        <v>12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6" t="s">
        <v>28</v>
      </c>
      <c r="F24" s="106"/>
      <c r="G24" s="106"/>
      <c r="H24" s="106"/>
      <c r="I24" s="10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6" t="s">
        <v>29</v>
      </c>
      <c r="F33" s="106"/>
      <c r="G33" s="106"/>
      <c r="H33" s="106"/>
      <c r="I33" s="106"/>
      <c r="K33" s="107" t="s">
        <v>12</v>
      </c>
      <c r="L33" s="108"/>
      <c r="M33" s="109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34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69</v>
      </c>
      <c r="B1" s="38" t="s">
        <v>70</v>
      </c>
      <c r="E1" s="38" t="s">
        <v>71</v>
      </c>
    </row>
    <row r="2" spans="1:5" x14ac:dyDescent="0.2">
      <c r="A2" s="38" t="s">
        <v>6</v>
      </c>
      <c r="B2" s="38" t="s">
        <v>72</v>
      </c>
      <c r="E2" t="s">
        <v>73</v>
      </c>
    </row>
    <row r="3" spans="1:5" x14ac:dyDescent="0.2">
      <c r="A3" s="38" t="s">
        <v>7</v>
      </c>
      <c r="B3" s="38" t="s">
        <v>74</v>
      </c>
      <c r="E3" t="s">
        <v>75</v>
      </c>
    </row>
    <row r="4" spans="1:5" x14ac:dyDescent="0.2">
      <c r="A4" s="38" t="s">
        <v>8</v>
      </c>
      <c r="B4" s="38" t="s">
        <v>76</v>
      </c>
      <c r="E4" t="s">
        <v>77</v>
      </c>
    </row>
    <row r="5" spans="1:5" x14ac:dyDescent="0.2">
      <c r="A5" s="38" t="s">
        <v>9</v>
      </c>
      <c r="B5" s="38" t="s">
        <v>78</v>
      </c>
      <c r="E5" t="s">
        <v>79</v>
      </c>
    </row>
    <row r="6" spans="1:5" x14ac:dyDescent="0.2">
      <c r="A6" s="38" t="s">
        <v>10</v>
      </c>
      <c r="B6" s="38" t="s">
        <v>10</v>
      </c>
      <c r="E6" t="s">
        <v>80</v>
      </c>
    </row>
    <row r="7" spans="1:5" x14ac:dyDescent="0.2">
      <c r="A7" s="38" t="s">
        <v>55</v>
      </c>
      <c r="B7" s="38" t="s">
        <v>81</v>
      </c>
      <c r="E7" t="s">
        <v>82</v>
      </c>
    </row>
    <row r="8" spans="1:5" x14ac:dyDescent="0.2">
      <c r="A8" t="s">
        <v>26</v>
      </c>
      <c r="B8" t="s">
        <v>83</v>
      </c>
      <c r="E8" t="s">
        <v>84</v>
      </c>
    </row>
    <row r="9" spans="1:5" x14ac:dyDescent="0.2">
      <c r="A9" s="38" t="s">
        <v>85</v>
      </c>
      <c r="B9" s="38" t="s">
        <v>86</v>
      </c>
      <c r="E9" t="s">
        <v>64</v>
      </c>
    </row>
    <row r="10" spans="1:5" x14ac:dyDescent="0.2">
      <c r="E10" t="s">
        <v>87</v>
      </c>
    </row>
    <row r="11" spans="1:5" x14ac:dyDescent="0.2">
      <c r="E11" t="s">
        <v>88</v>
      </c>
    </row>
    <row r="12" spans="1:5" x14ac:dyDescent="0.2">
      <c r="E12" t="s">
        <v>46</v>
      </c>
    </row>
    <row r="13" spans="1:5" x14ac:dyDescent="0.2">
      <c r="E13" t="s">
        <v>89</v>
      </c>
    </row>
    <row r="14" spans="1:5" x14ac:dyDescent="0.2">
      <c r="E14" t="s">
        <v>90</v>
      </c>
    </row>
    <row r="15" spans="1:5" x14ac:dyDescent="0.2">
      <c r="E15" t="s">
        <v>91</v>
      </c>
    </row>
    <row r="16" spans="1:5" x14ac:dyDescent="0.2">
      <c r="E16" t="s">
        <v>92</v>
      </c>
    </row>
    <row r="17" spans="5:5" x14ac:dyDescent="0.2">
      <c r="E17" t="s">
        <v>93</v>
      </c>
    </row>
    <row r="18" spans="5:5" x14ac:dyDescent="0.2">
      <c r="E18" t="s">
        <v>94</v>
      </c>
    </row>
    <row r="19" spans="5:5" x14ac:dyDescent="0.2">
      <c r="E19" t="s">
        <v>95</v>
      </c>
    </row>
    <row r="20" spans="5:5" x14ac:dyDescent="0.2">
      <c r="E20" t="s">
        <v>96</v>
      </c>
    </row>
    <row r="21" spans="5:5" x14ac:dyDescent="0.2">
      <c r="E21" t="s">
        <v>97</v>
      </c>
    </row>
    <row r="22" spans="5:5" x14ac:dyDescent="0.2">
      <c r="E22" t="s">
        <v>98</v>
      </c>
    </row>
    <row r="23" spans="5:5" x14ac:dyDescent="0.2">
      <c r="E23" t="s">
        <v>99</v>
      </c>
    </row>
    <row r="24" spans="5:5" x14ac:dyDescent="0.2">
      <c r="E24" t="s">
        <v>100</v>
      </c>
    </row>
    <row r="25" spans="5:5" x14ac:dyDescent="0.2">
      <c r="E25" t="s">
        <v>101</v>
      </c>
    </row>
    <row r="26" spans="5:5" x14ac:dyDescent="0.2">
      <c r="E26" t="s">
        <v>102</v>
      </c>
    </row>
    <row r="27" spans="5:5" x14ac:dyDescent="0.2">
      <c r="E27" t="s">
        <v>103</v>
      </c>
    </row>
    <row r="28" spans="5:5" x14ac:dyDescent="0.2">
      <c r="E28" t="s">
        <v>104</v>
      </c>
    </row>
    <row r="29" spans="5:5" x14ac:dyDescent="0.2">
      <c r="E29" t="s">
        <v>105</v>
      </c>
    </row>
    <row r="30" spans="5:5" x14ac:dyDescent="0.2">
      <c r="E30" t="s">
        <v>106</v>
      </c>
    </row>
    <row r="31" spans="5:5" x14ac:dyDescent="0.2">
      <c r="E31" t="s">
        <v>107</v>
      </c>
    </row>
    <row r="32" spans="5:5" x14ac:dyDescent="0.2">
      <c r="E32" t="s">
        <v>108</v>
      </c>
    </row>
    <row r="33" spans="5:5" x14ac:dyDescent="0.2">
      <c r="E33" t="s">
        <v>109</v>
      </c>
    </row>
    <row r="34" spans="5:5" x14ac:dyDescent="0.2">
      <c r="E34" t="s">
        <v>110</v>
      </c>
    </row>
    <row r="35" spans="5:5" x14ac:dyDescent="0.2">
      <c r="E35" t="s">
        <v>111</v>
      </c>
    </row>
    <row r="36" spans="5:5" x14ac:dyDescent="0.2">
      <c r="E36" t="s">
        <v>112</v>
      </c>
    </row>
    <row r="37" spans="5:5" x14ac:dyDescent="0.2">
      <c r="E37" t="s">
        <v>113</v>
      </c>
    </row>
    <row r="38" spans="5:5" x14ac:dyDescent="0.2">
      <c r="E38" t="s">
        <v>114</v>
      </c>
    </row>
    <row r="39" spans="5:5" x14ac:dyDescent="0.2">
      <c r="E39" t="s">
        <v>115</v>
      </c>
    </row>
    <row r="40" spans="5:5" x14ac:dyDescent="0.2">
      <c r="E40" t="s">
        <v>116</v>
      </c>
    </row>
    <row r="41" spans="5:5" x14ac:dyDescent="0.2">
      <c r="E41" t="s">
        <v>117</v>
      </c>
    </row>
    <row r="42" spans="5:5" x14ac:dyDescent="0.2">
      <c r="E42" t="s">
        <v>118</v>
      </c>
    </row>
    <row r="43" spans="5:5" x14ac:dyDescent="0.2">
      <c r="E43" t="s">
        <v>119</v>
      </c>
    </row>
    <row r="44" spans="5:5" x14ac:dyDescent="0.2">
      <c r="E44" t="s">
        <v>120</v>
      </c>
    </row>
    <row r="45" spans="5:5" x14ac:dyDescent="0.2">
      <c r="E45" t="s">
        <v>121</v>
      </c>
    </row>
    <row r="46" spans="5:5" x14ac:dyDescent="0.2">
      <c r="E46" t="s">
        <v>122</v>
      </c>
    </row>
    <row r="47" spans="5:5" x14ac:dyDescent="0.2">
      <c r="E47" t="s">
        <v>123</v>
      </c>
    </row>
    <row r="48" spans="5:5" x14ac:dyDescent="0.2">
      <c r="E48" t="s">
        <v>66</v>
      </c>
    </row>
    <row r="49" spans="5:5" x14ac:dyDescent="0.2">
      <c r="E49" t="s">
        <v>59</v>
      </c>
    </row>
    <row r="50" spans="5:5" x14ac:dyDescent="0.2">
      <c r="E50" t="s">
        <v>124</v>
      </c>
    </row>
    <row r="51" spans="5:5" x14ac:dyDescent="0.2">
      <c r="E51" t="s">
        <v>125</v>
      </c>
    </row>
    <row r="52" spans="5:5" x14ac:dyDescent="0.2">
      <c r="E52" t="s">
        <v>126</v>
      </c>
    </row>
    <row r="53" spans="5:5" x14ac:dyDescent="0.2">
      <c r="E53" t="s">
        <v>127</v>
      </c>
    </row>
    <row r="54" spans="5:5" x14ac:dyDescent="0.2">
      <c r="E54" t="s">
        <v>128</v>
      </c>
    </row>
    <row r="55" spans="5:5" x14ac:dyDescent="0.2">
      <c r="E55" t="s">
        <v>129</v>
      </c>
    </row>
    <row r="56" spans="5:5" x14ac:dyDescent="0.2">
      <c r="E56" t="s">
        <v>130</v>
      </c>
    </row>
    <row r="57" spans="5:5" x14ac:dyDescent="0.2">
      <c r="E57" t="s">
        <v>131</v>
      </c>
    </row>
    <row r="58" spans="5:5" x14ac:dyDescent="0.2">
      <c r="E58" t="s">
        <v>132</v>
      </c>
    </row>
    <row r="59" spans="5:5" x14ac:dyDescent="0.2">
      <c r="E59" t="s">
        <v>133</v>
      </c>
    </row>
    <row r="60" spans="5:5" x14ac:dyDescent="0.2">
      <c r="E60" t="s">
        <v>134</v>
      </c>
    </row>
    <row r="61" spans="5:5" x14ac:dyDescent="0.2">
      <c r="E61" t="s">
        <v>135</v>
      </c>
    </row>
    <row r="62" spans="5:5" x14ac:dyDescent="0.2">
      <c r="E62" t="s">
        <v>136</v>
      </c>
    </row>
    <row r="63" spans="5:5" x14ac:dyDescent="0.2">
      <c r="E63" t="s">
        <v>137</v>
      </c>
    </row>
    <row r="64" spans="5:5" x14ac:dyDescent="0.2">
      <c r="E64" t="s">
        <v>138</v>
      </c>
    </row>
    <row r="65" spans="5:5" x14ac:dyDescent="0.2">
      <c r="E65" t="s">
        <v>139</v>
      </c>
    </row>
    <row r="66" spans="5:5" x14ac:dyDescent="0.2">
      <c r="E66" t="s">
        <v>140</v>
      </c>
    </row>
    <row r="67" spans="5:5" x14ac:dyDescent="0.2">
      <c r="E67" t="s">
        <v>141</v>
      </c>
    </row>
    <row r="68" spans="5:5" x14ac:dyDescent="0.2">
      <c r="E68" t="s">
        <v>142</v>
      </c>
    </row>
    <row r="69" spans="5:5" x14ac:dyDescent="0.2">
      <c r="E69" t="s">
        <v>143</v>
      </c>
    </row>
    <row r="70" spans="5:5" x14ac:dyDescent="0.2">
      <c r="E70" t="s">
        <v>144</v>
      </c>
    </row>
    <row r="71" spans="5:5" x14ac:dyDescent="0.2">
      <c r="E71" t="s">
        <v>145</v>
      </c>
    </row>
    <row r="72" spans="5:5" x14ac:dyDescent="0.2">
      <c r="E72" t="s">
        <v>146</v>
      </c>
    </row>
    <row r="73" spans="5:5" x14ac:dyDescent="0.2">
      <c r="E73" t="s">
        <v>147</v>
      </c>
    </row>
    <row r="74" spans="5:5" x14ac:dyDescent="0.2">
      <c r="E74" t="s">
        <v>148</v>
      </c>
    </row>
    <row r="75" spans="5:5" x14ac:dyDescent="0.2">
      <c r="E75" t="s">
        <v>149</v>
      </c>
    </row>
    <row r="76" spans="5:5" x14ac:dyDescent="0.2">
      <c r="E76" t="s">
        <v>150</v>
      </c>
    </row>
    <row r="77" spans="5:5" x14ac:dyDescent="0.2">
      <c r="E77" t="s">
        <v>151</v>
      </c>
    </row>
    <row r="78" spans="5:5" x14ac:dyDescent="0.2">
      <c r="E78" t="s">
        <v>152</v>
      </c>
    </row>
    <row r="79" spans="5:5" x14ac:dyDescent="0.2">
      <c r="E79" t="s">
        <v>153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6</vt:i4>
      </vt:variant>
    </vt:vector>
  </HeadingPairs>
  <TitlesOfParts>
    <vt:vector size="39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  <vt:lpstr>'02'!Area_de_impressao</vt:lpstr>
      <vt:lpstr>'05'!Area_de_impressao</vt:lpstr>
      <vt:lpstr>'07'!Area_de_impressao</vt:lpstr>
      <vt:lpstr>'12'!Area_de_impressao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DCL - Kayllaine</cp:lastModifiedBy>
  <cp:revision/>
  <cp:lastPrinted>2024-11-22T14:04:05Z</cp:lastPrinted>
  <dcterms:created xsi:type="dcterms:W3CDTF">2004-04-07T20:43:43Z</dcterms:created>
  <dcterms:modified xsi:type="dcterms:W3CDTF">2025-01-24T14:41:07Z</dcterms:modified>
  <cp:category/>
  <cp:contentStatus/>
</cp:coreProperties>
</file>