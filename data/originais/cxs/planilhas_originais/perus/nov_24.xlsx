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4/"/>
    </mc:Choice>
  </mc:AlternateContent>
  <xr:revisionPtr revIDLastSave="469" documentId="8_{A8EC729E-B486-4075-9BB3-C7666ACF8709}" xr6:coauthVersionLast="47" xr6:coauthVersionMax="47" xr10:uidLastSave="{CF454013-FD8F-4AF5-9C2D-EDEBE4597C9B}"/>
  <bookViews>
    <workbookView xWindow="-120" yWindow="-120" windowWidth="20730" windowHeight="10845" tabRatio="895" firstSheet="1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'09'!$A$1:$N$41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3" l="1"/>
  <c r="C6" i="177"/>
  <c r="C6" i="178"/>
  <c r="C6" i="103"/>
  <c r="C6" i="170"/>
  <c r="C6" i="171"/>
  <c r="C6" i="172"/>
  <c r="C6" i="173"/>
  <c r="C6" i="174"/>
  <c r="C6" i="175"/>
  <c r="C13" i="175"/>
  <c r="C14" i="175"/>
  <c r="C12" i="175"/>
  <c r="C11" i="175"/>
  <c r="C16" i="175"/>
  <c r="C6" i="198"/>
  <c r="C6" i="197"/>
  <c r="C6" i="193"/>
  <c r="C6" i="188"/>
  <c r="C6" i="190"/>
  <c r="C6" i="189"/>
  <c r="C6" i="187"/>
  <c r="C6" i="186"/>
  <c r="C6" i="185"/>
  <c r="C6" i="184"/>
  <c r="C6" i="179"/>
  <c r="C6" i="181"/>
  <c r="C6" i="183"/>
  <c r="C6" i="182"/>
  <c r="C6" i="180"/>
  <c r="C6" i="176"/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R13" i="175"/>
  <c r="R12" i="175"/>
  <c r="R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79"/>
  <c r="C8" i="187"/>
  <c r="C8" i="189"/>
  <c r="C8" i="190"/>
  <c r="C8" i="197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Q20" i="195"/>
  <c r="Q19" i="195"/>
  <c r="C19" i="195"/>
  <c r="C20" i="195" s="1"/>
  <c r="B19" i="195"/>
  <c r="Q18" i="195"/>
  <c r="Q17" i="195"/>
  <c r="Q16" i="195"/>
  <c r="Q15" i="195"/>
  <c r="Q14" i="195"/>
  <c r="Q13" i="195"/>
  <c r="Q12" i="195"/>
  <c r="Q11" i="195"/>
  <c r="Q10" i="195"/>
  <c r="Q9" i="195"/>
  <c r="Q8" i="195"/>
  <c r="Q7" i="195"/>
  <c r="Q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83"/>
  <c r="C8" i="175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Q40" i="195"/>
  <c r="R40" i="180"/>
  <c r="R40" i="185"/>
  <c r="R40" i="186"/>
  <c r="R40" i="188"/>
  <c r="R40" i="197"/>
  <c r="R40" i="199"/>
  <c r="C8" i="188"/>
  <c r="C16" i="170"/>
  <c r="O11" i="170" s="1"/>
  <c r="R40" i="170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C16" i="189"/>
  <c r="O11" i="189" s="1"/>
  <c r="C16" i="188"/>
  <c r="O11" i="188" s="1"/>
  <c r="C16" i="185"/>
  <c r="O11" i="185" s="1"/>
  <c r="C8" i="193"/>
  <c r="C8" i="178"/>
  <c r="C8" i="198"/>
  <c r="C8" i="185"/>
  <c r="C8" i="181"/>
  <c r="C8" i="170"/>
  <c r="C8" i="177"/>
  <c r="C8" i="182"/>
  <c r="C16" i="198"/>
  <c r="O11" i="198" s="1"/>
  <c r="C16" i="199"/>
  <c r="C16" i="192"/>
  <c r="C16" i="197"/>
  <c r="O11" i="197" s="1"/>
  <c r="C16" i="194"/>
  <c r="C16" i="195"/>
  <c r="C16" i="193"/>
  <c r="O11" i="193" s="1"/>
  <c r="C16" i="19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2"/>
  <c r="C6" i="192"/>
  <c r="C8" i="192" s="1"/>
  <c r="O11" i="196"/>
  <c r="C6" i="196"/>
  <c r="C8" i="196" s="1"/>
  <c r="O11" i="194"/>
  <c r="C6" i="194"/>
  <c r="C8" i="194" s="1"/>
  <c r="O11" i="191"/>
  <c r="C6" i="191"/>
  <c r="C8" i="191" s="1"/>
  <c r="N11" i="195"/>
  <c r="C6" i="195"/>
  <c r="B14" i="200"/>
  <c r="C16" i="103"/>
  <c r="O11" i="103" s="1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<sst xmlns="http://schemas.openxmlformats.org/spreadsheetml/2006/main" count="1738" uniqueCount="189">
  <si>
    <t>Colaboradores</t>
  </si>
  <si>
    <t>Saldo Inicial</t>
  </si>
  <si>
    <t>ROGÉRIO</t>
  </si>
  <si>
    <t>Vendas</t>
  </si>
  <si>
    <t>JOCY</t>
  </si>
  <si>
    <t>Entrada</t>
  </si>
  <si>
    <t>MARIA</t>
  </si>
  <si>
    <t>Despesas</t>
  </si>
  <si>
    <t>WEVILLY</t>
  </si>
  <si>
    <t>Entr_Desp</t>
  </si>
  <si>
    <t>BETH</t>
  </si>
  <si>
    <t>ARIANI</t>
  </si>
  <si>
    <t>Tipos de Pagtos</t>
  </si>
  <si>
    <t>ROSÂNGELA</t>
  </si>
  <si>
    <t>DN</t>
  </si>
  <si>
    <t>TATY</t>
  </si>
  <si>
    <t>CTD</t>
  </si>
  <si>
    <t>LARISSA</t>
  </si>
  <si>
    <t>CTC</t>
  </si>
  <si>
    <t>ERIKA</t>
  </si>
  <si>
    <t>PCTC</t>
  </si>
  <si>
    <t>LUANA</t>
  </si>
  <si>
    <t>PIX</t>
  </si>
  <si>
    <t>FELIPE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</si>
  <si>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</si>
  <si>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</si>
  <si>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</si>
  <si>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</si>
  <si>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</si>
  <si>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</si>
  <si>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</si>
  <si>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</si>
  <si>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</si>
  <si>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</si>
  <si>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</si>
  <si>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</si>
  <si>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</si>
  <si>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</si>
  <si>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</si>
  <si>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</si>
  <si>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</si>
  <si>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</si>
  <si>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MARIA FATIMA</t>
  </si>
  <si>
    <t>ALESSANDRA SIMOES</t>
  </si>
  <si>
    <t xml:space="preserve">MAYME SANTOS </t>
  </si>
  <si>
    <t>JOSE MOREIRA</t>
  </si>
  <si>
    <t xml:space="preserve">SANDRA ROSE </t>
  </si>
  <si>
    <t>GILMAR CESAR</t>
  </si>
  <si>
    <t>Parcelas</t>
  </si>
  <si>
    <t>Valor Total</t>
  </si>
  <si>
    <t>Recebimento de Carnê</t>
  </si>
  <si>
    <t>Valor Parcela</t>
  </si>
  <si>
    <t>Nº Parcela</t>
  </si>
  <si>
    <t>Total de OS</t>
  </si>
  <si>
    <t>Fechamento Diário do Caixa</t>
  </si>
  <si>
    <t xml:space="preserve"> V</t>
  </si>
  <si>
    <t xml:space="preserve">REGINA APARECIDA </t>
  </si>
  <si>
    <t>PARC. 3/6</t>
  </si>
  <si>
    <t>LAERCIO AUGUSTO</t>
  </si>
  <si>
    <t>GARANTIA</t>
  </si>
  <si>
    <t>NÃO</t>
  </si>
  <si>
    <t>REGILNALDO DE OLIVEIRA</t>
  </si>
  <si>
    <t>ALICE ALMEIDA</t>
  </si>
  <si>
    <t>PARC. 7/8</t>
  </si>
  <si>
    <t>Eliane da Silva Santos</t>
  </si>
  <si>
    <t>AGUA</t>
  </si>
  <si>
    <t>Sim</t>
  </si>
  <si>
    <t>LEZIVALDO DE MELLO</t>
  </si>
  <si>
    <t>ALEXANDRE DA SILVA</t>
  </si>
  <si>
    <t>PARC. 8/10</t>
  </si>
  <si>
    <t>PARTE DO VALE TRASPORTE</t>
  </si>
  <si>
    <t>CARLOS ROBERTO</t>
  </si>
  <si>
    <t>PARC. 4/8</t>
  </si>
  <si>
    <t>MANOEL SAMPAIO</t>
  </si>
  <si>
    <t>PARC. 1/7</t>
  </si>
  <si>
    <t>PATRICIA DA SILVA</t>
  </si>
  <si>
    <t>PARC. 4/9</t>
  </si>
  <si>
    <t>SIDNEI FERNANDES</t>
  </si>
  <si>
    <t>EDNEIA POMPEU</t>
  </si>
  <si>
    <t>PARC. 1/5</t>
  </si>
  <si>
    <t xml:space="preserve">ADAIR APARECIDO </t>
  </si>
  <si>
    <t>VALTER ALMEIDA</t>
  </si>
  <si>
    <t>PARC. 4/5</t>
  </si>
  <si>
    <t>JEANE MARTINS</t>
  </si>
  <si>
    <t>PAULO HENRIQUE</t>
  </si>
  <si>
    <t xml:space="preserve">ELIANE DA  SILVA </t>
  </si>
  <si>
    <t>SEVERINO ROMUALDO</t>
  </si>
  <si>
    <t>PEDRO EXPEDITO</t>
  </si>
  <si>
    <t>PARC. 3/5</t>
  </si>
  <si>
    <t>JUVENAL BORGES</t>
  </si>
  <si>
    <t>VANESSA GOMES</t>
  </si>
  <si>
    <t>PARC. 3/4</t>
  </si>
  <si>
    <t>FELIPE  DE MOURA</t>
  </si>
  <si>
    <t>SS</t>
  </si>
  <si>
    <t xml:space="preserve">GILMAR CESAR </t>
  </si>
  <si>
    <t xml:space="preserve"> </t>
  </si>
  <si>
    <t xml:space="preserve"> FELIPE DE MOURA </t>
  </si>
  <si>
    <t xml:space="preserve">ERICK CRISTIANO </t>
  </si>
  <si>
    <t>PARC. 2/5</t>
  </si>
  <si>
    <t>DAVID FLAVIO</t>
  </si>
  <si>
    <t>REJANE DA SILVA</t>
  </si>
  <si>
    <t>ANA LUCIA</t>
  </si>
  <si>
    <t>JESILENE SILVA SOARES</t>
  </si>
  <si>
    <t>PARC. 2/9</t>
  </si>
  <si>
    <t>CLEONICE ROCHA</t>
  </si>
  <si>
    <t>MARCO ANTONIO</t>
  </si>
  <si>
    <t xml:space="preserve">Orlando Luiz Rodrigues </t>
  </si>
  <si>
    <t>ARTHUR FERREIRA</t>
  </si>
  <si>
    <t>ERNANDE FERREIRA</t>
  </si>
  <si>
    <t xml:space="preserve"> BARBARA HELENA</t>
  </si>
  <si>
    <t>PARC. 1/4</t>
  </si>
  <si>
    <t xml:space="preserve">        </t>
  </si>
  <si>
    <t>PARC. 9/10</t>
  </si>
  <si>
    <t>LEZIVALDO DE MELO</t>
  </si>
  <si>
    <t>OSs Mauá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</si>
  <si>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</si>
  <si>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</si>
  <si>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</si>
  <si>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</si>
  <si>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</si>
  <si>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</si>
  <si>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</si>
  <si>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</si>
  <si>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</si>
  <si>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</si>
  <si>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</si>
  <si>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</si>
  <si>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</si>
  <si>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</si>
  <si>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</si>
  <si>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Todas as Garantias</t>
  </si>
  <si>
    <t>PARC. 2/4</t>
  </si>
  <si>
    <t>PARC. 4/4</t>
  </si>
  <si>
    <t>PARC. 5/5</t>
  </si>
  <si>
    <t>PARC. 1/6</t>
  </si>
  <si>
    <t>PARC. 2/6</t>
  </si>
  <si>
    <t>PARC. 4/6</t>
  </si>
  <si>
    <t>PARC. 5/6</t>
  </si>
  <si>
    <t>PARC. 6/6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</si>
  <si>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</si>
  <si>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</si>
  <si>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</si>
  <si>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</si>
  <si>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</si>
  <si>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</si>
  <si>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</si>
  <si>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</si>
  <si>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</si>
  <si>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5/8</t>
  </si>
  <si>
    <t>PARC. 6/8</t>
  </si>
  <si>
    <t>PARC. 8/8</t>
  </si>
  <si>
    <t>PARC. 1/9</t>
  </si>
  <si>
    <t>PARC. 3/9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</si>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</sst>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7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7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167" fontId="0" fillId="0" borderId="3" xfId="4" applyNumberFormat="1" applyFont="1" applyFill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5" fillId="0" borderId="17" xfId="4" applyNumberFormat="1" applyFont="1" applyFill="1" applyBorder="1" applyAlignment="1">
      <alignment horizontal="center"/>
    </xf>
    <xf numFmtId="167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7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7" fontId="12" fillId="6" borderId="12" xfId="2" applyNumberFormat="1" applyFont="1" applyFill="1" applyBorder="1" applyAlignment="1" applyProtection="1">
      <alignment horizontal="center" vertical="center"/>
    </xf>
    <xf numFmtId="166" fontId="14" fillId="7" borderId="6" xfId="2" applyFont="1" applyFill="1" applyBorder="1" applyAlignment="1" applyProtection="1">
      <alignment horizontal="center"/>
    </xf>
    <xf numFmtId="166" fontId="39" fillId="0" borderId="3" xfId="2" applyFont="1" applyFill="1" applyBorder="1" applyAlignment="1">
      <alignment horizontal="center"/>
    </xf>
    <xf numFmtId="166" fontId="40" fillId="0" borderId="3" xfId="2" applyFont="1" applyFill="1" applyBorder="1" applyAlignment="1">
      <alignment horizontal="center"/>
    </xf>
    <xf numFmtId="167" fontId="40" fillId="0" borderId="3" xfId="4" applyNumberFormat="1" applyFont="1" applyFill="1" applyBorder="1" applyAlignment="1">
      <alignment horizontal="center"/>
    </xf>
    <xf numFmtId="166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7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6" fontId="35" fillId="0" borderId="13" xfId="2" applyFont="1" applyFill="1" applyBorder="1" applyAlignment="1">
      <alignment horizontal="center"/>
    </xf>
    <xf numFmtId="166" fontId="37" fillId="0" borderId="13" xfId="2" applyFont="1" applyFill="1" applyBorder="1" applyAlignment="1">
      <alignment horizontal="center"/>
    </xf>
    <xf numFmtId="167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166" fontId="37" fillId="0" borderId="17" xfId="2" applyFont="1" applyFill="1" applyBorder="1" applyAlignment="1">
      <alignment horizontal="center"/>
    </xf>
    <xf numFmtId="166" fontId="40" fillId="0" borderId="17" xfId="2" applyFont="1" applyFill="1" applyBorder="1" applyAlignment="1">
      <alignment horizontal="center"/>
    </xf>
    <xf numFmtId="166" fontId="39" fillId="0" borderId="17" xfId="2" applyFont="1" applyFill="1" applyBorder="1" applyAlignment="1">
      <alignment horizontal="center"/>
    </xf>
    <xf numFmtId="167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6" fontId="45" fillId="0" borderId="3" xfId="2" applyFont="1" applyFill="1" applyBorder="1" applyAlignment="1">
      <alignment horizontal="center"/>
    </xf>
    <xf numFmtId="167" fontId="0" fillId="0" borderId="0" xfId="4" applyNumberFormat="1" applyFont="1" applyAlignment="1">
      <alignment horizontal="center"/>
    </xf>
    <xf numFmtId="166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6" fontId="24" fillId="0" borderId="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4" totalsRowShown="0" headerRowDxfId="1623" headerRowBorderDxfId="1622" tableBorderDxfId="1621" totalsRowBorderDxfId="1620">
  <autoFilter ref="E25:I34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6:I43" totalsRowShown="0" headerRowDxfId="1607" headerRowBorderDxfId="1606" tableBorderDxfId="1605" totalsRowBorderDxfId="1604">
  <autoFilter ref="E36:I43" xr:uid="{160070D3-12DB-4B84-9ECC-6FB01084295E}"/>
  <sortState xmlns:xlrd2="http://schemas.microsoft.com/office/spreadsheetml/2017/richdata2" ref="E37:I42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0</v>
      </c>
    </row>
    <row r="2" spans="1:16" ht="15" x14ac:dyDescent="0.2">
      <c r="A2" s="18" t="s">
        <v>1</v>
      </c>
      <c r="B2" s="70">
        <v>0</v>
      </c>
      <c r="P2" t="s">
        <v>2</v>
      </c>
    </row>
    <row r="3" spans="1:16" ht="15" x14ac:dyDescent="0.25">
      <c r="A3" s="22" t="s">
        <v>3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6414</v>
      </c>
      <c r="P3" t="s">
        <v>4</v>
      </c>
    </row>
    <row r="4" spans="1:16" ht="15" x14ac:dyDescent="0.25">
      <c r="A4" s="22" t="s">
        <v>5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10774.5</v>
      </c>
      <c r="P4" t="s">
        <v>6</v>
      </c>
    </row>
    <row r="5" spans="1:16" ht="15" x14ac:dyDescent="0.25">
      <c r="A5" s="22" t="s">
        <v>7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246</v>
      </c>
      <c r="P5" t="s">
        <v>8</v>
      </c>
    </row>
    <row r="6" spans="1:16" ht="15.75" x14ac:dyDescent="0.25">
      <c r="A6" s="27" t="s">
        <v>9</v>
      </c>
      <c r="B6" s="28">
        <f ca="1">SUM(B4:B5)</f>
        <v>11020.5</v>
      </c>
      <c r="P6" t="s">
        <v>10</v>
      </c>
    </row>
    <row r="7" spans="1:16" ht="15" x14ac:dyDescent="0.25">
      <c r="A7" s="2"/>
      <c r="B7" s="2"/>
      <c r="P7" t="s">
        <v>11</v>
      </c>
    </row>
    <row r="8" spans="1:16" ht="15" x14ac:dyDescent="0.2">
      <c r="A8" s="104" t="s">
        <v>12</v>
      </c>
      <c r="B8" s="104"/>
      <c r="P8" t="s">
        <v>13</v>
      </c>
    </row>
    <row r="9" spans="1:16" ht="15" x14ac:dyDescent="0.25">
      <c r="A9" s="29" t="s">
        <v>14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1711.5</v>
      </c>
      <c r="P9" t="s">
        <v>15</v>
      </c>
    </row>
    <row r="10" spans="1:16" ht="15" x14ac:dyDescent="0.25">
      <c r="A10" s="29" t="s">
        <v>16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2101</v>
      </c>
      <c r="P10" t="s">
        <v>17</v>
      </c>
    </row>
    <row r="11" spans="1:16" ht="15" x14ac:dyDescent="0.25">
      <c r="A11" s="29" t="s">
        <v>18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2143</v>
      </c>
      <c r="P11" t="s">
        <v>19</v>
      </c>
    </row>
    <row r="12" spans="1:16" ht="15" x14ac:dyDescent="0.25">
      <c r="A12" s="29" t="s">
        <v>20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1880</v>
      </c>
      <c r="P12" t="s">
        <v>21</v>
      </c>
    </row>
    <row r="13" spans="1:16" ht="15" x14ac:dyDescent="0.25">
      <c r="A13" s="29" t="s">
        <v>22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2939</v>
      </c>
      <c r="P13" t="s">
        <v>23</v>
      </c>
    </row>
    <row r="14" spans="1:16" ht="15.75" x14ac:dyDescent="0.25">
      <c r="A14" s="27" t="s">
        <v>24</v>
      </c>
      <c r="B14" s="71">
        <f ca="1">SUM(B9:B13)</f>
        <v>10774.5</v>
      </c>
    </row>
    <row r="15" spans="1:16" ht="15" x14ac:dyDescent="0.25">
      <c r="A15" s="2"/>
      <c r="B15" s="2"/>
    </row>
    <row r="16" spans="1:16" ht="15" x14ac:dyDescent="0.2">
      <c r="A16" s="104" t="s">
        <v>25</v>
      </c>
      <c r="B16" s="104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1943.99</v>
      </c>
    </row>
    <row r="18" spans="1:2" ht="15.75" x14ac:dyDescent="0.25">
      <c r="A18" s="27" t="s">
        <v>24</v>
      </c>
      <c r="B18" s="71">
        <f>SUM(B17:B17)</f>
        <v>1943.99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3"/>
  <sheetViews>
    <sheetView showGridLines="0" tabSelected="1" view="pageBreakPreview" topLeftCell="A16" zoomScale="70" zoomScaleNormal="60" zoomScaleSheetLayoutView="70" workbookViewId="0">
      <selection activeCell="C8" sqref="C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45597</v>
      </c>
    </row>
    <row r="2" spans="2:18" ht="18.75" x14ac:dyDescent="0.2">
      <c r="B2" s="109" t="s">
        <v>26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3370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34</v>
      </c>
      <c r="C8" s="28">
        <f>SUM(C6:C7)</f>
        <v>3370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14</v>
      </c>
      <c r="C11" s="30">
        <f>(SUMIF($G$2:$G$33,B11,$I$2:$I$33))+(SUMIF($G$37:$G$43,B11,$H$37:$H$43))</f>
        <v>440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16</v>
      </c>
      <c r="C12" s="30">
        <f>(SUMIF($G$2:$G$33,B12,$I$2:$I$33))+(SUMIF($G$37:$G$43,B12,$H$37:$H$43))</f>
        <v>300</v>
      </c>
      <c r="D12" s="2"/>
      <c r="E12" s="93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18</v>
      </c>
      <c r="C13" s="30">
        <f>(SUMIF($G$2:$G$33,B13,$I$2:$I$33))+(SUMIF($G$37:$G$43,B13,$H$37:$H$43))</f>
        <v>0</v>
      </c>
      <c r="D13" s="2"/>
      <c r="E13" s="93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IF(vend1[[#This Row],[Nº Venda]]&gt;1,1,0)</f>
        <v>0</v>
      </c>
    </row>
    <row r="14" spans="2:18" ht="15.75" x14ac:dyDescent="0.25">
      <c r="B14" s="29" t="s">
        <v>20</v>
      </c>
      <c r="C14" s="30">
        <f>(SUMIF($G$2:$G$33,B14,$I$2:$I$33))+(SUMIF($G$37:$G$43,B14,$H$37:$H$43))</f>
        <v>1880</v>
      </c>
      <c r="D14" s="2"/>
      <c r="E14" s="93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IF(vend1[[#This Row],[Nº Venda]]&gt;1,1,0)</f>
        <v>0</v>
      </c>
    </row>
    <row r="15" spans="2:18" ht="15.75" x14ac:dyDescent="0.25">
      <c r="B15" s="29" t="s">
        <v>22</v>
      </c>
      <c r="C15" s="30">
        <f>(SUMIF($G$2:$G$31,B15,$I$2:$I$31))+(SUMIF($G$37:$G$43,B15,$H$37:$H$43))</f>
        <v>750</v>
      </c>
      <c r="D15" s="2"/>
      <c r="E15" s="93"/>
      <c r="F15" s="24"/>
      <c r="G15" s="25"/>
      <c r="H15" s="8"/>
      <c r="I15" s="8"/>
      <c r="J15" s="2"/>
      <c r="K15" s="101">
        <v>6805</v>
      </c>
      <c r="L15" s="9" t="s">
        <v>15</v>
      </c>
      <c r="M15" s="16" t="s">
        <v>39</v>
      </c>
      <c r="R15" s="1">
        <f>IF(vend1[[#This Row],[Nº Venda]]&gt;1,1,0)</f>
        <v>0</v>
      </c>
    </row>
    <row r="16" spans="2:18" ht="15.75" x14ac:dyDescent="0.25">
      <c r="B16" s="27" t="s">
        <v>24</v>
      </c>
      <c r="C16" s="31">
        <f>SUM(C11:C15)</f>
        <v>3370</v>
      </c>
      <c r="D16" s="2"/>
      <c r="E16" s="93"/>
      <c r="F16" s="24"/>
      <c r="G16" s="25"/>
      <c r="H16" s="8"/>
      <c r="I16" s="8"/>
      <c r="J16" s="2"/>
      <c r="K16" s="101">
        <v>6914</v>
      </c>
      <c r="L16" s="9" t="s">
        <v>15</v>
      </c>
      <c r="M16" s="16" t="s">
        <v>39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6928</v>
      </c>
      <c r="L17" s="9" t="s">
        <v>21</v>
      </c>
      <c r="M17" s="16" t="s">
        <v>39</v>
      </c>
      <c r="R17" s="1">
        <f>IF(vend1[[#This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1</v>
      </c>
      <c r="C19" s="30">
        <f>SUM(entr_carn1[Valor Total])</f>
        <v>470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24</v>
      </c>
      <c r="C20" s="31">
        <f>SUM(C19:C19)</f>
        <v>470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6916</v>
      </c>
      <c r="F26" s="24" t="s">
        <v>42</v>
      </c>
      <c r="G26" s="25" t="s">
        <v>14</v>
      </c>
      <c r="H26" s="69">
        <v>0</v>
      </c>
      <c r="I26" s="8">
        <v>290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6804</v>
      </c>
      <c r="F27" s="24" t="s">
        <v>43</v>
      </c>
      <c r="G27" s="25" t="s">
        <v>22</v>
      </c>
      <c r="H27" s="8">
        <v>0</v>
      </c>
      <c r="I27" s="8">
        <v>375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>
        <v>6805</v>
      </c>
      <c r="F28" s="24" t="s">
        <v>43</v>
      </c>
      <c r="G28" s="25" t="s">
        <v>22</v>
      </c>
      <c r="H28" s="8">
        <v>0</v>
      </c>
      <c r="I28" s="8">
        <v>375</v>
      </c>
      <c r="J28" s="2"/>
      <c r="K28" s="101"/>
      <c r="L28" s="9"/>
      <c r="M28" s="16"/>
    </row>
    <row r="29" spans="2:18" ht="15.75" x14ac:dyDescent="0.25">
      <c r="B29" s="2"/>
      <c r="C29" s="2"/>
      <c r="D29" s="2"/>
      <c r="E29" s="93">
        <v>6928</v>
      </c>
      <c r="F29" s="24" t="s">
        <v>44</v>
      </c>
      <c r="G29" s="25" t="s">
        <v>16</v>
      </c>
      <c r="H29" s="8">
        <v>0</v>
      </c>
      <c r="I29" s="8">
        <v>300</v>
      </c>
      <c r="J29" s="2"/>
      <c r="K29" s="101"/>
      <c r="L29" s="9"/>
      <c r="M29" s="16"/>
    </row>
    <row r="30" spans="2:18" ht="15.75" x14ac:dyDescent="0.25">
      <c r="B30" s="2"/>
      <c r="C30" s="2"/>
      <c r="D30" s="2"/>
      <c r="E30" s="93">
        <v>6926</v>
      </c>
      <c r="F30" s="38" t="s">
        <v>45</v>
      </c>
      <c r="G30" s="25" t="s">
        <v>20</v>
      </c>
      <c r="H30" s="8">
        <v>0</v>
      </c>
      <c r="I30" s="8">
        <v>490</v>
      </c>
      <c r="J30" s="2"/>
      <c r="K30" s="101"/>
      <c r="L30" s="9"/>
      <c r="M30" s="16"/>
    </row>
    <row r="31" spans="2:18" ht="15.75" x14ac:dyDescent="0.25">
      <c r="B31" s="2"/>
      <c r="C31" s="2"/>
      <c r="D31" s="2"/>
      <c r="E31" s="95">
        <v>6927</v>
      </c>
      <c r="F31" s="35" t="s">
        <v>45</v>
      </c>
      <c r="G31" s="36" t="s">
        <v>20</v>
      </c>
      <c r="H31" s="17">
        <v>0</v>
      </c>
      <c r="I31" s="17">
        <v>490</v>
      </c>
      <c r="J31" s="2"/>
      <c r="K31" s="101"/>
      <c r="L31" s="9"/>
      <c r="M31" s="16"/>
    </row>
    <row r="32" spans="2:18" ht="15.75" x14ac:dyDescent="0.25">
      <c r="B32" s="2"/>
      <c r="C32" s="2"/>
      <c r="E32" s="93">
        <v>6914</v>
      </c>
      <c r="F32" s="24" t="s">
        <v>46</v>
      </c>
      <c r="G32" s="25" t="s">
        <v>20</v>
      </c>
      <c r="H32" s="8">
        <v>0</v>
      </c>
      <c r="I32" s="8">
        <v>900</v>
      </c>
    </row>
    <row r="33" spans="2:18" ht="15.75" x14ac:dyDescent="0.25">
      <c r="B33" s="2"/>
      <c r="C33" s="2"/>
      <c r="E33" s="93">
        <v>6912</v>
      </c>
      <c r="F33" s="24" t="s">
        <v>47</v>
      </c>
      <c r="G33" s="25" t="s">
        <v>14</v>
      </c>
      <c r="H33" s="8">
        <v>0</v>
      </c>
      <c r="I33" s="8">
        <v>150</v>
      </c>
      <c r="K33" s="106" t="s">
        <v>25</v>
      </c>
      <c r="L33" s="107"/>
      <c r="M33" s="108"/>
    </row>
    <row r="34" spans="2:18" ht="15.75" x14ac:dyDescent="0.25">
      <c r="E34" s="100"/>
      <c r="F34" s="103"/>
      <c r="G34" s="36"/>
      <c r="H34" s="17"/>
      <c r="I34" s="17"/>
      <c r="K34" s="14" t="s">
        <v>36</v>
      </c>
      <c r="L34" s="6" t="s">
        <v>48</v>
      </c>
      <c r="M34" s="15" t="s">
        <v>49</v>
      </c>
    </row>
    <row r="35" spans="2:18" ht="15" x14ac:dyDescent="0.25">
      <c r="E35" s="105" t="s">
        <v>50</v>
      </c>
      <c r="F35" s="105"/>
      <c r="G35" s="105"/>
      <c r="H35" s="105"/>
      <c r="I35" s="105"/>
      <c r="K35" s="101">
        <v>6928</v>
      </c>
      <c r="L35" s="40">
        <v>5</v>
      </c>
      <c r="M35" s="16">
        <v>470</v>
      </c>
    </row>
    <row r="36" spans="2:18" ht="15" x14ac:dyDescent="0.25">
      <c r="E36" s="10" t="s">
        <v>36</v>
      </c>
      <c r="F36" s="10" t="s">
        <v>28</v>
      </c>
      <c r="G36" s="11" t="s">
        <v>29</v>
      </c>
      <c r="H36" s="12" t="s">
        <v>51</v>
      </c>
      <c r="I36" s="13" t="s">
        <v>52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24"/>
      <c r="G39" s="25"/>
      <c r="H39" s="8"/>
      <c r="I39" s="8"/>
      <c r="K39" s="101"/>
      <c r="L39" s="40"/>
      <c r="M39" s="16"/>
    </row>
    <row r="40" spans="2:18" ht="15.75" x14ac:dyDescent="0.25">
      <c r="E40" s="93"/>
      <c r="F40" s="24"/>
      <c r="G40" s="25"/>
      <c r="H40" s="8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95"/>
      <c r="F42" s="35"/>
      <c r="G42" s="36"/>
      <c r="H42" s="17"/>
      <c r="I42" s="8"/>
    </row>
    <row r="43" spans="2:18" ht="15.75" x14ac:dyDescent="0.25">
      <c r="E43" s="96"/>
      <c r="F43" s="38"/>
      <c r="G43" s="25"/>
      <c r="H43" s="8"/>
      <c r="I43" s="8"/>
    </row>
  </sheetData>
  <mergeCells count="9">
    <mergeCell ref="E24:I24"/>
    <mergeCell ref="E35:I35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I37:I43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G37:G43 G26:G34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K15:K31 K35:K41 E37:E43 E26:E34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3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'01'!B1+1</f>
        <v>45598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56"/>
      <c r="G13" s="85"/>
      <c r="H13" s="67"/>
      <c r="I13" s="67"/>
      <c r="J13" s="2"/>
      <c r="K13" s="106" t="s">
        <v>35</v>
      </c>
      <c r="L13" s="107"/>
      <c r="M13" s="108"/>
      <c r="R13" s="1">
        <f>IF(vend2[[#This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56"/>
      <c r="G14" s="85"/>
      <c r="H14" s="67"/>
      <c r="I14" s="67"/>
      <c r="J14" s="2"/>
      <c r="K14" s="14" t="s">
        <v>36</v>
      </c>
      <c r="L14" s="6" t="s">
        <v>37</v>
      </c>
      <c r="M14" s="15" t="s">
        <v>38</v>
      </c>
      <c r="R14" s="1">
        <f>IF(vend2[[#This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6926</v>
      </c>
      <c r="L15" s="9" t="s">
        <v>21</v>
      </c>
      <c r="M15" s="16" t="s">
        <v>39</v>
      </c>
      <c r="R15" s="1">
        <f>IF(vend2[[#This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>
        <v>6927</v>
      </c>
      <c r="L16" s="9" t="s">
        <v>21</v>
      </c>
      <c r="M16" s="16" t="s">
        <v>39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21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  <c r="U34" s="1" t="s">
        <v>55</v>
      </c>
    </row>
    <row r="35" spans="2:21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21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21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21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21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21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21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7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45599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IF(vend3[[#This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IF(vend3[[#This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B23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45600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50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34</v>
      </c>
      <c r="C8" s="28">
        <f>SUM(C6:C7)</f>
        <v>50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50</v>
      </c>
      <c r="D12" s="2"/>
      <c r="E12" s="93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IF(vend4[[#This Row],[Nº Venda]]&gt;1,1,0)</f>
        <v>0</v>
      </c>
    </row>
    <row r="15" spans="2:18" ht="18.75" x14ac:dyDescent="0.4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54"/>
      <c r="R15" s="1">
        <f>IF(vend4[[#This Row],[Nº Venda]]&gt;1,1,0)</f>
        <v>0</v>
      </c>
    </row>
    <row r="16" spans="2:18" ht="18.75" x14ac:dyDescent="0.4">
      <c r="B16" s="27" t="s">
        <v>24</v>
      </c>
      <c r="C16" s="31">
        <f>SUM(C11:C15)</f>
        <v>50</v>
      </c>
      <c r="D16" s="2"/>
      <c r="E16" s="93"/>
      <c r="F16" s="24"/>
      <c r="G16" s="25"/>
      <c r="H16" s="8"/>
      <c r="I16" s="8"/>
      <c r="J16" s="2"/>
      <c r="K16" s="101"/>
      <c r="L16" s="9"/>
      <c r="M16" s="54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54"/>
      <c r="R17" s="1">
        <f>IF(vend4[[#This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878</v>
      </c>
      <c r="F35" s="24" t="s">
        <v>56</v>
      </c>
      <c r="G35" s="25" t="s">
        <v>16</v>
      </c>
      <c r="H35" s="8">
        <v>50</v>
      </c>
      <c r="I35" s="8" t="s">
        <v>57</v>
      </c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topLeftCell="A16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7" style="1" bestFit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'04'!B1+1</f>
        <v>45601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799</v>
      </c>
      <c r="D6" s="2"/>
      <c r="E6" s="93">
        <v>6940</v>
      </c>
      <c r="F6" s="24" t="s">
        <v>58</v>
      </c>
      <c r="G6" s="43" t="s">
        <v>59</v>
      </c>
      <c r="H6" s="8">
        <v>0</v>
      </c>
      <c r="I6" s="8">
        <v>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34</v>
      </c>
      <c r="C8" s="28">
        <f>SUM(C6:C7)</f>
        <v>799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100</v>
      </c>
      <c r="D11" s="2"/>
      <c r="E11" s="93"/>
      <c r="F11" s="24"/>
      <c r="G11" s="43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699</v>
      </c>
      <c r="D12" s="2"/>
      <c r="E12" s="93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IF(vend5[[#This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IF(vend5[[#This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6931</v>
      </c>
      <c r="L15" s="9" t="s">
        <v>21</v>
      </c>
      <c r="M15" s="59" t="s">
        <v>60</v>
      </c>
      <c r="N15" s="16"/>
      <c r="R15" s="1">
        <f>IF(vend5[[#This Row],[Nº Venda]]&gt;1,1,0)</f>
        <v>0</v>
      </c>
    </row>
    <row r="16" spans="2:18" ht="15.75" x14ac:dyDescent="0.25">
      <c r="B16" s="27" t="s">
        <v>24</v>
      </c>
      <c r="C16" s="31">
        <f>SUM(C11:C15)</f>
        <v>799</v>
      </c>
      <c r="D16" s="2"/>
      <c r="E16" s="93"/>
      <c r="F16" s="24"/>
      <c r="G16" s="25"/>
      <c r="H16" s="8"/>
      <c r="I16" s="8"/>
      <c r="J16" s="2"/>
      <c r="K16" s="101">
        <v>6936</v>
      </c>
      <c r="L16" s="9" t="s">
        <v>21</v>
      </c>
      <c r="M16" s="58" t="s">
        <v>60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IF(vend5[[#This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6934</v>
      </c>
      <c r="F26" s="24" t="s">
        <v>61</v>
      </c>
      <c r="G26" s="43" t="s">
        <v>16</v>
      </c>
      <c r="H26" s="8">
        <v>0</v>
      </c>
      <c r="I26" s="8">
        <v>699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6637</v>
      </c>
      <c r="F35" s="24" t="s">
        <v>62</v>
      </c>
      <c r="G35" s="25" t="s">
        <v>14</v>
      </c>
      <c r="H35" s="8">
        <v>100</v>
      </c>
      <c r="I35" s="8" t="s">
        <v>63</v>
      </c>
      <c r="K35" s="101"/>
      <c r="L35" s="40"/>
      <c r="M35" s="16"/>
    </row>
    <row r="36" spans="2:18" ht="15.75" x14ac:dyDescent="0.25">
      <c r="E36" s="100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82"/>
      <c r="G37" s="83"/>
      <c r="H37" s="84"/>
      <c r="I37" s="84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24" zoomScale="80" zoomScaleNormal="8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45602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220</v>
      </c>
      <c r="D6" s="2"/>
      <c r="E6" s="93">
        <v>6941</v>
      </c>
      <c r="F6" s="24" t="s">
        <v>64</v>
      </c>
      <c r="G6" s="25" t="s">
        <v>59</v>
      </c>
      <c r="H6" s="8">
        <v>0</v>
      </c>
      <c r="I6" s="8">
        <v>0</v>
      </c>
      <c r="J6" s="2"/>
      <c r="K6" s="24" t="s">
        <v>65</v>
      </c>
      <c r="L6" s="9" t="s">
        <v>22</v>
      </c>
      <c r="M6" s="16">
        <v>13</v>
      </c>
      <c r="R6" s="1">
        <f>IF(vend[[#This Row],[Nº Venda]]&gt;1,1,0)</f>
        <v>1</v>
      </c>
    </row>
    <row r="7" spans="2:18" ht="15.75" x14ac:dyDescent="0.25">
      <c r="B7" s="22" t="s">
        <v>7</v>
      </c>
      <c r="C7" s="23">
        <f>SUM(M6:M11)</f>
        <v>13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34</v>
      </c>
      <c r="C8" s="28">
        <f>SUM(C6:C7)</f>
        <v>233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14</v>
      </c>
      <c r="C11" s="75">
        <f>(SUMIF($G$2:$G$31,B11,$I$2:$I$31))+(SUMIF($G$35:$G$41,B11,$H$35:$H$41))</f>
        <v>220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16</v>
      </c>
      <c r="C12" s="75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18</v>
      </c>
      <c r="C13" s="75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IF(vend[[#This Row],[Nº Venda]]&gt;1,1,0)</f>
        <v>0</v>
      </c>
    </row>
    <row r="14" spans="2:18" ht="15.75" x14ac:dyDescent="0.25">
      <c r="B14" s="29" t="s">
        <v>20</v>
      </c>
      <c r="C14" s="75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IF(vend[[#This Row],[Nº Venda]]&gt;1,1,0)</f>
        <v>0</v>
      </c>
    </row>
    <row r="15" spans="2:18" ht="15.75" x14ac:dyDescent="0.25">
      <c r="B15" s="29" t="s">
        <v>22</v>
      </c>
      <c r="C15" s="75">
        <f>(SUMIF($G$2:$G$31,B15,$I$2:$I$31))+(SUMIF($G$35:$G$41,B15,$H$35:$H$41))</f>
        <v>0</v>
      </c>
      <c r="D15" s="2"/>
      <c r="E15" s="93"/>
      <c r="F15" s="24"/>
      <c r="G15" s="25"/>
      <c r="H15" s="8"/>
      <c r="I15" s="8"/>
      <c r="J15" s="2"/>
      <c r="K15" s="101">
        <v>6865</v>
      </c>
      <c r="L15" s="9" t="s">
        <v>21</v>
      </c>
      <c r="M15" s="16" t="s">
        <v>66</v>
      </c>
      <c r="R15" s="1">
        <f>IF(vend[[#This Row],[Nº Venda]]&gt;1,1,0)</f>
        <v>0</v>
      </c>
    </row>
    <row r="16" spans="2:18" ht="15.75" x14ac:dyDescent="0.25">
      <c r="B16" s="27" t="s">
        <v>24</v>
      </c>
      <c r="C16" s="31">
        <f>SUM(C11:C15)</f>
        <v>220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1</v>
      </c>
      <c r="C19" s="30">
        <f>SUM(entr_carn6[Valor Total])</f>
        <v>494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24</v>
      </c>
      <c r="C20" s="31">
        <f>SUM(C19:C19)</f>
        <v>494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6865</v>
      </c>
      <c r="F26" s="24" t="s">
        <v>67</v>
      </c>
      <c r="G26" s="25" t="s">
        <v>14</v>
      </c>
      <c r="H26" s="8">
        <v>0</v>
      </c>
      <c r="I26" s="8">
        <v>100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6599</v>
      </c>
      <c r="F35" s="24" t="s">
        <v>68</v>
      </c>
      <c r="G35" s="25" t="s">
        <v>14</v>
      </c>
      <c r="H35" s="8">
        <v>120</v>
      </c>
      <c r="I35" s="8" t="s">
        <v>69</v>
      </c>
      <c r="K35" s="101">
        <v>6865</v>
      </c>
      <c r="L35" s="40">
        <v>5</v>
      </c>
      <c r="M35" s="16">
        <v>494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1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x14ac:dyDescent="0.2">
      <c r="F42" s="92"/>
      <c r="G42" s="92"/>
      <c r="H42" s="91"/>
      <c r="I42" s="9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topLeftCell="A11" zoomScale="60" zoomScaleNormal="90" workbookViewId="0">
      <selection activeCell="H6" sqref="H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6.5703125" style="1" bestFit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5.7109375" style="3" bestFit="1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8">
        <f>'06'!B1+1</f>
        <v>45603</v>
      </c>
    </row>
    <row r="2" spans="2:21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  <c r="U4" s="1">
        <v>0</v>
      </c>
    </row>
    <row r="5" spans="2:21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21" ht="15.75" x14ac:dyDescent="0.25">
      <c r="B6" s="22" t="s">
        <v>5</v>
      </c>
      <c r="C6" s="23">
        <f>C16</f>
        <v>281.5</v>
      </c>
      <c r="D6" s="2"/>
      <c r="E6" s="93"/>
      <c r="F6" s="76"/>
      <c r="G6" s="76"/>
      <c r="H6" s="77"/>
      <c r="I6" s="77"/>
      <c r="J6" s="2"/>
      <c r="K6" s="24" t="s">
        <v>70</v>
      </c>
      <c r="L6" s="9" t="s">
        <v>14</v>
      </c>
      <c r="M6" s="16">
        <v>220</v>
      </c>
      <c r="R6" s="1">
        <f>IF(vend7[[#This Row],[Nº Venda]]&gt;1,1,0)</f>
        <v>0</v>
      </c>
    </row>
    <row r="7" spans="2:21" ht="15.75" x14ac:dyDescent="0.25">
      <c r="B7" s="22" t="s">
        <v>7</v>
      </c>
      <c r="C7" s="23">
        <f>SUM(M6:M11)</f>
        <v>220</v>
      </c>
      <c r="D7" s="2"/>
      <c r="E7" s="93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34</v>
      </c>
      <c r="C8" s="28">
        <f>SUM(C6)</f>
        <v>281.5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14</v>
      </c>
      <c r="C11" s="30">
        <f>(SUMIF($G$2:$G$31,B11,$I$2:$I$31))+(SUMIF($G$35:$G$41,B11,$H$35:$H$41))</f>
        <v>281.5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IF(vend7[[#This Row],[Nº Venda]]&gt;1,1,0)</f>
        <v>0</v>
      </c>
    </row>
    <row r="14" spans="2:21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IF(vend7[[#This Row],[Nº Venda]]&gt;1,1,0)</f>
        <v>0</v>
      </c>
    </row>
    <row r="15" spans="2:21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46"/>
      <c r="R15" s="1">
        <f>IF(vend7[[#This Row],[Nº Venda]]&gt;1,1,0)</f>
        <v>0</v>
      </c>
    </row>
    <row r="16" spans="2:21" ht="15.75" x14ac:dyDescent="0.25">
      <c r="B16" s="27" t="s">
        <v>24</v>
      </c>
      <c r="C16" s="31">
        <f>SUM(C11:C15)</f>
        <v>281.5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IF(vend7[[#This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55"/>
      <c r="G26" s="68"/>
      <c r="H26" s="69"/>
      <c r="I26" s="69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794</v>
      </c>
      <c r="F35" s="24" t="s">
        <v>71</v>
      </c>
      <c r="G35" s="25" t="s">
        <v>14</v>
      </c>
      <c r="H35" s="8">
        <v>87.5</v>
      </c>
      <c r="I35" s="8" t="s">
        <v>72</v>
      </c>
      <c r="K35" s="101"/>
      <c r="L35" s="40"/>
      <c r="M35" s="16"/>
    </row>
    <row r="36" spans="2:18" ht="15.75" x14ac:dyDescent="0.25">
      <c r="E36" s="97">
        <v>871</v>
      </c>
      <c r="F36" s="24" t="s">
        <v>73</v>
      </c>
      <c r="G36" s="25" t="s">
        <v>14</v>
      </c>
      <c r="H36" s="8">
        <v>134</v>
      </c>
      <c r="I36" s="8" t="s">
        <v>74</v>
      </c>
      <c r="K36" s="101"/>
      <c r="L36" s="40"/>
      <c r="M36" s="16"/>
    </row>
    <row r="37" spans="2:18" ht="15.75" x14ac:dyDescent="0.25">
      <c r="E37" s="93">
        <v>712</v>
      </c>
      <c r="F37" s="24" t="s">
        <v>75</v>
      </c>
      <c r="G37" s="25" t="s">
        <v>14</v>
      </c>
      <c r="H37" s="8">
        <v>60</v>
      </c>
      <c r="I37" s="8" t="s">
        <v>76</v>
      </c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A27" zoomScale="6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7" style="1" bestFit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'07'!B1+1</f>
        <v>45604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294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393</v>
      </c>
      <c r="D6" s="2"/>
      <c r="E6" s="93">
        <v>6942</v>
      </c>
      <c r="F6" s="8" t="s">
        <v>77</v>
      </c>
      <c r="G6" s="8" t="s">
        <v>18</v>
      </c>
      <c r="H6" s="8">
        <v>294</v>
      </c>
      <c r="I6" s="8">
        <v>294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34</v>
      </c>
      <c r="C8" s="28">
        <f>SUM(C6:C7)</f>
        <v>393</v>
      </c>
      <c r="D8" s="2"/>
      <c r="E8" s="93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3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14</v>
      </c>
      <c r="C11" s="75">
        <f>(SUMIF($G$2:$G$31,B11,$I$2:$I$31))+(SUMIF($G$35:$G$42,B11,$H$35:$H$42))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16</v>
      </c>
      <c r="C12" s="75">
        <f>(SUMIF($G$2:$G$31,B12,$I$2:$I$31))+(SUMIF($G$35:$G$42,B12,$H$35:$H$42))</f>
        <v>99</v>
      </c>
      <c r="D12" s="2"/>
      <c r="E12" s="93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18</v>
      </c>
      <c r="C13" s="75">
        <f>(SUMIF($G$2:$G$31,B13,$I$2:$I$31))+(SUMIF($G$35:$G$42,B13,$H$35:$H$42))</f>
        <v>294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IF(vend8[[#This Row],[Nº Venda]]&gt;1,1,0)</f>
        <v>0</v>
      </c>
    </row>
    <row r="14" spans="2:18" ht="15.75" x14ac:dyDescent="0.25">
      <c r="B14" s="29" t="s">
        <v>20</v>
      </c>
      <c r="C14" s="75">
        <f>(SUMIF($G$2:$G$31,B14,$I$2:$I$31))+(SUMIF($G$35:$G$42,B14,$H$35:$H$42))</f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IF(vend8[[#This Row],[Nº Venda]]&gt;1,1,0)</f>
        <v>0</v>
      </c>
    </row>
    <row r="15" spans="2:18" ht="15.75" x14ac:dyDescent="0.25">
      <c r="B15" s="29" t="s">
        <v>22</v>
      </c>
      <c r="C15" s="75">
        <f>(SUMIF($G$2:$G$31,B15,$I$2:$I$31))+(SUMIF($G$35:$G$42,B15,$H$35:$H$42))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24</v>
      </c>
      <c r="C16" s="31">
        <f>SUM(C11:C15)</f>
        <v>393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IF(vend8[[#This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294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79"/>
      <c r="G26" s="80"/>
      <c r="H26" s="81"/>
      <c r="I26" s="81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43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721</v>
      </c>
      <c r="F35" s="24" t="s">
        <v>78</v>
      </c>
      <c r="G35" s="25" t="s">
        <v>16</v>
      </c>
      <c r="H35" s="8">
        <v>99</v>
      </c>
      <c r="I35" s="8" t="s">
        <v>79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1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34"/>
      <c r="F42" s="72"/>
      <c r="G42" s="73"/>
      <c r="H42" s="74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topLeftCell="A14" zoomScale="60" zoomScaleNormal="9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7" style="1" bestFit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45605</v>
      </c>
    </row>
    <row r="2" spans="2:22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22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22" ht="15.75" x14ac:dyDescent="0.25">
      <c r="B6" s="22" t="s">
        <v>5</v>
      </c>
      <c r="C6" s="23">
        <f>C16</f>
        <v>258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34</v>
      </c>
      <c r="C8" s="28">
        <f>SUM(C6:C7)</f>
        <v>258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29" t="s">
        <v>16</v>
      </c>
      <c r="C12" s="30">
        <f t="shared" ref="C12:C15" si="0">(SUMIF($G$2:$G$31,B12,$I$2:$I$31))+(SUMIF($G$35:$G$41,B12,$H$35:$H$41))</f>
        <v>258</v>
      </c>
      <c r="D12" s="2"/>
      <c r="E12" s="93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IF(vend9[[#This Row],[Nº Venda]]&gt;1,1,0)</f>
        <v>0</v>
      </c>
    </row>
    <row r="14" spans="2:22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IF(vend9[[#This Row],[Nº Venda]]&gt;1,1,0)</f>
        <v>0</v>
      </c>
    </row>
    <row r="15" spans="2:22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775</v>
      </c>
      <c r="L15" s="9" t="s">
        <v>2</v>
      </c>
      <c r="M15" s="16" t="s">
        <v>66</v>
      </c>
      <c r="R15" s="1">
        <f>IF(vend9[[#This Row],[Nº Venda]]&gt;1,1,0)</f>
        <v>0</v>
      </c>
    </row>
    <row r="16" spans="2:22" ht="15.75" x14ac:dyDescent="0.25">
      <c r="B16" s="27" t="s">
        <v>24</v>
      </c>
      <c r="C16" s="31">
        <f>SUM(C11:C15)</f>
        <v>258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IF(vend9[[#This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1</v>
      </c>
      <c r="C19" s="30">
        <f>SUM(entr_carn9[Valor Total])</f>
        <v>489.99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24</v>
      </c>
      <c r="C20" s="31">
        <f>SUM(C19:C19)</f>
        <v>489.99</v>
      </c>
      <c r="D20" s="2"/>
      <c r="E20" s="93"/>
      <c r="F20" s="24"/>
      <c r="G20" s="25"/>
      <c r="H20" s="8"/>
      <c r="I20" s="8"/>
      <c r="J20" s="2"/>
      <c r="K20" s="101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775</v>
      </c>
      <c r="F26" s="24" t="s">
        <v>80</v>
      </c>
      <c r="G26" s="43" t="s">
        <v>16</v>
      </c>
      <c r="H26" s="8"/>
      <c r="I26" s="8">
        <v>100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781</v>
      </c>
      <c r="F35" s="24" t="s">
        <v>81</v>
      </c>
      <c r="G35" s="25" t="s">
        <v>16</v>
      </c>
      <c r="H35" s="8">
        <v>158</v>
      </c>
      <c r="I35" s="8" t="s">
        <v>82</v>
      </c>
      <c r="K35" s="101">
        <v>775</v>
      </c>
      <c r="L35" s="40">
        <v>10</v>
      </c>
      <c r="M35" s="16">
        <v>489.99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7" zoomScale="90" zoomScaleNormal="9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45606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SUMIF(I6:I32,"&gt;0",H6:H32)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14</v>
      </c>
      <c r="C11" s="30">
        <f>(SUMIF($G$2:$G$32,B11,$I$2:$I$32))+(SUMIF($G$36:$G$42,B11,$H$36:$H$42))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16</v>
      </c>
      <c r="C12" s="30">
        <f>(SUMIF($G$2:$G$32,B12,$I$2:$I$32))+(SUMIF($G$36:$G$42,B12,$H$36:$H$42))</f>
        <v>0</v>
      </c>
      <c r="D12" s="2"/>
      <c r="E12" s="93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18</v>
      </c>
      <c r="C13" s="30">
        <f>(SUMIF($G$2:$G$32,B13,$I$2:$I$32))+(SUMIF($G$36:$G$42,B13,$H$36:$H$42))</f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IF(vend10[[#This Row],[Nº Venda]]&gt;1,1,0)</f>
        <v>0</v>
      </c>
    </row>
    <row r="14" spans="2:18" ht="15.75" x14ac:dyDescent="0.25">
      <c r="B14" s="29" t="s">
        <v>20</v>
      </c>
      <c r="C14" s="30">
        <f>(SUMIF($G$2:$G$32,B14,$I$2:$I$32))+(SUMIF($G$36:$G$42,B14,$H$36:$H$42))</f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IF(vend10[[#This Row],[Nº Venda]]&gt;1,1,0)</f>
        <v>0</v>
      </c>
    </row>
    <row r="15" spans="2:18" ht="15.75" x14ac:dyDescent="0.25">
      <c r="B15" s="29" t="s">
        <v>22</v>
      </c>
      <c r="C15" s="30">
        <f>(SUMIF($G$2:$G$32,B15,$I$2:$I$32))+(SUMIF($G$36:$G$42,B15,$H$36:$H$42))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5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IF(vend10[[#This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6" t="s">
        <v>25</v>
      </c>
      <c r="L33" s="107"/>
      <c r="M33" s="108"/>
    </row>
    <row r="34" spans="2:18" ht="15" x14ac:dyDescent="0.25">
      <c r="E34" s="105" t="s">
        <v>50</v>
      </c>
      <c r="F34" s="105"/>
      <c r="G34" s="105"/>
      <c r="H34" s="105"/>
      <c r="I34" s="105"/>
      <c r="K34" s="14" t="s">
        <v>36</v>
      </c>
      <c r="L34" s="6" t="s">
        <v>48</v>
      </c>
      <c r="M34" s="15" t="s">
        <v>49</v>
      </c>
    </row>
    <row r="35" spans="2:18" ht="15" x14ac:dyDescent="0.25">
      <c r="E35" s="99" t="s">
        <v>36</v>
      </c>
      <c r="F35" s="10" t="s">
        <v>28</v>
      </c>
      <c r="G35" s="11" t="s">
        <v>29</v>
      </c>
      <c r="H35" s="12" t="s">
        <v>51</v>
      </c>
      <c r="I35" s="13" t="s">
        <v>52</v>
      </c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7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24"/>
      <c r="G39" s="25"/>
      <c r="H39" s="8"/>
      <c r="I39" s="8"/>
      <c r="K39" s="101"/>
      <c r="L39" s="40"/>
      <c r="M39" s="16"/>
    </row>
    <row r="40" spans="2:18" ht="15.75" x14ac:dyDescent="0.25">
      <c r="E40" s="93"/>
      <c r="F40" s="38"/>
      <c r="G40" s="25"/>
      <c r="H40" s="8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5"/>
      <c r="F41" s="35"/>
      <c r="G41" s="36"/>
      <c r="H41" s="17"/>
      <c r="I41" s="8"/>
      <c r="K41" s="101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3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'10'!B1+1</f>
        <v>45607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400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999</v>
      </c>
      <c r="D6" s="2"/>
      <c r="E6" s="93">
        <v>6943</v>
      </c>
      <c r="F6" s="24" t="s">
        <v>83</v>
      </c>
      <c r="G6" s="25" t="s">
        <v>18</v>
      </c>
      <c r="H6" s="8">
        <v>400</v>
      </c>
      <c r="I6" s="8">
        <v>400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34</v>
      </c>
      <c r="C8" s="28">
        <f>SUM(C6:C7)</f>
        <v>999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18</v>
      </c>
      <c r="C13" s="30">
        <f t="shared" si="0"/>
        <v>999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IF(vend11[[#This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24</v>
      </c>
      <c r="C16" s="31">
        <f>SUM(C11:C15)</f>
        <v>999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IF(vend11[[#This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400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826</v>
      </c>
      <c r="F26" s="24" t="s">
        <v>84</v>
      </c>
      <c r="G26" s="43" t="s">
        <v>18</v>
      </c>
      <c r="H26" s="8"/>
      <c r="I26" s="8">
        <v>599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6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45608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880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530</v>
      </c>
      <c r="D6" s="2"/>
      <c r="E6" s="93">
        <v>6944</v>
      </c>
      <c r="F6" s="47" t="s">
        <v>85</v>
      </c>
      <c r="G6" s="47" t="s">
        <v>18</v>
      </c>
      <c r="H6" s="48">
        <v>280</v>
      </c>
      <c r="I6" s="48">
        <v>280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>
        <v>6945</v>
      </c>
      <c r="F7" s="49" t="s">
        <v>86</v>
      </c>
      <c r="G7" s="49" t="s">
        <v>14</v>
      </c>
      <c r="H7" s="50">
        <v>600</v>
      </c>
      <c r="I7" s="50">
        <v>150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34</v>
      </c>
      <c r="C8" s="28">
        <f>SUM(C6:C7)</f>
        <v>530</v>
      </c>
      <c r="D8" s="2"/>
      <c r="E8" s="93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150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100</v>
      </c>
      <c r="D12" s="2"/>
      <c r="E12" s="93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18</v>
      </c>
      <c r="C13" s="30">
        <f t="shared" si="0"/>
        <v>280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IF(vend12[[#This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IF(vend12[[#This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6940</v>
      </c>
      <c r="L15" s="9" t="s">
        <v>21</v>
      </c>
      <c r="M15" s="16" t="s">
        <v>39</v>
      </c>
      <c r="R15" s="1">
        <f>IF(vend12[[#This Row],[Nº Venda]]&gt;1,1,0)</f>
        <v>0</v>
      </c>
    </row>
    <row r="16" spans="2:18" ht="15.75" x14ac:dyDescent="0.25">
      <c r="B16" s="27" t="s">
        <v>24</v>
      </c>
      <c r="C16" s="31">
        <f>SUM(C11:C15)</f>
        <v>530</v>
      </c>
      <c r="D16" s="2"/>
      <c r="E16" s="93"/>
      <c r="F16" s="24"/>
      <c r="G16" s="25"/>
      <c r="H16" s="8"/>
      <c r="I16" s="8"/>
      <c r="J16" s="2"/>
      <c r="K16" s="101">
        <v>6939</v>
      </c>
      <c r="L16" s="9" t="s">
        <v>21</v>
      </c>
      <c r="M16" s="16" t="s">
        <v>39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IF(vend12[[#This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880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51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821</v>
      </c>
      <c r="F35" s="24" t="s">
        <v>87</v>
      </c>
      <c r="G35" s="25" t="s">
        <v>16</v>
      </c>
      <c r="H35" s="8">
        <v>100</v>
      </c>
      <c r="I35" s="8" t="s">
        <v>88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45609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880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100</v>
      </c>
      <c r="D6" s="2"/>
      <c r="E6" s="93">
        <v>6946</v>
      </c>
      <c r="F6" s="24" t="s">
        <v>89</v>
      </c>
      <c r="G6" s="25" t="s">
        <v>16</v>
      </c>
      <c r="H6" s="8">
        <v>880</v>
      </c>
      <c r="I6" s="8">
        <v>100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34</v>
      </c>
      <c r="C8" s="28">
        <f>SUM(C6:C7)</f>
        <v>100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100</v>
      </c>
      <c r="D12" s="2"/>
      <c r="E12" s="93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IF(vend13[[#This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IF(vend13[[#This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6937</v>
      </c>
      <c r="L15" s="9" t="s">
        <v>21</v>
      </c>
      <c r="M15" s="16" t="s">
        <v>39</v>
      </c>
      <c r="R15" s="1">
        <f>IF(vend13[[#This Row],[Nº Venda]]&gt;1,1,0)</f>
        <v>0</v>
      </c>
    </row>
    <row r="16" spans="2:18" ht="15.75" x14ac:dyDescent="0.25">
      <c r="B16" s="27" t="s">
        <v>24</v>
      </c>
      <c r="C16" s="31">
        <f>SUM(C11:C15)</f>
        <v>100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IF(vend13[[#This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880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3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45610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IF(vend14[[#This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IF(vend14[[#This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C37" s="1">
        <v>0</v>
      </c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8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'14'!B1+1</f>
        <v>45611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IF(vend15[[#This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IF(vend15[[#This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64"/>
      <c r="R15" s="1">
        <f>IF(vend15[[#This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IF(vend15[[#This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64"/>
      <c r="R19" s="1">
        <f>IF(vend15[[#This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5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'15'!B1+1</f>
        <v>45612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100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34</v>
      </c>
      <c r="C8" s="28">
        <f>SUM(C6:C7)</f>
        <v>100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IF(vend16[[#This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IF(vend16[[#This Row],[Nº Venda]]&gt;1,1,0)</f>
        <v>0</v>
      </c>
    </row>
    <row r="15" spans="2:18" ht="15.75" x14ac:dyDescent="0.25">
      <c r="B15" s="29" t="s">
        <v>22</v>
      </c>
      <c r="C15" s="30">
        <f t="shared" si="0"/>
        <v>100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24</v>
      </c>
      <c r="C16" s="31">
        <f>SUM(C11:C15)</f>
        <v>100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64"/>
      <c r="R17" s="1">
        <f>IF(vend16[[#This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772</v>
      </c>
      <c r="F35" s="24" t="s">
        <v>90</v>
      </c>
      <c r="G35" s="25" t="s">
        <v>22</v>
      </c>
      <c r="H35" s="8">
        <v>100</v>
      </c>
      <c r="I35" s="8" t="s">
        <v>91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1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45613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IF(vend17[[#This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IF(vend17[[#This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IF(vend17[[#This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29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'17'!B1+1</f>
        <v>45614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145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250</v>
      </c>
      <c r="D6" s="2"/>
      <c r="E6" s="93">
        <v>6947</v>
      </c>
      <c r="F6" s="24" t="s">
        <v>92</v>
      </c>
      <c r="G6" s="25" t="s">
        <v>14</v>
      </c>
      <c r="H6" s="8">
        <v>100</v>
      </c>
      <c r="I6" s="8">
        <v>25</v>
      </c>
      <c r="J6" s="2"/>
      <c r="K6" s="24"/>
      <c r="L6" s="62"/>
      <c r="M6" s="16"/>
      <c r="R6" s="1">
        <f>IF(vend18[[#This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>
        <v>6948</v>
      </c>
      <c r="F7" s="24" t="s">
        <v>92</v>
      </c>
      <c r="G7" s="25" t="s">
        <v>14</v>
      </c>
      <c r="H7" s="8">
        <v>45</v>
      </c>
      <c r="I7" s="8">
        <v>25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34</v>
      </c>
      <c r="C8" s="28">
        <f>SUM(C6:C7)</f>
        <v>250</v>
      </c>
      <c r="D8" s="2"/>
      <c r="E8" s="93">
        <v>6949</v>
      </c>
      <c r="F8" s="24" t="s">
        <v>92</v>
      </c>
      <c r="G8" s="25" t="s">
        <v>93</v>
      </c>
      <c r="H8" s="8">
        <v>495</v>
      </c>
      <c r="I8" s="8">
        <v>0</v>
      </c>
      <c r="J8" s="2"/>
      <c r="K8" s="24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250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IF(vend18[[#This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IF(vend18[[#This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6912</v>
      </c>
      <c r="L15" s="9" t="s">
        <v>17</v>
      </c>
      <c r="M15" s="16" t="s">
        <v>66</v>
      </c>
      <c r="R15" s="1">
        <f>IF(vend18[[#This Row],[Nº Venda]]&gt;1,1,0)</f>
        <v>0</v>
      </c>
    </row>
    <row r="16" spans="2:18" ht="15.75" x14ac:dyDescent="0.25">
      <c r="B16" s="27" t="s">
        <v>24</v>
      </c>
      <c r="C16" s="31">
        <f>SUM(C11:C15)</f>
        <v>250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IF(vend18[[#This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1</v>
      </c>
      <c r="C19" s="30">
        <f>SUM(entr_carn18[Valor Total])</f>
        <v>290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24</v>
      </c>
      <c r="C20" s="31">
        <f>SUM(C19:C19)</f>
        <v>290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145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60"/>
      <c r="F23" s="60"/>
      <c r="G23" s="60"/>
      <c r="H23" s="61"/>
      <c r="I23" s="61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6912</v>
      </c>
      <c r="F26" s="24" t="s">
        <v>94</v>
      </c>
      <c r="G26" s="25" t="s">
        <v>14</v>
      </c>
      <c r="H26" s="8">
        <v>0</v>
      </c>
      <c r="I26" s="8">
        <v>200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>
        <v>6912</v>
      </c>
      <c r="L35" s="40">
        <v>5</v>
      </c>
      <c r="M35" s="16">
        <v>290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5" zoomScale="90" zoomScaleNormal="90" zoomScaleSheetLayoutView="7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'18'!B1+1</f>
        <v>45615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495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613</v>
      </c>
      <c r="D6" s="2"/>
      <c r="E6" s="93"/>
      <c r="F6" s="24"/>
      <c r="G6" s="25"/>
      <c r="H6" s="8"/>
      <c r="I6" s="8"/>
      <c r="J6" s="2"/>
      <c r="K6" s="24" t="s">
        <v>65</v>
      </c>
      <c r="L6" s="9" t="s">
        <v>22</v>
      </c>
      <c r="M6" s="16">
        <v>13</v>
      </c>
      <c r="R6" s="1">
        <f>IF(vend19[[#This Row],[Nº Venda]]&gt;1,1,0)</f>
        <v>0</v>
      </c>
    </row>
    <row r="7" spans="2:18" ht="15.75" x14ac:dyDescent="0.25">
      <c r="B7" s="22" t="s">
        <v>7</v>
      </c>
      <c r="C7" s="23">
        <f>SUM(M6:M11)</f>
        <v>13</v>
      </c>
      <c r="D7" s="2"/>
      <c r="E7" s="93"/>
      <c r="F7" s="24"/>
      <c r="G7" s="25"/>
      <c r="H7" s="63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34</v>
      </c>
      <c r="C8" s="28">
        <f>SUM(C6:C7)</f>
        <v>626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3"/>
      <c r="F9" s="56"/>
      <c r="G9" s="85"/>
      <c r="H9" s="67"/>
      <c r="I9" s="67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495</v>
      </c>
      <c r="D12" s="2"/>
      <c r="E12" s="93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IF(vend19[[#This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IF(vend19[[#This Row],[Nº Venda]]&gt;1,1,0)</f>
        <v>0</v>
      </c>
    </row>
    <row r="15" spans="2:18" ht="15.75" x14ac:dyDescent="0.25">
      <c r="B15" s="29" t="s">
        <v>22</v>
      </c>
      <c r="C15" s="30">
        <f t="shared" si="0"/>
        <v>118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24</v>
      </c>
      <c r="C16" s="31">
        <f>SUM(C11:C15)</f>
        <v>613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IF(vend19[[#This Row],[Nº Venda]]&gt;1,1,0)</f>
        <v>0</v>
      </c>
    </row>
    <row r="18" spans="2:22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IF(vend19[[#This Row],[Nº Venda]]&gt;1,1,0)</f>
        <v>0</v>
      </c>
      <c r="V20" s="1" t="s">
        <v>95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22" ht="15.75" x14ac:dyDescent="0.25">
      <c r="B22" s="27" t="s">
        <v>40</v>
      </c>
      <c r="C22" s="31">
        <f>C5</f>
        <v>495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>
        <v>6949</v>
      </c>
      <c r="F26" s="38" t="s">
        <v>96</v>
      </c>
      <c r="G26" s="25" t="s">
        <v>16</v>
      </c>
      <c r="H26" s="8">
        <v>495</v>
      </c>
      <c r="I26" s="8">
        <v>495</v>
      </c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86"/>
      <c r="H29" s="25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811</v>
      </c>
      <c r="F35" s="24" t="s">
        <v>97</v>
      </c>
      <c r="G35" s="25" t="s">
        <v>22</v>
      </c>
      <c r="H35" s="8">
        <v>118</v>
      </c>
      <c r="I35" s="8" t="s">
        <v>98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33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'19'!B1+1</f>
        <v>45616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IF(vend20[[#This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IF(vend20[[#This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6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IF(vend20[[#This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64"/>
    </row>
    <row r="36" spans="2:18" ht="15.75" x14ac:dyDescent="0.25">
      <c r="E36" s="97"/>
      <c r="F36" s="24"/>
      <c r="G36" s="25"/>
      <c r="H36" s="8"/>
      <c r="I36" s="8"/>
      <c r="K36" s="101"/>
      <c r="L36" s="65"/>
      <c r="M36" s="64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4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45617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IF(vend21[[#This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IF(vend21[[#This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8" zoomScale="90" zoomScaleNormal="90" workbookViewId="0">
      <selection activeCell="H9" sqref="H9:H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45618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1850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1471</v>
      </c>
      <c r="D6" s="2"/>
      <c r="E6" s="93">
        <v>6950</v>
      </c>
      <c r="F6" s="24" t="s">
        <v>99</v>
      </c>
      <c r="G6" s="25" t="s">
        <v>22</v>
      </c>
      <c r="H6" s="8">
        <v>640</v>
      </c>
      <c r="I6" s="8">
        <v>50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>
        <v>6951</v>
      </c>
      <c r="F7" s="24" t="s">
        <v>100</v>
      </c>
      <c r="G7" s="25" t="s">
        <v>22</v>
      </c>
      <c r="H7" s="8">
        <v>680</v>
      </c>
      <c r="I7" s="8">
        <v>100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34</v>
      </c>
      <c r="C8" s="28">
        <f>SUM(C6:C7)</f>
        <v>1471</v>
      </c>
      <c r="D8" s="2"/>
      <c r="E8" s="93">
        <v>6952</v>
      </c>
      <c r="F8" s="24" t="s">
        <v>100</v>
      </c>
      <c r="G8" s="25" t="s">
        <v>22</v>
      </c>
      <c r="H8" s="8">
        <v>530</v>
      </c>
      <c r="I8" s="8">
        <v>100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IF(vend22[[#This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IF(vend22[[#This Row],[Nº Venda]]&gt;1,1,0)</f>
        <v>0</v>
      </c>
    </row>
    <row r="15" spans="2:18" ht="15.75" x14ac:dyDescent="0.25">
      <c r="B15" s="29" t="s">
        <v>22</v>
      </c>
      <c r="C15" s="30">
        <f t="shared" si="0"/>
        <v>1471</v>
      </c>
      <c r="D15" s="2"/>
      <c r="E15" s="93"/>
      <c r="F15" s="24"/>
      <c r="G15" s="25"/>
      <c r="H15" s="8"/>
      <c r="I15" s="8"/>
      <c r="J15" s="2"/>
      <c r="K15" s="101">
        <v>6929</v>
      </c>
      <c r="L15" s="9" t="s">
        <v>21</v>
      </c>
      <c r="M15" s="16" t="s">
        <v>39</v>
      </c>
      <c r="R15" s="1">
        <f>IF(vend22[[#This Row],[Nº Venda]]&gt;1,1,0)</f>
        <v>0</v>
      </c>
    </row>
    <row r="16" spans="2:18" ht="15.75" x14ac:dyDescent="0.25">
      <c r="B16" s="27" t="s">
        <v>24</v>
      </c>
      <c r="C16" s="31">
        <f>SUM(C11:C15)</f>
        <v>1471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IF(vend22[[#This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1850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6929</v>
      </c>
      <c r="F26" s="24" t="s">
        <v>101</v>
      </c>
      <c r="G26" s="25" t="s">
        <v>22</v>
      </c>
      <c r="H26" s="8">
        <v>0</v>
      </c>
      <c r="I26" s="8">
        <v>819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798</v>
      </c>
      <c r="F35" s="24" t="s">
        <v>102</v>
      </c>
      <c r="G35" s="25" t="s">
        <v>22</v>
      </c>
      <c r="H35" s="8">
        <v>95</v>
      </c>
      <c r="I35" s="8" t="s">
        <v>103</v>
      </c>
      <c r="K35" s="101"/>
      <c r="L35" s="40"/>
      <c r="M35" s="16"/>
    </row>
    <row r="36" spans="2:18" ht="15.75" x14ac:dyDescent="0.25">
      <c r="E36" s="97">
        <v>810</v>
      </c>
      <c r="F36" s="24" t="s">
        <v>104</v>
      </c>
      <c r="G36" s="25" t="s">
        <v>22</v>
      </c>
      <c r="H36" s="8">
        <v>140</v>
      </c>
      <c r="I36" s="8" t="s">
        <v>88</v>
      </c>
      <c r="K36" s="101"/>
      <c r="L36" s="40"/>
      <c r="M36" s="16"/>
    </row>
    <row r="37" spans="2:18" ht="15.75" x14ac:dyDescent="0.25">
      <c r="E37" s="93">
        <v>798</v>
      </c>
      <c r="F37" s="24" t="s">
        <v>105</v>
      </c>
      <c r="G37" s="25" t="s">
        <v>22</v>
      </c>
      <c r="H37" s="8">
        <v>167</v>
      </c>
      <c r="I37" s="8" t="s">
        <v>88</v>
      </c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30" zoomScale="90" zoomScaleNormal="9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45619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14</v>
      </c>
      <c r="C11" s="75">
        <f>(SUMIF($G$2:$G$31,B11,$I$2:$I$31))+(SUMIF($G$35:$G$44,B11,$H$35:$H$44))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16</v>
      </c>
      <c r="C12" s="75">
        <f>(SUMIF($G$2:$G$31,B12,$I$2:$I$31))+(SUMIF($G$35:$G$44,B12,$H$35:$H$44))</f>
        <v>0</v>
      </c>
      <c r="D12" s="2"/>
      <c r="E12" s="93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18</v>
      </c>
      <c r="C13" s="75">
        <f>(SUMIF($G$2:$G$31,B13,$I$2:$I$31))+(SUMIF($G$35:$G$44,B13,$H$35:$H$44))</f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IF(vend23[[#This Row],[Nº Venda]]&gt;1,1,0)</f>
        <v>0</v>
      </c>
    </row>
    <row r="14" spans="2:18" ht="15.75" x14ac:dyDescent="0.25">
      <c r="B14" s="29" t="s">
        <v>20</v>
      </c>
      <c r="C14" s="75">
        <f>(SUMIF($G$2:$G$31,B14,$I$2:$I$31))+(SUMIF($G$35:$G$44,B14,$H$35:$H$44))</f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IF(vend23[[#This Row],[Nº Venda]]&gt;1,1,0)</f>
        <v>0</v>
      </c>
    </row>
    <row r="15" spans="2:18" ht="15.75" x14ac:dyDescent="0.25">
      <c r="B15" s="29" t="s">
        <v>22</v>
      </c>
      <c r="C15" s="75">
        <f>(SUMIF($G$2:$G$31,B15,$I$2:$I$31))+(SUMIF($G$35:$G$44,B15,$H$35:$H$44))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IF(vend23[[#This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89"/>
      <c r="F42" s="72"/>
      <c r="G42" s="73"/>
      <c r="H42" s="74"/>
      <c r="I42" s="17"/>
    </row>
    <row r="43" spans="2:18" ht="15.75" x14ac:dyDescent="0.25">
      <c r="E43" s="89"/>
      <c r="F43" s="87"/>
      <c r="G43" s="86"/>
      <c r="H43" s="88"/>
      <c r="I43" s="8"/>
    </row>
    <row r="44" spans="2:18" ht="15.75" x14ac:dyDescent="0.25">
      <c r="E44" s="90"/>
      <c r="F44" s="72"/>
      <c r="G44" s="73"/>
      <c r="H44" s="74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3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45620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IF(vend24[[#This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IF(vend24[[#This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IF(vend24[[#This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Q41"/>
  <sheetViews>
    <sheetView showGridLines="0" topLeftCell="A38" zoomScale="90" zoomScaleNormal="90" workbookViewId="0">
      <selection activeCell="E13" sqref="E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7" width="2.42578125" style="1" hidden="1" customWidth="1"/>
    <col min="18" max="19" width="0" style="1" hidden="1" customWidth="1"/>
    <col min="20" max="16384" width="9.140625" style="1"/>
  </cols>
  <sheetData>
    <row r="1" spans="2:17" ht="27" x14ac:dyDescent="0.5">
      <c r="B1" s="52">
        <f>'24'!B1+1</f>
        <v>45621</v>
      </c>
    </row>
    <row r="2" spans="2:17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7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7" ht="15.75" x14ac:dyDescent="0.25">
      <c r="B6" s="22" t="s">
        <v>5</v>
      </c>
      <c r="C6" s="23">
        <f ca="1">C16</f>
        <v>400</v>
      </c>
      <c r="D6" s="2"/>
      <c r="E6" s="93"/>
      <c r="F6" s="24"/>
      <c r="G6" s="25"/>
      <c r="H6" s="8"/>
      <c r="I6" s="8"/>
      <c r="J6" s="2"/>
      <c r="K6" s="24"/>
      <c r="L6" s="9"/>
      <c r="M6" s="16"/>
      <c r="Q6" s="1">
        <f>IF(vend25[[#This Row],[Nº Venda]]&gt;1,1,0)</f>
        <v>0</v>
      </c>
    </row>
    <row r="7" spans="2:17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Q7" s="1">
        <f>IF(vend25[[#This Row],[Nº Venda]]&gt;1,1,0)</f>
        <v>0</v>
      </c>
    </row>
    <row r="8" spans="2:17" ht="15.75" x14ac:dyDescent="0.25">
      <c r="B8" s="27" t="s">
        <v>34</v>
      </c>
      <c r="C8" s="28">
        <f ca="1">SUM(C6:C7)</f>
        <v>400</v>
      </c>
      <c r="D8" s="2"/>
      <c r="E8" s="93"/>
      <c r="F8" s="24"/>
      <c r="G8" s="25"/>
      <c r="H8" s="8"/>
      <c r="I8" s="8"/>
      <c r="J8" s="2"/>
      <c r="K8" s="24"/>
      <c r="L8" s="9"/>
      <c r="M8" s="16"/>
      <c r="Q8" s="1">
        <f>IF(vend25[[#This Row],[Nº Venda]]&gt;1,1,0)</f>
        <v>0</v>
      </c>
    </row>
    <row r="9" spans="2:17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Q9" s="1">
        <f>IF(vend25[[#This Row],[Nº Venda]]&gt;1,1,0)</f>
        <v>0</v>
      </c>
    </row>
    <row r="10" spans="2:17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N10" s="1" t="s">
        <v>95</v>
      </c>
      <c r="Q10" s="1">
        <f>IF(vend25[[#This Row],[Nº Venda]]&gt;1,1,0)</f>
        <v>0</v>
      </c>
    </row>
    <row r="11" spans="2:17" ht="15.75" x14ac:dyDescent="0.25">
      <c r="B11" s="29" t="s">
        <v>14</v>
      </c>
      <c r="C11" s="30">
        <f ca="1">(SUMIF($G$2:$G$31,B11,$I$2:$I$31))+(SUMIF($G$35:$G$41,B11,$H$36:$H$41))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N11" s="1">
        <f ca="1">IF(C16=0,0,1)</f>
        <v>1</v>
      </c>
      <c r="Q11" s="1">
        <f>IF(vend25[[#This Row],[Nº Venda]]&gt;1,1,0)</f>
        <v>0</v>
      </c>
    </row>
    <row r="12" spans="2:17" ht="15.75" x14ac:dyDescent="0.25">
      <c r="B12" s="29" t="s">
        <v>16</v>
      </c>
      <c r="C12" s="30">
        <f ca="1">(SUMIF($G$2:$G$31,B12,$I$2:$I$31))+(SUMIF($G$35:$G$41,B12,$H$36:$H$41))</f>
        <v>0</v>
      </c>
      <c r="D12" s="2"/>
      <c r="E12" s="93"/>
      <c r="F12" s="24"/>
      <c r="G12" s="25"/>
      <c r="H12" s="8"/>
      <c r="I12" s="8"/>
      <c r="J12" s="2"/>
      <c r="Q12" s="1">
        <f>IF(vend25[[#This Row],[Nº Venda]]&gt;1,1,0)</f>
        <v>0</v>
      </c>
    </row>
    <row r="13" spans="2:17" ht="15.75" x14ac:dyDescent="0.25">
      <c r="B13" s="29" t="s">
        <v>18</v>
      </c>
      <c r="C13" s="30">
        <f ca="1">(SUMIF($G$2:$G$31,B13,$I$2:$I$31))+(SUMIF($G$35:$G$41,B13,$H$36:$H$41))</f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Q13" s="1">
        <f>IF(vend25[[#This Row],[Nº Venda]]&gt;1,1,0)</f>
        <v>0</v>
      </c>
    </row>
    <row r="14" spans="2:17" ht="15.75" x14ac:dyDescent="0.25">
      <c r="B14" s="29" t="s">
        <v>20</v>
      </c>
      <c r="C14" s="30">
        <f ca="1">(SUMIF($G$2:$G$31,B14,$I$2:$I$31))+(SUMIF($G$35:$G$41,B14,$H$36:$H$41))</f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Q14" s="1">
        <f>IF(vend25[[#This Row],[Nº Venda]]&gt;1,1,0)</f>
        <v>0</v>
      </c>
    </row>
    <row r="15" spans="2:17" ht="15.75" x14ac:dyDescent="0.25">
      <c r="B15" s="29" t="s">
        <v>22</v>
      </c>
      <c r="C15" s="30">
        <f ca="1">(SUMIF($G$2:$G$31,B15,$I$2:$I$31))+(SUMIF($G$35:$G$41,B15,$H$36:$H$41))</f>
        <v>400</v>
      </c>
      <c r="D15" s="2"/>
      <c r="E15" s="93"/>
      <c r="F15" s="24"/>
      <c r="G15" s="25"/>
      <c r="H15" s="8"/>
      <c r="I15" s="8"/>
      <c r="J15" s="2"/>
      <c r="K15" s="101">
        <v>6947</v>
      </c>
      <c r="L15" s="9" t="s">
        <v>21</v>
      </c>
      <c r="M15" s="16" t="s">
        <v>39</v>
      </c>
      <c r="Q15" s="1">
        <f>IF(vend25[[#This Row],[Nº Venda]]&gt;1,1,0)</f>
        <v>0</v>
      </c>
    </row>
    <row r="16" spans="2:17" ht="15.75" x14ac:dyDescent="0.25">
      <c r="B16" s="27" t="s">
        <v>24</v>
      </c>
      <c r="C16" s="31">
        <f ca="1">SUM(C11:C15)</f>
        <v>400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Q16" s="1">
        <f>IF(vend25[[#This Row],[Nº Venda]]&gt;1,1,0)</f>
        <v>0</v>
      </c>
    </row>
    <row r="17" spans="2:17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Q17" s="1">
        <f>IF(vend25[[#This Row],[Nº Venda]]&gt;1,1,0)</f>
        <v>0</v>
      </c>
    </row>
    <row r="18" spans="2:17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Q18" s="1">
        <f>IF(vend25[[#This Row],[Nº Venda]]&gt;1,1,0)</f>
        <v>0</v>
      </c>
    </row>
    <row r="19" spans="2:17" ht="15.75" x14ac:dyDescent="0.25">
      <c r="B19" s="29">
        <f>COUNT(entr_carn25[OS])</f>
        <v>1</v>
      </c>
      <c r="C19" s="30">
        <f>SUM(entr_carn25[Valor Total])</f>
        <v>200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Q19" s="1">
        <f>IF(vend25[[#This Row],[Nº Venda]]&gt;1,1,0)</f>
        <v>0</v>
      </c>
    </row>
    <row r="20" spans="2:17" ht="15.75" x14ac:dyDescent="0.25">
      <c r="B20" s="27" t="s">
        <v>24</v>
      </c>
      <c r="C20" s="31">
        <f>SUM(C19:C19)</f>
        <v>200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Q20" s="1">
        <f>IF(vend25[[#This Row],[Nº Venda]]&gt;1,1,0)</f>
        <v>0</v>
      </c>
    </row>
    <row r="21" spans="2:17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7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7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7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7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7" ht="15.75" x14ac:dyDescent="0.25">
      <c r="B26" s="2"/>
      <c r="C26" s="2"/>
      <c r="D26" s="2"/>
      <c r="E26" s="93">
        <v>6747</v>
      </c>
      <c r="F26" s="24" t="s">
        <v>106</v>
      </c>
      <c r="G26" s="25" t="s">
        <v>22</v>
      </c>
      <c r="H26" s="8">
        <v>0</v>
      </c>
      <c r="I26" s="8">
        <v>400</v>
      </c>
      <c r="J26" s="2"/>
      <c r="K26" s="101"/>
      <c r="L26" s="9"/>
      <c r="M26" s="16"/>
    </row>
    <row r="27" spans="2:17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7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7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7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7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7" ht="15" x14ac:dyDescent="0.25">
      <c r="B32" s="2"/>
      <c r="C32" s="2"/>
      <c r="E32" s="32"/>
    </row>
    <row r="33" spans="2:17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7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7" ht="15.75" x14ac:dyDescent="0.25">
      <c r="E35" s="93"/>
      <c r="F35" s="24"/>
      <c r="G35" s="25"/>
      <c r="H35" s="69"/>
      <c r="I35" s="8"/>
      <c r="K35" s="101">
        <v>6747</v>
      </c>
      <c r="L35" s="40">
        <v>2</v>
      </c>
      <c r="M35" s="16">
        <v>200</v>
      </c>
    </row>
    <row r="36" spans="2:17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7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7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7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7" ht="15.75" x14ac:dyDescent="0.25">
      <c r="E40" s="95"/>
      <c r="F40" s="35"/>
      <c r="G40" s="36"/>
      <c r="H40" s="17"/>
      <c r="I40" s="8"/>
      <c r="K40" s="102"/>
      <c r="L40" s="41"/>
      <c r="M40" s="39"/>
      <c r="P40" s="1" t="s">
        <v>53</v>
      </c>
      <c r="Q40" s="1">
        <f>SUM(Q6:Q21)</f>
        <v>0</v>
      </c>
    </row>
    <row r="41" spans="2:17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9" zoomScale="90" zoomScaleNormal="9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45622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900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50</v>
      </c>
      <c r="D6" s="2"/>
      <c r="E6" s="93">
        <v>6953</v>
      </c>
      <c r="F6" s="24" t="s">
        <v>107</v>
      </c>
      <c r="G6" s="25" t="s">
        <v>14</v>
      </c>
      <c r="H6" s="8">
        <v>900</v>
      </c>
      <c r="I6" s="8">
        <v>50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34</v>
      </c>
      <c r="C8" s="28">
        <f>SUM(C6:C7)</f>
        <v>50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50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IF(vend26[[#This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IF(vend26[[#This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6924</v>
      </c>
      <c r="L15" s="9" t="s">
        <v>21</v>
      </c>
      <c r="M15" s="16" t="s">
        <v>39</v>
      </c>
      <c r="R15" s="1">
        <f>IF(vend26[[#This Row],[Nº Venda]]&gt;1,1,0)</f>
        <v>0</v>
      </c>
    </row>
    <row r="16" spans="2:18" ht="15.75" x14ac:dyDescent="0.25">
      <c r="B16" s="27" t="s">
        <v>24</v>
      </c>
      <c r="C16" s="31">
        <f>SUM(C11:C15)</f>
        <v>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IF(vend26[[#This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900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40" zoomScale="90" zoomScaleNormal="9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45623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IF(vend27[[#This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IF(vend27[[#This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IF(vend27[[#This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8" zoomScale="90" zoomScaleNormal="9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45624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570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570</v>
      </c>
      <c r="D6" s="2"/>
      <c r="E6" s="93">
        <v>6954</v>
      </c>
      <c r="F6" s="24" t="s">
        <v>108</v>
      </c>
      <c r="G6" s="25" t="s">
        <v>18</v>
      </c>
      <c r="H6" s="8">
        <v>570</v>
      </c>
      <c r="I6" s="8">
        <v>570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34</v>
      </c>
      <c r="C8" s="28">
        <f>SUM(C6:C7)</f>
        <v>570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18</v>
      </c>
      <c r="C13" s="30">
        <f t="shared" si="0"/>
        <v>570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IF(vend28[[#This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IF(vend28[[#This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24</v>
      </c>
      <c r="C16" s="31">
        <f>SUM(C11:C15)</f>
        <v>570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IF(vend28[[#This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570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5" zoomScale="90" zoomScaleNormal="90" workbookViewId="0">
      <selection activeCell="B27" sqref="B2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45625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100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34</v>
      </c>
      <c r="C8" s="28">
        <f>SUM(C6:C7)</f>
        <v>100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IF(vend29[[#This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IF(vend29[[#This Row],[Nº Venda]]&gt;1,1,0)</f>
        <v>0</v>
      </c>
    </row>
    <row r="15" spans="2:18" ht="15.75" x14ac:dyDescent="0.25">
      <c r="B15" s="29" t="s">
        <v>22</v>
      </c>
      <c r="C15" s="30">
        <f t="shared" si="0"/>
        <v>100</v>
      </c>
      <c r="D15" s="2"/>
      <c r="E15" s="93"/>
      <c r="F15" s="24"/>
      <c r="G15" s="25"/>
      <c r="H15" s="8"/>
      <c r="I15" s="8"/>
      <c r="J15" s="2"/>
      <c r="K15" s="101">
        <v>6944</v>
      </c>
      <c r="L15" s="9" t="s">
        <v>21</v>
      </c>
      <c r="M15" s="16" t="s">
        <v>39</v>
      </c>
      <c r="R15" s="1">
        <f>IF(vend29[[#This Row],[Nº Venda]]&gt;1,1,0)</f>
        <v>0</v>
      </c>
    </row>
    <row r="16" spans="2:18" ht="15.75" x14ac:dyDescent="0.25">
      <c r="B16" s="27" t="s">
        <v>24</v>
      </c>
      <c r="C16" s="31">
        <f>SUM(C11:C15)</f>
        <v>100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IF(vend29[[#This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6911</v>
      </c>
      <c r="F35" s="24" t="s">
        <v>109</v>
      </c>
      <c r="G35" s="25" t="s">
        <v>22</v>
      </c>
      <c r="H35" s="8">
        <v>100</v>
      </c>
      <c r="I35" s="8" t="s">
        <v>110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 K17:K31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topLeftCell="A16" zoomScale="60" zoomScaleNormal="90" workbookViewId="0">
      <selection activeCell="H22" sqref="H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45626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220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34</v>
      </c>
      <c r="C8" s="28">
        <f>SUM(C6:C7)</f>
        <v>220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220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IF(vend30[[#This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IF(vend30[[#This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24</v>
      </c>
      <c r="C16" s="31">
        <f>SUM(C11:C15)</f>
        <v>220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IF(vend30[[#This Row],[Nº Venda]]&gt;1,1,0)</f>
        <v>0</v>
      </c>
    </row>
    <row r="18" spans="2:22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  <c r="V21" s="1" t="s">
        <v>111</v>
      </c>
    </row>
    <row r="22" spans="2:22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>
        <v>6599</v>
      </c>
      <c r="F35" s="24" t="s">
        <v>68</v>
      </c>
      <c r="G35" s="25" t="s">
        <v>14</v>
      </c>
      <c r="H35" s="8">
        <v>120</v>
      </c>
      <c r="I35" s="8" t="s">
        <v>112</v>
      </c>
      <c r="K35" s="101"/>
      <c r="L35" s="40"/>
      <c r="M35" s="16"/>
    </row>
    <row r="36" spans="2:18" ht="15.75" x14ac:dyDescent="0.25">
      <c r="E36" s="97">
        <v>6865</v>
      </c>
      <c r="F36" s="24" t="s">
        <v>113</v>
      </c>
      <c r="G36" s="25" t="s">
        <v>14</v>
      </c>
      <c r="H36" s="8">
        <v>100</v>
      </c>
      <c r="I36" s="8" t="s">
        <v>79</v>
      </c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45627</v>
      </c>
    </row>
    <row r="2" spans="2:18" ht="18.75" x14ac:dyDescent="0.2">
      <c r="B2" s="109" t="s">
        <v>54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1</v>
      </c>
      <c r="C4" s="19">
        <v>0</v>
      </c>
      <c r="D4" s="20"/>
      <c r="E4" s="112" t="s">
        <v>3</v>
      </c>
      <c r="F4" s="112"/>
      <c r="G4" s="112"/>
      <c r="H4" s="112"/>
      <c r="I4" s="112"/>
      <c r="J4" s="21"/>
      <c r="K4" s="106" t="s">
        <v>7</v>
      </c>
      <c r="L4" s="107"/>
      <c r="M4" s="108"/>
    </row>
    <row r="5" spans="2:18" ht="15" x14ac:dyDescent="0.25">
      <c r="B5" s="22" t="s">
        <v>3</v>
      </c>
      <c r="C5" s="23">
        <f>SUMIF(I6:I31,"&gt;0",H6:H31)</f>
        <v>0</v>
      </c>
      <c r="D5" s="2"/>
      <c r="E5" s="10" t="s">
        <v>27</v>
      </c>
      <c r="F5" s="10" t="s">
        <v>28</v>
      </c>
      <c r="G5" s="11" t="s">
        <v>29</v>
      </c>
      <c r="H5" s="12" t="s">
        <v>30</v>
      </c>
      <c r="I5" s="13" t="s">
        <v>5</v>
      </c>
      <c r="J5" s="2"/>
      <c r="K5" s="14" t="s">
        <v>31</v>
      </c>
      <c r="L5" s="6" t="s">
        <v>32</v>
      </c>
      <c r="M5" s="15" t="s">
        <v>33</v>
      </c>
    </row>
    <row r="6" spans="2:18" ht="15.75" x14ac:dyDescent="0.25">
      <c r="B6" s="22" t="s">
        <v>5</v>
      </c>
      <c r="C6" s="23">
        <f>C16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7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34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4" t="s">
        <v>12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14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16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18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6" t="s">
        <v>35</v>
      </c>
      <c r="L13" s="107"/>
      <c r="M13" s="108"/>
      <c r="R13" s="1">
        <f>IF(vend31[[#This Row],[Nº Venda]]&gt;1,1,0)</f>
        <v>0</v>
      </c>
    </row>
    <row r="14" spans="2:18" ht="15.75" x14ac:dyDescent="0.25">
      <c r="B14" s="29" t="s">
        <v>20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36</v>
      </c>
      <c r="L14" s="6" t="s">
        <v>37</v>
      </c>
      <c r="M14" s="15" t="s">
        <v>38</v>
      </c>
      <c r="R14" s="1">
        <f>IF(vend31[[#This Row],[Nº Venda]]&gt;1,1,0)</f>
        <v>0</v>
      </c>
    </row>
    <row r="15" spans="2:18" ht="15.75" x14ac:dyDescent="0.25">
      <c r="B15" s="29" t="s">
        <v>22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24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IF(vend31[[#This Row],[Nº Venda]]&gt;1,1,0)</f>
        <v>0</v>
      </c>
    </row>
    <row r="18" spans="2:18" ht="15.75" x14ac:dyDescent="0.25">
      <c r="B18" s="104" t="s">
        <v>25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24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40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41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27</v>
      </c>
      <c r="F25" s="10" t="s">
        <v>28</v>
      </c>
      <c r="G25" s="11" t="s">
        <v>29</v>
      </c>
      <c r="H25" s="12" t="s">
        <v>30</v>
      </c>
      <c r="I25" s="13" t="s">
        <v>5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50</v>
      </c>
      <c r="F33" s="105"/>
      <c r="G33" s="105"/>
      <c r="H33" s="105"/>
      <c r="I33" s="105"/>
      <c r="K33" s="106" t="s">
        <v>25</v>
      </c>
      <c r="L33" s="107"/>
      <c r="M33" s="108"/>
    </row>
    <row r="34" spans="2:18" ht="15" x14ac:dyDescent="0.25">
      <c r="E34" s="10" t="s">
        <v>36</v>
      </c>
      <c r="F34" s="10" t="s">
        <v>28</v>
      </c>
      <c r="G34" s="11" t="s">
        <v>29</v>
      </c>
      <c r="H34" s="12" t="s">
        <v>51</v>
      </c>
      <c r="I34" s="13" t="s">
        <v>52</v>
      </c>
      <c r="K34" s="14" t="s">
        <v>36</v>
      </c>
      <c r="L34" s="6" t="s">
        <v>48</v>
      </c>
      <c r="M34" s="15" t="s">
        <v>49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53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114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115</v>
      </c>
      <c r="B1" s="37" t="s">
        <v>116</v>
      </c>
      <c r="E1" s="37" t="s">
        <v>117</v>
      </c>
    </row>
    <row r="2" spans="1:5" x14ac:dyDescent="0.2">
      <c r="A2" s="37" t="s">
        <v>14</v>
      </c>
      <c r="B2" s="37" t="s">
        <v>118</v>
      </c>
      <c r="E2" t="s">
        <v>119</v>
      </c>
    </row>
    <row r="3" spans="1:5" x14ac:dyDescent="0.2">
      <c r="A3" s="37" t="s">
        <v>16</v>
      </c>
      <c r="B3" s="37" t="s">
        <v>120</v>
      </c>
      <c r="E3" t="s">
        <v>121</v>
      </c>
    </row>
    <row r="4" spans="1:5" x14ac:dyDescent="0.2">
      <c r="A4" s="37" t="s">
        <v>18</v>
      </c>
      <c r="B4" s="37" t="s">
        <v>122</v>
      </c>
      <c r="E4" t="s">
        <v>123</v>
      </c>
    </row>
    <row r="5" spans="1:5" x14ac:dyDescent="0.2">
      <c r="A5" s="37" t="s">
        <v>20</v>
      </c>
      <c r="B5" s="37" t="s">
        <v>124</v>
      </c>
      <c r="E5" t="s">
        <v>125</v>
      </c>
    </row>
    <row r="6" spans="1:5" x14ac:dyDescent="0.2">
      <c r="A6" s="37" t="s">
        <v>22</v>
      </c>
      <c r="B6" s="37" t="s">
        <v>22</v>
      </c>
      <c r="E6" t="s">
        <v>126</v>
      </c>
    </row>
    <row r="7" spans="1:5" x14ac:dyDescent="0.2">
      <c r="A7" s="37" t="s">
        <v>93</v>
      </c>
      <c r="B7" s="37" t="s">
        <v>127</v>
      </c>
      <c r="E7" t="s">
        <v>128</v>
      </c>
    </row>
    <row r="8" spans="1:5" x14ac:dyDescent="0.2">
      <c r="A8" t="s">
        <v>38</v>
      </c>
      <c r="B8" t="s">
        <v>129</v>
      </c>
      <c r="E8" t="s">
        <v>110</v>
      </c>
    </row>
    <row r="9" spans="1:5" x14ac:dyDescent="0.2">
      <c r="A9" s="37" t="s">
        <v>59</v>
      </c>
      <c r="B9" s="37" t="s">
        <v>130</v>
      </c>
      <c r="E9" t="s">
        <v>131</v>
      </c>
    </row>
    <row r="10" spans="1:5" x14ac:dyDescent="0.2">
      <c r="E10" t="s">
        <v>91</v>
      </c>
    </row>
    <row r="11" spans="1:5" x14ac:dyDescent="0.2">
      <c r="E11" t="s">
        <v>132</v>
      </c>
    </row>
    <row r="12" spans="1:5" x14ac:dyDescent="0.2">
      <c r="E12" t="s">
        <v>79</v>
      </c>
    </row>
    <row r="13" spans="1:5" x14ac:dyDescent="0.2">
      <c r="E13" t="s">
        <v>98</v>
      </c>
    </row>
    <row r="14" spans="1:5" x14ac:dyDescent="0.2">
      <c r="E14" t="s">
        <v>88</v>
      </c>
    </row>
    <row r="15" spans="1:5" x14ac:dyDescent="0.2">
      <c r="E15" t="s">
        <v>82</v>
      </c>
    </row>
    <row r="16" spans="1:5" x14ac:dyDescent="0.2">
      <c r="E16" t="s">
        <v>133</v>
      </c>
    </row>
    <row r="17" spans="5:5" x14ac:dyDescent="0.2">
      <c r="E17" t="s">
        <v>134</v>
      </c>
    </row>
    <row r="18" spans="5:5" x14ac:dyDescent="0.2">
      <c r="E18" t="s">
        <v>135</v>
      </c>
    </row>
    <row r="19" spans="5:5" x14ac:dyDescent="0.2">
      <c r="E19" t="s">
        <v>57</v>
      </c>
    </row>
    <row r="20" spans="5:5" x14ac:dyDescent="0.2">
      <c r="E20" t="s">
        <v>136</v>
      </c>
    </row>
    <row r="21" spans="5:5" x14ac:dyDescent="0.2">
      <c r="E21" t="s">
        <v>137</v>
      </c>
    </row>
    <row r="22" spans="5:5" x14ac:dyDescent="0.2">
      <c r="E22" t="s">
        <v>138</v>
      </c>
    </row>
    <row r="23" spans="5:5" x14ac:dyDescent="0.2">
      <c r="E23" t="s">
        <v>74</v>
      </c>
    </row>
    <row r="24" spans="5:5" x14ac:dyDescent="0.2">
      <c r="E24" t="s">
        <v>139</v>
      </c>
    </row>
    <row r="25" spans="5:5" x14ac:dyDescent="0.2">
      <c r="E25" t="s">
        <v>140</v>
      </c>
    </row>
    <row r="26" spans="5:5" x14ac:dyDescent="0.2">
      <c r="E26" t="s">
        <v>141</v>
      </c>
    </row>
    <row r="27" spans="5:5" x14ac:dyDescent="0.2">
      <c r="E27" t="s">
        <v>142</v>
      </c>
    </row>
    <row r="28" spans="5:5" x14ac:dyDescent="0.2">
      <c r="E28" t="s">
        <v>143</v>
      </c>
    </row>
    <row r="29" spans="5:5" x14ac:dyDescent="0.2">
      <c r="E29" t="s">
        <v>144</v>
      </c>
    </row>
    <row r="30" spans="5:5" x14ac:dyDescent="0.2">
      <c r="E30" t="s">
        <v>145</v>
      </c>
    </row>
    <row r="31" spans="5:5" x14ac:dyDescent="0.2">
      <c r="E31" t="s">
        <v>146</v>
      </c>
    </row>
    <row r="32" spans="5:5" x14ac:dyDescent="0.2">
      <c r="E32" t="s">
        <v>147</v>
      </c>
    </row>
    <row r="33" spans="5:5" x14ac:dyDescent="0.2">
      <c r="E33" t="s">
        <v>72</v>
      </c>
    </row>
    <row r="34" spans="5:5" x14ac:dyDescent="0.2">
      <c r="E34" t="s">
        <v>148</v>
      </c>
    </row>
    <row r="35" spans="5:5" x14ac:dyDescent="0.2">
      <c r="E35" t="s">
        <v>149</v>
      </c>
    </row>
    <row r="36" spans="5:5" x14ac:dyDescent="0.2">
      <c r="E36" t="s">
        <v>63</v>
      </c>
    </row>
    <row r="37" spans="5:5" x14ac:dyDescent="0.2">
      <c r="E37" t="s">
        <v>150</v>
      </c>
    </row>
    <row r="38" spans="5:5" x14ac:dyDescent="0.2">
      <c r="E38" t="s">
        <v>151</v>
      </c>
    </row>
    <row r="39" spans="5:5" x14ac:dyDescent="0.2">
      <c r="E39" t="s">
        <v>103</v>
      </c>
    </row>
    <row r="40" spans="5:5" x14ac:dyDescent="0.2">
      <c r="E40" t="s">
        <v>152</v>
      </c>
    </row>
    <row r="41" spans="5:5" x14ac:dyDescent="0.2">
      <c r="E41" t="s">
        <v>76</v>
      </c>
    </row>
    <row r="42" spans="5:5" x14ac:dyDescent="0.2">
      <c r="E42" t="s">
        <v>153</v>
      </c>
    </row>
    <row r="43" spans="5:5" x14ac:dyDescent="0.2">
      <c r="E43" t="s">
        <v>154</v>
      </c>
    </row>
    <row r="44" spans="5:5" x14ac:dyDescent="0.2">
      <c r="E44" t="s">
        <v>155</v>
      </c>
    </row>
    <row r="45" spans="5:5" x14ac:dyDescent="0.2">
      <c r="E45" t="s">
        <v>156</v>
      </c>
    </row>
    <row r="46" spans="5:5" x14ac:dyDescent="0.2">
      <c r="E46" t="s">
        <v>157</v>
      </c>
    </row>
    <row r="47" spans="5:5" x14ac:dyDescent="0.2">
      <c r="E47" t="s">
        <v>158</v>
      </c>
    </row>
    <row r="48" spans="5:5" x14ac:dyDescent="0.2">
      <c r="E48" t="s">
        <v>159</v>
      </c>
    </row>
    <row r="49" spans="5:5" x14ac:dyDescent="0.2">
      <c r="E49" t="s">
        <v>160</v>
      </c>
    </row>
    <row r="50" spans="5:5" x14ac:dyDescent="0.2">
      <c r="E50" t="s">
        <v>161</v>
      </c>
    </row>
    <row r="51" spans="5:5" x14ac:dyDescent="0.2">
      <c r="E51" t="s">
        <v>162</v>
      </c>
    </row>
    <row r="52" spans="5:5" x14ac:dyDescent="0.2">
      <c r="E52" t="s">
        <v>163</v>
      </c>
    </row>
    <row r="53" spans="5:5" x14ac:dyDescent="0.2">
      <c r="E53" t="s">
        <v>164</v>
      </c>
    </row>
    <row r="54" spans="5:5" x14ac:dyDescent="0.2">
      <c r="E54" t="s">
        <v>69</v>
      </c>
    </row>
    <row r="55" spans="5:5" x14ac:dyDescent="0.2">
      <c r="E55" t="s">
        <v>112</v>
      </c>
    </row>
    <row r="56" spans="5:5" x14ac:dyDescent="0.2">
      <c r="E56" t="s">
        <v>165</v>
      </c>
    </row>
    <row r="57" spans="5:5" x14ac:dyDescent="0.2">
      <c r="E57" t="s">
        <v>166</v>
      </c>
    </row>
    <row r="58" spans="5:5" x14ac:dyDescent="0.2">
      <c r="E58" t="s">
        <v>167</v>
      </c>
    </row>
    <row r="59" spans="5:5" x14ac:dyDescent="0.2">
      <c r="E59" t="s">
        <v>168</v>
      </c>
    </row>
    <row r="60" spans="5:5" x14ac:dyDescent="0.2">
      <c r="E60" t="s">
        <v>169</v>
      </c>
    </row>
    <row r="61" spans="5:5" x14ac:dyDescent="0.2">
      <c r="E61" t="s">
        <v>170</v>
      </c>
    </row>
    <row r="62" spans="5:5" x14ac:dyDescent="0.2">
      <c r="E62" t="s">
        <v>171</v>
      </c>
    </row>
    <row r="63" spans="5:5" x14ac:dyDescent="0.2">
      <c r="E63" t="s">
        <v>172</v>
      </c>
    </row>
    <row r="64" spans="5:5" x14ac:dyDescent="0.2">
      <c r="E64" t="s">
        <v>173</v>
      </c>
    </row>
    <row r="65" spans="5:5" x14ac:dyDescent="0.2">
      <c r="E65" t="s">
        <v>174</v>
      </c>
    </row>
    <row r="66" spans="5:5" x14ac:dyDescent="0.2">
      <c r="E66" t="s">
        <v>175</v>
      </c>
    </row>
    <row r="67" spans="5:5" x14ac:dyDescent="0.2">
      <c r="E67" t="s">
        <v>176</v>
      </c>
    </row>
    <row r="68" spans="5:5" x14ac:dyDescent="0.2">
      <c r="E68" t="s">
        <v>177</v>
      </c>
    </row>
    <row r="69" spans="5:5" x14ac:dyDescent="0.2">
      <c r="E69" t="s">
        <v>178</v>
      </c>
    </row>
    <row r="70" spans="5:5" x14ac:dyDescent="0.2">
      <c r="E70" t="s">
        <v>179</v>
      </c>
    </row>
    <row r="71" spans="5:5" x14ac:dyDescent="0.2">
      <c r="E71" t="s">
        <v>180</v>
      </c>
    </row>
    <row r="72" spans="5:5" x14ac:dyDescent="0.2">
      <c r="E72" t="s">
        <v>181</v>
      </c>
    </row>
    <row r="73" spans="5:5" x14ac:dyDescent="0.2">
      <c r="E73" t="s">
        <v>182</v>
      </c>
    </row>
    <row r="74" spans="5:5" x14ac:dyDescent="0.2">
      <c r="E74" t="s">
        <v>183</v>
      </c>
    </row>
    <row r="75" spans="5:5" x14ac:dyDescent="0.2">
      <c r="E75" t="s">
        <v>184</v>
      </c>
    </row>
    <row r="76" spans="5:5" x14ac:dyDescent="0.2">
      <c r="E76" t="s">
        <v>185</v>
      </c>
    </row>
    <row r="77" spans="5:5" x14ac:dyDescent="0.2">
      <c r="E77" t="s">
        <v>186</v>
      </c>
    </row>
    <row r="78" spans="5:5" x14ac:dyDescent="0.2">
      <c r="E78" t="s">
        <v>187</v>
      </c>
    </row>
    <row r="79" spans="5:5" x14ac:dyDescent="0.2">
      <c r="E79" t="s">
        <v>188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perus lojas</cp:lastModifiedBy>
  <cp:revision/>
  <cp:lastPrinted>2024-12-20T14:18:19Z</cp:lastPrinted>
  <dcterms:created xsi:type="dcterms:W3CDTF">2004-04-07T20:43:43Z</dcterms:created>
  <dcterms:modified xsi:type="dcterms:W3CDTF">2024-12-27T20:16:33Z</dcterms:modified>
  <cp:category/>
  <cp:contentStatus/>
</cp:coreProperties>
</file>