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806" documentId="13_ncr:1_{0402BA61-346E-4614-9EF8-32644BD0418E}" xr6:coauthVersionLast="47" xr6:coauthVersionMax="47" xr10:uidLastSave="{E71E7D5E-11C9-44D9-987A-058250EE5C66}"/>
  <bookViews>
    <workbookView xWindow="-120" yWindow="330" windowWidth="29040" windowHeight="15990" tabRatio="895" firstSheet="6" activeTab="3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88" l="1"/>
  <c r="C13" i="188"/>
  <c r="C14" i="188"/>
  <c r="C11" i="188"/>
  <c r="C12" i="178"/>
  <c r="C13" i="178"/>
  <c r="C14" i="178"/>
  <c r="C11" i="178"/>
  <c r="R20" i="175"/>
  <c r="R19" i="175"/>
  <c r="C18" i="175"/>
  <c r="C19" i="175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5"/>
  <c r="B10" i="200" s="1"/>
  <c r="C13" i="195"/>
  <c r="B11" i="200" s="1"/>
  <c r="C14" i="195"/>
  <c r="B13" i="200" s="1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2" i="198"/>
  <c r="C13" i="198"/>
  <c r="C14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B9" i="200" s="1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1" i="174"/>
  <c r="C5" i="173"/>
  <c r="C21" i="173"/>
  <c r="C5" i="172"/>
  <c r="C21" i="172"/>
  <c r="C5" i="171"/>
  <c r="C21" i="171"/>
  <c r="C5" i="170"/>
  <c r="C21" i="170"/>
  <c r="C5" i="103"/>
  <c r="C5" i="178"/>
  <c r="C21" i="178"/>
  <c r="C5" i="177"/>
  <c r="C21" i="177"/>
  <c r="C5" i="176"/>
  <c r="C21" i="176"/>
  <c r="C5" i="180"/>
  <c r="C21" i="180"/>
  <c r="C5" i="182"/>
  <c r="C21" i="182"/>
  <c r="C5" i="183"/>
  <c r="C21" i="183"/>
  <c r="C5" i="181"/>
  <c r="C21" i="181"/>
  <c r="C5" i="179"/>
  <c r="C21" i="179"/>
  <c r="C5" i="184"/>
  <c r="C21" i="184"/>
  <c r="C5" i="185"/>
  <c r="C21" i="185"/>
  <c r="C5" i="186"/>
  <c r="C21" i="186"/>
  <c r="C5" i="187"/>
  <c r="C21" i="187"/>
  <c r="C5" i="189"/>
  <c r="C21" i="189"/>
  <c r="C5" i="190"/>
  <c r="C21" i="190"/>
  <c r="C5" i="191"/>
  <c r="C21" i="191"/>
  <c r="C5" i="188"/>
  <c r="C21" i="188"/>
  <c r="C5" i="193"/>
  <c r="C21" i="193"/>
  <c r="C5" i="195"/>
  <c r="C21" i="195"/>
  <c r="C5" i="194"/>
  <c r="C21" i="194"/>
  <c r="C5" i="197"/>
  <c r="C21" i="197"/>
  <c r="C5" i="196"/>
  <c r="C21" i="196"/>
  <c r="C5" i="192"/>
  <c r="C21" i="192"/>
  <c r="C5" i="199"/>
  <c r="C21" i="199"/>
  <c r="C5" i="198"/>
  <c r="C21" i="198"/>
  <c r="C6" i="174"/>
  <c r="C8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8" i="179"/>
  <c r="C6" i="184"/>
  <c r="C6" i="185"/>
  <c r="C6" i="186"/>
  <c r="C6" i="187"/>
  <c r="C8" i="187"/>
  <c r="C6" i="189"/>
  <c r="C8" i="189"/>
  <c r="C6" i="190"/>
  <c r="C8" i="190"/>
  <c r="C6" i="191"/>
  <c r="C6" i="188"/>
  <c r="C6" i="193"/>
  <c r="C6" i="195"/>
  <c r="C6" i="194"/>
  <c r="C8" i="194"/>
  <c r="C6" i="197"/>
  <c r="C8" i="197"/>
  <c r="C6" i="196"/>
  <c r="C8" i="196"/>
  <c r="C6" i="192"/>
  <c r="C6" i="199"/>
  <c r="C8" i="199"/>
  <c r="C6" i="198"/>
  <c r="R20" i="199"/>
  <c r="R19" i="199"/>
  <c r="C18" i="199"/>
  <c r="C19" i="199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8" i="198"/>
  <c r="C19" i="198"/>
  <c r="B18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8" i="197"/>
  <c r="C19" i="197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/>
  <c r="R40" i="170"/>
  <c r="C15" i="175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/>
  <c r="R40" i="171"/>
  <c r="B5" i="200"/>
  <c r="B3" i="200"/>
  <c r="B4" i="200"/>
  <c r="B12" i="200"/>
  <c r="C15" i="196"/>
  <c r="O11" i="196"/>
  <c r="C15" i="189"/>
  <c r="O11" i="189"/>
  <c r="C15" i="188"/>
  <c r="O11" i="188"/>
  <c r="C15" i="185"/>
  <c r="O11" i="185"/>
  <c r="C8" i="195"/>
  <c r="C8" i="193"/>
  <c r="C8" i="178"/>
  <c r="C8" i="198"/>
  <c r="C8" i="185"/>
  <c r="C8" i="181"/>
  <c r="C8" i="170"/>
  <c r="C8" i="177"/>
  <c r="C8" i="182"/>
  <c r="C15" i="198"/>
  <c r="O11" i="198"/>
  <c r="C15" i="199"/>
  <c r="O11" i="199"/>
  <c r="C15" i="192"/>
  <c r="O11" i="192"/>
  <c r="C15" i="197"/>
  <c r="O11" i="197"/>
  <c r="C15" i="194"/>
  <c r="O11" i="194"/>
  <c r="C15" i="193"/>
  <c r="O11" i="193"/>
  <c r="C15" i="191"/>
  <c r="O11" i="191"/>
  <c r="C15" i="190"/>
  <c r="O11" i="190"/>
  <c r="C15" i="187"/>
  <c r="O11" i="187"/>
  <c r="C15" i="186"/>
  <c r="O11" i="186"/>
  <c r="C15" i="184"/>
  <c r="O11" i="184"/>
  <c r="C8" i="184"/>
  <c r="C15" i="179"/>
  <c r="O11" i="179"/>
  <c r="C15" i="181"/>
  <c r="O11" i="181"/>
  <c r="C15" i="183"/>
  <c r="O11" i="183"/>
  <c r="C15" i="182"/>
  <c r="O11" i="182"/>
  <c r="C15" i="180"/>
  <c r="O11" i="180"/>
  <c r="C15" i="176"/>
  <c r="O11" i="176"/>
  <c r="C15" i="177"/>
  <c r="O11" i="177"/>
  <c r="C15" i="178"/>
  <c r="O11" i="178"/>
  <c r="C15" i="172"/>
  <c r="O11" i="172"/>
  <c r="C15" i="173"/>
  <c r="O11" i="173"/>
  <c r="C15" i="174"/>
  <c r="O11" i="174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6" i="200"/>
  <c r="C15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/>
  <c r="B1" i="194"/>
  <c r="B1" i="197"/>
  <c r="B1" i="196"/>
  <c r="B1" i="192"/>
  <c r="B1" i="199"/>
  <c r="B1" i="198"/>
  <c r="B14" i="200" l="1"/>
  <c r="C15" i="195"/>
  <c r="O11" i="195" s="1"/>
</calcChain>
</file>

<file path=xl/sharedStrings.xml><?xml version="1.0" encoding="utf-8"?>
<sst xmlns="http://schemas.openxmlformats.org/spreadsheetml/2006/main" count="1716" uniqueCount="172">
  <si>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</si>
  <si>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</si>
  <si>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</si>
  <si>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</si>
  <si>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</si>
  <si>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</si>
  <si>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</si>
  <si>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</si>
  <si>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</si>
  <si>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</si>
  <si>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</si>
  <si>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</si>
  <si>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</si>
  <si>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</si>
  <si>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</si>
  <si>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</si>
  <si>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</si>
  <si>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</si>
  <si>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</si>
  <si>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</si>
  <si>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</si>
  <si>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</si>
  <si>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</si>
  <si>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</si>
  <si>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</si>
  <si>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</si>
  <si>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</si>
  <si>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</si>
  <si>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</si>
  <si>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</si>
  <si>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</si>
  <si>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</si>
  <si>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</si>
  <si>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</si>
  <si>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</si>
  <si>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</si>
  <si>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</si>
  <si>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</si>
  <si>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</si>
  <si>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</si>
  <si>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</si>
  <si>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</si>
  <si>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</si>
  <si>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</si>
  <si>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</si>
  <si>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</si>
  <si>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</si>
  <si>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</si>
  <si>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</si>
  <si>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</si>
  <si>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</si>
  <si>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</si>
  <si>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</si>
  <si>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</si>
  <si>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</si>
  <si>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</si>
  <si>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</si>
  <si>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</si>
  <si>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</si>
  <si>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</si>
  <si>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</si>
  <si>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</si>
  <si>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</si>
  <si>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</si>
  <si>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</si>
  <si>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</si>
  <si>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</si>
  <si>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</si>
  <si>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</si>
  <si>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</si>
  <si>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</si>
  <si>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</si>
  <si>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</si>
  <si>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</si>
  <si>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</si>
  <si>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</si>
  <si>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</si>
  <si>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</si>
  <si>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</si>
  <si>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</si>
  <si>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</si>
  <si>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</si>
  <si>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</si>
  <si>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</si>
  <si>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</si>
  <si>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</si>
  <si>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</si>
  <si>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</si>
  <si>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</si>
  <si>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</si>
  <si>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</si>
  <si>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</si>
  <si>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</si>
  <si>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</si>
  <si>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</si>
  <si>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</si>
  <si>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</si>
  <si>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</si>
  <si>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</si>
  <si>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</si>
  <si>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</si>
  <si>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</si>
  <si>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</si>
  <si>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</si>
  <si>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</si>
  <si>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</si>
  <si>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</si>
  <si>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</si>
  <si>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</si>
  <si>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</si>
  <si>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</si>
  <si>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</si>
  <si>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</si>
  <si>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</si>
  <si>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</si>
  <si>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</si>
  <si>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</si>
  <si>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</si>
  <si>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</si>
  <si>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</si>
  <si>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</si>
  <si>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</si>
  <si>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</si>
  <si>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</si>
  <si>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</si>
  <si>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CICERA DE LIMA PACHECO</t>
  </si>
  <si>
    <t>ERIKA CRISTINA DA CRUZ</t>
  </si>
  <si>
    <t>WEVILLY</t>
  </si>
  <si>
    <t>Sim</t>
  </si>
  <si>
    <t>CARINE ALMEIDA SANTOS</t>
  </si>
  <si>
    <t>ROSIMEIRE OLIVEIRA</t>
  </si>
  <si>
    <t>ALINE MENEZES SILVA</t>
  </si>
  <si>
    <t>BEATRIZ DE LIMA</t>
  </si>
  <si>
    <t>LINO PEREIRA DE ALMEIDA</t>
  </si>
  <si>
    <t>ALEXANDRE DA SILVA</t>
  </si>
  <si>
    <t>MARICELIA DE PAULA</t>
  </si>
  <si>
    <t>MARIA DO CARMO</t>
  </si>
  <si>
    <t>ELIANE DE MELO</t>
  </si>
  <si>
    <t>PEDRO PETRUNILIO</t>
  </si>
  <si>
    <t xml:space="preserve">FRANCISCO DE DEUS </t>
  </si>
  <si>
    <t>FRANCISCO DE BARROS</t>
  </si>
  <si>
    <t>LUCIANA MARIA</t>
  </si>
  <si>
    <t xml:space="preserve">INACIO JOSE </t>
  </si>
  <si>
    <t>CLARICE PEREIRA</t>
  </si>
  <si>
    <t>LUANA</t>
  </si>
  <si>
    <t>ALICE DE ALMEIDA</t>
  </si>
  <si>
    <t>TATY</t>
  </si>
  <si>
    <t xml:space="preserve">CAFE </t>
  </si>
  <si>
    <t>JOAO FRANCISCO</t>
  </si>
  <si>
    <t xml:space="preserve">ANA LUCIA </t>
  </si>
  <si>
    <t xml:space="preserve">RITA SELMA </t>
  </si>
  <si>
    <t>VERA LUCIA</t>
  </si>
  <si>
    <t>CLINICA</t>
  </si>
  <si>
    <t>JOSE MASCIMENTO</t>
  </si>
  <si>
    <t>JOSE CLAUDIO</t>
  </si>
  <si>
    <t>AGUA</t>
  </si>
  <si>
    <t>ELITA SOARES</t>
  </si>
  <si>
    <t>VITORIA  RAMOS</t>
  </si>
  <si>
    <t>JARDEL WEVERTON</t>
  </si>
  <si>
    <t>ADRYELLEN CAROLINE</t>
  </si>
  <si>
    <t xml:space="preserve">ADEILDO FERREIRA </t>
  </si>
  <si>
    <t>ALINE MENDES</t>
  </si>
  <si>
    <t>CADEADO</t>
  </si>
  <si>
    <t>FRANKDE ALMEIDA</t>
  </si>
  <si>
    <t>JOAO IRAN</t>
  </si>
  <si>
    <t>,</t>
  </si>
  <si>
    <t>ZULEIDE PEIXOTO</t>
  </si>
  <si>
    <t>WADELERLEY</t>
  </si>
  <si>
    <t>ASSUPÇAO MORENO</t>
  </si>
  <si>
    <t>ANA  LUCIA</t>
  </si>
  <si>
    <t>CONTA BANCARIA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</si>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</sst>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8" fillId="0" borderId="3" xfId="2" applyFont="1" applyFill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165" fontId="39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2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165" fontId="46" fillId="0" borderId="17" xfId="0" applyNumberFormat="1" applyFont="1" applyBorder="1" applyAlignment="1">
      <alignment horizontal="center"/>
    </xf>
    <xf numFmtId="165" fontId="46" fillId="0" borderId="6" xfId="0" applyNumberFormat="1" applyFont="1" applyBorder="1" applyAlignment="1">
      <alignment horizontal="center"/>
    </xf>
    <xf numFmtId="165" fontId="44" fillId="0" borderId="6" xfId="0" applyNumberFormat="1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44" fontId="47" fillId="0" borderId="17" xfId="39" applyFont="1" applyFill="1" applyBorder="1" applyAlignment="1">
      <alignment horizontal="center"/>
    </xf>
    <xf numFmtId="165" fontId="47" fillId="0" borderId="17" xfId="4" applyNumberFormat="1" applyFont="1" applyFill="1" applyBorder="1" applyAlignment="1">
      <alignment horizontal="center"/>
    </xf>
    <xf numFmtId="164" fontId="47" fillId="0" borderId="17" xfId="2" applyFont="1" applyFill="1" applyBorder="1" applyAlignment="1">
      <alignment horizontal="center"/>
    </xf>
    <xf numFmtId="0" fontId="49" fillId="0" borderId="17" xfId="0" applyFont="1" applyBorder="1" applyAlignment="1">
      <alignment horizontal="center"/>
    </xf>
    <xf numFmtId="165" fontId="47" fillId="0" borderId="17" xfId="0" applyNumberFormat="1" applyFont="1" applyBorder="1" applyAlignment="1">
      <alignment horizontal="center"/>
    </xf>
    <xf numFmtId="165" fontId="47" fillId="0" borderId="6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165" fontId="30" fillId="0" borderId="13" xfId="0" applyNumberFormat="1" applyFont="1" applyBorder="1" applyAlignment="1">
      <alignment horizontal="center"/>
    </xf>
    <xf numFmtId="1" fontId="47" fillId="0" borderId="17" xfId="0" applyNumberFormat="1" applyFont="1" applyBorder="1" applyAlignment="1">
      <alignment horizontal="center"/>
    </xf>
    <xf numFmtId="0" fontId="49" fillId="0" borderId="3" xfId="0" applyFont="1" applyBorder="1" applyAlignment="1">
      <alignment horizontal="center"/>
    </xf>
    <xf numFmtId="1" fontId="47" fillId="0" borderId="3" xfId="0" applyNumberFormat="1" applyFont="1" applyBorder="1" applyAlignment="1">
      <alignment horizontal="center"/>
    </xf>
    <xf numFmtId="165" fontId="47" fillId="0" borderId="5" xfId="0" applyNumberFormat="1" applyFont="1" applyBorder="1" applyAlignment="1">
      <alignment horizontal="center"/>
    </xf>
    <xf numFmtId="165" fontId="49" fillId="0" borderId="17" xfId="0" applyNumberFormat="1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165" fontId="47" fillId="0" borderId="3" xfId="4" applyNumberFormat="1" applyFont="1" applyFill="1" applyBorder="1" applyAlignment="1">
      <alignment horizontal="center"/>
    </xf>
    <xf numFmtId="165" fontId="48" fillId="0" borderId="6" xfId="0" applyNumberFormat="1" applyFont="1" applyBorder="1" applyAlignment="1">
      <alignment horizontal="center"/>
    </xf>
    <xf numFmtId="0" fontId="50" fillId="0" borderId="17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2" applyFont="1" applyFill="1" applyBorder="1" applyAlignment="1">
      <alignment horizontal="center"/>
    </xf>
    <xf numFmtId="165" fontId="5" fillId="0" borderId="0" xfId="4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2" fillId="7" borderId="6" xfId="0" applyFont="1" applyFill="1" applyBorder="1" applyAlignment="1">
      <alignment horizontal="center"/>
    </xf>
    <xf numFmtId="165" fontId="52" fillId="7" borderId="8" xfId="0" applyNumberFormat="1" applyFont="1" applyFill="1" applyBorder="1" applyAlignment="1">
      <alignment horizontal="center"/>
    </xf>
    <xf numFmtId="164" fontId="52" fillId="7" borderId="6" xfId="2" applyFont="1" applyFill="1" applyBorder="1" applyAlignment="1">
      <alignment horizontal="center"/>
    </xf>
    <xf numFmtId="165" fontId="48" fillId="0" borderId="17" xfId="0" applyNumberFormat="1" applyFont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165" fontId="5" fillId="0" borderId="11" xfId="4" applyNumberFormat="1" applyFont="1" applyFill="1" applyBorder="1" applyAlignment="1">
      <alignment horizontal="center"/>
    </xf>
    <xf numFmtId="164" fontId="5" fillId="5" borderId="0" xfId="2" applyFont="1" applyFill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164" fontId="5" fillId="0" borderId="3" xfId="2" applyFont="1" applyFill="1" applyBorder="1" applyAlignment="1">
      <alignment horizontal="center"/>
    </xf>
    <xf numFmtId="165" fontId="5" fillId="0" borderId="3" xfId="4" applyNumberFormat="1" applyFont="1" applyFill="1" applyBorder="1" applyAlignment="1">
      <alignment horizontal="center"/>
    </xf>
    <xf numFmtId="1" fontId="47" fillId="0" borderId="13" xfId="2" applyNumberFormat="1" applyFont="1" applyFill="1" applyBorder="1" applyAlignment="1">
      <alignment horizontal="center"/>
    </xf>
    <xf numFmtId="1" fontId="47" fillId="0" borderId="17" xfId="2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165" fontId="18" fillId="7" borderId="5" xfId="0" applyNumberFormat="1" applyFont="1" applyFill="1" applyBorder="1" applyAlignment="1">
      <alignment horizontal="center"/>
    </xf>
    <xf numFmtId="165" fontId="18" fillId="7" borderId="4" xfId="0" applyNumberFormat="1" applyFont="1" applyFill="1" applyBorder="1" applyAlignment="1">
      <alignment horizontal="center"/>
    </xf>
    <xf numFmtId="165" fontId="18" fillId="7" borderId="12" xfId="0" applyNumberFormat="1" applyFont="1" applyFill="1" applyBorder="1" applyAlignment="1">
      <alignment horizontal="center"/>
    </xf>
    <xf numFmtId="0" fontId="51" fillId="7" borderId="6" xfId="0" applyFont="1" applyFill="1" applyBorder="1" applyAlignment="1">
      <alignment horizontal="center" vertical="center"/>
    </xf>
    <xf numFmtId="0" fontId="51" fillId="7" borderId="7" xfId="0" applyFont="1" applyFill="1" applyBorder="1" applyAlignment="1">
      <alignment horizontal="center" vertical="center"/>
    </xf>
    <xf numFmtId="0" fontId="51" fillId="7" borderId="8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57" headerRowBorderDxfId="1656" tableBorderDxfId="1655" totalsRowBorderDxfId="1654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53" dataCellStyle="Moeda"/>
    <tableColumn id="5" xr3:uid="{45BECD08-8ABE-4A34-BD78-E2D3AFB8C62A}" name="Cliente" dataDxfId="1652" dataCellStyle="Moeda"/>
    <tableColumn id="2" xr3:uid="{A0D6666C-9CF7-4343-AF6B-BDFE62F94469}" name="Forma de Pgto" dataDxfId="1651" dataCellStyle="Moeda"/>
    <tableColumn id="3" xr3:uid="{988F127F-9D83-4428-BB94-C16FBBB1BD89}" name="Valor Venda" dataDxfId="1650" dataCellStyle="Porcentagem"/>
    <tableColumn id="4" xr3:uid="{6A2928C3-17B0-4FA3-B60C-9E1A2C0324E1}" name="Entrada" dataDxfId="1649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48" dataDxfId="1646" headerRowBorderDxfId="1647" tableBorderDxfId="1645" totalsRowBorderDxfId="1644">
  <autoFilter ref="K5:M11" xr:uid="{DD403130-B35C-452C-92F9-290622D77A3D}"/>
  <tableColumns count="3">
    <tableColumn id="1" xr3:uid="{FAD87634-3375-4B41-BEC0-5B072F6B52CE}" name="Descrição" dataDxfId="1643"/>
    <tableColumn id="2" xr3:uid="{7688071E-9548-4552-8BB1-3BA5128DF645}" name="Tipo de Pagto" dataDxfId="1642"/>
    <tableColumn id="3" xr3:uid="{2B260C33-79A5-4C5D-9195-15780C53A861}" name="Valor" dataDxfId="16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40" headerRowBorderDxfId="1639" tableBorderDxfId="1638" totalsRowBorderDxfId="1637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36"/>
    <tableColumn id="2" xr3:uid="{606BE417-6802-4580-90D2-86F95EFAAEB7}" name="Cliente" dataDxfId="1635"/>
    <tableColumn id="3" xr3:uid="{2F522A54-F708-4DA3-97E3-CE7C29912E04}" name="Forma de Pgto" dataDxfId="1634" dataCellStyle="Moeda"/>
    <tableColumn id="4" xr3:uid="{7B46EE64-F7F1-4449-A783-67286A94A7C4}" name="Valor Venda" dataDxfId="1633" dataCellStyle="Porcentagem"/>
    <tableColumn id="5" xr3:uid="{389A7D1A-3C35-485E-9958-8A78EF77BE9B}" name="Entrada" dataDxfId="1632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31" headerRowBorderDxfId="1630" tableBorderDxfId="1629" totalsRowBorderDxfId="1628">
  <autoFilter ref="K14:M31" xr:uid="{F07D43AD-1A4D-4B31-96B8-824F8623E518}"/>
  <tableColumns count="3">
    <tableColumn id="1" xr3:uid="{3AF01421-A7B6-4D23-9DA8-C20FAFAFDD9C}" name="OS" dataDxfId="1627"/>
    <tableColumn id="2" xr3:uid="{55DCC30E-EB52-427E-A16A-B2C93A41F1CE}" name="Vendedor" dataDxfId="1626"/>
    <tableColumn id="3" xr3:uid="{23EDA46C-42B4-4F6C-97D9-7040D6B9797C}" name="CARNE" dataDxfId="16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24" headerRowBorderDxfId="1623" tableBorderDxfId="1622" totalsRowBorderDxfId="1621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20"/>
    <tableColumn id="2" xr3:uid="{FBA6EA78-F44B-4D22-A27A-92A91C10551F}" name="Cliente" dataDxfId="1619"/>
    <tableColumn id="3" xr3:uid="{749B4D89-29B3-4987-91D3-6BA3C44D9B96}" name="Forma de Pgto" dataDxfId="1618" dataCellStyle="Moeda"/>
    <tableColumn id="4" xr3:uid="{A84A6598-B291-4809-A78D-AB810461733D}" name="Valor Parcela" dataDxfId="1617" dataCellStyle="Porcentagem"/>
    <tableColumn id="5" xr3:uid="{3C45FEEC-5E06-4ED7-87CD-0097DB6BC817}" name="Nº Parcela" dataDxfId="1616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615" headerRowBorderDxfId="1614" tableBorderDxfId="1613" totalsRowBorderDxfId="1612">
  <autoFilter ref="K34:M41" xr:uid="{42BA126A-AECD-4CD6-8583-BD2352D82FB9}"/>
  <tableColumns count="3">
    <tableColumn id="1" xr3:uid="{0989D88A-7CB7-4008-94FC-B7FFB3CAE582}" name="OS" dataDxfId="1611"/>
    <tableColumn id="2" xr3:uid="{AC9D76CC-A537-4210-9893-E8C57DA30B4D}" name="Parcelas" dataDxfId="1610"/>
    <tableColumn id="3" xr3:uid="{D4D72E6E-DAE0-4860-8606-BFD8E469AE3D}" name="Valor Total" dataDxfId="160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08" dataDxfId="1606" headerRowBorderDxfId="1607" tableBorderDxfId="1605" totalsRowBorderDxfId="16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03" dataCellStyle="Moeda"/>
    <tableColumn id="5" xr3:uid="{62DCD49D-7CD9-4268-A2D5-B3A594E461BB}" name="Cliente" dataDxfId="1602" dataCellStyle="Moeda"/>
    <tableColumn id="2" xr3:uid="{50D45495-B1A2-4885-996A-3E6DD92E280E}" name="Forma de Pgto" dataDxfId="1601" dataCellStyle="Moeda"/>
    <tableColumn id="3" xr3:uid="{DE57E226-692B-42B0-911E-ACCF59BC6D86}" name="Valor Venda" dataDxfId="1600" dataCellStyle="Porcentagem"/>
    <tableColumn id="4" xr3:uid="{CE230B3B-D2C9-4A92-A5F3-A5EE4A74409A}" name="Entrada" dataDxfId="1599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98" dataDxfId="1596" headerRowBorderDxfId="1597" tableBorderDxfId="1595" totalsRowBorderDxfId="1594">
  <autoFilter ref="K5:M11" xr:uid="{00000000-0009-0000-0100-000015000000}"/>
  <tableColumns count="3">
    <tableColumn id="1" xr3:uid="{58E2E66D-9AC0-4A69-BF19-1AB9AD59BA2F}" name="Descrição" dataDxfId="1593"/>
    <tableColumn id="2" xr3:uid="{FE1E3124-46C3-49A6-AE83-7C14B341DF59}" name="Tipo de Pagto" dataDxfId="1592"/>
    <tableColumn id="3" xr3:uid="{D8FBF474-04EE-46ED-9B9E-791D937CF715}" name="Valor" dataDxfId="159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90" dataDxfId="1588" headerRowBorderDxfId="1589" tableBorderDxfId="1587" totalsRowBorderDxfId="15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85"/>
    <tableColumn id="2" xr3:uid="{595EF087-A3B2-4C2B-AEEA-F930A6C2F5F4}" name="Cliente" dataDxfId="1584"/>
    <tableColumn id="3" xr3:uid="{C5C2BC75-6E8D-4808-A5EE-A5F9251ECE6C}" name="Forma de Pgto" dataDxfId="1583" dataCellStyle="Moeda"/>
    <tableColumn id="4" xr3:uid="{20CF776B-B9F4-48DD-9379-961689B40B71}" name="Valor Venda" dataDxfId="1582" dataCellStyle="Porcentagem"/>
    <tableColumn id="5" xr3:uid="{65177CB6-6D07-42E6-8EFE-435282A2F5BA}" name="Entrada" dataDxfId="1581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80" dataDxfId="1578" headerRowBorderDxfId="1579" tableBorderDxfId="1577" totalsRowBorderDxfId="157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75"/>
    <tableColumn id="2" xr3:uid="{D1AEFC99-FF9D-4A0D-BE93-D866BDC7A817}" name="Vendedor" dataDxfId="1574"/>
    <tableColumn id="3" xr3:uid="{CA30546E-8A3F-45D5-BE2B-24DCF738F1F2}" name="CARNE" dataDxfId="157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72" dataDxfId="1570" headerRowBorderDxfId="1571" tableBorderDxfId="1569" totalsRowBorderDxfId="15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67"/>
    <tableColumn id="2" xr3:uid="{7D38F106-0145-4B73-951B-86BF22EC7FAB}" name="Cliente" dataDxfId="1566"/>
    <tableColumn id="3" xr3:uid="{11A4EEBE-D35C-4719-B2B9-16486260EF79}" name="Forma de Pgto" dataDxfId="1565" dataCellStyle="Moeda"/>
    <tableColumn id="4" xr3:uid="{1BAB2FC5-9F2C-41DD-994A-6BA83A984883}" name="Valor Parcela" dataDxfId="1564" dataCellStyle="Porcentagem"/>
    <tableColumn id="5" xr3:uid="{8C539F89-5F96-4DB9-B7A4-784EA1B5350C}" name="Nº Parcela" dataDxfId="1563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62" headerRowBorderDxfId="1561" tableBorderDxfId="1560" totalsRowBorderDxfId="1559">
  <autoFilter ref="K34:M41" xr:uid="{1B8643D4-6AC3-4029-882A-C62E9D7CB225}"/>
  <tableColumns count="3">
    <tableColumn id="1" xr3:uid="{0B93901B-D681-410F-8B28-E186D9A3CAC3}" name="OS" dataDxfId="1558"/>
    <tableColumn id="2" xr3:uid="{A57C0E02-6258-48F0-9407-2095CD96B2D4}" name="Parcelas" dataDxfId="1557"/>
    <tableColumn id="3" xr3:uid="{1EA087CF-658D-4951-89BB-508667E3BBBE}" name="Valor Total" dataDxfId="155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55" dataDxfId="1553" headerRowBorderDxfId="1554" tableBorderDxfId="1552" totalsRowBorderDxfId="15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50" dataCellStyle="Moeda"/>
    <tableColumn id="5" xr3:uid="{98DC42E5-632F-4288-9CC5-1F032859A7E7}" name="Cliente" dataDxfId="1549" dataCellStyle="Moeda"/>
    <tableColumn id="2" xr3:uid="{4AE32B81-9EBD-470B-9ABE-A82D6658F3FE}" name="Forma de Pgto" dataDxfId="1548" dataCellStyle="Moeda"/>
    <tableColumn id="3" xr3:uid="{6E5BAEC1-2689-4ABB-93EC-298595B5C82E}" name="Valor Venda" dataDxfId="1547" dataCellStyle="Porcentagem"/>
    <tableColumn id="4" xr3:uid="{24493E7B-FE77-4A85-8810-0F0A4A84D997}" name="Entrada" dataDxfId="1546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45" dataDxfId="1543" headerRowBorderDxfId="1544" tableBorderDxfId="1542" totalsRowBorderDxfId="1541">
  <autoFilter ref="K5:M11" xr:uid="{00000000-0009-0000-0100-000015000000}"/>
  <tableColumns count="3">
    <tableColumn id="1" xr3:uid="{DA50BBFB-ECA9-45DE-9949-F3F90EEC3BA7}" name="Descrição" dataDxfId="1540"/>
    <tableColumn id="2" xr3:uid="{A64D4F88-B62D-440B-BA71-6D7BB28D542E}" name="Tipo de Pagto" dataDxfId="1539"/>
    <tableColumn id="3" xr3:uid="{0406A209-0652-47F9-9AB4-3256B26876D2}" name="Valor" dataDxfId="153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37" dataDxfId="1535" headerRowBorderDxfId="1536" tableBorderDxfId="1534" totalsRowBorderDxfId="15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32"/>
    <tableColumn id="2" xr3:uid="{8B8D24E4-1123-478B-838C-FCF56EABBDFD}" name="Cliente" dataDxfId="1531"/>
    <tableColumn id="3" xr3:uid="{8B7DE8DF-8D5D-4245-A63D-EF550AE347E3}" name="Forma de Pgto" dataDxfId="1530" dataCellStyle="Moeda"/>
    <tableColumn id="4" xr3:uid="{95A77C0C-49D0-45A2-8B99-A765C4741CE7}" name="Valor Venda" dataDxfId="1529" dataCellStyle="Porcentagem"/>
    <tableColumn id="5" xr3:uid="{FF4FDD32-DA70-4723-A8FB-07B3FB04B5CD}" name="Entrada" dataDxfId="1528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27" dataDxfId="1525" headerRowBorderDxfId="1526" tableBorderDxfId="1524" totalsRowBorderDxfId="1523">
  <autoFilter ref="K14:M31" xr:uid="{C83FE64B-E221-4DAA-89EA-5307A7BC98B3}"/>
  <tableColumns count="3">
    <tableColumn id="1" xr3:uid="{A31E67F7-E266-4220-8D3F-09556FCE20B1}" name="OS" dataDxfId="1522"/>
    <tableColumn id="2" xr3:uid="{2ED39269-8DA5-4157-9E82-8C8ED0C828A3}" name="Vendedor" dataDxfId="1521"/>
    <tableColumn id="3" xr3:uid="{F550B35D-6F70-4E2E-9037-3A7DF5BB4D86}" name="CARNE" dataDxfId="152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19" dataDxfId="1517" headerRowBorderDxfId="1518" tableBorderDxfId="1516" totalsRowBorderDxfId="15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14"/>
    <tableColumn id="2" xr3:uid="{58D563AD-1DCA-4768-9170-A0079A20A1DF}" name="Cliente" dataDxfId="1513"/>
    <tableColumn id="3" xr3:uid="{FE883FCE-942C-4DE5-904D-B12FE6C4992D}" name="Forma de Pgto" dataDxfId="1512" dataCellStyle="Moeda"/>
    <tableColumn id="4" xr3:uid="{21451B08-4DF0-4C35-AC45-94C183AA6A59}" name="Valor Parcela" dataDxfId="1511" dataCellStyle="Porcentagem"/>
    <tableColumn id="5" xr3:uid="{8F93C3AE-47D0-4E55-A038-445341804CE9}" name="Nº Parcela" dataDxfId="1510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09" headerRowBorderDxfId="1508" tableBorderDxfId="1507" totalsRowBorderDxfId="1506">
  <autoFilter ref="K34:M41" xr:uid="{1B8643D4-6AC3-4029-882A-C62E9D7CB225}"/>
  <tableColumns count="3">
    <tableColumn id="1" xr3:uid="{2687574F-C0F9-4AD1-A54B-286C1AE50D97}" name="OS" dataDxfId="1505"/>
    <tableColumn id="2" xr3:uid="{AE623FF4-38C1-45D9-B220-1CD4A553B7C1}" name="Parcelas" dataDxfId="1504"/>
    <tableColumn id="3" xr3:uid="{EEBFC521-3084-43FF-A36B-C25CE198B817}" name="Valor Total" dataDxfId="150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02" dataDxfId="1500" headerRowBorderDxfId="1501" tableBorderDxfId="1499" totalsRowBorderDxfId="14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97" dataCellStyle="Moeda"/>
    <tableColumn id="5" xr3:uid="{F5DA840E-A051-4AE4-AE1A-9DAFAF8FFC3B}" name="Cliente" dataDxfId="1496" dataCellStyle="Moeda"/>
    <tableColumn id="2" xr3:uid="{DF65CD3D-444A-4025-B98B-F38F11610432}" name="Forma de Pgto" dataDxfId="1495" dataCellStyle="Moeda"/>
    <tableColumn id="3" xr3:uid="{9A4839DC-9153-466A-B0AF-456FAEF79174}" name="Valor Venda" dataDxfId="1494" dataCellStyle="Porcentagem"/>
    <tableColumn id="4" xr3:uid="{EF410A7C-DBD1-4367-A43B-616826FFEB4F}" name="Entrada" dataDxfId="1493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92" dataDxfId="1490" headerRowBorderDxfId="1491" tableBorderDxfId="1489" totalsRowBorderDxfId="1488">
  <autoFilter ref="K5:M11" xr:uid="{00000000-0009-0000-0100-000015000000}"/>
  <tableColumns count="3">
    <tableColumn id="1" xr3:uid="{F1C90853-2F5A-4C32-8AC3-18ECE1FDDF43}" name="Descrição" dataDxfId="1487"/>
    <tableColumn id="2" xr3:uid="{DEB32F17-2D52-4FBB-90C4-1C3AE9C104E6}" name="Tipo de Pagto" dataDxfId="1486"/>
    <tableColumn id="3" xr3:uid="{089B3650-C090-496F-BF9A-6E8466DBF76A}" name="Valor" dataDxfId="148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84" dataDxfId="1482" headerRowBorderDxfId="1483" tableBorderDxfId="1481" totalsRowBorderDxfId="14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79"/>
    <tableColumn id="2" xr3:uid="{73AEC7DD-005C-4428-9D1D-1A3761F2192B}" name="Cliente" dataDxfId="1478"/>
    <tableColumn id="3" xr3:uid="{FA28017F-3137-49BD-B826-2E261901E543}" name="Forma de Pgto" dataDxfId="1477" dataCellStyle="Moeda"/>
    <tableColumn id="4" xr3:uid="{6030418B-B1EC-4D4D-96DF-0EB78B87F6F9}" name="Valor Venda" dataDxfId="1476" dataCellStyle="Porcentagem"/>
    <tableColumn id="5" xr3:uid="{0576A975-F40D-4463-85C0-76AB6FCD63AC}" name="Entrada" dataDxfId="1475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74" dataDxfId="1472" headerRowBorderDxfId="1473" tableBorderDxfId="1471" totalsRowBorderDxfId="1470">
  <autoFilter ref="K14:M31" xr:uid="{C83FE64B-E221-4DAA-89EA-5307A7BC98B3}"/>
  <tableColumns count="3">
    <tableColumn id="1" xr3:uid="{830E23BA-DE90-49EF-B4EA-89C3276575B2}" name="OS" dataDxfId="1469"/>
    <tableColumn id="2" xr3:uid="{679AF5A0-4545-4316-AD6C-E4B7A7BA099A}" name="Vendedor" dataDxfId="1468"/>
    <tableColumn id="3" xr3:uid="{6B801D58-D05B-4A78-A6FE-BC9EF408DC10}" name="CARNE" dataDxfId="146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66" dataDxfId="1464" headerRowBorderDxfId="1465" tableBorderDxfId="1463" totalsRowBorderDxfId="14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61"/>
    <tableColumn id="2" xr3:uid="{953837B7-D16A-40C2-9C83-CD7E7171C88F}" name="Cliente" dataDxfId="1460"/>
    <tableColumn id="3" xr3:uid="{63860264-C651-4A12-8F01-E9F622A843C0}" name="Forma de Pgto" dataDxfId="1459" dataCellStyle="Moeda"/>
    <tableColumn id="4" xr3:uid="{584373BD-23BA-4A1E-A4FC-3D4A594F4148}" name="Valor Parcela" dataDxfId="1458" dataCellStyle="Porcentagem"/>
    <tableColumn id="5" xr3:uid="{7CBAF04B-D82E-4180-A8EA-98461BE41F4A}" name="Nº Parcela" dataDxfId="1457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56" headerRowBorderDxfId="1455" tableBorderDxfId="1454" totalsRowBorderDxfId="1453">
  <autoFilter ref="K34:M41" xr:uid="{1B8643D4-6AC3-4029-882A-C62E9D7CB225}"/>
  <tableColumns count="3">
    <tableColumn id="1" xr3:uid="{F555359C-BC20-4C24-A948-500BDD3B5763}" name="OS" dataDxfId="1452"/>
    <tableColumn id="2" xr3:uid="{B72B4820-B8B5-4F80-83B5-9EC54EF78025}" name="Parcelas" dataDxfId="1451"/>
    <tableColumn id="3" xr3:uid="{893DDBC4-5663-4D63-80CB-4E7482811983}" name="Valor Total" dataDxfId="145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49" dataDxfId="1447" headerRowBorderDxfId="1448" tableBorderDxfId="1446" totalsRowBorderDxfId="14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44" dataCellStyle="Moeda"/>
    <tableColumn id="5" xr3:uid="{4F9ED826-A0E1-4FB0-83C6-A561EA7B6750}" name="Cliente" dataDxfId="1443" dataCellStyle="Moeda"/>
    <tableColumn id="2" xr3:uid="{C2B928FE-CB2E-4271-AE3D-2FE26117248E}" name="Forma de Pgto" dataDxfId="1442" dataCellStyle="Moeda"/>
    <tableColumn id="3" xr3:uid="{CE23E3D0-4056-4DCB-83C4-5B94BD49CAAC}" name="Valor Venda" dataDxfId="1441" dataCellStyle="Porcentagem"/>
    <tableColumn id="4" xr3:uid="{1F426340-BFB9-4B9E-B988-7A195156D2F2}" name="Entrada" dataDxfId="1440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39" dataDxfId="1437" headerRowBorderDxfId="1438" tableBorderDxfId="1436" totalsRowBorderDxfId="1435">
  <autoFilter ref="K5:M11" xr:uid="{00000000-0009-0000-0100-000015000000}"/>
  <tableColumns count="3">
    <tableColumn id="1" xr3:uid="{F4C840DC-E06E-4A51-B1BF-E769E4EC9ACB}" name="Descrição" dataDxfId="1434"/>
    <tableColumn id="2" xr3:uid="{E6DE1F07-CE97-421A-A22A-4B4270DDF46D}" name="Tipo de Pagto" dataDxfId="1433"/>
    <tableColumn id="3" xr3:uid="{D84FBA92-07C5-41FD-BBA2-2AADF245D1D6}" name="Valor" dataDxfId="143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31" dataDxfId="1429" headerRowBorderDxfId="1430" tableBorderDxfId="1428" totalsRowBorderDxfId="14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26"/>
    <tableColumn id="2" xr3:uid="{CD77FB12-1DAA-4DAF-B42A-0357959803DD}" name="Cliente" dataDxfId="1425"/>
    <tableColumn id="3" xr3:uid="{5F4C4F5C-C920-452A-B2BA-592AD2C18723}" name="Forma de Pgto" dataDxfId="1424" dataCellStyle="Moeda"/>
    <tableColumn id="4" xr3:uid="{3930B2F0-6049-4E02-92B1-EC55A5330B2C}" name="Valor Venda" dataDxfId="1423" dataCellStyle="Porcentagem"/>
    <tableColumn id="5" xr3:uid="{82EBAE08-64CA-459E-9015-FA8F61210D87}" name="Entrada" dataDxfId="1422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21" dataDxfId="1419" headerRowBorderDxfId="1420" tableBorderDxfId="1418" totalsRowBorderDxfId="1417">
  <autoFilter ref="K14:M31" xr:uid="{C83FE64B-E221-4DAA-89EA-5307A7BC98B3}"/>
  <tableColumns count="3">
    <tableColumn id="1" xr3:uid="{E0565617-EB8C-486F-838C-B370E84BC8A2}" name="OS" dataDxfId="1416"/>
    <tableColumn id="2" xr3:uid="{EA20833B-67D8-48B8-B6E4-54A10D0969E8}" name="Vendedor" dataDxfId="1415"/>
    <tableColumn id="3" xr3:uid="{8B1F8993-74A4-499F-AD5E-91A6051BA219}" name="CARNE" dataDxfId="141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13" dataDxfId="1411" headerRowBorderDxfId="1412" tableBorderDxfId="1410" totalsRowBorderDxfId="14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08"/>
    <tableColumn id="2" xr3:uid="{FB461660-91D6-4E31-81FF-113A17320EED}" name="Cliente" dataDxfId="1407"/>
    <tableColumn id="3" xr3:uid="{0A47D0C3-375B-4E2D-B5E9-2048252BC0D3}" name="Forma de Pgto" dataDxfId="1406" dataCellStyle="Moeda"/>
    <tableColumn id="4" xr3:uid="{F9C62ED5-C18D-465D-B7E4-0729BD7B3A10}" name="Valor Parcela" dataDxfId="1405" dataCellStyle="Porcentagem"/>
    <tableColumn id="5" xr3:uid="{DD9D513B-1645-445F-83E9-DC54C163BD4E}" name="Nº Parcela" dataDxfId="1404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03" headerRowBorderDxfId="1402" tableBorderDxfId="1401" totalsRowBorderDxfId="1400">
  <autoFilter ref="K34:M41" xr:uid="{1B8643D4-6AC3-4029-882A-C62E9D7CB225}"/>
  <tableColumns count="3">
    <tableColumn id="1" xr3:uid="{D65B195F-C059-40E5-A4CA-FE91C5DB43DB}" name="OS" dataDxfId="1399"/>
    <tableColumn id="2" xr3:uid="{A2A023CF-C61D-419E-ABB0-2F9CEE35150B}" name="Parcelas" dataDxfId="1398"/>
    <tableColumn id="3" xr3:uid="{F7D650A1-7C3D-42D0-B133-EB49D396C64F}" name="Valor Total" dataDxfId="139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96" dataDxfId="1394" headerRowBorderDxfId="1395" tableBorderDxfId="1393" totalsRowBorderDxfId="13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91" dataCellStyle="Moeda"/>
    <tableColumn id="5" xr3:uid="{FF96847D-D5C5-4F73-905C-E549112972E1}" name="Cliente" dataDxfId="1390" dataCellStyle="Moeda"/>
    <tableColumn id="2" xr3:uid="{1B47815A-C2E2-4886-9A6F-B2A7307F901E}" name="Forma de Pgto" dataDxfId="1389" dataCellStyle="Moeda"/>
    <tableColumn id="3" xr3:uid="{FD86C99A-4E69-452A-8D71-B939B84F2B55}" name="Valor Venda" dataDxfId="1388" dataCellStyle="Porcentagem"/>
    <tableColumn id="4" xr3:uid="{49ECBAAC-14EE-43F3-BE6F-974EF5F3E156}" name="Entrada" dataDxfId="1387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86" dataDxfId="1384" headerRowBorderDxfId="1385" tableBorderDxfId="1383" totalsRowBorderDxfId="1382">
  <autoFilter ref="K5:M11" xr:uid="{00000000-0009-0000-0100-000015000000}"/>
  <tableColumns count="3">
    <tableColumn id="1" xr3:uid="{5236D397-E61A-4AA1-B99C-AD40093239F9}" name="Descrição" dataDxfId="1381"/>
    <tableColumn id="2" xr3:uid="{3341FC2A-819A-41AF-B8A9-B5A195B8D597}" name="Tipo de Pagto" dataDxfId="1380"/>
    <tableColumn id="3" xr3:uid="{D568CA16-B32B-4F86-9DE5-B8B3E9825745}" name="Valor" dataDxfId="137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78" dataDxfId="1376" headerRowBorderDxfId="1377" tableBorderDxfId="1375" totalsRowBorderDxfId="13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73"/>
    <tableColumn id="2" xr3:uid="{DEEB020C-2BC4-4E77-9557-B0FDBCF683E9}" name="Cliente" dataDxfId="1372"/>
    <tableColumn id="3" xr3:uid="{FC27FDBE-5194-4E32-AFD1-DB754ECCEF38}" name="Forma de Pgto" dataDxfId="1371" dataCellStyle="Moeda"/>
    <tableColumn id="4" xr3:uid="{489A4CE9-C3F1-4322-9639-D01F0935FB0E}" name="Valor Venda" dataDxfId="1370" dataCellStyle="Porcentagem"/>
    <tableColumn id="5" xr3:uid="{07E5F22F-7782-466E-98DB-48416B35B9C4}" name="Entrada" dataDxfId="1369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68" dataDxfId="1366" headerRowBorderDxfId="1367" tableBorderDxfId="1365" totalsRowBorderDxfId="1364">
  <autoFilter ref="K14:M31" xr:uid="{C83FE64B-E221-4DAA-89EA-5307A7BC98B3}"/>
  <tableColumns count="3">
    <tableColumn id="1" xr3:uid="{E4926A1A-00A9-4844-90B1-E36D53050FAD}" name="OS" dataDxfId="1363"/>
    <tableColumn id="2" xr3:uid="{CFC62C38-9887-48E6-A3B8-42586D1EC066}" name="Vendedor" dataDxfId="1362"/>
    <tableColumn id="3" xr3:uid="{32577275-2002-496E-8AD4-5FE489DBC179}" name="CARNE" dataDxfId="136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0" dataDxfId="1358" headerRowBorderDxfId="1359" tableBorderDxfId="1357" totalsRowBorderDxfId="13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55"/>
    <tableColumn id="2" xr3:uid="{19438CD0-86D0-4CC4-9B41-5D756AC61E4D}" name="Cliente" dataDxfId="1354"/>
    <tableColumn id="3" xr3:uid="{59621200-4821-4583-9D35-A2EA6C27B52D}" name="Forma de Pgto" dataDxfId="1353" dataCellStyle="Moeda"/>
    <tableColumn id="4" xr3:uid="{35A817E7-6B21-48A7-863E-225DFEDD8B2A}" name="Valor Parcela" dataDxfId="1352" dataCellStyle="Porcentagem"/>
    <tableColumn id="5" xr3:uid="{77D80430-C5F8-4582-B3DF-9A9A9350F565}" name="Nº Parcela" dataDxfId="1351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0" headerRowBorderDxfId="1349" tableBorderDxfId="1348" totalsRowBorderDxfId="1347">
  <autoFilter ref="K34:M41" xr:uid="{1B8643D4-6AC3-4029-882A-C62E9D7CB225}"/>
  <tableColumns count="3">
    <tableColumn id="1" xr3:uid="{503F9F70-E540-4505-B65D-D233FCB88D5F}" name="OS" dataDxfId="1346"/>
    <tableColumn id="2" xr3:uid="{6A2B4927-D830-4C18-8831-6FE23BFAD877}" name="Parcelas" dataDxfId="1345"/>
    <tableColumn id="3" xr3:uid="{8E06E94A-FF62-4D13-8B11-C6CE2990FCDF}" name="Valor Total" dataDxfId="1344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43" dataDxfId="1341" headerRowBorderDxfId="1342" tableBorderDxfId="1340" totalsRowBorderDxfId="13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38" dataCellStyle="Moeda"/>
    <tableColumn id="5" xr3:uid="{00000000-0010-0000-0900-000005000000}" name="Cliente" dataDxfId="1337" dataCellStyle="Moeda"/>
    <tableColumn id="2" xr3:uid="{00000000-0010-0000-0900-000002000000}" name="Forma de Pgto" dataDxfId="1336" dataCellStyle="Moeda"/>
    <tableColumn id="3" xr3:uid="{00000000-0010-0000-0900-000003000000}" name="Valor Venda" dataDxfId="1335" dataCellStyle="Porcentagem"/>
    <tableColumn id="4" xr3:uid="{00000000-0010-0000-0900-000004000000}" name="Entrada" dataDxfId="1334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33" dataDxfId="1331" headerRowBorderDxfId="1332" tableBorderDxfId="1330" totalsRowBorderDxfId="1329">
  <autoFilter ref="K5:M11" xr:uid="{00000000-0009-0000-0100-000015000000}"/>
  <tableColumns count="3">
    <tableColumn id="1" xr3:uid="{00000000-0010-0000-0A00-000001000000}" name="Descrição" dataDxfId="1328"/>
    <tableColumn id="2" xr3:uid="{00000000-0010-0000-0A00-000002000000}" name="Tipo de Pagto" dataDxfId="1327"/>
    <tableColumn id="3" xr3:uid="{00000000-0010-0000-0A00-000003000000}" name="Valor" dataDxfId="132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25" dataDxfId="1323" headerRowBorderDxfId="1324" tableBorderDxfId="1322" totalsRowBorderDxfId="13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0"/>
    <tableColumn id="2" xr3:uid="{00000000-0010-0000-0B00-000002000000}" name="Cliente" dataDxfId="1319"/>
    <tableColumn id="3" xr3:uid="{00000000-0010-0000-0B00-000003000000}" name="Forma de Pgto" dataDxfId="1318" dataCellStyle="Moeda"/>
    <tableColumn id="4" xr3:uid="{00000000-0010-0000-0B00-000004000000}" name="Valor Venda" dataDxfId="1317" dataCellStyle="Porcentagem"/>
    <tableColumn id="5" xr3:uid="{00000000-0010-0000-0B00-000005000000}" name="Entrada" dataDxfId="1316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15" dataDxfId="1313" headerRowBorderDxfId="1314" tableBorderDxfId="1312" totalsRowBorderDxfId="1311">
  <autoFilter ref="K14:M31" xr:uid="{C83FE64B-E221-4DAA-89EA-5307A7BC98B3}"/>
  <tableColumns count="3">
    <tableColumn id="1" xr3:uid="{E5EB8AC8-7F8E-49D1-A903-14124A5BA1B1}" name="OS" dataDxfId="1310"/>
    <tableColumn id="2" xr3:uid="{E1794679-294A-42ED-9D8F-4C0874170BFA}" name="Vendedor" dataDxfId="1309"/>
    <tableColumn id="3" xr3:uid="{CB411C23-941D-4548-984D-68460932D683}" name="CARNE" dataDxfId="1308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07" dataDxfId="1305" headerRowBorderDxfId="1306" tableBorderDxfId="1304" totalsRowBorderDxfId="13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02"/>
    <tableColumn id="2" xr3:uid="{430FE27E-32BC-43B0-BB6E-CCBAB36B2A5A}" name="Cliente" dataDxfId="1301"/>
    <tableColumn id="3" xr3:uid="{568CECCF-BE0A-4266-A7C7-9359F722EA0F}" name="Forma de Pgto" dataDxfId="1300" dataCellStyle="Moeda"/>
    <tableColumn id="4" xr3:uid="{9CF4291A-8808-43DB-9F83-A7EB463C5F4A}" name="Valor Parcela" dataDxfId="1299" dataCellStyle="Porcentagem"/>
    <tableColumn id="5" xr3:uid="{736EA743-97FA-4800-BEDD-5C07EEB144A8}" name="Nº Parcela" dataDxfId="1298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97" headerRowBorderDxfId="1296" tableBorderDxfId="1295" totalsRowBorderDxfId="1294">
  <autoFilter ref="K34:M41" xr:uid="{1B8643D4-6AC3-4029-882A-C62E9D7CB225}"/>
  <tableColumns count="3">
    <tableColumn id="1" xr3:uid="{132FEC50-51B3-4AAA-BF48-63FA39ED861C}" name="OS" dataDxfId="1293"/>
    <tableColumn id="2" xr3:uid="{11276640-1C63-48D7-BE0B-1FE7C736A1A8}" name="Parcelas" dataDxfId="1292"/>
    <tableColumn id="3" xr3:uid="{96591591-9F74-40A6-B0B9-BA6D2106107F}" name="Valor Total" dataDxfId="129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0" dataDxfId="1288" headerRowBorderDxfId="1289" tableBorderDxfId="1287" totalsRowBorderDxfId="12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85" dataCellStyle="Moeda"/>
    <tableColumn id="5" xr3:uid="{795F9F6D-AAE5-4C61-A646-82BF506C503E}" name="Cliente" dataDxfId="1284" dataCellStyle="Moeda"/>
    <tableColumn id="2" xr3:uid="{DD13626B-6361-410E-BFB7-9E75436163A4}" name="Forma de Pgto" dataDxfId="1283" dataCellStyle="Moeda"/>
    <tableColumn id="3" xr3:uid="{8939280F-F6DC-4F66-ADDF-59F6A387460C}" name="Valor Venda" dataDxfId="1282" dataCellStyle="Porcentagem"/>
    <tableColumn id="4" xr3:uid="{FFC83B9E-825A-4058-BFEA-DA64D7159065}" name="Entrada" dataDxfId="1281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0" dataDxfId="1278" headerRowBorderDxfId="1279" tableBorderDxfId="1277" totalsRowBorderDxfId="1276">
  <autoFilter ref="K5:M11" xr:uid="{00000000-0009-0000-0100-000015000000}"/>
  <tableColumns count="3">
    <tableColumn id="1" xr3:uid="{9309A091-2326-4B68-B8C9-B31CF2D72EAF}" name="Descrição" dataDxfId="1275"/>
    <tableColumn id="2" xr3:uid="{910D89CE-506B-440F-8EB2-31633D7CAD51}" name="Tipo de Pagto" dataDxfId="1274"/>
    <tableColumn id="3" xr3:uid="{7155C391-52F1-4F4A-84B1-7BBC44A35A99}" name="Valor" dataDxfId="127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2" dataDxfId="1270" headerRowBorderDxfId="1271" tableBorderDxfId="1269" totalsRowBorderDxfId="12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67"/>
    <tableColumn id="2" xr3:uid="{75B601B3-9668-4B1A-ADF2-17DA487A3413}" name="Cliente" dataDxfId="1266"/>
    <tableColumn id="3" xr3:uid="{64F47935-52AF-4AE3-9262-06D7472567D7}" name="Forma de Pgto" dataDxfId="1265" dataCellStyle="Moeda"/>
    <tableColumn id="4" xr3:uid="{9257AA0D-34DE-4B38-8406-BC1F561A53B3}" name="Valor Venda" dataDxfId="1264" dataCellStyle="Porcentagem"/>
    <tableColumn id="5" xr3:uid="{4C98958F-FB27-4968-81B6-D7CC6BBD2DAE}" name="Entrada" dataDxfId="1263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2" dataDxfId="1260" headerRowBorderDxfId="1261" tableBorderDxfId="1259" totalsRowBorderDxfId="12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57"/>
    <tableColumn id="2" xr3:uid="{AEB024E2-EB15-40A6-B65B-468339937BD0}" name="Vendedor" dataDxfId="1256"/>
    <tableColumn id="3" xr3:uid="{ACDDDA2A-4116-4E25-B799-0071372A8FAA}" name="CARNE" dataDxfId="125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54" dataDxfId="1252" headerRowBorderDxfId="1253" tableBorderDxfId="1251" totalsRowBorderDxfId="1250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49"/>
    <tableColumn id="2" xr3:uid="{A06C5B3A-A28C-4563-87C4-B63635D6E7B9}" name="Cliente" dataDxfId="1248"/>
    <tableColumn id="3" xr3:uid="{4AC120F2-6F4A-41F2-87D2-680E8D6F8D96}" name="Forma de Pgto" dataDxfId="1247" dataCellStyle="Moeda"/>
    <tableColumn id="4" xr3:uid="{17DB2EA9-C13D-4AEB-AB97-B4C907D16420}" name="Valor Parcela" dataDxfId="1246" dataCellStyle="Porcentagem"/>
    <tableColumn id="5" xr3:uid="{F6E09F06-2F23-4822-A9B4-D8898604A1E0}" name="Nº Parcela" dataDxfId="1245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44" headerRowBorderDxfId="1243" tableBorderDxfId="1242" totalsRowBorderDxfId="1241">
  <autoFilter ref="K34:M41" xr:uid="{1B8643D4-6AC3-4029-882A-C62E9D7CB225}"/>
  <tableColumns count="3">
    <tableColumn id="1" xr3:uid="{D0DE8F47-9BDA-4E4F-92E6-E2404F920F1B}" name="OS" dataDxfId="1240"/>
    <tableColumn id="2" xr3:uid="{43AD47D8-F738-4D39-8B0B-E0AC217D9D32}" name="Parcelas" dataDxfId="1239"/>
    <tableColumn id="3" xr3:uid="{024ED2FF-C4EC-44DC-9129-9BE8032DC4A5}" name="Valor Total" dataDxfId="1238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37" dataDxfId="1235" headerRowBorderDxfId="1236" tableBorderDxfId="1234" totalsRowBorderDxfId="12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2" dataCellStyle="Moeda"/>
    <tableColumn id="5" xr3:uid="{C13AA79A-76C7-4954-B055-3EC7A6A9008A}" name="Cliente" dataDxfId="1231" dataCellStyle="Moeda"/>
    <tableColumn id="2" xr3:uid="{56D92948-0431-4E11-AC7A-A6D6B6D3D15E}" name="Forma de Pgto" dataDxfId="1230" dataCellStyle="Moeda"/>
    <tableColumn id="3" xr3:uid="{3348DA9C-6AA9-49E4-8450-E8BC22BC5F6C}" name="Valor Venda" dataDxfId="1229" dataCellStyle="Porcentagem"/>
    <tableColumn id="4" xr3:uid="{A03B4BE2-2B4F-4512-98ED-45C3754F4D2A}" name="Entrada" dataDxfId="1228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27" dataDxfId="1225" headerRowBorderDxfId="1226" tableBorderDxfId="1224" totalsRowBorderDxfId="1223">
  <autoFilter ref="K5:M11" xr:uid="{00000000-0009-0000-0100-000015000000}"/>
  <tableColumns count="3">
    <tableColumn id="1" xr3:uid="{2700D0CD-8906-41BB-B51F-AAECD67A05FE}" name="Descrição" dataDxfId="1222"/>
    <tableColumn id="2" xr3:uid="{00E5FAC2-C7E2-44A6-AA64-460782F41E47}" name="Tipo de Pagto" dataDxfId="1221"/>
    <tableColumn id="3" xr3:uid="{70D30678-03EC-4DC1-BB28-EBD756D1976D}" name="Valor" dataDxfId="122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19" dataDxfId="1217" headerRowBorderDxfId="1218" tableBorderDxfId="1216" totalsRowBorderDxfId="12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14"/>
    <tableColumn id="2" xr3:uid="{59310BF7-C6CA-49AF-8D7C-32023868A553}" name="Cliente" dataDxfId="1213"/>
    <tableColumn id="3" xr3:uid="{C13BE163-BA03-41E0-A121-27164C58ABA3}" name="Forma de Pgto" dataDxfId="1212" dataCellStyle="Moeda"/>
    <tableColumn id="4" xr3:uid="{E9797482-8A01-4C8B-8B66-47DE3D38D78F}" name="Valor Venda" dataDxfId="1211" dataCellStyle="Porcentagem"/>
    <tableColumn id="5" xr3:uid="{864D3F67-D199-48BA-8E16-3EFBAC4AF8A2}" name="Entrada" dataDxfId="1210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09" dataDxfId="1207" headerRowBorderDxfId="1208" tableBorderDxfId="1206" totalsRowBorderDxfId="1205">
  <autoFilter ref="K14:M31" xr:uid="{C83FE64B-E221-4DAA-89EA-5307A7BC98B3}"/>
  <tableColumns count="3">
    <tableColumn id="1" xr3:uid="{92200504-6651-4517-B155-4C75687BBC1E}" name="OS" dataDxfId="1204"/>
    <tableColumn id="2" xr3:uid="{BE1934F5-5D06-41D6-9394-C4D383C8CD33}" name="Vendedor" dataDxfId="1203"/>
    <tableColumn id="3" xr3:uid="{F504E9B2-856C-4C10-AA72-D7A7B035B330}" name="CARNE" dataDxfId="1202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1" dataDxfId="1199" headerRowBorderDxfId="1200" tableBorderDxfId="1198" totalsRowBorderDxfId="11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96"/>
    <tableColumn id="2" xr3:uid="{95B09C40-3752-47D7-9085-F5B42BC487DA}" name="Cliente" dataDxfId="1195"/>
    <tableColumn id="3" xr3:uid="{1A0B311C-327A-4C44-9D04-81730B41B9A2}" name="Forma de Pgto" dataDxfId="1194" dataCellStyle="Moeda"/>
    <tableColumn id="4" xr3:uid="{9A802666-F9A1-4EB6-824C-ECF60066044F}" name="Valor Parcela" dataDxfId="1193" dataCellStyle="Porcentagem"/>
    <tableColumn id="5" xr3:uid="{1CC0AF26-B599-4D4F-8BD5-BBE76DBCE085}" name="Nº Parcela" dataDxfId="1192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1" headerRowBorderDxfId="1190" tableBorderDxfId="1189" totalsRowBorderDxfId="1188">
  <autoFilter ref="K34:M41" xr:uid="{1B8643D4-6AC3-4029-882A-C62E9D7CB225}"/>
  <tableColumns count="3">
    <tableColumn id="1" xr3:uid="{D712257D-E310-4A34-972E-E8E3502C0E07}" name="OS" dataDxfId="1187"/>
    <tableColumn id="2" xr3:uid="{DE78D123-6817-4646-8C08-920B2F11524F}" name="Parcelas" dataDxfId="1186"/>
    <tableColumn id="3" xr3:uid="{5BFF5A3E-02FE-410E-B1DB-45BB5A31FC42}" name="Valor Total" dataDxfId="1185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4" dataDxfId="1182" headerRowBorderDxfId="1183" tableBorderDxfId="1181" totalsRowBorderDxfId="11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79" dataCellStyle="Moeda"/>
    <tableColumn id="5" xr3:uid="{A57F8BDB-02F9-493C-AD6D-F47611C369D5}" name="Cliente" dataDxfId="1178" dataCellStyle="Moeda"/>
    <tableColumn id="2" xr3:uid="{3BF4EA26-026F-42E1-9B28-3FCC68B54E9F}" name="Forma de Pgto" dataDxfId="1177" dataCellStyle="Moeda"/>
    <tableColumn id="3" xr3:uid="{FD063076-8462-4774-B716-34AAD1738449}" name="Valor Venda" dataDxfId="1176" dataCellStyle="Porcentagem"/>
    <tableColumn id="4" xr3:uid="{690445E0-65B1-450A-A6D3-179070107086}" name="Entrada" dataDxfId="1175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4" dataDxfId="1172" headerRowBorderDxfId="1173" tableBorderDxfId="1171" totalsRowBorderDxfId="1170">
  <autoFilter ref="K5:M11" xr:uid="{00000000-0009-0000-0100-000015000000}"/>
  <tableColumns count="3">
    <tableColumn id="1" xr3:uid="{5D510C76-887A-4F0A-A2F3-BD55732E9E85}" name="Descrição" dataDxfId="1169"/>
    <tableColumn id="2" xr3:uid="{F6C1F4A7-28F4-48F8-905E-708FA62EB574}" name="Tipo de Pagto" dataDxfId="1168"/>
    <tableColumn id="3" xr3:uid="{E62B0002-F6CD-4351-A9EA-673FC7C97B03}" name="Valor" dataDxfId="1167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66" dataDxfId="1164" headerRowBorderDxfId="1165" tableBorderDxfId="1163" totalsRowBorderDxfId="1162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1"/>
    <tableColumn id="2" xr3:uid="{822B50C3-46B7-46F0-8829-5293CCAFB21E}" name="Cliente" dataDxfId="1160"/>
    <tableColumn id="3" xr3:uid="{F2A36AB3-30D6-4C43-A466-18FF147EE075}" name="Forma de Pgto" dataDxfId="1159" dataCellStyle="Moeda"/>
    <tableColumn id="4" xr3:uid="{AD829CF8-2271-44F1-A1F1-4928D83ED658}" name="Valor Venda" dataDxfId="1158" dataCellStyle="Porcentagem"/>
    <tableColumn id="5" xr3:uid="{7973C843-3740-4AE2-931D-89DE845BA145}" name="Entrada" dataDxfId="1157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56" dataDxfId="1154" headerRowBorderDxfId="1155" tableBorderDxfId="1153" totalsRowBorderDxfId="1152">
  <autoFilter ref="K14:M31" xr:uid="{C83FE64B-E221-4DAA-89EA-5307A7BC98B3}"/>
  <tableColumns count="3">
    <tableColumn id="1" xr3:uid="{404BEA27-9F48-40AC-AF84-177E7CA2ADEC}" name="OS" dataDxfId="1151"/>
    <tableColumn id="2" xr3:uid="{BC07784A-25E9-4C57-B0FF-1E3D183BCD37}" name="Vendedor" dataDxfId="1150"/>
    <tableColumn id="3" xr3:uid="{EFFF7860-5B35-466B-BA53-4485DC02FB15}" name="CARNE" dataDxfId="114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48" dataDxfId="1146" headerRowBorderDxfId="1147" tableBorderDxfId="1145" totalsRowBorderDxfId="1144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3"/>
    <tableColumn id="2" xr3:uid="{A8D4686B-F05E-4D96-BDB9-FD354C9E28B8}" name="Cliente" dataDxfId="1142"/>
    <tableColumn id="3" xr3:uid="{0FB871EC-4505-4E7C-A162-0EFDB16AB8E5}" name="Forma de Pgto" dataDxfId="1141" dataCellStyle="Moeda"/>
    <tableColumn id="4" xr3:uid="{41436228-3E61-4F7F-80EF-627B1794150B}" name="Valor Parcela" dataDxfId="1140" dataCellStyle="Porcentagem"/>
    <tableColumn id="5" xr3:uid="{9C580DC7-08E3-4AD7-B73C-C1AA4298633B}" name="Nº Parcela" dataDxfId="1139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38" headerRowBorderDxfId="1137" tableBorderDxfId="1136" totalsRowBorderDxfId="1135">
  <autoFilter ref="K34:M41" xr:uid="{1B8643D4-6AC3-4029-882A-C62E9D7CB225}"/>
  <tableColumns count="3">
    <tableColumn id="1" xr3:uid="{6E774D52-7DFE-4ED1-9F2F-47B5899CBAC1}" name="OS" dataDxfId="1134"/>
    <tableColumn id="2" xr3:uid="{39CE62CA-537C-4DF4-B8D5-281ED0EE57C3}" name="Parcelas" dataDxfId="1133"/>
    <tableColumn id="3" xr3:uid="{830AFF05-9BCF-488F-97F3-8D4378DE4DCB}" name="Valor Total" dataDxfId="1132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1" dataDxfId="1129" headerRowBorderDxfId="1130" tableBorderDxfId="1128" totalsRowBorderDxfId="11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26" dataCellStyle="Moeda"/>
    <tableColumn id="5" xr3:uid="{CE0B3E90-9420-4A96-9195-72088311874E}" name="Cliente" dataDxfId="1125" dataCellStyle="Moeda"/>
    <tableColumn id="2" xr3:uid="{3EF1B45D-588D-4066-8ACF-697863B5F984}" name="Forma de Pgto" dataDxfId="1124" dataCellStyle="Moeda"/>
    <tableColumn id="3" xr3:uid="{9ADBAC7B-B04C-4E2B-9C83-E18200698CCE}" name="Valor Venda" dataDxfId="1123" dataCellStyle="Porcentagem"/>
    <tableColumn id="4" xr3:uid="{16823673-1F5B-4F46-A676-8665CF4D02BA}" name="Entrada" dataDxfId="1122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1" dataDxfId="1119" headerRowBorderDxfId="1120" tableBorderDxfId="1118" totalsRowBorderDxfId="1117">
  <autoFilter ref="K5:M11" xr:uid="{00000000-0009-0000-0100-000015000000}"/>
  <tableColumns count="3">
    <tableColumn id="1" xr3:uid="{A02811B4-F6FA-4EDA-94FE-5EDFE6293B48}" name="Descrição" dataDxfId="1116"/>
    <tableColumn id="2" xr3:uid="{39EAD4CE-DDFA-4948-8B1E-10589BABDD84}" name="Tipo de Pagto" dataDxfId="1115"/>
    <tableColumn id="3" xr3:uid="{30C3BD81-38C9-4C67-BF45-044DFDDD7A0B}" name="Valor" dataDxfId="1114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3" dataDxfId="1111" headerRowBorderDxfId="1112" tableBorderDxfId="1110" totalsRowBorderDxfId="11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08"/>
    <tableColumn id="2" xr3:uid="{BE6E3444-490A-4F75-BE63-234EB84D04F7}" name="Cliente" dataDxfId="1107"/>
    <tableColumn id="3" xr3:uid="{868472E6-6C45-4AEC-9672-E559CFA15EA7}" name="Forma de Pgto" dataDxfId="1106" dataCellStyle="Moeda"/>
    <tableColumn id="4" xr3:uid="{DB2D0AA9-9B1E-4A35-B9B2-8B1052EAD782}" name="Valor Venda" dataDxfId="1105" dataCellStyle="Porcentagem"/>
    <tableColumn id="5" xr3:uid="{C23CEEDF-415E-4EFC-ACF7-2661157A84C3}" name="Entrada" dataDxfId="1104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3" dataDxfId="1101" headerRowBorderDxfId="1102" tableBorderDxfId="1100" totalsRowBorderDxfId="10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98"/>
    <tableColumn id="2" xr3:uid="{13D709D4-8F81-4D58-95F2-22F1C686CB18}" name="Vendedor" dataDxfId="1097"/>
    <tableColumn id="3" xr3:uid="{92130A71-CEC8-4371-B6C9-DA29C0189A09}" name="CARNE" dataDxfId="1096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5" dataDxfId="1093" headerRowBorderDxfId="1094" tableBorderDxfId="1092" totalsRowBorderDxfId="10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0"/>
    <tableColumn id="2" xr3:uid="{7652DD36-D535-400C-856B-02CB62C18176}" name="Cliente" dataDxfId="1089"/>
    <tableColumn id="3" xr3:uid="{129618E1-FDB4-497A-9DB0-29AC7143AF10}" name="Forma de Pgto" dataDxfId="1088" dataCellStyle="Moeda"/>
    <tableColumn id="4" xr3:uid="{EC69F906-8001-4D12-8ED6-D597AE23E936}" name="Valor Parcela" dataDxfId="1087" dataCellStyle="Porcentagem"/>
    <tableColumn id="5" xr3:uid="{65040BF1-55E0-4DD6-926F-3F0324D47077}" name="Nº Parcela" dataDxfId="1086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5" headerRowBorderDxfId="1084" tableBorderDxfId="1083" totalsRowBorderDxfId="1082">
  <autoFilter ref="K34:M41" xr:uid="{1B8643D4-6AC3-4029-882A-C62E9D7CB225}"/>
  <tableColumns count="3">
    <tableColumn id="1" xr3:uid="{710179D9-1888-45A0-96B5-C6E1151FFFF0}" name="OS" dataDxfId="1081"/>
    <tableColumn id="2" xr3:uid="{D9D130F4-6D87-4655-90D8-AF3976107C2A}" name="Parcelas" dataDxfId="1080"/>
    <tableColumn id="3" xr3:uid="{07DCBA20-7E86-4F99-AED4-2BDCD854B71C}" name="Valor Total" dataDxfId="1079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78" dataDxfId="1076" headerRowBorderDxfId="1077" tableBorderDxfId="1075" totalsRowBorderDxfId="10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3" dataCellStyle="Moeda"/>
    <tableColumn id="5" xr3:uid="{C388448A-992D-4C2D-8BB2-14D587C7E260}" name="Cliente" dataDxfId="1072" dataCellStyle="Moeda"/>
    <tableColumn id="2" xr3:uid="{C66BE185-63F5-4991-91CC-2661F40F891F}" name="Forma de Pgto" dataDxfId="1071" dataCellStyle="Moeda"/>
    <tableColumn id="3" xr3:uid="{C86C165C-F04B-4F8A-9769-AE38C03F025E}" name="Valor Venda" dataDxfId="1070" dataCellStyle="Porcentagem"/>
    <tableColumn id="4" xr3:uid="{C11C99C9-E646-4417-8698-61AFF55AB567}" name="Entrada" dataDxfId="1069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68" dataDxfId="1066" headerRowBorderDxfId="1067" tableBorderDxfId="1065" totalsRowBorderDxfId="1064">
  <autoFilter ref="K5:M11" xr:uid="{00000000-0009-0000-0100-000015000000}"/>
  <tableColumns count="3">
    <tableColumn id="1" xr3:uid="{696BC9EF-69BB-4D0D-96DF-B836B5771C08}" name="Descrição" dataDxfId="1063"/>
    <tableColumn id="2" xr3:uid="{4F12E940-09E4-4E51-A2A0-CEF5523233E2}" name="Tipo de Pagto" dataDxfId="1062"/>
    <tableColumn id="3" xr3:uid="{329E2ABB-99D4-47D1-8CEB-C3F4DE69A1C8}" name="Valor" dataDxfId="1061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0" dataDxfId="1058" headerRowBorderDxfId="1059" tableBorderDxfId="1057" totalsRowBorderDxfId="10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5"/>
    <tableColumn id="2" xr3:uid="{4745164B-5E29-4C65-87CA-C8C1B31B8272}" name="Cliente" dataDxfId="1054"/>
    <tableColumn id="3" xr3:uid="{69D7D490-36CA-4F69-BF76-2ADB810B4F37}" name="Forma de Pgto" dataDxfId="1053" dataCellStyle="Moeda"/>
    <tableColumn id="4" xr3:uid="{9B6B365B-42F7-499F-B705-B8F5196F8192}" name="Valor Venda" dataDxfId="1052" dataCellStyle="Porcentagem"/>
    <tableColumn id="5" xr3:uid="{7C88B9A2-2920-4AD8-AC1F-7417F3FA8282}" name="Entrada" dataDxfId="1051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0" dataDxfId="1048" headerRowBorderDxfId="1049" tableBorderDxfId="1047" totalsRowBorderDxfId="1046">
  <autoFilter ref="K14:M31" xr:uid="{C83FE64B-E221-4DAA-89EA-5307A7BC98B3}"/>
  <tableColumns count="3">
    <tableColumn id="1" xr3:uid="{5740FA63-223C-47B7-8842-178B003DB4BC}" name="OS" dataDxfId="1045"/>
    <tableColumn id="2" xr3:uid="{5CCC3C75-C80E-44BB-BC37-80F487481DDA}" name="Vendedor" dataDxfId="1044"/>
    <tableColumn id="3" xr3:uid="{585175B8-B982-429E-9344-163CE2687302}" name="CARNE" dataDxfId="1043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2" dataDxfId="1040" headerRowBorderDxfId="1041" tableBorderDxfId="1039" totalsRowBorderDxfId="10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37"/>
    <tableColumn id="2" xr3:uid="{2540FF22-68AB-4A04-B72D-DDBC8B064A8D}" name="Cliente" dataDxfId="1036"/>
    <tableColumn id="3" xr3:uid="{A7CB1680-9636-42C6-8AD9-F68C54BBCE0A}" name="Forma de Pgto" dataDxfId="1035" dataCellStyle="Moeda"/>
    <tableColumn id="4" xr3:uid="{727C37A8-450C-4D57-A2C9-396F29733C0A}" name="Valor Parcela" dataDxfId="1034" dataCellStyle="Porcentagem"/>
    <tableColumn id="5" xr3:uid="{4B27DCBF-BD8C-46A2-BC12-DE369C458E8A}" name="Nº Parcela" dataDxfId="1033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2" headerRowBorderDxfId="1031" tableBorderDxfId="1030" totalsRowBorderDxfId="1029">
  <autoFilter ref="K34:M41" xr:uid="{1B8643D4-6AC3-4029-882A-C62E9D7CB225}"/>
  <tableColumns count="3">
    <tableColumn id="1" xr3:uid="{60FAE849-4EC1-49E6-990F-8A43377EE6C3}" name="OS" dataDxfId="1028"/>
    <tableColumn id="2" xr3:uid="{B3127003-34D7-49FE-AFFC-7FA256F8BC3F}" name="Parcelas" dataDxfId="1027"/>
    <tableColumn id="3" xr3:uid="{412AC98E-5FB9-4C3C-9FBF-2EBE1631A397}" name="Valor Total" dataDxfId="102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5" dataDxfId="1023" headerRowBorderDxfId="1024" tableBorderDxfId="1022" totalsRowBorderDxfId="10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0" dataCellStyle="Moeda"/>
    <tableColumn id="5" xr3:uid="{A1AF61B3-EFAB-450A-92B2-38E357233CD5}" name="Cliente" dataDxfId="1019" dataCellStyle="Moeda"/>
    <tableColumn id="2" xr3:uid="{DF277353-579D-439F-85C3-76DEACDE7A39}" name="Forma de Pgto" dataDxfId="1018" dataCellStyle="Moeda"/>
    <tableColumn id="3" xr3:uid="{7164D8F5-C0CB-47F7-BD16-B590E7D85EDB}" name="Valor Venda" dataDxfId="1017" dataCellStyle="Porcentagem"/>
    <tableColumn id="4" xr3:uid="{065B051D-7958-4E7D-972D-DDB0E8E7D052}" name="Entrada" dataDxfId="1016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5" dataDxfId="1013" headerRowBorderDxfId="1014" tableBorderDxfId="1012" totalsRowBorderDxfId="1011">
  <autoFilter ref="K5:M11" xr:uid="{00000000-0009-0000-0100-000015000000}"/>
  <tableColumns count="3">
    <tableColumn id="1" xr3:uid="{865498B1-F05E-46C9-B6C1-CCD85D9306C6}" name="Descrição" dataDxfId="1010"/>
    <tableColumn id="2" xr3:uid="{37F7AC6A-A7CD-43FB-89B1-5E904BAC1EBD}" name="Tipo de Pagto" dataDxfId="1009"/>
    <tableColumn id="3" xr3:uid="{A014E45A-B38A-47C2-A582-411CA2B495EE}" name="Valor" dataDxfId="1008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7" dataDxfId="1005" headerRowBorderDxfId="1006" tableBorderDxfId="1004" totalsRowBorderDxfId="10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2"/>
    <tableColumn id="2" xr3:uid="{BC7B7FC1-CF4C-42C2-ABD3-DFEEA234B02B}" name="Cliente" dataDxfId="1001"/>
    <tableColumn id="3" xr3:uid="{67F17557-E38E-4865-93F5-DCEF4A7ED2C6}" name="Forma de Pgto" dataDxfId="1000" dataCellStyle="Moeda"/>
    <tableColumn id="4" xr3:uid="{D2C10329-9C1A-4D0D-BC74-3A320E9B6593}" name="Valor Venda" dataDxfId="999" dataCellStyle="Porcentagem"/>
    <tableColumn id="5" xr3:uid="{82810E21-D152-4A22-94D5-0A28C60F4849}" name="Entrada" dataDxfId="998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7" dataDxfId="995" headerRowBorderDxfId="996" tableBorderDxfId="994" totalsRowBorderDxfId="993">
  <autoFilter ref="K14:M31" xr:uid="{C83FE64B-E221-4DAA-89EA-5307A7BC98B3}"/>
  <tableColumns count="3">
    <tableColumn id="1" xr3:uid="{7A4CC637-3546-4D1B-9D86-75C6034079BF}" name="OS" dataDxfId="992"/>
    <tableColumn id="2" xr3:uid="{CEB52B1C-2642-45A1-A1EB-26029A9B5402}" name="Vendedor" dataDxfId="991"/>
    <tableColumn id="3" xr3:uid="{8C88CFEB-7155-49BD-9D63-1FCC9096735E}" name="CARNE" dataDxfId="990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89" dataDxfId="987" headerRowBorderDxfId="988" tableBorderDxfId="986" totalsRowBorderDxfId="9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4"/>
    <tableColumn id="2" xr3:uid="{7C3577CA-FC44-4DC9-9002-D4EA74DFF73F}" name="Cliente" dataDxfId="983"/>
    <tableColumn id="3" xr3:uid="{77D25058-5D06-4E37-8746-BF184DDEEA81}" name="Forma de Pgto" dataDxfId="982" dataCellStyle="Moeda"/>
    <tableColumn id="4" xr3:uid="{5EDAFC3F-F478-449C-990C-45300A2C66DF}" name="Valor Parcela" dataDxfId="981" dataCellStyle="Porcentagem"/>
    <tableColumn id="5" xr3:uid="{5DBCC805-C046-4526-8886-13334D431CB2}" name="Nº Parcela" dataDxfId="980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79" headerRowBorderDxfId="978" tableBorderDxfId="977" totalsRowBorderDxfId="976">
  <autoFilter ref="K34:M41" xr:uid="{1B8643D4-6AC3-4029-882A-C62E9D7CB225}"/>
  <tableColumns count="3">
    <tableColumn id="1" xr3:uid="{FDFEB034-D746-488E-9611-5C5421DF9812}" name="OS" dataDxfId="975"/>
    <tableColumn id="2" xr3:uid="{AD1C8A9C-91DA-4D2C-A438-9B8648A5521B}" name="Parcelas" dataDxfId="974"/>
    <tableColumn id="3" xr3:uid="{577D3B3F-3A18-4FE3-8E0F-E82C9012821F}" name="Valor Total" dataDxfId="97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2" dataDxfId="970" headerRowBorderDxfId="971" tableBorderDxfId="969" totalsRowBorderDxfId="9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7" dataCellStyle="Moeda"/>
    <tableColumn id="5" xr3:uid="{53B9FE46-E769-466F-9757-A5C752203582}" name="Cliente" dataDxfId="966" dataCellStyle="Moeda"/>
    <tableColumn id="2" xr3:uid="{9AFD5C78-132A-4E21-96EC-75882307A334}" name="Forma de Pgto" dataDxfId="965" dataCellStyle="Moeda"/>
    <tableColumn id="3" xr3:uid="{0B7791DE-BC7F-4EA7-87CC-E8588E2F6D00}" name="Valor Venda" dataDxfId="964" dataCellStyle="Porcentagem"/>
    <tableColumn id="4" xr3:uid="{EDACC2B7-28DE-40D1-BC9D-356B5D64934D}" name="Entrada" dataDxfId="963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2" dataDxfId="960" headerRowBorderDxfId="961" tableBorderDxfId="959" totalsRowBorderDxfId="958">
  <autoFilter ref="K5:M11" xr:uid="{00000000-0009-0000-0100-000015000000}"/>
  <tableColumns count="3">
    <tableColumn id="1" xr3:uid="{F638F61A-E4B9-4300-BD8D-C0A6A3D7A8E2}" name="Descrição" dataDxfId="957"/>
    <tableColumn id="2" xr3:uid="{9DC04330-37E5-4813-8F2D-4BAA554527A5}" name="Tipo de Pagto" dataDxfId="956"/>
    <tableColumn id="3" xr3:uid="{799A991A-3D2C-4EC1-A2D8-A1F3023DD9AF}" name="Valor" dataDxfId="955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4" dataDxfId="952" headerRowBorderDxfId="953" tableBorderDxfId="951" totalsRowBorderDxfId="9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49"/>
    <tableColumn id="2" xr3:uid="{2FD43CA2-90CA-449B-821F-205F1748177C}" name="Cliente" dataDxfId="948"/>
    <tableColumn id="3" xr3:uid="{A5640B64-FD50-49A5-B305-E61D9280F57A}" name="Forma de Pgto" dataDxfId="947" dataCellStyle="Moeda"/>
    <tableColumn id="4" xr3:uid="{26AD2EE8-2400-4B07-A340-99B1BA546B01}" name="Valor Venda" dataDxfId="946" dataCellStyle="Porcentagem"/>
    <tableColumn id="5" xr3:uid="{DF786930-B464-48C0-92C5-A18D129572D3}" name="Entrada" dataDxfId="945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4" dataDxfId="942" headerRowBorderDxfId="943" tableBorderDxfId="941" totalsRowBorderDxfId="940">
  <autoFilter ref="K14:M31" xr:uid="{C83FE64B-E221-4DAA-89EA-5307A7BC98B3}"/>
  <tableColumns count="3">
    <tableColumn id="1" xr3:uid="{686E8A3B-2CC1-443E-B3F0-07F1D6AF8C19}" name="OS" dataDxfId="939"/>
    <tableColumn id="2" xr3:uid="{1250D1EA-82EB-4EB4-AEDB-99799165C996}" name="Vendedor" dataDxfId="938"/>
    <tableColumn id="3" xr3:uid="{F6A6C0FE-3106-4929-AC63-C2A418BAD9A1}" name="CARNE" dataDxfId="937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6" dataDxfId="934" headerRowBorderDxfId="935" tableBorderDxfId="933" totalsRowBorderDxfId="9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1"/>
    <tableColumn id="2" xr3:uid="{6946C657-632E-4A47-A04C-EBD987018798}" name="Cliente" dataDxfId="930"/>
    <tableColumn id="3" xr3:uid="{11747110-E63B-4D92-AE0D-F744DD494204}" name="Forma de Pgto" dataDxfId="929" dataCellStyle="Moeda"/>
    <tableColumn id="4" xr3:uid="{7637A14A-3C11-482C-A77B-09489718F039}" name="Valor Parcela" dataDxfId="928" dataCellStyle="Porcentagem"/>
    <tableColumn id="5" xr3:uid="{E03E863B-EAD4-4137-9B26-2CA0EAC2F09E}" name="Nº Parcela" dataDxfId="927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6" headerRowBorderDxfId="925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1" dataDxfId="449" headerRowBorderDxfId="450" tableBorderDxfId="448" totalsRowBorderDxfId="44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C26" sqref="C26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72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12177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12877.89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246</v>
      </c>
    </row>
    <row r="6" spans="1:2" ht="15.75" x14ac:dyDescent="0.25">
      <c r="A6" s="28" t="s">
        <v>4</v>
      </c>
      <c r="B6" s="29">
        <f>SUM(B4:B5)</f>
        <v>13123.89</v>
      </c>
    </row>
    <row r="7" spans="1:2" ht="15" x14ac:dyDescent="0.25">
      <c r="A7" s="2"/>
      <c r="B7" s="2"/>
    </row>
    <row r="8" spans="1:2" ht="15" x14ac:dyDescent="0.2">
      <c r="A8" s="140" t="s">
        <v>5</v>
      </c>
      <c r="B8" s="140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1962.4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2997.9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7769.99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'31'!#REF!)</f>
        <v>#REF!</v>
      </c>
    </row>
    <row r="13" spans="1:2" ht="15" x14ac:dyDescent="0.25">
      <c r="A13" s="30" t="s">
        <v>9</v>
      </c>
      <c r="B13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1118.28</v>
      </c>
    </row>
    <row r="14" spans="1:2" ht="15.75" x14ac:dyDescent="0.25">
      <c r="A14" s="28" t="s">
        <v>10</v>
      </c>
      <c r="B14" s="73" t="e">
        <f ca="1">SUM(B9:B13)</f>
        <v>#REF!</v>
      </c>
    </row>
    <row r="15" spans="1:2" ht="15" x14ac:dyDescent="0.25">
      <c r="A15" s="2"/>
      <c r="B15" s="2"/>
    </row>
    <row r="16" spans="1:2" ht="15" x14ac:dyDescent="0.2">
      <c r="A16" s="140" t="s">
        <v>11</v>
      </c>
      <c r="B16" s="140"/>
    </row>
    <row r="17" spans="1:2" ht="15" x14ac:dyDescent="0.25">
      <c r="A17" s="30">
        <f>COUNT(#REF!)</f>
        <v>0</v>
      </c>
      <c r="B17" s="24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'31'!C18)</f>
        <v>2371</v>
      </c>
    </row>
    <row r="18" spans="1:2" ht="15.75" x14ac:dyDescent="0.25">
      <c r="A18" s="28" t="s">
        <v>10</v>
      </c>
      <c r="B18" s="73">
        <f>SUM(B17:B17)</f>
        <v>2371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45383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550</v>
      </c>
      <c r="D6" s="2"/>
      <c r="E6" s="18">
        <v>647</v>
      </c>
      <c r="F6" s="25" t="s">
        <v>126</v>
      </c>
      <c r="G6" s="26" t="s">
        <v>8</v>
      </c>
      <c r="H6" s="8">
        <v>350</v>
      </c>
      <c r="I6" s="8">
        <v>175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646</v>
      </c>
      <c r="F7" s="25" t="s">
        <v>126</v>
      </c>
      <c r="G7" s="26" t="s">
        <v>8</v>
      </c>
      <c r="H7" s="8">
        <v>350</v>
      </c>
      <c r="I7" s="8">
        <v>175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20</v>
      </c>
      <c r="C8" s="29">
        <f>SUM(C6:C7)</f>
        <v>550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550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550</v>
      </c>
      <c r="D15" s="2"/>
      <c r="E15" s="18"/>
      <c r="F15" s="25"/>
      <c r="G15" s="26"/>
      <c r="H15" s="8"/>
      <c r="I15" s="8"/>
      <c r="J15" s="2"/>
      <c r="K15" s="25">
        <v>639</v>
      </c>
      <c r="L15" s="9" t="s">
        <v>127</v>
      </c>
      <c r="M15" s="16" t="s">
        <v>25</v>
      </c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640</v>
      </c>
      <c r="L16" s="9" t="s">
        <v>127</v>
      </c>
      <c r="M16" s="16" t="s">
        <v>25</v>
      </c>
      <c r="R16" s="1">
        <f>IF(vend1[[#This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>
        <v>641</v>
      </c>
      <c r="L17" s="9" t="s">
        <v>127</v>
      </c>
      <c r="M17" s="16" t="s">
        <v>25</v>
      </c>
      <c r="R17" s="1">
        <f>IF(vend1[[#This Row],[Nº Venda]]&gt;1,1,0)</f>
        <v>0</v>
      </c>
    </row>
    <row r="18" spans="2:18" ht="15.75" x14ac:dyDescent="0.25">
      <c r="B18" s="30">
        <f>COUNT(entr_carn31195[OS])</f>
        <v>0</v>
      </c>
      <c r="C18" s="31">
        <f>SUM(entr_carn31195[Valor Total])</f>
        <v>0</v>
      </c>
      <c r="D18" s="2"/>
      <c r="E18" s="18"/>
      <c r="F18" s="25"/>
      <c r="G18" s="26"/>
      <c r="H18" s="8"/>
      <c r="I18" s="8"/>
      <c r="J18" s="2"/>
      <c r="K18" s="25">
        <v>630</v>
      </c>
      <c r="L18" s="9" t="s">
        <v>127</v>
      </c>
      <c r="M18" s="16" t="s">
        <v>25</v>
      </c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26</v>
      </c>
      <c r="C21" s="32">
        <f>C5</f>
        <v>700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624</v>
      </c>
      <c r="F26" s="25" t="s">
        <v>129</v>
      </c>
      <c r="G26" s="26" t="s">
        <v>8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2" zoomScale="90" zoomScaleNormal="9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'01'!B1+1</f>
        <v>45384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250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20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0"/>
      <c r="F13" s="65"/>
      <c r="G13" s="91"/>
      <c r="H13" s="68"/>
      <c r="I13" s="68"/>
      <c r="J13" s="2"/>
      <c r="K13" s="142" t="s">
        <v>21</v>
      </c>
      <c r="L13" s="143"/>
      <c r="M13" s="144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0"/>
      <c r="F14" s="65"/>
      <c r="G14" s="91"/>
      <c r="H14" s="68"/>
      <c r="I14" s="68"/>
      <c r="J14" s="2"/>
      <c r="K14" s="14" t="s">
        <v>22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250</v>
      </c>
      <c r="D15" s="2"/>
      <c r="E15" s="18"/>
      <c r="F15" s="25"/>
      <c r="G15" s="26"/>
      <c r="H15" s="8"/>
      <c r="I15" s="8"/>
      <c r="J15" s="2"/>
      <c r="K15" s="25">
        <v>618</v>
      </c>
      <c r="L15" s="9" t="s">
        <v>127</v>
      </c>
      <c r="M15" s="16" t="s">
        <v>128</v>
      </c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1</v>
      </c>
      <c r="C18" s="31">
        <f>SUM(entr_carn2[Valor Total])</f>
        <v>944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944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618</v>
      </c>
      <c r="F26" s="25" t="s">
        <v>125</v>
      </c>
      <c r="G26" s="26" t="s">
        <v>6</v>
      </c>
      <c r="H26" s="8">
        <v>0</v>
      </c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>
        <v>618</v>
      </c>
      <c r="L35" s="41">
        <v>6</v>
      </c>
      <c r="M35" s="16">
        <v>944</v>
      </c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G35:G41 G27:G31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45385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339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589</v>
      </c>
      <c r="D6" s="2"/>
      <c r="E6" s="18">
        <v>648</v>
      </c>
      <c r="F6" s="25" t="s">
        <v>131</v>
      </c>
      <c r="G6" s="46" t="s">
        <v>49</v>
      </c>
      <c r="H6" s="8" t="s">
        <v>39</v>
      </c>
      <c r="I6" s="8">
        <v>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649</v>
      </c>
      <c r="F7" s="25" t="s">
        <v>132</v>
      </c>
      <c r="G7" s="26" t="s">
        <v>9</v>
      </c>
      <c r="H7" s="8">
        <v>339</v>
      </c>
      <c r="I7" s="8">
        <v>339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20</v>
      </c>
      <c r="C8" s="29">
        <f>SUM(C6:C7)</f>
        <v>589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339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589</v>
      </c>
      <c r="D15" s="2"/>
      <c r="E15" s="18"/>
      <c r="F15" s="25"/>
      <c r="G15" s="26"/>
      <c r="H15" s="8"/>
      <c r="I15" s="8"/>
      <c r="J15" s="2"/>
      <c r="K15" s="25">
        <v>628</v>
      </c>
      <c r="L15" s="9" t="s">
        <v>127</v>
      </c>
      <c r="M15" s="16" t="s">
        <v>25</v>
      </c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636</v>
      </c>
      <c r="L16" s="9" t="s">
        <v>127</v>
      </c>
      <c r="M16" s="16" t="s">
        <v>25</v>
      </c>
      <c r="R16" s="1">
        <f>IF(vend3[[#This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26</v>
      </c>
      <c r="C21" s="32">
        <f>C5</f>
        <v>339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628</v>
      </c>
      <c r="F26" s="25" t="s">
        <v>130</v>
      </c>
      <c r="G26" s="46" t="s">
        <v>7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45386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380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20</v>
      </c>
      <c r="C8" s="29">
        <f>SUM(C6:C7)</f>
        <v>380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380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8.75" x14ac:dyDescent="0.4">
      <c r="B15" s="28" t="s">
        <v>10</v>
      </c>
      <c r="C15" s="32">
        <f>SUM(C11:C14)</f>
        <v>380</v>
      </c>
      <c r="D15" s="2"/>
      <c r="E15" s="18"/>
      <c r="F15" s="25"/>
      <c r="G15" s="26"/>
      <c r="H15" s="8"/>
      <c r="I15" s="8"/>
      <c r="J15" s="2"/>
      <c r="K15" s="60"/>
      <c r="L15" s="61"/>
      <c r="M15" s="62"/>
      <c r="R15" s="1">
        <f>IF(vend4[[#This Row],[Nº Venda]]&gt;1,1,0)</f>
        <v>0</v>
      </c>
    </row>
    <row r="16" spans="2:18" ht="19.5" x14ac:dyDescent="0.4">
      <c r="B16" s="2"/>
      <c r="C16" s="2"/>
      <c r="D16" s="2"/>
      <c r="E16" s="18"/>
      <c r="F16" s="25"/>
      <c r="G16" s="26"/>
      <c r="H16" s="8"/>
      <c r="I16" s="8"/>
      <c r="J16" s="2"/>
      <c r="K16" s="63"/>
      <c r="L16" s="60"/>
      <c r="M16" s="62"/>
      <c r="R16" s="1">
        <f>IF(vend4[[#This Row],[Nº Venda]]&gt;1,1,0)</f>
        <v>0</v>
      </c>
    </row>
    <row r="17" spans="2:18" ht="18.75" x14ac:dyDescent="0.4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644</v>
      </c>
      <c r="F26" s="25" t="s">
        <v>135</v>
      </c>
      <c r="G26" s="46" t="s">
        <v>8</v>
      </c>
      <c r="H26" s="8"/>
      <c r="I26" s="8">
        <v>380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'04'!B1+1</f>
        <v>45387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800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800</v>
      </c>
      <c r="D6" s="2"/>
      <c r="E6" s="18">
        <v>650</v>
      </c>
      <c r="F6" s="25" t="s">
        <v>133</v>
      </c>
      <c r="G6" s="46" t="s">
        <v>7</v>
      </c>
      <c r="H6" s="8">
        <v>800</v>
      </c>
      <c r="I6" s="8">
        <v>800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20</v>
      </c>
      <c r="C8" s="29">
        <f>SUM(C6:C7)</f>
        <v>800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800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75" x14ac:dyDescent="0.25">
      <c r="B15" s="28" t="s">
        <v>10</v>
      </c>
      <c r="C15" s="32">
        <f>SUM(C11:C14)</f>
        <v>1020</v>
      </c>
      <c r="D15" s="2"/>
      <c r="E15" s="18"/>
      <c r="F15" s="25"/>
      <c r="G15" s="26"/>
      <c r="H15" s="8"/>
      <c r="I15" s="8"/>
      <c r="J15" s="2"/>
      <c r="K15" s="25"/>
      <c r="L15" s="9"/>
      <c r="M15" s="67"/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6"/>
      <c r="N16" s="16"/>
      <c r="R16" s="1">
        <f>IF(vend5[[#This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26</v>
      </c>
      <c r="C21" s="32">
        <f>C5</f>
        <v>800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599</v>
      </c>
      <c r="F35" s="25" t="s">
        <v>134</v>
      </c>
      <c r="G35" s="26" t="s">
        <v>6</v>
      </c>
      <c r="H35" s="8">
        <v>120</v>
      </c>
      <c r="I35" s="8" t="s">
        <v>91</v>
      </c>
      <c r="K35" s="25"/>
      <c r="L35" s="41"/>
      <c r="M35" s="16"/>
    </row>
    <row r="36" spans="5:18" ht="15.75" x14ac:dyDescent="0.25">
      <c r="E36" s="18">
        <v>622</v>
      </c>
      <c r="F36" s="25" t="s">
        <v>136</v>
      </c>
      <c r="G36" s="26" t="s">
        <v>6</v>
      </c>
      <c r="H36" s="8">
        <v>100</v>
      </c>
      <c r="I36" s="8" t="s">
        <v>66</v>
      </c>
      <c r="K36" s="25"/>
      <c r="L36" s="41"/>
      <c r="M36" s="16"/>
    </row>
    <row r="37" spans="5:18" ht="15.75" x14ac:dyDescent="0.25">
      <c r="E37" s="87"/>
      <c r="F37" s="86"/>
      <c r="G37" s="88"/>
      <c r="H37" s="89"/>
      <c r="I37" s="89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'05'!B1+1</f>
        <v>45388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899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899</v>
      </c>
      <c r="D6" s="2"/>
      <c r="E6" s="18">
        <v>651</v>
      </c>
      <c r="F6" s="25" t="s">
        <v>137</v>
      </c>
      <c r="G6" s="26" t="s">
        <v>8</v>
      </c>
      <c r="H6" s="8">
        <v>899</v>
      </c>
      <c r="I6" s="8">
        <v>899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20</v>
      </c>
      <c r="C8" s="29">
        <f>SUM(C6:C7)</f>
        <v>899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899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899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8" t="s">
        <v>26</v>
      </c>
      <c r="C21" s="32">
        <f>C5</f>
        <v>899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0">
        <f>'06'!B1+1</f>
        <v>45389</v>
      </c>
    </row>
    <row r="2" spans="2:21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78"/>
      <c r="G6" s="78"/>
      <c r="H6" s="79"/>
      <c r="I6" s="79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69"/>
      <c r="F26" s="64"/>
      <c r="G26" s="70"/>
      <c r="H26" s="71"/>
      <c r="I26" s="71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disablePrompts="1"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'07'!B1+1</f>
        <v>45390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1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1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1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1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IF(vend8[[#This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2"/>
      <c r="F26" s="83"/>
      <c r="G26" s="84"/>
      <c r="H26" s="85"/>
      <c r="I26" s="85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74"/>
      <c r="G42" s="75"/>
      <c r="H42" s="76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L15" sqref="L1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1.5" x14ac:dyDescent="0.5">
      <c r="B1" s="80">
        <f>'08'!B1+1</f>
        <v>45391</v>
      </c>
    </row>
    <row r="2" spans="2:22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22" ht="15" x14ac:dyDescent="0.25">
      <c r="B5" s="23" t="s">
        <v>1</v>
      </c>
      <c r="C5" s="24">
        <f>SUMIF(I6:I31,"&gt;0",H6:H31)</f>
        <v>950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1100</v>
      </c>
      <c r="D6" s="2"/>
      <c r="E6" s="18">
        <v>652</v>
      </c>
      <c r="F6" s="25" t="s">
        <v>139</v>
      </c>
      <c r="G6" s="46" t="s">
        <v>8</v>
      </c>
      <c r="H6" s="8">
        <v>721</v>
      </c>
      <c r="I6" s="8">
        <v>721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653</v>
      </c>
      <c r="F7" s="25" t="s">
        <v>139</v>
      </c>
      <c r="G7" s="46" t="s">
        <v>8</v>
      </c>
      <c r="H7" s="8">
        <v>229</v>
      </c>
      <c r="I7" s="8">
        <v>229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20</v>
      </c>
      <c r="C8" s="29">
        <f>SUM(C6:C7)</f>
        <v>1100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 t="s">
        <v>57</v>
      </c>
      <c r="M11" s="16"/>
      <c r="O11" s="1">
        <f>IF(C15=0,0,1)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950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1100</v>
      </c>
      <c r="D15" s="2"/>
      <c r="E15" s="18"/>
      <c r="F15" s="25"/>
      <c r="G15" s="26"/>
      <c r="H15" s="8"/>
      <c r="I15" s="8"/>
      <c r="J15" s="2"/>
      <c r="K15" s="86">
        <v>629</v>
      </c>
      <c r="L15" s="9" t="s">
        <v>127</v>
      </c>
      <c r="M15" s="93" t="s">
        <v>25</v>
      </c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26</v>
      </c>
      <c r="C21" s="32">
        <f>C5</f>
        <v>950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629</v>
      </c>
      <c r="F26" s="25" t="s">
        <v>138</v>
      </c>
      <c r="G26" s="46" t="s">
        <v>6</v>
      </c>
      <c r="H26" s="8">
        <v>0</v>
      </c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21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  <c r="U33" s="1" t="s">
        <v>165</v>
      </c>
    </row>
    <row r="34" spans="5:21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5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5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5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5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5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'09'!B1+1</f>
        <v>45392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SUMIF(I6:I32,"&gt;0",H6:H32)</f>
        <v>10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1740.99</v>
      </c>
      <c r="D6" s="2"/>
      <c r="E6" s="18">
        <v>654</v>
      </c>
      <c r="F6" s="25" t="s">
        <v>143</v>
      </c>
      <c r="G6" s="46" t="s">
        <v>9</v>
      </c>
      <c r="H6" s="8">
        <v>10</v>
      </c>
      <c r="I6" s="8">
        <v>10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20</v>
      </c>
      <c r="C8" s="29">
        <f>SUM(C6:C7)</f>
        <v>1740.99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1490.99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250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1740.99</v>
      </c>
      <c r="D15" s="2"/>
      <c r="E15" s="18"/>
      <c r="F15" s="25"/>
      <c r="G15" s="26"/>
      <c r="H15" s="8"/>
      <c r="I15" s="8"/>
      <c r="J15" s="2"/>
      <c r="K15" s="94">
        <v>393</v>
      </c>
      <c r="L15" s="95" t="s">
        <v>171</v>
      </c>
      <c r="M15" s="96" t="s">
        <v>25</v>
      </c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94">
        <v>631</v>
      </c>
      <c r="L16" s="9" t="s">
        <v>127</v>
      </c>
      <c r="M16" s="97" t="s">
        <v>25</v>
      </c>
      <c r="R16" s="1">
        <f>IF(vend10[[#This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94">
        <v>632</v>
      </c>
      <c r="L17" s="9" t="s">
        <v>127</v>
      </c>
      <c r="M17" s="96" t="s">
        <v>25</v>
      </c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94">
        <v>633</v>
      </c>
      <c r="L18" s="95" t="s">
        <v>146</v>
      </c>
      <c r="M18" s="96" t="s">
        <v>25</v>
      </c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26</v>
      </c>
      <c r="C21" s="32">
        <f>C5</f>
        <v>10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631</v>
      </c>
      <c r="F26" s="25" t="s">
        <v>140</v>
      </c>
      <c r="G26" s="46" t="s">
        <v>8</v>
      </c>
      <c r="H26" s="8">
        <v>0</v>
      </c>
      <c r="I26" s="8">
        <v>568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632</v>
      </c>
      <c r="F27" s="25" t="s">
        <v>141</v>
      </c>
      <c r="G27" s="46" t="s">
        <v>8</v>
      </c>
      <c r="H27" s="8">
        <v>0</v>
      </c>
      <c r="I27" s="8">
        <v>572.99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633</v>
      </c>
      <c r="F28" s="25" t="s">
        <v>142</v>
      </c>
      <c r="G28" s="46" t="s">
        <v>8</v>
      </c>
      <c r="H28" s="8">
        <v>0</v>
      </c>
      <c r="I28" s="8">
        <v>350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393</v>
      </c>
      <c r="F29" s="25" t="s">
        <v>143</v>
      </c>
      <c r="G29" s="26" t="s">
        <v>9</v>
      </c>
      <c r="H29" s="8">
        <v>0</v>
      </c>
      <c r="I29" s="8">
        <v>240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42" t="s">
        <v>11</v>
      </c>
      <c r="L33" s="143"/>
      <c r="M33" s="144"/>
    </row>
    <row r="34" spans="5:18" ht="15" x14ac:dyDescent="0.25">
      <c r="E34" s="141" t="s">
        <v>28</v>
      </c>
      <c r="F34" s="141"/>
      <c r="G34" s="141"/>
      <c r="H34" s="141"/>
      <c r="I34" s="141"/>
      <c r="K34" s="14" t="s">
        <v>22</v>
      </c>
      <c r="L34" s="6" t="s">
        <v>31</v>
      </c>
      <c r="M34" s="15" t="s">
        <v>32</v>
      </c>
    </row>
    <row r="35" spans="5:18" ht="15" x14ac:dyDescent="0.25">
      <c r="E35" s="10" t="s">
        <v>22</v>
      </c>
      <c r="F35" s="10" t="s">
        <v>14</v>
      </c>
      <c r="G35" s="11" t="s">
        <v>15</v>
      </c>
      <c r="H35" s="12" t="s">
        <v>29</v>
      </c>
      <c r="I35" s="13" t="s">
        <v>30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1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H8" sqref="H8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'10'!B1+1</f>
        <v>45393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>
        <v>649</v>
      </c>
      <c r="L15" s="9" t="s">
        <v>144</v>
      </c>
      <c r="M15" s="16" t="s">
        <v>25</v>
      </c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646</v>
      </c>
      <c r="L16" s="9" t="s">
        <v>144</v>
      </c>
      <c r="M16" s="16" t="s">
        <v>25</v>
      </c>
      <c r="R16" s="1">
        <f>IF(vend11[[#This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>
        <v>647</v>
      </c>
      <c r="L17" s="9" t="s">
        <v>144</v>
      </c>
      <c r="M17" s="16" t="s">
        <v>25</v>
      </c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1" zoomScale="80" zoomScaleNormal="8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45394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10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150</v>
      </c>
      <c r="D6" s="2"/>
      <c r="E6" s="92">
        <v>655</v>
      </c>
      <c r="F6" s="52" t="s">
        <v>143</v>
      </c>
      <c r="G6" s="52" t="s">
        <v>39</v>
      </c>
      <c r="H6" s="53">
        <v>0</v>
      </c>
      <c r="I6" s="53">
        <v>0</v>
      </c>
      <c r="J6" s="2"/>
      <c r="K6" s="25" t="s">
        <v>147</v>
      </c>
      <c r="L6" s="9" t="s">
        <v>9</v>
      </c>
      <c r="M6" s="16">
        <v>25</v>
      </c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25</v>
      </c>
      <c r="D7" s="2"/>
      <c r="E7" s="57">
        <v>656</v>
      </c>
      <c r="F7" s="54" t="s">
        <v>145</v>
      </c>
      <c r="G7" s="54" t="s">
        <v>6</v>
      </c>
      <c r="H7" s="55">
        <v>10</v>
      </c>
      <c r="I7" s="55">
        <v>10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20</v>
      </c>
      <c r="C8" s="29">
        <f>SUM(C6:C7)</f>
        <v>175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150</v>
      </c>
      <c r="D15" s="2"/>
      <c r="E15" s="18"/>
      <c r="F15" s="25"/>
      <c r="G15" s="26"/>
      <c r="H15" s="8"/>
      <c r="I15" s="8"/>
      <c r="J15" s="2"/>
      <c r="K15" s="25">
        <v>637</v>
      </c>
      <c r="L15" s="9" t="s">
        <v>146</v>
      </c>
      <c r="M15" s="16" t="s">
        <v>128</v>
      </c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638</v>
      </c>
      <c r="L16" s="9" t="s">
        <v>146</v>
      </c>
      <c r="M16" s="16" t="s">
        <v>128</v>
      </c>
      <c r="R16" s="1">
        <f>IF(vend12[[#This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>
        <v>650</v>
      </c>
      <c r="L17" s="9" t="s">
        <v>144</v>
      </c>
      <c r="M17" s="16" t="s">
        <v>25</v>
      </c>
      <c r="R17" s="1">
        <f>IF(vend12[[#This Row],[Nº Venda]]&gt;1,1,0)</f>
        <v>0</v>
      </c>
    </row>
    <row r="18" spans="2:18" ht="15.75" x14ac:dyDescent="0.25">
      <c r="B18" s="30">
        <f>COUNT(entr_carn12[OS])</f>
        <v>1</v>
      </c>
      <c r="C18" s="31">
        <f>SUM(entr_carn12[Valor Total])</f>
        <v>800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800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26</v>
      </c>
      <c r="C21" s="32">
        <f>C5</f>
        <v>10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637</v>
      </c>
      <c r="F26" s="56" t="s">
        <v>145</v>
      </c>
      <c r="G26" s="46" t="s">
        <v>6</v>
      </c>
      <c r="H26" s="8">
        <v>0</v>
      </c>
      <c r="I26" s="8">
        <v>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638</v>
      </c>
      <c r="F27" s="25" t="s">
        <v>145</v>
      </c>
      <c r="G27" s="26" t="s">
        <v>6</v>
      </c>
      <c r="H27" s="8">
        <v>0</v>
      </c>
      <c r="I27" s="8">
        <v>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>
        <v>637</v>
      </c>
      <c r="L35" s="41">
        <v>8</v>
      </c>
      <c r="M35" s="16">
        <v>800</v>
      </c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9" zoomScale="80" zoomScaleNormal="8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45395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2" zoomScale="80" zoomScaleNormal="80" workbookViewId="0">
      <selection activeCell="U33" sqref="U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45396</v>
      </c>
    </row>
    <row r="2" spans="2:18" ht="18.75" x14ac:dyDescent="0.2">
      <c r="B2" s="145" t="s">
        <v>12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48" t="s">
        <v>1</v>
      </c>
      <c r="F4" s="148"/>
      <c r="G4" s="148"/>
      <c r="H4" s="148"/>
      <c r="I4" s="148"/>
      <c r="J4" s="22"/>
      <c r="K4" s="142" t="s">
        <v>3</v>
      </c>
      <c r="L4" s="143"/>
      <c r="M4" s="14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40" t="s">
        <v>5</v>
      </c>
      <c r="C10" s="14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42" t="s">
        <v>21</v>
      </c>
      <c r="L13" s="143"/>
      <c r="M13" s="144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140" t="s">
        <v>11</v>
      </c>
      <c r="C17" s="14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41" t="s">
        <v>27</v>
      </c>
      <c r="F24" s="141"/>
      <c r="G24" s="141"/>
      <c r="H24" s="141"/>
      <c r="I24" s="14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41" t="s">
        <v>28</v>
      </c>
      <c r="F33" s="141"/>
      <c r="G33" s="141"/>
      <c r="H33" s="141"/>
      <c r="I33" s="141"/>
      <c r="K33" s="142" t="s">
        <v>11</v>
      </c>
      <c r="L33" s="143"/>
      <c r="M33" s="14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9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'14'!B1+1</f>
        <v>45397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100</v>
      </c>
      <c r="D6" s="2"/>
      <c r="E6" s="98">
        <v>657</v>
      </c>
      <c r="F6" s="98" t="s">
        <v>148</v>
      </c>
      <c r="G6" s="100" t="s">
        <v>7</v>
      </c>
      <c r="H6" s="101">
        <v>100</v>
      </c>
      <c r="I6" s="101">
        <v>100</v>
      </c>
      <c r="J6" s="2"/>
      <c r="K6" s="103"/>
      <c r="L6" s="104"/>
      <c r="M6" s="105"/>
      <c r="R6" s="119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0"/>
      <c r="H7" s="101"/>
      <c r="I7" s="101"/>
      <c r="J7" s="2"/>
      <c r="K7" s="103"/>
      <c r="L7" s="104"/>
      <c r="M7" s="105"/>
      <c r="R7" s="119">
        <f>IF(vend15[[#This Row],[Nº Venda]]&gt;1,1,0)</f>
        <v>0</v>
      </c>
    </row>
    <row r="8" spans="2:18" ht="15.75" x14ac:dyDescent="0.25">
      <c r="B8" s="127" t="s">
        <v>20</v>
      </c>
      <c r="C8" s="128">
        <f>SUM(C6:C7)</f>
        <v>100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IF(vend15[[#This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IF(vend15[[#This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100</v>
      </c>
      <c r="D12" s="2"/>
      <c r="E12" s="98"/>
      <c r="F12" s="98"/>
      <c r="G12" s="102"/>
      <c r="H12" s="101"/>
      <c r="I12" s="101"/>
      <c r="J12" s="2"/>
      <c r="R12" s="119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IF(vend15[[#This Row],[Nº Venda]]&gt;1,1,0)</f>
        <v>0</v>
      </c>
    </row>
    <row r="15" spans="2:18" ht="15.75" x14ac:dyDescent="0.25">
      <c r="B15" s="127" t="s">
        <v>10</v>
      </c>
      <c r="C15" s="129">
        <f>SUM(C11:C14)</f>
        <v>180</v>
      </c>
      <c r="D15" s="2"/>
      <c r="E15" s="98"/>
      <c r="F15" s="98"/>
      <c r="G15" s="102"/>
      <c r="H15" s="101"/>
      <c r="I15" s="101"/>
      <c r="J15" s="2"/>
      <c r="K15" s="118"/>
      <c r="L15" s="130"/>
      <c r="M15" s="117"/>
      <c r="R15" s="119">
        <f>IF(vend15[[#This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IF(vend15[[#This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IF(vend15[[#This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18"/>
      <c r="L19" s="130"/>
      <c r="M19" s="117"/>
      <c r="R19" s="119">
        <f>IF(vend15[[#This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IF(vend15[[#This Row],[Nº Venda]]&gt;1,1,0)</f>
        <v>0</v>
      </c>
    </row>
    <row r="21" spans="2:18" ht="15.75" x14ac:dyDescent="0.25">
      <c r="B21" s="127" t="s">
        <v>26</v>
      </c>
      <c r="C21" s="129">
        <f>C5</f>
        <v>100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0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>
        <v>608</v>
      </c>
      <c r="F35" s="99" t="s">
        <v>149</v>
      </c>
      <c r="G35" s="26" t="s">
        <v>6</v>
      </c>
      <c r="H35" s="8">
        <v>80</v>
      </c>
      <c r="I35" s="8" t="s">
        <v>41</v>
      </c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1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9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'15'!B1+1</f>
        <v>45398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1100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500</v>
      </c>
      <c r="D6" s="2"/>
      <c r="E6" s="98">
        <v>658</v>
      </c>
      <c r="F6" s="98" t="s">
        <v>150</v>
      </c>
      <c r="G6" s="100" t="s">
        <v>7</v>
      </c>
      <c r="H6" s="101">
        <v>1100</v>
      </c>
      <c r="I6" s="101">
        <v>500</v>
      </c>
      <c r="J6" s="2"/>
      <c r="K6" s="103" t="s">
        <v>152</v>
      </c>
      <c r="L6" s="104" t="s">
        <v>9</v>
      </c>
      <c r="M6" s="105">
        <v>90</v>
      </c>
      <c r="R6" s="119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90</v>
      </c>
      <c r="D7" s="2"/>
      <c r="E7" s="98"/>
      <c r="F7" s="98"/>
      <c r="G7" s="100"/>
      <c r="H7" s="101"/>
      <c r="I7" s="101"/>
      <c r="J7" s="2"/>
      <c r="K7" s="103"/>
      <c r="L7" s="104"/>
      <c r="M7" s="105"/>
      <c r="R7" s="119">
        <f>IF(vend16[[#This Row],[Nº Venda]]&gt;1,1,0)</f>
        <v>0</v>
      </c>
    </row>
    <row r="8" spans="2:18" ht="15.75" x14ac:dyDescent="0.25">
      <c r="B8" s="127" t="s">
        <v>20</v>
      </c>
      <c r="C8" s="128">
        <f>SUM(C6:C7)</f>
        <v>590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IF(vend16[[#This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IF(vend16[[#This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500</v>
      </c>
      <c r="D12" s="2"/>
      <c r="E12" s="98"/>
      <c r="F12" s="98"/>
      <c r="G12" s="102"/>
      <c r="H12" s="101"/>
      <c r="I12" s="101"/>
      <c r="J12" s="2"/>
      <c r="R12" s="119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85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IF(vend16[[#This Row],[Nº Venda]]&gt;1,1,0)</f>
        <v>0</v>
      </c>
    </row>
    <row r="15" spans="2:18" ht="15.75" x14ac:dyDescent="0.25">
      <c r="B15" s="127" t="s">
        <v>10</v>
      </c>
      <c r="C15" s="129">
        <f>SUM(C11:C14)</f>
        <v>585</v>
      </c>
      <c r="D15" s="2"/>
      <c r="E15" s="98"/>
      <c r="F15" s="98"/>
      <c r="G15" s="102"/>
      <c r="H15" s="101"/>
      <c r="I15" s="101"/>
      <c r="J15" s="2"/>
      <c r="K15" s="103">
        <v>625</v>
      </c>
      <c r="L15" s="104" t="s">
        <v>144</v>
      </c>
      <c r="M15" s="105" t="s">
        <v>128</v>
      </c>
      <c r="R15" s="119">
        <f>IF(vend16[[#This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>
        <v>634</v>
      </c>
      <c r="L16" s="104" t="s">
        <v>144</v>
      </c>
      <c r="M16" s="105" t="s">
        <v>25</v>
      </c>
      <c r="R16" s="119">
        <f>IF(vend16[[#This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18">
        <v>635</v>
      </c>
      <c r="L17" s="104" t="s">
        <v>144</v>
      </c>
      <c r="M17" s="117" t="s">
        <v>25</v>
      </c>
      <c r="R17" s="119">
        <f>IF(vend16[[#This Row],[Nº Venda]]&gt;1,1,0)</f>
        <v>0</v>
      </c>
    </row>
    <row r="18" spans="2:18" ht="15.75" x14ac:dyDescent="0.25">
      <c r="B18" s="30">
        <f>COUNT(entr_carn16[OS])</f>
        <v>1</v>
      </c>
      <c r="C18" s="31">
        <f>SUM(entr_carn16[Valor Total])</f>
        <v>627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IF(vend16[[#This Row],[Nº Venda]]&gt;1,1,0)</f>
        <v>0</v>
      </c>
    </row>
    <row r="19" spans="2:18" ht="15.75" x14ac:dyDescent="0.25">
      <c r="B19" s="127" t="s">
        <v>10</v>
      </c>
      <c r="C19" s="129">
        <f>SUM(C18:C18)</f>
        <v>627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IF(vend16[[#This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IF(vend16[[#This Row],[Nº Venda]]&gt;1,1,0)</f>
        <v>0</v>
      </c>
    </row>
    <row r="21" spans="2:18" ht="15.75" x14ac:dyDescent="0.25">
      <c r="B21" s="127" t="s">
        <v>26</v>
      </c>
      <c r="C21" s="129">
        <f>C5</f>
        <v>1100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0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>
        <v>521</v>
      </c>
      <c r="F35" s="99" t="s">
        <v>151</v>
      </c>
      <c r="G35" s="26" t="s">
        <v>9</v>
      </c>
      <c r="H35" s="8">
        <v>85</v>
      </c>
      <c r="I35" s="8" t="s">
        <v>40</v>
      </c>
      <c r="K35" s="103">
        <v>625</v>
      </c>
      <c r="L35" s="108">
        <v>10</v>
      </c>
      <c r="M35" s="105">
        <v>627</v>
      </c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1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22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'16'!B1+1</f>
        <v>45399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1000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1000</v>
      </c>
      <c r="D6" s="2"/>
      <c r="E6" s="98">
        <v>659</v>
      </c>
      <c r="F6" s="98" t="s">
        <v>153</v>
      </c>
      <c r="G6" s="102" t="s">
        <v>8</v>
      </c>
      <c r="H6" s="101">
        <v>1000</v>
      </c>
      <c r="I6" s="101">
        <v>1000</v>
      </c>
      <c r="J6" s="2"/>
      <c r="K6" s="103"/>
      <c r="L6" s="104"/>
      <c r="M6" s="105"/>
      <c r="R6" s="119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IF(vend17[[#This Row],[Nº Venda]]&gt;1,1,0)</f>
        <v>0</v>
      </c>
    </row>
    <row r="8" spans="2:18" ht="15.75" x14ac:dyDescent="0.25">
      <c r="B8" s="127" t="s">
        <v>20</v>
      </c>
      <c r="C8" s="128">
        <f>SUM(C6:C7)</f>
        <v>1000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IF(vend17[[#This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IF(vend17[[#This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1000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IF(vend17[[#This Row],[Nº Venda]]&gt;1,1,0)</f>
        <v>0</v>
      </c>
    </row>
    <row r="15" spans="2:18" ht="15.75" x14ac:dyDescent="0.25">
      <c r="B15" s="127" t="s">
        <v>10</v>
      </c>
      <c r="C15" s="129">
        <f>SUM(C11:C14)</f>
        <v>1000</v>
      </c>
      <c r="D15" s="2"/>
      <c r="E15" s="98"/>
      <c r="F15" s="98"/>
      <c r="G15" s="102"/>
      <c r="H15" s="101"/>
      <c r="I15" s="101"/>
      <c r="J15" s="2"/>
      <c r="K15" s="103">
        <v>651</v>
      </c>
      <c r="L15" s="104" t="s">
        <v>144</v>
      </c>
      <c r="M15" s="105" t="s">
        <v>25</v>
      </c>
      <c r="R15" s="119">
        <f>IF(vend17[[#This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>
        <v>657</v>
      </c>
      <c r="L16" s="104" t="s">
        <v>144</v>
      </c>
      <c r="M16" s="105" t="s">
        <v>25</v>
      </c>
      <c r="R16" s="119">
        <f>IF(vend17[[#This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IF(vend17[[#This Row],[Nº Venda]]&gt;1,1,0)</f>
        <v>0</v>
      </c>
    </row>
    <row r="18" spans="2:18" ht="15.75" x14ac:dyDescent="0.25">
      <c r="B18" s="30">
        <f>COUNT(entr_carn17[OS])</f>
        <v>0</v>
      </c>
      <c r="C18" s="31">
        <f>SUM(entr_carn17[Valor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IF(vend17[[#This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IF(vend17[[#This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IF(vend17[[#This Row],[Nº Venda]]&gt;1,1,0)</f>
        <v>0</v>
      </c>
    </row>
    <row r="21" spans="2:18" ht="15.75" x14ac:dyDescent="0.25">
      <c r="B21" s="127" t="s">
        <v>26</v>
      </c>
      <c r="C21" s="129">
        <f>C5</f>
        <v>1000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102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1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24" zoomScale="80" zoomScaleNormal="80" workbookViewId="0">
      <selection activeCell="V6" sqref="V6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'17'!B1+1</f>
        <v>45400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8">
        <v>660</v>
      </c>
      <c r="F6" s="98" t="s">
        <v>154</v>
      </c>
      <c r="G6" s="102" t="s">
        <v>39</v>
      </c>
      <c r="H6" s="101">
        <v>0</v>
      </c>
      <c r="I6" s="101">
        <v>0</v>
      </c>
      <c r="J6" s="2"/>
      <c r="K6" s="103" t="s">
        <v>155</v>
      </c>
      <c r="L6" s="107" t="s">
        <v>9</v>
      </c>
      <c r="M6" s="105">
        <v>13</v>
      </c>
      <c r="R6" s="119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13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IF(vend18[[#This Row],[Nº Venda]]&gt;1,1,0)</f>
        <v>0</v>
      </c>
    </row>
    <row r="8" spans="2:18" ht="15.75" x14ac:dyDescent="0.25">
      <c r="B8" s="127" t="s">
        <v>20</v>
      </c>
      <c r="C8" s="128">
        <f>SUM(C6:C7)</f>
        <v>13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IF(vend18[[#This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IF(vend18[[#This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144.28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IF(vend18[[#This Row],[Nº Venda]]&gt;1,1,0)</f>
        <v>0</v>
      </c>
    </row>
    <row r="15" spans="2:18" ht="15.75" x14ac:dyDescent="0.25">
      <c r="B15" s="127" t="s">
        <v>10</v>
      </c>
      <c r="C15" s="129">
        <f>SUM(C11:C14)</f>
        <v>144.28</v>
      </c>
      <c r="D15" s="2"/>
      <c r="E15" s="98"/>
      <c r="F15" s="98"/>
      <c r="G15" s="102"/>
      <c r="H15" s="101"/>
      <c r="I15" s="101"/>
      <c r="J15" s="2"/>
      <c r="K15" s="103">
        <v>650</v>
      </c>
      <c r="L15" s="104" t="s">
        <v>144</v>
      </c>
      <c r="M15" s="105" t="s">
        <v>25</v>
      </c>
      <c r="R15" s="119">
        <f>IF(vend18[[#This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IF(vend18[[#This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IF(vend18[[#This Row],[Nº Venda]]&gt;1,1,0)</f>
        <v>0</v>
      </c>
    </row>
    <row r="18" spans="2:18" ht="15.75" x14ac:dyDescent="0.25">
      <c r="B18" s="30">
        <f>COUNT(entr_carn18[OS])</f>
        <v>0</v>
      </c>
      <c r="C18" s="31">
        <f>SUM(entr_carn18[Valor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IF(vend18[[#This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IF(vend18[[#This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IF(vend18[[#This Row],[Nº Venda]]&gt;1,1,0)</f>
        <v>0</v>
      </c>
    </row>
    <row r="21" spans="2:18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6"/>
      <c r="F23" s="136"/>
      <c r="G23" s="136"/>
      <c r="H23" s="137"/>
      <c r="I23" s="137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>
        <v>522</v>
      </c>
      <c r="F35" s="99" t="s">
        <v>151</v>
      </c>
      <c r="G35" s="26" t="s">
        <v>9</v>
      </c>
      <c r="H35" s="8">
        <v>144.28</v>
      </c>
      <c r="I35" s="8" t="s">
        <v>40</v>
      </c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1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22" zoomScale="80" zoomScaleNormal="80" zoomScaleSheetLayoutView="70" workbookViewId="0">
      <selection activeCell="F11" sqref="F11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'18'!B1+1</f>
        <v>45401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8"/>
      <c r="F6" s="98"/>
      <c r="G6" s="102"/>
      <c r="H6" s="101"/>
      <c r="I6" s="101"/>
      <c r="J6" s="2"/>
      <c r="K6" s="103"/>
      <c r="L6" s="104"/>
      <c r="M6" s="105"/>
      <c r="R6" s="119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IF(vend19[[#This Row],[Nº Venda]]&gt;1,1,0)</f>
        <v>0</v>
      </c>
    </row>
    <row r="8" spans="2:18" ht="15.75" x14ac:dyDescent="0.25">
      <c r="B8" s="127" t="s">
        <v>20</v>
      </c>
      <c r="C8" s="128">
        <f>SUM(C6:C7)</f>
        <v>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IF(vend19[[#This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IF(vend19[[#This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0</v>
      </c>
      <c r="R11" s="119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IF(vend19[[#This Row],[Nº Venda]]&gt;1,1,0)</f>
        <v>0</v>
      </c>
    </row>
    <row r="15" spans="2:18" ht="15.75" x14ac:dyDescent="0.25">
      <c r="B15" s="127" t="s">
        <v>10</v>
      </c>
      <c r="C15" s="129">
        <f>SUM(C11:C14)</f>
        <v>0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IF(vend19[[#This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IF(vend19[[#This Row],[Nº Venda]]&gt;1,1,0)</f>
        <v>0</v>
      </c>
    </row>
    <row r="17" spans="2:22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IF(vend19[[#This Row],[Nº Venda]]&gt;1,1,0)</f>
        <v>0</v>
      </c>
    </row>
    <row r="19" spans="2:22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IF(vend19[[#This Row],[Nº Venda]]&gt;1,1,0)</f>
        <v>0</v>
      </c>
    </row>
    <row r="20" spans="2:22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IF(vend19[[#This Row],[Nº Venda]]&gt;1,1,0)</f>
        <v>0</v>
      </c>
      <c r="V20" s="119" t="s">
        <v>57</v>
      </c>
    </row>
    <row r="21" spans="2:22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22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22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22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22" ht="15.75" x14ac:dyDescent="0.25">
      <c r="B26" s="2"/>
      <c r="C26" s="2"/>
      <c r="D26" s="2"/>
      <c r="E26" s="98"/>
      <c r="F26" s="102"/>
      <c r="G26" s="102"/>
      <c r="H26" s="101"/>
      <c r="I26" s="101"/>
      <c r="J26" s="2"/>
      <c r="K26" s="103"/>
      <c r="L26" s="104"/>
      <c r="M26" s="105"/>
    </row>
    <row r="27" spans="2:22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22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22" ht="15.75" x14ac:dyDescent="0.25">
      <c r="B29" s="2"/>
      <c r="C29" s="2"/>
      <c r="D29" s="2"/>
      <c r="E29" s="98"/>
      <c r="F29" s="98"/>
      <c r="G29" s="102"/>
      <c r="H29" s="102"/>
      <c r="I29" s="101"/>
      <c r="J29" s="2"/>
      <c r="K29" s="103"/>
      <c r="L29" s="104"/>
      <c r="M29" s="105"/>
    </row>
    <row r="30" spans="2:22" ht="15.75" x14ac:dyDescent="0.25">
      <c r="B30" s="2"/>
      <c r="C30" s="2"/>
      <c r="D30" s="2"/>
      <c r="E30" s="98"/>
      <c r="F30" s="98"/>
      <c r="G30" s="102"/>
      <c r="H30" s="101"/>
      <c r="I30" s="101"/>
      <c r="J30" s="2"/>
      <c r="K30" s="103"/>
      <c r="L30" s="104"/>
      <c r="M30" s="105"/>
    </row>
    <row r="31" spans="2:22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22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0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2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'19'!B1+1</f>
        <v>45402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500</v>
      </c>
      <c r="D6" s="2"/>
      <c r="E6" s="98">
        <v>661</v>
      </c>
      <c r="F6" s="98" t="s">
        <v>156</v>
      </c>
      <c r="G6" s="102" t="s">
        <v>6</v>
      </c>
      <c r="H6" s="101">
        <v>200</v>
      </c>
      <c r="I6" s="101">
        <v>200</v>
      </c>
      <c r="J6" s="2"/>
      <c r="K6" s="103"/>
      <c r="L6" s="104"/>
      <c r="M6" s="105"/>
      <c r="R6" s="119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 t="s">
        <v>9</v>
      </c>
      <c r="H7" s="101">
        <v>300</v>
      </c>
      <c r="I7" s="101">
        <v>300</v>
      </c>
      <c r="J7" s="2"/>
      <c r="K7" s="103"/>
      <c r="L7" s="104"/>
      <c r="M7" s="105"/>
      <c r="R7" s="119">
        <f>IF(vend20[[#This Row],[Nº Venda]]&gt;1,1,0)</f>
        <v>0</v>
      </c>
    </row>
    <row r="8" spans="2:18" ht="15.75" x14ac:dyDescent="0.25">
      <c r="B8" s="127" t="s">
        <v>20</v>
      </c>
      <c r="C8" s="128">
        <f>SUM(C6:C7)</f>
        <v>500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IF(vend20[[#This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IF(vend20[[#This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300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IF(vend20[[#This Row],[Nº Venda]]&gt;1,1,0)</f>
        <v>0</v>
      </c>
    </row>
    <row r="15" spans="2:18" ht="15.75" x14ac:dyDescent="0.25">
      <c r="B15" s="127" t="s">
        <v>10</v>
      </c>
      <c r="C15" s="129">
        <f>SUM(C11:C14)</f>
        <v>500</v>
      </c>
      <c r="D15" s="2"/>
      <c r="E15" s="98"/>
      <c r="F15" s="98"/>
      <c r="G15" s="102"/>
      <c r="H15" s="101"/>
      <c r="I15" s="101"/>
      <c r="J15" s="2"/>
      <c r="K15" s="118">
        <v>652</v>
      </c>
      <c r="L15" s="104" t="s">
        <v>144</v>
      </c>
      <c r="M15" s="105" t="s">
        <v>25</v>
      </c>
      <c r="R15" s="119">
        <f>IF(vend20[[#This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18">
        <v>648</v>
      </c>
      <c r="L16" s="130" t="s">
        <v>144</v>
      </c>
      <c r="M16" s="117" t="s">
        <v>25</v>
      </c>
      <c r="R16" s="119">
        <f>IF(vend20[[#This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IF(vend20[[#This Row],[Nº Venda]]&gt;1,1,0)</f>
        <v>0</v>
      </c>
    </row>
    <row r="18" spans="2:18" ht="15.75" x14ac:dyDescent="0.25">
      <c r="B18" s="30">
        <f>COUNT(entr_carn20[OS])</f>
        <v>0</v>
      </c>
      <c r="C18" s="31">
        <f>SUM(entr_carn20[Valor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IF(vend20[[#This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IF(vend20[[#This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IF(vend20[[#This Row],[Nº Venda]]&gt;1,1,0)</f>
        <v>0</v>
      </c>
    </row>
    <row r="21" spans="2:18" ht="15.75" x14ac:dyDescent="0.25">
      <c r="B21" s="127" t="s">
        <v>26</v>
      </c>
      <c r="C21" s="129">
        <f>C5</f>
        <v>500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1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F11" sqref="F11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'20'!B1+1</f>
        <v>45403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8"/>
      <c r="F6" s="98"/>
      <c r="G6" s="102"/>
      <c r="H6" s="101"/>
      <c r="I6" s="101"/>
      <c r="J6" s="2"/>
      <c r="K6" s="103"/>
      <c r="L6" s="104"/>
      <c r="M6" s="105"/>
      <c r="R6" s="119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IF(vend21[[#This Row],[Nº Venda]]&gt;1,1,0)</f>
        <v>0</v>
      </c>
    </row>
    <row r="8" spans="2:18" ht="15.75" x14ac:dyDescent="0.25">
      <c r="B8" s="127" t="s">
        <v>20</v>
      </c>
      <c r="C8" s="128">
        <f>SUM(C6:C7)</f>
        <v>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IF(vend21[[#This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IF(vend21[[#This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0</v>
      </c>
      <c r="R11" s="119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IF(vend21[[#This Row],[Nº Venda]]&gt;1,1,0)</f>
        <v>0</v>
      </c>
    </row>
    <row r="15" spans="2:18" ht="15.75" x14ac:dyDescent="0.25">
      <c r="B15" s="127" t="s">
        <v>10</v>
      </c>
      <c r="C15" s="129">
        <f>SUM(C11:C14)</f>
        <v>0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IF(vend21[[#This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IF(vend21[[#This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IF(vend21[[#This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IF(vend21[[#This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IF(vend21[[#This Row],[Nº Venda]]&gt;1,1,0)</f>
        <v>0</v>
      </c>
    </row>
    <row r="21" spans="2:18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0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2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'21'!B1+1</f>
        <v>45404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8"/>
      <c r="F6" s="98"/>
      <c r="G6" s="102"/>
      <c r="H6" s="101"/>
      <c r="I6" s="101"/>
      <c r="J6" s="2"/>
      <c r="K6" s="103"/>
      <c r="L6" s="104"/>
      <c r="M6" s="105"/>
      <c r="R6" s="119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IF(vend22[[#This Row],[Nº Venda]]&gt;1,1,0)</f>
        <v>0</v>
      </c>
    </row>
    <row r="8" spans="2:18" ht="15.75" x14ac:dyDescent="0.25">
      <c r="B8" s="127" t="s">
        <v>20</v>
      </c>
      <c r="C8" s="128">
        <f>SUM(C6:C7)</f>
        <v>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IF(vend22[[#This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IF(vend22[[#This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65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129</v>
      </c>
      <c r="D12" s="2"/>
      <c r="E12" s="98"/>
      <c r="F12" s="98"/>
      <c r="G12" s="102"/>
      <c r="H12" s="101"/>
      <c r="I12" s="101"/>
      <c r="J12" s="2"/>
      <c r="R12" s="119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IF(vend22[[#This Row],[Nº Venda]]&gt;1,1,0)</f>
        <v>0</v>
      </c>
    </row>
    <row r="15" spans="2:18" ht="15.75" x14ac:dyDescent="0.25">
      <c r="B15" s="127" t="s">
        <v>10</v>
      </c>
      <c r="C15" s="129">
        <f>SUM(C11:C14)</f>
        <v>194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IF(vend22[[#This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IF(vend22[[#This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IF(vend22[[#This Row],[Nº Venda]]&gt;1,1,0)</f>
        <v>0</v>
      </c>
    </row>
    <row r="18" spans="2:18" ht="15.75" x14ac:dyDescent="0.25">
      <c r="B18" s="30">
        <f>COUNT(entr_carn22[OS])</f>
        <v>0</v>
      </c>
      <c r="C18" s="31">
        <f>SUM(entr_carn22[Valor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IF(vend22[[#This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IF(vend22[[#This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IF(vend22[[#This Row],[Nº Venda]]&gt;1,1,0)</f>
        <v>0</v>
      </c>
    </row>
    <row r="21" spans="2:18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38">
        <v>465</v>
      </c>
      <c r="F35" s="99" t="s">
        <v>157</v>
      </c>
      <c r="G35" s="26" t="s">
        <v>7</v>
      </c>
      <c r="H35" s="8">
        <v>129</v>
      </c>
      <c r="I35" s="8" t="s">
        <v>60</v>
      </c>
      <c r="K35" s="103"/>
      <c r="L35" s="108"/>
      <c r="M35" s="105"/>
    </row>
    <row r="36" spans="5:18" ht="15.75" x14ac:dyDescent="0.25">
      <c r="E36" s="108">
        <v>473</v>
      </c>
      <c r="F36" s="99" t="s">
        <v>158</v>
      </c>
      <c r="G36" s="26" t="s">
        <v>6</v>
      </c>
      <c r="H36" s="8">
        <v>65</v>
      </c>
      <c r="I36" s="8" t="s">
        <v>55</v>
      </c>
      <c r="K36" s="103"/>
      <c r="L36" s="108"/>
      <c r="M36" s="105"/>
    </row>
    <row r="37" spans="5:18" ht="15.75" x14ac:dyDescent="0.25">
      <c r="E37" s="10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10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10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0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0</v>
      </c>
    </row>
    <row r="41" spans="5:18" ht="15.75" x14ac:dyDescent="0.25">
      <c r="E41" s="139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32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'22'!B1+1</f>
        <v>45405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8"/>
      <c r="F6" s="98"/>
      <c r="G6" s="102"/>
      <c r="H6" s="101"/>
      <c r="I6" s="101"/>
      <c r="J6" s="2"/>
      <c r="K6" s="103"/>
      <c r="L6" s="104"/>
      <c r="M6" s="105"/>
      <c r="R6" s="119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IF(vend23[[#This Row],[Nº Venda]]&gt;1,1,0)</f>
        <v>0</v>
      </c>
    </row>
    <row r="8" spans="2:18" ht="15.75" x14ac:dyDescent="0.25">
      <c r="B8" s="127" t="s">
        <v>20</v>
      </c>
      <c r="C8" s="128">
        <f>SUM(C6:C7)</f>
        <v>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IF(vend23[[#This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IF(vend23[[#This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IF(vend23[[#This Row],[Nº Venda]]&gt;1,1,0)</f>
        <v>0</v>
      </c>
    </row>
    <row r="11" spans="2:18" ht="15.75" x14ac:dyDescent="0.25">
      <c r="B11" s="30" t="s">
        <v>6</v>
      </c>
      <c r="C11" s="133">
        <f>(SUMIF($G$2:$G$31,B11,$I$2:$I$31))+(SUMIF($G$35:$G$44,B11,$H$35:$H$44))</f>
        <v>152.4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IF(vend23[[#This Row],[Nº Venda]]&gt;1,1,0)</f>
        <v>0</v>
      </c>
    </row>
    <row r="12" spans="2:18" ht="15.75" x14ac:dyDescent="0.25">
      <c r="B12" s="30" t="s">
        <v>7</v>
      </c>
      <c r="C12" s="133">
        <f>(SUMIF($G$2:$G$31,B12,$I$2:$I$31))+(SUMIF($G$35:$G$44,B12,$H$35:$H$44))</f>
        <v>0</v>
      </c>
      <c r="D12" s="2"/>
      <c r="E12" s="98"/>
      <c r="F12" s="98"/>
      <c r="G12" s="102"/>
      <c r="H12" s="101"/>
      <c r="I12" s="101"/>
      <c r="J12" s="2"/>
      <c r="R12" s="119">
        <f>IF(vend23[[#This Row],[Nº Venda]]&gt;1,1,0)</f>
        <v>0</v>
      </c>
    </row>
    <row r="13" spans="2:18" ht="15.75" x14ac:dyDescent="0.25">
      <c r="B13" s="30" t="s">
        <v>8</v>
      </c>
      <c r="C13" s="133">
        <f>(SUMIF($G$2:$G$31,B13,$I$2:$I$31))+(SUMIF($G$35:$G$44,B13,$H$35:$H$44))</f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IF(vend23[[#This Row],[Nº Venda]]&gt;1,1,0)</f>
        <v>0</v>
      </c>
    </row>
    <row r="14" spans="2:18" ht="15.75" x14ac:dyDescent="0.25">
      <c r="B14" s="30" t="s">
        <v>9</v>
      </c>
      <c r="C14" s="133">
        <f>(SUMIF($G$2:$G$31,B14,$I$2:$I$31))+(SUMIF($G$35:$G$44,B14,$H$35:$H$44))</f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IF(vend23[[#This Row],[Nº Venda]]&gt;1,1,0)</f>
        <v>0</v>
      </c>
    </row>
    <row r="15" spans="2:18" ht="15.75" x14ac:dyDescent="0.25">
      <c r="B15" s="127" t="s">
        <v>10</v>
      </c>
      <c r="C15" s="129">
        <f>SUM(C11:C14)</f>
        <v>152.4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IF(vend23[[#This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IF(vend23[[#This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IF(vend23[[#This Row],[Nº Venda]]&gt;1,1,0)</f>
        <v>0</v>
      </c>
    </row>
    <row r="18" spans="2:18" ht="15.75" x14ac:dyDescent="0.25">
      <c r="B18" s="30">
        <f>COUNT(entr_carn23[OS])</f>
        <v>0</v>
      </c>
      <c r="C18" s="31">
        <f>SUM(entr_carn23[Valor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IF(vend23[[#This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IF(vend23[[#This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IF(vend23[[#This Row],[Nº Venda]]&gt;1,1,0)</f>
        <v>0</v>
      </c>
    </row>
    <row r="21" spans="2:18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>
        <v>198</v>
      </c>
      <c r="F35" s="99" t="s">
        <v>159</v>
      </c>
      <c r="G35" s="26" t="s">
        <v>6</v>
      </c>
      <c r="H35" s="8">
        <v>152.4</v>
      </c>
      <c r="I35" s="8" t="s">
        <v>60</v>
      </c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0</v>
      </c>
    </row>
    <row r="41" spans="5:18" ht="15.75" x14ac:dyDescent="0.25">
      <c r="E41" s="113"/>
      <c r="F41" s="26"/>
      <c r="G41" s="26"/>
      <c r="H41" s="8"/>
      <c r="I41" s="8"/>
      <c r="K41" s="112"/>
      <c r="L41" s="108"/>
      <c r="M41" s="111"/>
    </row>
    <row r="42" spans="5:18" ht="15.75" x14ac:dyDescent="0.25">
      <c r="E42" s="35"/>
      <c r="F42" s="134"/>
      <c r="G42" s="37"/>
      <c r="H42" s="17"/>
      <c r="I42" s="17"/>
    </row>
    <row r="43" spans="5:18" ht="15.75" x14ac:dyDescent="0.25">
      <c r="E43" s="35"/>
      <c r="F43" s="39"/>
      <c r="G43" s="26"/>
      <c r="H43" s="8"/>
      <c r="I43" s="8"/>
    </row>
    <row r="44" spans="5:18" ht="15.75" x14ac:dyDescent="0.25">
      <c r="E44" s="135"/>
      <c r="F44" s="134"/>
      <c r="G44" s="37"/>
      <c r="H44" s="1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7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'23'!B1+1</f>
        <v>45406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969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69</v>
      </c>
      <c r="D6" s="2"/>
      <c r="E6" s="98">
        <v>662</v>
      </c>
      <c r="F6" s="98" t="s">
        <v>160</v>
      </c>
      <c r="G6" s="102" t="s">
        <v>7</v>
      </c>
      <c r="H6" s="101">
        <v>969</v>
      </c>
      <c r="I6" s="101">
        <v>69</v>
      </c>
      <c r="J6" s="2"/>
      <c r="K6" s="103"/>
      <c r="L6" s="104"/>
      <c r="M6" s="105"/>
      <c r="R6" s="119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IF(vend24[[#This Row],[Nº Venda]]&gt;1,1,0)</f>
        <v>0</v>
      </c>
    </row>
    <row r="8" spans="2:18" ht="15.75" x14ac:dyDescent="0.25">
      <c r="B8" s="127" t="s">
        <v>20</v>
      </c>
      <c r="C8" s="128">
        <f>SUM(C6:C7)</f>
        <v>69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IF(vend24[[#This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IF(vend24[[#This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95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69</v>
      </c>
      <c r="D12" s="2"/>
      <c r="E12" s="98"/>
      <c r="F12" s="98"/>
      <c r="G12" s="102"/>
      <c r="H12" s="101"/>
      <c r="I12" s="101"/>
      <c r="J12" s="2"/>
      <c r="R12" s="119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IF(vend24[[#This Row],[Nº Venda]]&gt;1,1,0)</f>
        <v>0</v>
      </c>
    </row>
    <row r="15" spans="2:18" ht="15.75" x14ac:dyDescent="0.25">
      <c r="B15" s="127" t="s">
        <v>10</v>
      </c>
      <c r="C15" s="129">
        <f>SUM(C11:C14)</f>
        <v>164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IF(vend24[[#This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IF(vend24[[#This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IF(vend24[[#This Row],[Nº Venda]]&gt;1,1,0)</f>
        <v>0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IF(vend24[[#This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IF(vend24[[#This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IF(vend24[[#This Row],[Nº Venda]]&gt;1,1,0)</f>
        <v>0</v>
      </c>
    </row>
    <row r="21" spans="2:18" ht="15.75" x14ac:dyDescent="0.25">
      <c r="B21" s="127" t="s">
        <v>26</v>
      </c>
      <c r="C21" s="129">
        <f>C5</f>
        <v>969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>
        <v>537</v>
      </c>
      <c r="F35" s="99" t="s">
        <v>161</v>
      </c>
      <c r="G35" s="26" t="s">
        <v>6</v>
      </c>
      <c r="H35" s="8">
        <v>95</v>
      </c>
      <c r="I35" s="8" t="s">
        <v>40</v>
      </c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1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27" zoomScale="80" zoomScaleNormal="80" workbookViewId="0">
      <selection activeCell="F26" sqref="F26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'24'!B1+1</f>
        <v>45407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1800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2200</v>
      </c>
      <c r="D6" s="2"/>
      <c r="E6" s="98">
        <v>663</v>
      </c>
      <c r="F6" s="98" t="s">
        <v>163</v>
      </c>
      <c r="G6" s="102" t="s">
        <v>8</v>
      </c>
      <c r="H6" s="101">
        <v>1100</v>
      </c>
      <c r="I6" s="101">
        <v>1100</v>
      </c>
      <c r="J6" s="2"/>
      <c r="K6" s="103" t="s">
        <v>162</v>
      </c>
      <c r="L6" s="104" t="s">
        <v>9</v>
      </c>
      <c r="M6" s="105">
        <v>15</v>
      </c>
      <c r="R6" s="119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15</v>
      </c>
      <c r="D7" s="2"/>
      <c r="E7" s="98">
        <v>664</v>
      </c>
      <c r="F7" s="98" t="s">
        <v>164</v>
      </c>
      <c r="G7" s="102" t="s">
        <v>7</v>
      </c>
      <c r="H7" s="101">
        <v>700</v>
      </c>
      <c r="I7" s="101">
        <v>500</v>
      </c>
      <c r="J7" s="2"/>
      <c r="K7" s="103"/>
      <c r="L7" s="104"/>
      <c r="M7" s="105"/>
      <c r="R7" s="119">
        <f>IF(vend25[[#This Row],[Nº Venda]]&gt;1,1,0)</f>
        <v>1</v>
      </c>
    </row>
    <row r="8" spans="2:18" ht="15.75" x14ac:dyDescent="0.25">
      <c r="B8" s="127" t="s">
        <v>20</v>
      </c>
      <c r="C8" s="128">
        <f>SUM(C6:C7)</f>
        <v>2215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IF(vend25[[#This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IF(vend25[[#This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 ca="1">IF(C15=0,0,1)</f>
        <v>1</v>
      </c>
      <c r="R11" s="119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1100</v>
      </c>
      <c r="D12" s="2"/>
      <c r="E12" s="98"/>
      <c r="F12" s="98"/>
      <c r="G12" s="102"/>
      <c r="H12" s="101"/>
      <c r="I12" s="101"/>
      <c r="J12" s="2"/>
      <c r="R12" s="119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1100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IF(vend25[[#This Row],[Nº Venda]]&gt;1,1,0)</f>
        <v>0</v>
      </c>
    </row>
    <row r="15" spans="2:18" ht="15.75" x14ac:dyDescent="0.25">
      <c r="B15" s="127" t="s">
        <v>10</v>
      </c>
      <c r="C15" s="129">
        <f ca="1">SUM(C11:C14)</f>
        <v>2200</v>
      </c>
      <c r="D15" s="2"/>
      <c r="E15" s="98"/>
      <c r="F15" s="98"/>
      <c r="G15" s="102"/>
      <c r="H15" s="101"/>
      <c r="I15" s="101"/>
      <c r="J15" s="2"/>
      <c r="K15" s="103">
        <v>658</v>
      </c>
      <c r="L15" s="104" t="s">
        <v>144</v>
      </c>
      <c r="M15" s="105" t="s">
        <v>25</v>
      </c>
      <c r="R15" s="119">
        <f>IF(vend25[[#This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>
        <v>659</v>
      </c>
      <c r="L16" s="104" t="s">
        <v>144</v>
      </c>
      <c r="M16" s="105" t="s">
        <v>25</v>
      </c>
      <c r="R16" s="119">
        <f>IF(vend25[[#This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IF(vend25[[#This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IF(vend25[[#This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IF(vend25[[#This Row],[Nº Venda]]&gt;1,1,0)</f>
        <v>0</v>
      </c>
    </row>
    <row r="21" spans="2:18" ht="15.75" x14ac:dyDescent="0.25">
      <c r="B21" s="127" t="s">
        <v>26</v>
      </c>
      <c r="C21" s="129">
        <f>C5</f>
        <v>1800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>
        <v>658</v>
      </c>
      <c r="F26" s="98" t="s">
        <v>150</v>
      </c>
      <c r="G26" s="102" t="s">
        <v>7</v>
      </c>
      <c r="H26" s="101">
        <v>0</v>
      </c>
      <c r="I26" s="101">
        <v>600</v>
      </c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71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2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V41"/>
  <sheetViews>
    <sheetView showGridLines="0" topLeftCell="A21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22" ht="27" x14ac:dyDescent="0.5">
      <c r="B1" s="58">
        <f>'25'!B1+1</f>
        <v>45408</v>
      </c>
    </row>
    <row r="2" spans="2:22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22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22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49.9</v>
      </c>
      <c r="D6" s="2"/>
      <c r="E6" s="98"/>
      <c r="F6" s="98"/>
      <c r="G6" s="102"/>
      <c r="H6" s="101"/>
      <c r="I6" s="101"/>
      <c r="J6" s="2"/>
      <c r="K6" s="103"/>
      <c r="L6" s="104"/>
      <c r="M6" s="105"/>
      <c r="R6" s="119">
        <f>IF(vend26[[#This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IF(vend26[[#This Row],[Nº Venda]]&gt;1,1,0)</f>
        <v>0</v>
      </c>
    </row>
    <row r="8" spans="2:22" ht="15.75" x14ac:dyDescent="0.25">
      <c r="B8" s="127" t="s">
        <v>20</v>
      </c>
      <c r="C8" s="128">
        <f>SUM(C6:C7)</f>
        <v>49.9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IF(vend26[[#This Row],[Nº Venda]]&gt;1,1,0)</f>
        <v>0</v>
      </c>
    </row>
    <row r="9" spans="2:22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IF(vend26[[#This Row],[Nº Venda]]&gt;1,1,0)</f>
        <v>0</v>
      </c>
    </row>
    <row r="10" spans="2:22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IF(vend26[[#This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 t="s">
        <v>165</v>
      </c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IF(vend26[[#This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49.9</v>
      </c>
      <c r="D12" s="2"/>
      <c r="E12" s="98"/>
      <c r="F12" s="98"/>
      <c r="G12" s="102"/>
      <c r="H12" s="101"/>
      <c r="I12" s="101"/>
      <c r="J12" s="2"/>
      <c r="R12" s="119">
        <f>IF(vend26[[#This Row],[Nº Venda]]&gt;1,1,0)</f>
        <v>0</v>
      </c>
      <c r="V12" s="119" t="s">
        <v>165</v>
      </c>
    </row>
    <row r="13" spans="2:22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IF(vend26[[#This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IF(vend26[[#This Row],[Nº Venda]]&gt;1,1,0)</f>
        <v>0</v>
      </c>
    </row>
    <row r="15" spans="2:22" ht="15.75" x14ac:dyDescent="0.25">
      <c r="B15" s="127" t="s">
        <v>10</v>
      </c>
      <c r="C15" s="129">
        <f>SUM(C11:C14)</f>
        <v>49.9</v>
      </c>
      <c r="D15" s="2"/>
      <c r="E15" s="98"/>
      <c r="F15" s="98"/>
      <c r="G15" s="102"/>
      <c r="H15" s="101"/>
      <c r="I15" s="101"/>
      <c r="J15" s="2"/>
      <c r="K15" s="103">
        <v>661</v>
      </c>
      <c r="L15" s="104" t="s">
        <v>144</v>
      </c>
      <c r="M15" s="105" t="s">
        <v>25</v>
      </c>
      <c r="R15" s="119">
        <f>IF(vend26[[#This Row],[Nº Venda]]&gt;1,1,0)</f>
        <v>0</v>
      </c>
    </row>
    <row r="16" spans="2:22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>
        <v>660</v>
      </c>
      <c r="L16" s="104" t="s">
        <v>144</v>
      </c>
      <c r="M16" s="105" t="s">
        <v>25</v>
      </c>
      <c r="R16" s="119">
        <f>IF(vend26[[#This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>
        <v>653</v>
      </c>
      <c r="L17" s="104" t="s">
        <v>144</v>
      </c>
      <c r="M17" s="105" t="s">
        <v>25</v>
      </c>
      <c r="R17" s="119">
        <f>IF(vend26[[#This Row],[Nº Venda]]&gt;1,1,0)</f>
        <v>0</v>
      </c>
    </row>
    <row r="18" spans="2:18" ht="15.75" x14ac:dyDescent="0.25">
      <c r="B18" s="30">
        <f>COUNT(entr_carn26[OS])</f>
        <v>0</v>
      </c>
      <c r="C18" s="31">
        <f>SUM(entr_carn26[Valor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IF(vend26[[#This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IF(vend26[[#This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IF(vend26[[#This Row],[Nº Venda]]&gt;1,1,0)</f>
        <v>0</v>
      </c>
    </row>
    <row r="21" spans="2:18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>
        <v>660</v>
      </c>
      <c r="F26" s="98" t="s">
        <v>154</v>
      </c>
      <c r="G26" s="102" t="s">
        <v>7</v>
      </c>
      <c r="H26" s="101">
        <v>0</v>
      </c>
      <c r="I26" s="101">
        <v>49.9</v>
      </c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0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V41"/>
  <sheetViews>
    <sheetView showGridLines="0" topLeftCell="A16" zoomScale="80" zoomScaleNormal="80" workbookViewId="0">
      <selection activeCell="AK22" sqref="AK22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22" ht="27" x14ac:dyDescent="0.5">
      <c r="B1" s="58">
        <f>'26'!B1+1</f>
        <v>45409</v>
      </c>
    </row>
    <row r="2" spans="2:22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22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22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22" ht="15" x14ac:dyDescent="0.25">
      <c r="B5" s="23" t="s">
        <v>1</v>
      </c>
      <c r="C5" s="24">
        <f>SUMIF(I6:I31,"&gt;0",H6:H31)</f>
        <v>1200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1200</v>
      </c>
      <c r="D6" s="2"/>
      <c r="E6" s="98">
        <v>665</v>
      </c>
      <c r="F6" s="98" t="s">
        <v>166</v>
      </c>
      <c r="G6" s="102" t="s">
        <v>8</v>
      </c>
      <c r="H6" s="101">
        <v>1200</v>
      </c>
      <c r="I6" s="101">
        <v>1200</v>
      </c>
      <c r="J6" s="2"/>
      <c r="K6" s="103"/>
      <c r="L6" s="104"/>
      <c r="M6" s="105"/>
      <c r="R6" s="119">
        <f>IF(vend27[[#This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IF(vend27[[#This Row],[Nº Venda]]&gt;1,1,0)</f>
        <v>0</v>
      </c>
    </row>
    <row r="8" spans="2:22" ht="15.75" x14ac:dyDescent="0.25">
      <c r="B8" s="127" t="s">
        <v>20</v>
      </c>
      <c r="C8" s="128">
        <f>SUM(C6:C7)</f>
        <v>1200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IF(vend27[[#This Row],[Nº Venda]]&gt;1,1,0)</f>
        <v>0</v>
      </c>
    </row>
    <row r="9" spans="2:22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IF(vend27[[#This Row],[Nº Venda]]&gt;1,1,0)</f>
        <v>0</v>
      </c>
      <c r="V9" s="119">
        <v>0</v>
      </c>
    </row>
    <row r="10" spans="2:22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IF(vend27[[#This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IF(vend27[[#This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IF(vend27[[#This Row],[Nº Venda]]&gt;1,1,0)</f>
        <v>0</v>
      </c>
    </row>
    <row r="13" spans="2:22" ht="15.75" x14ac:dyDescent="0.25">
      <c r="B13" s="30" t="s">
        <v>8</v>
      </c>
      <c r="C13" s="31">
        <f t="shared" si="0"/>
        <v>1200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IF(vend27[[#This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IF(vend27[[#This Row],[Nº Venda]]&gt;1,1,0)</f>
        <v>0</v>
      </c>
    </row>
    <row r="15" spans="2:22" ht="15.75" x14ac:dyDescent="0.25">
      <c r="B15" s="127" t="s">
        <v>10</v>
      </c>
      <c r="C15" s="129">
        <f>SUM(C11:C14)</f>
        <v>1200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IF(vend27[[#This Row],[Nº Venda]]&gt;1,1,0)</f>
        <v>0</v>
      </c>
    </row>
    <row r="16" spans="2:22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IF(vend27[[#This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IF(vend27[[#This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IF(vend27[[#This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IF(vend27[[#This Row],[Nº Venda]]&gt;1,1,0)</f>
        <v>0</v>
      </c>
    </row>
    <row r="21" spans="2:18" ht="15.75" x14ac:dyDescent="0.25">
      <c r="B21" s="127" t="s">
        <v>26</v>
      </c>
      <c r="C21" s="129">
        <f>C5</f>
        <v>1200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1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2" zoomScale="80" zoomScaleNormal="80" workbookViewId="0">
      <selection activeCell="F11" sqref="F11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'27'!B1+1</f>
        <v>45410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8"/>
      <c r="F6" s="98"/>
      <c r="G6" s="102"/>
      <c r="H6" s="101"/>
      <c r="I6" s="101"/>
      <c r="J6" s="2"/>
      <c r="K6" s="103"/>
      <c r="L6" s="104"/>
      <c r="M6" s="105"/>
      <c r="R6" s="119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IF(vend28[[#This Row],[Nº Venda]]&gt;1,1,0)</f>
        <v>0</v>
      </c>
    </row>
    <row r="8" spans="2:18" ht="15.75" x14ac:dyDescent="0.25">
      <c r="B8" s="127" t="s">
        <v>20</v>
      </c>
      <c r="C8" s="128">
        <f>SUM(C6:C7)</f>
        <v>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IF(vend28[[#This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IF(vend28[[#This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0</v>
      </c>
      <c r="R11" s="119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IF(vend28[[#This Row],[Nº Venda]]&gt;1,1,0)</f>
        <v>0</v>
      </c>
    </row>
    <row r="15" spans="2:18" ht="15.75" x14ac:dyDescent="0.25">
      <c r="B15" s="127" t="s">
        <v>10</v>
      </c>
      <c r="C15" s="129">
        <f>SUM(C11:C14)</f>
        <v>0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IF(vend28[[#This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IF(vend28[[#This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IF(vend28[[#This Row],[Nº Venda]]&gt;1,1,0)</f>
        <v>0</v>
      </c>
    </row>
    <row r="18" spans="2:18" ht="15.75" x14ac:dyDescent="0.25">
      <c r="B18" s="30">
        <f>COUNT(entr_carn28[OS])</f>
        <v>0</v>
      </c>
      <c r="C18" s="31">
        <f>SUM(entr_carn28[Valor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IF(vend28[[#This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IF(vend28[[#This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IF(vend28[[#This Row],[Nº Venda]]&gt;1,1,0)</f>
        <v>0</v>
      </c>
    </row>
    <row r="21" spans="2:18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0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4" zoomScale="80" zoomScaleNormal="80" workbookViewId="0">
      <selection activeCell="V8" sqref="V8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'28'!B1+1</f>
        <v>45411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8">
        <v>666</v>
      </c>
      <c r="F6" s="98" t="s">
        <v>167</v>
      </c>
      <c r="G6" s="102" t="s">
        <v>49</v>
      </c>
      <c r="H6" s="101">
        <v>70</v>
      </c>
      <c r="I6" s="101"/>
      <c r="J6" s="2"/>
      <c r="K6" s="103"/>
      <c r="L6" s="104"/>
      <c r="M6" s="105"/>
      <c r="R6" s="119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IF(vend29[[#This Row],[Nº Venda]]&gt;1,1,0)</f>
        <v>0</v>
      </c>
    </row>
    <row r="8" spans="2:18" ht="15.75" x14ac:dyDescent="0.25">
      <c r="B8" s="127" t="s">
        <v>20</v>
      </c>
      <c r="C8" s="128">
        <f>SUM(C6:C7)</f>
        <v>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IF(vend29[[#This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IF(vend29[[#This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0</v>
      </c>
      <c r="R11" s="119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IF(vend29[[#This Row],[Nº Venda]]&gt;1,1,0)</f>
        <v>0</v>
      </c>
    </row>
    <row r="15" spans="2:18" ht="15.75" x14ac:dyDescent="0.25">
      <c r="B15" s="127" t="s">
        <v>10</v>
      </c>
      <c r="C15" s="129">
        <f>SUM(C11:C14)</f>
        <v>0</v>
      </c>
      <c r="D15" s="2"/>
      <c r="E15" s="98"/>
      <c r="F15" s="98"/>
      <c r="G15" s="102"/>
      <c r="H15" s="101"/>
      <c r="I15" s="101"/>
      <c r="J15" s="2"/>
      <c r="K15" s="118"/>
      <c r="L15" s="104"/>
      <c r="M15" s="105"/>
      <c r="R15" s="119">
        <f>IF(vend29[[#This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18"/>
      <c r="L16" s="104"/>
      <c r="M16" s="105"/>
      <c r="R16" s="119">
        <f>IF(vend29[[#This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18"/>
      <c r="L17" s="104"/>
      <c r="M17" s="105"/>
      <c r="R17" s="119">
        <f>IF(vend29[[#This Row],[Nº Venda]]&gt;1,1,0)</f>
        <v>0</v>
      </c>
    </row>
    <row r="18" spans="2:18" ht="15.75" x14ac:dyDescent="0.25">
      <c r="B18" s="30">
        <f>COUNT(entr_carn29[OS])</f>
        <v>0</v>
      </c>
      <c r="C18" s="31">
        <f>SUM(entr_carn29[Valor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IF(vend29[[#This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IF(vend29[[#This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IF(vend29[[#This Row],[Nº Venda]]&gt;1,1,0)</f>
        <v>0</v>
      </c>
    </row>
    <row r="21" spans="2:18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1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abSelected="1" zoomScale="80" zoomScaleNormal="80" workbookViewId="0">
      <selection activeCell="U9" sqref="U9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'29'!B1+1</f>
        <v>45412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1800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800</v>
      </c>
      <c r="D6" s="2"/>
      <c r="E6" s="98">
        <v>667</v>
      </c>
      <c r="F6" s="98" t="s">
        <v>168</v>
      </c>
      <c r="G6" s="102" t="s">
        <v>6</v>
      </c>
      <c r="H6" s="101">
        <v>600</v>
      </c>
      <c r="I6" s="101">
        <v>600</v>
      </c>
      <c r="J6" s="2"/>
      <c r="K6" s="103" t="s">
        <v>155</v>
      </c>
      <c r="L6" s="104" t="s">
        <v>9</v>
      </c>
      <c r="M6" s="105">
        <v>13</v>
      </c>
      <c r="R6" s="119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103</v>
      </c>
      <c r="D7" s="2"/>
      <c r="E7" s="98">
        <v>668</v>
      </c>
      <c r="F7" s="98" t="s">
        <v>169</v>
      </c>
      <c r="G7" s="102" t="s">
        <v>8</v>
      </c>
      <c r="H7" s="101">
        <v>1200</v>
      </c>
      <c r="I7" s="101">
        <v>200</v>
      </c>
      <c r="J7" s="2"/>
      <c r="K7" s="103" t="s">
        <v>152</v>
      </c>
      <c r="L7" s="104" t="s">
        <v>170</v>
      </c>
      <c r="M7" s="105">
        <v>90</v>
      </c>
      <c r="R7" s="119">
        <f>IF(vend30[[#This Row],[Nº Venda]]&gt;1,1,0)</f>
        <v>1</v>
      </c>
    </row>
    <row r="8" spans="2:18" ht="15.75" x14ac:dyDescent="0.25">
      <c r="B8" s="127" t="s">
        <v>20</v>
      </c>
      <c r="C8" s="128">
        <f>SUM(C6:C7)</f>
        <v>903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IF(vend30[[#This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IF(vend30[[#This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1</v>
      </c>
      <c r="R11" s="119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IF(vend30[[#This Row],[Nº Venda]]&gt;1,1,0)</f>
        <v>0</v>
      </c>
    </row>
    <row r="15" spans="2:18" ht="15.75" x14ac:dyDescent="0.25">
      <c r="B15" s="127" t="s">
        <v>10</v>
      </c>
      <c r="C15" s="129">
        <f>SUM(C11:C14)</f>
        <v>800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IF(vend30[[#This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IF(vend30[[#This Row],[Nº Venda]]&gt;1,1,0)</f>
        <v>0</v>
      </c>
    </row>
    <row r="17" spans="2:22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IF(vend30[[#This Row],[Nº Venda]]&gt;1,1,0)</f>
        <v>0</v>
      </c>
    </row>
    <row r="19" spans="2:22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IF(vend30[[#This Row],[Nº Venda]]&gt;1,1,0)</f>
        <v>0</v>
      </c>
    </row>
    <row r="20" spans="2:22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IF(vend30[[#This Row],[Nº Venda]]&gt;1,1,0)</f>
        <v>0</v>
      </c>
    </row>
    <row r="21" spans="2:22" ht="15.75" x14ac:dyDescent="0.25">
      <c r="B21" s="127" t="s">
        <v>26</v>
      </c>
      <c r="C21" s="129">
        <f>C5</f>
        <v>1800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  <c r="V21" s="119" t="s">
        <v>124</v>
      </c>
    </row>
    <row r="22" spans="2:22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22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22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22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22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22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22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22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22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22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2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F11" sqref="F11"/>
    </sheetView>
  </sheetViews>
  <sheetFormatPr defaultColWidth="9.140625" defaultRowHeight="12.75" x14ac:dyDescent="0.2"/>
  <cols>
    <col min="1" max="1" width="3.7109375" style="119" customWidth="1"/>
    <col min="2" max="2" width="29.85546875" style="119" bestFit="1" customWidth="1"/>
    <col min="3" max="3" width="14" style="119" customWidth="1"/>
    <col min="4" max="4" width="2.7109375" style="119" customWidth="1"/>
    <col min="5" max="5" width="15.5703125" style="120" customWidth="1"/>
    <col min="6" max="6" width="26.28515625" style="120" customWidth="1"/>
    <col min="7" max="7" width="17.28515625" style="120" customWidth="1"/>
    <col min="8" max="8" width="19.140625" style="121" customWidth="1"/>
    <col min="9" max="9" width="15.5703125" style="121" customWidth="1"/>
    <col min="10" max="10" width="2.7109375" style="119" customWidth="1"/>
    <col min="11" max="11" width="21.7109375" style="122" customWidth="1"/>
    <col min="12" max="12" width="24.28515625" style="122" bestFit="1" customWidth="1"/>
    <col min="13" max="13" width="15.5703125" style="122" customWidth="1"/>
    <col min="14" max="14" width="4.28515625" style="119" customWidth="1"/>
    <col min="15" max="15" width="2.140625" style="119" hidden="1" customWidth="1"/>
    <col min="16" max="16" width="9.140625" style="119" hidden="1" customWidth="1"/>
    <col min="17" max="17" width="11.42578125" style="119" hidden="1" customWidth="1"/>
    <col min="18" max="18" width="2.42578125" style="119" hidden="1" customWidth="1"/>
    <col min="19" max="20" width="0" style="119" hidden="1" customWidth="1"/>
    <col min="21" max="16384" width="9.140625" style="119"/>
  </cols>
  <sheetData>
    <row r="1" spans="2:18" ht="27" x14ac:dyDescent="0.5">
      <c r="B1" s="58">
        <f>'30'!B1+1</f>
        <v>45413</v>
      </c>
    </row>
    <row r="2" spans="2:18" ht="18.75" x14ac:dyDescent="0.2">
      <c r="B2" s="153" t="s">
        <v>12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2:18" ht="18.75" x14ac:dyDescent="0.2"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2:18" ht="15" x14ac:dyDescent="0.25">
      <c r="B4" s="124" t="s">
        <v>0</v>
      </c>
      <c r="C4" s="125">
        <v>0</v>
      </c>
      <c r="D4" s="126"/>
      <c r="E4" s="156" t="s">
        <v>1</v>
      </c>
      <c r="F4" s="156"/>
      <c r="G4" s="156"/>
      <c r="H4" s="156"/>
      <c r="I4" s="156"/>
      <c r="J4" s="2"/>
      <c r="K4" s="150" t="s">
        <v>3</v>
      </c>
      <c r="L4" s="151"/>
      <c r="M4" s="15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8"/>
      <c r="F6" s="98"/>
      <c r="G6" s="102"/>
      <c r="H6" s="101"/>
      <c r="I6" s="101"/>
      <c r="J6" s="2"/>
      <c r="K6" s="103"/>
      <c r="L6" s="104"/>
      <c r="M6" s="105"/>
      <c r="R6" s="119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8"/>
      <c r="F7" s="98"/>
      <c r="G7" s="102"/>
      <c r="H7" s="101"/>
      <c r="I7" s="101"/>
      <c r="J7" s="2"/>
      <c r="K7" s="103"/>
      <c r="L7" s="104"/>
      <c r="M7" s="105"/>
      <c r="R7" s="119">
        <f>IF(vend31[[#This Row],[Nº Venda]]&gt;1,1,0)</f>
        <v>0</v>
      </c>
    </row>
    <row r="8" spans="2:18" ht="15.75" x14ac:dyDescent="0.25">
      <c r="B8" s="127" t="s">
        <v>20</v>
      </c>
      <c r="C8" s="128">
        <f>SUM(C6:C7)</f>
        <v>0</v>
      </c>
      <c r="D8" s="2"/>
      <c r="E8" s="98"/>
      <c r="F8" s="98"/>
      <c r="G8" s="102"/>
      <c r="H8" s="101"/>
      <c r="I8" s="101"/>
      <c r="J8" s="2"/>
      <c r="K8" s="103"/>
      <c r="L8" s="104"/>
      <c r="M8" s="105"/>
      <c r="R8" s="119">
        <f>IF(vend31[[#This Row],[Nº Venda]]&gt;1,1,0)</f>
        <v>0</v>
      </c>
    </row>
    <row r="9" spans="2:18" ht="15.75" x14ac:dyDescent="0.25">
      <c r="B9" s="2"/>
      <c r="C9" s="2"/>
      <c r="D9" s="2"/>
      <c r="E9" s="98"/>
      <c r="F9" s="98"/>
      <c r="G9" s="102"/>
      <c r="H9" s="101"/>
      <c r="I9" s="101"/>
      <c r="J9" s="2"/>
      <c r="K9" s="103"/>
      <c r="L9" s="104"/>
      <c r="M9" s="105"/>
      <c r="R9" s="119">
        <f>IF(vend31[[#This Row],[Nº Venda]]&gt;1,1,0)</f>
        <v>0</v>
      </c>
    </row>
    <row r="10" spans="2:18" ht="15.75" x14ac:dyDescent="0.25">
      <c r="B10" s="157" t="s">
        <v>5</v>
      </c>
      <c r="C10" s="157"/>
      <c r="D10" s="2"/>
      <c r="E10" s="98"/>
      <c r="F10" s="98"/>
      <c r="G10" s="102"/>
      <c r="H10" s="101"/>
      <c r="I10" s="101"/>
      <c r="J10" s="2"/>
      <c r="K10" s="103"/>
      <c r="L10" s="104"/>
      <c r="M10" s="105"/>
      <c r="R10" s="119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8"/>
      <c r="F11" s="98"/>
      <c r="G11" s="102"/>
      <c r="H11" s="101"/>
      <c r="I11" s="101"/>
      <c r="J11" s="2"/>
      <c r="K11" s="106"/>
      <c r="L11" s="104"/>
      <c r="M11" s="105"/>
      <c r="O11" s="119">
        <f>IF(C15=0,0,1)</f>
        <v>0</v>
      </c>
      <c r="R11" s="119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8"/>
      <c r="F12" s="98"/>
      <c r="G12" s="102"/>
      <c r="H12" s="101"/>
      <c r="I12" s="101"/>
      <c r="J12" s="2"/>
      <c r="R12" s="119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8"/>
      <c r="F13" s="98"/>
      <c r="G13" s="102"/>
      <c r="H13" s="101"/>
      <c r="I13" s="101"/>
      <c r="J13" s="2"/>
      <c r="K13" s="150" t="s">
        <v>21</v>
      </c>
      <c r="L13" s="151"/>
      <c r="M13" s="152"/>
      <c r="R13" s="119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8"/>
      <c r="F14" s="98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19">
        <f>IF(vend31[[#This Row],[Nº Venda]]&gt;1,1,0)</f>
        <v>0</v>
      </c>
    </row>
    <row r="15" spans="2:18" ht="15.75" x14ac:dyDescent="0.25">
      <c r="B15" s="127" t="s">
        <v>10</v>
      </c>
      <c r="C15" s="129">
        <f>SUM(C11:C14)</f>
        <v>0</v>
      </c>
      <c r="D15" s="2"/>
      <c r="E15" s="98"/>
      <c r="F15" s="98"/>
      <c r="G15" s="102"/>
      <c r="H15" s="101"/>
      <c r="I15" s="101"/>
      <c r="J15" s="2"/>
      <c r="K15" s="103"/>
      <c r="L15" s="104"/>
      <c r="M15" s="105"/>
      <c r="R15" s="119">
        <f>IF(vend31[[#This Row],[Nº Venda]]&gt;1,1,0)</f>
        <v>0</v>
      </c>
    </row>
    <row r="16" spans="2:18" ht="15.75" x14ac:dyDescent="0.25">
      <c r="B16" s="2"/>
      <c r="C16" s="2"/>
      <c r="D16" s="2"/>
      <c r="E16" s="98"/>
      <c r="F16" s="98"/>
      <c r="G16" s="102"/>
      <c r="H16" s="101"/>
      <c r="I16" s="101"/>
      <c r="J16" s="2"/>
      <c r="K16" s="103"/>
      <c r="L16" s="104"/>
      <c r="M16" s="105"/>
      <c r="R16" s="119">
        <f>IF(vend31[[#This Row],[Nº Venda]]&gt;1,1,0)</f>
        <v>0</v>
      </c>
    </row>
    <row r="17" spans="2:18" ht="15.75" x14ac:dyDescent="0.25">
      <c r="B17" s="157" t="s">
        <v>11</v>
      </c>
      <c r="C17" s="157"/>
      <c r="D17" s="2"/>
      <c r="E17" s="98"/>
      <c r="F17" s="98"/>
      <c r="G17" s="102"/>
      <c r="H17" s="101"/>
      <c r="I17" s="101"/>
      <c r="J17" s="2"/>
      <c r="K17" s="103"/>
      <c r="L17" s="104"/>
      <c r="M17" s="105"/>
      <c r="R17" s="119">
        <f>IF(vend31[[#This Row],[Nº Venda]]&gt;1,1,0)</f>
        <v>0</v>
      </c>
    </row>
    <row r="18" spans="2:18" ht="15.75" x14ac:dyDescent="0.25">
      <c r="B18" s="30">
        <f>COUNT(entr_carn31[OS])</f>
        <v>0</v>
      </c>
      <c r="C18" s="31">
        <f>SUM(entr_carn31[Valor Total])</f>
        <v>0</v>
      </c>
      <c r="D18" s="2"/>
      <c r="E18" s="98"/>
      <c r="F18" s="98"/>
      <c r="G18" s="102"/>
      <c r="H18" s="101"/>
      <c r="I18" s="101"/>
      <c r="J18" s="2"/>
      <c r="K18" s="103"/>
      <c r="L18" s="104"/>
      <c r="M18" s="105"/>
      <c r="R18" s="119">
        <f>IF(vend31[[#This Row],[Nº Venda]]&gt;1,1,0)</f>
        <v>0</v>
      </c>
    </row>
    <row r="19" spans="2:18" ht="15.75" x14ac:dyDescent="0.25">
      <c r="B19" s="127" t="s">
        <v>10</v>
      </c>
      <c r="C19" s="129">
        <f>SUM(C18:C18)</f>
        <v>0</v>
      </c>
      <c r="D19" s="2"/>
      <c r="E19" s="98"/>
      <c r="F19" s="98"/>
      <c r="G19" s="102"/>
      <c r="H19" s="101"/>
      <c r="I19" s="101"/>
      <c r="J19" s="2"/>
      <c r="K19" s="103"/>
      <c r="L19" s="104"/>
      <c r="M19" s="105"/>
      <c r="R19" s="119">
        <f>IF(vend31[[#This Row],[Nº Venda]]&gt;1,1,0)</f>
        <v>0</v>
      </c>
    </row>
    <row r="20" spans="2:18" ht="15.75" x14ac:dyDescent="0.25">
      <c r="B20" s="2"/>
      <c r="C20" s="2"/>
      <c r="D20" s="2"/>
      <c r="E20" s="98"/>
      <c r="F20" s="102"/>
      <c r="G20" s="102"/>
      <c r="H20" s="101"/>
      <c r="I20" s="101"/>
      <c r="J20" s="2"/>
      <c r="K20" s="103"/>
      <c r="L20" s="104"/>
      <c r="M20" s="105"/>
      <c r="R20" s="119">
        <f>IF(vend31[[#This Row],[Nº Venda]]&gt;1,1,0)</f>
        <v>0</v>
      </c>
    </row>
    <row r="21" spans="2:18" ht="15.75" x14ac:dyDescent="0.25">
      <c r="B21" s="127" t="s">
        <v>26</v>
      </c>
      <c r="C21" s="129">
        <f>C5</f>
        <v>0</v>
      </c>
      <c r="D21" s="2"/>
      <c r="E21" s="98"/>
      <c r="F21" s="98"/>
      <c r="G21" s="102"/>
      <c r="H21" s="101"/>
      <c r="I21" s="101"/>
      <c r="J21" s="2"/>
      <c r="K21" s="103"/>
      <c r="L21" s="104"/>
      <c r="M21" s="105"/>
    </row>
    <row r="22" spans="2:18" ht="15.75" x14ac:dyDescent="0.25">
      <c r="B22" s="2"/>
      <c r="C22" s="2"/>
      <c r="D22" s="2"/>
      <c r="E22" s="98"/>
      <c r="F22" s="98"/>
      <c r="G22" s="102"/>
      <c r="H22" s="101"/>
      <c r="I22" s="101"/>
      <c r="J22" s="2"/>
      <c r="K22" s="103"/>
      <c r="L22" s="104"/>
      <c r="M22" s="105"/>
    </row>
    <row r="23" spans="2:18" ht="15.75" x14ac:dyDescent="0.25">
      <c r="B23" s="2"/>
      <c r="C23" s="2"/>
      <c r="D23" s="2"/>
      <c r="E23" s="131"/>
      <c r="H23" s="132"/>
      <c r="J23" s="2"/>
      <c r="K23" s="103"/>
      <c r="L23" s="104"/>
      <c r="M23" s="105"/>
    </row>
    <row r="24" spans="2:18" ht="15.75" x14ac:dyDescent="0.25">
      <c r="B24" s="2"/>
      <c r="C24" s="2"/>
      <c r="D24" s="2"/>
      <c r="E24" s="149" t="s">
        <v>27</v>
      </c>
      <c r="F24" s="149"/>
      <c r="G24" s="149"/>
      <c r="H24" s="149"/>
      <c r="I24" s="149"/>
      <c r="J24" s="2"/>
      <c r="K24" s="103"/>
      <c r="L24" s="104"/>
      <c r="M24" s="105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104"/>
      <c r="M25" s="105"/>
    </row>
    <row r="26" spans="2:18" ht="15.75" x14ac:dyDescent="0.25">
      <c r="B26" s="2"/>
      <c r="C26" s="2"/>
      <c r="D26" s="2"/>
      <c r="E26" s="98"/>
      <c r="F26" s="98"/>
      <c r="G26" s="102"/>
      <c r="H26" s="101"/>
      <c r="I26" s="101"/>
      <c r="J26" s="2"/>
      <c r="K26" s="103"/>
      <c r="L26" s="104"/>
      <c r="M26" s="105"/>
    </row>
    <row r="27" spans="2:18" ht="15.75" x14ac:dyDescent="0.25">
      <c r="B27" s="2"/>
      <c r="C27" s="2"/>
      <c r="D27" s="2"/>
      <c r="E27" s="98"/>
      <c r="F27" s="98"/>
      <c r="G27" s="102"/>
      <c r="H27" s="101"/>
      <c r="I27" s="101"/>
      <c r="J27" s="2"/>
      <c r="K27" s="103"/>
      <c r="L27" s="104"/>
      <c r="M27" s="105"/>
    </row>
    <row r="28" spans="2:18" ht="15.75" x14ac:dyDescent="0.25">
      <c r="B28" s="2"/>
      <c r="C28" s="2"/>
      <c r="D28" s="2"/>
      <c r="E28" s="98"/>
      <c r="F28" s="98"/>
      <c r="G28" s="102"/>
      <c r="H28" s="101"/>
      <c r="I28" s="101"/>
      <c r="J28" s="2"/>
      <c r="K28" s="103"/>
      <c r="L28" s="104"/>
      <c r="M28" s="105"/>
    </row>
    <row r="29" spans="2:18" ht="15.75" x14ac:dyDescent="0.25">
      <c r="B29" s="2"/>
      <c r="C29" s="2"/>
      <c r="D29" s="2"/>
      <c r="E29" s="98"/>
      <c r="F29" s="98"/>
      <c r="G29" s="102"/>
      <c r="H29" s="101"/>
      <c r="I29" s="101"/>
      <c r="J29" s="2"/>
      <c r="K29" s="103"/>
      <c r="L29" s="104"/>
      <c r="M29" s="105"/>
    </row>
    <row r="30" spans="2:18" ht="15.75" x14ac:dyDescent="0.25">
      <c r="B30" s="2"/>
      <c r="C30" s="2"/>
      <c r="D30" s="2"/>
      <c r="E30" s="98"/>
      <c r="F30" s="102"/>
      <c r="G30" s="102"/>
      <c r="H30" s="101"/>
      <c r="I30" s="101"/>
      <c r="J30" s="2"/>
      <c r="K30" s="103"/>
      <c r="L30" s="104"/>
      <c r="M30" s="105"/>
    </row>
    <row r="31" spans="2:18" ht="15.75" x14ac:dyDescent="0.25">
      <c r="B31" s="2"/>
      <c r="C31" s="2"/>
      <c r="D31" s="2"/>
      <c r="E31" s="113"/>
      <c r="F31" s="113"/>
      <c r="G31" s="115"/>
      <c r="H31" s="116"/>
      <c r="I31" s="116"/>
      <c r="J31" s="2"/>
      <c r="K31" s="103"/>
      <c r="L31" s="104"/>
      <c r="M31" s="105"/>
    </row>
    <row r="32" spans="2:18" ht="15" x14ac:dyDescent="0.25">
      <c r="B32" s="2"/>
      <c r="C32" s="2"/>
      <c r="E32" s="131"/>
    </row>
    <row r="33" spans="5:18" ht="15" x14ac:dyDescent="0.25">
      <c r="E33" s="149" t="s">
        <v>28</v>
      </c>
      <c r="F33" s="149"/>
      <c r="G33" s="149"/>
      <c r="H33" s="149"/>
      <c r="I33" s="149"/>
      <c r="K33" s="150" t="s">
        <v>11</v>
      </c>
      <c r="L33" s="151"/>
      <c r="M33" s="152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8"/>
      <c r="F35" s="99"/>
      <c r="G35" s="26"/>
      <c r="H35" s="8"/>
      <c r="I35" s="8"/>
      <c r="K35" s="103"/>
      <c r="L35" s="108"/>
      <c r="M35" s="105"/>
    </row>
    <row r="36" spans="5:18" ht="15.75" x14ac:dyDescent="0.25">
      <c r="E36" s="98"/>
      <c r="F36" s="99"/>
      <c r="G36" s="26"/>
      <c r="H36" s="8"/>
      <c r="I36" s="8"/>
      <c r="K36" s="103"/>
      <c r="L36" s="108"/>
      <c r="M36" s="105"/>
    </row>
    <row r="37" spans="5:18" ht="15.75" x14ac:dyDescent="0.25">
      <c r="E37" s="98"/>
      <c r="F37" s="99"/>
      <c r="G37" s="26"/>
      <c r="H37" s="8"/>
      <c r="I37" s="8"/>
      <c r="K37" s="103"/>
      <c r="L37" s="108"/>
      <c r="M37" s="105"/>
    </row>
    <row r="38" spans="5:18" ht="15.75" x14ac:dyDescent="0.25">
      <c r="E38" s="98"/>
      <c r="F38" s="99"/>
      <c r="G38" s="26"/>
      <c r="H38" s="8"/>
      <c r="I38" s="8"/>
      <c r="K38" s="103"/>
      <c r="L38" s="108"/>
      <c r="M38" s="105"/>
    </row>
    <row r="39" spans="5:18" ht="15.75" x14ac:dyDescent="0.25">
      <c r="E39" s="98"/>
      <c r="F39" s="26"/>
      <c r="G39" s="26"/>
      <c r="H39" s="8"/>
      <c r="I39" s="8"/>
      <c r="K39" s="103"/>
      <c r="L39" s="108"/>
      <c r="M39" s="105"/>
    </row>
    <row r="40" spans="5:18" ht="15.75" x14ac:dyDescent="0.25">
      <c r="E40" s="113"/>
      <c r="F40" s="114"/>
      <c r="G40" s="37"/>
      <c r="H40" s="17"/>
      <c r="I40" s="8"/>
      <c r="K40" s="109"/>
      <c r="L40" s="110"/>
      <c r="M40" s="111"/>
      <c r="Q40" s="119" t="s">
        <v>36</v>
      </c>
      <c r="R40" s="119">
        <f>SUM(R6:R21)</f>
        <v>0</v>
      </c>
    </row>
    <row r="41" spans="5:18" ht="15.75" x14ac:dyDescent="0.25">
      <c r="E41" s="102"/>
      <c r="F41" s="26"/>
      <c r="G41" s="26"/>
      <c r="H41" s="8"/>
      <c r="I41" s="8"/>
      <c r="K41" s="112"/>
      <c r="L41" s="108"/>
      <c r="M41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48896A60-CF65-4297-AD79-D88F13BF7A80}">
          <x14:formula1>
            <xm:f>base!$A$2:$A$8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base!$A$2:$A$5</xm:f>
          </x14:formula1>
          <xm:sqref>G26:G31 G35:G41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8" sqref="B18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61</v>
      </c>
      <c r="B1" s="38" t="s">
        <v>62</v>
      </c>
      <c r="E1" s="38" t="s">
        <v>63</v>
      </c>
    </row>
    <row r="2" spans="1:5" x14ac:dyDescent="0.2">
      <c r="A2" s="38" t="s">
        <v>6</v>
      </c>
      <c r="B2" s="38" t="s">
        <v>64</v>
      </c>
      <c r="E2" t="s">
        <v>45</v>
      </c>
    </row>
    <row r="3" spans="1:5" x14ac:dyDescent="0.2">
      <c r="A3" s="38" t="s">
        <v>7</v>
      </c>
      <c r="B3" s="38" t="s">
        <v>65</v>
      </c>
      <c r="E3" t="s">
        <v>66</v>
      </c>
    </row>
    <row r="4" spans="1:5" x14ac:dyDescent="0.2">
      <c r="A4" s="38" t="s">
        <v>8</v>
      </c>
      <c r="B4" s="38" t="s">
        <v>67</v>
      </c>
      <c r="E4" t="s">
        <v>68</v>
      </c>
    </row>
    <row r="5" spans="1:5" x14ac:dyDescent="0.2">
      <c r="A5" s="38" t="s">
        <v>9</v>
      </c>
      <c r="B5" s="38" t="s">
        <v>9</v>
      </c>
      <c r="E5" t="s">
        <v>69</v>
      </c>
    </row>
    <row r="6" spans="1:5" x14ac:dyDescent="0.2">
      <c r="A6" s="38" t="s">
        <v>49</v>
      </c>
      <c r="B6" s="38" t="s">
        <v>70</v>
      </c>
      <c r="E6" t="s">
        <v>33</v>
      </c>
    </row>
    <row r="7" spans="1:5" x14ac:dyDescent="0.2">
      <c r="A7" t="s">
        <v>24</v>
      </c>
      <c r="B7" t="s">
        <v>72</v>
      </c>
      <c r="E7" t="s">
        <v>71</v>
      </c>
    </row>
    <row r="8" spans="1:5" x14ac:dyDescent="0.2">
      <c r="A8" s="38" t="s">
        <v>39</v>
      </c>
      <c r="B8" s="38" t="s">
        <v>73</v>
      </c>
      <c r="E8" t="s">
        <v>51</v>
      </c>
    </row>
    <row r="9" spans="1:5" x14ac:dyDescent="0.2">
      <c r="E9" t="s">
        <v>74</v>
      </c>
    </row>
    <row r="10" spans="1:5" x14ac:dyDescent="0.2">
      <c r="E10" t="s">
        <v>75</v>
      </c>
    </row>
    <row r="11" spans="1:5" x14ac:dyDescent="0.2">
      <c r="E11" t="s">
        <v>76</v>
      </c>
    </row>
    <row r="12" spans="1:5" x14ac:dyDescent="0.2">
      <c r="E12" t="s">
        <v>38</v>
      </c>
    </row>
    <row r="13" spans="1:5" x14ac:dyDescent="0.2">
      <c r="E13" t="s">
        <v>52</v>
      </c>
    </row>
    <row r="14" spans="1:5" x14ac:dyDescent="0.2">
      <c r="E14" t="s">
        <v>46</v>
      </c>
    </row>
    <row r="15" spans="1:5" x14ac:dyDescent="0.2">
      <c r="E15" t="s">
        <v>77</v>
      </c>
    </row>
    <row r="16" spans="1:5" x14ac:dyDescent="0.2">
      <c r="E16" t="s">
        <v>47</v>
      </c>
    </row>
    <row r="17" spans="5:5" x14ac:dyDescent="0.2">
      <c r="E17" t="s">
        <v>41</v>
      </c>
    </row>
    <row r="18" spans="5:5" x14ac:dyDescent="0.2">
      <c r="E18" t="s">
        <v>53</v>
      </c>
    </row>
    <row r="19" spans="5:5" x14ac:dyDescent="0.2">
      <c r="E19" t="s">
        <v>44</v>
      </c>
    </row>
    <row r="20" spans="5:5" x14ac:dyDescent="0.2">
      <c r="E20" t="s">
        <v>78</v>
      </c>
    </row>
    <row r="21" spans="5:5" x14ac:dyDescent="0.2">
      <c r="E21" t="s">
        <v>79</v>
      </c>
    </row>
    <row r="22" spans="5:5" x14ac:dyDescent="0.2">
      <c r="E22" t="s">
        <v>58</v>
      </c>
    </row>
    <row r="23" spans="5:5" x14ac:dyDescent="0.2">
      <c r="E23" t="s">
        <v>35</v>
      </c>
    </row>
    <row r="24" spans="5:5" x14ac:dyDescent="0.2">
      <c r="E24" t="s">
        <v>54</v>
      </c>
    </row>
    <row r="25" spans="5:5" x14ac:dyDescent="0.2">
      <c r="E25" t="s">
        <v>48</v>
      </c>
    </row>
    <row r="26" spans="5:5" x14ac:dyDescent="0.2">
      <c r="E26" t="s">
        <v>40</v>
      </c>
    </row>
    <row r="27" spans="5:5" x14ac:dyDescent="0.2">
      <c r="E27" t="s">
        <v>43</v>
      </c>
    </row>
    <row r="28" spans="5:5" x14ac:dyDescent="0.2">
      <c r="E28" t="s">
        <v>59</v>
      </c>
    </row>
    <row r="29" spans="5:5" x14ac:dyDescent="0.2">
      <c r="E29" t="s">
        <v>60</v>
      </c>
    </row>
    <row r="30" spans="5:5" x14ac:dyDescent="0.2">
      <c r="E30" t="s">
        <v>80</v>
      </c>
    </row>
    <row r="31" spans="5:5" x14ac:dyDescent="0.2">
      <c r="E31" t="s">
        <v>34</v>
      </c>
    </row>
    <row r="32" spans="5:5" x14ac:dyDescent="0.2">
      <c r="E32" t="s">
        <v>81</v>
      </c>
    </row>
    <row r="33" spans="5:5" x14ac:dyDescent="0.2">
      <c r="E33" t="s">
        <v>56</v>
      </c>
    </row>
    <row r="34" spans="5:5" x14ac:dyDescent="0.2">
      <c r="E34" t="s">
        <v>37</v>
      </c>
    </row>
    <row r="35" spans="5:5" x14ac:dyDescent="0.2">
      <c r="E35" t="s">
        <v>55</v>
      </c>
    </row>
    <row r="36" spans="5:5" x14ac:dyDescent="0.2">
      <c r="E36" t="s">
        <v>42</v>
      </c>
    </row>
    <row r="37" spans="5:5" x14ac:dyDescent="0.2">
      <c r="E37" t="s">
        <v>50</v>
      </c>
    </row>
    <row r="38" spans="5:5" x14ac:dyDescent="0.2">
      <c r="E38" t="s">
        <v>82</v>
      </c>
    </row>
    <row r="39" spans="5:5" x14ac:dyDescent="0.2">
      <c r="E39" t="s">
        <v>83</v>
      </c>
    </row>
    <row r="40" spans="5:5" x14ac:dyDescent="0.2">
      <c r="E40" t="s">
        <v>84</v>
      </c>
    </row>
    <row r="41" spans="5:5" x14ac:dyDescent="0.2">
      <c r="E41" t="s">
        <v>85</v>
      </c>
    </row>
    <row r="42" spans="5:5" x14ac:dyDescent="0.2">
      <c r="E42" t="s">
        <v>86</v>
      </c>
    </row>
    <row r="43" spans="5:5" x14ac:dyDescent="0.2">
      <c r="E43" t="s">
        <v>87</v>
      </c>
    </row>
    <row r="44" spans="5:5" x14ac:dyDescent="0.2">
      <c r="E44" t="s">
        <v>88</v>
      </c>
    </row>
    <row r="45" spans="5:5" x14ac:dyDescent="0.2">
      <c r="E45" t="s">
        <v>89</v>
      </c>
    </row>
    <row r="46" spans="5:5" x14ac:dyDescent="0.2">
      <c r="E46" t="s">
        <v>90</v>
      </c>
    </row>
    <row r="47" spans="5:5" x14ac:dyDescent="0.2">
      <c r="E47" t="s">
        <v>91</v>
      </c>
    </row>
    <row r="48" spans="5:5" x14ac:dyDescent="0.2">
      <c r="E48" t="s">
        <v>92</v>
      </c>
    </row>
    <row r="49" spans="5:5" x14ac:dyDescent="0.2">
      <c r="E49" t="s">
        <v>93</v>
      </c>
    </row>
    <row r="50" spans="5:5" x14ac:dyDescent="0.2">
      <c r="E50" t="s">
        <v>94</v>
      </c>
    </row>
    <row r="51" spans="5:5" x14ac:dyDescent="0.2">
      <c r="E51" t="s">
        <v>95</v>
      </c>
    </row>
    <row r="52" spans="5:5" x14ac:dyDescent="0.2">
      <c r="E52" t="s">
        <v>96</v>
      </c>
    </row>
    <row r="53" spans="5:5" x14ac:dyDescent="0.2">
      <c r="E53" t="s">
        <v>97</v>
      </c>
    </row>
    <row r="54" spans="5:5" x14ac:dyDescent="0.2">
      <c r="E54" t="s">
        <v>98</v>
      </c>
    </row>
    <row r="55" spans="5:5" x14ac:dyDescent="0.2">
      <c r="E55" t="s">
        <v>99</v>
      </c>
    </row>
    <row r="56" spans="5:5" x14ac:dyDescent="0.2">
      <c r="E56" t="s">
        <v>100</v>
      </c>
    </row>
    <row r="57" spans="5:5" x14ac:dyDescent="0.2">
      <c r="E57" t="s">
        <v>101</v>
      </c>
    </row>
    <row r="58" spans="5:5" x14ac:dyDescent="0.2">
      <c r="E58" t="s">
        <v>102</v>
      </c>
    </row>
    <row r="59" spans="5:5" x14ac:dyDescent="0.2">
      <c r="E59" t="s">
        <v>103</v>
      </c>
    </row>
    <row r="60" spans="5:5" x14ac:dyDescent="0.2">
      <c r="E60" t="s">
        <v>104</v>
      </c>
    </row>
    <row r="61" spans="5:5" x14ac:dyDescent="0.2">
      <c r="E61" t="s">
        <v>105</v>
      </c>
    </row>
    <row r="62" spans="5:5" x14ac:dyDescent="0.2">
      <c r="E62" t="s">
        <v>106</v>
      </c>
    </row>
    <row r="63" spans="5:5" x14ac:dyDescent="0.2">
      <c r="E63" t="s">
        <v>107</v>
      </c>
    </row>
    <row r="64" spans="5:5" x14ac:dyDescent="0.2">
      <c r="E64" t="s">
        <v>108</v>
      </c>
    </row>
    <row r="65" spans="5:5" x14ac:dyDescent="0.2">
      <c r="E65" t="s">
        <v>109</v>
      </c>
    </row>
    <row r="66" spans="5:5" x14ac:dyDescent="0.2">
      <c r="E66" t="s">
        <v>110</v>
      </c>
    </row>
    <row r="67" spans="5:5" x14ac:dyDescent="0.2">
      <c r="E67" t="s">
        <v>111</v>
      </c>
    </row>
    <row r="68" spans="5:5" x14ac:dyDescent="0.2">
      <c r="E68" t="s">
        <v>112</v>
      </c>
    </row>
    <row r="69" spans="5:5" x14ac:dyDescent="0.2">
      <c r="E69" t="s">
        <v>113</v>
      </c>
    </row>
    <row r="70" spans="5:5" x14ac:dyDescent="0.2">
      <c r="E70" t="s">
        <v>114</v>
      </c>
    </row>
    <row r="71" spans="5:5" x14ac:dyDescent="0.2">
      <c r="E71" t="s">
        <v>115</v>
      </c>
    </row>
    <row r="72" spans="5:5" x14ac:dyDescent="0.2">
      <c r="E72" t="s">
        <v>116</v>
      </c>
    </row>
    <row r="73" spans="5:5" x14ac:dyDescent="0.2">
      <c r="E73" t="s">
        <v>117</v>
      </c>
    </row>
    <row r="74" spans="5:5" x14ac:dyDescent="0.2">
      <c r="E74" t="s">
        <v>118</v>
      </c>
    </row>
    <row r="75" spans="5:5" x14ac:dyDescent="0.2">
      <c r="E75" t="s">
        <v>119</v>
      </c>
    </row>
    <row r="76" spans="5:5" x14ac:dyDescent="0.2">
      <c r="E76" t="s">
        <v>120</v>
      </c>
    </row>
    <row r="77" spans="5:5" x14ac:dyDescent="0.2">
      <c r="E77" t="s">
        <v>121</v>
      </c>
    </row>
    <row r="78" spans="5:5" x14ac:dyDescent="0.2">
      <c r="E78" t="s">
        <v>122</v>
      </c>
    </row>
    <row r="79" spans="5:5" x14ac:dyDescent="0.2">
      <c r="E79" t="s">
        <v>123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6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2024-04-30T20:55:18Z</cp:lastPrinted>
  <dcterms:created xsi:type="dcterms:W3CDTF">2004-04-07T20:43:43Z</dcterms:created>
  <dcterms:modified xsi:type="dcterms:W3CDTF">2024-11-26T19:43:57Z</dcterms:modified>
  <cp:category/>
  <cp:contentStatus/>
</cp:coreProperties>
</file>