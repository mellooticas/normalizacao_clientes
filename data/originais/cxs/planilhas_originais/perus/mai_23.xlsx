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PERUS/CAIXA/2023/"/>
    </mc:Choice>
  </mc:AlternateContent>
  <xr:revisionPtr revIDLastSave="119" documentId="13_ncr:1_{673E3F9E-2CC2-493D-A098-9EB108058860}" xr6:coauthVersionLast="47" xr6:coauthVersionMax="47" xr10:uidLastSave="{8753E684-143E-46A0-A085-5DDA9E37E886}"/>
  <bookViews>
    <workbookView xWindow="-120" yWindow="-120" windowWidth="20730" windowHeight="11310" tabRatio="895" firstSheet="12" activeTab="12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191" l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70"/>
  <c r="C16" i="170" s="1"/>
  <c r="O11" i="170" s="1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5" i="175"/>
  <c r="C22" i="175" s="1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8" i="183" s="1"/>
  <c r="C6" i="181"/>
  <c r="C6" i="179"/>
  <c r="C8" i="179" s="1"/>
  <c r="C6" i="184"/>
  <c r="C6" i="185"/>
  <c r="C6" i="186"/>
  <c r="C6" i="187"/>
  <c r="C6" i="189"/>
  <c r="C8" i="189" s="1"/>
  <c r="C6" i="190"/>
  <c r="C8" i="190" s="1"/>
  <c r="C6" i="191"/>
  <c r="C6" i="188"/>
  <c r="C6" i="193"/>
  <c r="C6" i="195"/>
  <c r="C6" i="194"/>
  <c r="C6" i="197"/>
  <c r="C8" i="197" s="1"/>
  <c r="C6" i="196"/>
  <c r="C8" i="196" s="1"/>
  <c r="C6" i="192"/>
  <c r="C8" i="192" s="1"/>
  <c r="C6" i="199"/>
  <c r="C8" i="199" s="1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40" i="197" s="1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C8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C22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40" i="189" s="1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C8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C8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C22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22" i="170"/>
  <c r="C19" i="103"/>
  <c r="B19" i="103"/>
  <c r="R40" i="170" l="1"/>
  <c r="R40" i="193"/>
  <c r="C8" i="174"/>
  <c r="B17" i="200"/>
  <c r="B18" i="200" s="1"/>
  <c r="R40" i="190"/>
  <c r="R40" i="194"/>
  <c r="R40" i="198"/>
  <c r="R40" i="177"/>
  <c r="R40" i="191"/>
  <c r="R40" i="195"/>
  <c r="R40" i="184"/>
  <c r="R40" i="199"/>
  <c r="R40" i="183"/>
  <c r="R40" i="180"/>
  <c r="R40" i="185"/>
  <c r="R40" i="188"/>
  <c r="R40" i="192"/>
  <c r="R40" i="196"/>
  <c r="C8" i="188"/>
  <c r="C8" i="191"/>
  <c r="R40" i="187"/>
  <c r="R40" i="186"/>
  <c r="R40" i="179"/>
  <c r="R40" i="178"/>
  <c r="R40" i="172"/>
  <c r="R40" i="173"/>
  <c r="R40" i="174"/>
  <c r="C8" i="175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sharedStrings.xml><?xml version="1.0" encoding="utf-8"?>
<sst xmlns="http://schemas.openxmlformats.org/spreadsheetml/2006/main" count="1817" uniqueCount="238">
  <si>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</si>
  <si>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</si>
  <si>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</si>
  <si>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</si>
  <si>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</si>
  <si>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</si>
  <si>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</si>
  <si>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</si>
  <si>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</si>
  <si>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</si>
  <si>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</si>
  <si>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</si>
  <si>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</si>
  <si>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</si>
  <si>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</si>
  <si>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</si>
  <si>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</si>
  <si>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</si>
  <si>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</si>
  <si>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</si>
  <si>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</si>
  <si>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</si>
  <si>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</si>
  <si>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</si>
  <si>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</si>
  <si>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</si>
  <si>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</si>
  <si>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</si>
  <si>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</si>
  <si>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</si>
  <si>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</si>
  <si>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</si>
  <si>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</si>
  <si>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</si>
  <si>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>SS</t>
  </si>
  <si>
    <t>VT</t>
  </si>
  <si>
    <t>JOEL GOMES</t>
  </si>
  <si>
    <t>Rosana Aparecida Rosa</t>
  </si>
  <si>
    <t>Almoço</t>
  </si>
  <si>
    <t>Débora de Souza Santos</t>
  </si>
  <si>
    <t>João Marcos G. dos Santos</t>
  </si>
  <si>
    <t xml:space="preserve">Aline Alves Vieira </t>
  </si>
  <si>
    <t>Antônia de Souza da Silva</t>
  </si>
  <si>
    <t>Marcela Santos Gomes</t>
  </si>
  <si>
    <t>MANUTENÇÃO: Tirou grama da entrada</t>
  </si>
  <si>
    <t>(anexo OS 126)</t>
  </si>
  <si>
    <t>Joel Gomes</t>
  </si>
  <si>
    <t>Carnê</t>
  </si>
  <si>
    <t>Dolores</t>
  </si>
  <si>
    <t>Antonia garantia</t>
  </si>
  <si>
    <t xml:space="preserve">Rita cassia </t>
  </si>
  <si>
    <t>dn</t>
  </si>
  <si>
    <t xml:space="preserve">Valtemira </t>
  </si>
  <si>
    <t>Pix</t>
  </si>
  <si>
    <t>anderson ribeiro</t>
  </si>
  <si>
    <t>ss</t>
  </si>
  <si>
    <t>Mauricio ROBERTO</t>
  </si>
  <si>
    <t>pao</t>
  </si>
  <si>
    <t>ctd</t>
  </si>
  <si>
    <t>ROSIMEIRE O</t>
  </si>
  <si>
    <t>manteiga</t>
  </si>
  <si>
    <t>IVANILDE</t>
  </si>
  <si>
    <t>maquininha</t>
  </si>
  <si>
    <t>Valter Vitorino</t>
  </si>
  <si>
    <t>Ventilador</t>
  </si>
  <si>
    <t>Thayna G</t>
  </si>
  <si>
    <t>Luiz Roberto</t>
  </si>
  <si>
    <t>ctc</t>
  </si>
  <si>
    <t>Alissia P</t>
  </si>
  <si>
    <t>Kevin Lucas</t>
  </si>
  <si>
    <t>Bruno</t>
  </si>
  <si>
    <t>Aline Silva</t>
  </si>
  <si>
    <t>Francilene D</t>
  </si>
  <si>
    <t>pctc</t>
  </si>
  <si>
    <t>Lidomar V</t>
  </si>
  <si>
    <t>Jussara C</t>
  </si>
  <si>
    <t>Antonia De S</t>
  </si>
  <si>
    <t>pix</t>
  </si>
  <si>
    <t>Ivando Pereira</t>
  </si>
  <si>
    <t>Durex</t>
  </si>
  <si>
    <t>Jose ivanildo</t>
  </si>
  <si>
    <t>pao de queijo</t>
  </si>
  <si>
    <t>Alessandra A</t>
  </si>
  <si>
    <t>refri</t>
  </si>
  <si>
    <t>diversos</t>
  </si>
  <si>
    <t>almoço</t>
  </si>
  <si>
    <t>Mauricio</t>
  </si>
  <si>
    <t>Luciano</t>
  </si>
  <si>
    <t>Rosimaura Maria</t>
  </si>
  <si>
    <t xml:space="preserve">Manoel dos Santos </t>
  </si>
  <si>
    <t>Gilmara Jeany</t>
  </si>
  <si>
    <t>Agua</t>
  </si>
  <si>
    <t>saco de lixo</t>
  </si>
  <si>
    <t>Alissia Pinho</t>
  </si>
  <si>
    <t>Joao Marcos</t>
  </si>
  <si>
    <t>Aline Alves</t>
  </si>
  <si>
    <t>Rosimaura</t>
  </si>
  <si>
    <t>Oticas king</t>
  </si>
  <si>
    <t xml:space="preserve">Paula Lopes </t>
  </si>
  <si>
    <t xml:space="preserve">Água </t>
  </si>
  <si>
    <t xml:space="preserve">CTD </t>
  </si>
  <si>
    <t>Marilda Caetano</t>
  </si>
  <si>
    <t xml:space="preserve">Severina Ilda </t>
  </si>
  <si>
    <t>Lea Puertas</t>
  </si>
  <si>
    <t>Rejane Da Silva</t>
  </si>
  <si>
    <t>Rubens Barbosa</t>
  </si>
  <si>
    <t>Rosangela Souza</t>
  </si>
  <si>
    <t>Eva Luiza</t>
  </si>
  <si>
    <t>Adriellen Ferreira</t>
  </si>
  <si>
    <t>Severina Carlos</t>
  </si>
  <si>
    <t xml:space="preserve">Antonio Carlos </t>
  </si>
  <si>
    <t>João Marcos</t>
  </si>
  <si>
    <t>Garantia</t>
  </si>
  <si>
    <t>Sandra dos Santos</t>
  </si>
  <si>
    <t>Sandra dos Santos (anexo os 163)</t>
  </si>
  <si>
    <t>Maria Tavares</t>
  </si>
  <si>
    <t>Alessandra Aparecida</t>
  </si>
  <si>
    <t>garantia</t>
  </si>
  <si>
    <t>Sebastião Dos Santos</t>
  </si>
  <si>
    <t>Shierley Da Silva</t>
  </si>
  <si>
    <t xml:space="preserve">Fernanda Pedreira </t>
  </si>
  <si>
    <t>Sophia Gabrielly</t>
  </si>
  <si>
    <t xml:space="preserve">Luana Antunes </t>
  </si>
  <si>
    <t>Sergio Luiz</t>
  </si>
  <si>
    <t>Vitoria De Barros</t>
  </si>
  <si>
    <t>agua</t>
  </si>
  <si>
    <t>Aiala Macedo</t>
  </si>
  <si>
    <t>odair Vicente</t>
  </si>
  <si>
    <t xml:space="preserve">Mauricio Roberto </t>
  </si>
  <si>
    <t>pão</t>
  </si>
  <si>
    <t>Adilson josé</t>
  </si>
  <si>
    <t>Maria de Lourdes</t>
  </si>
  <si>
    <t>Marcia Vanessa</t>
  </si>
  <si>
    <t>anexo (182)</t>
  </si>
  <si>
    <t xml:space="preserve">Odair Vicente </t>
  </si>
  <si>
    <t>Fernanda Pedreira</t>
  </si>
  <si>
    <t>Vitoria Barros</t>
  </si>
  <si>
    <t>Sandra Dos Santos</t>
  </si>
  <si>
    <t>Sebastiaão Dos Santos</t>
  </si>
  <si>
    <t>Luana Antunes</t>
  </si>
  <si>
    <t>Solange De Assis</t>
  </si>
  <si>
    <t>Adival Rodrigues</t>
  </si>
  <si>
    <t>Sophia Gabrielle</t>
  </si>
  <si>
    <t xml:space="preserve">Francisco Valmir </t>
  </si>
  <si>
    <t>Cintia Da Silva</t>
  </si>
  <si>
    <t>Severina Ilda</t>
  </si>
  <si>
    <t>Rita de Cassia Rocha</t>
  </si>
  <si>
    <t>Jair De Souza</t>
  </si>
  <si>
    <t>Maria De Lourdes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</si>
  <si>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</si>
  <si>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</si>
  <si>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</si>
  <si>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</si>
  <si>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</si>
  <si>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</si>
  <si>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</si>
  <si>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</si>
  <si>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</si>
  <si>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</si>
  <si>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1/3</t>
  </si>
  <si>
    <t>PARC. 2/3</t>
  </si>
  <si>
    <t>Sem Sinal</t>
  </si>
  <si>
    <t>PARC. 3/3</t>
  </si>
  <si>
    <t xml:space="preserve">Carne </t>
  </si>
  <si>
    <t>PARC. 1/4</t>
  </si>
  <si>
    <t>GARANTIA</t>
  </si>
  <si>
    <t>Todas as Garantias</t>
  </si>
  <si>
    <t>PARC. 2/4</t>
  </si>
  <si>
    <t>PARC. 3/4</t>
  </si>
  <si>
    <t>PARC. 4/4</t>
  </si>
  <si>
    <t>PARC. 1/5</t>
  </si>
  <si>
    <t>PARC. 2/5</t>
  </si>
  <si>
    <t>PARC. 3/5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</si>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</sst>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</font>
    <font>
      <sz val="11"/>
      <name val="Calibri"/>
    </font>
    <font>
      <sz val="11"/>
      <name val="Calibri"/>
      <scheme val="minor"/>
    </font>
    <font>
      <b/>
      <sz val="12"/>
      <name val="Arial"/>
      <family val="2"/>
    </font>
    <font>
      <b/>
      <sz val="11"/>
      <name val="Calibri"/>
      <family val="2"/>
    </font>
    <font>
      <sz val="12"/>
      <name val="Calibri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3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6" fillId="0" borderId="0" applyFont="0" applyFill="0" applyBorder="0" applyAlignment="0" applyProtection="0"/>
    <xf numFmtId="0" fontId="16" fillId="0" borderId="0"/>
    <xf numFmtId="9" fontId="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7" fillId="0" borderId="0"/>
    <xf numFmtId="0" fontId="12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21" fillId="2" borderId="0"/>
    <xf numFmtId="0" fontId="19" fillId="3" borderId="0"/>
    <xf numFmtId="0" fontId="17" fillId="0" borderId="0" applyNumberFormat="0" applyBorder="0" applyAlignment="0" applyProtection="0"/>
    <xf numFmtId="44" fontId="22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23" fillId="0" borderId="0"/>
    <xf numFmtId="0" fontId="24" fillId="0" borderId="0" applyNumberFormat="0" applyFill="0" applyBorder="0" applyAlignment="0" applyProtection="0"/>
    <xf numFmtId="0" fontId="26" fillId="4" borderId="14">
      <alignment horizontal="center"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7" fillId="0" borderId="0" applyNumberFormat="0" applyBorder="0" applyAlignment="0" applyProtection="0"/>
    <xf numFmtId="44" fontId="22" fillId="0" borderId="0" applyFont="0" applyFill="0" applyBorder="0" applyAlignment="0" applyProtection="0"/>
    <xf numFmtId="0" fontId="7" fillId="0" borderId="0"/>
    <xf numFmtId="0" fontId="4" fillId="0" borderId="0"/>
    <xf numFmtId="0" fontId="7" fillId="0" borderId="0"/>
    <xf numFmtId="0" fontId="7" fillId="0" borderId="0"/>
    <xf numFmtId="9" fontId="27" fillId="0" borderId="15">
      <alignment horizontal="left" vertical="center" indent="2"/>
    </xf>
    <xf numFmtId="9" fontId="7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29" fillId="0" borderId="0" applyNumberFormat="0" applyFill="0" applyBorder="0" applyAlignment="0" applyProtection="0"/>
    <xf numFmtId="168" fontId="30" fillId="0" borderId="16">
      <alignment horizontal="center" vertical="center"/>
    </xf>
    <xf numFmtId="43" fontId="4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4" fontId="22" fillId="0" borderId="0" applyFont="0" applyFill="0" applyBorder="0" applyAlignment="0" applyProtection="0"/>
    <xf numFmtId="0" fontId="6" fillId="0" borderId="0"/>
    <xf numFmtId="43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165" fontId="14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4" fillId="0" borderId="17" xfId="4" applyNumberFormat="1" applyFont="1" applyFill="1" applyBorder="1" applyAlignment="1">
      <alignment horizontal="center"/>
    </xf>
    <xf numFmtId="165" fontId="14" fillId="0" borderId="17" xfId="0" applyNumberFormat="1" applyFont="1" applyBorder="1" applyAlignment="1">
      <alignment horizontal="center"/>
    </xf>
    <xf numFmtId="164" fontId="14" fillId="5" borderId="10" xfId="2" applyFont="1" applyFill="1" applyBorder="1" applyAlignment="1">
      <alignment horizontal="center"/>
    </xf>
    <xf numFmtId="164" fontId="14" fillId="5" borderId="13" xfId="2" applyFont="1" applyFill="1" applyBorder="1" applyAlignment="1">
      <alignment horizontal="center"/>
    </xf>
    <xf numFmtId="165" fontId="14" fillId="5" borderId="13" xfId="4" applyNumberFormat="1" applyFont="1" applyFill="1" applyBorder="1" applyAlignment="1">
      <alignment horizontal="center"/>
    </xf>
    <xf numFmtId="165" fontId="14" fillId="5" borderId="9" xfId="4" applyNumberFormat="1" applyFont="1" applyFill="1" applyBorder="1" applyAlignment="1">
      <alignment horizontal="center"/>
    </xf>
    <xf numFmtId="165" fontId="14" fillId="5" borderId="10" xfId="0" applyNumberFormat="1" applyFont="1" applyFill="1" applyBorder="1" applyAlignment="1">
      <alignment horizontal="center"/>
    </xf>
    <xf numFmtId="165" fontId="14" fillId="5" borderId="9" xfId="0" applyNumberFormat="1" applyFont="1" applyFill="1" applyBorder="1" applyAlignment="1">
      <alignment horizontal="center"/>
    </xf>
    <xf numFmtId="165" fontId="14" fillId="0" borderId="6" xfId="0" applyNumberFormat="1" applyFont="1" applyBorder="1" applyAlignment="1">
      <alignment horizontal="center"/>
    </xf>
    <xf numFmtId="165" fontId="14" fillId="0" borderId="3" xfId="4" applyNumberFormat="1" applyFont="1" applyFill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13" fillId="6" borderId="5" xfId="0" applyFont="1" applyFill="1" applyBorder="1" applyAlignment="1">
      <alignment horizontal="center" vertical="center"/>
    </xf>
    <xf numFmtId="165" fontId="13" fillId="6" borderId="12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5" borderId="2" xfId="0" applyFont="1" applyFill="1" applyBorder="1" applyAlignment="1">
      <alignment horizontal="center"/>
    </xf>
    <xf numFmtId="165" fontId="14" fillId="5" borderId="11" xfId="0" applyNumberFormat="1" applyFont="1" applyFill="1" applyBorder="1" applyAlignment="1">
      <alignment horizontal="center"/>
    </xf>
    <xf numFmtId="0" fontId="25" fillId="0" borderId="17" xfId="0" applyFont="1" applyBorder="1" applyAlignment="1">
      <alignment horizontal="center"/>
    </xf>
    <xf numFmtId="164" fontId="14" fillId="0" borderId="17" xfId="2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5" fillId="7" borderId="6" xfId="0" applyFont="1" applyFill="1" applyBorder="1" applyAlignment="1">
      <alignment horizontal="center"/>
    </xf>
    <xf numFmtId="165" fontId="15" fillId="7" borderId="8" xfId="0" applyNumberFormat="1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164" fontId="14" fillId="5" borderId="0" xfId="2" applyFont="1" applyFill="1" applyBorder="1" applyAlignment="1">
      <alignment horizontal="center"/>
    </xf>
    <xf numFmtId="164" fontId="15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164" fontId="14" fillId="0" borderId="3" xfId="2" applyFont="1" applyFill="1" applyBorder="1" applyAlignment="1">
      <alignment horizontal="center"/>
    </xf>
    <xf numFmtId="0" fontId="6" fillId="0" borderId="0" xfId="0" applyFont="1"/>
    <xf numFmtId="164" fontId="25" fillId="0" borderId="17" xfId="2" applyFont="1" applyFill="1" applyBorder="1" applyAlignment="1">
      <alignment horizontal="center"/>
    </xf>
    <xf numFmtId="165" fontId="14" fillId="0" borderId="5" xfId="0" applyNumberFormat="1" applyFont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" fontId="14" fillId="0" borderId="17" xfId="0" applyNumberFormat="1" applyFont="1" applyBorder="1" applyAlignment="1">
      <alignment horizontal="center"/>
    </xf>
    <xf numFmtId="1" fontId="14" fillId="0" borderId="3" xfId="0" applyNumberFormat="1" applyFont="1" applyBorder="1" applyAlignment="1">
      <alignment horizontal="center"/>
    </xf>
    <xf numFmtId="164" fontId="31" fillId="0" borderId="17" xfId="2" applyFont="1" applyFill="1" applyBorder="1" applyAlignment="1">
      <alignment horizontal="center"/>
    </xf>
    <xf numFmtId="165" fontId="25" fillId="0" borderId="17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1" fontId="25" fillId="0" borderId="17" xfId="0" applyNumberFormat="1" applyFont="1" applyBorder="1" applyAlignment="1">
      <alignment horizontal="center"/>
    </xf>
    <xf numFmtId="44" fontId="14" fillId="0" borderId="17" xfId="39" applyFont="1" applyFill="1" applyBorder="1" applyAlignment="1">
      <alignment horizontal="center"/>
    </xf>
    <xf numFmtId="0" fontId="14" fillId="0" borderId="17" xfId="4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0" fontId="33" fillId="0" borderId="17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44" fontId="14" fillId="0" borderId="17" xfId="68" applyFont="1" applyFill="1" applyBorder="1" applyAlignment="1">
      <alignment horizontal="center"/>
    </xf>
    <xf numFmtId="44" fontId="14" fillId="0" borderId="17" xfId="104" applyFont="1" applyFill="1" applyBorder="1" applyAlignment="1">
      <alignment horizontal="center"/>
    </xf>
    <xf numFmtId="44" fontId="25" fillId="0" borderId="17" xfId="104" applyFont="1" applyFill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44" fontId="13" fillId="0" borderId="17" xfId="104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38" fillId="0" borderId="17" xfId="0" applyFont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5" fontId="39" fillId="0" borderId="17" xfId="4" applyNumberFormat="1" applyFont="1" applyFill="1" applyBorder="1" applyAlignment="1">
      <alignment horizontal="center"/>
    </xf>
    <xf numFmtId="0" fontId="33" fillId="0" borderId="17" xfId="2" applyNumberFormat="1" applyFont="1" applyFill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13" fillId="6" borderId="0" xfId="0" applyFont="1" applyFill="1" applyAlignment="1">
      <alignment horizontal="center" vertical="center"/>
    </xf>
    <xf numFmtId="0" fontId="11" fillId="7" borderId="3" xfId="0" applyFont="1" applyFill="1" applyBorder="1" applyAlignment="1">
      <alignment horizontal="center"/>
    </xf>
    <xf numFmtId="165" fontId="11" fillId="7" borderId="5" xfId="0" applyNumberFormat="1" applyFont="1" applyFill="1" applyBorder="1" applyAlignment="1">
      <alignment horizontal="center"/>
    </xf>
    <xf numFmtId="165" fontId="11" fillId="7" borderId="4" xfId="0" applyNumberFormat="1" applyFont="1" applyFill="1" applyBorder="1" applyAlignment="1">
      <alignment horizontal="center"/>
    </xf>
    <xf numFmtId="165" fontId="11" fillId="7" borderId="12" xfId="0" applyNumberFormat="1" applyFont="1" applyFill="1" applyBorder="1" applyAlignment="1">
      <alignment horizontal="center"/>
    </xf>
    <xf numFmtId="0" fontId="18" fillId="7" borderId="6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/>
    </xf>
  </cellXfs>
  <cellStyles count="113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00000000-0005-0000-0000-00000E000000}"/>
    <cellStyle name="Moeda 2 2 2 2" xfId="108" xr:uid="{00000000-0005-0000-0000-00000F000000}"/>
    <cellStyle name="Moeda 2 2 2 3" xfId="93" xr:uid="{00000000-0005-0000-0000-000010000000}"/>
    <cellStyle name="Moeda 2 2 2 4" xfId="72" xr:uid="{00000000-0005-0000-0000-000011000000}"/>
    <cellStyle name="Moeda 2 2 3" xfId="59" xr:uid="{00000000-0005-0000-0000-000012000000}"/>
    <cellStyle name="Moeda 2 2 3 2" xfId="101" xr:uid="{00000000-0005-0000-0000-000013000000}"/>
    <cellStyle name="Moeda 2 2 3 3" xfId="80" xr:uid="{00000000-0005-0000-0000-000014000000}"/>
    <cellStyle name="Moeda 2 2 4" xfId="86" xr:uid="{00000000-0005-0000-0000-000015000000}"/>
    <cellStyle name="Moeda 2 2 5" xfId="65" xr:uid="{00000000-0005-0000-0000-000016000000}"/>
    <cellStyle name="Moeda 2 3" xfId="44" xr:uid="{00000000-0005-0000-0000-000017000000}"/>
    <cellStyle name="Moeda 2 3 2" xfId="106" xr:uid="{00000000-0005-0000-0000-000018000000}"/>
    <cellStyle name="Moeda 2 3 3" xfId="91" xr:uid="{00000000-0005-0000-0000-000019000000}"/>
    <cellStyle name="Moeda 2 3 4" xfId="70" xr:uid="{00000000-0005-0000-0000-00001A000000}"/>
    <cellStyle name="Moeda 2 4" xfId="57" xr:uid="{00000000-0005-0000-0000-00001B000000}"/>
    <cellStyle name="Moeda 2 4 2" xfId="99" xr:uid="{00000000-0005-0000-0000-00001C000000}"/>
    <cellStyle name="Moeda 2 4 3" xfId="78" xr:uid="{00000000-0005-0000-0000-00001D000000}"/>
    <cellStyle name="Moeda 2 5" xfId="84" xr:uid="{00000000-0005-0000-0000-00001E000000}"/>
    <cellStyle name="Moeda 2 6" xfId="63" xr:uid="{00000000-0005-0000-0000-00001F000000}"/>
    <cellStyle name="Moeda 3" xfId="39" xr:uid="{00000000-0005-0000-0000-000020000000}"/>
    <cellStyle name="Moeda 3 2" xfId="104" xr:uid="{00000000-0005-0000-0000-000021000000}"/>
    <cellStyle name="Moeda 3 3" xfId="89" xr:uid="{00000000-0005-0000-0000-000022000000}"/>
    <cellStyle name="Moeda 3 4" xfId="68" xr:uid="{00000000-0005-0000-0000-000023000000}"/>
    <cellStyle name="Normal" xfId="0" builtinId="0"/>
    <cellStyle name="Normal 2" xfId="3" xr:uid="{00000000-0005-0000-0000-000025000000}"/>
    <cellStyle name="Normal 2 2" xfId="8" xr:uid="{00000000-0005-0000-0000-000026000000}"/>
    <cellStyle name="Normal 2 2 2" xfId="12" xr:uid="{00000000-0005-0000-0000-000027000000}"/>
    <cellStyle name="Normal 2 2 2 2" xfId="43" xr:uid="{00000000-0005-0000-0000-000028000000}"/>
    <cellStyle name="Normal 2 2 3" xfId="40" xr:uid="{00000000-0005-0000-0000-000029000000}"/>
    <cellStyle name="Normal 2 3" xfId="27" xr:uid="{00000000-0005-0000-0000-00002A000000}"/>
    <cellStyle name="Normal 2 3 2" xfId="48" xr:uid="{00000000-0005-0000-0000-00002B000000}"/>
    <cellStyle name="Normal 3" xfId="18" xr:uid="{00000000-0005-0000-0000-00002C000000}"/>
    <cellStyle name="Normal 3 2" xfId="45" xr:uid="{00000000-0005-0000-0000-00002D000000}"/>
    <cellStyle name="Normal 4" xfId="28" xr:uid="{00000000-0005-0000-0000-00002E000000}"/>
    <cellStyle name="Normal 4 2" xfId="20" xr:uid="{00000000-0005-0000-0000-00002F000000}"/>
    <cellStyle name="Normal 4 3" xfId="49" xr:uid="{00000000-0005-0000-0000-000030000000}"/>
    <cellStyle name="Normal 4 3 2" xfId="109" xr:uid="{00000000-0005-0000-0000-000031000000}"/>
    <cellStyle name="Normal 4 3 3" xfId="94" xr:uid="{00000000-0005-0000-0000-000032000000}"/>
    <cellStyle name="Normal 4 3 4" xfId="73" xr:uid="{00000000-0005-0000-0000-000033000000}"/>
    <cellStyle name="Normal 4 4" xfId="60" xr:uid="{00000000-0005-0000-0000-000034000000}"/>
    <cellStyle name="Normal 4 4 2" xfId="102" xr:uid="{00000000-0005-0000-0000-000035000000}"/>
    <cellStyle name="Normal 4 4 3" xfId="81" xr:uid="{00000000-0005-0000-0000-000036000000}"/>
    <cellStyle name="Normal 4 5" xfId="87" xr:uid="{00000000-0005-0000-0000-000037000000}"/>
    <cellStyle name="Normal 4 6" xfId="66" xr:uid="{00000000-0005-0000-0000-000038000000}"/>
    <cellStyle name="Normal 5" xfId="29" xr:uid="{00000000-0005-0000-0000-000039000000}"/>
    <cellStyle name="Normal 5 2" xfId="50" xr:uid="{00000000-0005-0000-0000-00003A000000}"/>
    <cellStyle name="Normal 6" xfId="30" xr:uid="{00000000-0005-0000-0000-00003B000000}"/>
    <cellStyle name="Normal 6 2" xfId="51" xr:uid="{00000000-0005-0000-0000-00003C000000}"/>
    <cellStyle name="Percentual de métrica-chave" xfId="31" xr:uid="{00000000-0005-0000-0000-00003D000000}"/>
    <cellStyle name="Porcentagem" xfId="4" builtinId="5"/>
    <cellStyle name="Porcentagem 2" xfId="10" xr:uid="{00000000-0005-0000-0000-00003F000000}"/>
    <cellStyle name="Porcentagem 2 2" xfId="41" xr:uid="{00000000-0005-0000-0000-000040000000}"/>
    <cellStyle name="Porcentagem 5" xfId="32" xr:uid="{00000000-0005-0000-0000-000041000000}"/>
    <cellStyle name="Porcentagem 5 2" xfId="52" xr:uid="{00000000-0005-0000-0000-000042000000}"/>
    <cellStyle name="Separador de milhares 2" xfId="11" xr:uid="{00000000-0005-0000-0000-000043000000}"/>
    <cellStyle name="Separador de milhares 2 2" xfId="42" xr:uid="{00000000-0005-0000-0000-000044000000}"/>
    <cellStyle name="Separador de milhares 2 2 2" xfId="105" xr:uid="{00000000-0005-0000-0000-000045000000}"/>
    <cellStyle name="Separador de milhares 2 2 3" xfId="90" xr:uid="{00000000-0005-0000-0000-000046000000}"/>
    <cellStyle name="Separador de milhares 2 2 4" xfId="69" xr:uid="{00000000-0005-0000-0000-000047000000}"/>
    <cellStyle name="Separador de milhares 2 3" xfId="56" xr:uid="{00000000-0005-0000-0000-000048000000}"/>
    <cellStyle name="Separador de milhares 2 3 2" xfId="98" xr:uid="{00000000-0005-0000-0000-000049000000}"/>
    <cellStyle name="Separador de milhares 2 3 3" xfId="77" xr:uid="{00000000-0005-0000-0000-00004A000000}"/>
    <cellStyle name="Separador de milhares 2 4" xfId="83" xr:uid="{00000000-0005-0000-0000-00004B000000}"/>
    <cellStyle name="Separador de milhares 2 5" xfId="62" xr:uid="{00000000-0005-0000-0000-00004C000000}"/>
    <cellStyle name="Separador de milhares 3" xfId="33" xr:uid="{00000000-0005-0000-0000-00004D000000}"/>
    <cellStyle name="Separador de milhares 5" xfId="34" xr:uid="{00000000-0005-0000-0000-00004E000000}"/>
    <cellStyle name="Separador de milhares 5 2" xfId="53" xr:uid="{00000000-0005-0000-0000-00004F000000}"/>
    <cellStyle name="Separador de milhares 5 2 2" xfId="110" xr:uid="{00000000-0005-0000-0000-000050000000}"/>
    <cellStyle name="Separador de milhares 5 2 3" xfId="95" xr:uid="{00000000-0005-0000-0000-000051000000}"/>
    <cellStyle name="Separador de milhares 5 2 4" xfId="74" xr:uid="{00000000-0005-0000-0000-000052000000}"/>
    <cellStyle name="Separador de milhares 6" xfId="35" xr:uid="{00000000-0005-0000-0000-000053000000}"/>
    <cellStyle name="Separador de milhares 6 2" xfId="54" xr:uid="{00000000-0005-0000-0000-000054000000}"/>
    <cellStyle name="Separador de milhares 6 2 2" xfId="111" xr:uid="{00000000-0005-0000-0000-000055000000}"/>
    <cellStyle name="Separador de milhares 6 2 3" xfId="96" xr:uid="{00000000-0005-0000-0000-000056000000}"/>
    <cellStyle name="Separador de milhares 6 2 4" xfId="75" xr:uid="{00000000-0005-0000-0000-000057000000}"/>
    <cellStyle name="Título 1 1" xfId="5" xr:uid="{00000000-0005-0000-0000-000058000000}"/>
    <cellStyle name="Título 1 1 1" xfId="6" xr:uid="{00000000-0005-0000-0000-000059000000}"/>
    <cellStyle name="Título 1 1 1 1" xfId="7" xr:uid="{00000000-0005-0000-0000-00005A000000}"/>
    <cellStyle name="Título 5" xfId="36" xr:uid="{00000000-0005-0000-0000-00005B000000}"/>
    <cellStyle name="Valor de métrica-chave" xfId="37" xr:uid="{00000000-0005-0000-0000-00005C000000}"/>
    <cellStyle name="Vírgula 10" xfId="19" xr:uid="{00000000-0005-0000-0000-00005D000000}"/>
    <cellStyle name="Vírgula 10 2" xfId="46" xr:uid="{00000000-0005-0000-0000-00005E000000}"/>
    <cellStyle name="Vírgula 10 2 2" xfId="107" xr:uid="{00000000-0005-0000-0000-00005F000000}"/>
    <cellStyle name="Vírgula 10 2 3" xfId="92" xr:uid="{00000000-0005-0000-0000-000060000000}"/>
    <cellStyle name="Vírgula 10 2 4" xfId="71" xr:uid="{00000000-0005-0000-0000-000061000000}"/>
    <cellStyle name="Vírgula 10 3" xfId="58" xr:uid="{00000000-0005-0000-0000-000062000000}"/>
    <cellStyle name="Vírgula 10 3 2" xfId="100" xr:uid="{00000000-0005-0000-0000-000063000000}"/>
    <cellStyle name="Vírgula 10 3 3" xfId="79" xr:uid="{00000000-0005-0000-0000-000064000000}"/>
    <cellStyle name="Vírgula 10 4" xfId="85" xr:uid="{00000000-0005-0000-0000-000065000000}"/>
    <cellStyle name="Vírgula 10 5" xfId="64" xr:uid="{00000000-0005-0000-0000-000066000000}"/>
    <cellStyle name="Vírgula 2" xfId="38" xr:uid="{00000000-0005-0000-0000-000067000000}"/>
    <cellStyle name="Vírgula 2 2" xfId="55" xr:uid="{00000000-0005-0000-0000-000068000000}"/>
    <cellStyle name="Vírgula 2 2 2" xfId="112" xr:uid="{00000000-0005-0000-0000-000069000000}"/>
    <cellStyle name="Vírgula 2 2 3" xfId="97" xr:uid="{00000000-0005-0000-0000-00006A000000}"/>
    <cellStyle name="Vírgula 2 2 4" xfId="76" xr:uid="{00000000-0005-0000-0000-00006B000000}"/>
    <cellStyle name="Vírgula 2 3" xfId="61" xr:uid="{00000000-0005-0000-0000-00006C000000}"/>
    <cellStyle name="Vírgula 2 3 2" xfId="103" xr:uid="{00000000-0005-0000-0000-00006D000000}"/>
    <cellStyle name="Vírgula 2 3 3" xfId="82" xr:uid="{00000000-0005-0000-0000-00006E000000}"/>
    <cellStyle name="Vírgula 2 4" xfId="88" xr:uid="{00000000-0005-0000-0000-00006F000000}"/>
    <cellStyle name="Vírgula 2 5" xfId="67" xr:uid="{00000000-0005-0000-0000-00007000000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00000000}" name="vend1" displayName="vend1" ref="E5:I22" totalsRowShown="0" headerRowDxfId="1644" dataDxfId="1643" headerRowBorderDxfId="1641" tableBorderDxfId="1642" totalsRowBorderDxfId="1640">
  <autoFilter ref="E5:I22" xr:uid="{00000000-0009-0000-0100-000026000000}"/>
  <sortState xmlns:xlrd2="http://schemas.microsoft.com/office/spreadsheetml/2017/richdata2" ref="E6:I22">
    <sortCondition ref="E5:E22"/>
  </sortState>
  <tableColumns count="5">
    <tableColumn id="1" xr3:uid="{00000000-0010-0000-0000-000001000000}" name="Nº Venda" dataDxfId="1639" dataCellStyle="Moeda"/>
    <tableColumn id="5" xr3:uid="{00000000-0010-0000-0000-000005000000}" name="Cliente" dataDxfId="1638" dataCellStyle="Moeda"/>
    <tableColumn id="2" xr3:uid="{00000000-0010-0000-0000-000002000000}" name="Forma de Pgto" dataDxfId="1637" dataCellStyle="Moeda"/>
    <tableColumn id="3" xr3:uid="{00000000-0010-0000-0000-000003000000}" name="Valor Venda" dataDxfId="1636" dataCellStyle="Porcentagem"/>
    <tableColumn id="4" xr3:uid="{00000000-0010-0000-0000-000004000000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1000000}" name="desp1" displayName="desp1" ref="K5:M11" totalsRowShown="0" headerRowDxfId="1634" dataDxfId="1633" headerRowBorderDxfId="1631" tableBorderDxfId="1632" totalsRowBorderDxfId="1630">
  <autoFilter ref="K5:M11" xr:uid="{00000000-0009-0000-0100-000027000000}"/>
  <tableColumns count="3">
    <tableColumn id="1" xr3:uid="{00000000-0010-0000-0100-000001000000}" name="Descrição" dataDxfId="1629"/>
    <tableColumn id="2" xr3:uid="{00000000-0010-0000-0100-000002000000}" name="Tipo de Pagto" dataDxfId="1628"/>
    <tableColumn id="3" xr3:uid="{00000000-0010-0000-0100-000003000000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02000000}" name="rest_entr1" displayName="rest_entr1" ref="E25:I31" totalsRowShown="0" headerRowDxfId="1626" dataDxfId="1625" headerRowBorderDxfId="1623" tableBorderDxfId="1624" totalsRowBorderDxfId="1622">
  <autoFilter ref="E25:I31" xr:uid="{00000000-0009-0000-0100-000028000000}"/>
  <sortState xmlns:xlrd2="http://schemas.microsoft.com/office/spreadsheetml/2017/richdata2" ref="E26:I31">
    <sortCondition ref="E25:E31"/>
  </sortState>
  <tableColumns count="5">
    <tableColumn id="1" xr3:uid="{00000000-0010-0000-0200-000001000000}" name="Nº Venda" dataDxfId="1621"/>
    <tableColumn id="2" xr3:uid="{00000000-0010-0000-0200-000002000000}" name="Cliente" dataDxfId="1620"/>
    <tableColumn id="3" xr3:uid="{00000000-0010-0000-0200-000003000000}" name="Forma de Pgto" dataDxfId="1619" dataCellStyle="Moeda"/>
    <tableColumn id="4" xr3:uid="{00000000-0010-0000-0200-000004000000}" name="Valor Venda" dataDxfId="1618" dataCellStyle="Porcentagem"/>
    <tableColumn id="5" xr3:uid="{00000000-0010-0000-0200-000005000000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03000000}" name="os_entr_dia1" displayName="os_entr_dia1" ref="K14:M31" totalsRowShown="0" headerRowDxfId="1616" dataDxfId="1615" headerRowBorderDxfId="1613" tableBorderDxfId="1614" totalsRowBorderDxfId="1612">
  <autoFilter ref="K14:M31" xr:uid="{00000000-0009-0000-0100-000029000000}"/>
  <tableColumns count="3">
    <tableColumn id="1" xr3:uid="{00000000-0010-0000-0300-000001000000}" name="OS" dataDxfId="1611"/>
    <tableColumn id="2" xr3:uid="{00000000-0010-0000-0300-000002000000}" name="Vendedor" dataDxfId="1610"/>
    <tableColumn id="3" xr3:uid="{00000000-0010-0000-0300-000003000000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04000000}" name="rec_carn1" displayName="rec_carn1" ref="E34:I41" totalsRowShown="0" headerRowDxfId="1608" dataDxfId="1607" headerRowBorderDxfId="1605" tableBorderDxfId="1606" totalsRowBorderDxfId="1604">
  <autoFilter ref="E34:I41" xr:uid="{00000000-0009-0000-0100-00002A000000}"/>
  <sortState xmlns:xlrd2="http://schemas.microsoft.com/office/spreadsheetml/2017/richdata2" ref="E35:I40">
    <sortCondition ref="E25:E31"/>
  </sortState>
  <tableColumns count="5">
    <tableColumn id="1" xr3:uid="{00000000-0010-0000-0400-000001000000}" name="OS" dataDxfId="1603"/>
    <tableColumn id="2" xr3:uid="{00000000-0010-0000-0400-000002000000}" name="Cliente" dataDxfId="1602"/>
    <tableColumn id="3" xr3:uid="{00000000-0010-0000-0400-000003000000}" name="Forma de Pgto" dataDxfId="1601" dataCellStyle="Moeda"/>
    <tableColumn id="4" xr3:uid="{00000000-0010-0000-0400-000004000000}" name="Valor Parcela" dataDxfId="1600" dataCellStyle="Porcentagem"/>
    <tableColumn id="5" xr3:uid="{00000000-0010-0000-0400-000005000000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05000000}" name="entr_carn1" displayName="entr_carn1" ref="K34:M41" totalsRowShown="0" headerRowDxfId="1598" headerRowBorderDxfId="1596" tableBorderDxfId="1597" totalsRowBorderDxfId="1595">
  <autoFilter ref="K34:M41" xr:uid="{00000000-0009-0000-0100-00002B000000}"/>
  <tableColumns count="3">
    <tableColumn id="1" xr3:uid="{00000000-0010-0000-0500-000001000000}" name="OS" dataDxfId="1594"/>
    <tableColumn id="2" xr3:uid="{00000000-0010-0000-0500-000002000000}" name="Parcelas" dataDxfId="1593"/>
    <tableColumn id="3" xr3:uid="{00000000-0010-0000-0500-000003000000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6000000}" name="vend2" displayName="vend2" ref="E5:I22" totalsRowShown="0" headerRowDxfId="1591" dataDxfId="1590" headerRowBorderDxfId="1588" tableBorderDxfId="1589" totalsRowBorderDxfId="1587">
  <autoFilter ref="E5:I22" xr:uid="{00000000-0009-0000-0100-000020000000}"/>
  <sortState xmlns:xlrd2="http://schemas.microsoft.com/office/spreadsheetml/2017/richdata2" ref="E6:I22">
    <sortCondition ref="E5:E22"/>
  </sortState>
  <tableColumns count="5">
    <tableColumn id="1" xr3:uid="{00000000-0010-0000-0600-000001000000}" name="Nº Venda" dataDxfId="1586" dataCellStyle="Moeda"/>
    <tableColumn id="5" xr3:uid="{00000000-0010-0000-0600-000005000000}" name="Cliente" dataDxfId="1585" dataCellStyle="Moeda"/>
    <tableColumn id="2" xr3:uid="{00000000-0010-0000-0600-000002000000}" name="Forma de Pgto" dataDxfId="1584" dataCellStyle="Moeda"/>
    <tableColumn id="3" xr3:uid="{00000000-0010-0000-0600-000003000000}" name="Valor Venda" dataDxfId="1583" dataCellStyle="Porcentagem"/>
    <tableColumn id="4" xr3:uid="{00000000-0010-0000-0600-000004000000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7000000}" name="desp2" displayName="desp2" ref="K5:M11" totalsRowShown="0" headerRowDxfId="1581" dataDxfId="1580" headerRowBorderDxfId="1578" tableBorderDxfId="1579" totalsRowBorderDxfId="1577">
  <autoFilter ref="K5:M11" xr:uid="{00000000-0009-0000-0100-000021000000}"/>
  <tableColumns count="3">
    <tableColumn id="1" xr3:uid="{00000000-0010-0000-0700-000001000000}" name="Descrição" dataDxfId="1576"/>
    <tableColumn id="2" xr3:uid="{00000000-0010-0000-0700-000002000000}" name="Tipo de Pagto" dataDxfId="1575"/>
    <tableColumn id="3" xr3:uid="{00000000-0010-0000-0700-000003000000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8000000}" name="rest_entr2" displayName="rest_entr2" ref="E25:I31" totalsRowShown="0" headerRowDxfId="1573" dataDxfId="1572" headerRowBorderDxfId="1570" tableBorderDxfId="1571" totalsRowBorderDxfId="1569">
  <autoFilter ref="E25:I31" xr:uid="{00000000-0009-0000-0100-000022000000}"/>
  <sortState xmlns:xlrd2="http://schemas.microsoft.com/office/spreadsheetml/2017/richdata2" ref="E26:I31">
    <sortCondition ref="E25:E31"/>
  </sortState>
  <tableColumns count="5">
    <tableColumn id="1" xr3:uid="{00000000-0010-0000-0800-000001000000}" name="Nº Venda" dataDxfId="1568"/>
    <tableColumn id="2" xr3:uid="{00000000-0010-0000-0800-000002000000}" name="Cliente" dataDxfId="1567"/>
    <tableColumn id="3" xr3:uid="{00000000-0010-0000-0800-000003000000}" name="Forma de Pgto" dataDxfId="1566" dataCellStyle="Moeda"/>
    <tableColumn id="4" xr3:uid="{00000000-0010-0000-0800-000004000000}" name="Valor Venda" dataDxfId="1565" dataCellStyle="Porcentagem"/>
    <tableColumn id="5" xr3:uid="{00000000-0010-0000-0800-000005000000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9000000}" name="os_entr_dia2" displayName="os_entr_dia2" ref="K14:M31" totalsRowShown="0" headerRowDxfId="1563" dataDxfId="1562" headerRowBorderDxfId="1560" tableBorderDxfId="1561" totalsRowBorderDxfId="1559">
  <autoFilter ref="K14:M31" xr:uid="{00000000-0009-0000-0100-000023000000}"/>
  <tableColumns count="3">
    <tableColumn id="1" xr3:uid="{00000000-0010-0000-0900-000001000000}" name="OS" dataDxfId="1558"/>
    <tableColumn id="2" xr3:uid="{00000000-0010-0000-0900-000002000000}" name="Vendedor" dataDxfId="1557"/>
    <tableColumn id="3" xr3:uid="{00000000-0010-0000-0900-000003000000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A000000}" name="rec_carn2" displayName="rec_carn2" ref="E34:I41" totalsRowShown="0" headerRowDxfId="1555" dataDxfId="1554" headerRowBorderDxfId="1552" tableBorderDxfId="1553" totalsRowBorderDxfId="1551">
  <autoFilter ref="E34:I41" xr:uid="{00000000-0009-0000-0100-000024000000}"/>
  <sortState xmlns:xlrd2="http://schemas.microsoft.com/office/spreadsheetml/2017/richdata2" ref="E35:I40">
    <sortCondition ref="E25:E31"/>
  </sortState>
  <tableColumns count="5">
    <tableColumn id="1" xr3:uid="{00000000-0010-0000-0A00-000001000000}" name="OS" dataDxfId="1550"/>
    <tableColumn id="2" xr3:uid="{00000000-0010-0000-0A00-000002000000}" name="Cliente" dataDxfId="1549"/>
    <tableColumn id="3" xr3:uid="{00000000-0010-0000-0A00-000003000000}" name="Forma de Pgto" dataDxfId="1548" dataCellStyle="Moeda"/>
    <tableColumn id="4" xr3:uid="{00000000-0010-0000-0A00-000004000000}" name="Valor Parcela" dataDxfId="1547" dataCellStyle="Porcentagem"/>
    <tableColumn id="5" xr3:uid="{00000000-0010-0000-0A00-000005000000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0B000000}" name="entr_carn2" displayName="entr_carn2" ref="K34:M41" totalsRowShown="0" headerRowDxfId="1545" headerRowBorderDxfId="1543" tableBorderDxfId="1544" totalsRowBorderDxfId="1542">
  <autoFilter ref="K34:M41" xr:uid="{00000000-0009-0000-0100-000025000000}"/>
  <tableColumns count="3">
    <tableColumn id="1" xr3:uid="{00000000-0010-0000-0B00-000001000000}" name="OS" dataDxfId="1541"/>
    <tableColumn id="2" xr3:uid="{00000000-0010-0000-0B00-000002000000}" name="Parcelas" dataDxfId="1540"/>
    <tableColumn id="3" xr3:uid="{00000000-0010-0000-0B00-000003000000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C000000}" name="vend3" displayName="vend3" ref="E5:I22" totalsRowShown="0" headerRowDxfId="1538" dataDxfId="1537" headerRowBorderDxfId="1535" tableBorderDxfId="1536" totalsRowBorderDxfId="1534">
  <autoFilter ref="E5:I22" xr:uid="{00000000-0009-0000-0100-00001A000000}"/>
  <sortState xmlns:xlrd2="http://schemas.microsoft.com/office/spreadsheetml/2017/richdata2" ref="E6:I22">
    <sortCondition ref="E5:E22"/>
  </sortState>
  <tableColumns count="5">
    <tableColumn id="1" xr3:uid="{00000000-0010-0000-0C00-000001000000}" name="Nº Venda" dataDxfId="1533" dataCellStyle="Moeda"/>
    <tableColumn id="5" xr3:uid="{00000000-0010-0000-0C00-000005000000}" name="Cliente" dataDxfId="1532" dataCellStyle="Moeda"/>
    <tableColumn id="2" xr3:uid="{00000000-0010-0000-0C00-000002000000}" name="Forma de Pgto" dataDxfId="1531" dataCellStyle="Moeda"/>
    <tableColumn id="3" xr3:uid="{00000000-0010-0000-0C00-000003000000}" name="Valor Venda" dataDxfId="1530" dataCellStyle="Porcentagem"/>
    <tableColumn id="4" xr3:uid="{00000000-0010-0000-0C00-000004000000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D000000}" name="desp3" displayName="desp3" ref="K5:M11" totalsRowShown="0" headerRowDxfId="1528" dataDxfId="1527" headerRowBorderDxfId="1525" tableBorderDxfId="1526" totalsRowBorderDxfId="1524">
  <autoFilter ref="K5:M11" xr:uid="{00000000-0009-0000-0100-00001B000000}"/>
  <tableColumns count="3">
    <tableColumn id="1" xr3:uid="{00000000-0010-0000-0D00-000001000000}" name="Descrição" dataDxfId="1523"/>
    <tableColumn id="2" xr3:uid="{00000000-0010-0000-0D00-000002000000}" name="Tipo de Pagto" dataDxfId="1522"/>
    <tableColumn id="3" xr3:uid="{00000000-0010-0000-0D00-000003000000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E000000}" name="rest_entr3" displayName="rest_entr3" ref="E25:I31" totalsRowShown="0" headerRowDxfId="1520" dataDxfId="1519" headerRowBorderDxfId="1517" tableBorderDxfId="1518" totalsRowBorderDxfId="1516">
  <autoFilter ref="E25:I31" xr:uid="{00000000-0009-0000-0100-00001C000000}"/>
  <sortState xmlns:xlrd2="http://schemas.microsoft.com/office/spreadsheetml/2017/richdata2" ref="E26:I31">
    <sortCondition ref="E25:E31"/>
  </sortState>
  <tableColumns count="5">
    <tableColumn id="1" xr3:uid="{00000000-0010-0000-0E00-000001000000}" name="Nº Venda" dataDxfId="1515"/>
    <tableColumn id="2" xr3:uid="{00000000-0010-0000-0E00-000002000000}" name="Cliente" dataDxfId="1514"/>
    <tableColumn id="3" xr3:uid="{00000000-0010-0000-0E00-000003000000}" name="Forma de Pgto" dataDxfId="1513" dataCellStyle="Moeda"/>
    <tableColumn id="4" xr3:uid="{00000000-0010-0000-0E00-000004000000}" name="Valor Venda" dataDxfId="1512" dataCellStyle="Porcentagem"/>
    <tableColumn id="5" xr3:uid="{00000000-0010-0000-0E00-000005000000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F000000}" name="os_entr_dia3" displayName="os_entr_dia3" ref="K14:M31" totalsRowShown="0" headerRowDxfId="1510" dataDxfId="1509" headerRowBorderDxfId="1507" tableBorderDxfId="1508" totalsRowBorderDxfId="1506">
  <autoFilter ref="K14:M31" xr:uid="{00000000-0009-0000-0100-00001D000000}"/>
  <tableColumns count="3">
    <tableColumn id="1" xr3:uid="{00000000-0010-0000-0F00-000001000000}" name="OS" dataDxfId="1505"/>
    <tableColumn id="2" xr3:uid="{00000000-0010-0000-0F00-000002000000}" name="Vendedor" dataDxfId="1504"/>
    <tableColumn id="3" xr3:uid="{00000000-0010-0000-0F00-000003000000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0000000}" name="rec_carn3" displayName="rec_carn3" ref="E34:I41" totalsRowShown="0" headerRowDxfId="1502" dataDxfId="1501" headerRowBorderDxfId="1499" tableBorderDxfId="1500" totalsRowBorderDxfId="1498">
  <autoFilter ref="E34:I41" xr:uid="{00000000-0009-0000-0100-00001E000000}"/>
  <sortState xmlns:xlrd2="http://schemas.microsoft.com/office/spreadsheetml/2017/richdata2" ref="E35:I40">
    <sortCondition ref="E25:E31"/>
  </sortState>
  <tableColumns count="5">
    <tableColumn id="1" xr3:uid="{00000000-0010-0000-1000-000001000000}" name="OS" dataDxfId="1497"/>
    <tableColumn id="2" xr3:uid="{00000000-0010-0000-1000-000002000000}" name="Cliente" dataDxfId="1496"/>
    <tableColumn id="3" xr3:uid="{00000000-0010-0000-1000-000003000000}" name="Forma de Pgto" dataDxfId="1495" dataCellStyle="Moeda"/>
    <tableColumn id="4" xr3:uid="{00000000-0010-0000-1000-000004000000}" name="Valor Parcela" dataDxfId="1494" dataCellStyle="Porcentagem"/>
    <tableColumn id="5" xr3:uid="{00000000-0010-0000-1000-000005000000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1000000}" name="entr_carn3" displayName="entr_carn3" ref="K34:M41" totalsRowShown="0" headerRowDxfId="1492" headerRowBorderDxfId="1490" tableBorderDxfId="1491" totalsRowBorderDxfId="1489">
  <autoFilter ref="K34:M41" xr:uid="{00000000-0009-0000-0100-00001F000000}"/>
  <tableColumns count="3">
    <tableColumn id="1" xr3:uid="{00000000-0010-0000-1100-000001000000}" name="OS" dataDxfId="1488"/>
    <tableColumn id="2" xr3:uid="{00000000-0010-0000-1100-000002000000}" name="Parcelas" dataDxfId="1487"/>
    <tableColumn id="3" xr3:uid="{00000000-0010-0000-1100-000003000000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2000000}" name="vend4" displayName="vend4" ref="E5:I22" totalsRowShown="0" headerRowDxfId="1485" dataDxfId="1484" headerRowBorderDxfId="1482" tableBorderDxfId="1483" totalsRowBorderDxfId="1481">
  <autoFilter ref="E5:I22" xr:uid="{00000000-0009-0000-0100-000011000000}"/>
  <sortState xmlns:xlrd2="http://schemas.microsoft.com/office/spreadsheetml/2017/richdata2" ref="E6:I22">
    <sortCondition ref="E5:E22"/>
  </sortState>
  <tableColumns count="5">
    <tableColumn id="1" xr3:uid="{00000000-0010-0000-1200-000001000000}" name="Nº Venda" dataDxfId="1480" dataCellStyle="Moeda"/>
    <tableColumn id="5" xr3:uid="{00000000-0010-0000-1200-000005000000}" name="Cliente" dataDxfId="1479" dataCellStyle="Moeda"/>
    <tableColumn id="2" xr3:uid="{00000000-0010-0000-1200-000002000000}" name="Forma de Pgto" dataDxfId="1478" dataCellStyle="Moeda"/>
    <tableColumn id="3" xr3:uid="{00000000-0010-0000-1200-000003000000}" name="Valor Venda" dataDxfId="1477" dataCellStyle="Porcentagem"/>
    <tableColumn id="4" xr3:uid="{00000000-0010-0000-1200-000004000000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3000000}" name="desp4" displayName="desp4" ref="K5:M11" totalsRowShown="0" headerRowDxfId="1475" dataDxfId="1474" headerRowBorderDxfId="1472" tableBorderDxfId="1473" totalsRowBorderDxfId="1471">
  <autoFilter ref="K5:M11" xr:uid="{00000000-0009-0000-0100-000012000000}"/>
  <tableColumns count="3">
    <tableColumn id="1" xr3:uid="{00000000-0010-0000-1300-000001000000}" name="Descrição" dataDxfId="1470"/>
    <tableColumn id="2" xr3:uid="{00000000-0010-0000-1300-000002000000}" name="Tipo de Pagto" dataDxfId="1469"/>
    <tableColumn id="3" xr3:uid="{00000000-0010-0000-1300-000003000000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4000000}" name="rest_entr4" displayName="rest_entr4" ref="E25:I31" totalsRowShown="0" headerRowDxfId="1467" dataDxfId="1466" headerRowBorderDxfId="1464" tableBorderDxfId="1465" totalsRowBorderDxfId="1463">
  <autoFilter ref="E25:I31" xr:uid="{00000000-0009-0000-0100-000013000000}"/>
  <sortState xmlns:xlrd2="http://schemas.microsoft.com/office/spreadsheetml/2017/richdata2" ref="E26:I31">
    <sortCondition ref="E25:E31"/>
  </sortState>
  <tableColumns count="5">
    <tableColumn id="1" xr3:uid="{00000000-0010-0000-1400-000001000000}" name="Nº Venda" dataDxfId="1462"/>
    <tableColumn id="2" xr3:uid="{00000000-0010-0000-1400-000002000000}" name="Cliente" dataDxfId="1461"/>
    <tableColumn id="3" xr3:uid="{00000000-0010-0000-1400-000003000000}" name="Forma de Pgto" dataDxfId="1460" dataCellStyle="Moeda"/>
    <tableColumn id="4" xr3:uid="{00000000-0010-0000-1400-000004000000}" name="Valor Venda" dataDxfId="1459" dataCellStyle="Porcentagem"/>
    <tableColumn id="5" xr3:uid="{00000000-0010-0000-1400-000005000000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5000000}" name="os_entr_dia4" displayName="os_entr_dia4" ref="K14:M31" totalsRowShown="0" headerRowDxfId="1457" dataDxfId="1456" headerRowBorderDxfId="1454" tableBorderDxfId="1455" totalsRowBorderDxfId="1453">
  <autoFilter ref="K14:M31" xr:uid="{00000000-0009-0000-0100-000017000000}"/>
  <tableColumns count="3">
    <tableColumn id="1" xr3:uid="{00000000-0010-0000-1500-000001000000}" name="OS" dataDxfId="1452"/>
    <tableColumn id="2" xr3:uid="{00000000-0010-0000-1500-000002000000}" name="Vendedor" dataDxfId="1451"/>
    <tableColumn id="3" xr3:uid="{00000000-0010-0000-1500-00000300000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6000000}" name="rec_carn4" displayName="rec_carn4" ref="E34:I41" totalsRowShown="0" headerRowDxfId="1449" dataDxfId="1448" headerRowBorderDxfId="1446" tableBorderDxfId="1447" totalsRowBorderDxfId="1445">
  <autoFilter ref="E34:I41" xr:uid="{00000000-0009-0000-0100-000018000000}"/>
  <sortState xmlns:xlrd2="http://schemas.microsoft.com/office/spreadsheetml/2017/richdata2" ref="E35:I40">
    <sortCondition ref="E25:E31"/>
  </sortState>
  <tableColumns count="5">
    <tableColumn id="1" xr3:uid="{00000000-0010-0000-1600-000001000000}" name="OS" dataDxfId="1444"/>
    <tableColumn id="2" xr3:uid="{00000000-0010-0000-1600-000002000000}" name="Cliente" dataDxfId="1443"/>
    <tableColumn id="3" xr3:uid="{00000000-0010-0000-1600-000003000000}" name="Forma de Pgto" dataDxfId="1442" dataCellStyle="Moeda"/>
    <tableColumn id="4" xr3:uid="{00000000-0010-0000-1600-000004000000}" name="Valor Parcela" dataDxfId="1441" dataCellStyle="Porcentagem"/>
    <tableColumn id="5" xr3:uid="{00000000-0010-0000-1600-000005000000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7000000}" name="entr_carn4" displayName="entr_carn4" ref="K34:M41" totalsRowShown="0" headerRowDxfId="1439" headerRowBorderDxfId="1437" tableBorderDxfId="1438" totalsRowBorderDxfId="1436">
  <autoFilter ref="K34:M41" xr:uid="{00000000-0009-0000-0100-000019000000}"/>
  <tableColumns count="3">
    <tableColumn id="1" xr3:uid="{00000000-0010-0000-1700-000001000000}" name="OS" dataDxfId="1435"/>
    <tableColumn id="2" xr3:uid="{00000000-0010-0000-1700-000002000000}" name="Parcelas" dataDxfId="1434"/>
    <tableColumn id="3" xr3:uid="{00000000-0010-0000-1700-000003000000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8000000}" name="vend5" displayName="vend5" ref="E5:I22" totalsRowShown="0" headerRowDxfId="1432" dataDxfId="1431" headerRowBorderDxfId="1429" tableBorderDxfId="1430" totalsRowBorderDxfId="1428">
  <autoFilter ref="E5:I22" xr:uid="{00000000-0009-0000-0100-00000B000000}"/>
  <sortState xmlns:xlrd2="http://schemas.microsoft.com/office/spreadsheetml/2017/richdata2" ref="E6:I22">
    <sortCondition ref="E5:E22"/>
  </sortState>
  <tableColumns count="5">
    <tableColumn id="1" xr3:uid="{00000000-0010-0000-1800-000001000000}" name="Nº Venda" dataDxfId="1427" dataCellStyle="Moeda"/>
    <tableColumn id="5" xr3:uid="{00000000-0010-0000-1800-000005000000}" name="Cliente" dataDxfId="1426" dataCellStyle="Moeda"/>
    <tableColumn id="2" xr3:uid="{00000000-0010-0000-1800-000002000000}" name="Forma de Pgto" dataDxfId="1425" dataCellStyle="Moeda"/>
    <tableColumn id="3" xr3:uid="{00000000-0010-0000-1800-000003000000}" name="Valor Venda" dataDxfId="1424" dataCellStyle="Porcentagem"/>
    <tableColumn id="4" xr3:uid="{00000000-0010-0000-1800-000004000000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9000000}" name="desp5" displayName="desp5" ref="K5:M11" totalsRowShown="0" headerRowDxfId="1422" dataDxfId="1421" headerRowBorderDxfId="1419" tableBorderDxfId="1420" totalsRowBorderDxfId="1418">
  <autoFilter ref="K5:M11" xr:uid="{00000000-0009-0000-0100-00000C000000}"/>
  <tableColumns count="3">
    <tableColumn id="1" xr3:uid="{00000000-0010-0000-1900-000001000000}" name="Descrição" dataDxfId="1417"/>
    <tableColumn id="2" xr3:uid="{00000000-0010-0000-1900-000002000000}" name="Tipo de Pagto" dataDxfId="1416"/>
    <tableColumn id="3" xr3:uid="{00000000-0010-0000-1900-000003000000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1A000000}" name="rest_entr5" displayName="rest_entr5" ref="E25:I31" totalsRowShown="0" headerRowDxfId="1414" dataDxfId="1413" headerRowBorderDxfId="1411" tableBorderDxfId="1412" totalsRowBorderDxfId="1410">
  <autoFilter ref="E25:I31" xr:uid="{00000000-0009-0000-0100-00000D000000}"/>
  <sortState xmlns:xlrd2="http://schemas.microsoft.com/office/spreadsheetml/2017/richdata2" ref="E26:I31">
    <sortCondition ref="E25:E31"/>
  </sortState>
  <tableColumns count="5">
    <tableColumn id="1" xr3:uid="{00000000-0010-0000-1A00-000001000000}" name="Nº Venda" dataDxfId="1409"/>
    <tableColumn id="2" xr3:uid="{00000000-0010-0000-1A00-000002000000}" name="Cliente" dataDxfId="1408"/>
    <tableColumn id="3" xr3:uid="{00000000-0010-0000-1A00-000003000000}" name="Forma de Pgto" dataDxfId="1407" dataCellStyle="Moeda"/>
    <tableColumn id="4" xr3:uid="{00000000-0010-0000-1A00-000004000000}" name="Valor Venda" dataDxfId="1406" dataCellStyle="Porcentagem"/>
    <tableColumn id="5" xr3:uid="{00000000-0010-0000-1A00-000005000000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B000000}" name="os_entr_dia5" displayName="os_entr_dia5" ref="K14:M31" totalsRowShown="0" headerRowDxfId="1404" dataDxfId="1403" headerRowBorderDxfId="1401" tableBorderDxfId="1402" totalsRowBorderDxfId="1400">
  <autoFilter ref="K14:M31" xr:uid="{00000000-0009-0000-0100-00000E000000}"/>
  <tableColumns count="3">
    <tableColumn id="1" xr3:uid="{00000000-0010-0000-1B00-000001000000}" name="OS" dataDxfId="1399"/>
    <tableColumn id="2" xr3:uid="{00000000-0010-0000-1B00-000002000000}" name="Vendedor" dataDxfId="1398"/>
    <tableColumn id="3" xr3:uid="{00000000-0010-0000-1B00-000003000000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C000000}" name="rec_carn5" displayName="rec_carn5" ref="E34:I41" totalsRowShown="0" headerRowDxfId="1396" dataDxfId="1395" headerRowBorderDxfId="1393" tableBorderDxfId="1394" totalsRowBorderDxfId="1392">
  <autoFilter ref="E34:I41" xr:uid="{00000000-0009-0000-0100-00000F000000}"/>
  <sortState xmlns:xlrd2="http://schemas.microsoft.com/office/spreadsheetml/2017/richdata2" ref="E35:I40">
    <sortCondition ref="E25:E31"/>
  </sortState>
  <tableColumns count="5">
    <tableColumn id="1" xr3:uid="{00000000-0010-0000-1C00-000001000000}" name="OS" dataDxfId="1391"/>
    <tableColumn id="2" xr3:uid="{00000000-0010-0000-1C00-000002000000}" name="Cliente" dataDxfId="1390"/>
    <tableColumn id="3" xr3:uid="{00000000-0010-0000-1C00-000003000000}" name="Forma de Pgto" dataDxfId="1389" dataCellStyle="Moeda"/>
    <tableColumn id="4" xr3:uid="{00000000-0010-0000-1C00-000004000000}" name="Valor Parcela" dataDxfId="1388" dataCellStyle="Porcentagem"/>
    <tableColumn id="5" xr3:uid="{00000000-0010-0000-1C00-000005000000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D000000}" name="entr_carn5" displayName="entr_carn5" ref="K34:M41" totalsRowShown="0" headerRowDxfId="1386" headerRowBorderDxfId="1384" tableBorderDxfId="1385" totalsRowBorderDxfId="1383">
  <autoFilter ref="K34:M41" xr:uid="{00000000-0009-0000-0100-000010000000}"/>
  <tableColumns count="3">
    <tableColumn id="1" xr3:uid="{00000000-0010-0000-1D00-000001000000}" name="OS" dataDxfId="1382"/>
    <tableColumn id="2" xr3:uid="{00000000-0010-0000-1D00-000002000000}" name="Parcelas" dataDxfId="1381"/>
    <tableColumn id="3" xr3:uid="{00000000-0010-0000-1D00-000003000000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E000000}" name="vend" displayName="vend" ref="E5:I22" totalsRowShown="0" headerRowDxfId="1379" dataDxfId="1378" headerRowBorderDxfId="1376" tableBorderDxfId="1377" totalsRowBorderDxfId="1375">
  <autoFilter ref="E5:I22" xr:uid="{00000000-0009-0000-0100-000005000000}"/>
  <sortState xmlns:xlrd2="http://schemas.microsoft.com/office/spreadsheetml/2017/richdata2" ref="E6:I22">
    <sortCondition ref="E5:E22"/>
  </sortState>
  <tableColumns count="5">
    <tableColumn id="1" xr3:uid="{00000000-0010-0000-1E00-000001000000}" name="Nº Venda" dataDxfId="1374" dataCellStyle="Moeda"/>
    <tableColumn id="5" xr3:uid="{00000000-0010-0000-1E00-000005000000}" name="Cliente" dataDxfId="1373" dataCellStyle="Moeda"/>
    <tableColumn id="2" xr3:uid="{00000000-0010-0000-1E00-000002000000}" name="Forma de Pgto" dataDxfId="1372" dataCellStyle="Moeda"/>
    <tableColumn id="3" xr3:uid="{00000000-0010-0000-1E00-000003000000}" name="Valor Venda" dataDxfId="1371" dataCellStyle="Porcentagem"/>
    <tableColumn id="4" xr3:uid="{00000000-0010-0000-1E00-000004000000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1F000000}" name="desp6" displayName="desp6" ref="K5:M11" totalsRowShown="0" headerRowDxfId="1369" dataDxfId="1368" headerRowBorderDxfId="1366" tableBorderDxfId="1367" totalsRowBorderDxfId="1365">
  <autoFilter ref="K5:M11" xr:uid="{00000000-0009-0000-0100-000006000000}"/>
  <tableColumns count="3">
    <tableColumn id="1" xr3:uid="{00000000-0010-0000-1F00-000001000000}" name="Descrição" dataDxfId="1364"/>
    <tableColumn id="2" xr3:uid="{00000000-0010-0000-1F00-000002000000}" name="Tipo de Pagto" dataDxfId="1363"/>
    <tableColumn id="3" xr3:uid="{00000000-0010-0000-1F00-000003000000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20000000}" name="rest_entr6" displayName="rest_entr6" ref="E25:I31" totalsRowShown="0" headerRowDxfId="1361" dataDxfId="1360" headerRowBorderDxfId="1358" tableBorderDxfId="1359" totalsRowBorderDxfId="1357">
  <autoFilter ref="E25:I31" xr:uid="{00000000-0009-0000-0100-000007000000}"/>
  <sortState xmlns:xlrd2="http://schemas.microsoft.com/office/spreadsheetml/2017/richdata2" ref="E26:I31">
    <sortCondition ref="E25:E31"/>
  </sortState>
  <tableColumns count="5">
    <tableColumn id="1" xr3:uid="{00000000-0010-0000-2000-000001000000}" name="Nº Venda" dataDxfId="1356"/>
    <tableColumn id="2" xr3:uid="{00000000-0010-0000-2000-000002000000}" name="Cliente" dataDxfId="1355"/>
    <tableColumn id="3" xr3:uid="{00000000-0010-0000-2000-000003000000}" name="Forma de Pgto" dataDxfId="1354" dataCellStyle="Moeda"/>
    <tableColumn id="4" xr3:uid="{00000000-0010-0000-2000-000004000000}" name="Valor Venda" dataDxfId="1353" dataCellStyle="Porcentagem"/>
    <tableColumn id="5" xr3:uid="{00000000-0010-0000-2000-000005000000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21000000}" name="os_entr_dia6" displayName="os_entr_dia6" ref="K14:M31" totalsRowShown="0" headerRowDxfId="1351" dataDxfId="1350" headerRowBorderDxfId="1348" tableBorderDxfId="1349" totalsRowBorderDxfId="1347">
  <autoFilter ref="K14:M31" xr:uid="{00000000-0009-0000-0100-000008000000}"/>
  <tableColumns count="3">
    <tableColumn id="1" xr3:uid="{00000000-0010-0000-2100-000001000000}" name="OS" dataDxfId="1346"/>
    <tableColumn id="2" xr3:uid="{00000000-0010-0000-2100-000002000000}" name="Vendedor" dataDxfId="1345"/>
    <tableColumn id="3" xr3:uid="{00000000-0010-0000-2100-000003000000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22000000}" name="rec_carn6" displayName="rec_carn6" ref="E34:I41" totalsRowShown="0" headerRowDxfId="1343" dataDxfId="1342" headerRowBorderDxfId="1340" tableBorderDxfId="1341" totalsRowBorderDxfId="1339">
  <autoFilter ref="E34:I41" xr:uid="{00000000-0009-0000-0100-000009000000}"/>
  <sortState xmlns:xlrd2="http://schemas.microsoft.com/office/spreadsheetml/2017/richdata2" ref="E35:I40">
    <sortCondition ref="E25:E31"/>
  </sortState>
  <tableColumns count="5">
    <tableColumn id="1" xr3:uid="{00000000-0010-0000-2200-000001000000}" name="OS" dataDxfId="1338"/>
    <tableColumn id="2" xr3:uid="{00000000-0010-0000-2200-000002000000}" name="Cliente" dataDxfId="1337"/>
    <tableColumn id="3" xr3:uid="{00000000-0010-0000-2200-000003000000}" name="Forma de Pgto" dataDxfId="1336" dataCellStyle="Moeda"/>
    <tableColumn id="4" xr3:uid="{00000000-0010-0000-2200-000004000000}" name="Valor Parcela" dataDxfId="1335" dataCellStyle="Porcentagem"/>
    <tableColumn id="5" xr3:uid="{00000000-0010-0000-2200-000005000000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23000000}" name="entr_carn6" displayName="entr_carn6" ref="K34:M41" totalsRowShown="0" headerRowDxfId="1333" headerRowBorderDxfId="1331" tableBorderDxfId="1332" totalsRowBorderDxfId="1330">
  <autoFilter ref="K34:M41" xr:uid="{00000000-0009-0000-0100-00000A000000}"/>
  <tableColumns count="3">
    <tableColumn id="1" xr3:uid="{00000000-0010-0000-2300-000001000000}" name="OS" dataDxfId="1329"/>
    <tableColumn id="2" xr3:uid="{00000000-0010-0000-2300-000002000000}" name="Parcelas" dataDxfId="1328"/>
    <tableColumn id="3" xr3:uid="{00000000-0010-0000-2300-000003000000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24000000}" name="vend7" displayName="vend7" ref="E5:I22" totalsRowShown="0" headerRowDxfId="1326" dataDxfId="1325" headerRowBorderDxfId="1323" tableBorderDxfId="1324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2400-000001000000}" name="Nº Venda" dataDxfId="1321" dataCellStyle="Moeda"/>
    <tableColumn id="5" xr3:uid="{00000000-0010-0000-2400-000005000000}" name="Cliente" dataDxfId="1320" dataCellStyle="Moeda"/>
    <tableColumn id="2" xr3:uid="{00000000-0010-0000-2400-000002000000}" name="Forma de Pgto" dataDxfId="1319" dataCellStyle="Moeda"/>
    <tableColumn id="3" xr3:uid="{00000000-0010-0000-2400-000003000000}" name="Valor Venda" dataDxfId="1318" dataCellStyle="Porcentagem"/>
    <tableColumn id="4" xr3:uid="{00000000-0010-0000-24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25000000}" name="desp7" displayName="desp7" ref="K5:M11" totalsRowShown="0" headerRowDxfId="1316" dataDxfId="1315" headerRowBorderDxfId="1313" tableBorderDxfId="1314" totalsRowBorderDxfId="1312">
  <autoFilter ref="K5:M11" xr:uid="{00000000-0009-0000-0100-000015000000}"/>
  <tableColumns count="3">
    <tableColumn id="1" xr3:uid="{00000000-0010-0000-2500-000001000000}" name="Descrição" dataDxfId="1311"/>
    <tableColumn id="2" xr3:uid="{00000000-0010-0000-2500-000002000000}" name="Tipo de Pagto" dataDxfId="1310"/>
    <tableColumn id="3" xr3:uid="{00000000-0010-0000-25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26000000}" name="rest_entr7" displayName="rest_entr7" ref="E25:I31" totalsRowShown="0" headerRowDxfId="1308" dataDxfId="1307" headerRowBorderDxfId="1305" tableBorderDxfId="1306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2600-000001000000}" name="Nº Venda" dataDxfId="1303"/>
    <tableColumn id="2" xr3:uid="{00000000-0010-0000-2600-000002000000}" name="Cliente" dataDxfId="1302"/>
    <tableColumn id="3" xr3:uid="{00000000-0010-0000-2600-000003000000}" name="Forma de Pgto" dataDxfId="1301" dataCellStyle="Moeda"/>
    <tableColumn id="4" xr3:uid="{00000000-0010-0000-2600-000004000000}" name="Valor Venda" dataDxfId="1300" dataCellStyle="Porcentagem"/>
    <tableColumn id="5" xr3:uid="{00000000-0010-0000-26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27000000}" name="os_entr_dia7" displayName="os_entr_dia7" ref="K14:M31" totalsRowShown="0" headerRowDxfId="1298" dataDxfId="1297" headerRowBorderDxfId="1295" tableBorderDxfId="1296" totalsRowBorderDxfId="1294">
  <autoFilter ref="K14:M31" xr:uid="{00000000-0009-0000-0100-000050000000}"/>
  <tableColumns count="3">
    <tableColumn id="1" xr3:uid="{00000000-0010-0000-2700-000001000000}" name="OS" dataDxfId="1293"/>
    <tableColumn id="2" xr3:uid="{00000000-0010-0000-2700-000002000000}" name="Vendedor" dataDxfId="1292"/>
    <tableColumn id="3" xr3:uid="{00000000-0010-0000-2700-000003000000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28000000}" name="rec_carn7" displayName="rec_carn7" ref="E34:I41" totalsRowShown="0" headerRowDxfId="1290" dataDxfId="1289" headerRowBorderDxfId="1287" tableBorderDxfId="1288" totalsRowBorderDxfId="1286">
  <autoFilter ref="E34:I41" xr:uid="{00000000-0009-0000-0100-000002000000}"/>
  <sortState xmlns:xlrd2="http://schemas.microsoft.com/office/spreadsheetml/2017/richdata2" ref="E35:I40">
    <sortCondition ref="E25:E31"/>
  </sortState>
  <tableColumns count="5">
    <tableColumn id="1" xr3:uid="{00000000-0010-0000-2800-000001000000}" name="OS" dataDxfId="1285"/>
    <tableColumn id="2" xr3:uid="{00000000-0010-0000-2800-000002000000}" name="Cliente" dataDxfId="1284"/>
    <tableColumn id="3" xr3:uid="{00000000-0010-0000-2800-000003000000}" name="Forma de Pgto" dataDxfId="1283" dataCellStyle="Moeda"/>
    <tableColumn id="4" xr3:uid="{00000000-0010-0000-2800-000004000000}" name="Valor Parcela" dataDxfId="1282" dataCellStyle="Porcentagem"/>
    <tableColumn id="5" xr3:uid="{00000000-0010-0000-2800-000005000000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29000000}" name="entr_carn7" displayName="entr_carn7" ref="K34:M41" totalsRowShown="0" headerRowDxfId="1280" headerRowBorderDxfId="1278" tableBorderDxfId="1279" totalsRowBorderDxfId="1277">
  <autoFilter ref="K34:M41" xr:uid="{00000000-0009-0000-0100-000004000000}"/>
  <tableColumns count="3">
    <tableColumn id="1" xr3:uid="{00000000-0010-0000-2900-000001000000}" name="OS" dataDxfId="1276"/>
    <tableColumn id="2" xr3:uid="{00000000-0010-0000-2900-000002000000}" name="Parcelas" dataDxfId="1275"/>
    <tableColumn id="3" xr3:uid="{00000000-0010-0000-2900-000003000000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2A000000}" name="vend8" displayName="vend8" ref="E5:I22" totalsRowShown="0" headerRowDxfId="1273" dataDxfId="1272" headerRowBorderDxfId="1270" tableBorderDxfId="1271" totalsRowBorderDxfId="1269">
  <autoFilter ref="E5:I22" xr:uid="{00000000-0009-0000-0100-000038000000}"/>
  <sortState xmlns:xlrd2="http://schemas.microsoft.com/office/spreadsheetml/2017/richdata2" ref="E6:I22">
    <sortCondition ref="E5:E22"/>
  </sortState>
  <tableColumns count="5">
    <tableColumn id="1" xr3:uid="{00000000-0010-0000-2A00-000001000000}" name="Nº Venda" dataDxfId="1268" dataCellStyle="Moeda"/>
    <tableColumn id="5" xr3:uid="{00000000-0010-0000-2A00-000005000000}" name="Cliente" dataDxfId="1267" dataCellStyle="Moeda"/>
    <tableColumn id="2" xr3:uid="{00000000-0010-0000-2A00-000002000000}" name="Forma de Pgto" dataDxfId="1266" dataCellStyle="Moeda"/>
    <tableColumn id="3" xr3:uid="{00000000-0010-0000-2A00-000003000000}" name="Valor Venda" dataDxfId="1265" dataCellStyle="Porcentagem"/>
    <tableColumn id="4" xr3:uid="{00000000-0010-0000-2A00-000004000000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2B000000}" name="desp8" displayName="desp8" ref="K5:M11" totalsRowShown="0" headerRowDxfId="1263" dataDxfId="1262" headerRowBorderDxfId="1260" tableBorderDxfId="1261" totalsRowBorderDxfId="1259">
  <autoFilter ref="K5:M11" xr:uid="{00000000-0009-0000-0100-000039000000}"/>
  <tableColumns count="3">
    <tableColumn id="1" xr3:uid="{00000000-0010-0000-2B00-000001000000}" name="Descrição" dataDxfId="1258"/>
    <tableColumn id="2" xr3:uid="{00000000-0010-0000-2B00-000002000000}" name="Tipo de Pagto" dataDxfId="1257"/>
    <tableColumn id="3" xr3:uid="{00000000-0010-0000-2B00-000003000000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2C000000}" name="rest_entr8" displayName="rest_entr8" ref="E25:I31" totalsRowShown="0" headerRowDxfId="1255" dataDxfId="1254" headerRowBorderDxfId="1252" tableBorderDxfId="1253" totalsRowBorderDxfId="1251">
  <autoFilter ref="E25:I31" xr:uid="{00000000-0009-0000-0100-00003A000000}"/>
  <sortState xmlns:xlrd2="http://schemas.microsoft.com/office/spreadsheetml/2017/richdata2" ref="E26:I31">
    <sortCondition ref="E25:E31"/>
  </sortState>
  <tableColumns count="5">
    <tableColumn id="1" xr3:uid="{00000000-0010-0000-2C00-000001000000}" name="Nº Venda" dataDxfId="1250"/>
    <tableColumn id="2" xr3:uid="{00000000-0010-0000-2C00-000002000000}" name="Cliente" dataDxfId="1249"/>
    <tableColumn id="3" xr3:uid="{00000000-0010-0000-2C00-000003000000}" name="Forma de Pgto" dataDxfId="1248" dataCellStyle="Moeda"/>
    <tableColumn id="4" xr3:uid="{00000000-0010-0000-2C00-000004000000}" name="Valor Venda" dataDxfId="1247" dataCellStyle="Porcentagem"/>
    <tableColumn id="5" xr3:uid="{00000000-0010-0000-2C00-000005000000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2D000000}" name="os_entr_dia8" displayName="os_entr_dia8" ref="K14:M31" totalsRowShown="0" headerRowDxfId="1245" dataDxfId="1244" headerRowBorderDxfId="1242" tableBorderDxfId="1243" totalsRowBorderDxfId="1241">
  <autoFilter ref="K14:M31" xr:uid="{00000000-0009-0000-0100-00003B000000}"/>
  <tableColumns count="3">
    <tableColumn id="1" xr3:uid="{00000000-0010-0000-2D00-000001000000}" name="OS" dataDxfId="1240"/>
    <tableColumn id="2" xr3:uid="{00000000-0010-0000-2D00-000002000000}" name="Vendedor" dataDxfId="1239"/>
    <tableColumn id="3" xr3:uid="{00000000-0010-0000-2D00-000003000000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2E000000}" name="rec_carn8" displayName="rec_carn8" ref="E34:I41" totalsRowShown="0" headerRowDxfId="1237" dataDxfId="1236" headerRowBorderDxfId="1234" tableBorderDxfId="1235" totalsRowBorderDxfId="1233">
  <autoFilter ref="E34:I41" xr:uid="{00000000-0009-0000-0100-00003C000000}"/>
  <sortState xmlns:xlrd2="http://schemas.microsoft.com/office/spreadsheetml/2017/richdata2" ref="E35:I40">
    <sortCondition ref="E25:E31"/>
  </sortState>
  <tableColumns count="5">
    <tableColumn id="1" xr3:uid="{00000000-0010-0000-2E00-000001000000}" name="OS" dataDxfId="1232"/>
    <tableColumn id="2" xr3:uid="{00000000-0010-0000-2E00-000002000000}" name="Cliente" dataDxfId="1231"/>
    <tableColumn id="3" xr3:uid="{00000000-0010-0000-2E00-000003000000}" name="Forma de Pgto" dataDxfId="1230" dataCellStyle="Moeda"/>
    <tableColumn id="4" xr3:uid="{00000000-0010-0000-2E00-000004000000}" name="Valor Parcela" dataDxfId="1229" dataCellStyle="Porcentagem"/>
    <tableColumn id="5" xr3:uid="{00000000-0010-0000-2E00-00000500000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2F000000}" name="entr_carn8" displayName="entr_carn8" ref="K34:M41" totalsRowShown="0" headerRowDxfId="1227" headerRowBorderDxfId="1225" tableBorderDxfId="1226" totalsRowBorderDxfId="1224">
  <autoFilter ref="K34:M41" xr:uid="{00000000-0009-0000-0100-00003D000000}"/>
  <tableColumns count="3">
    <tableColumn id="1" xr3:uid="{00000000-0010-0000-2F00-000001000000}" name="OS" dataDxfId="1223"/>
    <tableColumn id="2" xr3:uid="{00000000-0010-0000-2F00-000002000000}" name="Parcelas" dataDxfId="1222"/>
    <tableColumn id="3" xr3:uid="{00000000-0010-0000-2F00-000003000000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0000000}" name="vend9" displayName="vend9" ref="E5:I22" totalsRowShown="0" headerRowDxfId="1220" dataDxfId="1219" headerRowBorderDxfId="1217" tableBorderDxfId="1218" totalsRowBorderDxfId="1216">
  <autoFilter ref="E5:I22" xr:uid="{00000000-0009-0000-0100-000032000000}"/>
  <sortState xmlns:xlrd2="http://schemas.microsoft.com/office/spreadsheetml/2017/richdata2" ref="E6:I22">
    <sortCondition ref="E5:E22"/>
  </sortState>
  <tableColumns count="5">
    <tableColumn id="1" xr3:uid="{00000000-0010-0000-3000-000001000000}" name="Nº Venda" dataDxfId="1215" dataCellStyle="Moeda"/>
    <tableColumn id="5" xr3:uid="{00000000-0010-0000-3000-000005000000}" name="Cliente" dataDxfId="1214" dataCellStyle="Moeda"/>
    <tableColumn id="2" xr3:uid="{00000000-0010-0000-3000-000002000000}" name="Forma de Pgto" dataDxfId="1213" dataCellStyle="Moeda"/>
    <tableColumn id="3" xr3:uid="{00000000-0010-0000-3000-000003000000}" name="Valor Venda" dataDxfId="1212" dataCellStyle="Porcentagem"/>
    <tableColumn id="4" xr3:uid="{00000000-0010-0000-3000-000004000000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1000000}" name="desp9" displayName="desp9" ref="K5:M11" totalsRowShown="0" headerRowDxfId="1210" dataDxfId="1209" headerRowBorderDxfId="1207" tableBorderDxfId="1208" totalsRowBorderDxfId="1206">
  <autoFilter ref="K5:M11" xr:uid="{00000000-0009-0000-0100-000033000000}"/>
  <tableColumns count="3">
    <tableColumn id="1" xr3:uid="{00000000-0010-0000-3100-000001000000}" name="Descrição" dataDxfId="1205"/>
    <tableColumn id="2" xr3:uid="{00000000-0010-0000-3100-000002000000}" name="Tipo de Pagto" dataDxfId="1204"/>
    <tableColumn id="3" xr3:uid="{00000000-0010-0000-3100-000003000000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2000000}" name="rest_entr9" displayName="rest_entr9" ref="E25:I31" totalsRowShown="0" headerRowDxfId="1202" dataDxfId="1201" headerRowBorderDxfId="1199" tableBorderDxfId="1200" totalsRowBorderDxfId="1198">
  <autoFilter ref="E25:I31" xr:uid="{00000000-0009-0000-0100-000034000000}"/>
  <sortState xmlns:xlrd2="http://schemas.microsoft.com/office/spreadsheetml/2017/richdata2" ref="E26:I31">
    <sortCondition ref="E25:E31"/>
  </sortState>
  <tableColumns count="5">
    <tableColumn id="1" xr3:uid="{00000000-0010-0000-3200-000001000000}" name="Nº Venda" dataDxfId="1197"/>
    <tableColumn id="2" xr3:uid="{00000000-0010-0000-3200-000002000000}" name="Cliente" dataDxfId="1196"/>
    <tableColumn id="3" xr3:uid="{00000000-0010-0000-3200-000003000000}" name="Forma de Pgto" dataDxfId="1195" dataCellStyle="Moeda"/>
    <tableColumn id="4" xr3:uid="{00000000-0010-0000-3200-000004000000}" name="Valor Venda" dataDxfId="1194" dataCellStyle="Porcentagem"/>
    <tableColumn id="5" xr3:uid="{00000000-0010-0000-3200-000005000000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3000000}" name="os_entr_dia9" displayName="os_entr_dia9" ref="K14:M31" totalsRowShown="0" headerRowDxfId="1192" dataDxfId="1191" headerRowBorderDxfId="1189" tableBorderDxfId="1190" totalsRowBorderDxfId="1188">
  <autoFilter ref="K14:M31" xr:uid="{00000000-0009-0000-0100-000035000000}"/>
  <tableColumns count="3">
    <tableColumn id="1" xr3:uid="{00000000-0010-0000-3300-000001000000}" name="OS" dataDxfId="1187"/>
    <tableColumn id="2" xr3:uid="{00000000-0010-0000-3300-000002000000}" name="Vendedor" dataDxfId="1186"/>
    <tableColumn id="3" xr3:uid="{00000000-0010-0000-3300-00000300000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4000000}" name="rec_carn9" displayName="rec_carn9" ref="E34:I41" totalsRowShown="0" headerRowDxfId="1184" dataDxfId="1183" headerRowBorderDxfId="1181" tableBorderDxfId="1182" totalsRowBorderDxfId="1180">
  <autoFilter ref="E34:I41" xr:uid="{00000000-0009-0000-0100-000036000000}"/>
  <sortState xmlns:xlrd2="http://schemas.microsoft.com/office/spreadsheetml/2017/richdata2" ref="E35:I40">
    <sortCondition ref="E25:E31"/>
  </sortState>
  <tableColumns count="5">
    <tableColumn id="1" xr3:uid="{00000000-0010-0000-3400-000001000000}" name="OS" dataDxfId="1179"/>
    <tableColumn id="2" xr3:uid="{00000000-0010-0000-3400-000002000000}" name="Cliente" dataDxfId="1178"/>
    <tableColumn id="3" xr3:uid="{00000000-0010-0000-3400-000003000000}" name="Forma de Pgto" dataDxfId="1177" dataCellStyle="Moeda"/>
    <tableColumn id="4" xr3:uid="{00000000-0010-0000-3400-000004000000}" name="Valor Parcela" dataDxfId="1176" dataCellStyle="Porcentagem"/>
    <tableColumn id="5" xr3:uid="{00000000-0010-0000-3400-000005000000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5000000}" name="entr_carn9" displayName="entr_carn9" ref="K34:M41" totalsRowShown="0" headerRowDxfId="1174" headerRowBorderDxfId="1172" tableBorderDxfId="1173" totalsRowBorderDxfId="1171">
  <autoFilter ref="K34:M41" xr:uid="{00000000-0009-0000-0100-000037000000}"/>
  <tableColumns count="3">
    <tableColumn id="1" xr3:uid="{00000000-0010-0000-3500-000001000000}" name="OS" dataDxfId="1170"/>
    <tableColumn id="2" xr3:uid="{00000000-0010-0000-3500-000002000000}" name="Parcelas" dataDxfId="1169"/>
    <tableColumn id="3" xr3:uid="{00000000-0010-0000-3500-000003000000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36000000}" name="vend10" displayName="vend10" ref="E5:I22" totalsRowShown="0" headerRowDxfId="1167" dataDxfId="1166" headerRowBorderDxfId="1164" tableBorderDxfId="1165" totalsRowBorderDxfId="1163">
  <autoFilter ref="E5:I22" xr:uid="{00000000-0009-0000-0100-00002C000000}"/>
  <sortState xmlns:xlrd2="http://schemas.microsoft.com/office/spreadsheetml/2017/richdata2" ref="E6:I22">
    <sortCondition ref="E5:E22"/>
  </sortState>
  <tableColumns count="5">
    <tableColumn id="1" xr3:uid="{00000000-0010-0000-3600-000001000000}" name="Nº Venda" dataDxfId="1162" dataCellStyle="Moeda"/>
    <tableColumn id="5" xr3:uid="{00000000-0010-0000-3600-000005000000}" name="Cliente" dataDxfId="1161" dataCellStyle="Moeda"/>
    <tableColumn id="2" xr3:uid="{00000000-0010-0000-3600-000002000000}" name="Forma de Pgto" dataDxfId="1160" dataCellStyle="Moeda"/>
    <tableColumn id="3" xr3:uid="{00000000-0010-0000-3600-000003000000}" name="Valor Venda" dataDxfId="1159" dataCellStyle="Porcentagem"/>
    <tableColumn id="4" xr3:uid="{00000000-0010-0000-3600-000004000000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37000000}" name="desp10" displayName="desp10" ref="K5:M11" totalsRowShown="0" headerRowDxfId="1157" dataDxfId="1156" headerRowBorderDxfId="1154" tableBorderDxfId="1155" totalsRowBorderDxfId="1153">
  <autoFilter ref="K5:M11" xr:uid="{00000000-0009-0000-0100-00002D000000}"/>
  <tableColumns count="3">
    <tableColumn id="1" xr3:uid="{00000000-0010-0000-3700-000001000000}" name="Descrição" dataDxfId="1152"/>
    <tableColumn id="2" xr3:uid="{00000000-0010-0000-3700-000002000000}" name="Tipo de Pagto" dataDxfId="1151"/>
    <tableColumn id="3" xr3:uid="{00000000-0010-0000-3700-000003000000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38000000}" name="rest_entr10" displayName="rest_entr10" ref="E25:I31" totalsRowShown="0" headerRowDxfId="1149" dataDxfId="1148" headerRowBorderDxfId="1146" tableBorderDxfId="1147" totalsRowBorderDxfId="1145">
  <autoFilter ref="E25:I31" xr:uid="{00000000-0009-0000-0100-00002E000000}"/>
  <sortState xmlns:xlrd2="http://schemas.microsoft.com/office/spreadsheetml/2017/richdata2" ref="E26:I31">
    <sortCondition ref="E25:E31"/>
  </sortState>
  <tableColumns count="5">
    <tableColumn id="1" xr3:uid="{00000000-0010-0000-3800-000001000000}" name="Nº Venda" dataDxfId="1144"/>
    <tableColumn id="2" xr3:uid="{00000000-0010-0000-3800-000002000000}" name="Cliente" dataDxfId="1143"/>
    <tableColumn id="3" xr3:uid="{00000000-0010-0000-3800-000003000000}" name="Forma de Pgto" dataDxfId="1142" dataCellStyle="Moeda"/>
    <tableColumn id="4" xr3:uid="{00000000-0010-0000-3800-000004000000}" name="Valor Venda" dataDxfId="1141" dataCellStyle="Porcentagem"/>
    <tableColumn id="5" xr3:uid="{00000000-0010-0000-3800-000005000000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39000000}" name="os_entr_dia10" displayName="os_entr_dia10" ref="K14:M31" totalsRowShown="0" headerRowDxfId="1139" dataDxfId="1138" headerRowBorderDxfId="1136" tableBorderDxfId="1137" totalsRowBorderDxfId="1135">
  <autoFilter ref="K14:M31" xr:uid="{00000000-0009-0000-0100-00002F000000}"/>
  <tableColumns count="3">
    <tableColumn id="1" xr3:uid="{00000000-0010-0000-3900-000001000000}" name="OS" dataDxfId="1134"/>
    <tableColumn id="2" xr3:uid="{00000000-0010-0000-3900-000002000000}" name="Vendedor" dataDxfId="1133"/>
    <tableColumn id="3" xr3:uid="{00000000-0010-0000-3900-000003000000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3A000000}" name="rec_carn10" displayName="rec_carn10" ref="E34:I41" totalsRowShown="0" headerRowDxfId="1131" dataDxfId="1130" headerRowBorderDxfId="1128" tableBorderDxfId="1129" totalsRowBorderDxfId="1127">
  <autoFilter ref="E34:I41" xr:uid="{00000000-0009-0000-0100-000030000000}"/>
  <sortState xmlns:xlrd2="http://schemas.microsoft.com/office/spreadsheetml/2017/richdata2" ref="E35:I40">
    <sortCondition ref="E25:E31"/>
  </sortState>
  <tableColumns count="5">
    <tableColumn id="1" xr3:uid="{00000000-0010-0000-3A00-000001000000}" name="OS" dataDxfId="1126"/>
    <tableColumn id="2" xr3:uid="{00000000-0010-0000-3A00-000002000000}" name="Cliente" dataDxfId="1125"/>
    <tableColumn id="3" xr3:uid="{00000000-0010-0000-3A00-000003000000}" name="Forma de Pgto" dataDxfId="1124" dataCellStyle="Moeda"/>
    <tableColumn id="4" xr3:uid="{00000000-0010-0000-3A00-000004000000}" name="Valor Parcela" dataDxfId="1123" dataCellStyle="Porcentagem"/>
    <tableColumn id="5" xr3:uid="{00000000-0010-0000-3A00-000005000000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B000000}" name="entr_carn10" displayName="entr_carn10" ref="K34:M41" totalsRowShown="0" headerRowDxfId="1121" headerRowBorderDxfId="1119" tableBorderDxfId="1120" totalsRowBorderDxfId="1118">
  <autoFilter ref="K34:M41" xr:uid="{00000000-0009-0000-0100-000031000000}"/>
  <tableColumns count="3">
    <tableColumn id="1" xr3:uid="{00000000-0010-0000-3B00-000001000000}" name="OS" dataDxfId="1117"/>
    <tableColumn id="2" xr3:uid="{00000000-0010-0000-3B00-000002000000}" name="Parcelas" dataDxfId="1116"/>
    <tableColumn id="3" xr3:uid="{00000000-0010-0000-3B00-000003000000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C000000}" name="vend11" displayName="vend11" ref="E5:I22" totalsRowShown="0" headerRowDxfId="1114" dataDxfId="1113" headerRowBorderDxfId="1111" tableBorderDxfId="1112" totalsRowBorderDxfId="1110">
  <autoFilter ref="E5:I22" xr:uid="{00000000-0009-0000-0100-000044000000}"/>
  <sortState xmlns:xlrd2="http://schemas.microsoft.com/office/spreadsheetml/2017/richdata2" ref="E6:I22">
    <sortCondition ref="E5:E22"/>
  </sortState>
  <tableColumns count="5">
    <tableColumn id="1" xr3:uid="{00000000-0010-0000-3C00-000001000000}" name="Nº Venda" dataDxfId="1109" dataCellStyle="Moeda"/>
    <tableColumn id="5" xr3:uid="{00000000-0010-0000-3C00-000005000000}" name="Cliente" dataDxfId="1108" dataCellStyle="Moeda"/>
    <tableColumn id="2" xr3:uid="{00000000-0010-0000-3C00-000002000000}" name="Forma de Pgto" dataDxfId="1107" dataCellStyle="Moeda"/>
    <tableColumn id="3" xr3:uid="{00000000-0010-0000-3C00-000003000000}" name="Valor Venda" dataDxfId="1106" dataCellStyle="Porcentagem"/>
    <tableColumn id="4" xr3:uid="{00000000-0010-0000-3C00-000004000000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3D000000}" name="desp11" displayName="desp11" ref="K5:M11" totalsRowShown="0" headerRowDxfId="1104" dataDxfId="1103" headerRowBorderDxfId="1101" tableBorderDxfId="1102" totalsRowBorderDxfId="1100">
  <autoFilter ref="K5:M11" xr:uid="{00000000-0009-0000-0100-000045000000}"/>
  <tableColumns count="3">
    <tableColumn id="1" xr3:uid="{00000000-0010-0000-3D00-000001000000}" name="Descrição" dataDxfId="1099"/>
    <tableColumn id="2" xr3:uid="{00000000-0010-0000-3D00-000002000000}" name="Tipo de Pagto" dataDxfId="1098"/>
    <tableColumn id="3" xr3:uid="{00000000-0010-0000-3D00-000003000000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3E000000}" name="rest_entr11" displayName="rest_entr11" ref="E25:I31" totalsRowShown="0" headerRowDxfId="1096" dataDxfId="1095" headerRowBorderDxfId="1093" tableBorderDxfId="1094" totalsRowBorderDxfId="1092">
  <autoFilter ref="E25:I31" xr:uid="{00000000-0009-0000-0100-000046000000}"/>
  <sortState xmlns:xlrd2="http://schemas.microsoft.com/office/spreadsheetml/2017/richdata2" ref="E26:I31">
    <sortCondition ref="E25:E31"/>
  </sortState>
  <tableColumns count="5">
    <tableColumn id="1" xr3:uid="{00000000-0010-0000-3E00-000001000000}" name="Nº Venda" dataDxfId="1091"/>
    <tableColumn id="2" xr3:uid="{00000000-0010-0000-3E00-000002000000}" name="Cliente" dataDxfId="1090"/>
    <tableColumn id="3" xr3:uid="{00000000-0010-0000-3E00-000003000000}" name="Forma de Pgto" dataDxfId="1089" dataCellStyle="Moeda"/>
    <tableColumn id="4" xr3:uid="{00000000-0010-0000-3E00-000004000000}" name="Valor Venda" dataDxfId="1088" dataCellStyle="Porcentagem"/>
    <tableColumn id="5" xr3:uid="{00000000-0010-0000-3E00-000005000000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3F000000}" name="os_entr_dia11" displayName="os_entr_dia11" ref="K14:M31" totalsRowShown="0" headerRowDxfId="1086" dataDxfId="1085" headerRowBorderDxfId="1083" tableBorderDxfId="1084" totalsRowBorderDxfId="1082">
  <autoFilter ref="K14:M31" xr:uid="{00000000-0009-0000-0100-000047000000}"/>
  <tableColumns count="3">
    <tableColumn id="1" xr3:uid="{00000000-0010-0000-3F00-000001000000}" name="OS" dataDxfId="1081"/>
    <tableColumn id="2" xr3:uid="{00000000-0010-0000-3F00-000002000000}" name="Vendedor" dataDxfId="1080"/>
    <tableColumn id="3" xr3:uid="{00000000-0010-0000-3F00-000003000000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0000000}" name="rec_carn11" displayName="rec_carn11" ref="E34:I41" totalsRowShown="0" headerRowDxfId="1078" dataDxfId="1077" headerRowBorderDxfId="1075" tableBorderDxfId="1076" totalsRowBorderDxfId="1074">
  <autoFilter ref="E34:I41" xr:uid="{00000000-0009-0000-0100-000048000000}"/>
  <sortState xmlns:xlrd2="http://schemas.microsoft.com/office/spreadsheetml/2017/richdata2" ref="E35:I40">
    <sortCondition ref="E25:E31"/>
  </sortState>
  <tableColumns count="5">
    <tableColumn id="1" xr3:uid="{00000000-0010-0000-4000-000001000000}" name="OS" dataDxfId="1073"/>
    <tableColumn id="2" xr3:uid="{00000000-0010-0000-4000-000002000000}" name="Cliente" dataDxfId="1072"/>
    <tableColumn id="3" xr3:uid="{00000000-0010-0000-4000-000003000000}" name="Forma de Pgto" dataDxfId="1071" dataCellStyle="Moeda"/>
    <tableColumn id="4" xr3:uid="{00000000-0010-0000-4000-000004000000}" name="Valor Parcela" dataDxfId="1070" dataCellStyle="Porcentagem"/>
    <tableColumn id="5" xr3:uid="{00000000-0010-0000-4000-000005000000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1000000}" name="entr_carn11" displayName="entr_carn11" ref="K34:M41" totalsRowShown="0" headerRowDxfId="1068" headerRowBorderDxfId="1066" tableBorderDxfId="1067" totalsRowBorderDxfId="1065">
  <autoFilter ref="K34:M41" xr:uid="{00000000-0009-0000-0100-000049000000}"/>
  <tableColumns count="3">
    <tableColumn id="1" xr3:uid="{00000000-0010-0000-4100-000001000000}" name="OS" dataDxfId="1064"/>
    <tableColumn id="2" xr3:uid="{00000000-0010-0000-4100-000002000000}" name="Parcelas" dataDxfId="1063"/>
    <tableColumn id="3" xr3:uid="{00000000-0010-0000-4100-000003000000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42000000}" name="vend12" displayName="vend12" ref="E5:I22" totalsRowShown="0" headerRowDxfId="1061" dataDxfId="1060" headerRowBorderDxfId="1058" tableBorderDxfId="1059" totalsRowBorderDxfId="1057">
  <autoFilter ref="E5:I22" xr:uid="{00000000-0009-0000-0100-000051000000}"/>
  <sortState xmlns:xlrd2="http://schemas.microsoft.com/office/spreadsheetml/2017/richdata2" ref="E6:I22">
    <sortCondition ref="E5:E22"/>
  </sortState>
  <tableColumns count="5">
    <tableColumn id="1" xr3:uid="{00000000-0010-0000-4200-000001000000}" name="Nº Venda" dataDxfId="1056" dataCellStyle="Moeda"/>
    <tableColumn id="5" xr3:uid="{00000000-0010-0000-4200-000005000000}" name="Cliente" dataDxfId="1055" dataCellStyle="Moeda"/>
    <tableColumn id="2" xr3:uid="{00000000-0010-0000-4200-000002000000}" name="Forma de Pgto" dataDxfId="1054" dataCellStyle="Moeda"/>
    <tableColumn id="3" xr3:uid="{00000000-0010-0000-4200-000003000000}" name="Valor Venda" dataDxfId="1053" dataCellStyle="Porcentagem"/>
    <tableColumn id="4" xr3:uid="{00000000-0010-0000-4200-000004000000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43000000}" name="desp12" displayName="desp12" ref="K5:M11" totalsRowShown="0" headerRowDxfId="1051" dataDxfId="1050" headerRowBorderDxfId="1048" tableBorderDxfId="1049" totalsRowBorderDxfId="1047">
  <autoFilter ref="K5:M11" xr:uid="{00000000-0009-0000-0100-000052000000}"/>
  <tableColumns count="3">
    <tableColumn id="1" xr3:uid="{00000000-0010-0000-4300-000001000000}" name="Descrição" dataDxfId="1046"/>
    <tableColumn id="2" xr3:uid="{00000000-0010-0000-4300-000002000000}" name="Tipo de Pagto" dataDxfId="1045"/>
    <tableColumn id="3" xr3:uid="{00000000-0010-0000-4300-000003000000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44000000}" name="rest_entr12" displayName="rest_entr12" ref="E25:I31" totalsRowShown="0" headerRowDxfId="1043" dataDxfId="1042" headerRowBorderDxfId="1040" tableBorderDxfId="1041" totalsRowBorderDxfId="1039">
  <autoFilter ref="E25:I31" xr:uid="{00000000-0009-0000-0100-000053000000}"/>
  <sortState xmlns:xlrd2="http://schemas.microsoft.com/office/spreadsheetml/2017/richdata2" ref="E26:I31">
    <sortCondition ref="E25:E31"/>
  </sortState>
  <tableColumns count="5">
    <tableColumn id="1" xr3:uid="{00000000-0010-0000-4400-000001000000}" name="Nº Venda" dataDxfId="1038"/>
    <tableColumn id="2" xr3:uid="{00000000-0010-0000-4400-000002000000}" name="Cliente" dataDxfId="1037"/>
    <tableColumn id="3" xr3:uid="{00000000-0010-0000-4400-000003000000}" name="Forma de Pgto" dataDxfId="1036" dataCellStyle="Moeda"/>
    <tableColumn id="4" xr3:uid="{00000000-0010-0000-4400-000004000000}" name="Valor Venda" dataDxfId="1035" dataCellStyle="Porcentagem"/>
    <tableColumn id="5" xr3:uid="{00000000-0010-0000-4400-000005000000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45000000}" name="os_entr_dia12" displayName="os_entr_dia12" ref="K14:M31" totalsRowShown="0" headerRowDxfId="1033" dataDxfId="1032" headerRowBorderDxfId="1030" tableBorderDxfId="1031" totalsRowBorderDxfId="1029">
  <autoFilter ref="K14:M31" xr:uid="{00000000-0009-0000-0100-000054000000}"/>
  <tableColumns count="3">
    <tableColumn id="1" xr3:uid="{00000000-0010-0000-4500-000001000000}" name="OS" dataDxfId="1028"/>
    <tableColumn id="2" xr3:uid="{00000000-0010-0000-4500-000002000000}" name="Vendedor" dataDxfId="1027"/>
    <tableColumn id="3" xr3:uid="{00000000-0010-0000-4500-000003000000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46000000}" name="rec_carn12" displayName="rec_carn12" ref="E34:I41" totalsRowShown="0" headerRowDxfId="1025" dataDxfId="1024" headerRowBorderDxfId="1022" tableBorderDxfId="1023" totalsRowBorderDxfId="1021">
  <autoFilter ref="E34:I41" xr:uid="{00000000-0009-0000-0100-000055000000}"/>
  <sortState xmlns:xlrd2="http://schemas.microsoft.com/office/spreadsheetml/2017/richdata2" ref="E35:I40">
    <sortCondition ref="E25:E31"/>
  </sortState>
  <tableColumns count="5">
    <tableColumn id="1" xr3:uid="{00000000-0010-0000-4600-000001000000}" name="OS" dataDxfId="1020"/>
    <tableColumn id="2" xr3:uid="{00000000-0010-0000-4600-000002000000}" name="Cliente" dataDxfId="1019"/>
    <tableColumn id="3" xr3:uid="{00000000-0010-0000-4600-000003000000}" name="Forma de Pgto" dataDxfId="1018" dataCellStyle="Moeda"/>
    <tableColumn id="4" xr3:uid="{00000000-0010-0000-4600-000004000000}" name="Valor Parcela" dataDxfId="1017" dataCellStyle="Porcentagem"/>
    <tableColumn id="5" xr3:uid="{00000000-0010-0000-4600-000005000000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47000000}" name="entr_carn12" displayName="entr_carn12" ref="K34:M41" totalsRowShown="0" headerRowDxfId="1015" headerRowBorderDxfId="1013" tableBorderDxfId="1014" totalsRowBorderDxfId="1012">
  <autoFilter ref="K34:M41" xr:uid="{00000000-0009-0000-0100-000056000000}"/>
  <tableColumns count="3">
    <tableColumn id="1" xr3:uid="{00000000-0010-0000-4700-000001000000}" name="OS" dataDxfId="1011"/>
    <tableColumn id="2" xr3:uid="{00000000-0010-0000-4700-000002000000}" name="Parcelas" dataDxfId="1010"/>
    <tableColumn id="3" xr3:uid="{00000000-0010-0000-4700-000003000000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48000000}" name="vend13" displayName="vend13" ref="E5:I22" totalsRowShown="0" headerRowDxfId="1008" dataDxfId="1007" headerRowBorderDxfId="1005" tableBorderDxfId="1006" totalsRowBorderDxfId="1004">
  <autoFilter ref="E5:I22" xr:uid="{00000000-0009-0000-0100-000057000000}"/>
  <sortState xmlns:xlrd2="http://schemas.microsoft.com/office/spreadsheetml/2017/richdata2" ref="E6:I22">
    <sortCondition ref="E5:E22"/>
  </sortState>
  <tableColumns count="5">
    <tableColumn id="1" xr3:uid="{00000000-0010-0000-4800-000001000000}" name="Nº Venda" dataDxfId="1003" dataCellStyle="Moeda"/>
    <tableColumn id="5" xr3:uid="{00000000-0010-0000-4800-000005000000}" name="Cliente" dataDxfId="1002" dataCellStyle="Moeda"/>
    <tableColumn id="2" xr3:uid="{00000000-0010-0000-4800-000002000000}" name="Forma de Pgto" dataDxfId="1001" dataCellStyle="Moeda"/>
    <tableColumn id="3" xr3:uid="{00000000-0010-0000-4800-000003000000}" name="Valor Venda" dataDxfId="1000" dataCellStyle="Porcentagem"/>
    <tableColumn id="4" xr3:uid="{00000000-0010-0000-4800-000004000000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49000000}" name="desp13" displayName="desp13" ref="K5:M11" totalsRowShown="0" headerRowDxfId="998" dataDxfId="997" headerRowBorderDxfId="995" tableBorderDxfId="996" totalsRowBorderDxfId="994">
  <autoFilter ref="K5:M11" xr:uid="{00000000-0009-0000-0100-000058000000}"/>
  <tableColumns count="3">
    <tableColumn id="1" xr3:uid="{00000000-0010-0000-4900-000001000000}" name="Descrição" dataDxfId="993"/>
    <tableColumn id="2" xr3:uid="{00000000-0010-0000-4900-000002000000}" name="Tipo de Pagto" dataDxfId="992"/>
    <tableColumn id="3" xr3:uid="{00000000-0010-0000-4900-000003000000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4A000000}" name="rest_entr13" displayName="rest_entr13" ref="E25:I31" totalsRowShown="0" headerRowDxfId="990" dataDxfId="989" headerRowBorderDxfId="987" tableBorderDxfId="988" totalsRowBorderDxfId="986">
  <autoFilter ref="E25:I31" xr:uid="{00000000-0009-0000-0100-000059000000}"/>
  <sortState xmlns:xlrd2="http://schemas.microsoft.com/office/spreadsheetml/2017/richdata2" ref="E26:I31">
    <sortCondition ref="E25:E31"/>
  </sortState>
  <tableColumns count="5">
    <tableColumn id="1" xr3:uid="{00000000-0010-0000-4A00-000001000000}" name="Nº Venda" dataDxfId="985"/>
    <tableColumn id="2" xr3:uid="{00000000-0010-0000-4A00-000002000000}" name="Cliente" dataDxfId="984"/>
    <tableColumn id="3" xr3:uid="{00000000-0010-0000-4A00-000003000000}" name="Forma de Pgto" dataDxfId="983" dataCellStyle="Moeda"/>
    <tableColumn id="4" xr3:uid="{00000000-0010-0000-4A00-000004000000}" name="Valor Venda" dataDxfId="982" dataCellStyle="Porcentagem"/>
    <tableColumn id="5" xr3:uid="{00000000-0010-0000-4A00-000005000000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4B000000}" name="os_entr_dia13" displayName="os_entr_dia13" ref="K14:M31" totalsRowShown="0" headerRowDxfId="980" dataDxfId="979" headerRowBorderDxfId="977" tableBorderDxfId="978" totalsRowBorderDxfId="976">
  <autoFilter ref="K14:M31" xr:uid="{00000000-0009-0000-0100-00005A000000}"/>
  <tableColumns count="3">
    <tableColumn id="1" xr3:uid="{00000000-0010-0000-4B00-000001000000}" name="OS" dataDxfId="975"/>
    <tableColumn id="2" xr3:uid="{00000000-0010-0000-4B00-000002000000}" name="Vendedor" dataDxfId="974"/>
    <tableColumn id="3" xr3:uid="{00000000-0010-0000-4B00-000003000000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4C000000}" name="rec_carn13" displayName="rec_carn13" ref="E34:I41" totalsRowShown="0" headerRowDxfId="972" dataDxfId="971" headerRowBorderDxfId="969" tableBorderDxfId="970" totalsRowBorderDxfId="968">
  <autoFilter ref="E34:I41" xr:uid="{00000000-0009-0000-0100-00005B000000}"/>
  <sortState xmlns:xlrd2="http://schemas.microsoft.com/office/spreadsheetml/2017/richdata2" ref="E35:I40">
    <sortCondition ref="E25:E31"/>
  </sortState>
  <tableColumns count="5">
    <tableColumn id="1" xr3:uid="{00000000-0010-0000-4C00-000001000000}" name="OS" dataDxfId="967"/>
    <tableColumn id="2" xr3:uid="{00000000-0010-0000-4C00-000002000000}" name="Cliente" dataDxfId="966"/>
    <tableColumn id="3" xr3:uid="{00000000-0010-0000-4C00-000003000000}" name="Forma de Pgto" dataDxfId="965" dataCellStyle="Moeda"/>
    <tableColumn id="4" xr3:uid="{00000000-0010-0000-4C00-000004000000}" name="Valor Parcela" dataDxfId="964" dataCellStyle="Porcentagem"/>
    <tableColumn id="5" xr3:uid="{00000000-0010-0000-4C00-000005000000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4D000000}" name="entr_carn13" displayName="entr_carn13" ref="K34:M41" totalsRowShown="0" headerRowDxfId="962" headerRowBorderDxfId="960" tableBorderDxfId="961" totalsRowBorderDxfId="959">
  <autoFilter ref="K34:M41" xr:uid="{00000000-0009-0000-0100-00005C000000}"/>
  <tableColumns count="3">
    <tableColumn id="1" xr3:uid="{00000000-0010-0000-4D00-000001000000}" name="OS" dataDxfId="958"/>
    <tableColumn id="2" xr3:uid="{00000000-0010-0000-4D00-000002000000}" name="Parcelas" dataDxfId="957"/>
    <tableColumn id="3" xr3:uid="{00000000-0010-0000-4D00-000003000000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E000000}" name="vend14" displayName="vend14" ref="E5:I22" totalsRowShown="0" headerRowDxfId="955" dataDxfId="954" headerRowBorderDxfId="952" tableBorderDxfId="953" totalsRowBorderDxfId="951">
  <autoFilter ref="E5:I22" xr:uid="{00000000-0009-0000-0100-00004A000000}"/>
  <sortState xmlns:xlrd2="http://schemas.microsoft.com/office/spreadsheetml/2017/richdata2" ref="E6:I22">
    <sortCondition ref="E5:E22"/>
  </sortState>
  <tableColumns count="5">
    <tableColumn id="1" xr3:uid="{00000000-0010-0000-4E00-000001000000}" name="Nº Venda" dataDxfId="950" dataCellStyle="Moeda"/>
    <tableColumn id="5" xr3:uid="{00000000-0010-0000-4E00-000005000000}" name="Cliente" dataDxfId="949" dataCellStyle="Moeda"/>
    <tableColumn id="2" xr3:uid="{00000000-0010-0000-4E00-000002000000}" name="Forma de Pgto" dataDxfId="948" dataCellStyle="Moeda"/>
    <tableColumn id="3" xr3:uid="{00000000-0010-0000-4E00-000003000000}" name="Valor Venda" dataDxfId="947" dataCellStyle="Porcentagem"/>
    <tableColumn id="4" xr3:uid="{00000000-0010-0000-4E00-000004000000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F000000}" name="desp14" displayName="desp14" ref="K5:M11" totalsRowShown="0" headerRowDxfId="945" dataDxfId="944" headerRowBorderDxfId="942" tableBorderDxfId="943" totalsRowBorderDxfId="941">
  <autoFilter ref="K5:M11" xr:uid="{00000000-0009-0000-0100-00004B000000}"/>
  <tableColumns count="3">
    <tableColumn id="1" xr3:uid="{00000000-0010-0000-4F00-000001000000}" name="Descrição" dataDxfId="940"/>
    <tableColumn id="2" xr3:uid="{00000000-0010-0000-4F00-000002000000}" name="Tipo de Pagto" dataDxfId="939"/>
    <tableColumn id="3" xr3:uid="{00000000-0010-0000-4F00-000003000000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50000000}" name="rest_entr14" displayName="rest_entr14" ref="E25:I31" totalsRowShown="0" headerRowDxfId="937" dataDxfId="936" headerRowBorderDxfId="934" tableBorderDxfId="935" totalsRowBorderDxfId="933">
  <autoFilter ref="E25:I31" xr:uid="{00000000-0009-0000-0100-00004C000000}"/>
  <sortState xmlns:xlrd2="http://schemas.microsoft.com/office/spreadsheetml/2017/richdata2" ref="E26:I31">
    <sortCondition ref="E25:E31"/>
  </sortState>
  <tableColumns count="5">
    <tableColumn id="1" xr3:uid="{00000000-0010-0000-5000-000001000000}" name="Nº Venda" dataDxfId="932"/>
    <tableColumn id="2" xr3:uid="{00000000-0010-0000-5000-000002000000}" name="Cliente" dataDxfId="931"/>
    <tableColumn id="3" xr3:uid="{00000000-0010-0000-5000-000003000000}" name="Forma de Pgto" dataDxfId="930" dataCellStyle="Moeda"/>
    <tableColumn id="4" xr3:uid="{00000000-0010-0000-5000-000004000000}" name="Valor Venda" dataDxfId="929" dataCellStyle="Porcentagem"/>
    <tableColumn id="5" xr3:uid="{00000000-0010-0000-5000-000005000000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51000000}" name="os_entr_dia14" displayName="os_entr_dia14" ref="K14:M31" totalsRowShown="0" headerRowDxfId="927" dataDxfId="926" headerRowBorderDxfId="924" tableBorderDxfId="925" totalsRowBorderDxfId="923">
  <autoFilter ref="K14:M31" xr:uid="{00000000-0009-0000-0100-00004D000000}"/>
  <tableColumns count="3">
    <tableColumn id="1" xr3:uid="{00000000-0010-0000-5100-000001000000}" name="OS" dataDxfId="922"/>
    <tableColumn id="2" xr3:uid="{00000000-0010-0000-5100-000002000000}" name="Vendedor" dataDxfId="921"/>
    <tableColumn id="3" xr3:uid="{00000000-0010-0000-5100-000003000000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52000000}" name="rec_carn14" displayName="rec_carn14" ref="E34:I41" totalsRowShown="0" headerRowDxfId="919" dataDxfId="918" headerRowBorderDxfId="916" tableBorderDxfId="917" totalsRowBorderDxfId="915">
  <autoFilter ref="E34:I41" xr:uid="{00000000-0009-0000-0100-00004E000000}"/>
  <sortState xmlns:xlrd2="http://schemas.microsoft.com/office/spreadsheetml/2017/richdata2" ref="E35:I40">
    <sortCondition ref="E25:E31"/>
  </sortState>
  <tableColumns count="5">
    <tableColumn id="1" xr3:uid="{00000000-0010-0000-5200-000001000000}" name="OS" dataDxfId="914"/>
    <tableColumn id="2" xr3:uid="{00000000-0010-0000-5200-000002000000}" name="Cliente" dataDxfId="913"/>
    <tableColumn id="3" xr3:uid="{00000000-0010-0000-5200-000003000000}" name="Forma de Pgto" dataDxfId="912" dataCellStyle="Moeda"/>
    <tableColumn id="4" xr3:uid="{00000000-0010-0000-5200-000004000000}" name="Valor Parcela" dataDxfId="911" dataCellStyle="Porcentagem"/>
    <tableColumn id="5" xr3:uid="{00000000-0010-0000-5200-000005000000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53000000}" name="entr_carn14" displayName="entr_carn14" ref="K34:M41" totalsRowShown="0" headerRowDxfId="909" headerRowBorderDxfId="907" tableBorderDxfId="908" totalsRowBorderDxfId="906">
  <autoFilter ref="K34:M41" xr:uid="{00000000-0009-0000-0100-00004F000000}"/>
  <tableColumns count="3">
    <tableColumn id="1" xr3:uid="{00000000-0010-0000-5300-000001000000}" name="OS" dataDxfId="905"/>
    <tableColumn id="2" xr3:uid="{00000000-0010-0000-5300-000002000000}" name="Parcelas" dataDxfId="904"/>
    <tableColumn id="3" xr3:uid="{00000000-0010-0000-5300-000003000000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54000000}" name="vend15" displayName="vend15" ref="E5:I22" totalsRowShown="0" headerRowDxfId="902" dataDxfId="901" headerRowBorderDxfId="899" tableBorderDxfId="900" totalsRowBorderDxfId="898">
  <autoFilter ref="E5:I22" xr:uid="{00000000-0009-0000-0100-00003E000000}"/>
  <sortState xmlns:xlrd2="http://schemas.microsoft.com/office/spreadsheetml/2017/richdata2" ref="E6:I22">
    <sortCondition ref="E5:E22"/>
  </sortState>
  <tableColumns count="5">
    <tableColumn id="1" xr3:uid="{00000000-0010-0000-5400-000001000000}" name="Nº Venda" dataDxfId="897" dataCellStyle="Moeda"/>
    <tableColumn id="5" xr3:uid="{00000000-0010-0000-5400-000005000000}" name="Cliente" dataDxfId="896" dataCellStyle="Moeda"/>
    <tableColumn id="2" xr3:uid="{00000000-0010-0000-5400-000002000000}" name="Forma de Pgto" dataDxfId="895" dataCellStyle="Moeda"/>
    <tableColumn id="3" xr3:uid="{00000000-0010-0000-5400-000003000000}" name="Valor Venda" dataDxfId="894" dataCellStyle="Porcentagem"/>
    <tableColumn id="4" xr3:uid="{00000000-0010-0000-5400-000004000000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55000000}" name="desp15" displayName="desp15" ref="K5:M11" totalsRowShown="0" headerRowDxfId="892" dataDxfId="891" headerRowBorderDxfId="889" tableBorderDxfId="890" totalsRowBorderDxfId="888">
  <autoFilter ref="K5:M11" xr:uid="{00000000-0009-0000-0100-00003F000000}"/>
  <tableColumns count="3">
    <tableColumn id="1" xr3:uid="{00000000-0010-0000-5500-000001000000}" name="Descrição" dataDxfId="887"/>
    <tableColumn id="2" xr3:uid="{00000000-0010-0000-5500-000002000000}" name="Tipo de Pagto" dataDxfId="886"/>
    <tableColumn id="3" xr3:uid="{00000000-0010-0000-5500-000003000000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56000000}" name="rest_entr15" displayName="rest_entr15" ref="E25:I31" totalsRowShown="0" headerRowDxfId="884" dataDxfId="883" headerRowBorderDxfId="881" tableBorderDxfId="882" totalsRowBorderDxfId="880">
  <autoFilter ref="E25:I31" xr:uid="{00000000-0009-0000-0100-000040000000}"/>
  <sortState xmlns:xlrd2="http://schemas.microsoft.com/office/spreadsheetml/2017/richdata2" ref="E26:I31">
    <sortCondition ref="E25:E31"/>
  </sortState>
  <tableColumns count="5">
    <tableColumn id="1" xr3:uid="{00000000-0010-0000-5600-000001000000}" name="Nº Venda" dataDxfId="879"/>
    <tableColumn id="2" xr3:uid="{00000000-0010-0000-5600-000002000000}" name="Cliente" dataDxfId="878"/>
    <tableColumn id="3" xr3:uid="{00000000-0010-0000-5600-000003000000}" name="Forma de Pgto" dataDxfId="877" dataCellStyle="Moeda"/>
    <tableColumn id="4" xr3:uid="{00000000-0010-0000-5600-000004000000}" name="Valor Venda" dataDxfId="876" dataCellStyle="Porcentagem"/>
    <tableColumn id="5" xr3:uid="{00000000-0010-0000-5600-000005000000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57000000}" name="os_entr_dia15" displayName="os_entr_dia15" ref="K14:M31" totalsRowShown="0" headerRowDxfId="874" dataDxfId="873" headerRowBorderDxfId="871" tableBorderDxfId="872" totalsRowBorderDxfId="870">
  <autoFilter ref="K14:M31" xr:uid="{00000000-0009-0000-0100-000041000000}"/>
  <tableColumns count="3">
    <tableColumn id="1" xr3:uid="{00000000-0010-0000-5700-000001000000}" name="OS" dataDxfId="869"/>
    <tableColumn id="2" xr3:uid="{00000000-0010-0000-5700-000002000000}" name="Vendedor" dataDxfId="868"/>
    <tableColumn id="3" xr3:uid="{00000000-0010-0000-5700-000003000000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58000000}" name="rec_carn15" displayName="rec_carn15" ref="E34:I41" totalsRowShown="0" headerRowDxfId="866" dataDxfId="865" headerRowBorderDxfId="863" tableBorderDxfId="864" totalsRowBorderDxfId="862">
  <autoFilter ref="E34:I41" xr:uid="{00000000-0009-0000-0100-000042000000}"/>
  <sortState xmlns:xlrd2="http://schemas.microsoft.com/office/spreadsheetml/2017/richdata2" ref="E35:I40">
    <sortCondition ref="E25:E31"/>
  </sortState>
  <tableColumns count="5">
    <tableColumn id="1" xr3:uid="{00000000-0010-0000-5800-000001000000}" name="OS" dataDxfId="861"/>
    <tableColumn id="2" xr3:uid="{00000000-0010-0000-5800-000002000000}" name="Cliente" dataDxfId="860"/>
    <tableColumn id="3" xr3:uid="{00000000-0010-0000-5800-000003000000}" name="Forma de Pgto" dataDxfId="859" dataCellStyle="Moeda"/>
    <tableColumn id="4" xr3:uid="{00000000-0010-0000-5800-000004000000}" name="Valor Parcela" dataDxfId="858" dataCellStyle="Porcentagem"/>
    <tableColumn id="5" xr3:uid="{00000000-0010-0000-5800-000005000000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59000000}" name="entr_carn15" displayName="entr_carn15" ref="K34:M41" totalsRowShown="0" headerRowDxfId="856" headerRowBorderDxfId="854" tableBorderDxfId="855" totalsRowBorderDxfId="853">
  <autoFilter ref="K34:M41" xr:uid="{00000000-0009-0000-0100-000043000000}"/>
  <tableColumns count="3">
    <tableColumn id="1" xr3:uid="{00000000-0010-0000-5900-000001000000}" name="OS" dataDxfId="852"/>
    <tableColumn id="2" xr3:uid="{00000000-0010-0000-5900-000002000000}" name="Parcelas" dataDxfId="851"/>
    <tableColumn id="3" xr3:uid="{00000000-0010-0000-5900-00000300000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A000000}" name="vend16" displayName="vend16" ref="E5:I22" totalsRowShown="0" headerRowDxfId="849" dataDxfId="848" headerRowBorderDxfId="846" tableBorderDxfId="847" totalsRowBorderDxfId="845">
  <autoFilter ref="E5:I22" xr:uid="{00000000-0009-0000-0100-00005D000000}"/>
  <sortState xmlns:xlrd2="http://schemas.microsoft.com/office/spreadsheetml/2017/richdata2" ref="E6:I22">
    <sortCondition ref="E5:E22"/>
  </sortState>
  <tableColumns count="5">
    <tableColumn id="1" xr3:uid="{00000000-0010-0000-5A00-000001000000}" name="Nº Venda" dataDxfId="844" dataCellStyle="Moeda"/>
    <tableColumn id="5" xr3:uid="{00000000-0010-0000-5A00-000005000000}" name="Cliente" dataDxfId="843" dataCellStyle="Moeda"/>
    <tableColumn id="2" xr3:uid="{00000000-0010-0000-5A00-000002000000}" name="Forma de Pgto" dataDxfId="842" dataCellStyle="Moeda"/>
    <tableColumn id="3" xr3:uid="{00000000-0010-0000-5A00-000003000000}" name="Valor Venda" dataDxfId="841" dataCellStyle="Porcentagem"/>
    <tableColumn id="4" xr3:uid="{00000000-0010-0000-5A00-000004000000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B000000}" name="desp16" displayName="desp16" ref="K5:M11" totalsRowShown="0" headerRowDxfId="839" dataDxfId="838" headerRowBorderDxfId="836" tableBorderDxfId="837" totalsRowBorderDxfId="835">
  <autoFilter ref="K5:M11" xr:uid="{00000000-0009-0000-0100-00005E000000}"/>
  <tableColumns count="3">
    <tableColumn id="1" xr3:uid="{00000000-0010-0000-5B00-000001000000}" name="Descrição" dataDxfId="834"/>
    <tableColumn id="2" xr3:uid="{00000000-0010-0000-5B00-000002000000}" name="Tipo de Pagto" dataDxfId="833"/>
    <tableColumn id="3" xr3:uid="{00000000-0010-0000-5B00-000003000000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C000000}" name="rest_entr16" displayName="rest_entr16" ref="E25:I31" totalsRowShown="0" headerRowDxfId="831" dataDxfId="830" headerRowBorderDxfId="828" tableBorderDxfId="829" totalsRowBorderDxfId="827">
  <autoFilter ref="E25:I31" xr:uid="{00000000-0009-0000-0100-00005F000000}"/>
  <sortState xmlns:xlrd2="http://schemas.microsoft.com/office/spreadsheetml/2017/richdata2" ref="E26:I31">
    <sortCondition ref="E25:E31"/>
  </sortState>
  <tableColumns count="5">
    <tableColumn id="1" xr3:uid="{00000000-0010-0000-5C00-000001000000}" name="Nº Venda" dataDxfId="826"/>
    <tableColumn id="2" xr3:uid="{00000000-0010-0000-5C00-000002000000}" name="Cliente" dataDxfId="825"/>
    <tableColumn id="3" xr3:uid="{00000000-0010-0000-5C00-000003000000}" name="Forma de Pgto" dataDxfId="824" dataCellStyle="Moeda"/>
    <tableColumn id="4" xr3:uid="{00000000-0010-0000-5C00-000004000000}" name="Valor Venda" dataDxfId="823" dataCellStyle="Porcentagem"/>
    <tableColumn id="5" xr3:uid="{00000000-0010-0000-5C00-000005000000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D000000}" name="os_entr_dia16" displayName="os_entr_dia16" ref="K14:M31" totalsRowShown="0" headerRowDxfId="821" dataDxfId="820" headerRowBorderDxfId="818" tableBorderDxfId="819" totalsRowBorderDxfId="817">
  <autoFilter ref="K14:M31" xr:uid="{00000000-0009-0000-0100-000060000000}"/>
  <sortState xmlns:xlrd2="http://schemas.microsoft.com/office/spreadsheetml/2017/richdata2" ref="K15:M31">
    <sortCondition ref="K14:K31"/>
  </sortState>
  <tableColumns count="3">
    <tableColumn id="1" xr3:uid="{00000000-0010-0000-5D00-000001000000}" name="OS" dataDxfId="816"/>
    <tableColumn id="2" xr3:uid="{00000000-0010-0000-5D00-000002000000}" name="Vendedor" dataDxfId="815"/>
    <tableColumn id="3" xr3:uid="{00000000-0010-0000-5D00-000003000000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5E000000}" name="rec_carn16" displayName="rec_carn16" ref="E34:I41" totalsRowShown="0" headerRowDxfId="813" dataDxfId="812" headerRowBorderDxfId="810" tableBorderDxfId="811" totalsRowBorderDxfId="809">
  <autoFilter ref="E34:I41" xr:uid="{00000000-0009-0000-0100-000061000000}"/>
  <sortState xmlns:xlrd2="http://schemas.microsoft.com/office/spreadsheetml/2017/richdata2" ref="E35:I40">
    <sortCondition ref="E25:E31"/>
  </sortState>
  <tableColumns count="5">
    <tableColumn id="1" xr3:uid="{00000000-0010-0000-5E00-000001000000}" name="OS" dataDxfId="808"/>
    <tableColumn id="2" xr3:uid="{00000000-0010-0000-5E00-000002000000}" name="Cliente" dataDxfId="807"/>
    <tableColumn id="3" xr3:uid="{00000000-0010-0000-5E00-000003000000}" name="Forma de Pgto" dataDxfId="806" dataCellStyle="Moeda"/>
    <tableColumn id="4" xr3:uid="{00000000-0010-0000-5E00-000004000000}" name="Valor Parcela" dataDxfId="805" dataCellStyle="Porcentagem"/>
    <tableColumn id="5" xr3:uid="{00000000-0010-0000-5E00-000005000000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5F000000}" name="entr_carn16" displayName="entr_carn16" ref="K34:M41" totalsRowShown="0" headerRowDxfId="803" headerRowBorderDxfId="801" tableBorderDxfId="802" totalsRowBorderDxfId="800">
  <autoFilter ref="K34:M41" xr:uid="{00000000-0009-0000-0100-000062000000}"/>
  <tableColumns count="3">
    <tableColumn id="1" xr3:uid="{00000000-0010-0000-5F00-000001000000}" name="OS" dataDxfId="799"/>
    <tableColumn id="2" xr3:uid="{00000000-0010-0000-5F00-000002000000}" name="Parcelas" dataDxfId="798"/>
    <tableColumn id="3" xr3:uid="{00000000-0010-0000-5F00-000003000000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0000000}" name="vend17" displayName="vend17" ref="E5:I22" totalsRowShown="0" headerRowDxfId="796" dataDxfId="795" headerRowBorderDxfId="793" tableBorderDxfId="794" totalsRowBorderDxfId="792">
  <autoFilter ref="E5:I22" xr:uid="{00000000-0009-0000-0100-000063000000}"/>
  <sortState xmlns:xlrd2="http://schemas.microsoft.com/office/spreadsheetml/2017/richdata2" ref="E6:I22">
    <sortCondition ref="E5:E22"/>
  </sortState>
  <tableColumns count="5">
    <tableColumn id="1" xr3:uid="{00000000-0010-0000-6000-000001000000}" name="Nº Venda" dataDxfId="791" dataCellStyle="Moeda"/>
    <tableColumn id="5" xr3:uid="{00000000-0010-0000-6000-000005000000}" name="Cliente" dataDxfId="790" dataCellStyle="Moeda"/>
    <tableColumn id="2" xr3:uid="{00000000-0010-0000-6000-000002000000}" name="Forma de Pgto" dataDxfId="789" dataCellStyle="Moeda"/>
    <tableColumn id="3" xr3:uid="{00000000-0010-0000-6000-000003000000}" name="Valor Venda" dataDxfId="788" dataCellStyle="Porcentagem"/>
    <tableColumn id="4" xr3:uid="{00000000-0010-0000-6000-000004000000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1000000}" name="desp17" displayName="desp17" ref="K5:M11" totalsRowShown="0" headerRowDxfId="786" dataDxfId="785" headerRowBorderDxfId="783" tableBorderDxfId="784" totalsRowBorderDxfId="782">
  <autoFilter ref="K5:M11" xr:uid="{00000000-0009-0000-0100-000064000000}"/>
  <tableColumns count="3">
    <tableColumn id="1" xr3:uid="{00000000-0010-0000-6100-000001000000}" name="Descrição" dataDxfId="781"/>
    <tableColumn id="2" xr3:uid="{00000000-0010-0000-6100-000002000000}" name="Tipo de Pagto" dataDxfId="780"/>
    <tableColumn id="3" xr3:uid="{00000000-0010-0000-6100-000003000000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2000000}" name="rest_entr17" displayName="rest_entr17" ref="E25:I31" totalsRowShown="0" headerRowDxfId="778" dataDxfId="777" headerRowBorderDxfId="775" tableBorderDxfId="776" totalsRowBorderDxfId="774">
  <autoFilter ref="E25:I31" xr:uid="{00000000-0009-0000-0100-000065000000}"/>
  <sortState xmlns:xlrd2="http://schemas.microsoft.com/office/spreadsheetml/2017/richdata2" ref="E26:I31">
    <sortCondition ref="E25:E31"/>
  </sortState>
  <tableColumns count="5">
    <tableColumn id="1" xr3:uid="{00000000-0010-0000-6200-000001000000}" name="Nº Venda" dataDxfId="773"/>
    <tableColumn id="2" xr3:uid="{00000000-0010-0000-6200-000002000000}" name="Cliente" dataDxfId="772"/>
    <tableColumn id="3" xr3:uid="{00000000-0010-0000-6200-000003000000}" name="Forma de Pgto" dataDxfId="771" dataCellStyle="Moeda"/>
    <tableColumn id="4" xr3:uid="{00000000-0010-0000-6200-000004000000}" name="Valor Venda" dataDxfId="770" dataCellStyle="Porcentagem"/>
    <tableColumn id="5" xr3:uid="{00000000-0010-0000-6200-000005000000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3000000}" name="os_entr_dia17" displayName="os_entr_dia17" ref="K14:M31" totalsRowShown="0" headerRowDxfId="768" dataDxfId="767" headerRowBorderDxfId="765" tableBorderDxfId="766" totalsRowBorderDxfId="764">
  <autoFilter ref="K14:M31" xr:uid="{00000000-0009-0000-0100-000066000000}"/>
  <tableColumns count="3">
    <tableColumn id="1" xr3:uid="{00000000-0010-0000-6300-000001000000}" name="OS" dataDxfId="763"/>
    <tableColumn id="2" xr3:uid="{00000000-0010-0000-6300-000002000000}" name="Vendedor" dataDxfId="762"/>
    <tableColumn id="3" xr3:uid="{00000000-0010-0000-6300-000003000000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4000000}" name="rec_carn17" displayName="rec_carn17" ref="E34:I41" totalsRowShown="0" headerRowDxfId="760" dataDxfId="759" headerRowBorderDxfId="757" tableBorderDxfId="758" totalsRowBorderDxfId="756">
  <autoFilter ref="E34:I41" xr:uid="{00000000-0009-0000-0100-000067000000}"/>
  <sortState xmlns:xlrd2="http://schemas.microsoft.com/office/spreadsheetml/2017/richdata2" ref="E35:I40">
    <sortCondition ref="E25:E31"/>
  </sortState>
  <tableColumns count="5">
    <tableColumn id="1" xr3:uid="{00000000-0010-0000-6400-000001000000}" name="OS" dataDxfId="755"/>
    <tableColumn id="2" xr3:uid="{00000000-0010-0000-6400-000002000000}" name="Cliente" dataDxfId="754"/>
    <tableColumn id="3" xr3:uid="{00000000-0010-0000-6400-000003000000}" name="Forma de Pgto" dataDxfId="753" dataCellStyle="Moeda"/>
    <tableColumn id="4" xr3:uid="{00000000-0010-0000-6400-000004000000}" name="Valor Parcela" dataDxfId="752" dataCellStyle="Porcentagem"/>
    <tableColumn id="5" xr3:uid="{00000000-0010-0000-6400-000005000000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5000000}" name="entr_carn17" displayName="entr_carn17" ref="K34:M41" totalsRowShown="0" headerRowDxfId="750" headerRowBorderDxfId="748" tableBorderDxfId="749" totalsRowBorderDxfId="747">
  <autoFilter ref="K34:M41" xr:uid="{00000000-0009-0000-0100-000068000000}"/>
  <tableColumns count="3">
    <tableColumn id="1" xr3:uid="{00000000-0010-0000-6500-000001000000}" name="OS" dataDxfId="746"/>
    <tableColumn id="2" xr3:uid="{00000000-0010-0000-6500-000002000000}" name="Parcelas" dataDxfId="745"/>
    <tableColumn id="3" xr3:uid="{00000000-0010-0000-6500-000003000000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6000000}" name="vend18" displayName="vend18" ref="E5:I22" totalsRowShown="0" headerRowDxfId="743" dataDxfId="742" headerRowBorderDxfId="740" tableBorderDxfId="741" totalsRowBorderDxfId="739">
  <autoFilter ref="E5:I22" xr:uid="{00000000-0009-0000-0100-000069000000}"/>
  <sortState xmlns:xlrd2="http://schemas.microsoft.com/office/spreadsheetml/2017/richdata2" ref="E6:I22">
    <sortCondition ref="E5:E22"/>
  </sortState>
  <tableColumns count="5">
    <tableColumn id="1" xr3:uid="{00000000-0010-0000-6600-000001000000}" name="Nº Venda" dataDxfId="738" dataCellStyle="Moeda"/>
    <tableColumn id="5" xr3:uid="{00000000-0010-0000-6600-000005000000}" name="Cliente" dataDxfId="737" dataCellStyle="Moeda"/>
    <tableColumn id="2" xr3:uid="{00000000-0010-0000-6600-000002000000}" name="Forma de Pgto" dataDxfId="736" dataCellStyle="Moeda"/>
    <tableColumn id="3" xr3:uid="{00000000-0010-0000-6600-000003000000}" name="Valor Venda" dataDxfId="735" dataCellStyle="Porcentagem"/>
    <tableColumn id="4" xr3:uid="{00000000-0010-0000-6600-000004000000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7000000}" name="desp18" displayName="desp18" ref="K5:M11" totalsRowShown="0" headerRowDxfId="733" dataDxfId="732" headerRowBorderDxfId="730" tableBorderDxfId="731" totalsRowBorderDxfId="729">
  <autoFilter ref="K5:M11" xr:uid="{00000000-0009-0000-0100-00006A000000}"/>
  <tableColumns count="3">
    <tableColumn id="1" xr3:uid="{00000000-0010-0000-6700-000001000000}" name="Descrição" dataDxfId="728"/>
    <tableColumn id="2" xr3:uid="{00000000-0010-0000-6700-000002000000}" name="Tipo de Pagto" dataDxfId="727"/>
    <tableColumn id="3" xr3:uid="{00000000-0010-0000-6700-000003000000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8000000}" name="rest_entr18" displayName="rest_entr18" ref="E25:I31" totalsRowShown="0" headerRowDxfId="725" dataDxfId="724" headerRowBorderDxfId="722" tableBorderDxfId="723" totalsRowBorderDxfId="721">
  <autoFilter ref="E25:I31" xr:uid="{00000000-0009-0000-0100-00006B000000}"/>
  <sortState xmlns:xlrd2="http://schemas.microsoft.com/office/spreadsheetml/2017/richdata2" ref="E26:I31">
    <sortCondition ref="E25:E31"/>
  </sortState>
  <tableColumns count="5">
    <tableColumn id="1" xr3:uid="{00000000-0010-0000-6800-000001000000}" name="Nº Venda" dataDxfId="720"/>
    <tableColumn id="2" xr3:uid="{00000000-0010-0000-6800-000002000000}" name="Cliente" dataDxfId="719"/>
    <tableColumn id="3" xr3:uid="{00000000-0010-0000-6800-000003000000}" name="Forma de Pgto" dataDxfId="718" dataCellStyle="Moeda"/>
    <tableColumn id="4" xr3:uid="{00000000-0010-0000-6800-000004000000}" name="Valor Venda" dataDxfId="717" dataCellStyle="Porcentagem"/>
    <tableColumn id="5" xr3:uid="{00000000-0010-0000-6800-000005000000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9000000}" name="os_entr_dia18" displayName="os_entr_dia18" ref="K14:M31" totalsRowShown="0" headerRowDxfId="715" dataDxfId="714" headerRowBorderDxfId="712" tableBorderDxfId="713" totalsRowBorderDxfId="711">
  <autoFilter ref="K14:M31" xr:uid="{00000000-0009-0000-0100-00006C000000}"/>
  <tableColumns count="3">
    <tableColumn id="1" xr3:uid="{00000000-0010-0000-6900-000001000000}" name="OS" dataDxfId="710"/>
    <tableColumn id="2" xr3:uid="{00000000-0010-0000-6900-000002000000}" name="Vendedor" dataDxfId="709"/>
    <tableColumn id="3" xr3:uid="{00000000-0010-0000-6900-000003000000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A000000}" name="rec_carn18" displayName="rec_carn18" ref="E34:I41" totalsRowShown="0" headerRowDxfId="707" dataDxfId="706" headerRowBorderDxfId="704" tableBorderDxfId="705" totalsRowBorderDxfId="703">
  <autoFilter ref="E34:I41" xr:uid="{00000000-0009-0000-0100-00006D000000}"/>
  <sortState xmlns:xlrd2="http://schemas.microsoft.com/office/spreadsheetml/2017/richdata2" ref="E35:I40">
    <sortCondition ref="E25:E31"/>
  </sortState>
  <tableColumns count="5">
    <tableColumn id="1" xr3:uid="{00000000-0010-0000-6A00-000001000000}" name="OS" dataDxfId="702"/>
    <tableColumn id="2" xr3:uid="{00000000-0010-0000-6A00-000002000000}" name="Cliente" dataDxfId="701"/>
    <tableColumn id="3" xr3:uid="{00000000-0010-0000-6A00-000003000000}" name="Forma de Pgto" dataDxfId="700" dataCellStyle="Moeda"/>
    <tableColumn id="4" xr3:uid="{00000000-0010-0000-6A00-000004000000}" name="Valor Parcela" dataDxfId="699" dataCellStyle="Porcentagem"/>
    <tableColumn id="5" xr3:uid="{00000000-0010-0000-6A00-000005000000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B000000}" name="entr_carn18" displayName="entr_carn18" ref="K34:M41" totalsRowShown="0" headerRowDxfId="697" headerRowBorderDxfId="695" tableBorderDxfId="696" totalsRowBorderDxfId="694">
  <autoFilter ref="K34:M41" xr:uid="{00000000-0009-0000-0100-00006E000000}"/>
  <tableColumns count="3">
    <tableColumn id="1" xr3:uid="{00000000-0010-0000-6B00-000001000000}" name="OS" dataDxfId="693"/>
    <tableColumn id="2" xr3:uid="{00000000-0010-0000-6B00-000002000000}" name="Parcelas" dataDxfId="692"/>
    <tableColumn id="3" xr3:uid="{00000000-0010-0000-6B00-000003000000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C000000}" name="vend19" displayName="vend19" ref="E5:I22" totalsRowShown="0" headerRowDxfId="690" dataDxfId="689" headerRowBorderDxfId="687" tableBorderDxfId="688" totalsRowBorderDxfId="686">
  <autoFilter ref="E5:I22" xr:uid="{00000000-0009-0000-0100-00006F000000}"/>
  <sortState xmlns:xlrd2="http://schemas.microsoft.com/office/spreadsheetml/2017/richdata2" ref="E6:I22">
    <sortCondition ref="E5:E22"/>
  </sortState>
  <tableColumns count="5">
    <tableColumn id="1" xr3:uid="{00000000-0010-0000-6C00-000001000000}" name="Nº Venda" dataDxfId="685" dataCellStyle="Moeda"/>
    <tableColumn id="5" xr3:uid="{00000000-0010-0000-6C00-000005000000}" name="Cliente" dataDxfId="684" dataCellStyle="Moeda"/>
    <tableColumn id="2" xr3:uid="{00000000-0010-0000-6C00-000002000000}" name="Forma de Pgto" dataDxfId="683" dataCellStyle="Moeda"/>
    <tableColumn id="3" xr3:uid="{00000000-0010-0000-6C00-000003000000}" name="Valor Venda" dataDxfId="682" dataCellStyle="Porcentagem"/>
    <tableColumn id="4" xr3:uid="{00000000-0010-0000-6C00-000004000000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D000000}" name="desp19" displayName="desp19" ref="K5:M11" totalsRowShown="0" headerRowDxfId="680" dataDxfId="679" headerRowBorderDxfId="677" tableBorderDxfId="678" totalsRowBorderDxfId="676">
  <autoFilter ref="K5:M11" xr:uid="{00000000-0009-0000-0100-000070000000}"/>
  <tableColumns count="3">
    <tableColumn id="1" xr3:uid="{00000000-0010-0000-6D00-000001000000}" name="Descrição" dataDxfId="675"/>
    <tableColumn id="2" xr3:uid="{00000000-0010-0000-6D00-000002000000}" name="Tipo de Pagto" dataDxfId="674"/>
    <tableColumn id="3" xr3:uid="{00000000-0010-0000-6D00-000003000000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6E000000}" name="rest_entr19" displayName="rest_entr19" ref="E25:I31" totalsRowShown="0" headerRowDxfId="672" dataDxfId="671" headerRowBorderDxfId="669" tableBorderDxfId="670" totalsRowBorderDxfId="668">
  <autoFilter ref="E25:I31" xr:uid="{00000000-0009-0000-0100-000071000000}"/>
  <sortState xmlns:xlrd2="http://schemas.microsoft.com/office/spreadsheetml/2017/richdata2" ref="E26:I31">
    <sortCondition ref="E25:E31"/>
  </sortState>
  <tableColumns count="5">
    <tableColumn id="1" xr3:uid="{00000000-0010-0000-6E00-000001000000}" name="Nº Venda" dataDxfId="667"/>
    <tableColumn id="2" xr3:uid="{00000000-0010-0000-6E00-000002000000}" name="Cliente" dataDxfId="666"/>
    <tableColumn id="3" xr3:uid="{00000000-0010-0000-6E00-000003000000}" name="Forma de Pgto" dataDxfId="665" dataCellStyle="Moeda"/>
    <tableColumn id="4" xr3:uid="{00000000-0010-0000-6E00-000004000000}" name="Valor Venda" dataDxfId="664" dataCellStyle="Porcentagem"/>
    <tableColumn id="5" xr3:uid="{00000000-0010-0000-6E00-000005000000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6F000000}" name="os_entr_dia19" displayName="os_entr_dia19" ref="K14:M31" totalsRowShown="0" headerRowDxfId="662" dataDxfId="661" headerRowBorderDxfId="659" tableBorderDxfId="660" totalsRowBorderDxfId="658">
  <autoFilter ref="K14:M31" xr:uid="{00000000-0009-0000-0100-000072000000}"/>
  <tableColumns count="3">
    <tableColumn id="1" xr3:uid="{00000000-0010-0000-6F00-000001000000}" name="OS" dataDxfId="657"/>
    <tableColumn id="2" xr3:uid="{00000000-0010-0000-6F00-000002000000}" name="Vendedor" dataDxfId="656"/>
    <tableColumn id="3" xr3:uid="{00000000-0010-0000-6F00-000003000000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0000000}" name="rec_carn19" displayName="rec_carn19" ref="E34:I41" totalsRowShown="0" headerRowDxfId="654" dataDxfId="653" headerRowBorderDxfId="651" tableBorderDxfId="652" totalsRowBorderDxfId="650">
  <autoFilter ref="E34:I41" xr:uid="{00000000-0009-0000-0100-000073000000}"/>
  <sortState xmlns:xlrd2="http://schemas.microsoft.com/office/spreadsheetml/2017/richdata2" ref="E35:I40">
    <sortCondition ref="E25:E31"/>
  </sortState>
  <tableColumns count="5">
    <tableColumn id="1" xr3:uid="{00000000-0010-0000-7000-000001000000}" name="OS" dataDxfId="649"/>
    <tableColumn id="2" xr3:uid="{00000000-0010-0000-7000-000002000000}" name="Cliente" dataDxfId="648"/>
    <tableColumn id="3" xr3:uid="{00000000-0010-0000-7000-000003000000}" name="Forma de Pgto" dataDxfId="647" dataCellStyle="Moeda"/>
    <tableColumn id="4" xr3:uid="{00000000-0010-0000-7000-000004000000}" name="Valor Parcela" dataDxfId="646" dataCellStyle="Porcentagem"/>
    <tableColumn id="5" xr3:uid="{00000000-0010-0000-7000-00000500000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1000000}" name="entr_carn19" displayName="entr_carn19" ref="K34:M41" totalsRowShown="0" headerRowDxfId="644" headerRowBorderDxfId="642" tableBorderDxfId="643" totalsRowBorderDxfId="641">
  <autoFilter ref="K34:M41" xr:uid="{00000000-0009-0000-0100-000074000000}"/>
  <tableColumns count="3">
    <tableColumn id="1" xr3:uid="{00000000-0010-0000-7100-000001000000}" name="OS" dataDxfId="640"/>
    <tableColumn id="2" xr3:uid="{00000000-0010-0000-7100-000002000000}" name="Parcelas" dataDxfId="639"/>
    <tableColumn id="3" xr3:uid="{00000000-0010-0000-7100-000003000000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2000000}" name="vend20" displayName="vend20" ref="E5:I22" totalsRowShown="0" headerRowDxfId="637" dataDxfId="636" headerRowBorderDxfId="634" tableBorderDxfId="635" totalsRowBorderDxfId="633">
  <autoFilter ref="E5:I22" xr:uid="{00000000-0009-0000-0100-00007A000000}"/>
  <sortState xmlns:xlrd2="http://schemas.microsoft.com/office/spreadsheetml/2017/richdata2" ref="E6:I22">
    <sortCondition ref="E5:E22"/>
  </sortState>
  <tableColumns count="5">
    <tableColumn id="1" xr3:uid="{00000000-0010-0000-7200-000001000000}" name="Nº Venda" dataDxfId="632" dataCellStyle="Moeda"/>
    <tableColumn id="5" xr3:uid="{00000000-0010-0000-7200-000005000000}" name="Cliente" dataDxfId="631" dataCellStyle="Moeda"/>
    <tableColumn id="2" xr3:uid="{00000000-0010-0000-7200-000002000000}" name="Forma de Pgto" dataDxfId="630" dataCellStyle="Moeda"/>
    <tableColumn id="3" xr3:uid="{00000000-0010-0000-7200-000003000000}" name="Valor Venda" dataDxfId="629" dataCellStyle="Porcentagem"/>
    <tableColumn id="4" xr3:uid="{00000000-0010-0000-7200-000004000000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3000000}" name="desp20" displayName="desp20" ref="K5:M11" totalsRowShown="0" headerRowDxfId="627" dataDxfId="626" headerRowBorderDxfId="624" tableBorderDxfId="625" totalsRowBorderDxfId="623">
  <autoFilter ref="K5:M11" xr:uid="{00000000-0009-0000-0100-00007B000000}"/>
  <tableColumns count="3">
    <tableColumn id="1" xr3:uid="{00000000-0010-0000-7300-000001000000}" name="Descrição" dataDxfId="622"/>
    <tableColumn id="2" xr3:uid="{00000000-0010-0000-7300-000002000000}" name="Tipo de Pagto" dataDxfId="621"/>
    <tableColumn id="3" xr3:uid="{00000000-0010-0000-7300-000003000000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4000000}" name="rest_entr20" displayName="rest_entr20" ref="E25:I31" totalsRowShown="0" headerRowDxfId="619" dataDxfId="618" headerRowBorderDxfId="616" tableBorderDxfId="617" totalsRowBorderDxfId="615">
  <autoFilter ref="E25:I31" xr:uid="{00000000-0009-0000-0100-00007C000000}"/>
  <sortState xmlns:xlrd2="http://schemas.microsoft.com/office/spreadsheetml/2017/richdata2" ref="E26:I31">
    <sortCondition ref="E25:E31"/>
  </sortState>
  <tableColumns count="5">
    <tableColumn id="1" xr3:uid="{00000000-0010-0000-7400-000001000000}" name="Nº Venda" dataDxfId="614"/>
    <tableColumn id="2" xr3:uid="{00000000-0010-0000-7400-000002000000}" name="Cliente" dataDxfId="613"/>
    <tableColumn id="3" xr3:uid="{00000000-0010-0000-7400-000003000000}" name="Forma de Pgto" dataDxfId="612" dataCellStyle="Moeda"/>
    <tableColumn id="4" xr3:uid="{00000000-0010-0000-7400-000004000000}" name="Valor Venda" dataDxfId="611" dataCellStyle="Porcentagem"/>
    <tableColumn id="5" xr3:uid="{00000000-0010-0000-7400-000005000000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5000000}" name="os_entr_dia20" displayName="os_entr_dia20" ref="K14:M31" totalsRowShown="0" headerRowDxfId="609" dataDxfId="608" headerRowBorderDxfId="606" tableBorderDxfId="607" totalsRowBorderDxfId="605">
  <autoFilter ref="K14:M31" xr:uid="{00000000-0009-0000-0100-00007D000000}"/>
  <tableColumns count="3">
    <tableColumn id="1" xr3:uid="{00000000-0010-0000-7500-000001000000}" name="OS" dataDxfId="604"/>
    <tableColumn id="2" xr3:uid="{00000000-0010-0000-7500-000002000000}" name="Vendedor" dataDxfId="603"/>
    <tableColumn id="3" xr3:uid="{00000000-0010-0000-7500-000003000000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6000000}" name="rec_carn20" displayName="rec_carn20" ref="E34:I41" totalsRowShown="0" headerRowDxfId="601" dataDxfId="600" headerRowBorderDxfId="598" tableBorderDxfId="599" totalsRowBorderDxfId="597">
  <autoFilter ref="E34:I41" xr:uid="{00000000-0009-0000-0100-00007E000000}"/>
  <sortState xmlns:xlrd2="http://schemas.microsoft.com/office/spreadsheetml/2017/richdata2" ref="E35:I40">
    <sortCondition ref="E25:E31"/>
  </sortState>
  <tableColumns count="5">
    <tableColumn id="1" xr3:uid="{00000000-0010-0000-7600-000001000000}" name="OS" dataDxfId="596"/>
    <tableColumn id="2" xr3:uid="{00000000-0010-0000-7600-000002000000}" name="Cliente" dataDxfId="595"/>
    <tableColumn id="3" xr3:uid="{00000000-0010-0000-7600-000003000000}" name="Forma de Pgto" dataDxfId="594" dataCellStyle="Moeda"/>
    <tableColumn id="4" xr3:uid="{00000000-0010-0000-7600-000004000000}" name="Valor Parcela" dataDxfId="593" dataCellStyle="Porcentagem"/>
    <tableColumn id="5" xr3:uid="{00000000-0010-0000-7600-000005000000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7000000}" name="entr_carn20" displayName="entr_carn20" ref="K34:M41" totalsRowShown="0" headerRowDxfId="591" headerRowBorderDxfId="589" tableBorderDxfId="590" totalsRowBorderDxfId="588">
  <autoFilter ref="K34:M41" xr:uid="{00000000-0009-0000-0100-00007F000000}"/>
  <tableColumns count="3">
    <tableColumn id="1" xr3:uid="{00000000-0010-0000-7700-000001000000}" name="OS" dataDxfId="587"/>
    <tableColumn id="2" xr3:uid="{00000000-0010-0000-7700-000002000000}" name="Parcelas" dataDxfId="586"/>
    <tableColumn id="3" xr3:uid="{00000000-0010-0000-7700-000003000000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8000000}" name="vend21" displayName="vend21" ref="E5:I22" totalsRowShown="0" headerRowDxfId="584" dataDxfId="583" headerRowBorderDxfId="581" tableBorderDxfId="582" totalsRowBorderDxfId="580">
  <autoFilter ref="E5:I22" xr:uid="{00000000-0009-0000-0100-000080000000}"/>
  <sortState xmlns:xlrd2="http://schemas.microsoft.com/office/spreadsheetml/2017/richdata2" ref="E6:I22">
    <sortCondition ref="E5:E22"/>
  </sortState>
  <tableColumns count="5">
    <tableColumn id="1" xr3:uid="{00000000-0010-0000-7800-000001000000}" name="Nº Venda" dataDxfId="579" dataCellStyle="Moeda"/>
    <tableColumn id="5" xr3:uid="{00000000-0010-0000-7800-000005000000}" name="Cliente" dataDxfId="578" dataCellStyle="Moeda"/>
    <tableColumn id="2" xr3:uid="{00000000-0010-0000-7800-000002000000}" name="Forma de Pgto" dataDxfId="577" dataCellStyle="Moeda"/>
    <tableColumn id="3" xr3:uid="{00000000-0010-0000-7800-000003000000}" name="Valor Venda" dataDxfId="576" dataCellStyle="Porcentagem"/>
    <tableColumn id="4" xr3:uid="{00000000-0010-0000-7800-000004000000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79000000}" name="desp21" displayName="desp21" ref="K5:M11" totalsRowShown="0" headerRowDxfId="574" dataDxfId="573" headerRowBorderDxfId="571" tableBorderDxfId="572" totalsRowBorderDxfId="570">
  <autoFilter ref="K5:M11" xr:uid="{00000000-0009-0000-0100-000081000000}"/>
  <tableColumns count="3">
    <tableColumn id="1" xr3:uid="{00000000-0010-0000-7900-000001000000}" name="Descrição" dataDxfId="569"/>
    <tableColumn id="2" xr3:uid="{00000000-0010-0000-7900-000002000000}" name="Tipo de Pagto" dataDxfId="568"/>
    <tableColumn id="3" xr3:uid="{00000000-0010-0000-7900-000003000000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7A000000}" name="rest_entr21" displayName="rest_entr21" ref="E25:I31" totalsRowShown="0" headerRowDxfId="566" dataDxfId="565" headerRowBorderDxfId="563" tableBorderDxfId="564" totalsRowBorderDxfId="562">
  <autoFilter ref="E25:I31" xr:uid="{00000000-0009-0000-0100-000082000000}"/>
  <sortState xmlns:xlrd2="http://schemas.microsoft.com/office/spreadsheetml/2017/richdata2" ref="E26:I31">
    <sortCondition ref="E25:E31"/>
  </sortState>
  <tableColumns count="5">
    <tableColumn id="1" xr3:uid="{00000000-0010-0000-7A00-000001000000}" name="Nº Venda" dataDxfId="561"/>
    <tableColumn id="2" xr3:uid="{00000000-0010-0000-7A00-000002000000}" name="Cliente" dataDxfId="560"/>
    <tableColumn id="3" xr3:uid="{00000000-0010-0000-7A00-000003000000}" name="Forma de Pgto" dataDxfId="559" dataCellStyle="Moeda"/>
    <tableColumn id="4" xr3:uid="{00000000-0010-0000-7A00-000004000000}" name="Valor Venda" dataDxfId="558" dataCellStyle="Porcentagem"/>
    <tableColumn id="5" xr3:uid="{00000000-0010-0000-7A00-000005000000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7B000000}" name="os_entr_dia21" displayName="os_entr_dia21" ref="K14:M31" totalsRowShown="0" headerRowDxfId="556" dataDxfId="555" headerRowBorderDxfId="553" tableBorderDxfId="554" totalsRowBorderDxfId="552">
  <autoFilter ref="K14:M31" xr:uid="{00000000-0009-0000-0100-000083000000}"/>
  <tableColumns count="3">
    <tableColumn id="1" xr3:uid="{00000000-0010-0000-7B00-000001000000}" name="OS" dataDxfId="551"/>
    <tableColumn id="2" xr3:uid="{00000000-0010-0000-7B00-000002000000}" name="Vendedor" dataDxfId="550"/>
    <tableColumn id="3" xr3:uid="{00000000-0010-0000-7B00-00000300000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7C000000}" name="rec_carn21" displayName="rec_carn21" ref="E34:I41" totalsRowShown="0" headerRowDxfId="548" dataDxfId="547" headerRowBorderDxfId="545" tableBorderDxfId="546" totalsRowBorderDxfId="544">
  <autoFilter ref="E34:I41" xr:uid="{00000000-0009-0000-0100-000084000000}"/>
  <sortState xmlns:xlrd2="http://schemas.microsoft.com/office/spreadsheetml/2017/richdata2" ref="E35:I40">
    <sortCondition ref="E25:E31"/>
  </sortState>
  <tableColumns count="5">
    <tableColumn id="1" xr3:uid="{00000000-0010-0000-7C00-000001000000}" name="OS" dataDxfId="543"/>
    <tableColumn id="2" xr3:uid="{00000000-0010-0000-7C00-000002000000}" name="Cliente" dataDxfId="542"/>
    <tableColumn id="3" xr3:uid="{00000000-0010-0000-7C00-000003000000}" name="Forma de Pgto" dataDxfId="541" dataCellStyle="Moeda"/>
    <tableColumn id="4" xr3:uid="{00000000-0010-0000-7C00-000004000000}" name="Valor Parcela" dataDxfId="540" dataCellStyle="Porcentagem"/>
    <tableColumn id="5" xr3:uid="{00000000-0010-0000-7C00-000005000000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7D000000}" name="entr_carn21" displayName="entr_carn21" ref="K34:M41" totalsRowShown="0" headerRowDxfId="538" headerRowBorderDxfId="536" tableBorderDxfId="537" totalsRowBorderDxfId="535">
  <autoFilter ref="K34:M41" xr:uid="{00000000-0009-0000-0100-000085000000}"/>
  <tableColumns count="3">
    <tableColumn id="1" xr3:uid="{00000000-0010-0000-7D00-000001000000}" name="OS" dataDxfId="534"/>
    <tableColumn id="2" xr3:uid="{00000000-0010-0000-7D00-000002000000}" name="Parcelas" dataDxfId="533"/>
    <tableColumn id="3" xr3:uid="{00000000-0010-0000-7D00-000003000000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7E000000}" name="vend22" displayName="vend22" ref="E5:I22" totalsRowShown="0" headerRowDxfId="531" dataDxfId="530" headerRowBorderDxfId="528" tableBorderDxfId="529" totalsRowBorderDxfId="527">
  <autoFilter ref="E5:I22" xr:uid="{00000000-0009-0000-0100-000086000000}"/>
  <sortState xmlns:xlrd2="http://schemas.microsoft.com/office/spreadsheetml/2017/richdata2" ref="E6:I22">
    <sortCondition ref="E5:E22"/>
  </sortState>
  <tableColumns count="5">
    <tableColumn id="1" xr3:uid="{00000000-0010-0000-7E00-000001000000}" name="Nº Venda" dataDxfId="526" dataCellStyle="Moeda"/>
    <tableColumn id="5" xr3:uid="{00000000-0010-0000-7E00-000005000000}" name="Cliente" dataDxfId="525" dataCellStyle="Moeda"/>
    <tableColumn id="2" xr3:uid="{00000000-0010-0000-7E00-000002000000}" name="Forma de Pgto" dataDxfId="524" dataCellStyle="Moeda"/>
    <tableColumn id="3" xr3:uid="{00000000-0010-0000-7E00-000003000000}" name="Valor Venda" dataDxfId="523" dataCellStyle="Porcentagem"/>
    <tableColumn id="4" xr3:uid="{00000000-0010-0000-7E00-000004000000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7F000000}" name="desp22" displayName="desp22" ref="K5:M11" totalsRowShown="0" headerRowDxfId="521" dataDxfId="520" headerRowBorderDxfId="518" tableBorderDxfId="519" totalsRowBorderDxfId="517">
  <autoFilter ref="K5:M11" xr:uid="{00000000-0009-0000-0100-000087000000}"/>
  <tableColumns count="3">
    <tableColumn id="1" xr3:uid="{00000000-0010-0000-7F00-000001000000}" name="Descrição" dataDxfId="516"/>
    <tableColumn id="2" xr3:uid="{00000000-0010-0000-7F00-000002000000}" name="Tipo de Pagto" dataDxfId="515"/>
    <tableColumn id="3" xr3:uid="{00000000-0010-0000-7F00-000003000000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0000000}" name="rest_entr22" displayName="rest_entr22" ref="E25:I31" totalsRowShown="0" headerRowDxfId="513" dataDxfId="512" headerRowBorderDxfId="510" tableBorderDxfId="511" totalsRowBorderDxfId="509">
  <autoFilter ref="E25:I31" xr:uid="{00000000-0009-0000-0100-000088000000}"/>
  <sortState xmlns:xlrd2="http://schemas.microsoft.com/office/spreadsheetml/2017/richdata2" ref="E26:I31">
    <sortCondition ref="E25:E31"/>
  </sortState>
  <tableColumns count="5">
    <tableColumn id="1" xr3:uid="{00000000-0010-0000-8000-000001000000}" name="Nº Venda" dataDxfId="508"/>
    <tableColumn id="2" xr3:uid="{00000000-0010-0000-8000-000002000000}" name="Cliente" dataDxfId="507"/>
    <tableColumn id="3" xr3:uid="{00000000-0010-0000-8000-000003000000}" name="Forma de Pgto" dataDxfId="506" dataCellStyle="Moeda"/>
    <tableColumn id="4" xr3:uid="{00000000-0010-0000-8000-000004000000}" name="Valor Venda" dataDxfId="505" dataCellStyle="Porcentagem"/>
    <tableColumn id="5" xr3:uid="{00000000-0010-0000-8000-000005000000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1000000}" name="os_entr_dia22" displayName="os_entr_dia22" ref="K14:M31" totalsRowShown="0" headerRowDxfId="503" dataDxfId="502" headerRowBorderDxfId="500" tableBorderDxfId="501" totalsRowBorderDxfId="499">
  <autoFilter ref="K14:M31" xr:uid="{00000000-0009-0000-0100-000089000000}"/>
  <tableColumns count="3">
    <tableColumn id="1" xr3:uid="{00000000-0010-0000-8100-000001000000}" name="OS" dataDxfId="498"/>
    <tableColumn id="2" xr3:uid="{00000000-0010-0000-8100-000002000000}" name="Vendedor" dataDxfId="497"/>
    <tableColumn id="3" xr3:uid="{00000000-0010-0000-8100-000003000000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2000000}" name="rec_carn22" displayName="rec_carn22" ref="E34:I41" totalsRowShown="0" headerRowDxfId="495" dataDxfId="494" headerRowBorderDxfId="492" tableBorderDxfId="493" totalsRowBorderDxfId="491">
  <autoFilter ref="E34:I41" xr:uid="{00000000-0009-0000-0100-00008A000000}"/>
  <sortState xmlns:xlrd2="http://schemas.microsoft.com/office/spreadsheetml/2017/richdata2" ref="E35:I40">
    <sortCondition ref="E25:E31"/>
  </sortState>
  <tableColumns count="5">
    <tableColumn id="1" xr3:uid="{00000000-0010-0000-8200-000001000000}" name="OS" dataDxfId="490"/>
    <tableColumn id="2" xr3:uid="{00000000-0010-0000-8200-000002000000}" name="Cliente" dataDxfId="489"/>
    <tableColumn id="3" xr3:uid="{00000000-0010-0000-8200-000003000000}" name="Forma de Pgto" dataDxfId="488" dataCellStyle="Moeda"/>
    <tableColumn id="4" xr3:uid="{00000000-0010-0000-8200-000004000000}" name="Valor Parcela" dataDxfId="487" dataCellStyle="Porcentagem"/>
    <tableColumn id="5" xr3:uid="{00000000-0010-0000-8200-000005000000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3000000}" name="entr_carn22" displayName="entr_carn22" ref="K34:M41" totalsRowShown="0" headerRowDxfId="485" headerRowBorderDxfId="483" tableBorderDxfId="484" totalsRowBorderDxfId="482">
  <autoFilter ref="K34:M41" xr:uid="{00000000-0009-0000-0100-00008B000000}"/>
  <tableColumns count="3">
    <tableColumn id="1" xr3:uid="{00000000-0010-0000-8300-000001000000}" name="OS" dataDxfId="481"/>
    <tableColumn id="2" xr3:uid="{00000000-0010-0000-8300-000002000000}" name="Parcelas" dataDxfId="480"/>
    <tableColumn id="3" xr3:uid="{00000000-0010-0000-8300-000003000000}" name="Valor Total" dataDxfId="479">
      <calculatedColumnFormula>540</calculatedColumnFormula>
    </tableColumn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84000000}" name="vend23" displayName="vend23" ref="E5:I22" totalsRowShown="0" headerRowDxfId="478" dataDxfId="477" headerRowBorderDxfId="475" tableBorderDxfId="476" totalsRowBorderDxfId="474">
  <autoFilter ref="E5:I22" xr:uid="{00000000-0009-0000-0100-000003000000}"/>
  <sortState xmlns:xlrd2="http://schemas.microsoft.com/office/spreadsheetml/2017/richdata2" ref="E6:I22">
    <sortCondition ref="E5:E22"/>
  </sortState>
  <tableColumns count="5">
    <tableColumn id="1" xr3:uid="{00000000-0010-0000-8400-000001000000}" name="Nº Venda" dataDxfId="473" dataCellStyle="Moeda"/>
    <tableColumn id="5" xr3:uid="{00000000-0010-0000-8400-000005000000}" name="Cliente" dataDxfId="472" dataCellStyle="Moeda"/>
    <tableColumn id="2" xr3:uid="{00000000-0010-0000-8400-000002000000}" name="Forma de Pgto" dataDxfId="471" dataCellStyle="Moeda"/>
    <tableColumn id="3" xr3:uid="{00000000-0010-0000-8400-000003000000}" name="Valor Venda" dataDxfId="470" dataCellStyle="Porcentagem"/>
    <tableColumn id="4" xr3:uid="{00000000-0010-0000-8400-000004000000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85000000}" name="desp23" displayName="desp23" ref="K5:M11" totalsRowShown="0" headerRowDxfId="468" dataDxfId="467" headerRowBorderDxfId="465" tableBorderDxfId="466" totalsRowBorderDxfId="464">
  <autoFilter ref="K5:M11" xr:uid="{00000000-0009-0000-0100-000075000000}"/>
  <tableColumns count="3">
    <tableColumn id="1" xr3:uid="{00000000-0010-0000-8500-000001000000}" name="Descrição" dataDxfId="463"/>
    <tableColumn id="2" xr3:uid="{00000000-0010-0000-8500-000002000000}" name="Tipo de Pagto" dataDxfId="462"/>
    <tableColumn id="3" xr3:uid="{00000000-0010-0000-8500-000003000000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86000000}" name="rest_entr23" displayName="rest_entr23" ref="E25:I31" totalsRowShown="0" headerRowDxfId="460" dataDxfId="459" headerRowBorderDxfId="457" tableBorderDxfId="458" totalsRowBorderDxfId="456">
  <autoFilter ref="E25:I31" xr:uid="{00000000-0009-0000-0100-000076000000}"/>
  <sortState xmlns:xlrd2="http://schemas.microsoft.com/office/spreadsheetml/2017/richdata2" ref="E26:I31">
    <sortCondition ref="E25:E31"/>
  </sortState>
  <tableColumns count="5">
    <tableColumn id="1" xr3:uid="{00000000-0010-0000-8600-000001000000}" name="Nº Venda" dataDxfId="455"/>
    <tableColumn id="2" xr3:uid="{00000000-0010-0000-8600-000002000000}" name="Cliente" dataDxfId="454"/>
    <tableColumn id="3" xr3:uid="{00000000-0010-0000-8600-000003000000}" name="Forma de Pgto" dataDxfId="453" dataCellStyle="Moeda"/>
    <tableColumn id="4" xr3:uid="{00000000-0010-0000-8600-000004000000}" name="Valor Venda" dataDxfId="452" dataCellStyle="Porcentagem"/>
    <tableColumn id="5" xr3:uid="{00000000-0010-0000-8600-000005000000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87000000}" name="os_entr_dia23" displayName="os_entr_dia23" ref="K14:M31" totalsRowShown="0" headerRowDxfId="450" dataDxfId="449" headerRowBorderDxfId="447" tableBorderDxfId="448" totalsRowBorderDxfId="446">
  <autoFilter ref="K14:M31" xr:uid="{00000000-0009-0000-0100-000077000000}"/>
  <tableColumns count="3">
    <tableColumn id="1" xr3:uid="{00000000-0010-0000-8700-000001000000}" name="OS" dataDxfId="445"/>
    <tableColumn id="2" xr3:uid="{00000000-0010-0000-8700-000002000000}" name="Vendedor" dataDxfId="444"/>
    <tableColumn id="3" xr3:uid="{00000000-0010-0000-8700-000003000000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88000000}" name="rec_carn23" displayName="rec_carn23" ref="E34:I41" totalsRowShown="0" headerRowDxfId="442" dataDxfId="441" headerRowBorderDxfId="439" tableBorderDxfId="440" totalsRowBorderDxfId="438">
  <autoFilter ref="E34:I41" xr:uid="{00000000-0009-0000-0100-000078000000}"/>
  <sortState xmlns:xlrd2="http://schemas.microsoft.com/office/spreadsheetml/2017/richdata2" ref="E35:I40">
    <sortCondition ref="E25:E31"/>
  </sortState>
  <tableColumns count="5">
    <tableColumn id="1" xr3:uid="{00000000-0010-0000-8800-000001000000}" name="OS" dataDxfId="437"/>
    <tableColumn id="2" xr3:uid="{00000000-0010-0000-8800-000002000000}" name="Cliente" dataDxfId="436"/>
    <tableColumn id="3" xr3:uid="{00000000-0010-0000-8800-000003000000}" name="Forma de Pgto" dataDxfId="435" dataCellStyle="Moeda"/>
    <tableColumn id="4" xr3:uid="{00000000-0010-0000-8800-000004000000}" name="Valor Parcela" dataDxfId="434" dataCellStyle="Porcentagem"/>
    <tableColumn id="5" xr3:uid="{00000000-0010-0000-8800-000005000000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89000000}" name="entr_carn23" displayName="entr_carn23" ref="K34:M41" totalsRowShown="0" headerRowDxfId="432" headerRowBorderDxfId="430" tableBorderDxfId="431" totalsRowBorderDxfId="429">
  <autoFilter ref="K34:M41" xr:uid="{00000000-0009-0000-0100-000079000000}"/>
  <tableColumns count="3">
    <tableColumn id="1" xr3:uid="{00000000-0010-0000-8900-000001000000}" name="OS" dataDxfId="428"/>
    <tableColumn id="2" xr3:uid="{00000000-0010-0000-8900-000002000000}" name="Parcelas" dataDxfId="427"/>
    <tableColumn id="3" xr3:uid="{00000000-0010-0000-8900-00000300000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8A000000}" name="vend24" displayName="vend24" ref="E5:I22" totalsRowShown="0" headerRowDxfId="425" dataDxfId="424" headerRowBorderDxfId="422" tableBorderDxfId="423" totalsRowBorderDxfId="421">
  <autoFilter ref="E5:I22" xr:uid="{00000000-0009-0000-0100-000092000000}"/>
  <sortState xmlns:xlrd2="http://schemas.microsoft.com/office/spreadsheetml/2017/richdata2" ref="E6:I22">
    <sortCondition ref="E5:E22"/>
  </sortState>
  <tableColumns count="5">
    <tableColumn id="1" xr3:uid="{00000000-0010-0000-8A00-000001000000}" name="Nº Venda" dataDxfId="420" dataCellStyle="Moeda"/>
    <tableColumn id="5" xr3:uid="{00000000-0010-0000-8A00-000005000000}" name="Cliente" dataDxfId="419" dataCellStyle="Moeda"/>
    <tableColumn id="2" xr3:uid="{00000000-0010-0000-8A00-000002000000}" name="Forma de Pgto" dataDxfId="418" dataCellStyle="Moeda"/>
    <tableColumn id="3" xr3:uid="{00000000-0010-0000-8A00-000003000000}" name="Valor Venda" dataDxfId="417" dataCellStyle="Porcentagem"/>
    <tableColumn id="4" xr3:uid="{00000000-0010-0000-8A00-000004000000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8B000000}" name="desp24" displayName="desp24" ref="K5:M11" totalsRowShown="0" headerRowDxfId="415" dataDxfId="414" headerRowBorderDxfId="412" tableBorderDxfId="413" totalsRowBorderDxfId="411">
  <autoFilter ref="K5:M11" xr:uid="{00000000-0009-0000-0100-000093000000}"/>
  <tableColumns count="3">
    <tableColumn id="1" xr3:uid="{00000000-0010-0000-8B00-000001000000}" name="Descrição" dataDxfId="410"/>
    <tableColumn id="2" xr3:uid="{00000000-0010-0000-8B00-000002000000}" name="Tipo de Pagto" dataDxfId="409"/>
    <tableColumn id="3" xr3:uid="{00000000-0010-0000-8B00-000003000000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8C000000}" name="rest_entr24" displayName="rest_entr24" ref="E25:I31" totalsRowShown="0" headerRowDxfId="407" dataDxfId="406" headerRowBorderDxfId="404" tableBorderDxfId="405" totalsRowBorderDxfId="403">
  <autoFilter ref="E25:I31" xr:uid="{00000000-0009-0000-0100-000094000000}"/>
  <sortState xmlns:xlrd2="http://schemas.microsoft.com/office/spreadsheetml/2017/richdata2" ref="E26:I31">
    <sortCondition ref="E25:E31"/>
  </sortState>
  <tableColumns count="5">
    <tableColumn id="1" xr3:uid="{00000000-0010-0000-8C00-000001000000}" name="Nº Venda" dataDxfId="402"/>
    <tableColumn id="2" xr3:uid="{00000000-0010-0000-8C00-000002000000}" name="Cliente" dataDxfId="401"/>
    <tableColumn id="3" xr3:uid="{00000000-0010-0000-8C00-000003000000}" name="Forma de Pgto" dataDxfId="400" dataCellStyle="Moeda"/>
    <tableColumn id="4" xr3:uid="{00000000-0010-0000-8C00-000004000000}" name="Valor Venda" dataDxfId="399" dataCellStyle="Porcentagem"/>
    <tableColumn id="5" xr3:uid="{00000000-0010-0000-8C00-000005000000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8D000000}" name="os_entr_dia24" displayName="os_entr_dia24" ref="K14:M31" totalsRowShown="0" headerRowDxfId="397" dataDxfId="396" headerRowBorderDxfId="394" tableBorderDxfId="395" totalsRowBorderDxfId="393">
  <autoFilter ref="K14:M31" xr:uid="{00000000-0009-0000-0100-000095000000}"/>
  <tableColumns count="3">
    <tableColumn id="1" xr3:uid="{00000000-0010-0000-8D00-000001000000}" name="OS" dataDxfId="392"/>
    <tableColumn id="2" xr3:uid="{00000000-0010-0000-8D00-000002000000}" name="Vendedor" dataDxfId="391"/>
    <tableColumn id="3" xr3:uid="{00000000-0010-0000-8D00-000003000000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8E000000}" name="rec_carn24" displayName="rec_carn24" ref="E34:I41" totalsRowShown="0" headerRowDxfId="389" dataDxfId="388" headerRowBorderDxfId="386" tableBorderDxfId="387" totalsRowBorderDxfId="385">
  <autoFilter ref="E34:I41" xr:uid="{00000000-0009-0000-0100-000096000000}"/>
  <sortState xmlns:xlrd2="http://schemas.microsoft.com/office/spreadsheetml/2017/richdata2" ref="E35:I40">
    <sortCondition ref="E25:E31"/>
  </sortState>
  <tableColumns count="5">
    <tableColumn id="1" xr3:uid="{00000000-0010-0000-8E00-000001000000}" name="OS" dataDxfId="384"/>
    <tableColumn id="2" xr3:uid="{00000000-0010-0000-8E00-000002000000}" name="Cliente" dataDxfId="383"/>
    <tableColumn id="3" xr3:uid="{00000000-0010-0000-8E00-000003000000}" name="Forma de Pgto" dataDxfId="382" dataCellStyle="Moeda"/>
    <tableColumn id="4" xr3:uid="{00000000-0010-0000-8E00-000004000000}" name="Valor Parcela" dataDxfId="381" dataCellStyle="Porcentagem"/>
    <tableColumn id="5" xr3:uid="{00000000-0010-0000-8E00-000005000000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8F000000}" name="entr_carn24" displayName="entr_carn24" ref="K34:M41" totalsRowShown="0" headerRowDxfId="379" headerRowBorderDxfId="377" tableBorderDxfId="378" totalsRowBorderDxfId="376">
  <autoFilter ref="K34:M41" xr:uid="{00000000-0009-0000-0100-000097000000}"/>
  <tableColumns count="3">
    <tableColumn id="1" xr3:uid="{00000000-0010-0000-8F00-000001000000}" name="OS" dataDxfId="375"/>
    <tableColumn id="2" xr3:uid="{00000000-0010-0000-8F00-000002000000}" name="Parcelas" dataDxfId="374"/>
    <tableColumn id="3" xr3:uid="{00000000-0010-0000-8F00-000003000000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0000000}" name="vend25" displayName="vend25" ref="E5:I22" totalsRowShown="0" headerRowDxfId="372" dataDxfId="371" headerRowBorderDxfId="369" tableBorderDxfId="370" totalsRowBorderDxfId="368">
  <autoFilter ref="E5:I22" xr:uid="{00000000-0009-0000-0100-00009E000000}"/>
  <sortState xmlns:xlrd2="http://schemas.microsoft.com/office/spreadsheetml/2017/richdata2" ref="E6:I22">
    <sortCondition ref="E5:E22"/>
  </sortState>
  <tableColumns count="5">
    <tableColumn id="1" xr3:uid="{00000000-0010-0000-9000-000001000000}" name="Nº Venda" dataDxfId="367" dataCellStyle="Moeda"/>
    <tableColumn id="5" xr3:uid="{00000000-0010-0000-9000-000005000000}" name="Cliente" dataDxfId="366" dataCellStyle="Moeda"/>
    <tableColumn id="2" xr3:uid="{00000000-0010-0000-9000-000002000000}" name="Forma de Pgto" dataDxfId="365" dataCellStyle="Moeda"/>
    <tableColumn id="3" xr3:uid="{00000000-0010-0000-9000-000003000000}" name="Valor Venda" dataDxfId="364" dataCellStyle="Porcentagem"/>
    <tableColumn id="4" xr3:uid="{00000000-0010-0000-9000-000004000000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1000000}" name="desp25" displayName="desp25" ref="K5:M11" totalsRowShown="0" headerRowDxfId="362" dataDxfId="361" headerRowBorderDxfId="359" tableBorderDxfId="360" totalsRowBorderDxfId="358">
  <autoFilter ref="K5:M11" xr:uid="{00000000-0009-0000-0100-00009F000000}"/>
  <tableColumns count="3">
    <tableColumn id="1" xr3:uid="{00000000-0010-0000-9100-000001000000}" name="Descrição" dataDxfId="357"/>
    <tableColumn id="2" xr3:uid="{00000000-0010-0000-9100-000002000000}" name="Tipo de Pagto" dataDxfId="356"/>
    <tableColumn id="3" xr3:uid="{00000000-0010-0000-9100-000003000000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2000000}" name="rest_entr25" displayName="rest_entr25" ref="E25:I31" totalsRowShown="0" headerRowDxfId="354" dataDxfId="353" headerRowBorderDxfId="351" tableBorderDxfId="352" totalsRowBorderDxfId="350">
  <autoFilter ref="E25:I31" xr:uid="{00000000-0009-0000-0100-0000A0000000}"/>
  <sortState xmlns:xlrd2="http://schemas.microsoft.com/office/spreadsheetml/2017/richdata2" ref="E26:I31">
    <sortCondition ref="E25:E31"/>
  </sortState>
  <tableColumns count="5">
    <tableColumn id="1" xr3:uid="{00000000-0010-0000-9200-000001000000}" name="Nº Venda" dataDxfId="349"/>
    <tableColumn id="2" xr3:uid="{00000000-0010-0000-9200-000002000000}" name="Cliente" dataDxfId="348"/>
    <tableColumn id="3" xr3:uid="{00000000-0010-0000-9200-000003000000}" name="Forma de Pgto" dataDxfId="347" dataCellStyle="Moeda"/>
    <tableColumn id="4" xr3:uid="{00000000-0010-0000-9200-000004000000}" name="Valor Venda" dataDxfId="346" dataCellStyle="Porcentagem"/>
    <tableColumn id="5" xr3:uid="{00000000-0010-0000-9200-000005000000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93000000}" name="os_entr_dia25" displayName="os_entr_dia25" ref="K14:M31" totalsRowShown="0" headerRowDxfId="344" dataDxfId="343" headerRowBorderDxfId="341" tableBorderDxfId="342" totalsRowBorderDxfId="340">
  <autoFilter ref="K14:M31" xr:uid="{00000000-0009-0000-0100-0000A1000000}"/>
  <tableColumns count="3">
    <tableColumn id="1" xr3:uid="{00000000-0010-0000-9300-000001000000}" name="OS" dataDxfId="339"/>
    <tableColumn id="2" xr3:uid="{00000000-0010-0000-9300-000002000000}" name="Vendedor" dataDxfId="338"/>
    <tableColumn id="3" xr3:uid="{00000000-0010-0000-9300-000003000000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94000000}" name="rec_carn25" displayName="rec_carn25" ref="E34:I41" totalsRowShown="0" headerRowDxfId="336" dataDxfId="335" headerRowBorderDxfId="333" tableBorderDxfId="334" totalsRowBorderDxfId="332">
  <autoFilter ref="E34:I41" xr:uid="{00000000-0009-0000-0100-0000A2000000}"/>
  <sortState xmlns:xlrd2="http://schemas.microsoft.com/office/spreadsheetml/2017/richdata2" ref="E35:I40">
    <sortCondition ref="E25:E31"/>
  </sortState>
  <tableColumns count="5">
    <tableColumn id="1" xr3:uid="{00000000-0010-0000-9400-000001000000}" name="OS" dataDxfId="331"/>
    <tableColumn id="2" xr3:uid="{00000000-0010-0000-9400-000002000000}" name="Cliente" dataDxfId="330"/>
    <tableColumn id="3" xr3:uid="{00000000-0010-0000-9400-000003000000}" name="Forma de Pgto" dataDxfId="329" dataCellStyle="Moeda"/>
    <tableColumn id="4" xr3:uid="{00000000-0010-0000-9400-000004000000}" name="Valor Parcela" dataDxfId="328" dataCellStyle="Porcentagem"/>
    <tableColumn id="5" xr3:uid="{00000000-0010-0000-9400-000005000000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95000000}" name="entr_carn25" displayName="entr_carn25" ref="K34:M41" totalsRowShown="0" headerRowDxfId="326" headerRowBorderDxfId="324" tableBorderDxfId="325" totalsRowBorderDxfId="323">
  <autoFilter ref="K34:M41" xr:uid="{00000000-0009-0000-0100-0000A3000000}"/>
  <tableColumns count="3">
    <tableColumn id="1" xr3:uid="{00000000-0010-0000-9500-000001000000}" name="OS" dataDxfId="322"/>
    <tableColumn id="2" xr3:uid="{00000000-0010-0000-9500-000002000000}" name="Parcelas" dataDxfId="321"/>
    <tableColumn id="3" xr3:uid="{00000000-0010-0000-9500-000003000000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6000000}" name="vend26" displayName="vend26" ref="E5:I22" totalsRowShown="0" headerRowDxfId="319" dataDxfId="318" headerRowBorderDxfId="316" tableBorderDxfId="317" totalsRowBorderDxfId="315">
  <autoFilter ref="E5:I22" xr:uid="{00000000-0009-0000-0100-000098000000}"/>
  <sortState xmlns:xlrd2="http://schemas.microsoft.com/office/spreadsheetml/2017/richdata2" ref="E6:I22">
    <sortCondition ref="E5:E22"/>
  </sortState>
  <tableColumns count="5">
    <tableColumn id="1" xr3:uid="{00000000-0010-0000-9600-000001000000}" name="Nº Venda" dataDxfId="314" dataCellStyle="Moeda"/>
    <tableColumn id="5" xr3:uid="{00000000-0010-0000-9600-000005000000}" name="Cliente" dataDxfId="313" dataCellStyle="Moeda"/>
    <tableColumn id="2" xr3:uid="{00000000-0010-0000-9600-000002000000}" name="Forma de Pgto" dataDxfId="312" dataCellStyle="Moeda"/>
    <tableColumn id="3" xr3:uid="{00000000-0010-0000-9600-000003000000}" name="Valor Venda" dataDxfId="311" dataCellStyle="Porcentagem"/>
    <tableColumn id="4" xr3:uid="{00000000-0010-0000-9600-000004000000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7000000}" name="desp26" displayName="desp26" ref="K5:M11" totalsRowShown="0" headerRowDxfId="309" dataDxfId="308" headerRowBorderDxfId="306" tableBorderDxfId="307" totalsRowBorderDxfId="305">
  <autoFilter ref="K5:M11" xr:uid="{00000000-0009-0000-0100-000099000000}"/>
  <tableColumns count="3">
    <tableColumn id="1" xr3:uid="{00000000-0010-0000-9700-000001000000}" name="Descrição" dataDxfId="304"/>
    <tableColumn id="2" xr3:uid="{00000000-0010-0000-9700-000002000000}" name="Tipo de Pagto" dataDxfId="303"/>
    <tableColumn id="3" xr3:uid="{00000000-0010-0000-9700-000003000000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8000000}" name="rest_entr26" displayName="rest_entr26" ref="E25:I31" totalsRowShown="0" headerRowDxfId="301" dataDxfId="300" headerRowBorderDxfId="298" tableBorderDxfId="299" totalsRowBorderDxfId="297">
  <autoFilter ref="E25:I31" xr:uid="{00000000-0009-0000-0100-00009A000000}"/>
  <sortState xmlns:xlrd2="http://schemas.microsoft.com/office/spreadsheetml/2017/richdata2" ref="E26:I31">
    <sortCondition ref="E25:E31"/>
  </sortState>
  <tableColumns count="5">
    <tableColumn id="1" xr3:uid="{00000000-0010-0000-9800-000001000000}" name="Nº Venda" dataDxfId="296"/>
    <tableColumn id="2" xr3:uid="{00000000-0010-0000-9800-000002000000}" name="Cliente" dataDxfId="295"/>
    <tableColumn id="3" xr3:uid="{00000000-0010-0000-9800-000003000000}" name="Forma de Pgto" dataDxfId="294" dataCellStyle="Moeda"/>
    <tableColumn id="4" xr3:uid="{00000000-0010-0000-9800-000004000000}" name="Valor Venda" dataDxfId="293" dataCellStyle="Porcentagem"/>
    <tableColumn id="5" xr3:uid="{00000000-0010-0000-9800-000005000000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9000000}" name="os_entr_dia26" displayName="os_entr_dia26" ref="K14:M31" totalsRowShown="0" headerRowDxfId="291" dataDxfId="290" headerRowBorderDxfId="288" tableBorderDxfId="289" totalsRowBorderDxfId="287">
  <autoFilter ref="K14:M31" xr:uid="{00000000-0009-0000-0100-00009B000000}"/>
  <sortState xmlns:xlrd2="http://schemas.microsoft.com/office/spreadsheetml/2017/richdata2" ref="K15:M31">
    <sortCondition ref="M14:M31"/>
  </sortState>
  <tableColumns count="3">
    <tableColumn id="1" xr3:uid="{00000000-0010-0000-9900-000001000000}" name="OS" dataDxfId="286"/>
    <tableColumn id="2" xr3:uid="{00000000-0010-0000-9900-000002000000}" name="Vendedor" dataDxfId="285"/>
    <tableColumn id="3" xr3:uid="{00000000-0010-0000-9900-000003000000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A000000}" name="rec_carn26" displayName="rec_carn26" ref="E34:I41" totalsRowShown="0" headerRowDxfId="283" dataDxfId="282" headerRowBorderDxfId="280" tableBorderDxfId="281" totalsRowBorderDxfId="279">
  <autoFilter ref="E34:I41" xr:uid="{00000000-0009-0000-0100-00009C000000}"/>
  <sortState xmlns:xlrd2="http://schemas.microsoft.com/office/spreadsheetml/2017/richdata2" ref="E35:I40">
    <sortCondition ref="E25:E31"/>
  </sortState>
  <tableColumns count="5">
    <tableColumn id="1" xr3:uid="{00000000-0010-0000-9A00-000001000000}" name="OS" dataDxfId="278"/>
    <tableColumn id="2" xr3:uid="{00000000-0010-0000-9A00-000002000000}" name="Cliente" dataDxfId="277"/>
    <tableColumn id="3" xr3:uid="{00000000-0010-0000-9A00-000003000000}" name="Forma de Pgto" dataDxfId="276" dataCellStyle="Moeda"/>
    <tableColumn id="4" xr3:uid="{00000000-0010-0000-9A00-000004000000}" name="Valor Parcela" dataDxfId="275" dataCellStyle="Porcentagem"/>
    <tableColumn id="5" xr3:uid="{00000000-0010-0000-9A00-000005000000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B000000}" name="entr_carn26" displayName="entr_carn26" ref="K34:M41" totalsRowShown="0" headerRowDxfId="273" headerRowBorderDxfId="271" tableBorderDxfId="272" totalsRowBorderDxfId="270">
  <autoFilter ref="K34:M41" xr:uid="{00000000-0009-0000-0100-00009D000000}"/>
  <tableColumns count="3">
    <tableColumn id="1" xr3:uid="{00000000-0010-0000-9B00-000001000000}" name="OS" dataDxfId="269"/>
    <tableColumn id="2" xr3:uid="{00000000-0010-0000-9B00-000002000000}" name="Parcelas" dataDxfId="268"/>
    <tableColumn id="3" xr3:uid="{00000000-0010-0000-9B00-000003000000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9C000000}" name="vend27" displayName="vend27" ref="E5:I22" totalsRowShown="0" headerRowDxfId="266" dataDxfId="265" headerRowBorderDxfId="263" tableBorderDxfId="264" totalsRowBorderDxfId="262">
  <autoFilter ref="E5:I22" xr:uid="{00000000-0009-0000-0100-0000AA000000}"/>
  <sortState xmlns:xlrd2="http://schemas.microsoft.com/office/spreadsheetml/2017/richdata2" ref="E6:I22">
    <sortCondition ref="E5:E22"/>
  </sortState>
  <tableColumns count="5">
    <tableColumn id="1" xr3:uid="{00000000-0010-0000-9C00-000001000000}" name="Nº Venda" dataDxfId="261" dataCellStyle="Moeda"/>
    <tableColumn id="5" xr3:uid="{00000000-0010-0000-9C00-000005000000}" name="Cliente" dataDxfId="260" dataCellStyle="Moeda"/>
    <tableColumn id="2" xr3:uid="{00000000-0010-0000-9C00-000002000000}" name="Forma de Pgto" dataDxfId="259" dataCellStyle="Moeda"/>
    <tableColumn id="3" xr3:uid="{00000000-0010-0000-9C00-000003000000}" name="Valor Venda" dataDxfId="258" dataCellStyle="Porcentagem"/>
    <tableColumn id="4" xr3:uid="{00000000-0010-0000-9C00-000004000000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9D000000}" name="desp27" displayName="desp27" ref="K5:M11" totalsRowShown="0" headerRowDxfId="256" dataDxfId="255" headerRowBorderDxfId="253" tableBorderDxfId="254" totalsRowBorderDxfId="252">
  <autoFilter ref="K5:M11" xr:uid="{00000000-0009-0000-0100-0000AB000000}"/>
  <tableColumns count="3">
    <tableColumn id="1" xr3:uid="{00000000-0010-0000-9D00-000001000000}" name="Descrição" dataDxfId="251"/>
    <tableColumn id="2" xr3:uid="{00000000-0010-0000-9D00-000002000000}" name="Tipo de Pagto" dataDxfId="250"/>
    <tableColumn id="3" xr3:uid="{00000000-0010-0000-9D00-000003000000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9E000000}" name="rest_entr27" displayName="rest_entr27" ref="E25:I31" totalsRowShown="0" headerRowDxfId="248" dataDxfId="247" headerRowBorderDxfId="245" tableBorderDxfId="246" totalsRowBorderDxfId="244">
  <autoFilter ref="E25:I31" xr:uid="{00000000-0009-0000-0100-0000AC000000}"/>
  <sortState xmlns:xlrd2="http://schemas.microsoft.com/office/spreadsheetml/2017/richdata2" ref="E26:I31">
    <sortCondition ref="E25:E31"/>
  </sortState>
  <tableColumns count="5">
    <tableColumn id="1" xr3:uid="{00000000-0010-0000-9E00-000001000000}" name="Nº Venda" dataDxfId="243"/>
    <tableColumn id="2" xr3:uid="{00000000-0010-0000-9E00-000002000000}" name="Cliente" dataDxfId="242"/>
    <tableColumn id="3" xr3:uid="{00000000-0010-0000-9E00-000003000000}" name="Forma de Pgto" dataDxfId="241" dataCellStyle="Moeda"/>
    <tableColumn id="4" xr3:uid="{00000000-0010-0000-9E00-000004000000}" name="Valor Venda" dataDxfId="240" dataCellStyle="Porcentagem"/>
    <tableColumn id="5" xr3:uid="{00000000-0010-0000-9E00-00000500000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9F000000}" name="os_entr_dia27" displayName="os_entr_dia27" ref="K14:M31" totalsRowShown="0" headerRowDxfId="238" dataDxfId="237" headerRowBorderDxfId="235" tableBorderDxfId="236" totalsRowBorderDxfId="234">
  <autoFilter ref="K14:M31" xr:uid="{00000000-0009-0000-0100-0000AD000000}"/>
  <tableColumns count="3">
    <tableColumn id="1" xr3:uid="{00000000-0010-0000-9F00-000001000000}" name="OS" dataDxfId="233"/>
    <tableColumn id="2" xr3:uid="{00000000-0010-0000-9F00-000002000000}" name="Vendedor" dataDxfId="232"/>
    <tableColumn id="3" xr3:uid="{00000000-0010-0000-9F00-000003000000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0000000}" name="rec_carn27" displayName="rec_carn27" ref="E34:I41" totalsRowShown="0" headerRowDxfId="230" dataDxfId="229" headerRowBorderDxfId="227" tableBorderDxfId="228" totalsRowBorderDxfId="226">
  <autoFilter ref="E34:I41" xr:uid="{00000000-0009-0000-0100-0000AE000000}"/>
  <sortState xmlns:xlrd2="http://schemas.microsoft.com/office/spreadsheetml/2017/richdata2" ref="E35:I40">
    <sortCondition ref="E25:E31"/>
  </sortState>
  <tableColumns count="5">
    <tableColumn id="1" xr3:uid="{00000000-0010-0000-A000-000001000000}" name="OS" dataDxfId="225"/>
    <tableColumn id="2" xr3:uid="{00000000-0010-0000-A000-000002000000}" name="Cliente" dataDxfId="224"/>
    <tableColumn id="3" xr3:uid="{00000000-0010-0000-A000-000003000000}" name="Forma de Pgto" dataDxfId="223" dataCellStyle="Moeda"/>
    <tableColumn id="4" xr3:uid="{00000000-0010-0000-A000-000004000000}" name="Valor Parcela" dataDxfId="222" dataCellStyle="Porcentagem"/>
    <tableColumn id="5" xr3:uid="{00000000-0010-0000-A000-000005000000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1000000}" name="entr_carn27" displayName="entr_carn27" ref="K34:M41" totalsRowShown="0" headerRowDxfId="220" headerRowBorderDxfId="218" tableBorderDxfId="219" totalsRowBorderDxfId="217">
  <autoFilter ref="K34:M41" xr:uid="{00000000-0009-0000-0100-0000AF000000}"/>
  <tableColumns count="3">
    <tableColumn id="1" xr3:uid="{00000000-0010-0000-A100-000001000000}" name="OS" dataDxfId="216"/>
    <tableColumn id="2" xr3:uid="{00000000-0010-0000-A100-000002000000}" name="Parcelas" dataDxfId="215"/>
    <tableColumn id="3" xr3:uid="{00000000-0010-0000-A100-000003000000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2000000}" name="vend28" displayName="vend28" ref="E5:I22" totalsRowShown="0" headerRowDxfId="213" dataDxfId="212" headerRowBorderDxfId="210" tableBorderDxfId="211" totalsRowBorderDxfId="209">
  <autoFilter ref="E5:I22" xr:uid="{00000000-0009-0000-0100-0000A4000000}"/>
  <sortState xmlns:xlrd2="http://schemas.microsoft.com/office/spreadsheetml/2017/richdata2" ref="E6:I22">
    <sortCondition ref="E5:E22"/>
  </sortState>
  <tableColumns count="5">
    <tableColumn id="1" xr3:uid="{00000000-0010-0000-A200-000001000000}" name="Nº Venda" dataDxfId="208" dataCellStyle="Moeda"/>
    <tableColumn id="5" xr3:uid="{00000000-0010-0000-A200-000005000000}" name="Cliente" dataDxfId="207" dataCellStyle="Moeda"/>
    <tableColumn id="2" xr3:uid="{00000000-0010-0000-A200-000002000000}" name="Forma de Pgto" dataDxfId="206" dataCellStyle="Moeda"/>
    <tableColumn id="3" xr3:uid="{00000000-0010-0000-A200-000003000000}" name="Valor Venda" dataDxfId="205" dataCellStyle="Porcentagem"/>
    <tableColumn id="4" xr3:uid="{00000000-0010-0000-A200-000004000000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3000000}" name="desp28" displayName="desp28" ref="K5:M11" totalsRowShown="0" headerRowDxfId="203" dataDxfId="202" headerRowBorderDxfId="200" tableBorderDxfId="201" totalsRowBorderDxfId="199">
  <autoFilter ref="K5:M11" xr:uid="{00000000-0009-0000-0100-0000A5000000}"/>
  <tableColumns count="3">
    <tableColumn id="1" xr3:uid="{00000000-0010-0000-A300-000001000000}" name="Descrição" dataDxfId="198"/>
    <tableColumn id="2" xr3:uid="{00000000-0010-0000-A300-000002000000}" name="Tipo de Pagto" dataDxfId="197"/>
    <tableColumn id="3" xr3:uid="{00000000-0010-0000-A300-000003000000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4000000}" name="rest_entr28" displayName="rest_entr28" ref="E25:I31" totalsRowShown="0" headerRowDxfId="195" dataDxfId="194" headerRowBorderDxfId="192" tableBorderDxfId="193" totalsRowBorderDxfId="191">
  <autoFilter ref="E25:I31" xr:uid="{00000000-0009-0000-0100-0000A6000000}"/>
  <sortState xmlns:xlrd2="http://schemas.microsoft.com/office/spreadsheetml/2017/richdata2" ref="E26:I31">
    <sortCondition ref="E25:E31"/>
  </sortState>
  <tableColumns count="5">
    <tableColumn id="1" xr3:uid="{00000000-0010-0000-A400-000001000000}" name="Nº Venda" dataDxfId="190"/>
    <tableColumn id="2" xr3:uid="{00000000-0010-0000-A400-000002000000}" name="Cliente" dataDxfId="189"/>
    <tableColumn id="3" xr3:uid="{00000000-0010-0000-A400-000003000000}" name="Forma de Pgto" dataDxfId="188" dataCellStyle="Moeda"/>
    <tableColumn id="4" xr3:uid="{00000000-0010-0000-A400-000004000000}" name="Valor Venda" dataDxfId="187" dataCellStyle="Porcentagem"/>
    <tableColumn id="5" xr3:uid="{00000000-0010-0000-A400-000005000000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5000000}" name="os_entr_dia28" displayName="os_entr_dia28" ref="K14:M31" totalsRowShown="0" headerRowDxfId="185" dataDxfId="184" headerRowBorderDxfId="182" tableBorderDxfId="183" totalsRowBorderDxfId="181">
  <autoFilter ref="K14:M31" xr:uid="{00000000-0009-0000-0100-0000A7000000}"/>
  <tableColumns count="3">
    <tableColumn id="1" xr3:uid="{00000000-0010-0000-A500-000001000000}" name="OS" dataDxfId="180"/>
    <tableColumn id="2" xr3:uid="{00000000-0010-0000-A500-000002000000}" name="Vendedor" dataDxfId="179"/>
    <tableColumn id="3" xr3:uid="{00000000-0010-0000-A500-00000300000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6000000}" name="rec_carn28" displayName="rec_carn28" ref="E34:I41" totalsRowShown="0" headerRowDxfId="177" dataDxfId="176" headerRowBorderDxfId="174" tableBorderDxfId="175" totalsRowBorderDxfId="173">
  <autoFilter ref="E34:I41" xr:uid="{00000000-0009-0000-0100-0000A8000000}"/>
  <sortState xmlns:xlrd2="http://schemas.microsoft.com/office/spreadsheetml/2017/richdata2" ref="E35:I40">
    <sortCondition ref="E25:E31"/>
  </sortState>
  <tableColumns count="5">
    <tableColumn id="1" xr3:uid="{00000000-0010-0000-A600-000001000000}" name="OS" dataDxfId="172"/>
    <tableColumn id="2" xr3:uid="{00000000-0010-0000-A600-000002000000}" name="Cliente" dataDxfId="171"/>
    <tableColumn id="3" xr3:uid="{00000000-0010-0000-A600-000003000000}" name="Forma de Pgto" dataDxfId="170" dataCellStyle="Moeda"/>
    <tableColumn id="4" xr3:uid="{00000000-0010-0000-A600-000004000000}" name="Valor Parcela" dataDxfId="169" dataCellStyle="Porcentagem"/>
    <tableColumn id="5" xr3:uid="{00000000-0010-0000-A600-000005000000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7000000}" name="entr_carn28" displayName="entr_carn28" ref="K34:M41" totalsRowShown="0" headerRowDxfId="167" headerRowBorderDxfId="165" tableBorderDxfId="166" totalsRowBorderDxfId="164">
  <autoFilter ref="K34:M41" xr:uid="{00000000-0009-0000-0100-0000A9000000}"/>
  <tableColumns count="3">
    <tableColumn id="1" xr3:uid="{00000000-0010-0000-A700-000001000000}" name="OS" dataDxfId="163"/>
    <tableColumn id="2" xr3:uid="{00000000-0010-0000-A700-000002000000}" name="Parcelas" dataDxfId="162"/>
    <tableColumn id="3" xr3:uid="{00000000-0010-0000-A700-000003000000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A8000000}" name="vend29" displayName="vend29" ref="E5:I22" totalsRowShown="0" headerRowDxfId="160" dataDxfId="159" headerRowBorderDxfId="157" tableBorderDxfId="158" totalsRowBorderDxfId="156">
  <autoFilter ref="E5:I22" xr:uid="{00000000-0009-0000-0100-00008C000000}"/>
  <sortState xmlns:xlrd2="http://schemas.microsoft.com/office/spreadsheetml/2017/richdata2" ref="E6:I22">
    <sortCondition ref="E5:E22"/>
  </sortState>
  <tableColumns count="5">
    <tableColumn id="1" xr3:uid="{00000000-0010-0000-A800-000001000000}" name="Nº Venda" dataDxfId="155" dataCellStyle="Moeda"/>
    <tableColumn id="5" xr3:uid="{00000000-0010-0000-A800-000005000000}" name="Cliente" dataDxfId="154" dataCellStyle="Moeda"/>
    <tableColumn id="2" xr3:uid="{00000000-0010-0000-A800-000002000000}" name="Forma de Pgto" dataDxfId="153" dataCellStyle="Moeda"/>
    <tableColumn id="3" xr3:uid="{00000000-0010-0000-A800-000003000000}" name="Valor Venda" dataDxfId="152" dataCellStyle="Porcentagem"/>
    <tableColumn id="4" xr3:uid="{00000000-0010-0000-A800-000004000000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A9000000}" name="desp29" displayName="desp29" ref="K5:M11" totalsRowShown="0" headerRowDxfId="150" dataDxfId="149" headerRowBorderDxfId="147" tableBorderDxfId="148" totalsRowBorderDxfId="146">
  <autoFilter ref="K5:M11" xr:uid="{00000000-0009-0000-0100-00008D000000}"/>
  <tableColumns count="3">
    <tableColumn id="1" xr3:uid="{00000000-0010-0000-A900-000001000000}" name="Descrição" dataDxfId="145"/>
    <tableColumn id="2" xr3:uid="{00000000-0010-0000-A900-000002000000}" name="Tipo de Pagto" dataDxfId="144"/>
    <tableColumn id="3" xr3:uid="{00000000-0010-0000-A900-000003000000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AA000000}" name="rest_entr29" displayName="rest_entr29" ref="E25:I31" totalsRowShown="0" headerRowDxfId="142" dataDxfId="141" headerRowBorderDxfId="139" tableBorderDxfId="140" totalsRowBorderDxfId="138">
  <autoFilter ref="E25:I31" xr:uid="{00000000-0009-0000-0100-00008E000000}"/>
  <sortState xmlns:xlrd2="http://schemas.microsoft.com/office/spreadsheetml/2017/richdata2" ref="E26:I31">
    <sortCondition ref="E25:E31"/>
  </sortState>
  <tableColumns count="5">
    <tableColumn id="1" xr3:uid="{00000000-0010-0000-AA00-000001000000}" name="Nº Venda" dataDxfId="137"/>
    <tableColumn id="2" xr3:uid="{00000000-0010-0000-AA00-000002000000}" name="Cliente" dataDxfId="136"/>
    <tableColumn id="3" xr3:uid="{00000000-0010-0000-AA00-000003000000}" name="Forma de Pgto" dataDxfId="135" dataCellStyle="Moeda"/>
    <tableColumn id="4" xr3:uid="{00000000-0010-0000-AA00-000004000000}" name="Valor Venda" dataDxfId="134" dataCellStyle="Porcentagem"/>
    <tableColumn id="5" xr3:uid="{00000000-0010-0000-AA00-000005000000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AB000000}" name="os_entr_dia29" displayName="os_entr_dia29" ref="K14:M31" totalsRowShown="0" headerRowDxfId="132" dataDxfId="131" headerRowBorderDxfId="129" tableBorderDxfId="130" totalsRowBorderDxfId="128">
  <autoFilter ref="K14:M31" xr:uid="{00000000-0009-0000-0100-00008F000000}"/>
  <tableColumns count="3">
    <tableColumn id="1" xr3:uid="{00000000-0010-0000-AB00-000001000000}" name="OS" dataDxfId="127"/>
    <tableColumn id="2" xr3:uid="{00000000-0010-0000-AB00-000002000000}" name="Vendedor" dataDxfId="126"/>
    <tableColumn id="3" xr3:uid="{00000000-0010-0000-AB00-000003000000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AC000000}" name="rec_carn29" displayName="rec_carn29" ref="E34:I41" totalsRowShown="0" headerRowDxfId="124" dataDxfId="123" headerRowBorderDxfId="121" tableBorderDxfId="122" totalsRowBorderDxfId="120">
  <autoFilter ref="E34:I41" xr:uid="{00000000-0009-0000-0100-000090000000}"/>
  <sortState xmlns:xlrd2="http://schemas.microsoft.com/office/spreadsheetml/2017/richdata2" ref="E35:I40">
    <sortCondition ref="E25:E31"/>
  </sortState>
  <tableColumns count="5">
    <tableColumn id="1" xr3:uid="{00000000-0010-0000-AC00-000001000000}" name="OS" dataDxfId="119"/>
    <tableColumn id="2" xr3:uid="{00000000-0010-0000-AC00-000002000000}" name="Cliente" dataDxfId="118"/>
    <tableColumn id="3" xr3:uid="{00000000-0010-0000-AC00-000003000000}" name="Forma de Pgto" dataDxfId="117" dataCellStyle="Moeda"/>
    <tableColumn id="4" xr3:uid="{00000000-0010-0000-AC00-000004000000}" name="Valor Parcela" dataDxfId="116" dataCellStyle="Porcentagem"/>
    <tableColumn id="5" xr3:uid="{00000000-0010-0000-AC00-000005000000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AD000000}" name="entr_carn29" displayName="entr_carn29" ref="K34:M41" totalsRowShown="0" headerRowDxfId="114" headerRowBorderDxfId="112" tableBorderDxfId="113" totalsRowBorderDxfId="111">
  <autoFilter ref="K34:M41" xr:uid="{00000000-0009-0000-0100-000091000000}"/>
  <tableColumns count="3">
    <tableColumn id="1" xr3:uid="{00000000-0010-0000-AD00-000001000000}" name="OS" dataDxfId="110"/>
    <tableColumn id="2" xr3:uid="{00000000-0010-0000-AD00-000002000000}" name="Parcelas" dataDxfId="109"/>
    <tableColumn id="3" xr3:uid="{00000000-0010-0000-AD00-000003000000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AE000000}" name="vend30" displayName="vend30" ref="E5:I22" totalsRowShown="0" headerRowDxfId="107" dataDxfId="106" headerRowBorderDxfId="104" tableBorderDxfId="105" totalsRowBorderDxfId="103">
  <autoFilter ref="E5:I22" xr:uid="{00000000-0009-0000-0100-0000B6000000}"/>
  <sortState xmlns:xlrd2="http://schemas.microsoft.com/office/spreadsheetml/2017/richdata2" ref="E6:I22">
    <sortCondition ref="E5:E22"/>
  </sortState>
  <tableColumns count="5">
    <tableColumn id="1" xr3:uid="{00000000-0010-0000-AE00-000001000000}" name="Nº Venda" dataDxfId="102" dataCellStyle="Moeda"/>
    <tableColumn id="5" xr3:uid="{00000000-0010-0000-AE00-000005000000}" name="Cliente" dataDxfId="101" dataCellStyle="Moeda"/>
    <tableColumn id="2" xr3:uid="{00000000-0010-0000-AE00-000002000000}" name="Forma de Pgto" dataDxfId="100" dataCellStyle="Moeda"/>
    <tableColumn id="3" xr3:uid="{00000000-0010-0000-AE00-000003000000}" name="Valor Venda" dataDxfId="99" dataCellStyle="Porcentagem"/>
    <tableColumn id="4" xr3:uid="{00000000-0010-0000-AE00-000004000000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AF000000}" name="desp30" displayName="desp30" ref="K5:M11" totalsRowShown="0" headerRowDxfId="97" dataDxfId="96" headerRowBorderDxfId="94" tableBorderDxfId="95" totalsRowBorderDxfId="93">
  <autoFilter ref="K5:M11" xr:uid="{00000000-0009-0000-0100-0000B7000000}"/>
  <tableColumns count="3">
    <tableColumn id="1" xr3:uid="{00000000-0010-0000-AF00-000001000000}" name="Descrição" dataDxfId="92"/>
    <tableColumn id="2" xr3:uid="{00000000-0010-0000-AF00-000002000000}" name="Tipo de Pagto" dataDxfId="91"/>
    <tableColumn id="3" xr3:uid="{00000000-0010-0000-AF00-000003000000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0000000}" name="rest_entr30" displayName="rest_entr30" ref="E25:I31" totalsRowShown="0" headerRowDxfId="89" dataDxfId="88" headerRowBorderDxfId="86" tableBorderDxfId="87" totalsRowBorderDxfId="85">
  <autoFilter ref="E25:I31" xr:uid="{00000000-0009-0000-0100-0000B8000000}"/>
  <sortState xmlns:xlrd2="http://schemas.microsoft.com/office/spreadsheetml/2017/richdata2" ref="E26:I31">
    <sortCondition ref="E25:E31"/>
  </sortState>
  <tableColumns count="5">
    <tableColumn id="1" xr3:uid="{00000000-0010-0000-B000-000001000000}" name="Nº Venda" dataDxfId="84"/>
    <tableColumn id="2" xr3:uid="{00000000-0010-0000-B000-000002000000}" name="Cliente" dataDxfId="83"/>
    <tableColumn id="3" xr3:uid="{00000000-0010-0000-B000-000003000000}" name="Forma de Pgto" dataDxfId="82" dataCellStyle="Moeda"/>
    <tableColumn id="4" xr3:uid="{00000000-0010-0000-B000-000004000000}" name="Valor Venda" dataDxfId="81" dataCellStyle="Porcentagem"/>
    <tableColumn id="5" xr3:uid="{00000000-0010-0000-B000-000005000000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1000000}" name="os_entr_dia30" displayName="os_entr_dia30" ref="K14:M31" totalsRowShown="0" headerRowDxfId="79" dataDxfId="78" headerRowBorderDxfId="76" tableBorderDxfId="77" totalsRowBorderDxfId="75">
  <autoFilter ref="K14:M31" xr:uid="{00000000-0009-0000-0100-0000B9000000}"/>
  <tableColumns count="3">
    <tableColumn id="1" xr3:uid="{00000000-0010-0000-B100-000001000000}" name="OS" dataDxfId="74"/>
    <tableColumn id="2" xr3:uid="{00000000-0010-0000-B100-000002000000}" name="Vendedor" dataDxfId="73"/>
    <tableColumn id="3" xr3:uid="{00000000-0010-0000-B100-000003000000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2000000}" name="rec_carn30" displayName="rec_carn30" ref="E34:I41" totalsRowShown="0" headerRowDxfId="71" dataDxfId="70" headerRowBorderDxfId="68" tableBorderDxfId="69" totalsRowBorderDxfId="67">
  <autoFilter ref="E34:I41" xr:uid="{00000000-0009-0000-0100-0000BA000000}"/>
  <sortState xmlns:xlrd2="http://schemas.microsoft.com/office/spreadsheetml/2017/richdata2" ref="E35:I40">
    <sortCondition ref="E25:E31"/>
  </sortState>
  <tableColumns count="5">
    <tableColumn id="1" xr3:uid="{00000000-0010-0000-B200-000001000000}" name="OS" dataDxfId="66"/>
    <tableColumn id="2" xr3:uid="{00000000-0010-0000-B200-000002000000}" name="Cliente" dataDxfId="65"/>
    <tableColumn id="3" xr3:uid="{00000000-0010-0000-B200-000003000000}" name="Forma de Pgto" dataDxfId="64" dataCellStyle="Moeda"/>
    <tableColumn id="4" xr3:uid="{00000000-0010-0000-B200-000004000000}" name="Valor Parcela" dataDxfId="63" dataCellStyle="Porcentagem"/>
    <tableColumn id="5" xr3:uid="{00000000-0010-0000-B200-000005000000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3000000}" name="entr_carn30" displayName="entr_carn30" ref="K34:M41" totalsRowShown="0" headerRowDxfId="61" headerRowBorderDxfId="59" tableBorderDxfId="60" totalsRowBorderDxfId="58">
  <autoFilter ref="K34:M41" xr:uid="{00000000-0009-0000-0100-0000BB000000}"/>
  <tableColumns count="3">
    <tableColumn id="1" xr3:uid="{00000000-0010-0000-B300-000001000000}" name="OS" dataDxfId="57"/>
    <tableColumn id="2" xr3:uid="{00000000-0010-0000-B300-000002000000}" name="Parcelas" dataDxfId="56"/>
    <tableColumn id="3" xr3:uid="{00000000-0010-0000-B300-000003000000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B4000000}" name="vend31" displayName="vend31" ref="E5:I22" totalsRowShown="0" headerRowDxfId="54" dataDxfId="53" headerRowBorderDxfId="51" tableBorderDxfId="52" totalsRowBorderDxfId="50">
  <autoFilter ref="E5:I22" xr:uid="{00000000-0009-0000-0100-0000B0000000}"/>
  <sortState xmlns:xlrd2="http://schemas.microsoft.com/office/spreadsheetml/2017/richdata2" ref="E6:I22">
    <sortCondition ref="E5:E22"/>
  </sortState>
  <tableColumns count="5">
    <tableColumn id="1" xr3:uid="{00000000-0010-0000-B400-000001000000}" name="Nº Venda" dataDxfId="49" dataCellStyle="Moeda"/>
    <tableColumn id="5" xr3:uid="{00000000-0010-0000-B400-000005000000}" name="Cliente" dataDxfId="48" dataCellStyle="Moeda"/>
    <tableColumn id="2" xr3:uid="{00000000-0010-0000-B400-000002000000}" name="Forma de Pgto" dataDxfId="47" dataCellStyle="Moeda"/>
    <tableColumn id="3" xr3:uid="{00000000-0010-0000-B400-000003000000}" name="Valor Venda" dataDxfId="46" dataCellStyle="Porcentagem"/>
    <tableColumn id="4" xr3:uid="{00000000-0010-0000-B400-000004000000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5000000}" name="desp31" displayName="desp31" ref="K5:M11" totalsRowShown="0" headerRowDxfId="44" dataDxfId="43" headerRowBorderDxfId="41" tableBorderDxfId="42" totalsRowBorderDxfId="40">
  <autoFilter ref="K5:M11" xr:uid="{00000000-0009-0000-0100-0000B1000000}"/>
  <tableColumns count="3">
    <tableColumn id="1" xr3:uid="{00000000-0010-0000-B500-000001000000}" name="Descrição" dataDxfId="39"/>
    <tableColumn id="2" xr3:uid="{00000000-0010-0000-B500-000002000000}" name="Tipo de Pagto" dataDxfId="38"/>
    <tableColumn id="3" xr3:uid="{00000000-0010-0000-B500-000003000000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6000000}" name="rest_entr31" displayName="rest_entr31" ref="E25:I31" totalsRowShown="0" headerRowDxfId="36" dataDxfId="35" headerRowBorderDxfId="33" tableBorderDxfId="34" totalsRowBorderDxfId="32">
  <autoFilter ref="E25:I31" xr:uid="{00000000-0009-0000-0100-0000B2000000}"/>
  <sortState xmlns:xlrd2="http://schemas.microsoft.com/office/spreadsheetml/2017/richdata2" ref="E26:I31">
    <sortCondition ref="E25:E31"/>
  </sortState>
  <tableColumns count="5">
    <tableColumn id="1" xr3:uid="{00000000-0010-0000-B600-000001000000}" name="Nº Venda" dataDxfId="31"/>
    <tableColumn id="2" xr3:uid="{00000000-0010-0000-B600-000002000000}" name="Cliente" dataDxfId="30"/>
    <tableColumn id="3" xr3:uid="{00000000-0010-0000-B600-000003000000}" name="Forma de Pgto" dataDxfId="29" dataCellStyle="Moeda"/>
    <tableColumn id="4" xr3:uid="{00000000-0010-0000-B600-000004000000}" name="Valor Venda" dataDxfId="28" dataCellStyle="Porcentagem"/>
    <tableColumn id="5" xr3:uid="{00000000-0010-0000-B600-000005000000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7000000}" name="os_entr_dia31" displayName="os_entr_dia31" ref="K14:M31" totalsRowShown="0" headerRowDxfId="26" dataDxfId="25" headerRowBorderDxfId="23" tableBorderDxfId="24" totalsRowBorderDxfId="22">
  <autoFilter ref="K14:M31" xr:uid="{00000000-0009-0000-0100-0000B3000000}"/>
  <tableColumns count="3">
    <tableColumn id="1" xr3:uid="{00000000-0010-0000-B700-000001000000}" name="OS" dataDxfId="21"/>
    <tableColumn id="2" xr3:uid="{00000000-0010-0000-B700-000002000000}" name="Vendedor" dataDxfId="20"/>
    <tableColumn id="3" xr3:uid="{00000000-0010-0000-B700-000003000000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8000000}" name="rec_carn31" displayName="rec_carn31" ref="E34:I41" totalsRowShown="0" headerRowDxfId="18" dataDxfId="17" headerRowBorderDxfId="15" tableBorderDxfId="16" totalsRowBorderDxfId="14">
  <autoFilter ref="E34:I41" xr:uid="{00000000-0009-0000-0100-0000B4000000}"/>
  <sortState xmlns:xlrd2="http://schemas.microsoft.com/office/spreadsheetml/2017/richdata2" ref="E35:I40">
    <sortCondition ref="E25:E31"/>
  </sortState>
  <tableColumns count="5">
    <tableColumn id="1" xr3:uid="{00000000-0010-0000-B800-000001000000}" name="OS" dataDxfId="13"/>
    <tableColumn id="2" xr3:uid="{00000000-0010-0000-B800-000002000000}" name="Cliente" dataDxfId="12"/>
    <tableColumn id="3" xr3:uid="{00000000-0010-0000-B800-000003000000}" name="Forma de Pgto" dataDxfId="11" dataCellStyle="Moeda"/>
    <tableColumn id="4" xr3:uid="{00000000-0010-0000-B800-000004000000}" name="Valor Parcela" dataDxfId="10" dataCellStyle="Porcentagem"/>
    <tableColumn id="5" xr3:uid="{00000000-0010-0000-B800-000005000000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9000000}" name="entr_carn31" displayName="entr_carn31" ref="K34:M41" totalsRowShown="0" headerRowDxfId="8" headerRowBorderDxfId="6" tableBorderDxfId="7" totalsRowBorderDxfId="5">
  <autoFilter ref="K34:M41" xr:uid="{00000000-0009-0000-0100-0000B5000000}"/>
  <tableColumns count="3">
    <tableColumn id="1" xr3:uid="{00000000-0010-0000-B900-000001000000}" name="OS" dataDxfId="4"/>
    <tableColumn id="2" xr3:uid="{00000000-0010-0000-B900-000002000000}" name="Parcelas" dataDxfId="3"/>
    <tableColumn id="3" xr3:uid="{00000000-0010-0000-B900-000003000000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BA000000}" name="Tabela2" displayName="Tabela2" ref="A1:B9" totalsRowShown="0" headerRowDxfId="1">
  <autoFilter ref="A1:B9" xr:uid="{00000000-0009-0000-0100-000001000000}"/>
  <tableColumns count="2">
    <tableColumn id="1" xr3:uid="{00000000-0010-0000-BA00-000001000000}" name="Tipo Pagto"/>
    <tableColumn id="2" xr3:uid="{00000000-0010-0000-BA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Tabela188" displayName="Tabela188" ref="E1:E79" totalsRowShown="0" headerRowDxfId="0">
  <autoFilter ref="E1:E79" xr:uid="{00000000-0009-0000-0100-0000BC000000}"/>
  <tableColumns count="1">
    <tableColumn id="1" xr3:uid="{00000000-0010-0000-BB00-000001000000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8"/>
  <sheetViews>
    <sheetView workbookViewId="0">
      <selection activeCell="B21" sqref="B21"/>
    </sheetView>
  </sheetViews>
  <sheetFormatPr defaultColWidth="21.28515625" defaultRowHeight="12.75"/>
  <cols>
    <col min="2" max="2" width="22.7109375" customWidth="1"/>
  </cols>
  <sheetData>
    <row r="2" spans="1:2" ht="15">
      <c r="A2" s="19" t="s">
        <v>0</v>
      </c>
      <c r="B2" s="20">
        <v>0</v>
      </c>
    </row>
    <row r="3" spans="1:2" ht="1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28834.240000000002</v>
      </c>
    </row>
    <row r="4" spans="1:2" ht="1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19456.900000000001</v>
      </c>
    </row>
    <row r="5" spans="1:2" ht="1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402.89</v>
      </c>
    </row>
    <row r="6" spans="1:2" ht="15.75">
      <c r="A6" s="28" t="s">
        <v>4</v>
      </c>
      <c r="B6" s="29">
        <f>SUM(B4:B5)</f>
        <v>19859.79</v>
      </c>
    </row>
    <row r="7" spans="1:2" ht="15">
      <c r="A7" s="2"/>
      <c r="B7" s="2"/>
    </row>
    <row r="8" spans="1:2" ht="15">
      <c r="A8" s="70" t="s">
        <v>5</v>
      </c>
      <c r="B8" s="70"/>
    </row>
    <row r="9" spans="1:2" ht="1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3714.66</v>
      </c>
    </row>
    <row r="10" spans="1:2" ht="1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935</v>
      </c>
    </row>
    <row r="11" spans="1:2" ht="1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5945.04</v>
      </c>
    </row>
    <row r="12" spans="1:2" ht="1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7444.2</v>
      </c>
    </row>
    <row r="13" spans="1:2" ht="1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1418</v>
      </c>
    </row>
    <row r="14" spans="1:2" ht="15.75">
      <c r="A14" s="28" t="s">
        <v>11</v>
      </c>
      <c r="B14" s="32">
        <f>SUM(B9:B13)</f>
        <v>19456.900000000001</v>
      </c>
    </row>
    <row r="15" spans="1:2" ht="15">
      <c r="A15" s="2"/>
      <c r="B15" s="2"/>
    </row>
    <row r="16" spans="1:2" ht="15">
      <c r="A16" s="70" t="s">
        <v>12</v>
      </c>
      <c r="B16" s="70"/>
    </row>
    <row r="17" spans="1:2" ht="1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920</v>
      </c>
    </row>
    <row r="18" spans="1:2" ht="15.75">
      <c r="A18" s="28" t="s">
        <v>11</v>
      </c>
      <c r="B18" s="32">
        <f>SUM(B17:B17)</f>
        <v>920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41"/>
  <sheetViews>
    <sheetView showGridLines="0" topLeftCell="I1" zoomScale="80" zoomScaleNormal="80" workbookViewId="0">
      <selection activeCell="E26" sqref="E26:J2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57031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v>45047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54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54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54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>
      <c r="B9" s="2"/>
      <c r="C9" s="2"/>
      <c r="D9" s="2"/>
      <c r="E9" s="18"/>
      <c r="F9" s="25"/>
      <c r="G9" s="54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54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54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54"/>
      <c r="H12" s="8"/>
      <c r="I12" s="8"/>
      <c r="J12" s="2"/>
      <c r="R12" s="1">
        <f>IF(vend1[[#This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IF(vend1[[#This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55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55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55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6" t="s">
        <v>23</v>
      </c>
      <c r="L34" s="6" t="s">
        <v>31</v>
      </c>
      <c r="M34" s="6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9"/>
    </row>
    <row r="36" spans="2:18" ht="15.75">
      <c r="E36" s="18"/>
      <c r="F36" s="25"/>
      <c r="G36" s="26"/>
      <c r="H36" s="8"/>
      <c r="I36" s="8"/>
      <c r="K36" s="25"/>
      <c r="L36" s="42"/>
      <c r="M36" s="9"/>
    </row>
    <row r="37" spans="2:18" ht="15.75">
      <c r="E37" s="18"/>
      <c r="F37" s="25"/>
      <c r="G37" s="26"/>
      <c r="H37" s="8"/>
      <c r="I37" s="8"/>
      <c r="K37" s="25"/>
      <c r="L37" s="42"/>
      <c r="M37" s="9"/>
    </row>
    <row r="38" spans="2:18" ht="15.75">
      <c r="E38" s="18"/>
      <c r="F38" s="25"/>
      <c r="G38" s="26"/>
      <c r="H38" s="8"/>
      <c r="I38" s="8"/>
      <c r="K38" s="25"/>
      <c r="L38" s="42"/>
      <c r="M38" s="9"/>
    </row>
    <row r="39" spans="2:18" ht="15.75">
      <c r="E39" s="18"/>
      <c r="F39" s="39"/>
      <c r="G39" s="26"/>
      <c r="H39" s="8"/>
      <c r="I39" s="8"/>
      <c r="K39" s="25"/>
      <c r="L39" s="42"/>
      <c r="M39" s="9"/>
    </row>
    <row r="40" spans="2:18" ht="15.75">
      <c r="E40" s="35"/>
      <c r="F40" s="36"/>
      <c r="G40" s="37"/>
      <c r="H40" s="17"/>
      <c r="I40" s="8"/>
      <c r="K40" s="36"/>
      <c r="L40" s="43"/>
      <c r="M40" s="46"/>
      <c r="Q40" s="1" t="s">
        <v>33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100-000000000000}">
      <formula1>"Sim, Não"</formula1>
    </dataValidation>
    <dataValidation type="list" allowBlank="1" showInputMessage="1" showErrorMessage="1" sqref="L35:L41" xr:uid="{00000000-0002-0000-01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1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1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1"/>
  <sheetViews>
    <sheetView showGridLines="0" topLeftCell="F17" zoomScale="80" zoomScaleNormal="80" workbookViewId="0">
      <selection activeCell="K15" sqref="K15:M1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'01'!B1+1</f>
        <v>45048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55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55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IF(vend2[[#This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200-000000000000}">
      <formula1>"1,2,3,4,5,6,7,8,9,10"</formula1>
    </dataValidation>
    <dataValidation type="list" allowBlank="1" showInputMessage="1" showErrorMessage="1" sqref="M15:M31" xr:uid="{00000000-0002-0000-02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2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2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topLeftCell="G20" zoomScale="80" zoomScaleNormal="80" workbookViewId="0">
      <selection activeCell="K15" sqref="K15:M1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'02'!B1+1</f>
        <v>45049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55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55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IF(vend3[[#This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55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55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55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55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56"/>
      <c r="G30" s="55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300-000000000000}">
      <formula1>"Sim, Não"</formula1>
    </dataValidation>
    <dataValidation type="list" allowBlank="1" showInputMessage="1" showErrorMessage="1" sqref="L35:L41" xr:uid="{00000000-0002-0000-03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3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3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1"/>
  <sheetViews>
    <sheetView showGridLines="0" topLeftCell="F1" zoomScale="80" zoomScaleNormal="80" workbookViewId="0">
      <selection activeCell="K6" sqref="K6:M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'03'!B1+1</f>
        <v>45050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>
        <v>119</v>
      </c>
      <c r="F6" s="25"/>
      <c r="G6" s="26" t="s">
        <v>34</v>
      </c>
      <c r="H6" s="8">
        <v>260</v>
      </c>
      <c r="I6" s="8"/>
      <c r="J6" s="2"/>
      <c r="K6" s="25" t="s">
        <v>35</v>
      </c>
      <c r="L6" s="9" t="s">
        <v>7</v>
      </c>
      <c r="M6" s="16">
        <v>18.8</v>
      </c>
      <c r="R6" s="1">
        <f>IF(vend4[[#This Row],[Nº Venda]]&gt;1,1,0)</f>
        <v>1</v>
      </c>
    </row>
    <row r="7" spans="2:18" ht="15.75">
      <c r="B7" s="23" t="s">
        <v>3</v>
      </c>
      <c r="C7" s="24">
        <f>SUM(M6:M11)</f>
        <v>18.8</v>
      </c>
      <c r="D7" s="2"/>
      <c r="E7" s="18">
        <v>120</v>
      </c>
      <c r="F7" s="25" t="s">
        <v>36</v>
      </c>
      <c r="G7" s="26" t="s">
        <v>34</v>
      </c>
      <c r="H7" s="8">
        <v>450</v>
      </c>
      <c r="I7" s="8"/>
      <c r="J7" s="2"/>
      <c r="K7" s="25"/>
      <c r="L7" s="9"/>
      <c r="M7" s="16"/>
      <c r="R7" s="1">
        <f>IF(vend4[[#This Row],[Nº Venda]]&gt;1,1,0)</f>
        <v>1</v>
      </c>
    </row>
    <row r="8" spans="2:18" ht="15.75">
      <c r="B8" s="28" t="s">
        <v>21</v>
      </c>
      <c r="C8" s="29">
        <f>SUM(C6:C7)</f>
        <v>18.8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IF(vend4[[#This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IF(vend4[[#This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55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L35:L41" xr:uid="{00000000-0002-0000-0400-000000000000}">
      <formula1>"1,2,3,4,5,6,7,8,9,10"</formula1>
    </dataValidation>
    <dataValidation type="list" allowBlank="1" showInputMessage="1" showErrorMessage="1" sqref="M15:M31" xr:uid="{00000000-0002-0000-04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4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400-000003000000}">
          <x14:formula1>
            <xm:f>base!$A$2:$A$9</xm:f>
          </x14:formula1>
          <xm:sqref>G8:G22</xm:sqref>
        </x14:dataValidation>
        <x14:dataValidation type="list" allowBlank="1" showInputMessage="1" showErrorMessage="1" xr:uid="{00000000-0002-0000-04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R41"/>
  <sheetViews>
    <sheetView showGridLines="0" topLeftCell="C2" zoomScale="80" zoomScaleNormal="80" workbookViewId="0">
      <selection activeCell="K15" sqref="K15:M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'04'!B1+1</f>
        <v>45051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55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55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0</v>
      </c>
      <c r="R11" s="1">
        <f>IF(vend5[[#This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IF(vend5[[#This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55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55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55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500-000000000000}">
      <formula1>"Sim, Não"</formula1>
    </dataValidation>
    <dataValidation type="list" allowBlank="1" showInputMessage="1" showErrorMessage="1" sqref="L35:L41" xr:uid="{00000000-0002-0000-05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5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5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41"/>
  <sheetViews>
    <sheetView showGridLines="0" topLeftCell="D2" zoomScale="80" zoomScaleNormal="80" workbookViewId="0">
      <selection activeCell="L10" sqref="L10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'05'!B1+1</f>
        <v>45052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1190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390</v>
      </c>
      <c r="D6" s="2"/>
      <c r="E6" s="18">
        <v>121</v>
      </c>
      <c r="F6" s="62" t="s">
        <v>37</v>
      </c>
      <c r="G6" s="63" t="s">
        <v>8</v>
      </c>
      <c r="H6" s="64">
        <v>260</v>
      </c>
      <c r="I6" s="64">
        <v>145</v>
      </c>
      <c r="J6" s="2"/>
      <c r="K6" s="25" t="s">
        <v>38</v>
      </c>
      <c r="L6" s="9" t="s">
        <v>10</v>
      </c>
      <c r="M6" s="16">
        <v>20</v>
      </c>
      <c r="R6" s="1">
        <f>IF(vend[[#This Row],[Nº Venda]]&gt;1,1,0)</f>
        <v>1</v>
      </c>
    </row>
    <row r="7" spans="2:18" ht="15.75">
      <c r="B7" s="23" t="s">
        <v>3</v>
      </c>
      <c r="C7" s="24">
        <f>SUM(M6:M11)</f>
        <v>20</v>
      </c>
      <c r="D7" s="2"/>
      <c r="E7" s="65">
        <v>122</v>
      </c>
      <c r="F7" s="66" t="s">
        <v>39</v>
      </c>
      <c r="G7" s="66" t="s">
        <v>8</v>
      </c>
      <c r="H7" s="67">
        <v>230</v>
      </c>
      <c r="I7" s="67">
        <v>145</v>
      </c>
      <c r="J7" s="2"/>
      <c r="K7" s="25"/>
      <c r="L7" s="9"/>
      <c r="M7" s="16"/>
      <c r="R7" s="1">
        <f>IF(vend[[#This Row],[Nº Venda]]&gt;1,1,0)</f>
        <v>1</v>
      </c>
    </row>
    <row r="8" spans="2:18" ht="15.75">
      <c r="B8" s="28" t="s">
        <v>21</v>
      </c>
      <c r="C8" s="29">
        <f>SUM(C6:C7)</f>
        <v>410</v>
      </c>
      <c r="D8" s="2"/>
      <c r="E8" s="18">
        <v>123</v>
      </c>
      <c r="F8" s="62" t="s">
        <v>40</v>
      </c>
      <c r="G8" s="63" t="s">
        <v>8</v>
      </c>
      <c r="H8" s="64">
        <v>350</v>
      </c>
      <c r="I8" s="64">
        <v>50</v>
      </c>
      <c r="J8" s="2"/>
      <c r="K8" s="25"/>
      <c r="L8" s="9"/>
      <c r="M8" s="16"/>
      <c r="R8" s="1">
        <f>IF(vend[[#This Row],[Nº Venda]]&gt;1,1,0)</f>
        <v>1</v>
      </c>
    </row>
    <row r="9" spans="2:18" ht="15.75">
      <c r="B9" s="2"/>
      <c r="C9" s="2"/>
      <c r="D9" s="2"/>
      <c r="E9" s="18">
        <v>124</v>
      </c>
      <c r="F9" s="62" t="s">
        <v>41</v>
      </c>
      <c r="G9" s="63" t="s">
        <v>8</v>
      </c>
      <c r="H9" s="64">
        <v>350</v>
      </c>
      <c r="I9" s="64">
        <v>50</v>
      </c>
      <c r="J9" s="2"/>
      <c r="K9" s="25"/>
      <c r="L9" s="9"/>
      <c r="M9" s="16"/>
      <c r="R9" s="1">
        <f>IF(vend[[#This Row],[Nº Venda]]&gt;1,1,0)</f>
        <v>1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>
      <c r="B13" s="30" t="s">
        <v>8</v>
      </c>
      <c r="C13" s="31">
        <f t="shared" si="0"/>
        <v>390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IF(vend[[#This Row],[Nº Venda]]&gt;1,1,0)</f>
        <v>0</v>
      </c>
    </row>
    <row r="16" spans="2:18" ht="15.75">
      <c r="B16" s="28" t="s">
        <v>11</v>
      </c>
      <c r="C16" s="32">
        <f>SUM(C11:C15)</f>
        <v>390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1190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4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600-000000000000}">
      <formula1>"1,2,3,4,5,6,7,8,9,10"</formula1>
    </dataValidation>
    <dataValidation type="list" allowBlank="1" showInputMessage="1" showErrorMessage="1" sqref="M15:M31" xr:uid="{00000000-0002-0000-06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600-000003000000}">
          <x14:formula1>
            <xm:f>base!$A$2:$A$9</xm:f>
          </x14:formula1>
          <xm:sqref>G10:G22</xm:sqref>
        </x14:dataValidation>
        <x14:dataValidation type="list" allowBlank="1" showInputMessage="1" showErrorMessage="1" xr:uid="{00000000-0002-0000-06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R41"/>
  <sheetViews>
    <sheetView showGridLines="0" topLeftCell="D7" zoomScale="80" zoomScaleNormal="80" workbookViewId="0">
      <selection activeCell="E26" sqref="E26:I2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'06'!B1+1</f>
        <v>45053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1190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390</v>
      </c>
      <c r="D6" s="2"/>
      <c r="E6" s="18">
        <v>121</v>
      </c>
      <c r="F6" s="62" t="s">
        <v>37</v>
      </c>
      <c r="G6" s="63" t="s">
        <v>8</v>
      </c>
      <c r="H6" s="64">
        <v>260</v>
      </c>
      <c r="I6" s="64">
        <v>145</v>
      </c>
      <c r="J6" s="2"/>
      <c r="K6" s="25" t="s">
        <v>38</v>
      </c>
      <c r="L6" s="9" t="s">
        <v>10</v>
      </c>
      <c r="M6" s="16">
        <v>20</v>
      </c>
      <c r="R6" s="1">
        <f>IF(vend7[[#This Row],[Nº Venda]]&gt;1,1,0)</f>
        <v>1</v>
      </c>
    </row>
    <row r="7" spans="2:18" ht="15.75">
      <c r="B7" s="23" t="s">
        <v>3</v>
      </c>
      <c r="C7" s="24">
        <f>SUM(M6:M11)</f>
        <v>20</v>
      </c>
      <c r="D7" s="2"/>
      <c r="E7" s="65">
        <v>122</v>
      </c>
      <c r="F7" s="66" t="s">
        <v>39</v>
      </c>
      <c r="G7" s="66" t="s">
        <v>8</v>
      </c>
      <c r="H7" s="67">
        <v>230</v>
      </c>
      <c r="I7" s="67">
        <v>145</v>
      </c>
      <c r="J7" s="2"/>
      <c r="K7" s="25"/>
      <c r="L7" s="9"/>
      <c r="M7" s="16"/>
      <c r="R7" s="1">
        <f>IF(vend7[[#This Row],[Nº Venda]]&gt;1,1,0)</f>
        <v>1</v>
      </c>
    </row>
    <row r="8" spans="2:18" ht="15.75">
      <c r="B8" s="28" t="s">
        <v>21</v>
      </c>
      <c r="C8" s="29">
        <f>SUM(C6:C7)</f>
        <v>410</v>
      </c>
      <c r="D8" s="2"/>
      <c r="E8" s="18">
        <v>123</v>
      </c>
      <c r="F8" s="62" t="s">
        <v>40</v>
      </c>
      <c r="G8" s="63" t="s">
        <v>8</v>
      </c>
      <c r="H8" s="64">
        <v>350</v>
      </c>
      <c r="I8" s="64">
        <v>50</v>
      </c>
      <c r="J8" s="2"/>
      <c r="K8" s="25"/>
      <c r="L8" s="9"/>
      <c r="M8" s="16"/>
      <c r="R8" s="1">
        <f>IF(vend7[[#This Row],[Nº Venda]]&gt;1,1,0)</f>
        <v>1</v>
      </c>
    </row>
    <row r="9" spans="2:18" ht="15.75">
      <c r="B9" s="2"/>
      <c r="C9" s="2"/>
      <c r="D9" s="2"/>
      <c r="E9" s="18">
        <v>124</v>
      </c>
      <c r="F9" s="62" t="s">
        <v>41</v>
      </c>
      <c r="G9" s="63" t="s">
        <v>8</v>
      </c>
      <c r="H9" s="64">
        <v>350</v>
      </c>
      <c r="I9" s="64">
        <v>50</v>
      </c>
      <c r="J9" s="2"/>
      <c r="K9" s="25"/>
      <c r="L9" s="9"/>
      <c r="M9" s="16"/>
      <c r="R9" s="1">
        <f>IF(vend7[[#This Row],[Nº Venda]]&gt;1,1,0)</f>
        <v>1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>
      <c r="B13" s="30" t="s">
        <v>8</v>
      </c>
      <c r="C13" s="31">
        <f t="shared" si="0"/>
        <v>390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IF(vend7[[#This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IF(vend7[[#This Row],[Nº Venda]]&gt;1,1,0)</f>
        <v>0</v>
      </c>
    </row>
    <row r="16" spans="2:18" ht="15.75">
      <c r="B16" s="28" t="s">
        <v>11</v>
      </c>
      <c r="C16" s="32">
        <f>SUM(C11:C15)</f>
        <v>390</v>
      </c>
      <c r="D16" s="2"/>
      <c r="E16" s="18"/>
      <c r="F16" s="25"/>
      <c r="G16" s="26"/>
      <c r="H16" s="8"/>
      <c r="I16" s="8"/>
      <c r="J16" s="2"/>
      <c r="K16" s="47"/>
      <c r="L16" s="9"/>
      <c r="M16" s="16"/>
      <c r="R16" s="1">
        <f>IF(vend7[[#This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>
      <c r="B22" s="28" t="s">
        <v>26</v>
      </c>
      <c r="C22" s="32">
        <f>C5</f>
        <v>1190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>
      <c r="B23" s="2"/>
      <c r="C23" s="2"/>
      <c r="D23" s="2"/>
      <c r="E23" s="33"/>
      <c r="H23" s="7"/>
      <c r="J23" s="2"/>
      <c r="K23" s="47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47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7"/>
      <c r="L25" s="9"/>
      <c r="M25" s="16"/>
    </row>
    <row r="26" spans="2:18" ht="15.75">
      <c r="B26" s="2"/>
      <c r="C26" s="2"/>
      <c r="D26" s="2"/>
      <c r="E26" s="57"/>
      <c r="F26" s="58"/>
      <c r="G26" s="59"/>
      <c r="H26" s="60"/>
      <c r="I26" s="60"/>
      <c r="J26" s="2"/>
      <c r="K26" s="47"/>
      <c r="L26" s="9"/>
      <c r="M26" s="16"/>
    </row>
    <row r="27" spans="2:18" ht="15.75">
      <c r="B27" s="2"/>
      <c r="C27" s="2"/>
      <c r="D27" s="2"/>
      <c r="E27" s="18"/>
      <c r="F27" s="25"/>
      <c r="G27" s="55"/>
      <c r="H27" s="8"/>
      <c r="I27" s="8"/>
      <c r="J27" s="2"/>
      <c r="K27" s="47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4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00000000-0002-0000-0700-000000000000}">
      <formula1>"Sim, Não"</formula1>
    </dataValidation>
    <dataValidation type="list" allowBlank="1" showInputMessage="1" showErrorMessage="1" sqref="L35:L41" xr:uid="{00000000-0002-0000-07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2000000}">
          <x14:formula1>
            <xm:f>base!$A$2:$A$9</xm:f>
          </x14:formula1>
          <xm:sqref>G10:G22</xm:sqref>
        </x14:dataValidation>
        <x14:dataValidation type="list" allowBlank="1" showInputMessage="1" showErrorMessage="1" xr:uid="{00000000-0002-0000-07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7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R41"/>
  <sheetViews>
    <sheetView showGridLines="0" topLeftCell="E1" zoomScale="80" zoomScaleNormal="80" workbookViewId="0">
      <selection activeCell="B30" sqref="B30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'07'!B1+1</f>
        <v>45054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>
      <c r="B6" s="23" t="s">
        <v>2</v>
      </c>
      <c r="C6" s="24">
        <f>SUM(I6:I41)</f>
        <v>0</v>
      </c>
      <c r="D6" s="2"/>
      <c r="E6" s="49">
        <v>125</v>
      </c>
      <c r="F6" s="8" t="s">
        <v>42</v>
      </c>
      <c r="G6" s="8" t="s">
        <v>34</v>
      </c>
      <c r="H6" s="8">
        <v>80</v>
      </c>
      <c r="I6" s="8">
        <v>0</v>
      </c>
      <c r="J6" s="2"/>
      <c r="K6" s="25"/>
      <c r="L6" s="9"/>
      <c r="M6" s="16"/>
      <c r="R6" s="1">
        <f>IF(vend8[[#This Row],[Nº Venda]]&gt;1,1,0)</f>
        <v>1</v>
      </c>
    </row>
    <row r="7" spans="2:18" ht="15">
      <c r="B7" s="23" t="s">
        <v>3</v>
      </c>
      <c r="C7" s="24">
        <f>SUM(M6:M11)</f>
        <v>0</v>
      </c>
      <c r="D7" s="2"/>
      <c r="E7" s="49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49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>
      <c r="B9" s="2"/>
      <c r="C9" s="2"/>
      <c r="D9" s="2"/>
      <c r="E9" s="49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IF(vend8[[#This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55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52"/>
      <c r="F27" s="53"/>
      <c r="G27" s="50"/>
      <c r="H27" s="51"/>
      <c r="I27" s="51"/>
      <c r="J27" s="2"/>
      <c r="K27" s="25"/>
      <c r="L27" s="9"/>
      <c r="M27" s="16"/>
    </row>
    <row r="28" spans="2:18" ht="15.75">
      <c r="B28" s="2"/>
      <c r="C28" s="2"/>
      <c r="D28" s="2"/>
      <c r="E28" s="52"/>
      <c r="F28" s="53"/>
      <c r="G28" s="50"/>
      <c r="H28" s="51"/>
      <c r="I28" s="51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800-000000000000}">
      <formula1>"1,2,3,4,5,6,7,8,9,10"</formula1>
    </dataValidation>
    <dataValidation type="list" allowBlank="1" showInputMessage="1" showErrorMessage="1" sqref="M15:M31" xr:uid="{00000000-0002-0000-08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800-000003000000}">
          <x14:formula1>
            <xm:f>base!$A$2:$A$9</xm:f>
          </x14:formula1>
          <xm:sqref>G7:G22</xm:sqref>
        </x14:dataValidation>
        <x14:dataValidation type="list" allowBlank="1" showInputMessage="1" showErrorMessage="1" xr:uid="{00000000-0002-0000-08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R41"/>
  <sheetViews>
    <sheetView showGridLines="0" topLeftCell="D5" zoomScale="80" zoomScaleNormal="80" workbookViewId="0">
      <selection activeCell="B30" sqref="B30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'08'!B1+1</f>
        <v>45055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1249.04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965.69999999999993</v>
      </c>
      <c r="D6" s="2"/>
      <c r="E6" s="18">
        <v>126</v>
      </c>
      <c r="F6" s="25" t="s">
        <v>43</v>
      </c>
      <c r="G6" s="26" t="s">
        <v>8</v>
      </c>
      <c r="H6" s="8">
        <v>799.04</v>
      </c>
      <c r="I6" s="8">
        <v>799.04</v>
      </c>
      <c r="J6" s="2"/>
      <c r="K6" s="25" t="s">
        <v>44</v>
      </c>
      <c r="L6" s="9" t="s">
        <v>6</v>
      </c>
      <c r="M6" s="16">
        <v>15</v>
      </c>
      <c r="R6" s="1">
        <f>IF(vend9[[#This Row],[Nº Venda]]&gt;1,1,0)</f>
        <v>1</v>
      </c>
    </row>
    <row r="7" spans="2:18" ht="15.75">
      <c r="B7" s="23" t="s">
        <v>3</v>
      </c>
      <c r="C7" s="24">
        <f>SUM(M6:M11)</f>
        <v>15</v>
      </c>
      <c r="D7" s="2"/>
      <c r="E7" s="18">
        <v>127</v>
      </c>
      <c r="F7" s="25" t="s">
        <v>43</v>
      </c>
      <c r="G7" s="26"/>
      <c r="H7" s="8" t="s">
        <v>45</v>
      </c>
      <c r="I7" s="8">
        <v>0</v>
      </c>
      <c r="J7" s="2"/>
      <c r="K7" s="25"/>
      <c r="L7" s="9"/>
      <c r="M7" s="16"/>
      <c r="R7" s="1">
        <f>IF(vend9[[#This Row],[Nº Venda]]&gt;1,1,0)</f>
        <v>1</v>
      </c>
    </row>
    <row r="8" spans="2:18" ht="15.75">
      <c r="B8" s="28" t="s">
        <v>21</v>
      </c>
      <c r="C8" s="29">
        <f>SUM(C6:C7)</f>
        <v>980.69999999999993</v>
      </c>
      <c r="D8" s="2"/>
      <c r="E8" s="18">
        <v>128</v>
      </c>
      <c r="F8" s="25" t="s">
        <v>43</v>
      </c>
      <c r="G8" s="26"/>
      <c r="H8" s="8" t="s">
        <v>45</v>
      </c>
      <c r="I8" s="8">
        <v>0</v>
      </c>
      <c r="J8" s="2"/>
      <c r="K8" s="25"/>
      <c r="L8" s="9"/>
      <c r="M8" s="16"/>
      <c r="R8" s="1">
        <f>IF(vend9[[#This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166.66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>
      <c r="B13" s="30" t="s">
        <v>8</v>
      </c>
      <c r="C13" s="31">
        <f t="shared" si="0"/>
        <v>799.04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IF(vend9[[#This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75">
      <c r="B16" s="28" t="s">
        <v>11</v>
      </c>
      <c r="C16" s="32">
        <f>SUM(C11:C15)</f>
        <v>965.69999999999993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1249.04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119</v>
      </c>
      <c r="F26" s="25" t="s">
        <v>46</v>
      </c>
      <c r="G26" s="26" t="s">
        <v>6</v>
      </c>
      <c r="H26" s="8">
        <v>450</v>
      </c>
      <c r="I26" s="8">
        <v>50</v>
      </c>
      <c r="J26" s="2"/>
      <c r="K26" s="25"/>
      <c r="L26" s="9"/>
      <c r="M26" s="16"/>
    </row>
    <row r="27" spans="2:18" ht="15.75">
      <c r="B27" s="2"/>
      <c r="C27" s="2"/>
      <c r="D27" s="2"/>
      <c r="E27" s="18" t="s">
        <v>47</v>
      </c>
      <c r="F27" s="25" t="s">
        <v>48</v>
      </c>
      <c r="G27" s="26" t="s">
        <v>6</v>
      </c>
      <c r="H27" s="8">
        <v>0</v>
      </c>
      <c r="I27" s="8">
        <v>116.66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900-000000000000}">
      <formula1>"Sim, Não"</formula1>
    </dataValidation>
    <dataValidation type="list" allowBlank="1" showInputMessage="1" showErrorMessage="1" sqref="L35:L41" xr:uid="{00000000-0002-0000-09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2000000}">
          <x14:formula1>
            <xm:f>base!$A$2:$A$9</xm:f>
          </x14:formula1>
          <xm:sqref>G9:G22</xm:sqref>
        </x14:dataValidation>
        <x14:dataValidation type="list" allowBlank="1" showInputMessage="1" showErrorMessage="1" xr:uid="{00000000-0002-0000-0900-000003000000}">
          <x14:formula1>
            <xm:f>base!$A$2:$A$6</xm:f>
          </x14:formula1>
          <xm:sqref>G35:G41 G28:G31</xm:sqref>
        </x14:dataValidation>
        <x14:dataValidation type="list" allowBlank="1" showInputMessage="1" showErrorMessage="1" xr:uid="{00000000-0002-0000-09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R41"/>
  <sheetViews>
    <sheetView showGridLines="0" topLeftCell="A2" zoomScale="55" zoomScaleNormal="55" workbookViewId="0">
      <selection activeCell="H20" sqref="H20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'09'!B1+1</f>
        <v>45056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800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350</v>
      </c>
      <c r="D6" s="2"/>
      <c r="E6" s="18">
        <v>129</v>
      </c>
      <c r="F6" s="25" t="s">
        <v>49</v>
      </c>
      <c r="G6" s="26"/>
      <c r="H6" s="8"/>
      <c r="I6" s="8"/>
      <c r="J6" s="2"/>
      <c r="K6" s="25"/>
      <c r="L6" s="9"/>
      <c r="M6" s="16"/>
      <c r="R6" s="1">
        <f>IF(vend10[[#This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57">
        <v>130</v>
      </c>
      <c r="F7" s="58" t="s">
        <v>50</v>
      </c>
      <c r="G7" s="61" t="s">
        <v>51</v>
      </c>
      <c r="H7" s="60">
        <v>350</v>
      </c>
      <c r="I7" s="60">
        <v>300</v>
      </c>
      <c r="J7" s="2"/>
      <c r="K7" s="25"/>
      <c r="L7" s="9"/>
      <c r="M7" s="16"/>
      <c r="R7" s="1">
        <f>IF(vend10[[#This Row],[Nº Venda]]&gt;1,1,0)</f>
        <v>1</v>
      </c>
    </row>
    <row r="8" spans="2:18" ht="15.75">
      <c r="B8" s="28" t="s">
        <v>21</v>
      </c>
      <c r="C8" s="29">
        <f>SUM(C6:C7)</f>
        <v>350</v>
      </c>
      <c r="D8" s="2"/>
      <c r="E8" s="18">
        <v>131</v>
      </c>
      <c r="F8" s="25" t="s">
        <v>52</v>
      </c>
      <c r="G8" s="26" t="s">
        <v>53</v>
      </c>
      <c r="H8" s="8">
        <v>450</v>
      </c>
      <c r="I8" s="8">
        <v>50</v>
      </c>
      <c r="J8" s="2"/>
      <c r="K8" s="25"/>
      <c r="L8" s="9"/>
      <c r="M8" s="16"/>
      <c r="R8" s="1">
        <f>IF(vend10[[#This Row],[Nº Venda]]&gt;1,1,0)</f>
        <v>1</v>
      </c>
    </row>
    <row r="9" spans="2:18" ht="15.75">
      <c r="B9" s="2"/>
      <c r="C9" s="2"/>
      <c r="D9" s="2"/>
      <c r="E9" s="18">
        <v>132</v>
      </c>
      <c r="F9" s="25" t="s">
        <v>54</v>
      </c>
      <c r="G9" s="26" t="s">
        <v>55</v>
      </c>
      <c r="H9" s="8">
        <v>300</v>
      </c>
      <c r="I9" s="8"/>
      <c r="J9" s="2"/>
      <c r="K9" s="25"/>
      <c r="L9" s="9"/>
      <c r="M9" s="16"/>
      <c r="R9" s="1">
        <f>IF(vend10[[#This Row],[Nº Venda]]&gt;1,1,0)</f>
        <v>1</v>
      </c>
    </row>
    <row r="10" spans="2:18" ht="15.75">
      <c r="B10" s="70" t="s">
        <v>5</v>
      </c>
      <c r="C10" s="70"/>
      <c r="D10" s="2"/>
      <c r="E10" s="18"/>
      <c r="F10" s="25"/>
      <c r="G10" s="55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300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IF(vend10[[#This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>
      <c r="B16" s="28" t="s">
        <v>11</v>
      </c>
      <c r="C16" s="32">
        <f>SUM(C11:C15)</f>
        <v>350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800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55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55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55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4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A00-000000000000}">
      <formula1>"1,2,3,4,5,6,7,8,9,10"</formula1>
    </dataValidation>
    <dataValidation type="list" allowBlank="1" showInputMessage="1" showErrorMessage="1" sqref="M15:M31" xr:uid="{00000000-0002-0000-0A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A00-000003000000}">
          <x14:formula1>
            <xm:f>base!$A$2:$A$9</xm:f>
          </x14:formula1>
          <xm:sqref>G10:G22</xm:sqref>
        </x14:dataValidation>
        <x14:dataValidation type="list" allowBlank="1" showInputMessage="1" showErrorMessage="1" xr:uid="{00000000-0002-0000-0A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R41"/>
  <sheetViews>
    <sheetView showGridLines="0" topLeftCell="C2" zoomScale="55" zoomScaleNormal="55" workbookViewId="0">
      <selection activeCell="F17" sqref="F1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'10'!B1+1</f>
        <v>45057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4671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1762</v>
      </c>
      <c r="D6" s="2"/>
      <c r="E6" s="18">
        <v>133</v>
      </c>
      <c r="F6" s="25" t="s">
        <v>56</v>
      </c>
      <c r="G6" s="26" t="s">
        <v>10</v>
      </c>
      <c r="H6" s="8">
        <v>400</v>
      </c>
      <c r="I6" s="8">
        <v>5</v>
      </c>
      <c r="J6" s="2"/>
      <c r="K6" s="25" t="s">
        <v>57</v>
      </c>
      <c r="L6" s="9" t="s">
        <v>58</v>
      </c>
      <c r="M6" s="16">
        <v>6.7</v>
      </c>
      <c r="R6" s="1">
        <f>IF(vend11[[#This Row],[Nº Venda]]&gt;1,1,0)</f>
        <v>1</v>
      </c>
    </row>
    <row r="7" spans="2:18" ht="15.75">
      <c r="B7" s="23" t="s">
        <v>3</v>
      </c>
      <c r="C7" s="24">
        <f>SUM(M6:M11)</f>
        <v>228.69</v>
      </c>
      <c r="D7" s="2"/>
      <c r="E7" s="57">
        <v>134</v>
      </c>
      <c r="F7" s="58" t="s">
        <v>59</v>
      </c>
      <c r="G7" s="61" t="s">
        <v>10</v>
      </c>
      <c r="H7" s="60">
        <v>890</v>
      </c>
      <c r="I7" s="60">
        <v>450</v>
      </c>
      <c r="J7" s="2"/>
      <c r="K7" s="25" t="s">
        <v>60</v>
      </c>
      <c r="L7" s="9" t="s">
        <v>58</v>
      </c>
      <c r="M7" s="16">
        <v>6.99</v>
      </c>
      <c r="R7" s="1">
        <f>IF(vend11[[#This Row],[Nº Venda]]&gt;1,1,0)</f>
        <v>1</v>
      </c>
    </row>
    <row r="8" spans="2:18" ht="15.75">
      <c r="B8" s="28" t="s">
        <v>21</v>
      </c>
      <c r="C8" s="29">
        <f>SUM(C6:C7)</f>
        <v>1990.69</v>
      </c>
      <c r="D8" s="2"/>
      <c r="E8" s="18">
        <v>135</v>
      </c>
      <c r="F8" s="25" t="s">
        <v>61</v>
      </c>
      <c r="G8" s="26" t="s">
        <v>10</v>
      </c>
      <c r="H8" s="8">
        <v>400</v>
      </c>
      <c r="I8" s="8">
        <v>5</v>
      </c>
      <c r="J8" s="2"/>
      <c r="K8" s="25" t="s">
        <v>62</v>
      </c>
      <c r="L8" s="9" t="s">
        <v>58</v>
      </c>
      <c r="M8" s="16">
        <v>195</v>
      </c>
      <c r="R8" s="1">
        <f>IF(vend11[[#This Row],[Nº Venda]]&gt;1,1,0)</f>
        <v>1</v>
      </c>
    </row>
    <row r="9" spans="2:18" ht="15.75">
      <c r="B9" s="2"/>
      <c r="C9" s="2"/>
      <c r="D9" s="2"/>
      <c r="E9" s="18">
        <v>136</v>
      </c>
      <c r="F9" s="25" t="s">
        <v>63</v>
      </c>
      <c r="G9" s="26" t="s">
        <v>51</v>
      </c>
      <c r="H9" s="8">
        <v>650</v>
      </c>
      <c r="I9" s="8">
        <v>50</v>
      </c>
      <c r="J9" s="2"/>
      <c r="K9" s="25" t="s">
        <v>64</v>
      </c>
      <c r="L9" s="9" t="s">
        <v>51</v>
      </c>
      <c r="M9" s="16">
        <v>20</v>
      </c>
      <c r="R9" s="1">
        <f>IF(vend11[[#This Row],[Nº Venda]]&gt;1,1,0)</f>
        <v>1</v>
      </c>
    </row>
    <row r="10" spans="2:18" ht="15.75">
      <c r="B10" s="70" t="s">
        <v>5</v>
      </c>
      <c r="C10" s="70"/>
      <c r="D10" s="2"/>
      <c r="E10" s="18">
        <v>137</v>
      </c>
      <c r="F10" s="25" t="s">
        <v>65</v>
      </c>
      <c r="G10" s="26" t="s">
        <v>51</v>
      </c>
      <c r="H10" s="8">
        <v>520</v>
      </c>
      <c r="I10" s="8">
        <v>10</v>
      </c>
      <c r="J10" s="2"/>
      <c r="K10" s="25"/>
      <c r="L10" s="9"/>
      <c r="M10" s="16"/>
      <c r="R10" s="1">
        <f>IF(vend11[[#This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60</v>
      </c>
      <c r="D11" s="2"/>
      <c r="E11" s="18">
        <v>138</v>
      </c>
      <c r="F11" s="25" t="s">
        <v>66</v>
      </c>
      <c r="G11" s="26" t="s">
        <v>67</v>
      </c>
      <c r="H11" s="8">
        <v>580</v>
      </c>
      <c r="I11" s="8">
        <v>580</v>
      </c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1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30</v>
      </c>
      <c r="D12" s="2"/>
      <c r="E12" s="18">
        <v>139</v>
      </c>
      <c r="F12" s="25" t="s">
        <v>68</v>
      </c>
      <c r="G12" s="26" t="s">
        <v>55</v>
      </c>
      <c r="H12" s="8">
        <v>299</v>
      </c>
      <c r="I12" s="8"/>
      <c r="J12" s="2"/>
      <c r="R12" s="1">
        <f>IF(vend11[[#This Row],[Nº Venda]]&gt;1,1,0)</f>
        <v>1</v>
      </c>
    </row>
    <row r="13" spans="2:18" ht="15.75">
      <c r="B13" s="30" t="s">
        <v>8</v>
      </c>
      <c r="C13" s="31">
        <f t="shared" si="0"/>
        <v>1212</v>
      </c>
      <c r="D13" s="2"/>
      <c r="E13" s="18">
        <v>140</v>
      </c>
      <c r="F13" s="25" t="s">
        <v>69</v>
      </c>
      <c r="G13" s="26" t="s">
        <v>55</v>
      </c>
      <c r="H13" s="8">
        <v>299</v>
      </c>
      <c r="I13" s="8"/>
      <c r="J13" s="2"/>
      <c r="K13" s="72" t="s">
        <v>22</v>
      </c>
      <c r="L13" s="73"/>
      <c r="M13" s="74"/>
      <c r="R13" s="1">
        <f>IF(vend11[[#This Row],[Nº Venda]]&gt;1,1,0)</f>
        <v>1</v>
      </c>
    </row>
    <row r="14" spans="2:18" ht="15.75">
      <c r="B14" s="30" t="s">
        <v>9</v>
      </c>
      <c r="C14" s="31">
        <f t="shared" si="0"/>
        <v>0</v>
      </c>
      <c r="D14" s="2"/>
      <c r="E14" s="18">
        <v>141</v>
      </c>
      <c r="F14" s="25" t="s">
        <v>70</v>
      </c>
      <c r="G14" s="26" t="s">
        <v>67</v>
      </c>
      <c r="H14" s="8">
        <v>632</v>
      </c>
      <c r="I14" s="8">
        <v>632</v>
      </c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1</v>
      </c>
    </row>
    <row r="15" spans="2:18" ht="15.75">
      <c r="B15" s="30" t="s">
        <v>10</v>
      </c>
      <c r="C15" s="31">
        <f t="shared" si="0"/>
        <v>460</v>
      </c>
      <c r="D15" s="2"/>
      <c r="E15" s="18">
        <v>142</v>
      </c>
      <c r="F15" s="25" t="s">
        <v>71</v>
      </c>
      <c r="G15" s="26" t="s">
        <v>58</v>
      </c>
      <c r="H15" s="8">
        <v>599</v>
      </c>
      <c r="I15" s="8">
        <v>30</v>
      </c>
      <c r="J15" s="2"/>
      <c r="K15" s="25"/>
      <c r="L15" s="9"/>
      <c r="M15" s="16"/>
      <c r="R15" s="1">
        <f>IF(vend11[[#This Row],[Nº Venda]]&gt;1,1,0)</f>
        <v>1</v>
      </c>
    </row>
    <row r="16" spans="2:18" ht="15.75">
      <c r="B16" s="28" t="s">
        <v>11</v>
      </c>
      <c r="C16" s="32">
        <f>SUM(C11:C15)</f>
        <v>1762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4671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55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10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B00-000000000000}">
      <formula1>"1,2,3,4,5,6,7,8,9,10"</formula1>
    </dataValidation>
    <dataValidation type="list" allowBlank="1" showInputMessage="1" showErrorMessage="1" sqref="M15:M31" xr:uid="{00000000-0002-0000-0B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B00-000003000000}">
          <x14:formula1>
            <xm:f>base!$A$2:$A$9</xm:f>
          </x14:formula1>
          <xm:sqref>G16:G22</xm:sqref>
        </x14:dataValidation>
        <x14:dataValidation type="list" allowBlank="1" showInputMessage="1" showErrorMessage="1" xr:uid="{00000000-0002-0000-0B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R41"/>
  <sheetViews>
    <sheetView showGridLines="0" tabSelected="1" topLeftCell="C4" zoomScale="55" zoomScaleNormal="55" workbookViewId="0">
      <selection activeCell="M36" sqref="M3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'11'!B1+1</f>
        <v>45058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1840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695</v>
      </c>
      <c r="D6" s="2"/>
      <c r="E6" s="18">
        <v>143</v>
      </c>
      <c r="F6" s="25" t="s">
        <v>72</v>
      </c>
      <c r="G6" s="26" t="s">
        <v>73</v>
      </c>
      <c r="H6" s="8">
        <v>560</v>
      </c>
      <c r="I6" s="8">
        <v>560</v>
      </c>
      <c r="J6" s="2"/>
      <c r="K6" s="25"/>
      <c r="L6" s="9"/>
      <c r="M6" s="16"/>
      <c r="R6" s="1">
        <f>IF(vend12[[#This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144</v>
      </c>
      <c r="F7" s="25" t="s">
        <v>74</v>
      </c>
      <c r="G7" s="26" t="s">
        <v>58</v>
      </c>
      <c r="H7" s="8">
        <v>690</v>
      </c>
      <c r="I7" s="8">
        <v>50</v>
      </c>
      <c r="J7" s="2"/>
      <c r="K7" s="25"/>
      <c r="L7" s="9"/>
      <c r="M7" s="16"/>
      <c r="R7" s="1">
        <f>IF(vend12[[#This Row],[Nº Venda]]&gt;1,1,0)</f>
        <v>1</v>
      </c>
    </row>
    <row r="8" spans="2:18" ht="15.75">
      <c r="B8" s="28" t="s">
        <v>21</v>
      </c>
      <c r="C8" s="29">
        <f>SUM(C6:C7)</f>
        <v>695</v>
      </c>
      <c r="D8" s="2"/>
      <c r="E8" s="18">
        <v>145</v>
      </c>
      <c r="F8" s="25" t="s">
        <v>75</v>
      </c>
      <c r="G8" s="26" t="s">
        <v>58</v>
      </c>
      <c r="H8" s="8">
        <v>590</v>
      </c>
      <c r="I8" s="8">
        <v>5</v>
      </c>
      <c r="J8" s="2"/>
      <c r="K8" s="25"/>
      <c r="L8" s="9"/>
      <c r="M8" s="16"/>
      <c r="R8" s="1">
        <f>IF(vend12[[#This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55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IF(vend12[[#This Row],[Nº Venda]]&gt;1,1,0)</f>
        <v>0</v>
      </c>
    </row>
    <row r="14" spans="2:18" ht="15.75">
      <c r="B14" s="30" t="s">
        <v>9</v>
      </c>
      <c r="C14" s="31">
        <f t="shared" si="0"/>
        <v>560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>
      <c r="B15" s="30" t="s">
        <v>10</v>
      </c>
      <c r="C15" s="31">
        <f t="shared" si="0"/>
        <v>80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>
      <c r="B16" s="28" t="s">
        <v>11</v>
      </c>
      <c r="C16" s="32">
        <f>SUM(C11:C15)</f>
        <v>695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>
      <c r="B19" s="30">
        <f>COUNT(entr_carn12[OS])</f>
        <v>1</v>
      </c>
      <c r="C19" s="31">
        <f>SUM(entr_carn12[Valor Total])</f>
        <v>380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>
      <c r="B20" s="28" t="s">
        <v>11</v>
      </c>
      <c r="C20" s="32">
        <f>SUM(C19:C19)</f>
        <v>380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1840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125</v>
      </c>
      <c r="F26" s="25" t="s">
        <v>76</v>
      </c>
      <c r="G26" s="26" t="s">
        <v>77</v>
      </c>
      <c r="H26" s="8"/>
      <c r="I26" s="8">
        <v>80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>
        <v>146</v>
      </c>
      <c r="L35" s="42">
        <v>6</v>
      </c>
      <c r="M35" s="16">
        <v>380</v>
      </c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C00-000000000000}">
      <formula1>"1,2,3,4,5,6,7,8,9,10"</formula1>
    </dataValidation>
    <dataValidation type="list" allowBlank="1" showInputMessage="1" showErrorMessage="1" sqref="M15:M31" xr:uid="{00000000-0002-0000-0C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2000000}">
          <x14:formula1>
            <xm:f>base!$A$2:$A$6</xm:f>
          </x14:formula1>
          <xm:sqref>G35:G41 G27:G31</xm:sqref>
        </x14:dataValidation>
        <x14:dataValidation type="list" allowBlank="1" showInputMessage="1" showErrorMessage="1" xr:uid="{00000000-0002-0000-0C00-000003000000}">
          <x14:formula1>
            <xm:f>base!$A$2:$A$9</xm:f>
          </x14:formula1>
          <xm:sqref>G9:G22</xm:sqref>
        </x14:dataValidation>
        <x14:dataValidation type="list" allowBlank="1" showInputMessage="1" showErrorMessage="1" xr:uid="{00000000-0002-0000-0C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R41"/>
  <sheetViews>
    <sheetView showGridLines="0" topLeftCell="C2" zoomScale="55" zoomScaleNormal="55" workbookViewId="0">
      <selection activeCell="L22" sqref="L22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'12'!B1+1</f>
        <v>45059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1850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2520</v>
      </c>
      <c r="D6" s="2"/>
      <c r="E6" s="18">
        <v>146</v>
      </c>
      <c r="F6" s="25" t="s">
        <v>78</v>
      </c>
      <c r="G6" s="26" t="s">
        <v>67</v>
      </c>
      <c r="H6" s="68">
        <v>690</v>
      </c>
      <c r="I6" s="8">
        <v>690</v>
      </c>
      <c r="J6" s="2"/>
      <c r="K6" s="25" t="s">
        <v>79</v>
      </c>
      <c r="L6" s="9" t="s">
        <v>58</v>
      </c>
      <c r="M6" s="16">
        <v>1.9</v>
      </c>
      <c r="R6" s="1">
        <f>IF(vend13[[#This Row],[Nº Venda]]&gt;1,1,0)</f>
        <v>1</v>
      </c>
    </row>
    <row r="7" spans="2:18" ht="15.75">
      <c r="B7" s="23" t="s">
        <v>3</v>
      </c>
      <c r="C7" s="24">
        <f>SUM(M6:M11)</f>
        <v>45.4</v>
      </c>
      <c r="D7" s="2"/>
      <c r="E7" s="18">
        <v>147</v>
      </c>
      <c r="F7" s="25" t="s">
        <v>80</v>
      </c>
      <c r="G7" s="69" t="s">
        <v>67</v>
      </c>
      <c r="H7" s="68">
        <v>760</v>
      </c>
      <c r="I7" s="68">
        <v>760</v>
      </c>
      <c r="J7" s="2"/>
      <c r="K7" s="25" t="s">
        <v>81</v>
      </c>
      <c r="L7" s="9" t="s">
        <v>58</v>
      </c>
      <c r="M7" s="16">
        <v>4</v>
      </c>
      <c r="R7" s="1">
        <f>IF(vend13[[#This Row],[Nº Venda]]&gt;1,1,0)</f>
        <v>1</v>
      </c>
    </row>
    <row r="8" spans="2:18" ht="15.75">
      <c r="B8" s="28" t="s">
        <v>21</v>
      </c>
      <c r="C8" s="29">
        <f>SUM(C6:C7)</f>
        <v>2565.4</v>
      </c>
      <c r="D8" s="2"/>
      <c r="E8" s="18">
        <v>148</v>
      </c>
      <c r="F8" s="69" t="s">
        <v>82</v>
      </c>
      <c r="G8" s="69" t="s">
        <v>58</v>
      </c>
      <c r="H8" s="68">
        <v>400</v>
      </c>
      <c r="I8" s="68">
        <v>100</v>
      </c>
      <c r="J8" s="2"/>
      <c r="K8" s="25" t="s">
        <v>83</v>
      </c>
      <c r="L8" s="9" t="s">
        <v>58</v>
      </c>
      <c r="M8" s="16">
        <v>5.5</v>
      </c>
      <c r="R8" s="1">
        <f>IF(vend13[[#This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 t="s">
        <v>84</v>
      </c>
      <c r="L9" s="9" t="s">
        <v>58</v>
      </c>
      <c r="M9" s="16">
        <v>14</v>
      </c>
      <c r="R9" s="1">
        <f>IF(vend13[[#This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 t="s">
        <v>85</v>
      </c>
      <c r="L10" s="9" t="s">
        <v>58</v>
      </c>
      <c r="M10" s="16">
        <v>20</v>
      </c>
      <c r="R10" s="1">
        <f>IF(vend13[[#This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280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>
      <c r="B13" s="30" t="s">
        <v>8</v>
      </c>
      <c r="C13" s="31">
        <f t="shared" si="0"/>
        <v>2240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IF(vend13[[#This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>
      <c r="B16" s="28" t="s">
        <v>11</v>
      </c>
      <c r="C16" s="32">
        <f>SUM(C11:C15)</f>
        <v>2520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1850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135</v>
      </c>
      <c r="F26" s="25" t="s">
        <v>61</v>
      </c>
      <c r="G26" s="26" t="s">
        <v>8</v>
      </c>
      <c r="H26" s="8"/>
      <c r="I26" s="8">
        <v>395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133</v>
      </c>
      <c r="F27" s="25" t="s">
        <v>86</v>
      </c>
      <c r="G27" s="26" t="s">
        <v>67</v>
      </c>
      <c r="H27" s="8"/>
      <c r="I27" s="8">
        <v>395</v>
      </c>
      <c r="J27" s="2"/>
      <c r="K27" s="25"/>
      <c r="L27" s="9"/>
      <c r="M27" s="16"/>
    </row>
    <row r="28" spans="2:18" ht="15.75">
      <c r="B28" s="2"/>
      <c r="C28" s="2"/>
      <c r="D28" s="2"/>
      <c r="E28" s="18">
        <v>120</v>
      </c>
      <c r="F28" s="25" t="s">
        <v>87</v>
      </c>
      <c r="G28" s="26" t="s">
        <v>58</v>
      </c>
      <c r="H28" s="8"/>
      <c r="I28" s="8">
        <v>180</v>
      </c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D00-000000000000}">
      <formula1>"Sim, Não"</formula1>
    </dataValidation>
    <dataValidation type="list" allowBlank="1" showInputMessage="1" showErrorMessage="1" sqref="L35:L41" xr:uid="{00000000-0002-0000-0D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D00-000002000000}">
          <x14:formula1>
            <xm:f>base!$A$2:$A$9</xm:f>
          </x14:formula1>
          <xm:sqref>G9:G22</xm:sqref>
        </x14:dataValidation>
        <x14:dataValidation type="list" allowBlank="1" showInputMessage="1" showErrorMessage="1" xr:uid="{00000000-0002-0000-0D00-000003000000}">
          <x14:formula1>
            <xm:f>base!$A$2:$A$6</xm:f>
          </x14:formula1>
          <xm:sqref>G35:G41 G29:G31</xm:sqref>
        </x14:dataValidation>
        <x14:dataValidation type="list" allowBlank="1" showInputMessage="1" showErrorMessage="1" xr:uid="{00000000-0002-0000-0D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R41"/>
  <sheetViews>
    <sheetView showGridLines="0" topLeftCell="C1" zoomScale="55" zoomScaleNormal="55" workbookViewId="0">
      <selection activeCell="B30" sqref="B30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'13'!B1+1</f>
        <v>45060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IF(vend14[[#This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E00-000000000000}">
      <formula1>"Sim, Não"</formula1>
    </dataValidation>
    <dataValidation type="list" allowBlank="1" showInputMessage="1" showErrorMessage="1" sqref="L35:L41" xr:uid="{00000000-0002-0000-0E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E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E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E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R41"/>
  <sheetViews>
    <sheetView showGridLines="0" topLeftCell="C1" zoomScale="55" zoomScaleNormal="55" workbookViewId="0">
      <selection activeCell="K15" sqref="K15:M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'14'!B1+1</f>
        <v>45061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950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54</v>
      </c>
      <c r="D6" s="2"/>
      <c r="E6" s="18">
        <v>149</v>
      </c>
      <c r="F6" s="25" t="s">
        <v>88</v>
      </c>
      <c r="G6" s="26" t="s">
        <v>51</v>
      </c>
      <c r="H6" s="68">
        <v>950</v>
      </c>
      <c r="I6" s="8">
        <v>10</v>
      </c>
      <c r="J6" s="2"/>
      <c r="K6" s="25"/>
      <c r="L6" s="9"/>
      <c r="M6" s="16"/>
      <c r="R6" s="1">
        <f>IF(vend15[[#This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55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>
      <c r="B8" s="28" t="s">
        <v>21</v>
      </c>
      <c r="C8" s="29">
        <f>SUM(C6:C7)</f>
        <v>54</v>
      </c>
      <c r="D8" s="2"/>
      <c r="E8" s="18"/>
      <c r="F8" s="25"/>
      <c r="G8" s="55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>
      <c r="B9" s="2"/>
      <c r="C9" s="2"/>
      <c r="D9" s="2"/>
      <c r="E9" s="18"/>
      <c r="F9" s="25"/>
      <c r="G9" s="55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55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>
      <c r="B13" s="30" t="s">
        <v>8</v>
      </c>
      <c r="C13" s="31">
        <f t="shared" si="0"/>
        <v>44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IF(vend15[[#This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>
      <c r="B16" s="28" t="s">
        <v>11</v>
      </c>
      <c r="C16" s="32">
        <f>SUM(C11:C15)</f>
        <v>54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950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118</v>
      </c>
      <c r="F26" s="25" t="s">
        <v>89</v>
      </c>
      <c r="G26" s="26" t="s">
        <v>67</v>
      </c>
      <c r="H26" s="8"/>
      <c r="I26" s="8">
        <v>44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F00-000000000000}">
      <formula1>"Sim, Não"</formula1>
    </dataValidation>
    <dataValidation type="list" allowBlank="1" showInputMessage="1" showErrorMessage="1" sqref="L35:L41" xr:uid="{00000000-0002-0000-0F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F00-000002000000}">
          <x14:formula1>
            <xm:f>base!$A$2:$A$9</xm:f>
          </x14:formula1>
          <xm:sqref>G7:G22</xm:sqref>
        </x14:dataValidation>
        <x14:dataValidation type="list" allowBlank="1" showInputMessage="1" showErrorMessage="1" xr:uid="{00000000-0002-0000-0F00-000003000000}">
          <x14:formula1>
            <xm:f>base!$A$2:$A$6</xm:f>
          </x14:formula1>
          <xm:sqref>G35:G41 G27:G31</xm:sqref>
        </x14:dataValidation>
        <x14:dataValidation type="list" allowBlank="1" showInputMessage="1" showErrorMessage="1" xr:uid="{00000000-0002-0000-0F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R41"/>
  <sheetViews>
    <sheetView showGridLines="0" topLeftCell="C1" zoomScale="55" zoomScaleNormal="55" workbookViewId="0">
      <selection activeCell="E26" sqref="E26:I2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'15'!B1+1</f>
        <v>45062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1229.2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1845</v>
      </c>
      <c r="D6" s="2"/>
      <c r="E6" s="18">
        <v>150</v>
      </c>
      <c r="F6" s="25" t="s">
        <v>90</v>
      </c>
      <c r="G6" s="26" t="s">
        <v>58</v>
      </c>
      <c r="H6" s="68">
        <v>479.2</v>
      </c>
      <c r="I6" s="8">
        <v>2.5</v>
      </c>
      <c r="J6" s="2"/>
      <c r="K6" s="25" t="s">
        <v>91</v>
      </c>
      <c r="L6" s="9" t="s">
        <v>51</v>
      </c>
      <c r="M6" s="16">
        <v>12</v>
      </c>
      <c r="R6" s="1">
        <f>IF(vend16[[#This Row],[Nº Venda]]&gt;1,1,0)</f>
        <v>1</v>
      </c>
    </row>
    <row r="7" spans="2:18" ht="15.75">
      <c r="B7" s="23" t="s">
        <v>3</v>
      </c>
      <c r="C7" s="24">
        <f>SUM(M6:M11)</f>
        <v>15</v>
      </c>
      <c r="D7" s="2"/>
      <c r="E7" s="18">
        <v>151</v>
      </c>
      <c r="F7" s="25" t="s">
        <v>90</v>
      </c>
      <c r="G7" s="69" t="s">
        <v>58</v>
      </c>
      <c r="H7" s="68">
        <v>350</v>
      </c>
      <c r="I7" s="68">
        <v>2.5</v>
      </c>
      <c r="J7" s="2"/>
      <c r="K7" s="25" t="s">
        <v>92</v>
      </c>
      <c r="L7" s="9" t="s">
        <v>77</v>
      </c>
      <c r="M7" s="16">
        <v>3</v>
      </c>
      <c r="R7" s="1">
        <f>IF(vend16[[#This Row],[Nº Venda]]&gt;1,1,0)</f>
        <v>1</v>
      </c>
    </row>
    <row r="8" spans="2:18" ht="15.75">
      <c r="B8" s="28" t="s">
        <v>21</v>
      </c>
      <c r="C8" s="29">
        <f>SUM(C6:C7)</f>
        <v>1860</v>
      </c>
      <c r="D8" s="2"/>
      <c r="E8" s="18">
        <v>152</v>
      </c>
      <c r="F8" s="69" t="s">
        <v>93</v>
      </c>
      <c r="G8" s="69" t="s">
        <v>77</v>
      </c>
      <c r="H8" s="68">
        <v>400</v>
      </c>
      <c r="I8" s="68">
        <v>400</v>
      </c>
      <c r="J8" s="2"/>
      <c r="K8" s="25"/>
      <c r="L8" s="9"/>
      <c r="M8" s="16"/>
      <c r="R8" s="1">
        <f>IF(vend16[[#This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1120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5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>
      <c r="B13" s="30" t="s">
        <v>8</v>
      </c>
      <c r="C13" s="31">
        <f t="shared" si="0"/>
        <v>320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IF(vend16[[#This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>
      <c r="B15" s="30" t="s">
        <v>10</v>
      </c>
      <c r="C15" s="31">
        <f t="shared" si="0"/>
        <v>400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>
      <c r="B16" s="28" t="s">
        <v>11</v>
      </c>
      <c r="C16" s="32">
        <f>SUM(C11:C15)</f>
        <v>1845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7"/>
      <c r="L20" s="9"/>
      <c r="M20" s="16"/>
      <c r="R20" s="1">
        <f>IF(vend16[[#This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7"/>
      <c r="L21" s="9"/>
      <c r="M21" s="16"/>
    </row>
    <row r="22" spans="2:18" ht="15.75">
      <c r="B22" s="28" t="s">
        <v>26</v>
      </c>
      <c r="C22" s="32">
        <f>C5</f>
        <v>1229.2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121</v>
      </c>
      <c r="F26" s="25" t="s">
        <v>94</v>
      </c>
      <c r="G26" s="26" t="s">
        <v>67</v>
      </c>
      <c r="H26" s="8"/>
      <c r="I26" s="8">
        <v>160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122</v>
      </c>
      <c r="F27" s="25" t="s">
        <v>95</v>
      </c>
      <c r="G27" s="26" t="s">
        <v>67</v>
      </c>
      <c r="H27" s="8"/>
      <c r="I27" s="8">
        <v>160</v>
      </c>
      <c r="J27" s="2"/>
      <c r="K27" s="25"/>
      <c r="L27" s="9"/>
      <c r="M27" s="16"/>
    </row>
    <row r="28" spans="2:18" ht="15.75">
      <c r="B28" s="2"/>
      <c r="C28" s="2"/>
      <c r="D28" s="2"/>
      <c r="E28" s="18">
        <v>149</v>
      </c>
      <c r="F28" s="25" t="s">
        <v>96</v>
      </c>
      <c r="G28" s="26" t="s">
        <v>51</v>
      </c>
      <c r="H28" s="8"/>
      <c r="I28" s="8">
        <v>200</v>
      </c>
      <c r="J28" s="2"/>
      <c r="K28" s="25"/>
      <c r="L28" s="9"/>
      <c r="M28" s="16"/>
    </row>
    <row r="29" spans="2:18" ht="15.75">
      <c r="B29" s="2"/>
      <c r="C29" s="2"/>
      <c r="D29" s="2"/>
      <c r="E29" s="18">
        <v>0</v>
      </c>
      <c r="F29" s="25" t="s">
        <v>97</v>
      </c>
      <c r="G29" s="26" t="s">
        <v>51</v>
      </c>
      <c r="H29" s="8"/>
      <c r="I29" s="8">
        <v>920</v>
      </c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000-000000000000}">
      <formula1>"1,2,3,4,5,6,7,8,9,10"</formula1>
    </dataValidation>
    <dataValidation type="list" allowBlank="1" showInputMessage="1" showErrorMessage="1" sqref="M15:M31" xr:uid="{00000000-0002-0000-10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000-000002000000}">
          <x14:formula1>
            <xm:f>base!$A$2:$A$6</xm:f>
          </x14:formula1>
          <xm:sqref>G35:G41 G30:G31</xm:sqref>
        </x14:dataValidation>
        <x14:dataValidation type="list" allowBlank="1" showInputMessage="1" showErrorMessage="1" xr:uid="{00000000-0002-0000-1000-000003000000}">
          <x14:formula1>
            <xm:f>base!$A$2:$A$9</xm:f>
          </x14:formula1>
          <xm:sqref>G9:G22</xm:sqref>
        </x14:dataValidation>
        <x14:dataValidation type="list" allowBlank="1" showInputMessage="1" showErrorMessage="1" xr:uid="{00000000-0002-0000-10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R41"/>
  <sheetViews>
    <sheetView showGridLines="0" topLeftCell="C1" zoomScale="55" zoomScaleNormal="55" workbookViewId="0">
      <selection activeCell="E26" sqref="E26:I2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'16'!B1+1</f>
        <v>45063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IF(vend17[[#This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100-000000000000}">
      <formula1>"Sim, Não"</formula1>
    </dataValidation>
    <dataValidation type="list" allowBlank="1" showInputMessage="1" showErrorMessage="1" sqref="L35:L41" xr:uid="{00000000-0002-0000-11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1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1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1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R41"/>
  <sheetViews>
    <sheetView showGridLines="0" topLeftCell="C4" zoomScale="55" zoomScaleNormal="55" workbookViewId="0">
      <selection activeCell="E7" sqref="E7:I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'17'!B1+1</f>
        <v>45064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105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105</v>
      </c>
      <c r="D6" s="2"/>
      <c r="E6" s="18">
        <v>153</v>
      </c>
      <c r="F6" s="25" t="s">
        <v>98</v>
      </c>
      <c r="G6" s="26" t="s">
        <v>77</v>
      </c>
      <c r="H6" s="68">
        <v>105</v>
      </c>
      <c r="I6" s="8">
        <v>105</v>
      </c>
      <c r="J6" s="2"/>
      <c r="K6" s="25" t="s">
        <v>99</v>
      </c>
      <c r="L6" s="9" t="s">
        <v>100</v>
      </c>
      <c r="M6" s="16">
        <v>12</v>
      </c>
      <c r="R6" s="1">
        <f>IF(vend18[[#This Row],[Nº Venda]]&gt;1,1,0)</f>
        <v>1</v>
      </c>
    </row>
    <row r="7" spans="2:18" ht="15.75">
      <c r="B7" s="23" t="s">
        <v>3</v>
      </c>
      <c r="C7" s="24">
        <f>SUM(M6:M11)</f>
        <v>12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>
      <c r="B8" s="28" t="s">
        <v>21</v>
      </c>
      <c r="C8" s="29">
        <f>SUM(C6:C7)</f>
        <v>117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IF(vend18[[#This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>
      <c r="B15" s="30" t="s">
        <v>10</v>
      </c>
      <c r="C15" s="31">
        <f t="shared" si="0"/>
        <v>105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>
      <c r="B16" s="28" t="s">
        <v>11</v>
      </c>
      <c r="C16" s="32">
        <f>SUM(C11:C15)</f>
        <v>105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105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200-000000000000}">
      <formula1>"1,2,3,4,5,6,7,8,9,10"</formula1>
    </dataValidation>
    <dataValidation type="list" allowBlank="1" showInputMessage="1" showErrorMessage="1" sqref="M15:M31" xr:uid="{00000000-0002-0000-12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2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200-000003000000}">
          <x14:formula1>
            <xm:f>base!$A$2:$A$9</xm:f>
          </x14:formula1>
          <xm:sqref>G7:G22</xm:sqref>
        </x14:dataValidation>
        <x14:dataValidation type="list" allowBlank="1" showInputMessage="1" showErrorMessage="1" xr:uid="{00000000-0002-0000-12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R41"/>
  <sheetViews>
    <sheetView showGridLines="0" topLeftCell="C1" zoomScale="55" zoomScaleNormal="55" workbookViewId="0">
      <selection activeCell="K25" sqref="K2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'18'!B1+1</f>
        <v>45065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2180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773</v>
      </c>
      <c r="D6" s="2"/>
      <c r="E6" s="18">
        <v>154</v>
      </c>
      <c r="F6" s="25" t="s">
        <v>101</v>
      </c>
      <c r="G6" s="26" t="s">
        <v>58</v>
      </c>
      <c r="H6" s="68">
        <v>300</v>
      </c>
      <c r="I6" s="8">
        <v>20</v>
      </c>
      <c r="J6" s="2"/>
      <c r="K6" s="25"/>
      <c r="L6" s="9"/>
      <c r="M6" s="16"/>
      <c r="R6" s="1">
        <f>IF(vend19[[#This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155</v>
      </c>
      <c r="F7" s="25" t="s">
        <v>102</v>
      </c>
      <c r="G7" s="69" t="s">
        <v>51</v>
      </c>
      <c r="H7" s="68">
        <v>200</v>
      </c>
      <c r="I7" s="68">
        <v>100</v>
      </c>
      <c r="J7" s="2"/>
      <c r="K7" s="25"/>
      <c r="L7" s="9"/>
      <c r="M7" s="16"/>
      <c r="R7" s="1">
        <f>IF(vend19[[#This Row],[Nº Venda]]&gt;1,1,0)</f>
        <v>1</v>
      </c>
    </row>
    <row r="8" spans="2:18" ht="15.75">
      <c r="B8" s="28" t="s">
        <v>21</v>
      </c>
      <c r="C8" s="29">
        <f>SUM(C6:C7)</f>
        <v>773</v>
      </c>
      <c r="D8" s="2"/>
      <c r="E8" s="18">
        <v>156</v>
      </c>
      <c r="F8" s="69" t="s">
        <v>103</v>
      </c>
      <c r="G8" s="69" t="s">
        <v>51</v>
      </c>
      <c r="H8" s="68">
        <v>480</v>
      </c>
      <c r="I8" s="68">
        <v>20</v>
      </c>
      <c r="J8" s="2"/>
      <c r="K8" s="25"/>
      <c r="L8" s="9"/>
      <c r="M8" s="16"/>
      <c r="R8" s="1">
        <f>IF(vend19[[#This Row],[Nº Venda]]&gt;1,1,0)</f>
        <v>1</v>
      </c>
    </row>
    <row r="9" spans="2:18" ht="15.75">
      <c r="B9" s="2"/>
      <c r="C9" s="2"/>
      <c r="D9" s="2"/>
      <c r="E9" s="18">
        <v>157</v>
      </c>
      <c r="F9" s="69" t="s">
        <v>104</v>
      </c>
      <c r="G9" s="69" t="s">
        <v>77</v>
      </c>
      <c r="H9" s="68">
        <v>500</v>
      </c>
      <c r="I9" s="68">
        <v>3</v>
      </c>
      <c r="J9" s="2"/>
      <c r="K9" s="25"/>
      <c r="L9" s="9"/>
      <c r="M9" s="16"/>
      <c r="R9" s="1">
        <f>IF(vend19[[#This Row],[Nº Venda]]&gt;1,1,0)</f>
        <v>1</v>
      </c>
    </row>
    <row r="10" spans="2:18" ht="15.75">
      <c r="B10" s="70" t="s">
        <v>5</v>
      </c>
      <c r="C10" s="70"/>
      <c r="D10" s="2"/>
      <c r="E10" s="18">
        <v>158</v>
      </c>
      <c r="F10" s="69" t="s">
        <v>105</v>
      </c>
      <c r="G10" s="69" t="s">
        <v>67</v>
      </c>
      <c r="H10" s="68">
        <v>350</v>
      </c>
      <c r="I10" s="68">
        <v>150</v>
      </c>
      <c r="J10" s="2"/>
      <c r="K10" s="25"/>
      <c r="L10" s="9"/>
      <c r="M10" s="16"/>
      <c r="R10" s="1">
        <f>IF(vend19[[#This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420</v>
      </c>
      <c r="D11" s="2"/>
      <c r="E11" s="18">
        <v>159</v>
      </c>
      <c r="F11" s="69" t="s">
        <v>106</v>
      </c>
      <c r="G11" s="69" t="s">
        <v>73</v>
      </c>
      <c r="H11" s="68">
        <v>50</v>
      </c>
      <c r="I11" s="68">
        <v>50</v>
      </c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1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150</v>
      </c>
      <c r="D12" s="2"/>
      <c r="E12" s="18">
        <v>160</v>
      </c>
      <c r="F12" s="69" t="s">
        <v>107</v>
      </c>
      <c r="G12" s="69" t="s">
        <v>51</v>
      </c>
      <c r="H12" s="68">
        <v>300</v>
      </c>
      <c r="I12" s="68">
        <v>20</v>
      </c>
      <c r="J12" s="2"/>
      <c r="R12" s="1">
        <f>IF(vend19[[#This Row],[Nº Venda]]&gt;1,1,0)</f>
        <v>1</v>
      </c>
    </row>
    <row r="13" spans="2:18" ht="15.75">
      <c r="B13" s="30" t="s">
        <v>8</v>
      </c>
      <c r="C13" s="31">
        <f t="shared" si="0"/>
        <v>150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IF(vend19[[#This Row],[Nº Venda]]&gt;1,1,0)</f>
        <v>0</v>
      </c>
    </row>
    <row r="14" spans="2:18" ht="15.75">
      <c r="B14" s="30" t="s">
        <v>9</v>
      </c>
      <c r="C14" s="31">
        <f t="shared" si="0"/>
        <v>50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>
      <c r="B15" s="30" t="s">
        <v>10</v>
      </c>
      <c r="C15" s="31">
        <f t="shared" si="0"/>
        <v>3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>
      <c r="B16" s="28" t="s">
        <v>11</v>
      </c>
      <c r="C16" s="32">
        <f>SUM(C11:C15)</f>
        <v>773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2180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1</v>
      </c>
      <c r="F26" s="25" t="s">
        <v>108</v>
      </c>
      <c r="G26" s="26" t="s">
        <v>51</v>
      </c>
      <c r="H26" s="8"/>
      <c r="I26" s="8">
        <v>280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101</v>
      </c>
      <c r="F27" s="25" t="s">
        <v>109</v>
      </c>
      <c r="G27" s="26" t="s">
        <v>58</v>
      </c>
      <c r="H27" s="8"/>
      <c r="I27" s="8">
        <v>130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7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300-000000000000}">
      <formula1>"1,2,3,4,5,6,7,8,9,10"</formula1>
    </dataValidation>
    <dataValidation type="list" allowBlank="1" showInputMessage="1" showErrorMessage="1" sqref="M15:M31" xr:uid="{00000000-0002-0000-13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300-000002000000}">
          <x14:formula1>
            <xm:f>base!$A$2:$A$6</xm:f>
          </x14:formula1>
          <xm:sqref>G35:G41 G28:G31</xm:sqref>
        </x14:dataValidation>
        <x14:dataValidation type="list" allowBlank="1" showInputMessage="1" showErrorMessage="1" xr:uid="{00000000-0002-0000-1300-000003000000}">
          <x14:formula1>
            <xm:f>base!$A$2:$A$9</xm:f>
          </x14:formula1>
          <xm:sqref>G13:G22</xm:sqref>
        </x14:dataValidation>
        <x14:dataValidation type="list" allowBlank="1" showInputMessage="1" showErrorMessage="1" xr:uid="{00000000-0002-0000-13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R41"/>
  <sheetViews>
    <sheetView showGridLines="0" topLeftCell="C1" zoomScale="55" zoomScaleNormal="55" workbookViewId="0">
      <selection activeCell="E26" sqref="E26:I2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'19'!B1+1</f>
        <v>45066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1900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2089.1999999999998</v>
      </c>
      <c r="D6" s="2"/>
      <c r="E6" s="18">
        <v>161</v>
      </c>
      <c r="F6" s="25" t="s">
        <v>110</v>
      </c>
      <c r="G6" s="26" t="s">
        <v>58</v>
      </c>
      <c r="H6" s="68">
        <v>650</v>
      </c>
      <c r="I6" s="8">
        <v>65</v>
      </c>
      <c r="J6" s="2"/>
      <c r="K6" s="25"/>
      <c r="L6" s="9"/>
      <c r="M6" s="16"/>
      <c r="R6" s="1">
        <f>IF(vend20[[#This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162</v>
      </c>
      <c r="F7" s="25" t="s">
        <v>111</v>
      </c>
      <c r="G7" s="69" t="s">
        <v>112</v>
      </c>
      <c r="H7" s="68" t="s">
        <v>112</v>
      </c>
      <c r="I7" s="68"/>
      <c r="J7" s="2"/>
      <c r="K7" s="25"/>
      <c r="L7" s="9"/>
      <c r="M7" s="16"/>
      <c r="R7" s="1">
        <f>IF(vend20[[#This Row],[Nº Venda]]&gt;1,1,0)</f>
        <v>1</v>
      </c>
    </row>
    <row r="8" spans="2:18" ht="15.75">
      <c r="B8" s="28" t="s">
        <v>21</v>
      </c>
      <c r="C8" s="29">
        <f>SUM(C6:C7)</f>
        <v>2089.1999999999998</v>
      </c>
      <c r="D8" s="2"/>
      <c r="E8" s="18">
        <v>163</v>
      </c>
      <c r="F8" s="69" t="s">
        <v>113</v>
      </c>
      <c r="G8" s="69" t="s">
        <v>73</v>
      </c>
      <c r="H8" s="68">
        <v>750</v>
      </c>
      <c r="I8" s="68">
        <v>200</v>
      </c>
      <c r="J8" s="2"/>
      <c r="K8" s="25"/>
      <c r="L8" s="9"/>
      <c r="M8" s="16"/>
      <c r="R8" s="1">
        <f>IF(vend20[[#This Row],[Nº Venda]]&gt;1,1,0)</f>
        <v>1</v>
      </c>
    </row>
    <row r="9" spans="2:18" ht="15.75">
      <c r="B9" s="2"/>
      <c r="C9" s="2"/>
      <c r="D9" s="2"/>
      <c r="E9" s="18">
        <v>164</v>
      </c>
      <c r="F9" s="69" t="s">
        <v>114</v>
      </c>
      <c r="G9" s="69" t="s">
        <v>55</v>
      </c>
      <c r="H9" s="68"/>
      <c r="I9" s="68"/>
      <c r="J9" s="2"/>
      <c r="K9" s="25"/>
      <c r="L9" s="9"/>
      <c r="M9" s="16"/>
      <c r="R9" s="1">
        <f>IF(vend20[[#This Row],[Nº Venda]]&gt;1,1,0)</f>
        <v>1</v>
      </c>
    </row>
    <row r="10" spans="2:18" ht="15.75">
      <c r="B10" s="70" t="s">
        <v>5</v>
      </c>
      <c r="C10" s="70"/>
      <c r="D10" s="2"/>
      <c r="E10" s="18">
        <v>165</v>
      </c>
      <c r="F10" s="69" t="s">
        <v>115</v>
      </c>
      <c r="G10" s="69" t="s">
        <v>77</v>
      </c>
      <c r="H10" s="68">
        <v>500</v>
      </c>
      <c r="I10" s="68">
        <v>100</v>
      </c>
      <c r="J10" s="2"/>
      <c r="K10" s="25"/>
      <c r="L10" s="9"/>
      <c r="M10" s="16"/>
      <c r="R10" s="1">
        <f>IF(vend20[[#This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365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IF(vend20[[#This Row],[Nº Venda]]&gt;1,1,0)</f>
        <v>0</v>
      </c>
    </row>
    <row r="14" spans="2:18" ht="15.75">
      <c r="B14" s="30" t="s">
        <v>9</v>
      </c>
      <c r="C14" s="31">
        <f t="shared" si="0"/>
        <v>1624.2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75">
      <c r="B16" s="28" t="s">
        <v>11</v>
      </c>
      <c r="C16" s="32">
        <f>SUM(C11:C15)</f>
        <v>2089.1999999999998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1900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136</v>
      </c>
      <c r="F26" s="25" t="s">
        <v>63</v>
      </c>
      <c r="G26" s="26" t="s">
        <v>73</v>
      </c>
      <c r="H26" s="8"/>
      <c r="I26" s="8">
        <v>600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148</v>
      </c>
      <c r="F27" s="25" t="s">
        <v>116</v>
      </c>
      <c r="G27" s="26" t="s">
        <v>58</v>
      </c>
      <c r="H27" s="8"/>
      <c r="I27" s="8">
        <v>300</v>
      </c>
      <c r="J27" s="2"/>
      <c r="K27" s="25"/>
      <c r="L27" s="9"/>
      <c r="M27" s="16"/>
    </row>
    <row r="28" spans="2:18" ht="15.75">
      <c r="B28" s="2"/>
      <c r="C28" s="2"/>
      <c r="D28" s="2"/>
      <c r="E28" s="18">
        <v>151</v>
      </c>
      <c r="F28" s="25" t="s">
        <v>90</v>
      </c>
      <c r="G28" s="26" t="s">
        <v>73</v>
      </c>
      <c r="H28" s="8"/>
      <c r="I28" s="8">
        <v>347.5</v>
      </c>
      <c r="J28" s="2"/>
      <c r="K28" s="25"/>
      <c r="L28" s="9"/>
      <c r="M28" s="16"/>
    </row>
    <row r="29" spans="2:18" ht="15.75">
      <c r="B29" s="2"/>
      <c r="C29" s="2"/>
      <c r="D29" s="2"/>
      <c r="E29" s="18">
        <v>150</v>
      </c>
      <c r="F29" s="25" t="s">
        <v>90</v>
      </c>
      <c r="G29" s="26" t="s">
        <v>73</v>
      </c>
      <c r="H29" s="8"/>
      <c r="I29" s="8">
        <v>476.7</v>
      </c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5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400-000000000000}">
      <formula1>"1,2,3,4,5,6,7,8,9,10"</formula1>
    </dataValidation>
    <dataValidation type="list" allowBlank="1" showInputMessage="1" showErrorMessage="1" sqref="M15:M31" xr:uid="{00000000-0002-0000-14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400-000002000000}">
          <x14:formula1>
            <xm:f>base!$A$2:$A$6</xm:f>
          </x14:formula1>
          <xm:sqref>G35:G41 G30:G31</xm:sqref>
        </x14:dataValidation>
        <x14:dataValidation type="list" allowBlank="1" showInputMessage="1" showErrorMessage="1" xr:uid="{00000000-0002-0000-1400-000003000000}">
          <x14:formula1>
            <xm:f>base!$A$2:$A$9</xm:f>
          </x14:formula1>
          <xm:sqref>G11:G22</xm:sqref>
        </x14:dataValidation>
        <x14:dataValidation type="list" allowBlank="1" showInputMessage="1" showErrorMessage="1" xr:uid="{00000000-0002-0000-14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R41"/>
  <sheetViews>
    <sheetView showGridLines="0" topLeftCell="C1" zoomScale="55" zoomScaleNormal="55" workbookViewId="0">
      <selection activeCell="E26" sqref="E26:I2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'20'!B1+1</f>
        <v>45067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IF(vend21[[#This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57"/>
      <c r="F27" s="58"/>
      <c r="G27" s="61"/>
      <c r="H27" s="60"/>
      <c r="I27" s="60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500-000000000000}">
      <formula1>"Sim, Não"</formula1>
    </dataValidation>
    <dataValidation type="list" allowBlank="1" showInputMessage="1" showErrorMessage="1" sqref="L35:L41" xr:uid="{00000000-0002-0000-15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5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5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5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R41"/>
  <sheetViews>
    <sheetView showGridLines="0" topLeftCell="C3" zoomScale="55" zoomScaleNormal="55" workbookViewId="0">
      <selection activeCell="E26" sqref="E26:I2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'21'!B1+1</f>
        <v>45068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580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60</v>
      </c>
      <c r="D6" s="2"/>
      <c r="E6" s="18">
        <v>166</v>
      </c>
      <c r="F6" s="25" t="s">
        <v>116</v>
      </c>
      <c r="G6" s="26"/>
      <c r="H6" s="68" t="s">
        <v>117</v>
      </c>
      <c r="I6" s="8"/>
      <c r="J6" s="2"/>
      <c r="K6" s="25"/>
      <c r="L6" s="9"/>
      <c r="M6" s="16"/>
      <c r="R6" s="1">
        <f>IF(vend22[[#This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167</v>
      </c>
      <c r="F7" s="25" t="s">
        <v>118</v>
      </c>
      <c r="G7" s="69" t="s">
        <v>55</v>
      </c>
      <c r="H7" s="68">
        <v>450</v>
      </c>
      <c r="I7" s="68" t="s">
        <v>55</v>
      </c>
      <c r="J7" s="2"/>
      <c r="K7" s="25"/>
      <c r="L7" s="9"/>
      <c r="M7" s="16"/>
      <c r="R7" s="1">
        <f>IF(vend22[[#This Row],[Nº Venda]]&gt;1,1,0)</f>
        <v>1</v>
      </c>
    </row>
    <row r="8" spans="2:18" ht="15.75">
      <c r="B8" s="28" t="s">
        <v>21</v>
      </c>
      <c r="C8" s="29">
        <f>SUM(C6:C7)</f>
        <v>60</v>
      </c>
      <c r="D8" s="2"/>
      <c r="E8" s="18">
        <v>168</v>
      </c>
      <c r="F8" s="69" t="s">
        <v>119</v>
      </c>
      <c r="G8" s="69" t="s">
        <v>58</v>
      </c>
      <c r="H8" s="68">
        <v>350</v>
      </c>
      <c r="I8" s="68">
        <v>25</v>
      </c>
      <c r="J8" s="2"/>
      <c r="K8" s="25"/>
      <c r="L8" s="9"/>
      <c r="M8" s="16"/>
      <c r="R8" s="1">
        <f>IF(vend22[[#This Row],[Nº Venda]]&gt;1,1,0)</f>
        <v>1</v>
      </c>
    </row>
    <row r="9" spans="2:18" ht="15.75">
      <c r="B9" s="2"/>
      <c r="C9" s="2"/>
      <c r="D9" s="2"/>
      <c r="E9" s="18">
        <v>169</v>
      </c>
      <c r="F9" s="69" t="s">
        <v>119</v>
      </c>
      <c r="G9" s="69" t="s">
        <v>58</v>
      </c>
      <c r="H9" s="68">
        <v>200</v>
      </c>
      <c r="I9" s="68">
        <v>25</v>
      </c>
      <c r="J9" s="2"/>
      <c r="K9" s="25"/>
      <c r="L9" s="9"/>
      <c r="M9" s="16"/>
      <c r="R9" s="1">
        <f>IF(vend22[[#This Row],[Nº Venda]]&gt;1,1,0)</f>
        <v>1</v>
      </c>
    </row>
    <row r="10" spans="2:18" ht="15.75">
      <c r="B10" s="70" t="s">
        <v>5</v>
      </c>
      <c r="C10" s="70"/>
      <c r="D10" s="2"/>
      <c r="E10" s="18">
        <v>170</v>
      </c>
      <c r="F10" s="69" t="s">
        <v>120</v>
      </c>
      <c r="G10" s="69" t="s">
        <v>55</v>
      </c>
      <c r="H10" s="68">
        <v>200</v>
      </c>
      <c r="I10" s="68"/>
      <c r="J10" s="2"/>
      <c r="K10" s="25"/>
      <c r="L10" s="9"/>
      <c r="M10" s="16"/>
      <c r="R10" s="1">
        <f>IF(vend22[[#This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10</v>
      </c>
      <c r="D11" s="2"/>
      <c r="E11" s="18">
        <v>171</v>
      </c>
      <c r="F11" s="69" t="s">
        <v>121</v>
      </c>
      <c r="G11" s="69" t="s">
        <v>55</v>
      </c>
      <c r="H11" s="68">
        <v>300</v>
      </c>
      <c r="I11" s="6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1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>
        <v>172</v>
      </c>
      <c r="F12" s="69" t="s">
        <v>122</v>
      </c>
      <c r="G12" s="69" t="s">
        <v>55</v>
      </c>
      <c r="H12" s="68">
        <v>300</v>
      </c>
      <c r="I12" s="68"/>
      <c r="J12" s="2"/>
      <c r="R12" s="1">
        <f>IF(vend22[[#This Row],[Nº Venda]]&gt;1,1,0)</f>
        <v>1</v>
      </c>
    </row>
    <row r="13" spans="2:18" ht="15.75">
      <c r="B13" s="30" t="s">
        <v>8</v>
      </c>
      <c r="C13" s="31">
        <f t="shared" si="0"/>
        <v>0</v>
      </c>
      <c r="D13" s="2"/>
      <c r="E13" s="18">
        <v>173</v>
      </c>
      <c r="F13" s="25" t="s">
        <v>123</v>
      </c>
      <c r="G13" s="26" t="s">
        <v>51</v>
      </c>
      <c r="H13" s="8">
        <v>30</v>
      </c>
      <c r="I13" s="8">
        <v>10</v>
      </c>
      <c r="J13" s="2"/>
      <c r="K13" s="72" t="s">
        <v>22</v>
      </c>
      <c r="L13" s="73"/>
      <c r="M13" s="74"/>
      <c r="R13" s="1">
        <f>IF(vend22[[#This Row],[Nº Venda]]&gt;1,1,0)</f>
        <v>1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>
      <c r="B16" s="28" t="s">
        <v>11</v>
      </c>
      <c r="C16" s="32">
        <f>SUM(C11:C15)</f>
        <v>60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>
      <c r="B19" s="30">
        <f>COUNT(entr_carn22[OS])</f>
        <v>1</v>
      </c>
      <c r="C19" s="31">
        <f>SUM(entr_carn22[Valor Total])</f>
        <v>540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>
      <c r="B20" s="28" t="s">
        <v>11</v>
      </c>
      <c r="C20" s="32">
        <f>SUM(C19:C19)</f>
        <v>540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580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>
        <v>351</v>
      </c>
      <c r="L35" s="42">
        <v>5</v>
      </c>
      <c r="M35" s="16">
        <f>540</f>
        <v>540</v>
      </c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8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600-000000000000}">
      <formula1>"1,2,3,4,5,6,7,8,9,10"</formula1>
    </dataValidation>
    <dataValidation type="list" allowBlank="1" showInputMessage="1" showErrorMessage="1" sqref="M15:M31" xr:uid="{00000000-0002-0000-16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600-000003000000}">
          <x14:formula1>
            <xm:f>base!$A$2:$A$9</xm:f>
          </x14:formula1>
          <xm:sqref>G14:G22</xm:sqref>
        </x14:dataValidation>
        <x14:dataValidation type="list" allowBlank="1" showInputMessage="1" showErrorMessage="1" xr:uid="{00000000-0002-0000-16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R41"/>
  <sheetViews>
    <sheetView showGridLines="0" topLeftCell="C1" zoomScale="55" zoomScaleNormal="55" workbookViewId="0">
      <selection activeCell="E35" sqref="E35:I3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'22'!B1+1</f>
        <v>45069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1380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150</v>
      </c>
      <c r="D6" s="2"/>
      <c r="E6" s="18">
        <v>174</v>
      </c>
      <c r="F6" s="25" t="s">
        <v>124</v>
      </c>
      <c r="G6" s="26" t="s">
        <v>51</v>
      </c>
      <c r="H6" s="68">
        <v>600</v>
      </c>
      <c r="I6" s="8">
        <v>50</v>
      </c>
      <c r="J6" s="2"/>
      <c r="K6" s="25" t="s">
        <v>125</v>
      </c>
      <c r="L6" s="9" t="s">
        <v>67</v>
      </c>
      <c r="M6" s="16">
        <v>24</v>
      </c>
      <c r="R6" s="1">
        <f>IF(vend23[[#This Row],[Nº Venda]]&gt;1,1,0)</f>
        <v>1</v>
      </c>
    </row>
    <row r="7" spans="2:18" ht="15.75">
      <c r="B7" s="23" t="s">
        <v>3</v>
      </c>
      <c r="C7" s="24">
        <f>SUM(M6:M11)</f>
        <v>24</v>
      </c>
      <c r="D7" s="2"/>
      <c r="E7" s="18">
        <v>175</v>
      </c>
      <c r="F7" s="25" t="s">
        <v>126</v>
      </c>
      <c r="G7" s="69" t="s">
        <v>77</v>
      </c>
      <c r="H7" s="68">
        <v>600</v>
      </c>
      <c r="I7" s="68">
        <v>50</v>
      </c>
      <c r="J7" s="2"/>
      <c r="K7" s="25"/>
      <c r="L7" s="9"/>
      <c r="M7" s="16"/>
      <c r="R7" s="1">
        <f>IF(vend23[[#This Row],[Nº Venda]]&gt;1,1,0)</f>
        <v>1</v>
      </c>
    </row>
    <row r="8" spans="2:18" ht="15.75">
      <c r="B8" s="28" t="s">
        <v>21</v>
      </c>
      <c r="C8" s="29">
        <f>SUM(C6:C7)</f>
        <v>174</v>
      </c>
      <c r="D8" s="2"/>
      <c r="E8" s="18">
        <v>176</v>
      </c>
      <c r="F8" s="69" t="s">
        <v>126</v>
      </c>
      <c r="G8" s="69" t="s">
        <v>77</v>
      </c>
      <c r="H8" s="68">
        <v>180</v>
      </c>
      <c r="I8" s="68">
        <v>50</v>
      </c>
      <c r="J8" s="2"/>
      <c r="K8" s="25"/>
      <c r="L8" s="9"/>
      <c r="M8" s="16"/>
      <c r="R8" s="1">
        <f>IF(vend23[[#This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IF(vend23[[#This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>
      <c r="B16" s="28" t="s">
        <v>11</v>
      </c>
      <c r="C16" s="32">
        <f>SUM(C11:C15)</f>
        <v>150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1380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700-000000000000}">
      <formula1>"Sim, Não"</formula1>
    </dataValidation>
    <dataValidation type="list" allowBlank="1" showInputMessage="1" showErrorMessage="1" sqref="L35:L41" xr:uid="{00000000-0002-0000-17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700-000002000000}">
          <x14:formula1>
            <xm:f>base!$A$2:$A$9</xm:f>
          </x14:formula1>
          <xm:sqref>G9:G22</xm:sqref>
        </x14:dataValidation>
        <x14:dataValidation type="list" allowBlank="1" showInputMessage="1" showErrorMessage="1" xr:uid="{00000000-0002-0000-1700-000003000000}">
          <x14:formula1>
            <xm:f>base!$A$2:$A$6</xm:f>
          </x14:formula1>
          <xm:sqref>G35:G41 G27:G31</xm:sqref>
        </x14:dataValidation>
        <x14:dataValidation type="list" allowBlank="1" showInputMessage="1" showErrorMessage="1" xr:uid="{00000000-0002-0000-17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R41"/>
  <sheetViews>
    <sheetView showGridLines="0" topLeftCell="C3" zoomScale="55" zoomScaleNormal="55" workbookViewId="0">
      <selection activeCell="E35" sqref="E35:I3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'23'!B1+1</f>
        <v>45070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>
        <v>177</v>
      </c>
      <c r="F6" s="25" t="s">
        <v>127</v>
      </c>
      <c r="G6" s="26" t="s">
        <v>55</v>
      </c>
      <c r="H6" s="68">
        <v>250</v>
      </c>
      <c r="I6" s="8"/>
      <c r="J6" s="2"/>
      <c r="K6" s="25"/>
      <c r="L6" s="9"/>
      <c r="M6" s="16"/>
      <c r="R6" s="1">
        <f>IF(vend24[[#This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IF(vend24[[#This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800-000000000000}">
      <formula1>"Sim, Não"</formula1>
    </dataValidation>
    <dataValidation type="list" allowBlank="1" showInputMessage="1" showErrorMessage="1" sqref="L35:L41" xr:uid="{00000000-0002-0000-18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800-000002000000}">
          <x14:formula1>
            <xm:f>base!$A$2:$A$9</xm:f>
          </x14:formula1>
          <xm:sqref>G7:G22</xm:sqref>
        </x14:dataValidation>
        <x14:dataValidation type="list" allowBlank="1" showInputMessage="1" showErrorMessage="1" xr:uid="{00000000-0002-0000-18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8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R41"/>
  <sheetViews>
    <sheetView showGridLines="0" topLeftCell="C3" zoomScale="55" zoomScaleNormal="55" workbookViewId="0">
      <selection activeCell="E35" sqref="E35:I3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'24'!B1+1</f>
        <v>45071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850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150</v>
      </c>
      <c r="D6" s="2"/>
      <c r="E6" s="18">
        <v>178</v>
      </c>
      <c r="F6" s="25" t="s">
        <v>128</v>
      </c>
      <c r="G6" s="26" t="s">
        <v>55</v>
      </c>
      <c r="H6" s="68" t="s">
        <v>117</v>
      </c>
      <c r="I6" s="8"/>
      <c r="J6" s="2"/>
      <c r="K6" s="25" t="s">
        <v>129</v>
      </c>
      <c r="L6" s="9" t="s">
        <v>67</v>
      </c>
      <c r="M6" s="16">
        <v>4</v>
      </c>
      <c r="R6" s="1">
        <f>IF(vend25[[#This Row],[Nº Venda]]&gt;1,1,0)</f>
        <v>1</v>
      </c>
    </row>
    <row r="7" spans="2:18" ht="15.75">
      <c r="B7" s="23" t="s">
        <v>3</v>
      </c>
      <c r="C7" s="24">
        <f>SUM(M6:M11)</f>
        <v>4</v>
      </c>
      <c r="D7" s="2"/>
      <c r="E7" s="18">
        <v>179</v>
      </c>
      <c r="F7" s="25" t="s">
        <v>130</v>
      </c>
      <c r="G7" s="69" t="s">
        <v>77</v>
      </c>
      <c r="H7" s="68">
        <v>250</v>
      </c>
      <c r="I7" s="68">
        <v>100</v>
      </c>
      <c r="J7" s="2"/>
      <c r="K7" s="25"/>
      <c r="L7" s="9"/>
      <c r="M7" s="16"/>
      <c r="R7" s="1">
        <f>IF(vend25[[#This Row],[Nº Venda]]&gt;1,1,0)</f>
        <v>1</v>
      </c>
    </row>
    <row r="8" spans="2:18" ht="15.75">
      <c r="B8" s="28" t="s">
        <v>21</v>
      </c>
      <c r="C8" s="29">
        <f>SUM(C6:C7)</f>
        <v>154</v>
      </c>
      <c r="D8" s="2"/>
      <c r="E8" s="18">
        <v>180</v>
      </c>
      <c r="F8" s="69" t="s">
        <v>131</v>
      </c>
      <c r="G8" s="69" t="s">
        <v>51</v>
      </c>
      <c r="H8" s="68">
        <v>600</v>
      </c>
      <c r="I8" s="68">
        <v>50</v>
      </c>
      <c r="J8" s="2"/>
      <c r="K8" s="25"/>
      <c r="L8" s="9"/>
      <c r="M8" s="16"/>
      <c r="R8" s="1">
        <f>IF(vend25[[#This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IF(vend25[[#This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IF(vend25[[#This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>
      <c r="B16" s="28" t="s">
        <v>11</v>
      </c>
      <c r="C16" s="32">
        <f>SUM(C11:C15)</f>
        <v>150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850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900-000000000000}">
      <formula1>"Sim, Não"</formula1>
    </dataValidation>
    <dataValidation type="list" allowBlank="1" showInputMessage="1" showErrorMessage="1" sqref="L35:L41" xr:uid="{00000000-0002-0000-19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900-000002000000}">
          <x14:formula1>
            <xm:f>base!$A$2:$A$9</xm:f>
          </x14:formula1>
          <xm:sqref>G9:G22</xm:sqref>
        </x14:dataValidation>
        <x14:dataValidation type="list" allowBlank="1" showInputMessage="1" showErrorMessage="1" xr:uid="{00000000-0002-0000-19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9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R41"/>
  <sheetViews>
    <sheetView showGridLines="0" topLeftCell="C1" zoomScale="55" zoomScaleNormal="55" workbookViewId="0">
      <selection activeCell="F12" sqref="F12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'25'!B1+1</f>
        <v>45072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1070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1070</v>
      </c>
      <c r="D6" s="2"/>
      <c r="E6" s="18">
        <v>181</v>
      </c>
      <c r="F6" s="25" t="s">
        <v>132</v>
      </c>
      <c r="G6" s="26" t="s">
        <v>73</v>
      </c>
      <c r="H6" s="68">
        <v>820</v>
      </c>
      <c r="I6" s="8">
        <v>820</v>
      </c>
      <c r="J6" s="2"/>
      <c r="K6" s="25"/>
      <c r="L6" s="9"/>
      <c r="M6" s="16"/>
      <c r="R6" s="1">
        <f>IF(vend26[[#This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182</v>
      </c>
      <c r="F7" s="25" t="s">
        <v>132</v>
      </c>
      <c r="G7" s="69" t="s">
        <v>55</v>
      </c>
      <c r="H7" s="68" t="s">
        <v>133</v>
      </c>
      <c r="I7" s="68"/>
      <c r="J7" s="2"/>
      <c r="K7" s="25"/>
      <c r="L7" s="9"/>
      <c r="M7" s="16"/>
      <c r="R7" s="1">
        <f>IF(vend26[[#This Row],[Nº Venda]]&gt;1,1,0)</f>
        <v>1</v>
      </c>
    </row>
    <row r="8" spans="2:18" ht="15.75">
      <c r="B8" s="28" t="s">
        <v>21</v>
      </c>
      <c r="C8" s="29">
        <f>SUM(C6:C7)</f>
        <v>1070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>
      <c r="B13" s="30" t="s">
        <v>8</v>
      </c>
      <c r="C13" s="31">
        <f t="shared" si="0"/>
        <v>250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IF(vend26[[#This Row],[Nº Venda]]&gt;1,1,0)</f>
        <v>0</v>
      </c>
    </row>
    <row r="14" spans="2:18" ht="15.75">
      <c r="B14" s="30" t="s">
        <v>9</v>
      </c>
      <c r="C14" s="31">
        <f t="shared" si="0"/>
        <v>820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>
      <c r="B16" s="28" t="s">
        <v>11</v>
      </c>
      <c r="C16" s="32">
        <f>SUM(C11:C15)</f>
        <v>1070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1070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177</v>
      </c>
      <c r="F26" s="25" t="s">
        <v>134</v>
      </c>
      <c r="G26" s="26" t="s">
        <v>67</v>
      </c>
      <c r="H26" s="8">
        <v>250</v>
      </c>
      <c r="I26" s="8">
        <v>250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A00-000000000000}">
      <formula1>"1,2,3,4,5,6,7,8,9,10"</formula1>
    </dataValidation>
    <dataValidation type="list" allowBlank="1" showInputMessage="1" showErrorMessage="1" sqref="M15:M31" xr:uid="{00000000-0002-0000-1A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A00-000002000000}">
          <x14:formula1>
            <xm:f>base!$A$2:$A$6</xm:f>
          </x14:formula1>
          <xm:sqref>G35:G41 G27:G31</xm:sqref>
        </x14:dataValidation>
        <x14:dataValidation type="list" allowBlank="1" showInputMessage="1" showErrorMessage="1" xr:uid="{00000000-0002-0000-1A00-000003000000}">
          <x14:formula1>
            <xm:f>base!$A$2:$A$9</xm:f>
          </x14:formula1>
          <xm:sqref>G8:G22</xm:sqref>
        </x14:dataValidation>
        <x14:dataValidation type="list" allowBlank="1" showInputMessage="1" showErrorMessage="1" xr:uid="{00000000-0002-0000-1A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R41"/>
  <sheetViews>
    <sheetView showGridLines="0" topLeftCell="C1" zoomScale="55" zoomScaleNormal="55" workbookViewId="0">
      <selection activeCell="E26" sqref="E26:I30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'26'!B1+1</f>
        <v>45073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650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1330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>
      <c r="B8" s="28" t="s">
        <v>21</v>
      </c>
      <c r="C8" s="29">
        <f>SUM(C6:C7)</f>
        <v>1330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610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>
      <c r="B13" s="30" t="s">
        <v>8</v>
      </c>
      <c r="C13" s="31">
        <f t="shared" si="0"/>
        <v>150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IF(vend27[[#This Row],[Nº Venda]]&gt;1,1,0)</f>
        <v>0</v>
      </c>
    </row>
    <row r="14" spans="2:18" ht="15.75">
      <c r="B14" s="30" t="s">
        <v>9</v>
      </c>
      <c r="C14" s="31">
        <f t="shared" si="0"/>
        <v>550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>
      <c r="B15" s="30" t="s">
        <v>10</v>
      </c>
      <c r="C15" s="31">
        <f t="shared" si="0"/>
        <v>20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IF(vend27[[#This Row],[Nº Venda]]&gt;1,1,0)</f>
        <v>0</v>
      </c>
    </row>
    <row r="16" spans="2:18" ht="15.75">
      <c r="B16" s="28" t="s">
        <v>11</v>
      </c>
      <c r="C16" s="32">
        <f>SUM(C11:C15)</f>
        <v>1330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650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170</v>
      </c>
      <c r="F26" s="25" t="s">
        <v>135</v>
      </c>
      <c r="G26" s="26" t="s">
        <v>77</v>
      </c>
      <c r="H26" s="8">
        <v>200</v>
      </c>
      <c r="I26" s="8">
        <v>20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174</v>
      </c>
      <c r="F27" s="25" t="s">
        <v>136</v>
      </c>
      <c r="G27" s="26" t="s">
        <v>51</v>
      </c>
      <c r="H27" s="8"/>
      <c r="I27" s="8">
        <v>310</v>
      </c>
      <c r="J27" s="2"/>
      <c r="K27" s="25"/>
      <c r="L27" s="9"/>
      <c r="M27" s="16"/>
    </row>
    <row r="28" spans="2:18" ht="15.75">
      <c r="B28" s="2"/>
      <c r="C28" s="2"/>
      <c r="D28" s="2"/>
      <c r="E28" s="18">
        <v>163</v>
      </c>
      <c r="F28" s="25" t="s">
        <v>137</v>
      </c>
      <c r="G28" s="26" t="s">
        <v>73</v>
      </c>
      <c r="H28" s="8"/>
      <c r="I28" s="8">
        <v>550</v>
      </c>
      <c r="J28" s="2"/>
      <c r="K28" s="25"/>
      <c r="L28" s="9"/>
      <c r="M28" s="16"/>
    </row>
    <row r="29" spans="2:18" ht="15.75">
      <c r="B29" s="2"/>
      <c r="C29" s="2"/>
      <c r="D29" s="2"/>
      <c r="E29" s="18">
        <v>167</v>
      </c>
      <c r="F29" s="25" t="s">
        <v>138</v>
      </c>
      <c r="G29" s="26" t="s">
        <v>51</v>
      </c>
      <c r="H29" s="8">
        <v>450</v>
      </c>
      <c r="I29" s="8">
        <v>300</v>
      </c>
      <c r="J29" s="2"/>
      <c r="K29" s="25"/>
      <c r="L29" s="9"/>
      <c r="M29" s="16"/>
    </row>
    <row r="30" spans="2:18" ht="15.75">
      <c r="B30" s="2"/>
      <c r="C30" s="2"/>
      <c r="D30" s="2"/>
      <c r="E30" s="35">
        <v>167</v>
      </c>
      <c r="F30" s="36" t="s">
        <v>138</v>
      </c>
      <c r="G30" s="37" t="s">
        <v>67</v>
      </c>
      <c r="H30" s="17"/>
      <c r="I30" s="17">
        <v>150</v>
      </c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B00-000000000000}">
      <formula1>"1,2,3,4,5,6,7,8,9,10"</formula1>
    </dataValidation>
    <dataValidation type="list" allowBlank="1" showInputMessage="1" showErrorMessage="1" sqref="M15:M31" xr:uid="{00000000-0002-0000-1B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B00-000002000000}">
          <x14:formula1>
            <xm:f>base!$A$2:$A$6</xm:f>
          </x14:formula1>
          <xm:sqref>G35:G41 G31</xm:sqref>
        </x14:dataValidation>
        <x14:dataValidation type="list" allowBlank="1" showInputMessage="1" showErrorMessage="1" xr:uid="{00000000-0002-0000-1B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B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R41"/>
  <sheetViews>
    <sheetView showGridLines="0" topLeftCell="D1" zoomScale="55" zoomScaleNormal="55" workbookViewId="0">
      <selection activeCell="K6" sqref="K6:M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'27'!B1+1</f>
        <v>45074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IF(vend28[[#This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C00-000000000000}">
      <formula1>"Sim, Não"</formula1>
    </dataValidation>
    <dataValidation type="list" allowBlank="1" showInputMessage="1" showErrorMessage="1" sqref="L35:L41" xr:uid="{00000000-0002-0000-1C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C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C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C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R41"/>
  <sheetViews>
    <sheetView showGridLines="0" topLeftCell="C1" zoomScale="55" zoomScaleNormal="55" workbookViewId="0">
      <selection activeCell="E6" sqref="E6:I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'28'!B1+1</f>
        <v>45075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2950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2290</v>
      </c>
      <c r="D6" s="2"/>
      <c r="E6" s="18">
        <v>183</v>
      </c>
      <c r="F6" s="25" t="s">
        <v>139</v>
      </c>
      <c r="G6" s="26" t="s">
        <v>73</v>
      </c>
      <c r="H6" s="68">
        <v>300</v>
      </c>
      <c r="I6" s="8">
        <v>150</v>
      </c>
      <c r="J6" s="2"/>
      <c r="K6" s="25"/>
      <c r="L6" s="9"/>
      <c r="M6" s="16"/>
      <c r="R6" s="1">
        <f>IF(vend29[[#This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184</v>
      </c>
      <c r="F7" s="25" t="s">
        <v>139</v>
      </c>
      <c r="G7" s="69" t="s">
        <v>73</v>
      </c>
      <c r="H7" s="68">
        <v>300</v>
      </c>
      <c r="I7" s="68">
        <v>150</v>
      </c>
      <c r="J7" s="2"/>
      <c r="K7" s="25"/>
      <c r="L7" s="9"/>
      <c r="M7" s="16"/>
      <c r="R7" s="1">
        <f>IF(vend29[[#This Row],[Nº Venda]]&gt;1,1,0)</f>
        <v>1</v>
      </c>
    </row>
    <row r="8" spans="2:18" ht="15.75">
      <c r="B8" s="28" t="s">
        <v>21</v>
      </c>
      <c r="C8" s="29">
        <f>SUM(C6:C7)</f>
        <v>2290</v>
      </c>
      <c r="D8" s="2"/>
      <c r="E8" s="18">
        <v>185</v>
      </c>
      <c r="F8" s="69" t="s">
        <v>140</v>
      </c>
      <c r="G8" s="69" t="s">
        <v>73</v>
      </c>
      <c r="H8" s="68">
        <v>790</v>
      </c>
      <c r="I8" s="68">
        <v>790</v>
      </c>
      <c r="J8" s="2"/>
      <c r="K8" s="25"/>
      <c r="L8" s="9"/>
      <c r="M8" s="16"/>
      <c r="R8" s="1">
        <f>IF(vend29[[#This Row],[Nº Venda]]&gt;1,1,0)</f>
        <v>1</v>
      </c>
    </row>
    <row r="9" spans="2:18" ht="15.75">
      <c r="B9" s="2"/>
      <c r="C9" s="2"/>
      <c r="D9" s="2"/>
      <c r="E9" s="18">
        <v>186</v>
      </c>
      <c r="F9" s="69" t="s">
        <v>141</v>
      </c>
      <c r="G9" s="69" t="s">
        <v>73</v>
      </c>
      <c r="H9" s="68">
        <v>700</v>
      </c>
      <c r="I9" s="68">
        <v>700</v>
      </c>
      <c r="J9" s="2"/>
      <c r="K9" s="25"/>
      <c r="L9" s="9"/>
      <c r="M9" s="16"/>
      <c r="R9" s="1">
        <f>IF(vend29[[#This Row],[Nº Venda]]&gt;1,1,0)</f>
        <v>1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IF(vend29[[#This Row],[Nº Venda]]&gt;1,1,0)</f>
        <v>0</v>
      </c>
    </row>
    <row r="14" spans="2:18" ht="15.75">
      <c r="B14" s="30" t="s">
        <v>9</v>
      </c>
      <c r="C14" s="31">
        <f t="shared" si="0"/>
        <v>2090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>
      <c r="B16" s="28" t="s">
        <v>11</v>
      </c>
      <c r="C16" s="32">
        <f>SUM(C11:C15)</f>
        <v>2290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2950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171</v>
      </c>
      <c r="F26" s="25" t="s">
        <v>142</v>
      </c>
      <c r="G26" s="26" t="s">
        <v>73</v>
      </c>
      <c r="H26" s="8">
        <v>300</v>
      </c>
      <c r="I26" s="8">
        <v>150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172</v>
      </c>
      <c r="F27" s="25" t="s">
        <v>139</v>
      </c>
      <c r="G27" s="26" t="s">
        <v>73</v>
      </c>
      <c r="H27" s="8">
        <v>300</v>
      </c>
      <c r="I27" s="8">
        <v>150</v>
      </c>
      <c r="J27" s="2"/>
      <c r="K27" s="25"/>
      <c r="L27" s="9"/>
      <c r="M27" s="16"/>
    </row>
    <row r="28" spans="2:18" ht="15.75">
      <c r="B28" s="2"/>
      <c r="C28" s="2"/>
      <c r="D28" s="2"/>
      <c r="E28" s="18">
        <v>119</v>
      </c>
      <c r="F28" s="25" t="s">
        <v>143</v>
      </c>
      <c r="G28" s="26" t="s">
        <v>51</v>
      </c>
      <c r="H28" s="8">
        <v>260</v>
      </c>
      <c r="I28" s="8">
        <v>200</v>
      </c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4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D00-000000000000}">
      <formula1>"1,2,3,4,5,6,7,8,9,10"</formula1>
    </dataValidation>
    <dataValidation type="list" allowBlank="1" showInputMessage="1" showErrorMessage="1" sqref="M15:M31" xr:uid="{00000000-0002-0000-1D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D00-000002000000}">
          <x14:formula1>
            <xm:f>base!$A$2:$A$6</xm:f>
          </x14:formula1>
          <xm:sqref>G35:G41 G29:G31</xm:sqref>
        </x14:dataValidation>
        <x14:dataValidation type="list" allowBlank="1" showInputMessage="1" showErrorMessage="1" xr:uid="{00000000-0002-0000-1D00-000003000000}">
          <x14:formula1>
            <xm:f>base!$A$2:$A$9</xm:f>
          </x14:formula1>
          <xm:sqref>G10:G22</xm:sqref>
        </x14:dataValidation>
        <x14:dataValidation type="list" allowBlank="1" showInputMessage="1" showErrorMessage="1" xr:uid="{00000000-0002-0000-1D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R41"/>
  <sheetViews>
    <sheetView showGridLines="0" topLeftCell="C2" zoomScale="55" zoomScaleNormal="55" workbookViewId="0">
      <selection activeCell="K35" sqref="K35:M3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'29'!B1+1</f>
        <v>45076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460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760</v>
      </c>
      <c r="D6" s="2"/>
      <c r="E6" s="18">
        <v>187</v>
      </c>
      <c r="F6" s="25" t="s">
        <v>144</v>
      </c>
      <c r="G6" s="26" t="s">
        <v>73</v>
      </c>
      <c r="H6" s="68">
        <v>460</v>
      </c>
      <c r="I6" s="8">
        <v>460</v>
      </c>
      <c r="J6" s="2"/>
      <c r="K6" s="25"/>
      <c r="L6" s="9"/>
      <c r="M6" s="16"/>
      <c r="R6" s="1">
        <f>IF(vend30[[#This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>
      <c r="B8" s="28" t="s">
        <v>21</v>
      </c>
      <c r="C8" s="29">
        <f>SUM(C6:C7)</f>
        <v>760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IF(vend30[[#This Row],[Nº Venda]]&gt;1,1,0)</f>
        <v>0</v>
      </c>
    </row>
    <row r="14" spans="2:18" ht="15.75">
      <c r="B14" s="30" t="s">
        <v>9</v>
      </c>
      <c r="C14" s="31">
        <f t="shared" si="0"/>
        <v>660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75">
      <c r="B16" s="28" t="s">
        <v>11</v>
      </c>
      <c r="C16" s="32">
        <f>SUM(C11:C15)</f>
        <v>760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460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155</v>
      </c>
      <c r="F26" s="25" t="s">
        <v>145</v>
      </c>
      <c r="G26" s="26" t="s">
        <v>51</v>
      </c>
      <c r="H26" s="8"/>
      <c r="I26" s="8">
        <v>100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158</v>
      </c>
      <c r="F27" s="25" t="s">
        <v>105</v>
      </c>
      <c r="G27" s="26" t="s">
        <v>73</v>
      </c>
      <c r="H27" s="8"/>
      <c r="I27" s="8">
        <v>200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E00-000000000000}">
      <formula1>"1,2,3,4,5,6,7,8,9,10"</formula1>
    </dataValidation>
    <dataValidation type="list" allowBlank="1" showInputMessage="1" showErrorMessage="1" sqref="M15:M31" xr:uid="{00000000-0002-0000-1E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E00-000002000000}">
          <x14:formula1>
            <xm:f>base!$A$2:$A$6</xm:f>
          </x14:formula1>
          <xm:sqref>G35:G41 G28:G31</xm:sqref>
        </x14:dataValidation>
        <x14:dataValidation type="list" allowBlank="1" showInputMessage="1" showErrorMessage="1" xr:uid="{00000000-0002-0000-1E00-000003000000}">
          <x14:formula1>
            <xm:f>base!$A$2:$A$9</xm:f>
          </x14:formula1>
          <xm:sqref>G7:G22</xm:sqref>
        </x14:dataValidation>
        <x14:dataValidation type="list" allowBlank="1" showInputMessage="1" showErrorMessage="1" xr:uid="{00000000-0002-0000-1E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R41"/>
  <sheetViews>
    <sheetView showGridLines="0" topLeftCell="C1" zoomScale="55" zoomScaleNormal="55" workbookViewId="0">
      <selection activeCell="L26" sqref="L2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'30'!B1+1</f>
        <v>45077</v>
      </c>
    </row>
    <row r="2" spans="2:18" ht="18.75">
      <c r="B2" s="75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8" t="s">
        <v>1</v>
      </c>
      <c r="F4" s="78"/>
      <c r="G4" s="78"/>
      <c r="H4" s="78"/>
      <c r="I4" s="78"/>
      <c r="J4" s="22"/>
      <c r="K4" s="72" t="s">
        <v>3</v>
      </c>
      <c r="L4" s="73"/>
      <c r="M4" s="74"/>
    </row>
    <row r="5" spans="2:18" ht="15">
      <c r="B5" s="23" t="s">
        <v>1</v>
      </c>
      <c r="C5" s="24">
        <f>SUMIF(I6:I31,"&gt;0",H6:H31)</f>
        <v>1740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1708</v>
      </c>
      <c r="D6" s="2"/>
      <c r="E6" s="18">
        <v>188</v>
      </c>
      <c r="F6" s="25" t="s">
        <v>146</v>
      </c>
      <c r="G6" s="26" t="s">
        <v>73</v>
      </c>
      <c r="H6" s="68">
        <v>1090</v>
      </c>
      <c r="I6" s="8">
        <v>1090</v>
      </c>
      <c r="J6" s="2"/>
      <c r="K6" s="25"/>
      <c r="L6" s="9"/>
      <c r="M6" s="16"/>
      <c r="R6" s="1">
        <f>IF(vend31[[#This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189</v>
      </c>
      <c r="F7" s="25" t="s">
        <v>147</v>
      </c>
      <c r="G7" s="69" t="s">
        <v>51</v>
      </c>
      <c r="H7" s="68">
        <v>650</v>
      </c>
      <c r="I7" s="68">
        <v>50</v>
      </c>
      <c r="J7" s="2"/>
      <c r="K7" s="25"/>
      <c r="L7" s="9"/>
      <c r="M7" s="16"/>
      <c r="R7" s="1">
        <f>IF(vend31[[#This Row],[Nº Venda]]&gt;1,1,0)</f>
        <v>1</v>
      </c>
    </row>
    <row r="8" spans="2:18" ht="15.75">
      <c r="B8" s="28" t="s">
        <v>21</v>
      </c>
      <c r="C8" s="29">
        <f>SUM(C6:C7)</f>
        <v>1708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>
      <c r="B10" s="70" t="s">
        <v>5</v>
      </c>
      <c r="C10" s="7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618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2" t="s">
        <v>22</v>
      </c>
      <c r="L13" s="73"/>
      <c r="M13" s="74"/>
      <c r="R13" s="1">
        <f>IF(vend31[[#This Row],[Nº Venda]]&gt;1,1,0)</f>
        <v>0</v>
      </c>
    </row>
    <row r="14" spans="2:18" ht="15.75">
      <c r="B14" s="30" t="s">
        <v>9</v>
      </c>
      <c r="C14" s="31">
        <f t="shared" si="0"/>
        <v>1090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>
      <c r="B16" s="28" t="s">
        <v>11</v>
      </c>
      <c r="C16" s="32">
        <f>SUM(C11:C15)</f>
        <v>1708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>
      <c r="B18" s="70" t="s">
        <v>12</v>
      </c>
      <c r="C18" s="7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26</v>
      </c>
      <c r="C22" s="32">
        <f>C5</f>
        <v>1740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1" t="s">
        <v>27</v>
      </c>
      <c r="F24" s="71"/>
      <c r="G24" s="71"/>
      <c r="H24" s="71"/>
      <c r="I24" s="71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180</v>
      </c>
      <c r="F26" s="25" t="s">
        <v>148</v>
      </c>
      <c r="G26" s="26" t="s">
        <v>51</v>
      </c>
      <c r="H26" s="8"/>
      <c r="I26" s="8">
        <v>550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173</v>
      </c>
      <c r="F27" s="25" t="s">
        <v>123</v>
      </c>
      <c r="G27" s="26" t="s">
        <v>51</v>
      </c>
      <c r="H27" s="8"/>
      <c r="I27" s="8">
        <v>18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1" t="s">
        <v>28</v>
      </c>
      <c r="F33" s="71"/>
      <c r="G33" s="71"/>
      <c r="H33" s="71"/>
      <c r="I33" s="71"/>
      <c r="K33" s="72" t="s">
        <v>12</v>
      </c>
      <c r="L33" s="73"/>
      <c r="M33" s="74"/>
    </row>
    <row r="34" spans="2:18" ht="1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F00-000000000000}">
      <formula1>"Sim, Não"</formula1>
    </dataValidation>
    <dataValidation type="list" allowBlank="1" showInputMessage="1" showErrorMessage="1" sqref="L35:L41" xr:uid="{00000000-0002-0000-1F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F00-000002000000}">
          <x14:formula1>
            <xm:f>base!$A$2:$A$9</xm:f>
          </x14:formula1>
          <xm:sqref>G8:G22</xm:sqref>
        </x14:dataValidation>
        <x14:dataValidation type="list" allowBlank="1" showInputMessage="1" showErrorMessage="1" xr:uid="{00000000-0002-0000-1F00-000003000000}">
          <x14:formula1>
            <xm:f>base!$A$2:$A$6</xm:f>
          </x14:formula1>
          <xm:sqref>G35:G41 G29:G31</xm:sqref>
        </x14:dataValidation>
        <x14:dataValidation type="list" allowBlank="1" showInputMessage="1" showErrorMessage="1" xr:uid="{00000000-0002-0000-1F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79"/>
  <sheetViews>
    <sheetView workbookViewId="0">
      <selection activeCell="G12" sqref="G12"/>
    </sheetView>
  </sheetViews>
  <sheetFormatPr defaultRowHeight="12.75"/>
  <cols>
    <col min="1" max="1" width="13.140625" bestFit="1" customWidth="1"/>
    <col min="2" max="2" width="22.140625" bestFit="1" customWidth="1"/>
    <col min="5" max="5" width="11.5703125" customWidth="1"/>
  </cols>
  <sheetData>
    <row r="1" spans="1:5">
      <c r="A1" s="38" t="s">
        <v>149</v>
      </c>
      <c r="B1" s="38" t="s">
        <v>150</v>
      </c>
      <c r="E1" s="38" t="s">
        <v>151</v>
      </c>
    </row>
    <row r="2" spans="1:5">
      <c r="A2" s="38" t="s">
        <v>6</v>
      </c>
      <c r="B2" s="38" t="s">
        <v>152</v>
      </c>
      <c r="E2" t="s">
        <v>153</v>
      </c>
    </row>
    <row r="3" spans="1:5">
      <c r="A3" s="38" t="s">
        <v>7</v>
      </c>
      <c r="B3" s="38" t="s">
        <v>154</v>
      </c>
      <c r="E3" t="s">
        <v>155</v>
      </c>
    </row>
    <row r="4" spans="1:5">
      <c r="A4" s="38" t="s">
        <v>8</v>
      </c>
      <c r="B4" s="38" t="s">
        <v>156</v>
      </c>
      <c r="E4" t="s">
        <v>157</v>
      </c>
    </row>
    <row r="5" spans="1:5">
      <c r="A5" s="38" t="s">
        <v>9</v>
      </c>
      <c r="B5" s="38" t="s">
        <v>158</v>
      </c>
      <c r="E5" t="s">
        <v>159</v>
      </c>
    </row>
    <row r="6" spans="1:5">
      <c r="A6" s="38" t="s">
        <v>10</v>
      </c>
      <c r="B6" s="38" t="s">
        <v>10</v>
      </c>
      <c r="E6" t="s">
        <v>160</v>
      </c>
    </row>
    <row r="7" spans="1:5">
      <c r="A7" s="38" t="s">
        <v>34</v>
      </c>
      <c r="B7" s="38" t="s">
        <v>161</v>
      </c>
      <c r="E7" t="s">
        <v>162</v>
      </c>
    </row>
    <row r="8" spans="1:5">
      <c r="A8" t="s">
        <v>25</v>
      </c>
      <c r="B8" t="s">
        <v>163</v>
      </c>
      <c r="E8" t="s">
        <v>164</v>
      </c>
    </row>
    <row r="9" spans="1:5">
      <c r="A9" s="38" t="s">
        <v>165</v>
      </c>
      <c r="B9" s="38" t="s">
        <v>166</v>
      </c>
      <c r="E9" t="s">
        <v>167</v>
      </c>
    </row>
    <row r="10" spans="1:5">
      <c r="E10" t="s">
        <v>168</v>
      </c>
    </row>
    <row r="11" spans="1:5">
      <c r="E11" t="s">
        <v>169</v>
      </c>
    </row>
    <row r="12" spans="1:5">
      <c r="E12" t="s">
        <v>170</v>
      </c>
    </row>
    <row r="13" spans="1:5">
      <c r="E13" t="s">
        <v>171</v>
      </c>
    </row>
    <row r="14" spans="1:5">
      <c r="E14" t="s">
        <v>172</v>
      </c>
    </row>
    <row r="15" spans="1:5">
      <c r="E15" t="s">
        <v>173</v>
      </c>
    </row>
    <row r="16" spans="1:5">
      <c r="E16" t="s">
        <v>174</v>
      </c>
    </row>
    <row r="17" spans="5:5">
      <c r="E17" t="s">
        <v>175</v>
      </c>
    </row>
    <row r="18" spans="5:5">
      <c r="E18" t="s">
        <v>176</v>
      </c>
    </row>
    <row r="19" spans="5:5">
      <c r="E19" t="s">
        <v>177</v>
      </c>
    </row>
    <row r="20" spans="5:5">
      <c r="E20" t="s">
        <v>178</v>
      </c>
    </row>
    <row r="21" spans="5:5">
      <c r="E21" t="s">
        <v>179</v>
      </c>
    </row>
    <row r="22" spans="5:5">
      <c r="E22" t="s">
        <v>180</v>
      </c>
    </row>
    <row r="23" spans="5:5">
      <c r="E23" t="s">
        <v>181</v>
      </c>
    </row>
    <row r="24" spans="5:5">
      <c r="E24" t="s">
        <v>182</v>
      </c>
    </row>
    <row r="25" spans="5:5">
      <c r="E25" t="s">
        <v>183</v>
      </c>
    </row>
    <row r="26" spans="5:5">
      <c r="E26" t="s">
        <v>184</v>
      </c>
    </row>
    <row r="27" spans="5:5">
      <c r="E27" t="s">
        <v>185</v>
      </c>
    </row>
    <row r="28" spans="5:5">
      <c r="E28" t="s">
        <v>186</v>
      </c>
    </row>
    <row r="29" spans="5:5">
      <c r="E29" t="s">
        <v>187</v>
      </c>
    </row>
    <row r="30" spans="5:5">
      <c r="E30" t="s">
        <v>188</v>
      </c>
    </row>
    <row r="31" spans="5:5">
      <c r="E31" t="s">
        <v>189</v>
      </c>
    </row>
    <row r="32" spans="5:5">
      <c r="E32" t="s">
        <v>190</v>
      </c>
    </row>
    <row r="33" spans="5:5">
      <c r="E33" t="s">
        <v>191</v>
      </c>
    </row>
    <row r="34" spans="5:5">
      <c r="E34" t="s">
        <v>192</v>
      </c>
    </row>
    <row r="35" spans="5:5">
      <c r="E35" t="s">
        <v>193</v>
      </c>
    </row>
    <row r="36" spans="5:5">
      <c r="E36" t="s">
        <v>194</v>
      </c>
    </row>
    <row r="37" spans="5:5">
      <c r="E37" t="s">
        <v>195</v>
      </c>
    </row>
    <row r="38" spans="5:5">
      <c r="E38" t="s">
        <v>196</v>
      </c>
    </row>
    <row r="39" spans="5:5">
      <c r="E39" t="s">
        <v>197</v>
      </c>
    </row>
    <row r="40" spans="5:5">
      <c r="E40" t="s">
        <v>198</v>
      </c>
    </row>
    <row r="41" spans="5:5">
      <c r="E41" t="s">
        <v>199</v>
      </c>
    </row>
    <row r="42" spans="5:5">
      <c r="E42" t="s">
        <v>200</v>
      </c>
    </row>
    <row r="43" spans="5:5">
      <c r="E43" t="s">
        <v>201</v>
      </c>
    </row>
    <row r="44" spans="5:5">
      <c r="E44" t="s">
        <v>202</v>
      </c>
    </row>
    <row r="45" spans="5:5">
      <c r="E45" t="s">
        <v>203</v>
      </c>
    </row>
    <row r="46" spans="5:5">
      <c r="E46" t="s">
        <v>204</v>
      </c>
    </row>
    <row r="47" spans="5:5">
      <c r="E47" t="s">
        <v>205</v>
      </c>
    </row>
    <row r="48" spans="5:5">
      <c r="E48" t="s">
        <v>206</v>
      </c>
    </row>
    <row r="49" spans="5:5">
      <c r="E49" t="s">
        <v>207</v>
      </c>
    </row>
    <row r="50" spans="5:5">
      <c r="E50" t="s">
        <v>208</v>
      </c>
    </row>
    <row r="51" spans="5:5">
      <c r="E51" t="s">
        <v>209</v>
      </c>
    </row>
    <row r="52" spans="5:5">
      <c r="E52" t="s">
        <v>210</v>
      </c>
    </row>
    <row r="53" spans="5:5">
      <c r="E53" t="s">
        <v>211</v>
      </c>
    </row>
    <row r="54" spans="5:5">
      <c r="E54" t="s">
        <v>212</v>
      </c>
    </row>
    <row r="55" spans="5:5">
      <c r="E55" t="s">
        <v>213</v>
      </c>
    </row>
    <row r="56" spans="5:5">
      <c r="E56" t="s">
        <v>214</v>
      </c>
    </row>
    <row r="57" spans="5:5">
      <c r="E57" t="s">
        <v>215</v>
      </c>
    </row>
    <row r="58" spans="5:5">
      <c r="E58" t="s">
        <v>216</v>
      </c>
    </row>
    <row r="59" spans="5:5">
      <c r="E59" t="s">
        <v>217</v>
      </c>
    </row>
    <row r="60" spans="5:5">
      <c r="E60" t="s">
        <v>218</v>
      </c>
    </row>
    <row r="61" spans="5:5">
      <c r="E61" t="s">
        <v>219</v>
      </c>
    </row>
    <row r="62" spans="5:5">
      <c r="E62" t="s">
        <v>220</v>
      </c>
    </row>
    <row r="63" spans="5:5">
      <c r="E63" t="s">
        <v>221</v>
      </c>
    </row>
    <row r="64" spans="5:5">
      <c r="E64" t="s">
        <v>222</v>
      </c>
    </row>
    <row r="65" spans="5:5">
      <c r="E65" t="s">
        <v>223</v>
      </c>
    </row>
    <row r="66" spans="5:5">
      <c r="E66" t="s">
        <v>224</v>
      </c>
    </row>
    <row r="67" spans="5:5">
      <c r="E67" t="s">
        <v>225</v>
      </c>
    </row>
    <row r="68" spans="5:5">
      <c r="E68" t="s">
        <v>226</v>
      </c>
    </row>
    <row r="69" spans="5:5">
      <c r="E69" t="s">
        <v>227</v>
      </c>
    </row>
    <row r="70" spans="5:5">
      <c r="E70" t="s">
        <v>228</v>
      </c>
    </row>
    <row r="71" spans="5:5">
      <c r="E71" t="s">
        <v>229</v>
      </c>
    </row>
    <row r="72" spans="5:5">
      <c r="E72" t="s">
        <v>230</v>
      </c>
    </row>
    <row r="73" spans="5:5">
      <c r="E73" t="s">
        <v>231</v>
      </c>
    </row>
    <row r="74" spans="5:5">
      <c r="E74" t="s">
        <v>232</v>
      </c>
    </row>
    <row r="75" spans="5:5">
      <c r="E75" t="s">
        <v>233</v>
      </c>
    </row>
    <row r="76" spans="5:5">
      <c r="E76" t="s">
        <v>234</v>
      </c>
    </row>
    <row r="77" spans="5:5">
      <c r="E77" t="s">
        <v>235</v>
      </c>
    </row>
    <row r="78" spans="5:5">
      <c r="E78" t="s">
        <v>236</v>
      </c>
    </row>
    <row r="79" spans="5:5">
      <c r="E79" t="s">
        <v>237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gilberto Junior</cp:lastModifiedBy>
  <cp:revision/>
  <dcterms:created xsi:type="dcterms:W3CDTF">2004-04-07T20:43:43Z</dcterms:created>
  <dcterms:modified xsi:type="dcterms:W3CDTF">2024-03-07T21:14:30Z</dcterms:modified>
  <cp:category/>
  <cp:contentStatus/>
</cp:coreProperties>
</file>