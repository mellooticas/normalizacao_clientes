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24" documentId="13_ncr:1_{BD8BC976-27E1-42A6-BCCC-02BB3EA346C4}" xr6:coauthVersionLast="47" xr6:coauthVersionMax="47" xr10:uidLastSave="{6CCCB73C-4100-4B79-89D5-8EBC474CF8D4}"/>
  <bookViews>
    <workbookView xWindow="-120" yWindow="-120" windowWidth="29040" windowHeight="15720" tabRatio="895" firstSheet="3" activeTab="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8" sheetId="196" r:id="rId26"/>
    <sheet name="25" sheetId="195" r:id="rId27"/>
    <sheet name="26" sheetId="194" r:id="rId28"/>
    <sheet name="27" sheetId="197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5" i="195"/>
  <c r="C22" i="195" s="1"/>
  <c r="C5" i="194"/>
  <c r="C5" i="197"/>
  <c r="C5" i="196"/>
  <c r="C22" i="196" s="1"/>
  <c r="C5" i="192"/>
  <c r="C22" i="192" s="1"/>
  <c r="C5" i="199"/>
  <c r="C5" i="198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6" i="189"/>
  <c r="C6" i="190"/>
  <c r="C6" i="191"/>
  <c r="C6" i="188"/>
  <c r="C6" i="193"/>
  <c r="C6" i="195"/>
  <c r="C6" i="194"/>
  <c r="C6" i="197"/>
  <c r="C6" i="196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40" i="199" s="1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40" i="198" s="1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C8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 s="1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C8" i="188" l="1"/>
  <c r="C8" i="191"/>
  <c r="R40" i="186"/>
  <c r="C20" i="177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<sst xmlns="http://schemas.openxmlformats.org/spreadsheetml/2006/main" count="1810" uniqueCount="209">
  <si>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</si>
  <si>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</si>
  <si>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</si>
  <si>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</si>
  <si>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</si>
  <si>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</si>
  <si>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</si>
  <si>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</si>
  <si>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</si>
  <si>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</si>
  <si>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</si>
  <si>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</si>
  <si>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</si>
  <si>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</si>
  <si>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</si>
  <si>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</si>
  <si>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</si>
  <si>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</si>
  <si>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</si>
  <si>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</si>
  <si>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</si>
  <si>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Thiago Luiz da Silva</t>
  </si>
  <si>
    <t>VERIFICAÇÃO</t>
  </si>
  <si>
    <t>Total  entrada</t>
  </si>
  <si>
    <t>OS Entregue no Dia</t>
  </si>
  <si>
    <t>OS</t>
  </si>
  <si>
    <t>Vendedor</t>
  </si>
  <si>
    <t>CARNE</t>
  </si>
  <si>
    <t>Érika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</si>
  <si>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</si>
  <si>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</si>
  <si>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</si>
  <si>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</si>
  <si>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</si>
  <si>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</si>
  <si>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</si>
  <si>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</si>
  <si>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Ian Silva de Souza</t>
  </si>
  <si>
    <t>PARC. 2/5</t>
  </si>
  <si>
    <t>Total de OS</t>
  </si>
  <si>
    <t xml:space="preserve">Ericson Francisco </t>
  </si>
  <si>
    <t>GARANTIA</t>
  </si>
  <si>
    <t>Roseclea de Lima</t>
  </si>
  <si>
    <t>William</t>
  </si>
  <si>
    <t>Oswaldo Cardoso</t>
  </si>
  <si>
    <t>Janete dos Santos</t>
  </si>
  <si>
    <t>PARC. 4/6</t>
  </si>
  <si>
    <t>PARC. 5/6</t>
  </si>
  <si>
    <t>Marco Anônio de Souza</t>
  </si>
  <si>
    <t>PARC. 4/5</t>
  </si>
  <si>
    <t>PARC. 5/5</t>
  </si>
  <si>
    <t>Claudete Mondevaim</t>
  </si>
  <si>
    <t xml:space="preserve"> Flávia da Silva Colferai</t>
  </si>
  <si>
    <t>Erika</t>
  </si>
  <si>
    <t>Taty/Erika</t>
  </si>
  <si>
    <t>Taty</t>
  </si>
  <si>
    <t xml:space="preserve">João Celio </t>
  </si>
  <si>
    <t>Rozemiro Geraldino</t>
  </si>
  <si>
    <t>Selma Correia dos Santos</t>
  </si>
  <si>
    <t>Kelly Cristina de Oliveira</t>
  </si>
  <si>
    <t>PARC. 3/5</t>
  </si>
  <si>
    <t>514</t>
  </si>
  <si>
    <t>Roseneide Angelina</t>
  </si>
  <si>
    <t>Maria Celeste Ferreira</t>
  </si>
  <si>
    <t>PARC. 3/3</t>
  </si>
  <si>
    <t>Amara Ferreira da Silva</t>
  </si>
  <si>
    <t>Joana</t>
  </si>
  <si>
    <t xml:space="preserve">Maria Aparecida </t>
  </si>
  <si>
    <t>Gicélia Francisca Santos</t>
  </si>
  <si>
    <t>PARC. 4/8</t>
  </si>
  <si>
    <t>Lucia Aparecida Conceição</t>
  </si>
  <si>
    <t>Moacir Paixão de Azevedo</t>
  </si>
  <si>
    <t>Sim</t>
  </si>
  <si>
    <t>Vitória Ramos dos Santos</t>
  </si>
  <si>
    <t>Jorge de Jesus Santos</t>
  </si>
  <si>
    <t>PARC. 2/2</t>
  </si>
  <si>
    <t>Carina Conceição da Costa</t>
  </si>
  <si>
    <t>PARC. 1/2</t>
  </si>
  <si>
    <t>Aparecida Cirico da Rocha</t>
  </si>
  <si>
    <t>Geraldo Lima de Paiva</t>
  </si>
  <si>
    <t>517</t>
  </si>
  <si>
    <t>Joel Santana</t>
  </si>
  <si>
    <t>518</t>
  </si>
  <si>
    <t>Lucimar Cerqueira Costa</t>
  </si>
  <si>
    <t xml:space="preserve">Raquel Mendes de Moura </t>
  </si>
  <si>
    <t xml:space="preserve">Deusa Aparecida </t>
  </si>
  <si>
    <t>PARC. 3/8</t>
  </si>
  <si>
    <t>Fernanda Quaresma</t>
  </si>
  <si>
    <t xml:space="preserve">Alex Fernandes </t>
  </si>
  <si>
    <t>Anexo 462</t>
  </si>
  <si>
    <t>SAMUEL</t>
  </si>
  <si>
    <t>TATY</t>
  </si>
  <si>
    <t>Samuel Gonçalves</t>
  </si>
  <si>
    <t>VERA LÚCIA</t>
  </si>
  <si>
    <t xml:space="preserve">PAMELA PACÍFICO </t>
  </si>
  <si>
    <t>anexo 522</t>
  </si>
  <si>
    <t>JULIA PACÍFICO</t>
  </si>
  <si>
    <t>ÉRIKA</t>
  </si>
  <si>
    <t>antonio carlos</t>
  </si>
  <si>
    <t>ctd</t>
  </si>
  <si>
    <t>Troco OS 311</t>
  </si>
  <si>
    <t>Isomar Moreira Duque</t>
  </si>
  <si>
    <t xml:space="preserve">Rosângela Paes </t>
  </si>
  <si>
    <t xml:space="preserve">Tamires / Jardel </t>
  </si>
  <si>
    <t>PARC. 1/10</t>
  </si>
  <si>
    <t>Selma Alves dos Santos</t>
  </si>
  <si>
    <t>Adilson José</t>
  </si>
  <si>
    <t>JOANA</t>
  </si>
  <si>
    <t>Landisse de Souza</t>
  </si>
  <si>
    <t>Rejane da Silva Moraes</t>
  </si>
  <si>
    <t>PARC. 1/4</t>
  </si>
  <si>
    <t>José Ivanildo Martins</t>
  </si>
  <si>
    <t>Maria das Neves</t>
  </si>
  <si>
    <t>Daniela Pela</t>
  </si>
  <si>
    <t>Francisco das Chagas</t>
  </si>
  <si>
    <t>Aline Martins</t>
  </si>
  <si>
    <t>Daniela Oliveira</t>
  </si>
  <si>
    <t xml:space="preserve">Pâmela Pacífico </t>
  </si>
  <si>
    <t>Moacir Paixão</t>
  </si>
  <si>
    <t>ANA</t>
  </si>
  <si>
    <t>Lourival Gonçalves</t>
  </si>
  <si>
    <t xml:space="preserve">VERIFICAÇÃO </t>
  </si>
  <si>
    <t xml:space="preserve">Célia Perandim </t>
  </si>
  <si>
    <t>Aline Meneses</t>
  </si>
  <si>
    <t xml:space="preserve"> Vera Aparecida de Goda</t>
  </si>
  <si>
    <t>PARC. 2/3</t>
  </si>
  <si>
    <t>Valdir Ferreira da Silva</t>
  </si>
  <si>
    <t>Valter Antonio</t>
  </si>
  <si>
    <t xml:space="preserve">Sara Angélica </t>
  </si>
  <si>
    <t xml:space="preserve"> </t>
  </si>
  <si>
    <t>CARNÊ</t>
  </si>
  <si>
    <t>Entrega de Carnê</t>
  </si>
  <si>
    <t>Zelita Bezerra</t>
  </si>
  <si>
    <t xml:space="preserve">Marco Antonio de Souza 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</si>
  <si>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</si>
  <si>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</si>
  <si>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</si>
  <si>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</si>
  <si>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</si>
  <si>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</si>
  <si>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</si>
  <si>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Parcelado Cartão Crédito</t>
  </si>
  <si>
    <t>PARC. 1/3</t>
  </si>
  <si>
    <t>SS</t>
  </si>
  <si>
    <t>Sem Sinal</t>
  </si>
  <si>
    <t xml:space="preserve">Carne </t>
  </si>
  <si>
    <t>Todas as Garantias</t>
  </si>
  <si>
    <t>PARC. 2/4</t>
  </si>
  <si>
    <t>PARC. 3/4</t>
  </si>
  <si>
    <t>PARC. 4/4</t>
  </si>
  <si>
    <t>PARC. 1/5</t>
  </si>
  <si>
    <t>PARC. 1/6</t>
  </si>
  <si>
    <t>PARC. 2/6</t>
  </si>
  <si>
    <t>PARC. 3/6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</si>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</sst>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0" fontId="5" fillId="0" borderId="17" xfId="39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9" fontId="24" fillId="0" borderId="13" xfId="39" applyNumberFormat="1" applyFont="1" applyFill="1" applyBorder="1" applyAlignment="1">
      <alignment horizontal="center"/>
    </xf>
    <xf numFmtId="44" fontId="24" fillId="0" borderId="13" xfId="39" applyFont="1" applyFill="1" applyBorder="1" applyAlignment="1">
      <alignment horizontal="center"/>
    </xf>
    <xf numFmtId="165" fontId="24" fillId="0" borderId="13" xfId="4" applyNumberFormat="1" applyFont="1" applyFill="1" applyBorder="1" applyAlignment="1">
      <alignment horizontal="center"/>
    </xf>
    <xf numFmtId="49" fontId="24" fillId="0" borderId="17" xfId="39" applyNumberFormat="1" applyFont="1" applyFill="1" applyBorder="1" applyAlignment="1">
      <alignment horizontal="center"/>
    </xf>
    <xf numFmtId="165" fontId="24" fillId="0" borderId="17" xfId="4" applyNumberFormat="1" applyFont="1" applyFill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4" fontId="34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3" xfId="59" xr:uid="{00000000-0005-0000-0000-00000F000000}"/>
    <cellStyle name="Moeda 2 3" xfId="44" xr:uid="{00000000-0005-0000-0000-000010000000}"/>
    <cellStyle name="Moeda 2 4" xfId="57" xr:uid="{00000000-0005-0000-0000-000011000000}"/>
    <cellStyle name="Moeda 3" xfId="39" xr:uid="{00000000-0005-0000-0000-000012000000}"/>
    <cellStyle name="Normal" xfId="0" builtinId="0"/>
    <cellStyle name="Normal 2" xfId="3" xr:uid="{00000000-0005-0000-0000-000014000000}"/>
    <cellStyle name="Normal 2 2" xfId="8" xr:uid="{00000000-0005-0000-0000-000015000000}"/>
    <cellStyle name="Normal 2 2 2" xfId="12" xr:uid="{00000000-0005-0000-0000-000016000000}"/>
    <cellStyle name="Normal 2 2 2 2" xfId="43" xr:uid="{00000000-0005-0000-0000-000017000000}"/>
    <cellStyle name="Normal 2 2 3" xfId="40" xr:uid="{00000000-0005-0000-0000-000018000000}"/>
    <cellStyle name="Normal 2 3" xfId="27" xr:uid="{00000000-0005-0000-0000-000019000000}"/>
    <cellStyle name="Normal 2 3 2" xfId="48" xr:uid="{00000000-0005-0000-0000-00001A000000}"/>
    <cellStyle name="Normal 3" xfId="18" xr:uid="{00000000-0005-0000-0000-00001B000000}"/>
    <cellStyle name="Normal 3 2" xfId="45" xr:uid="{00000000-0005-0000-0000-00001C000000}"/>
    <cellStyle name="Normal 4" xfId="28" xr:uid="{00000000-0005-0000-0000-00001D000000}"/>
    <cellStyle name="Normal 4 2" xfId="20" xr:uid="{00000000-0005-0000-0000-00001E000000}"/>
    <cellStyle name="Normal 4 3" xfId="49" xr:uid="{00000000-0005-0000-0000-00001F000000}"/>
    <cellStyle name="Normal 4 4" xfId="60" xr:uid="{00000000-0005-0000-0000-000020000000}"/>
    <cellStyle name="Normal 5" xfId="29" xr:uid="{00000000-0005-0000-0000-000021000000}"/>
    <cellStyle name="Normal 5 2" xfId="50" xr:uid="{00000000-0005-0000-0000-000022000000}"/>
    <cellStyle name="Normal 6" xfId="30" xr:uid="{00000000-0005-0000-0000-000023000000}"/>
    <cellStyle name="Normal 6 2" xfId="51" xr:uid="{00000000-0005-0000-0000-000024000000}"/>
    <cellStyle name="Percentual de métrica-chave" xfId="31" xr:uid="{00000000-0005-0000-0000-000025000000}"/>
    <cellStyle name="Porcentagem" xfId="4" builtinId="5"/>
    <cellStyle name="Porcentagem 2" xfId="10" xr:uid="{00000000-0005-0000-0000-000027000000}"/>
    <cellStyle name="Porcentagem 2 2" xfId="41" xr:uid="{00000000-0005-0000-0000-000028000000}"/>
    <cellStyle name="Porcentagem 5" xfId="32" xr:uid="{00000000-0005-0000-0000-000029000000}"/>
    <cellStyle name="Porcentagem 5 2" xfId="52" xr:uid="{00000000-0005-0000-0000-00002A000000}"/>
    <cellStyle name="Separador de milhares 2" xfId="11" xr:uid="{00000000-0005-0000-0000-00002B000000}"/>
    <cellStyle name="Separador de milhares 2 2" xfId="42" xr:uid="{00000000-0005-0000-0000-00002C000000}"/>
    <cellStyle name="Separador de milhares 2 3" xfId="56" xr:uid="{00000000-0005-0000-0000-00002D000000}"/>
    <cellStyle name="Separador de milhares 3" xfId="33" xr:uid="{00000000-0005-0000-0000-00002E000000}"/>
    <cellStyle name="Separador de milhares 5" xfId="34" xr:uid="{00000000-0005-0000-0000-00002F000000}"/>
    <cellStyle name="Separador de milhares 5 2" xfId="53" xr:uid="{00000000-0005-0000-0000-000030000000}"/>
    <cellStyle name="Separador de milhares 6" xfId="35" xr:uid="{00000000-0005-0000-0000-000031000000}"/>
    <cellStyle name="Separador de milhares 6 2" xfId="54" xr:uid="{00000000-0005-0000-0000-000032000000}"/>
    <cellStyle name="Título 1 1" xfId="5" xr:uid="{00000000-0005-0000-0000-000033000000}"/>
    <cellStyle name="Título 1 1 1" xfId="6" xr:uid="{00000000-0005-0000-0000-000034000000}"/>
    <cellStyle name="Título 1 1 1 1" xfId="7" xr:uid="{00000000-0005-0000-0000-000035000000}"/>
    <cellStyle name="Título 5" xfId="36" xr:uid="{00000000-0005-0000-0000-000036000000}"/>
    <cellStyle name="Valor de métrica-chave" xfId="37" xr:uid="{00000000-0005-0000-0000-000037000000}"/>
    <cellStyle name="Vírgula 10" xfId="19" xr:uid="{00000000-0005-0000-0000-000038000000}"/>
    <cellStyle name="Vírgula 10 2" xfId="46" xr:uid="{00000000-0005-0000-0000-000039000000}"/>
    <cellStyle name="Vírgula 10 3" xfId="58" xr:uid="{00000000-0005-0000-0000-00003A000000}"/>
    <cellStyle name="Vírgula 2" xfId="38" xr:uid="{00000000-0005-0000-0000-00003B000000}"/>
    <cellStyle name="Vírgula 2 2" xfId="55" xr:uid="{00000000-0005-0000-0000-00003C000000}"/>
    <cellStyle name="Vírgula 2 3" xfId="61" xr:uid="{00000000-0005-0000-0000-00003D00000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4" dataDxfId="1642" headerRowBorderDxfId="1643" tableBorderDxfId="1641" totalsRowBorderDxfId="1640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39" dataCellStyle="Moeda"/>
    <tableColumn id="5" xr3:uid="{00000000-0010-0000-0000-000005000000}" name="Cliente" dataDxfId="1638" dataCellStyle="Moeda"/>
    <tableColumn id="2" xr3:uid="{00000000-0010-0000-0000-000002000000}" name="Forma de Pgto" dataDxfId="1637" dataCellStyle="Moeda"/>
    <tableColumn id="3" xr3:uid="{00000000-0010-0000-0000-000003000000}" name="Valor Venda" dataDxfId="1636" dataCellStyle="Porcentagem"/>
    <tableColumn id="4" xr3:uid="{00000000-0010-0000-0000-000004000000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4" dataDxfId="1632" headerRowBorderDxfId="1633" tableBorderDxfId="1631" totalsRowBorderDxfId="1630">
  <autoFilter ref="K5:M11" xr:uid="{00000000-0009-0000-0100-000027000000}"/>
  <tableColumns count="3">
    <tableColumn id="1" xr3:uid="{00000000-0010-0000-0100-000001000000}" name="Descrição" dataDxfId="1629"/>
    <tableColumn id="2" xr3:uid="{00000000-0010-0000-0100-000002000000}" name="Tipo de Pagto" dataDxfId="1628"/>
    <tableColumn id="3" xr3:uid="{00000000-0010-0000-0100-000003000000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6" dataDxfId="1624" headerRowBorderDxfId="1625" tableBorderDxfId="1623" totalsRowBorderDxfId="1622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21"/>
    <tableColumn id="2" xr3:uid="{00000000-0010-0000-0200-000002000000}" name="Cliente" dataDxfId="1620"/>
    <tableColumn id="3" xr3:uid="{00000000-0010-0000-0200-000003000000}" name="Forma de Pgto" dataDxfId="1619" dataCellStyle="Moeda"/>
    <tableColumn id="4" xr3:uid="{00000000-0010-0000-0200-000004000000}" name="Valor Venda" dataDxfId="1618" dataCellStyle="Porcentagem"/>
    <tableColumn id="5" xr3:uid="{00000000-0010-0000-0200-000005000000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6" dataDxfId="1614" headerRowBorderDxfId="1615" tableBorderDxfId="1613" totalsRowBorderDxfId="1612">
  <autoFilter ref="K14:M31" xr:uid="{00000000-0009-0000-0100-000029000000}"/>
  <tableColumns count="3">
    <tableColumn id="1" xr3:uid="{00000000-0010-0000-0300-000001000000}" name="OS" dataDxfId="1611"/>
    <tableColumn id="2" xr3:uid="{00000000-0010-0000-0300-000002000000}" name="Vendedor" dataDxfId="1610"/>
    <tableColumn id="3" xr3:uid="{00000000-0010-0000-0300-000003000000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8" dataDxfId="1606" headerRowBorderDxfId="1607" tableBorderDxfId="1605" totalsRowBorderDxfId="1604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3"/>
    <tableColumn id="2" xr3:uid="{00000000-0010-0000-0400-000002000000}" name="Cliente" dataDxfId="1602"/>
    <tableColumn id="3" xr3:uid="{00000000-0010-0000-0400-000003000000}" name="Forma de Pgto" dataDxfId="1601" dataCellStyle="Moeda"/>
    <tableColumn id="4" xr3:uid="{00000000-0010-0000-0400-000004000000}" name="Valor Parcela" dataDxfId="1600" dataCellStyle="Porcentagem"/>
    <tableColumn id="5" xr3:uid="{00000000-0010-0000-0400-000005000000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8" headerRowBorderDxfId="1597" tableBorderDxfId="1596" totalsRowBorderDxfId="1595">
  <autoFilter ref="K34:M41" xr:uid="{00000000-0009-0000-0100-00002B000000}"/>
  <tableColumns count="3">
    <tableColumn id="1" xr3:uid="{00000000-0010-0000-0500-000001000000}" name="OS" dataDxfId="1594"/>
    <tableColumn id="2" xr3:uid="{00000000-0010-0000-0500-000002000000}" name="Parcelas" dataDxfId="1593"/>
    <tableColumn id="3" xr3:uid="{00000000-0010-0000-0500-000003000000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91" dataDxfId="1589" headerRowBorderDxfId="1590" tableBorderDxfId="1588" totalsRowBorderDxfId="1587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Nº Venda" dataDxfId="1586" dataCellStyle="Moeda"/>
    <tableColumn id="5" xr3:uid="{00000000-0010-0000-0600-000005000000}" name="Cliente" dataDxfId="1585" dataCellStyle="Moeda"/>
    <tableColumn id="2" xr3:uid="{00000000-0010-0000-0600-000002000000}" name="Forma de Pgto" dataDxfId="1584" dataCellStyle="Moeda"/>
    <tableColumn id="3" xr3:uid="{00000000-0010-0000-0600-000003000000}" name="Valor Venda" dataDxfId="1583" dataCellStyle="Porcentagem"/>
    <tableColumn id="4" xr3:uid="{00000000-0010-0000-0600-000004000000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81" dataDxfId="1579" headerRowBorderDxfId="1580" tableBorderDxfId="1578" totalsRowBorderDxfId="1577">
  <autoFilter ref="K5:M11" xr:uid="{00000000-0009-0000-0100-000021000000}"/>
  <tableColumns count="3">
    <tableColumn id="1" xr3:uid="{00000000-0010-0000-0700-000001000000}" name="Descrição" dataDxfId="1576"/>
    <tableColumn id="2" xr3:uid="{00000000-0010-0000-0700-000002000000}" name="Tipo de Pagto" dataDxfId="1575"/>
    <tableColumn id="3" xr3:uid="{00000000-0010-0000-0700-000003000000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3" dataDxfId="1571" headerRowBorderDxfId="1572" tableBorderDxfId="1570" totalsRowBorderDxfId="1569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8"/>
    <tableColumn id="2" xr3:uid="{00000000-0010-0000-0800-000002000000}" name="Cliente" dataDxfId="1567"/>
    <tableColumn id="3" xr3:uid="{00000000-0010-0000-0800-000003000000}" name="Forma de Pgto" dataDxfId="1566" dataCellStyle="Moeda"/>
    <tableColumn id="4" xr3:uid="{00000000-0010-0000-0800-000004000000}" name="Valor Venda" dataDxfId="1565" dataCellStyle="Porcentagem"/>
    <tableColumn id="5" xr3:uid="{00000000-0010-0000-0800-000005000000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3" dataDxfId="1561" headerRowBorderDxfId="1562" tableBorderDxfId="1560" totalsRowBorderDxfId="1559">
  <autoFilter ref="K14:M31" xr:uid="{00000000-0009-0000-0100-000023000000}"/>
  <tableColumns count="3">
    <tableColumn id="1" xr3:uid="{00000000-0010-0000-0900-000001000000}" name="OS" dataDxfId="1558"/>
    <tableColumn id="2" xr3:uid="{00000000-0010-0000-0900-000002000000}" name="Vendedor" dataDxfId="1557"/>
    <tableColumn id="3" xr3:uid="{00000000-0010-0000-0900-000003000000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5" dataDxfId="1553" headerRowBorderDxfId="1554" tableBorderDxfId="1552" totalsRowBorderDxfId="1551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50"/>
    <tableColumn id="2" xr3:uid="{00000000-0010-0000-0A00-000002000000}" name="Cliente" dataDxfId="1549"/>
    <tableColumn id="3" xr3:uid="{00000000-0010-0000-0A00-000003000000}" name="Forma de Pgto" dataDxfId="1548" dataCellStyle="Moeda"/>
    <tableColumn id="4" xr3:uid="{00000000-0010-0000-0A00-000004000000}" name="Valor Parcela" dataDxfId="1547" dataCellStyle="Porcentagem"/>
    <tableColumn id="5" xr3:uid="{00000000-0010-0000-0A00-000005000000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5" headerRowBorderDxfId="1544" tableBorderDxfId="1543" totalsRowBorderDxfId="1542">
  <autoFilter ref="K34:M41" xr:uid="{00000000-0009-0000-0100-000025000000}"/>
  <tableColumns count="3">
    <tableColumn id="1" xr3:uid="{00000000-0010-0000-0B00-000001000000}" name="OS" dataDxfId="1541"/>
    <tableColumn id="2" xr3:uid="{00000000-0010-0000-0B00-000002000000}" name="Parcelas" dataDxfId="1540"/>
    <tableColumn id="3" xr3:uid="{00000000-0010-0000-0B00-000003000000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8" dataDxfId="1536" headerRowBorderDxfId="1537" tableBorderDxfId="1535" totalsRowBorderDxfId="1534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3" dataCellStyle="Moeda"/>
    <tableColumn id="5" xr3:uid="{00000000-0010-0000-0C00-000005000000}" name="Cliente" dataDxfId="1532" dataCellStyle="Moeda"/>
    <tableColumn id="2" xr3:uid="{00000000-0010-0000-0C00-000002000000}" name="Forma de Pgto" dataDxfId="1531" dataCellStyle="Moeda"/>
    <tableColumn id="3" xr3:uid="{00000000-0010-0000-0C00-000003000000}" name="Valor Venda" dataDxfId="1530" dataCellStyle="Porcentagem"/>
    <tableColumn id="4" xr3:uid="{00000000-0010-0000-0C00-000004000000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8" dataDxfId="1526" headerRowBorderDxfId="1527" tableBorderDxfId="1525" totalsRowBorderDxfId="1524">
  <autoFilter ref="K5:M11" xr:uid="{00000000-0009-0000-0100-00001B000000}"/>
  <tableColumns count="3">
    <tableColumn id="1" xr3:uid="{00000000-0010-0000-0D00-000001000000}" name="Descrição" dataDxfId="1523"/>
    <tableColumn id="2" xr3:uid="{00000000-0010-0000-0D00-000002000000}" name="Tipo de Pagto" dataDxfId="1522"/>
    <tableColumn id="3" xr3:uid="{00000000-0010-0000-0D00-000003000000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20" dataDxfId="1518" headerRowBorderDxfId="1519" tableBorderDxfId="1517" totalsRowBorderDxfId="1516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5"/>
    <tableColumn id="2" xr3:uid="{00000000-0010-0000-0E00-000002000000}" name="Cliente" dataDxfId="1514"/>
    <tableColumn id="3" xr3:uid="{00000000-0010-0000-0E00-000003000000}" name="Forma de Pgto" dataDxfId="1513" dataCellStyle="Moeda"/>
    <tableColumn id="4" xr3:uid="{00000000-0010-0000-0E00-000004000000}" name="Valor Venda" dataDxfId="1512" dataCellStyle="Porcentagem"/>
    <tableColumn id="5" xr3:uid="{00000000-0010-0000-0E00-000005000000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10" dataDxfId="1508" headerRowBorderDxfId="1509" tableBorderDxfId="1507" totalsRowBorderDxfId="1506">
  <autoFilter ref="K14:M31" xr:uid="{00000000-0009-0000-0100-00001D000000}"/>
  <tableColumns count="3">
    <tableColumn id="1" xr3:uid="{00000000-0010-0000-0F00-000001000000}" name="OS" dataDxfId="1505"/>
    <tableColumn id="2" xr3:uid="{00000000-0010-0000-0F00-000002000000}" name="Vendedor" dataDxfId="1504"/>
    <tableColumn id="3" xr3:uid="{00000000-0010-0000-0F00-000003000000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2" dataDxfId="1500" headerRowBorderDxfId="1501" tableBorderDxfId="1499" totalsRowBorderDxfId="1498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7"/>
    <tableColumn id="2" xr3:uid="{00000000-0010-0000-1000-000002000000}" name="Cliente" dataDxfId="1496"/>
    <tableColumn id="3" xr3:uid="{00000000-0010-0000-1000-000003000000}" name="Forma de Pgto" dataDxfId="1495" dataCellStyle="Moeda"/>
    <tableColumn id="4" xr3:uid="{00000000-0010-0000-1000-000004000000}" name="Valor Parcela" dataDxfId="1494" dataCellStyle="Porcentagem"/>
    <tableColumn id="5" xr3:uid="{00000000-0010-0000-1000-000005000000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2" headerRowBorderDxfId="1491" tableBorderDxfId="1490" totalsRowBorderDxfId="1489">
  <autoFilter ref="K34:M41" xr:uid="{00000000-0009-0000-0100-00001F000000}"/>
  <tableColumns count="3">
    <tableColumn id="1" xr3:uid="{00000000-0010-0000-1100-000001000000}" name="OS" dataDxfId="1488"/>
    <tableColumn id="2" xr3:uid="{00000000-0010-0000-1100-000002000000}" name="Parcelas" dataDxfId="1487"/>
    <tableColumn id="3" xr3:uid="{00000000-0010-0000-1100-000003000000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5" dataDxfId="1483" headerRowBorderDxfId="1484" tableBorderDxfId="1482" totalsRowBorderDxfId="1481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80" dataCellStyle="Moeda"/>
    <tableColumn id="5" xr3:uid="{00000000-0010-0000-1200-000005000000}" name="Cliente" dataDxfId="1479" dataCellStyle="Moeda"/>
    <tableColumn id="2" xr3:uid="{00000000-0010-0000-1200-000002000000}" name="Forma de Pgto" dataDxfId="1478" dataCellStyle="Moeda"/>
    <tableColumn id="3" xr3:uid="{00000000-0010-0000-1200-000003000000}" name="Valor Venda" dataDxfId="1477" dataCellStyle="Porcentagem"/>
    <tableColumn id="4" xr3:uid="{00000000-0010-0000-1200-000004000000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5" dataDxfId="1473" headerRowBorderDxfId="1474" tableBorderDxfId="1472" totalsRowBorderDxfId="1471">
  <autoFilter ref="K5:M11" xr:uid="{00000000-0009-0000-0100-000012000000}"/>
  <tableColumns count="3">
    <tableColumn id="1" xr3:uid="{00000000-0010-0000-1300-000001000000}" name="Descrição" dataDxfId="1470"/>
    <tableColumn id="2" xr3:uid="{00000000-0010-0000-1300-000002000000}" name="Tipo de Pagto" dataDxfId="1469"/>
    <tableColumn id="3" xr3:uid="{00000000-0010-0000-1300-000003000000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7" dataDxfId="1465" headerRowBorderDxfId="1466" tableBorderDxfId="1464" totalsRowBorderDxfId="1463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2"/>
    <tableColumn id="2" xr3:uid="{00000000-0010-0000-1400-000002000000}" name="Cliente" dataDxfId="1461"/>
    <tableColumn id="3" xr3:uid="{00000000-0010-0000-1400-000003000000}" name="Forma de Pgto" dataDxfId="1460" dataCellStyle="Moeda"/>
    <tableColumn id="4" xr3:uid="{00000000-0010-0000-1400-000004000000}" name="Valor Venda" dataDxfId="1459" dataCellStyle="Porcentagem"/>
    <tableColumn id="5" xr3:uid="{00000000-0010-0000-1400-000005000000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7" dataDxfId="1455" headerRowBorderDxfId="1456" tableBorderDxfId="1454" totalsRowBorderDxfId="1453">
  <autoFilter ref="K14:M31" xr:uid="{00000000-0009-0000-0100-000017000000}"/>
  <tableColumns count="3">
    <tableColumn id="1" xr3:uid="{00000000-0010-0000-1500-000001000000}" name="OS" dataDxfId="1452"/>
    <tableColumn id="2" xr3:uid="{00000000-0010-0000-1500-000002000000}" name="Vendedor" dataDxfId="1451"/>
    <tableColumn id="3" xr3:uid="{00000000-0010-0000-1500-00000300000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49" dataDxfId="1447" headerRowBorderDxfId="1448" tableBorderDxfId="1446" totalsRowBorderDxfId="1445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4"/>
    <tableColumn id="2" xr3:uid="{00000000-0010-0000-1600-000002000000}" name="Cliente" dataDxfId="1443"/>
    <tableColumn id="3" xr3:uid="{00000000-0010-0000-1600-000003000000}" name="Forma de Pgto" dataDxfId="1442" dataCellStyle="Moeda"/>
    <tableColumn id="4" xr3:uid="{00000000-0010-0000-1600-000004000000}" name="Valor Parcela" dataDxfId="1441" dataCellStyle="Porcentagem"/>
    <tableColumn id="5" xr3:uid="{00000000-0010-0000-1600-000005000000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39" headerRowBorderDxfId="1438" tableBorderDxfId="1437" totalsRowBorderDxfId="1436">
  <autoFilter ref="K34:M41" xr:uid="{00000000-0009-0000-0100-000019000000}"/>
  <tableColumns count="3">
    <tableColumn id="1" xr3:uid="{00000000-0010-0000-1700-000001000000}" name="OS" dataDxfId="1435"/>
    <tableColumn id="2" xr3:uid="{00000000-0010-0000-1700-000002000000}" name="Parcelas" dataDxfId="1434"/>
    <tableColumn id="3" xr3:uid="{00000000-0010-0000-1700-000003000000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2" dataDxfId="1430" headerRowBorderDxfId="1431" tableBorderDxfId="1429" totalsRowBorderDxfId="1428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7" dataCellStyle="Moeda"/>
    <tableColumn id="5" xr3:uid="{00000000-0010-0000-1800-000005000000}" name="Cliente" dataDxfId="1426" dataCellStyle="Moeda"/>
    <tableColumn id="2" xr3:uid="{00000000-0010-0000-1800-000002000000}" name="Forma de Pgto" dataDxfId="1425" dataCellStyle="Moeda"/>
    <tableColumn id="3" xr3:uid="{00000000-0010-0000-1800-000003000000}" name="Valor Venda" dataDxfId="1424" dataCellStyle="Porcentagem"/>
    <tableColumn id="4" xr3:uid="{00000000-0010-0000-1800-000004000000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2" dataDxfId="1420" headerRowBorderDxfId="1421" tableBorderDxfId="1419" totalsRowBorderDxfId="1418">
  <autoFilter ref="K5:M11" xr:uid="{00000000-0009-0000-0100-00000C000000}"/>
  <tableColumns count="3">
    <tableColumn id="1" xr3:uid="{00000000-0010-0000-1900-000001000000}" name="Descrição" dataDxfId="1417"/>
    <tableColumn id="2" xr3:uid="{00000000-0010-0000-1900-000002000000}" name="Tipo de Pagto" dataDxfId="1416"/>
    <tableColumn id="3" xr3:uid="{00000000-0010-0000-1900-000003000000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4" dataDxfId="1412" headerRowBorderDxfId="1413" tableBorderDxfId="1411" totalsRowBorderDxfId="1410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09"/>
    <tableColumn id="2" xr3:uid="{00000000-0010-0000-1A00-000002000000}" name="Cliente" dataDxfId="1408"/>
    <tableColumn id="3" xr3:uid="{00000000-0010-0000-1A00-000003000000}" name="Forma de Pgto" dataDxfId="1407" dataCellStyle="Moeda"/>
    <tableColumn id="4" xr3:uid="{00000000-0010-0000-1A00-000004000000}" name="Valor Venda" dataDxfId="1406" dataCellStyle="Porcentagem"/>
    <tableColumn id="5" xr3:uid="{00000000-0010-0000-1A00-000005000000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4" dataDxfId="1402" headerRowBorderDxfId="1403" tableBorderDxfId="1401" totalsRowBorderDxfId="1400">
  <autoFilter ref="K14:M31" xr:uid="{00000000-0009-0000-0100-00000E000000}"/>
  <tableColumns count="3">
    <tableColumn id="1" xr3:uid="{00000000-0010-0000-1B00-000001000000}" name="OS" dataDxfId="1399"/>
    <tableColumn id="2" xr3:uid="{00000000-0010-0000-1B00-000002000000}" name="Vendedor" dataDxfId="1398"/>
    <tableColumn id="3" xr3:uid="{00000000-0010-0000-1B00-000003000000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6" dataDxfId="1394" headerRowBorderDxfId="1395" tableBorderDxfId="1393" totalsRowBorderDxfId="1392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91"/>
    <tableColumn id="2" xr3:uid="{00000000-0010-0000-1C00-000002000000}" name="Cliente" dataDxfId="1390"/>
    <tableColumn id="3" xr3:uid="{00000000-0010-0000-1C00-000003000000}" name="Forma de Pgto" dataDxfId="1389" dataCellStyle="Moeda"/>
    <tableColumn id="4" xr3:uid="{00000000-0010-0000-1C00-000004000000}" name="Valor Parcela" dataDxfId="1388" dataCellStyle="Porcentagem"/>
    <tableColumn id="5" xr3:uid="{00000000-0010-0000-1C00-000005000000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6" headerRowBorderDxfId="1385" tableBorderDxfId="1384" totalsRowBorderDxfId="1383">
  <autoFilter ref="K34:M41" xr:uid="{00000000-0009-0000-0100-000010000000}"/>
  <tableColumns count="3">
    <tableColumn id="1" xr3:uid="{00000000-0010-0000-1D00-000001000000}" name="OS" dataDxfId="1382"/>
    <tableColumn id="2" xr3:uid="{00000000-0010-0000-1D00-000002000000}" name="Parcelas" dataDxfId="1381"/>
    <tableColumn id="3" xr3:uid="{00000000-0010-0000-1D00-000003000000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I22" totalsRowShown="0" headerRowDxfId="1379" dataDxfId="1377" headerRowBorderDxfId="1378" tableBorderDxfId="1376" totalsRowBorderDxfId="1375">
  <autoFilter ref="E5:I22" xr:uid="{00000000-0009-0000-0100-000005000000}"/>
  <sortState xmlns:xlrd2="http://schemas.microsoft.com/office/spreadsheetml/2017/richdata2" ref="E6:I22">
    <sortCondition ref="E5:E22"/>
  </sortState>
  <tableColumns count="5">
    <tableColumn id="1" xr3:uid="{00000000-0010-0000-1E00-000001000000}" name="Nº Venda" dataDxfId="1374" dataCellStyle="Moeda"/>
    <tableColumn id="5" xr3:uid="{00000000-0010-0000-1E00-000005000000}" name="Cliente" dataDxfId="1373" dataCellStyle="Moeda"/>
    <tableColumn id="2" xr3:uid="{00000000-0010-0000-1E00-000002000000}" name="Forma de Pgto" dataDxfId="1372" dataCellStyle="Moeda"/>
    <tableColumn id="3" xr3:uid="{00000000-0010-0000-1E00-000003000000}" name="Valor Venda" dataDxfId="1371" dataCellStyle="Porcentagem"/>
    <tableColumn id="4" xr3:uid="{00000000-0010-0000-1E00-000004000000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9" dataDxfId="1367" headerRowBorderDxfId="1368" tableBorderDxfId="1366" totalsRowBorderDxfId="1365">
  <autoFilter ref="K5:M11" xr:uid="{00000000-0009-0000-0100-000006000000}"/>
  <tableColumns count="3">
    <tableColumn id="1" xr3:uid="{00000000-0010-0000-1F00-000001000000}" name="Descrição" dataDxfId="1364"/>
    <tableColumn id="2" xr3:uid="{00000000-0010-0000-1F00-000002000000}" name="Tipo de Pagto" dataDxfId="1363"/>
    <tableColumn id="3" xr3:uid="{00000000-0010-0000-1F00-000003000000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61" dataDxfId="1359" headerRowBorderDxfId="1360" tableBorderDxfId="1358" totalsRowBorderDxfId="1357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6"/>
    <tableColumn id="2" xr3:uid="{00000000-0010-0000-2000-000002000000}" name="Cliente" dataDxfId="1355"/>
    <tableColumn id="3" xr3:uid="{00000000-0010-0000-2000-000003000000}" name="Forma de Pgto" dataDxfId="1354" dataCellStyle="Moeda"/>
    <tableColumn id="4" xr3:uid="{00000000-0010-0000-2000-000004000000}" name="Valor Venda" dataDxfId="1353" dataCellStyle="Porcentagem"/>
    <tableColumn id="5" xr3:uid="{00000000-0010-0000-2000-000005000000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51" dataDxfId="1349" headerRowBorderDxfId="1350" tableBorderDxfId="1348" totalsRowBorderDxfId="1347">
  <autoFilter ref="K14:M31" xr:uid="{00000000-0009-0000-0100-000008000000}"/>
  <tableColumns count="3">
    <tableColumn id="1" xr3:uid="{00000000-0010-0000-2100-000001000000}" name="OS" dataDxfId="1346"/>
    <tableColumn id="2" xr3:uid="{00000000-0010-0000-2100-000002000000}" name="Vendedor" dataDxfId="1345"/>
    <tableColumn id="3" xr3:uid="{00000000-0010-0000-2100-000003000000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3" dataDxfId="1341" headerRowBorderDxfId="1342" tableBorderDxfId="1340" totalsRowBorderDxfId="1339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8"/>
    <tableColumn id="2" xr3:uid="{00000000-0010-0000-2200-000002000000}" name="Cliente" dataDxfId="1337"/>
    <tableColumn id="3" xr3:uid="{00000000-0010-0000-2200-000003000000}" name="Forma de Pgto" dataDxfId="1336" dataCellStyle="Moeda"/>
    <tableColumn id="4" xr3:uid="{00000000-0010-0000-2200-000004000000}" name="Valor Parcela" dataDxfId="1335" dataCellStyle="Porcentagem"/>
    <tableColumn id="5" xr3:uid="{00000000-0010-0000-2200-000005000000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3" headerRowBorderDxfId="1332" tableBorderDxfId="1331" totalsRowBorderDxfId="1330">
  <autoFilter ref="K34:M41" xr:uid="{00000000-0009-0000-0100-00000A000000}"/>
  <tableColumns count="3">
    <tableColumn id="1" xr3:uid="{00000000-0010-0000-2300-000001000000}" name="OS" dataDxfId="1329"/>
    <tableColumn id="2" xr3:uid="{00000000-0010-0000-2300-000002000000}" name="Parcelas" dataDxfId="1328"/>
    <tableColumn id="3" xr3:uid="{00000000-0010-0000-2300-000003000000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21" dataCellStyle="Moeda"/>
    <tableColumn id="5" xr3:uid="{00000000-0010-0000-2400-000005000000}" name="Cliente" dataDxfId="1320" dataCellStyle="Moeda"/>
    <tableColumn id="2" xr3:uid="{00000000-0010-0000-2400-000002000000}" name="Forma de Pgto" dataDxfId="1319" dataCellStyle="Moeda"/>
    <tableColumn id="3" xr3:uid="{00000000-0010-0000-2400-000003000000}" name="Valor Venda" dataDxfId="1318" dataCellStyle="Porcentagem"/>
    <tableColumn id="4" xr3:uid="{00000000-0010-0000-24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2500-000001000000}" name="Descrição" dataDxfId="1311"/>
    <tableColumn id="2" xr3:uid="{00000000-0010-0000-2500-000002000000}" name="Tipo de Pagto" dataDxfId="1310"/>
    <tableColumn id="3" xr3:uid="{00000000-0010-0000-25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3"/>
    <tableColumn id="2" xr3:uid="{00000000-0010-0000-2600-000002000000}" name="Cliente" dataDxfId="1302"/>
    <tableColumn id="3" xr3:uid="{00000000-0010-0000-2600-000003000000}" name="Forma de Pgto" dataDxfId="1301" dataCellStyle="Moeda"/>
    <tableColumn id="4" xr3:uid="{00000000-0010-0000-2600-000004000000}" name="Valor Venda" dataDxfId="1300" dataCellStyle="Porcentagem"/>
    <tableColumn id="5" xr3:uid="{00000000-0010-0000-26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8" dataDxfId="1296" headerRowBorderDxfId="1297" tableBorderDxfId="1295" totalsRowBorderDxfId="1294">
  <autoFilter ref="K14:M31" xr:uid="{00000000-0009-0000-0100-000050000000}"/>
  <tableColumns count="3">
    <tableColumn id="1" xr3:uid="{00000000-0010-0000-2700-000001000000}" name="OS" dataDxfId="1293"/>
    <tableColumn id="2" xr3:uid="{00000000-0010-0000-2700-000002000000}" name="Vendedor" dataDxfId="1292"/>
    <tableColumn id="3" xr3:uid="{00000000-0010-0000-2700-000003000000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90" dataDxfId="1288" headerRowBorderDxfId="1289" tableBorderDxfId="1287" totalsRowBorderDxfId="1286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5"/>
    <tableColumn id="2" xr3:uid="{00000000-0010-0000-2800-000002000000}" name="Cliente" dataDxfId="1284"/>
    <tableColumn id="3" xr3:uid="{00000000-0010-0000-2800-000003000000}" name="Forma de Pgto" dataDxfId="1283" dataCellStyle="Moeda"/>
    <tableColumn id="4" xr3:uid="{00000000-0010-0000-2800-000004000000}" name="Valor Parcela" dataDxfId="1282" dataCellStyle="Porcentagem"/>
    <tableColumn id="5" xr3:uid="{00000000-0010-0000-2800-000005000000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80" headerRowBorderDxfId="1279" tableBorderDxfId="1278" totalsRowBorderDxfId="1277">
  <autoFilter ref="K34:M41" xr:uid="{00000000-0009-0000-0100-000004000000}"/>
  <tableColumns count="3">
    <tableColumn id="1" xr3:uid="{00000000-0010-0000-2900-000001000000}" name="OS" dataDxfId="1276"/>
    <tableColumn id="2" xr3:uid="{00000000-0010-0000-2900-000002000000}" name="Parcelas" dataDxfId="1275"/>
    <tableColumn id="3" xr3:uid="{00000000-0010-0000-2900-000003000000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3" dataDxfId="1271" headerRowBorderDxfId="1272" tableBorderDxfId="1270" totalsRowBorderDxfId="1269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8" dataCellStyle="Moeda"/>
    <tableColumn id="5" xr3:uid="{00000000-0010-0000-2A00-000005000000}" name="Cliente" dataDxfId="1267" dataCellStyle="Moeda"/>
    <tableColumn id="2" xr3:uid="{00000000-0010-0000-2A00-000002000000}" name="Forma de Pgto" dataDxfId="1266" dataCellStyle="Moeda"/>
    <tableColumn id="3" xr3:uid="{00000000-0010-0000-2A00-000003000000}" name="Valor Venda" dataDxfId="1265" dataCellStyle="Porcentagem"/>
    <tableColumn id="4" xr3:uid="{00000000-0010-0000-2A00-000004000000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3" dataDxfId="1261" headerRowBorderDxfId="1262" tableBorderDxfId="1260" totalsRowBorderDxfId="1259">
  <autoFilter ref="K5:M11" xr:uid="{00000000-0009-0000-0100-000039000000}"/>
  <tableColumns count="3">
    <tableColumn id="1" xr3:uid="{00000000-0010-0000-2B00-000001000000}" name="Descrição" dataDxfId="1258"/>
    <tableColumn id="2" xr3:uid="{00000000-0010-0000-2B00-000002000000}" name="Tipo de Pagto" dataDxfId="1257"/>
    <tableColumn id="3" xr3:uid="{00000000-0010-0000-2B00-000003000000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5" dataDxfId="1253" headerRowBorderDxfId="1254" tableBorderDxfId="1252" totalsRowBorderDxfId="1251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50"/>
    <tableColumn id="2" xr3:uid="{00000000-0010-0000-2C00-000002000000}" name="Cliente" dataDxfId="1249"/>
    <tableColumn id="3" xr3:uid="{00000000-0010-0000-2C00-000003000000}" name="Forma de Pgto" dataDxfId="1248" dataCellStyle="Moeda"/>
    <tableColumn id="4" xr3:uid="{00000000-0010-0000-2C00-000004000000}" name="Valor Venda" dataDxfId="1247" dataCellStyle="Porcentagem"/>
    <tableColumn id="5" xr3:uid="{00000000-0010-0000-2C00-000005000000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5" dataDxfId="1243" headerRowBorderDxfId="1244" tableBorderDxfId="1242" totalsRowBorderDxfId="1241">
  <autoFilter ref="K14:M31" xr:uid="{00000000-0009-0000-0100-00003B000000}"/>
  <tableColumns count="3">
    <tableColumn id="1" xr3:uid="{00000000-0010-0000-2D00-000001000000}" name="OS" dataDxfId="1240"/>
    <tableColumn id="2" xr3:uid="{00000000-0010-0000-2D00-000002000000}" name="Vendedor" dataDxfId="1239"/>
    <tableColumn id="3" xr3:uid="{00000000-0010-0000-2D00-000003000000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7" dataDxfId="1235" headerRowBorderDxfId="1236" tableBorderDxfId="1234" totalsRowBorderDxfId="1233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2"/>
    <tableColumn id="2" xr3:uid="{00000000-0010-0000-2E00-000002000000}" name="Cliente" dataDxfId="1231"/>
    <tableColumn id="3" xr3:uid="{00000000-0010-0000-2E00-000003000000}" name="Forma de Pgto" dataDxfId="1230" dataCellStyle="Moeda"/>
    <tableColumn id="4" xr3:uid="{00000000-0010-0000-2E00-000004000000}" name="Valor Parcela" dataDxfId="1229" dataCellStyle="Porcentagem"/>
    <tableColumn id="5" xr3:uid="{00000000-0010-0000-2E00-00000500000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7" headerRowBorderDxfId="1226" tableBorderDxfId="1225" totalsRowBorderDxfId="1224">
  <autoFilter ref="K34:M41" xr:uid="{00000000-0009-0000-0100-00003D000000}"/>
  <tableColumns count="3">
    <tableColumn id="1" xr3:uid="{00000000-0010-0000-2F00-000001000000}" name="OS" dataDxfId="1223"/>
    <tableColumn id="2" xr3:uid="{00000000-0010-0000-2F00-000002000000}" name="Parcelas" dataDxfId="1222"/>
    <tableColumn id="3" xr3:uid="{00000000-0010-0000-2F00-000003000000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20" dataDxfId="1218" headerRowBorderDxfId="1219" tableBorderDxfId="1217" totalsRowBorderDxfId="1216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5" dataCellStyle="Moeda"/>
    <tableColumn id="5" xr3:uid="{00000000-0010-0000-3000-000005000000}" name="Cliente" dataDxfId="1214" dataCellStyle="Moeda"/>
    <tableColumn id="2" xr3:uid="{00000000-0010-0000-3000-000002000000}" name="Forma de Pgto" dataDxfId="1213" dataCellStyle="Moeda"/>
    <tableColumn id="3" xr3:uid="{00000000-0010-0000-3000-000003000000}" name="Valor Venda" dataDxfId="1212" dataCellStyle="Porcentagem"/>
    <tableColumn id="4" xr3:uid="{00000000-0010-0000-3000-000004000000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10" dataDxfId="1208" headerRowBorderDxfId="1209" tableBorderDxfId="1207" totalsRowBorderDxfId="1206">
  <autoFilter ref="K5:M11" xr:uid="{00000000-0009-0000-0100-000033000000}"/>
  <tableColumns count="3">
    <tableColumn id="1" xr3:uid="{00000000-0010-0000-3100-000001000000}" name="Descrição" dataDxfId="1205"/>
    <tableColumn id="2" xr3:uid="{00000000-0010-0000-3100-000002000000}" name="Tipo de Pagto" dataDxfId="1204"/>
    <tableColumn id="3" xr3:uid="{00000000-0010-0000-3100-000003000000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2" dataDxfId="1200" headerRowBorderDxfId="1201" tableBorderDxfId="1199" totalsRowBorderDxfId="1198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7"/>
    <tableColumn id="2" xr3:uid="{00000000-0010-0000-3200-000002000000}" name="Cliente" dataDxfId="1196"/>
    <tableColumn id="3" xr3:uid="{00000000-0010-0000-3200-000003000000}" name="Forma de Pgto" dataDxfId="1195" dataCellStyle="Moeda"/>
    <tableColumn id="4" xr3:uid="{00000000-0010-0000-3200-000004000000}" name="Valor Venda" dataDxfId="1194" dataCellStyle="Porcentagem"/>
    <tableColumn id="5" xr3:uid="{00000000-0010-0000-3200-000005000000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2" dataDxfId="1190" headerRowBorderDxfId="1191" tableBorderDxfId="1189" totalsRowBorderDxfId="1188">
  <autoFilter ref="K14:M31" xr:uid="{00000000-0009-0000-0100-000035000000}"/>
  <tableColumns count="3">
    <tableColumn id="1" xr3:uid="{00000000-0010-0000-3300-000001000000}" name="OS" dataDxfId="1187"/>
    <tableColumn id="2" xr3:uid="{00000000-0010-0000-3300-000002000000}" name="Vendedor" dataDxfId="1186"/>
    <tableColumn id="3" xr3:uid="{00000000-0010-0000-3300-00000300000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4" dataDxfId="1182" headerRowBorderDxfId="1183" tableBorderDxfId="1181" totalsRowBorderDxfId="1180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9"/>
    <tableColumn id="2" xr3:uid="{00000000-0010-0000-3400-000002000000}" name="Cliente" dataDxfId="1178"/>
    <tableColumn id="3" xr3:uid="{00000000-0010-0000-3400-000003000000}" name="Forma de Pgto" dataDxfId="1177" dataCellStyle="Moeda"/>
    <tableColumn id="4" xr3:uid="{00000000-0010-0000-3400-000004000000}" name="Valor Parcela" dataDxfId="1176" dataCellStyle="Porcentagem"/>
    <tableColumn id="5" xr3:uid="{00000000-0010-0000-3400-000005000000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4" headerRowBorderDxfId="1173" tableBorderDxfId="1172" totalsRowBorderDxfId="1171">
  <autoFilter ref="K34:M41" xr:uid="{00000000-0009-0000-0100-000037000000}"/>
  <tableColumns count="3">
    <tableColumn id="1" xr3:uid="{00000000-0010-0000-3500-000001000000}" name="OS" dataDxfId="1170"/>
    <tableColumn id="2" xr3:uid="{00000000-0010-0000-3500-000002000000}" name="Parcelas" dataDxfId="1169"/>
    <tableColumn id="3" xr3:uid="{00000000-0010-0000-3500-000003000000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6000000}" name="rec_carn10" displayName="rec_carn10" ref="E34:I41" totalsRowShown="0" headerRowDxfId="1167" dataDxfId="1165" headerRowBorderDxfId="1166" tableBorderDxfId="1164" totalsRowBorderDxfId="1163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600-000001000000}" name="OS" dataDxfId="1162"/>
    <tableColumn id="2" xr3:uid="{00000000-0010-0000-3600-000002000000}" name="Cliente" dataDxfId="1161"/>
    <tableColumn id="3" xr3:uid="{00000000-0010-0000-3600-000003000000}" name="Forma de Pgto" dataDxfId="1160" dataCellStyle="Moeda"/>
    <tableColumn id="4" xr3:uid="{00000000-0010-0000-3600-000004000000}" name="Valor Parcela" dataDxfId="1159" dataCellStyle="Porcentagem"/>
    <tableColumn id="5" xr3:uid="{00000000-0010-0000-3600-000005000000}" name="Nº Parcel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7000000}" name="entr_carn10" displayName="entr_carn10" ref="K34:M41" totalsRowShown="0" headerRowDxfId="1157" headerRowBorderDxfId="1156" tableBorderDxfId="1155" totalsRowBorderDxfId="1154">
  <autoFilter ref="K34:M41" xr:uid="{00000000-0009-0000-0100-000031000000}"/>
  <tableColumns count="3">
    <tableColumn id="1" xr3:uid="{00000000-0010-0000-3700-000001000000}" name="OS" dataDxfId="1153"/>
    <tableColumn id="2" xr3:uid="{00000000-0010-0000-3700-000002000000}" name="Parcelas" dataDxfId="1152"/>
    <tableColumn id="3" xr3:uid="{00000000-0010-0000-3700-000003000000}" name="Valor Total" dataDxfId="115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38000000}" name="vend9190" displayName="vend9190" ref="E5:I22" totalsRowShown="0" headerRowDxfId="1150" dataDxfId="1148" headerRowBorderDxfId="1149" tableBorderDxfId="1147" totalsRowBorderDxfId="1146">
  <autoFilter ref="E5:I22" xr:uid="{00000000-0009-0000-0100-0000BD000000}"/>
  <sortState xmlns:xlrd2="http://schemas.microsoft.com/office/spreadsheetml/2017/richdata2" ref="E6:I22">
    <sortCondition ref="E5:E22"/>
  </sortState>
  <tableColumns count="5">
    <tableColumn id="1" xr3:uid="{00000000-0010-0000-3800-000001000000}" name="Nº Venda" dataDxfId="1145" dataCellStyle="Moeda"/>
    <tableColumn id="5" xr3:uid="{00000000-0010-0000-3800-000005000000}" name="Cliente" dataDxfId="1144" dataCellStyle="Moeda"/>
    <tableColumn id="2" xr3:uid="{00000000-0010-0000-3800-000002000000}" name="Forma de Pgto" dataDxfId="1143" dataCellStyle="Moeda"/>
    <tableColumn id="3" xr3:uid="{00000000-0010-0000-3800-000003000000}" name="Valor Venda" dataDxfId="1142" dataCellStyle="Porcentagem"/>
    <tableColumn id="4" xr3:uid="{00000000-0010-0000-3800-000004000000}" name="Entrada" dataDxfId="1141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39000000}" name="desp9191" displayName="desp9191" ref="K5:M11" totalsRowShown="0" headerRowDxfId="1140" dataDxfId="1138" headerRowBorderDxfId="1139" tableBorderDxfId="1137" totalsRowBorderDxfId="1136">
  <autoFilter ref="K5:M11" xr:uid="{00000000-0009-0000-0100-0000BE000000}"/>
  <tableColumns count="3">
    <tableColumn id="1" xr3:uid="{00000000-0010-0000-3900-000001000000}" name="Descrição" dataDxfId="1135"/>
    <tableColumn id="2" xr3:uid="{00000000-0010-0000-3900-000002000000}" name="Tipo de Pagto" dataDxfId="1134"/>
    <tableColumn id="3" xr3:uid="{00000000-0010-0000-3900-000003000000}" name="Valor" dataDxfId="113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3A000000}" name="rest_entr9192" displayName="rest_entr9192" ref="E25:I31" totalsRowShown="0" headerRowDxfId="1132" dataDxfId="1130" headerRowBorderDxfId="1131" tableBorderDxfId="1129" totalsRowBorderDxfId="1128">
  <autoFilter ref="E25:I31" xr:uid="{00000000-0009-0000-0100-0000BF000000}"/>
  <sortState xmlns:xlrd2="http://schemas.microsoft.com/office/spreadsheetml/2017/richdata2" ref="E26:I31">
    <sortCondition ref="E25:E31"/>
  </sortState>
  <tableColumns count="5">
    <tableColumn id="1" xr3:uid="{00000000-0010-0000-3A00-000001000000}" name="Nº Venda" dataDxfId="1127"/>
    <tableColumn id="2" xr3:uid="{00000000-0010-0000-3A00-000002000000}" name="Cliente" dataDxfId="1126"/>
    <tableColumn id="3" xr3:uid="{00000000-0010-0000-3A00-000003000000}" name="Forma de Pgto" dataDxfId="1125" dataCellStyle="Moeda"/>
    <tableColumn id="4" xr3:uid="{00000000-0010-0000-3A00-000004000000}" name="Valor Venda" dataDxfId="1124" dataCellStyle="Porcentagem"/>
    <tableColumn id="5" xr3:uid="{00000000-0010-0000-3A00-000005000000}" name="Entrada" dataDxfId="1123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3B000000}" name="os_entr_dia9193" displayName="os_entr_dia9193" ref="K14:M31" totalsRowShown="0" headerRowDxfId="1122" dataDxfId="1120" headerRowBorderDxfId="1121" tableBorderDxfId="1119" totalsRowBorderDxfId="1118">
  <autoFilter ref="K14:M31" xr:uid="{00000000-0009-0000-0100-0000C0000000}"/>
  <tableColumns count="3">
    <tableColumn id="1" xr3:uid="{00000000-0010-0000-3B00-000001000000}" name="OS" dataDxfId="1117"/>
    <tableColumn id="2" xr3:uid="{00000000-0010-0000-3B00-000002000000}" name="Vendedor" dataDxfId="1116"/>
    <tableColumn id="3" xr3:uid="{00000000-0010-0000-3B00-000003000000}" name="CARNE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4" dataDxfId="1112" headerRowBorderDxfId="1113" tableBorderDxfId="1111" totalsRowBorderDxfId="1110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9" dataCellStyle="Moeda"/>
    <tableColumn id="5" xr3:uid="{00000000-0010-0000-3C00-000005000000}" name="Cliente" dataDxfId="1108" dataCellStyle="Moeda"/>
    <tableColumn id="2" xr3:uid="{00000000-0010-0000-3C00-000002000000}" name="Forma de Pgto" dataDxfId="1107" dataCellStyle="Moeda"/>
    <tableColumn id="3" xr3:uid="{00000000-0010-0000-3C00-000003000000}" name="Valor Venda" dataDxfId="1106" dataCellStyle="Porcentagem"/>
    <tableColumn id="4" xr3:uid="{00000000-0010-0000-3C00-000004000000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4" dataDxfId="1102" headerRowBorderDxfId="1103" tableBorderDxfId="1101" totalsRowBorderDxfId="1100">
  <autoFilter ref="K5:M11" xr:uid="{00000000-0009-0000-0100-000045000000}"/>
  <tableColumns count="3">
    <tableColumn id="1" xr3:uid="{00000000-0010-0000-3D00-000001000000}" name="Descrição" dataDxfId="1099"/>
    <tableColumn id="2" xr3:uid="{00000000-0010-0000-3D00-000002000000}" name="Tipo de Pagto" dataDxfId="1098"/>
    <tableColumn id="3" xr3:uid="{00000000-0010-0000-3D00-000003000000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6" dataDxfId="1094" headerRowBorderDxfId="1095" tableBorderDxfId="1093" totalsRowBorderDxfId="1092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91"/>
    <tableColumn id="2" xr3:uid="{00000000-0010-0000-3E00-000002000000}" name="Cliente" dataDxfId="1090"/>
    <tableColumn id="3" xr3:uid="{00000000-0010-0000-3E00-000003000000}" name="Forma de Pgto" dataDxfId="1089" dataCellStyle="Moeda"/>
    <tableColumn id="4" xr3:uid="{00000000-0010-0000-3E00-000004000000}" name="Valor Venda" dataDxfId="1088" dataCellStyle="Porcentagem"/>
    <tableColumn id="5" xr3:uid="{00000000-0010-0000-3E00-000005000000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6" dataDxfId="1084" headerRowBorderDxfId="1085" tableBorderDxfId="1083" totalsRowBorderDxfId="1082">
  <autoFilter ref="K14:M31" xr:uid="{00000000-0009-0000-0100-000047000000}"/>
  <tableColumns count="3">
    <tableColumn id="1" xr3:uid="{00000000-0010-0000-3F00-000001000000}" name="OS" dataDxfId="1081"/>
    <tableColumn id="2" xr3:uid="{00000000-0010-0000-3F00-000002000000}" name="Vendedor" dataDxfId="1080"/>
    <tableColumn id="3" xr3:uid="{00000000-0010-0000-3F00-000003000000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8" dataDxfId="1076" headerRowBorderDxfId="1077" tableBorderDxfId="1075" totalsRowBorderDxfId="1074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3"/>
    <tableColumn id="2" xr3:uid="{00000000-0010-0000-4000-000002000000}" name="Cliente" dataDxfId="1072"/>
    <tableColumn id="3" xr3:uid="{00000000-0010-0000-4000-000003000000}" name="Forma de Pgto" dataDxfId="1071" dataCellStyle="Moeda"/>
    <tableColumn id="4" xr3:uid="{00000000-0010-0000-4000-000004000000}" name="Valor Parcela" dataDxfId="1070" dataCellStyle="Porcentagem"/>
    <tableColumn id="5" xr3:uid="{00000000-0010-0000-4000-000005000000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8" headerRowBorderDxfId="1067" tableBorderDxfId="1066" totalsRowBorderDxfId="1065">
  <autoFilter ref="K34:M41" xr:uid="{00000000-0009-0000-0100-000049000000}"/>
  <tableColumns count="3">
    <tableColumn id="1" xr3:uid="{00000000-0010-0000-4100-000001000000}" name="OS" dataDxfId="1064"/>
    <tableColumn id="2" xr3:uid="{00000000-0010-0000-4100-000002000000}" name="Parcelas" dataDxfId="1063"/>
    <tableColumn id="3" xr3:uid="{00000000-0010-0000-4100-000003000000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61" dataDxfId="1059" headerRowBorderDxfId="1060" tableBorderDxfId="1058" totalsRowBorderDxfId="1057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6" dataCellStyle="Moeda"/>
    <tableColumn id="5" xr3:uid="{00000000-0010-0000-4200-000005000000}" name="Cliente" dataDxfId="1055" dataCellStyle="Moeda"/>
    <tableColumn id="2" xr3:uid="{00000000-0010-0000-4200-000002000000}" name="Forma de Pgto" dataDxfId="1054" dataCellStyle="Moeda"/>
    <tableColumn id="3" xr3:uid="{00000000-0010-0000-4200-000003000000}" name="Valor Venda" dataDxfId="1053" dataCellStyle="Porcentagem"/>
    <tableColumn id="4" xr3:uid="{00000000-0010-0000-4200-000004000000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51" dataDxfId="1049" headerRowBorderDxfId="1050" tableBorderDxfId="1048" totalsRowBorderDxfId="1047">
  <autoFilter ref="K5:M11" xr:uid="{00000000-0009-0000-0100-000052000000}"/>
  <tableColumns count="3">
    <tableColumn id="1" xr3:uid="{00000000-0010-0000-4300-000001000000}" name="Descrição" dataDxfId="1046"/>
    <tableColumn id="2" xr3:uid="{00000000-0010-0000-4300-000002000000}" name="Tipo de Pagto" dataDxfId="1045"/>
    <tableColumn id="3" xr3:uid="{00000000-0010-0000-4300-000003000000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3" dataDxfId="1041" headerRowBorderDxfId="1042" tableBorderDxfId="1040" totalsRowBorderDxfId="1039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8"/>
    <tableColumn id="2" xr3:uid="{00000000-0010-0000-4400-000002000000}" name="Cliente" dataDxfId="1037"/>
    <tableColumn id="3" xr3:uid="{00000000-0010-0000-4400-000003000000}" name="Forma de Pgto" dataDxfId="1036" dataCellStyle="Moeda"/>
    <tableColumn id="4" xr3:uid="{00000000-0010-0000-4400-000004000000}" name="Valor Venda" dataDxfId="1035" dataCellStyle="Porcentagem"/>
    <tableColumn id="5" xr3:uid="{00000000-0010-0000-4400-000005000000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3" dataDxfId="1031" headerRowBorderDxfId="1032" tableBorderDxfId="1030" totalsRowBorderDxfId="1029">
  <autoFilter ref="K14:M31" xr:uid="{00000000-0009-0000-0100-000054000000}"/>
  <tableColumns count="3">
    <tableColumn id="1" xr3:uid="{00000000-0010-0000-4500-000001000000}" name="OS" dataDxfId="1028"/>
    <tableColumn id="2" xr3:uid="{00000000-0010-0000-4500-000002000000}" name="Vendedor" dataDxfId="1027"/>
    <tableColumn id="3" xr3:uid="{00000000-0010-0000-4500-000003000000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5" dataDxfId="1023" headerRowBorderDxfId="1024" tableBorderDxfId="1022" totalsRowBorderDxfId="1021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20"/>
    <tableColumn id="2" xr3:uid="{00000000-0010-0000-4600-000002000000}" name="Cliente" dataDxfId="1019"/>
    <tableColumn id="3" xr3:uid="{00000000-0010-0000-4600-000003000000}" name="Forma de Pgto" dataDxfId="1018" dataCellStyle="Moeda"/>
    <tableColumn id="4" xr3:uid="{00000000-0010-0000-4600-000004000000}" name="Valor Parcela" dataDxfId="1017" dataCellStyle="Porcentagem"/>
    <tableColumn id="5" xr3:uid="{00000000-0010-0000-4600-000005000000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5" headerRowBorderDxfId="1014" tableBorderDxfId="1013" totalsRowBorderDxfId="1012">
  <autoFilter ref="K34:M41" xr:uid="{00000000-0009-0000-0100-000056000000}"/>
  <tableColumns count="3">
    <tableColumn id="1" xr3:uid="{00000000-0010-0000-4700-000001000000}" name="OS" dataDxfId="1011"/>
    <tableColumn id="2" xr3:uid="{00000000-0010-0000-4700-000002000000}" name="Parcelas" dataDxfId="1010"/>
    <tableColumn id="3" xr3:uid="{00000000-0010-0000-4700-000003000000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8" dataDxfId="1006" headerRowBorderDxfId="1007" tableBorderDxfId="1005" totalsRowBorderDxfId="1004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3" dataCellStyle="Moeda"/>
    <tableColumn id="5" xr3:uid="{00000000-0010-0000-4800-000005000000}" name="Cliente" dataDxfId="1002" dataCellStyle="Moeda"/>
    <tableColumn id="2" xr3:uid="{00000000-0010-0000-4800-000002000000}" name="Forma de Pgto" dataDxfId="1001" dataCellStyle="Moeda"/>
    <tableColumn id="3" xr3:uid="{00000000-0010-0000-4800-000003000000}" name="Valor Venda" dataDxfId="1000" dataCellStyle="Porcentagem"/>
    <tableColumn id="4" xr3:uid="{00000000-0010-0000-4800-000004000000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8" dataDxfId="996" headerRowBorderDxfId="997" tableBorderDxfId="995" totalsRowBorderDxfId="994">
  <autoFilter ref="K5:M11" xr:uid="{00000000-0009-0000-0100-000058000000}"/>
  <tableColumns count="3">
    <tableColumn id="1" xr3:uid="{00000000-0010-0000-4900-000001000000}" name="Descrição" dataDxfId="993"/>
    <tableColumn id="2" xr3:uid="{00000000-0010-0000-4900-000002000000}" name="Tipo de Pagto" dataDxfId="992"/>
    <tableColumn id="3" xr3:uid="{00000000-0010-0000-4900-000003000000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90" dataDxfId="988" headerRowBorderDxfId="989" tableBorderDxfId="987" totalsRowBorderDxfId="986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5"/>
    <tableColumn id="2" xr3:uid="{00000000-0010-0000-4A00-000002000000}" name="Cliente" dataDxfId="984"/>
    <tableColumn id="3" xr3:uid="{00000000-0010-0000-4A00-000003000000}" name="Forma de Pgto" dataDxfId="983" dataCellStyle="Moeda"/>
    <tableColumn id="4" xr3:uid="{00000000-0010-0000-4A00-000004000000}" name="Valor Venda" dataDxfId="982" dataCellStyle="Porcentagem"/>
    <tableColumn id="5" xr3:uid="{00000000-0010-0000-4A00-000005000000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80" dataDxfId="978" headerRowBorderDxfId="979" tableBorderDxfId="977" totalsRowBorderDxfId="976">
  <autoFilter ref="K14:M31" xr:uid="{00000000-0009-0000-0100-00005A000000}"/>
  <tableColumns count="3">
    <tableColumn id="1" xr3:uid="{00000000-0010-0000-4B00-000001000000}" name="OS" dataDxfId="975"/>
    <tableColumn id="2" xr3:uid="{00000000-0010-0000-4B00-000002000000}" name="Vendedor" dataDxfId="974"/>
    <tableColumn id="3" xr3:uid="{00000000-0010-0000-4B00-000003000000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2" dataDxfId="970" headerRowBorderDxfId="971" tableBorderDxfId="969" totalsRowBorderDxfId="968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7"/>
    <tableColumn id="2" xr3:uid="{00000000-0010-0000-4C00-000002000000}" name="Cliente" dataDxfId="966"/>
    <tableColumn id="3" xr3:uid="{00000000-0010-0000-4C00-000003000000}" name="Forma de Pgto" dataDxfId="965" dataCellStyle="Moeda"/>
    <tableColumn id="4" xr3:uid="{00000000-0010-0000-4C00-000004000000}" name="Valor Parcela" dataDxfId="964" dataCellStyle="Porcentagem"/>
    <tableColumn id="5" xr3:uid="{00000000-0010-0000-4C00-000005000000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2" headerRowBorderDxfId="961" tableBorderDxfId="960" totalsRowBorderDxfId="959">
  <autoFilter ref="K34:M41" xr:uid="{00000000-0009-0000-0100-00005C000000}"/>
  <tableColumns count="3">
    <tableColumn id="1" xr3:uid="{00000000-0010-0000-4D00-000001000000}" name="OS" dataDxfId="958"/>
    <tableColumn id="2" xr3:uid="{00000000-0010-0000-4D00-000002000000}" name="Parcelas" dataDxfId="957"/>
    <tableColumn id="3" xr3:uid="{00000000-0010-0000-4D00-000003000000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5" dataDxfId="953" headerRowBorderDxfId="954" tableBorderDxfId="952" totalsRowBorderDxfId="951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50" dataCellStyle="Moeda"/>
    <tableColumn id="5" xr3:uid="{00000000-0010-0000-4E00-000005000000}" name="Cliente" dataDxfId="949" dataCellStyle="Moeda"/>
    <tableColumn id="2" xr3:uid="{00000000-0010-0000-4E00-000002000000}" name="Forma de Pgto" dataDxfId="948" dataCellStyle="Moeda"/>
    <tableColumn id="3" xr3:uid="{00000000-0010-0000-4E00-000003000000}" name="Valor Venda" dataDxfId="947" dataCellStyle="Porcentagem"/>
    <tableColumn id="4" xr3:uid="{00000000-0010-0000-4E00-000004000000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5" dataDxfId="943" headerRowBorderDxfId="944" tableBorderDxfId="942" totalsRowBorderDxfId="941">
  <autoFilter ref="K5:M11" xr:uid="{00000000-0009-0000-0100-00004B000000}"/>
  <tableColumns count="3">
    <tableColumn id="1" xr3:uid="{00000000-0010-0000-4F00-000001000000}" name="Descrição" dataDxfId="940"/>
    <tableColumn id="2" xr3:uid="{00000000-0010-0000-4F00-000002000000}" name="Tipo de Pagto" dataDxfId="939"/>
    <tableColumn id="3" xr3:uid="{00000000-0010-0000-4F00-000003000000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7" dataDxfId="935" headerRowBorderDxfId="936" tableBorderDxfId="934" totalsRowBorderDxfId="933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2"/>
    <tableColumn id="2" xr3:uid="{00000000-0010-0000-5000-000002000000}" name="Cliente" dataDxfId="931"/>
    <tableColumn id="3" xr3:uid="{00000000-0010-0000-5000-000003000000}" name="Forma de Pgto" dataDxfId="930" dataCellStyle="Moeda"/>
    <tableColumn id="4" xr3:uid="{00000000-0010-0000-5000-000004000000}" name="Valor Venda" dataDxfId="929" dataCellStyle="Porcentagem"/>
    <tableColumn id="5" xr3:uid="{00000000-0010-0000-5000-000005000000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7" dataDxfId="925" headerRowBorderDxfId="926" tableBorderDxfId="924" totalsRowBorderDxfId="923">
  <autoFilter ref="K14:M31" xr:uid="{00000000-0009-0000-0100-00004D000000}"/>
  <tableColumns count="3">
    <tableColumn id="1" xr3:uid="{00000000-0010-0000-5100-000001000000}" name="OS" dataDxfId="922"/>
    <tableColumn id="2" xr3:uid="{00000000-0010-0000-5100-000002000000}" name="Vendedor" dataDxfId="921"/>
    <tableColumn id="3" xr3:uid="{00000000-0010-0000-5100-000003000000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9" dataDxfId="917" headerRowBorderDxfId="918" tableBorderDxfId="916" totalsRowBorderDxfId="915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4"/>
    <tableColumn id="2" xr3:uid="{00000000-0010-0000-5200-000002000000}" name="Cliente" dataDxfId="913"/>
    <tableColumn id="3" xr3:uid="{00000000-0010-0000-5200-000003000000}" name="Forma de Pgto" dataDxfId="912" dataCellStyle="Moeda"/>
    <tableColumn id="4" xr3:uid="{00000000-0010-0000-5200-000004000000}" name="Valor Parcela" dataDxfId="911" dataCellStyle="Porcentagem"/>
    <tableColumn id="5" xr3:uid="{00000000-0010-0000-5200-000005000000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9" headerRowBorderDxfId="908" tableBorderDxfId="907" totalsRowBorderDxfId="906">
  <autoFilter ref="K34:M41" xr:uid="{00000000-0009-0000-0100-00004F000000}"/>
  <tableColumns count="3">
    <tableColumn id="1" xr3:uid="{00000000-0010-0000-5300-000001000000}" name="OS" dataDxfId="905"/>
    <tableColumn id="2" xr3:uid="{00000000-0010-0000-5300-000002000000}" name="Parcelas" dataDxfId="904"/>
    <tableColumn id="3" xr3:uid="{00000000-0010-0000-5300-000003000000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I22" totalsRowShown="0" headerRowDxfId="902" dataDxfId="900" headerRowBorderDxfId="901" tableBorderDxfId="899" totalsRowBorderDxfId="898">
  <autoFilter ref="E5:I22" xr:uid="{00000000-0009-0000-0100-00003E000000}"/>
  <sortState xmlns:xlrd2="http://schemas.microsoft.com/office/spreadsheetml/2017/richdata2" ref="E6:I22">
    <sortCondition ref="E5:E22"/>
  </sortState>
  <tableColumns count="5">
    <tableColumn id="1" xr3:uid="{00000000-0010-0000-5400-000001000000}" name="Nº Venda" dataDxfId="897" dataCellStyle="Moeda"/>
    <tableColumn id="5" xr3:uid="{00000000-0010-0000-5400-000005000000}" name="Cliente" dataDxfId="896" dataCellStyle="Moeda"/>
    <tableColumn id="2" xr3:uid="{00000000-0010-0000-5400-000002000000}" name="Forma de Pgto" dataDxfId="895" dataCellStyle="Moeda"/>
    <tableColumn id="3" xr3:uid="{00000000-0010-0000-5400-000003000000}" name="Valor Venda" dataDxfId="894" dataCellStyle="Porcentagem"/>
    <tableColumn id="4" xr3:uid="{00000000-0010-0000-5400-000004000000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2" dataDxfId="890" headerRowBorderDxfId="891" tableBorderDxfId="889" totalsRowBorderDxfId="888">
  <autoFilter ref="K5:M11" xr:uid="{00000000-0009-0000-0100-00003F000000}"/>
  <tableColumns count="3">
    <tableColumn id="1" xr3:uid="{00000000-0010-0000-5500-000001000000}" name="Descrição" dataDxfId="887"/>
    <tableColumn id="2" xr3:uid="{00000000-0010-0000-5500-000002000000}" name="Tipo de Pagto" dataDxfId="886"/>
    <tableColumn id="3" xr3:uid="{00000000-0010-0000-5500-000003000000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4" dataDxfId="882" headerRowBorderDxfId="883" tableBorderDxfId="881" totalsRowBorderDxfId="880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9"/>
    <tableColumn id="2" xr3:uid="{00000000-0010-0000-5600-000002000000}" name="Cliente" dataDxfId="878"/>
    <tableColumn id="3" xr3:uid="{00000000-0010-0000-5600-000003000000}" name="Forma de Pgto" dataDxfId="877" dataCellStyle="Moeda"/>
    <tableColumn id="4" xr3:uid="{00000000-0010-0000-5600-000004000000}" name="Valor Venda" dataDxfId="876" dataCellStyle="Porcentagem"/>
    <tableColumn id="5" xr3:uid="{00000000-0010-0000-5600-000005000000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4" dataDxfId="872" headerRowBorderDxfId="873" tableBorderDxfId="871" totalsRowBorderDxfId="870">
  <autoFilter ref="K14:M31" xr:uid="{00000000-0009-0000-0100-000041000000}"/>
  <tableColumns count="3">
    <tableColumn id="1" xr3:uid="{00000000-0010-0000-5700-000001000000}" name="OS" dataDxfId="869"/>
    <tableColumn id="2" xr3:uid="{00000000-0010-0000-5700-000002000000}" name="Vendedor" dataDxfId="868"/>
    <tableColumn id="3" xr3:uid="{00000000-0010-0000-5700-000003000000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6" dataDxfId="864" headerRowBorderDxfId="865" tableBorderDxfId="863" totalsRowBorderDxfId="862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61"/>
    <tableColumn id="2" xr3:uid="{00000000-0010-0000-5800-000002000000}" name="Cliente" dataDxfId="860"/>
    <tableColumn id="3" xr3:uid="{00000000-0010-0000-5800-000003000000}" name="Forma de Pgto" dataDxfId="859" dataCellStyle="Moeda"/>
    <tableColumn id="4" xr3:uid="{00000000-0010-0000-5800-000004000000}" name="Valor Parcela" dataDxfId="858" dataCellStyle="Porcentagem"/>
    <tableColumn id="5" xr3:uid="{00000000-0010-0000-5800-000005000000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6" headerRowBorderDxfId="855" tableBorderDxfId="854" totalsRowBorderDxfId="853">
  <autoFilter ref="K34:M41" xr:uid="{00000000-0009-0000-0100-000043000000}"/>
  <tableColumns count="3">
    <tableColumn id="1" xr3:uid="{00000000-0010-0000-5900-000001000000}" name="OS" dataDxfId="852"/>
    <tableColumn id="2" xr3:uid="{00000000-0010-0000-5900-000002000000}" name="Parcelas" dataDxfId="851"/>
    <tableColumn id="3" xr3:uid="{00000000-0010-0000-5900-00000300000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9" dataDxfId="847" headerRowBorderDxfId="848" tableBorderDxfId="846" totalsRowBorderDxfId="845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4" dataCellStyle="Moeda"/>
    <tableColumn id="5" xr3:uid="{00000000-0010-0000-5A00-000005000000}" name="Cliente" dataDxfId="843" dataCellStyle="Moeda"/>
    <tableColumn id="2" xr3:uid="{00000000-0010-0000-5A00-000002000000}" name="Forma de Pgto" dataDxfId="842" dataCellStyle="Moeda"/>
    <tableColumn id="3" xr3:uid="{00000000-0010-0000-5A00-000003000000}" name="Valor Venda" dataDxfId="841" dataCellStyle="Porcentagem"/>
    <tableColumn id="4" xr3:uid="{00000000-0010-0000-5A00-000004000000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9" dataDxfId="837" headerRowBorderDxfId="838" tableBorderDxfId="836" totalsRowBorderDxfId="835">
  <autoFilter ref="K5:M11" xr:uid="{00000000-0009-0000-0100-00005E000000}"/>
  <tableColumns count="3">
    <tableColumn id="1" xr3:uid="{00000000-0010-0000-5B00-000001000000}" name="Descrição" dataDxfId="834"/>
    <tableColumn id="2" xr3:uid="{00000000-0010-0000-5B00-000002000000}" name="Tipo de Pagto" dataDxfId="833"/>
    <tableColumn id="3" xr3:uid="{00000000-0010-0000-5B00-000003000000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31" dataDxfId="829" headerRowBorderDxfId="830" tableBorderDxfId="828" totalsRowBorderDxfId="827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6"/>
    <tableColumn id="2" xr3:uid="{00000000-0010-0000-5C00-000002000000}" name="Cliente" dataDxfId="825"/>
    <tableColumn id="3" xr3:uid="{00000000-0010-0000-5C00-000003000000}" name="Forma de Pgto" dataDxfId="824" dataCellStyle="Moeda"/>
    <tableColumn id="4" xr3:uid="{00000000-0010-0000-5C00-000004000000}" name="Valor Venda" dataDxfId="823" dataCellStyle="Porcentagem"/>
    <tableColumn id="5" xr3:uid="{00000000-0010-0000-5C00-000005000000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21" dataDxfId="819" headerRowBorderDxfId="820" tableBorderDxfId="818" totalsRowBorderDxfId="817">
  <autoFilter ref="K14:M31" xr:uid="{00000000-0009-0000-0100-000060000000}"/>
  <tableColumns count="3">
    <tableColumn id="1" xr3:uid="{00000000-0010-0000-5D00-000001000000}" name="OS" dataDxfId="816"/>
    <tableColumn id="2" xr3:uid="{00000000-0010-0000-5D00-000002000000}" name="Vendedor" dataDxfId="815"/>
    <tableColumn id="3" xr3:uid="{00000000-0010-0000-5D00-000003000000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3" dataDxfId="811" headerRowBorderDxfId="812" tableBorderDxfId="810" totalsRowBorderDxfId="809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8"/>
    <tableColumn id="2" xr3:uid="{00000000-0010-0000-5E00-000002000000}" name="Cliente" dataDxfId="807"/>
    <tableColumn id="3" xr3:uid="{00000000-0010-0000-5E00-000003000000}" name="Forma de Pgto" dataDxfId="806" dataCellStyle="Moeda"/>
    <tableColumn id="4" xr3:uid="{00000000-0010-0000-5E00-000004000000}" name="Valor Parcela" dataDxfId="805" dataCellStyle="Porcentagem"/>
    <tableColumn id="5" xr3:uid="{00000000-0010-0000-5E00-000005000000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3" headerRowBorderDxfId="802" tableBorderDxfId="801" totalsRowBorderDxfId="800">
  <autoFilter ref="K34:M41" xr:uid="{00000000-0009-0000-0100-000062000000}"/>
  <tableColumns count="3">
    <tableColumn id="1" xr3:uid="{00000000-0010-0000-5F00-000001000000}" name="OS" dataDxfId="799"/>
    <tableColumn id="2" xr3:uid="{00000000-0010-0000-5F00-000002000000}" name="Parcelas" dataDxfId="798"/>
    <tableColumn id="3" xr3:uid="{00000000-0010-0000-5F00-000003000000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6" dataDxfId="794" headerRowBorderDxfId="795" tableBorderDxfId="793" totalsRowBorderDxfId="792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91" dataCellStyle="Moeda"/>
    <tableColumn id="5" xr3:uid="{00000000-0010-0000-6000-000005000000}" name="Cliente" dataDxfId="790" dataCellStyle="Moeda"/>
    <tableColumn id="2" xr3:uid="{00000000-0010-0000-6000-000002000000}" name="Forma de Pgto" dataDxfId="789" dataCellStyle="Moeda"/>
    <tableColumn id="3" xr3:uid="{00000000-0010-0000-6000-000003000000}" name="Valor Venda" dataDxfId="788" dataCellStyle="Porcentagem"/>
    <tableColumn id="4" xr3:uid="{00000000-0010-0000-6000-000004000000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6" dataDxfId="784" headerRowBorderDxfId="785" tableBorderDxfId="783" totalsRowBorderDxfId="782">
  <autoFilter ref="K5:M11" xr:uid="{00000000-0009-0000-0100-000064000000}"/>
  <tableColumns count="3">
    <tableColumn id="1" xr3:uid="{00000000-0010-0000-6100-000001000000}" name="Descrição" dataDxfId="781"/>
    <tableColumn id="2" xr3:uid="{00000000-0010-0000-6100-000002000000}" name="Tipo de Pagto" dataDxfId="780"/>
    <tableColumn id="3" xr3:uid="{00000000-0010-0000-6100-000003000000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1" totalsRowShown="0" headerRowDxfId="778" dataDxfId="776" headerRowBorderDxfId="777" tableBorderDxfId="775" totalsRowBorderDxfId="774">
  <autoFilter ref="E25:I31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3"/>
    <tableColumn id="2" xr3:uid="{00000000-0010-0000-6200-000002000000}" name="Cliente" dataDxfId="772"/>
    <tableColumn id="3" xr3:uid="{00000000-0010-0000-6200-000003000000}" name="Forma de Pgto" dataDxfId="771" dataCellStyle="Moeda"/>
    <tableColumn id="4" xr3:uid="{00000000-0010-0000-6200-000004000000}" name="Valor Venda" dataDxfId="770" dataCellStyle="Porcentagem"/>
    <tableColumn id="5" xr3:uid="{00000000-0010-0000-6200-000005000000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8" dataDxfId="766" headerRowBorderDxfId="767" tableBorderDxfId="765" totalsRowBorderDxfId="764">
  <autoFilter ref="K14:M31" xr:uid="{00000000-0009-0000-0100-000066000000}"/>
  <tableColumns count="3">
    <tableColumn id="1" xr3:uid="{00000000-0010-0000-6300-000001000000}" name="OS" dataDxfId="763"/>
    <tableColumn id="2" xr3:uid="{00000000-0010-0000-6300-000002000000}" name="Vendedor" dataDxfId="762"/>
    <tableColumn id="3" xr3:uid="{00000000-0010-0000-6300-000003000000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4:I41" totalsRowShown="0" headerRowDxfId="760" dataDxfId="758" headerRowBorderDxfId="759" tableBorderDxfId="757" totalsRowBorderDxfId="756">
  <autoFilter ref="E34:I41" xr:uid="{00000000-0009-0000-0100-000067000000}"/>
  <sortState xmlns:xlrd2="http://schemas.microsoft.com/office/spreadsheetml/2017/richdata2" ref="E35:I40">
    <sortCondition ref="E25:E31"/>
  </sortState>
  <tableColumns count="5">
    <tableColumn id="1" xr3:uid="{00000000-0010-0000-6400-000001000000}" name="OS" dataDxfId="755"/>
    <tableColumn id="2" xr3:uid="{00000000-0010-0000-6400-000002000000}" name="Cliente" dataDxfId="754"/>
    <tableColumn id="3" xr3:uid="{00000000-0010-0000-6400-000003000000}" name="Forma de Pgto" dataDxfId="753" dataCellStyle="Moeda"/>
    <tableColumn id="4" xr3:uid="{00000000-0010-0000-6400-000004000000}" name="Valor Parcela" dataDxfId="752" dataCellStyle="Porcentagem"/>
    <tableColumn id="5" xr3:uid="{00000000-0010-0000-6400-000005000000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50" headerRowBorderDxfId="749" tableBorderDxfId="748" totalsRowBorderDxfId="747">
  <autoFilter ref="K34:M41" xr:uid="{00000000-0009-0000-0100-000068000000}"/>
  <tableColumns count="3">
    <tableColumn id="1" xr3:uid="{00000000-0010-0000-6500-000001000000}" name="OS" dataDxfId="746"/>
    <tableColumn id="2" xr3:uid="{00000000-0010-0000-6500-000002000000}" name="Parcelas" dataDxfId="745"/>
    <tableColumn id="3" xr3:uid="{00000000-0010-0000-6500-000003000000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3" dataDxfId="741" headerRowBorderDxfId="742" tableBorderDxfId="740" totalsRowBorderDxfId="739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8" dataCellStyle="Moeda"/>
    <tableColumn id="5" xr3:uid="{00000000-0010-0000-6600-000005000000}" name="Cliente" dataDxfId="737" dataCellStyle="Moeda"/>
    <tableColumn id="2" xr3:uid="{00000000-0010-0000-6600-000002000000}" name="Forma de Pgto" dataDxfId="736" dataCellStyle="Moeda"/>
    <tableColumn id="3" xr3:uid="{00000000-0010-0000-6600-000003000000}" name="Valor Venda" dataDxfId="735" dataCellStyle="Porcentagem"/>
    <tableColumn id="4" xr3:uid="{00000000-0010-0000-6600-000004000000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3" dataDxfId="731" headerRowBorderDxfId="732" tableBorderDxfId="730" totalsRowBorderDxfId="729">
  <autoFilter ref="K5:M11" xr:uid="{00000000-0009-0000-0100-00006A000000}"/>
  <tableColumns count="3">
    <tableColumn id="1" xr3:uid="{00000000-0010-0000-6700-000001000000}" name="Descrição" dataDxfId="728"/>
    <tableColumn id="2" xr3:uid="{00000000-0010-0000-6700-000002000000}" name="Tipo de Pagto" dataDxfId="727"/>
    <tableColumn id="3" xr3:uid="{00000000-0010-0000-6700-000003000000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5" dataDxfId="723" headerRowBorderDxfId="724" tableBorderDxfId="722" totalsRowBorderDxfId="721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20"/>
    <tableColumn id="2" xr3:uid="{00000000-0010-0000-6800-000002000000}" name="Cliente" dataDxfId="719"/>
    <tableColumn id="3" xr3:uid="{00000000-0010-0000-6800-000003000000}" name="Forma de Pgto" dataDxfId="718" dataCellStyle="Moeda"/>
    <tableColumn id="4" xr3:uid="{00000000-0010-0000-6800-000004000000}" name="Valor Venda" dataDxfId="717" dataCellStyle="Porcentagem"/>
    <tableColumn id="5" xr3:uid="{00000000-0010-0000-6800-000005000000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5" dataDxfId="713" headerRowBorderDxfId="714" tableBorderDxfId="712" totalsRowBorderDxfId="711">
  <autoFilter ref="K14:M31" xr:uid="{00000000-0009-0000-0100-00006C000000}"/>
  <tableColumns count="3">
    <tableColumn id="1" xr3:uid="{00000000-0010-0000-6900-000001000000}" name="OS" dataDxfId="710"/>
    <tableColumn id="2" xr3:uid="{00000000-0010-0000-6900-000002000000}" name="Vendedor" dataDxfId="709"/>
    <tableColumn id="3" xr3:uid="{00000000-0010-0000-6900-000003000000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7" dataDxfId="705" headerRowBorderDxfId="706" tableBorderDxfId="704" totalsRowBorderDxfId="703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2"/>
    <tableColumn id="2" xr3:uid="{00000000-0010-0000-6A00-000002000000}" name="Cliente" dataDxfId="701"/>
    <tableColumn id="3" xr3:uid="{00000000-0010-0000-6A00-000003000000}" name="Forma de Pgto" dataDxfId="700" dataCellStyle="Moeda"/>
    <tableColumn id="4" xr3:uid="{00000000-0010-0000-6A00-000004000000}" name="Valor Parcela" dataDxfId="699" dataCellStyle="Porcentagem"/>
    <tableColumn id="5" xr3:uid="{00000000-0010-0000-6A00-000005000000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7" headerRowBorderDxfId="696" tableBorderDxfId="695" totalsRowBorderDxfId="694">
  <autoFilter ref="K34:M41" xr:uid="{00000000-0009-0000-0100-00006E000000}"/>
  <tableColumns count="3">
    <tableColumn id="1" xr3:uid="{00000000-0010-0000-6B00-000001000000}" name="OS" dataDxfId="693"/>
    <tableColumn id="2" xr3:uid="{00000000-0010-0000-6B00-000002000000}" name="Parcelas" dataDxfId="692"/>
    <tableColumn id="3" xr3:uid="{00000000-0010-0000-6B00-000003000000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90" dataDxfId="688" headerRowBorderDxfId="689" tableBorderDxfId="687" totalsRowBorderDxfId="686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5" dataCellStyle="Moeda"/>
    <tableColumn id="5" xr3:uid="{00000000-0010-0000-6C00-000005000000}" name="Cliente" dataDxfId="684" dataCellStyle="Moeda"/>
    <tableColumn id="2" xr3:uid="{00000000-0010-0000-6C00-000002000000}" name="Forma de Pgto" dataDxfId="683" dataCellStyle="Moeda"/>
    <tableColumn id="3" xr3:uid="{00000000-0010-0000-6C00-000003000000}" name="Valor Venda" dataDxfId="682" dataCellStyle="Porcentagem"/>
    <tableColumn id="4" xr3:uid="{00000000-0010-0000-6C00-000004000000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80" dataDxfId="678" headerRowBorderDxfId="679" tableBorderDxfId="677" totalsRowBorderDxfId="676">
  <autoFilter ref="K5:M11" xr:uid="{00000000-0009-0000-0100-000070000000}"/>
  <tableColumns count="3">
    <tableColumn id="1" xr3:uid="{00000000-0010-0000-6D00-000001000000}" name="Descrição" dataDxfId="675"/>
    <tableColumn id="2" xr3:uid="{00000000-0010-0000-6D00-000002000000}" name="Tipo de Pagto" dataDxfId="674"/>
    <tableColumn id="3" xr3:uid="{00000000-0010-0000-6D00-000003000000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2" dataDxfId="670" headerRowBorderDxfId="671" tableBorderDxfId="669" totalsRowBorderDxfId="668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7"/>
    <tableColumn id="2" xr3:uid="{00000000-0010-0000-6E00-000002000000}" name="Cliente" dataDxfId="666"/>
    <tableColumn id="3" xr3:uid="{00000000-0010-0000-6E00-000003000000}" name="Forma de Pgto" dataDxfId="665" dataCellStyle="Moeda"/>
    <tableColumn id="4" xr3:uid="{00000000-0010-0000-6E00-000004000000}" name="Valor Venda" dataDxfId="664" dataCellStyle="Porcentagem"/>
    <tableColumn id="5" xr3:uid="{00000000-0010-0000-6E00-000005000000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2" dataDxfId="660" headerRowBorderDxfId="661" tableBorderDxfId="659" totalsRowBorderDxfId="658">
  <autoFilter ref="K14:M31" xr:uid="{00000000-0009-0000-0100-000072000000}"/>
  <tableColumns count="3">
    <tableColumn id="1" xr3:uid="{00000000-0010-0000-6F00-000001000000}" name="OS" dataDxfId="657"/>
    <tableColumn id="2" xr3:uid="{00000000-0010-0000-6F00-000002000000}" name="Vendedor" dataDxfId="656"/>
    <tableColumn id="3" xr3:uid="{00000000-0010-0000-6F00-000003000000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4" dataDxfId="652" headerRowBorderDxfId="653" tableBorderDxfId="651" totalsRowBorderDxfId="650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9"/>
    <tableColumn id="2" xr3:uid="{00000000-0010-0000-7000-000002000000}" name="Cliente" dataDxfId="648"/>
    <tableColumn id="3" xr3:uid="{00000000-0010-0000-7000-000003000000}" name="Forma de Pgto" dataDxfId="647" dataCellStyle="Moeda"/>
    <tableColumn id="4" xr3:uid="{00000000-0010-0000-7000-000004000000}" name="Valor Parcela" dataDxfId="646" dataCellStyle="Porcentagem"/>
    <tableColumn id="5" xr3:uid="{00000000-0010-0000-7000-00000500000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4" headerRowBorderDxfId="643" tableBorderDxfId="642" totalsRowBorderDxfId="641">
  <autoFilter ref="K34:M41" xr:uid="{00000000-0009-0000-0100-000074000000}"/>
  <tableColumns count="3">
    <tableColumn id="1" xr3:uid="{00000000-0010-0000-7100-000001000000}" name="OS" dataDxfId="640"/>
    <tableColumn id="2" xr3:uid="{00000000-0010-0000-7100-000002000000}" name="Parcelas" dataDxfId="639"/>
    <tableColumn id="3" xr3:uid="{00000000-0010-0000-7100-000003000000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7" dataDxfId="635" headerRowBorderDxfId="636" tableBorderDxfId="634" totalsRowBorderDxfId="633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2" dataCellStyle="Moeda"/>
    <tableColumn id="5" xr3:uid="{00000000-0010-0000-7200-000005000000}" name="Cliente" dataDxfId="631" dataCellStyle="Moeda"/>
    <tableColumn id="2" xr3:uid="{00000000-0010-0000-7200-000002000000}" name="Forma de Pgto" dataDxfId="630" dataCellStyle="Moeda"/>
    <tableColumn id="3" xr3:uid="{00000000-0010-0000-7200-000003000000}" name="Valor Venda" dataDxfId="629" dataCellStyle="Porcentagem"/>
    <tableColumn id="4" xr3:uid="{00000000-0010-0000-7200-000004000000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7" dataDxfId="625" headerRowBorderDxfId="626" tableBorderDxfId="624" totalsRowBorderDxfId="623">
  <autoFilter ref="K5:M11" xr:uid="{00000000-0009-0000-0100-00007B000000}"/>
  <tableColumns count="3">
    <tableColumn id="1" xr3:uid="{00000000-0010-0000-7300-000001000000}" name="Descrição" dataDxfId="622"/>
    <tableColumn id="2" xr3:uid="{00000000-0010-0000-7300-000002000000}" name="Tipo de Pagto" dataDxfId="621"/>
    <tableColumn id="3" xr3:uid="{00000000-0010-0000-7300-000003000000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9" dataDxfId="617" headerRowBorderDxfId="618" tableBorderDxfId="616" totalsRowBorderDxfId="615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4"/>
    <tableColumn id="2" xr3:uid="{00000000-0010-0000-7400-000002000000}" name="Cliente" dataDxfId="613"/>
    <tableColumn id="3" xr3:uid="{00000000-0010-0000-7400-000003000000}" name="Forma de Pgto" dataDxfId="612" dataCellStyle="Moeda"/>
    <tableColumn id="4" xr3:uid="{00000000-0010-0000-7400-000004000000}" name="Valor Venda" dataDxfId="611" dataCellStyle="Porcentagem"/>
    <tableColumn id="5" xr3:uid="{00000000-0010-0000-7400-000005000000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9" dataDxfId="607" headerRowBorderDxfId="608" tableBorderDxfId="606" totalsRowBorderDxfId="605">
  <autoFilter ref="K14:M31" xr:uid="{00000000-0009-0000-0100-00007D000000}"/>
  <tableColumns count="3">
    <tableColumn id="1" xr3:uid="{00000000-0010-0000-7500-000001000000}" name="OS" dataDxfId="604"/>
    <tableColumn id="2" xr3:uid="{00000000-0010-0000-7500-000002000000}" name="Vendedor" dataDxfId="603"/>
    <tableColumn id="3" xr3:uid="{00000000-0010-0000-7500-000003000000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1" dataDxfId="599" headerRowBorderDxfId="600" tableBorderDxfId="598" totalsRowBorderDxfId="597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6"/>
    <tableColumn id="2" xr3:uid="{00000000-0010-0000-7600-000002000000}" name="Cliente" dataDxfId="595"/>
    <tableColumn id="3" xr3:uid="{00000000-0010-0000-7600-000003000000}" name="Forma de Pgto" dataDxfId="594" dataCellStyle="Moeda"/>
    <tableColumn id="4" xr3:uid="{00000000-0010-0000-7600-000004000000}" name="Valor Parcela" dataDxfId="593" dataCellStyle="Porcentagem"/>
    <tableColumn id="5" xr3:uid="{00000000-0010-0000-7600-000005000000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1" headerRowBorderDxfId="590" tableBorderDxfId="589" totalsRowBorderDxfId="588">
  <autoFilter ref="K34:M41" xr:uid="{00000000-0009-0000-0100-00007F000000}"/>
  <tableColumns count="3">
    <tableColumn id="1" xr3:uid="{00000000-0010-0000-7700-000001000000}" name="OS" dataDxfId="587"/>
    <tableColumn id="2" xr3:uid="{00000000-0010-0000-7700-000002000000}" name="Parcelas" dataDxfId="586"/>
    <tableColumn id="3" xr3:uid="{00000000-0010-0000-7700-000003000000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4" dataDxfId="582" headerRowBorderDxfId="583" tableBorderDxfId="581" totalsRowBorderDxfId="580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9" dataCellStyle="Moeda"/>
    <tableColumn id="5" xr3:uid="{00000000-0010-0000-7800-000005000000}" name="Cliente" dataDxfId="578" dataCellStyle="Moeda"/>
    <tableColumn id="2" xr3:uid="{00000000-0010-0000-7800-000002000000}" name="Forma de Pgto" dataDxfId="577" dataCellStyle="Moeda"/>
    <tableColumn id="3" xr3:uid="{00000000-0010-0000-7800-000003000000}" name="Valor Venda" dataDxfId="576" dataCellStyle="Porcentagem"/>
    <tableColumn id="4" xr3:uid="{00000000-0010-0000-7800-000004000000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4" dataDxfId="572" headerRowBorderDxfId="573" tableBorderDxfId="571" totalsRowBorderDxfId="570">
  <autoFilter ref="K5:M11" xr:uid="{00000000-0009-0000-0100-000081000000}"/>
  <tableColumns count="3">
    <tableColumn id="1" xr3:uid="{00000000-0010-0000-7900-000001000000}" name="Descrição" dataDxfId="569"/>
    <tableColumn id="2" xr3:uid="{00000000-0010-0000-7900-000002000000}" name="Tipo de Pagto" dataDxfId="568"/>
    <tableColumn id="3" xr3:uid="{00000000-0010-0000-7900-000003000000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6" dataDxfId="564" headerRowBorderDxfId="565" tableBorderDxfId="563" totalsRowBorderDxfId="562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1"/>
    <tableColumn id="2" xr3:uid="{00000000-0010-0000-7A00-000002000000}" name="Cliente" dataDxfId="560"/>
    <tableColumn id="3" xr3:uid="{00000000-0010-0000-7A00-000003000000}" name="Forma de Pgto" dataDxfId="559" dataCellStyle="Moeda"/>
    <tableColumn id="4" xr3:uid="{00000000-0010-0000-7A00-000004000000}" name="Valor Venda" dataDxfId="558" dataCellStyle="Porcentagem"/>
    <tableColumn id="5" xr3:uid="{00000000-0010-0000-7A00-000005000000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6" dataDxfId="554" headerRowBorderDxfId="555" tableBorderDxfId="553" totalsRowBorderDxfId="552">
  <autoFilter ref="K14:M31" xr:uid="{00000000-0009-0000-0100-000083000000}"/>
  <tableColumns count="3">
    <tableColumn id="1" xr3:uid="{00000000-0010-0000-7B00-000001000000}" name="OS" dataDxfId="551"/>
    <tableColumn id="2" xr3:uid="{00000000-0010-0000-7B00-000002000000}" name="Vendedor" dataDxfId="550"/>
    <tableColumn id="3" xr3:uid="{00000000-0010-0000-7B00-00000300000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8" dataDxfId="546" headerRowBorderDxfId="547" tableBorderDxfId="545" totalsRowBorderDxfId="544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3"/>
    <tableColumn id="2" xr3:uid="{00000000-0010-0000-7C00-000002000000}" name="Cliente" dataDxfId="542"/>
    <tableColumn id="3" xr3:uid="{00000000-0010-0000-7C00-000003000000}" name="Forma de Pgto" dataDxfId="541" dataCellStyle="Moeda"/>
    <tableColumn id="4" xr3:uid="{00000000-0010-0000-7C00-000004000000}" name="Valor Parcela" dataDxfId="540" dataCellStyle="Porcentagem"/>
    <tableColumn id="5" xr3:uid="{00000000-0010-0000-7C00-000005000000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8" headerRowBorderDxfId="537" tableBorderDxfId="536" totalsRowBorderDxfId="535">
  <autoFilter ref="K34:M41" xr:uid="{00000000-0009-0000-0100-000085000000}"/>
  <tableColumns count="3">
    <tableColumn id="1" xr3:uid="{00000000-0010-0000-7D00-000001000000}" name="OS" dataDxfId="534"/>
    <tableColumn id="2" xr3:uid="{00000000-0010-0000-7D00-000002000000}" name="Parcelas" dataDxfId="533"/>
    <tableColumn id="3" xr3:uid="{00000000-0010-0000-7D00-000003000000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1" dataDxfId="529" headerRowBorderDxfId="530" tableBorderDxfId="528" totalsRowBorderDxfId="527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6" dataCellStyle="Moeda"/>
    <tableColumn id="5" xr3:uid="{00000000-0010-0000-7E00-000005000000}" name="Cliente" dataDxfId="525" dataCellStyle="Moeda"/>
    <tableColumn id="2" xr3:uid="{00000000-0010-0000-7E00-000002000000}" name="Forma de Pgto" dataDxfId="524" dataCellStyle="Moeda"/>
    <tableColumn id="3" xr3:uid="{00000000-0010-0000-7E00-000003000000}" name="Valor Venda" dataDxfId="523" dataCellStyle="Porcentagem"/>
    <tableColumn id="4" xr3:uid="{00000000-0010-0000-7E00-000004000000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1" dataDxfId="519" headerRowBorderDxfId="520" tableBorderDxfId="518" totalsRowBorderDxfId="517">
  <autoFilter ref="K5:M11" xr:uid="{00000000-0009-0000-0100-000087000000}"/>
  <tableColumns count="3">
    <tableColumn id="1" xr3:uid="{00000000-0010-0000-7F00-000001000000}" name="Descrição" dataDxfId="516"/>
    <tableColumn id="2" xr3:uid="{00000000-0010-0000-7F00-000002000000}" name="Tipo de Pagto" dataDxfId="515"/>
    <tableColumn id="3" xr3:uid="{00000000-0010-0000-7F00-000003000000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3" dataDxfId="511" headerRowBorderDxfId="512" tableBorderDxfId="510" totalsRowBorderDxfId="509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8"/>
    <tableColumn id="2" xr3:uid="{00000000-0010-0000-8000-000002000000}" name="Cliente" dataDxfId="507"/>
    <tableColumn id="3" xr3:uid="{00000000-0010-0000-8000-000003000000}" name="Forma de Pgto" dataDxfId="506" dataCellStyle="Moeda"/>
    <tableColumn id="4" xr3:uid="{00000000-0010-0000-8000-000004000000}" name="Valor Venda" dataDxfId="505" dataCellStyle="Porcentagem"/>
    <tableColumn id="5" xr3:uid="{00000000-0010-0000-8000-000005000000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3" dataDxfId="501" headerRowBorderDxfId="502" tableBorderDxfId="500" totalsRowBorderDxfId="499">
  <autoFilter ref="K14:M31" xr:uid="{00000000-0009-0000-0100-000089000000}"/>
  <tableColumns count="3">
    <tableColumn id="1" xr3:uid="{00000000-0010-0000-8100-000001000000}" name="OS" dataDxfId="498"/>
    <tableColumn id="2" xr3:uid="{00000000-0010-0000-8100-000002000000}" name="Vendedor" dataDxfId="497"/>
    <tableColumn id="3" xr3:uid="{00000000-0010-0000-8100-000003000000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5" dataDxfId="493" headerRowBorderDxfId="494" tableBorderDxfId="492" totalsRowBorderDxfId="491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90"/>
    <tableColumn id="2" xr3:uid="{00000000-0010-0000-8200-000002000000}" name="Cliente" dataDxfId="489"/>
    <tableColumn id="3" xr3:uid="{00000000-0010-0000-8200-000003000000}" name="Forma de Pgto" dataDxfId="488" dataCellStyle="Moeda"/>
    <tableColumn id="4" xr3:uid="{00000000-0010-0000-8200-000004000000}" name="Valor Parcela" dataDxfId="487" dataCellStyle="Porcentagem"/>
    <tableColumn id="5" xr3:uid="{00000000-0010-0000-8200-000005000000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5" headerRowBorderDxfId="484" tableBorderDxfId="483" totalsRowBorderDxfId="482">
  <autoFilter ref="K34:M41" xr:uid="{00000000-0009-0000-0100-00008B000000}"/>
  <tableColumns count="3">
    <tableColumn id="1" xr3:uid="{00000000-0010-0000-8300-000001000000}" name="OS" dataDxfId="481"/>
    <tableColumn id="2" xr3:uid="{00000000-0010-0000-8300-000002000000}" name="Parcelas" dataDxfId="480"/>
    <tableColumn id="3" xr3:uid="{00000000-0010-0000-8300-000003000000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8" dataDxfId="476" headerRowBorderDxfId="477" tableBorderDxfId="475" totalsRowBorderDxfId="474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3" dataCellStyle="Moeda"/>
    <tableColumn id="5" xr3:uid="{00000000-0010-0000-8400-000005000000}" name="Cliente" dataDxfId="472" dataCellStyle="Moeda"/>
    <tableColumn id="2" xr3:uid="{00000000-0010-0000-8400-000002000000}" name="Forma de Pgto" dataDxfId="471" dataCellStyle="Moeda"/>
    <tableColumn id="3" xr3:uid="{00000000-0010-0000-8400-000003000000}" name="Valor Venda" dataDxfId="470" dataCellStyle="Porcentagem"/>
    <tableColumn id="4" xr3:uid="{00000000-0010-0000-8400-000004000000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8" dataDxfId="466" headerRowBorderDxfId="467" tableBorderDxfId="465" totalsRowBorderDxfId="464">
  <autoFilter ref="K5:M11" xr:uid="{00000000-0009-0000-0100-000075000000}"/>
  <tableColumns count="3">
    <tableColumn id="1" xr3:uid="{00000000-0010-0000-8500-000001000000}" name="Descrição" dataDxfId="463"/>
    <tableColumn id="2" xr3:uid="{00000000-0010-0000-8500-000002000000}" name="Tipo de Pagto" dataDxfId="462"/>
    <tableColumn id="3" xr3:uid="{00000000-0010-0000-8500-000003000000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60" dataDxfId="458" headerRowBorderDxfId="459" tableBorderDxfId="457" totalsRowBorderDxfId="456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5"/>
    <tableColumn id="2" xr3:uid="{00000000-0010-0000-8600-000002000000}" name="Cliente" dataDxfId="454"/>
    <tableColumn id="3" xr3:uid="{00000000-0010-0000-8600-000003000000}" name="Forma de Pgto" dataDxfId="453" dataCellStyle="Moeda"/>
    <tableColumn id="4" xr3:uid="{00000000-0010-0000-8600-000004000000}" name="Valor Venda" dataDxfId="452" dataCellStyle="Porcentagem"/>
    <tableColumn id="5" xr3:uid="{00000000-0010-0000-8600-000005000000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50" dataDxfId="448" headerRowBorderDxfId="449" tableBorderDxfId="447" totalsRowBorderDxfId="446">
  <autoFilter ref="K14:M31" xr:uid="{00000000-0009-0000-0100-000077000000}"/>
  <tableColumns count="3">
    <tableColumn id="1" xr3:uid="{00000000-0010-0000-8700-000001000000}" name="OS" dataDxfId="445"/>
    <tableColumn id="2" xr3:uid="{00000000-0010-0000-8700-000002000000}" name="Vendedor" dataDxfId="444"/>
    <tableColumn id="3" xr3:uid="{00000000-0010-0000-8700-000003000000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2" dataDxfId="440" headerRowBorderDxfId="441" tableBorderDxfId="439" totalsRowBorderDxfId="438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7"/>
    <tableColumn id="2" xr3:uid="{00000000-0010-0000-8800-000002000000}" name="Cliente" dataDxfId="436"/>
    <tableColumn id="3" xr3:uid="{00000000-0010-0000-8800-000003000000}" name="Forma de Pgto" dataDxfId="435" dataCellStyle="Moeda"/>
    <tableColumn id="4" xr3:uid="{00000000-0010-0000-8800-000004000000}" name="Valor Parcela" dataDxfId="434" dataCellStyle="Porcentagem"/>
    <tableColumn id="5" xr3:uid="{00000000-0010-0000-8800-000005000000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2" headerRowBorderDxfId="431" tableBorderDxfId="430" totalsRowBorderDxfId="429">
  <autoFilter ref="K34:M41" xr:uid="{00000000-0009-0000-0100-000079000000}"/>
  <tableColumns count="3">
    <tableColumn id="1" xr3:uid="{00000000-0010-0000-8900-000001000000}" name="OS" dataDxfId="428"/>
    <tableColumn id="2" xr3:uid="{00000000-0010-0000-8900-000002000000}" name="Parcelas" dataDxfId="427"/>
    <tableColumn id="3" xr3:uid="{00000000-0010-0000-8900-00000300000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5" dataDxfId="423" headerRowBorderDxfId="424" tableBorderDxfId="422" totalsRowBorderDxfId="421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20" dataCellStyle="Moeda"/>
    <tableColumn id="5" xr3:uid="{00000000-0010-0000-8A00-000005000000}" name="Cliente" dataDxfId="419" dataCellStyle="Moeda"/>
    <tableColumn id="2" xr3:uid="{00000000-0010-0000-8A00-000002000000}" name="Forma de Pgto" dataDxfId="418" dataCellStyle="Moeda"/>
    <tableColumn id="3" xr3:uid="{00000000-0010-0000-8A00-000003000000}" name="Valor Venda" dataDxfId="417" dataCellStyle="Porcentagem"/>
    <tableColumn id="4" xr3:uid="{00000000-0010-0000-8A00-000004000000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5" dataDxfId="413" headerRowBorderDxfId="414" tableBorderDxfId="412" totalsRowBorderDxfId="411">
  <autoFilter ref="K5:M11" xr:uid="{00000000-0009-0000-0100-000093000000}"/>
  <tableColumns count="3">
    <tableColumn id="1" xr3:uid="{00000000-0010-0000-8B00-000001000000}" name="Descrição" dataDxfId="410"/>
    <tableColumn id="2" xr3:uid="{00000000-0010-0000-8B00-000002000000}" name="Tipo de Pagto" dataDxfId="409"/>
    <tableColumn id="3" xr3:uid="{00000000-0010-0000-8B00-000003000000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7" dataDxfId="405" headerRowBorderDxfId="406" tableBorderDxfId="404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5" headerRowBorderDxfId="396" tableBorderDxfId="394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7" headerRowBorderDxfId="388" tableBorderDxfId="386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8" tableBorderDxfId="377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372" dataDxfId="370" headerRowBorderDxfId="371" tableBorderDxfId="369" totalsRowBorderDxfId="368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367" dataCellStyle="Moeda"/>
    <tableColumn id="5" xr3:uid="{00000000-0010-0000-A200-000005000000}" name="Cliente" dataDxfId="366" dataCellStyle="Moeda"/>
    <tableColumn id="2" xr3:uid="{00000000-0010-0000-A200-000002000000}" name="Forma de Pgto" dataDxfId="365" dataCellStyle="Moeda"/>
    <tableColumn id="3" xr3:uid="{00000000-0010-0000-A200-000003000000}" name="Valor Venda" dataDxfId="364" dataCellStyle="Porcentagem"/>
    <tableColumn id="4" xr3:uid="{00000000-0010-0000-A2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362" dataDxfId="360" headerRowBorderDxfId="361" tableBorderDxfId="359" totalsRowBorderDxfId="358">
  <autoFilter ref="K5:M11" xr:uid="{00000000-0009-0000-0100-0000A5000000}"/>
  <tableColumns count="3">
    <tableColumn id="1" xr3:uid="{00000000-0010-0000-A300-000001000000}" name="Descrição" dataDxfId="357"/>
    <tableColumn id="2" xr3:uid="{00000000-0010-0000-A300-000002000000}" name="Tipo de Pagto" dataDxfId="356"/>
    <tableColumn id="3" xr3:uid="{00000000-0010-0000-A3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354" dataDxfId="352" headerRowBorderDxfId="353" tableBorderDxfId="351" totalsRowBorderDxfId="350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349"/>
    <tableColumn id="2" xr3:uid="{00000000-0010-0000-A400-000002000000}" name="Cliente" dataDxfId="348"/>
    <tableColumn id="3" xr3:uid="{00000000-0010-0000-A400-000003000000}" name="Forma de Pgto" dataDxfId="347" dataCellStyle="Moeda"/>
    <tableColumn id="4" xr3:uid="{00000000-0010-0000-A400-000004000000}" name="Valor Venda" dataDxfId="346" dataCellStyle="Porcentagem"/>
    <tableColumn id="5" xr3:uid="{00000000-0010-0000-A4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344" dataDxfId="342" headerRowBorderDxfId="343" tableBorderDxfId="341" totalsRowBorderDxfId="340">
  <autoFilter ref="K14:M31" xr:uid="{00000000-0009-0000-0100-0000A7000000}"/>
  <tableColumns count="3">
    <tableColumn id="1" xr3:uid="{00000000-0010-0000-A500-000001000000}" name="OS" dataDxfId="339"/>
    <tableColumn id="2" xr3:uid="{00000000-0010-0000-A500-000002000000}" name="Vendedor" dataDxfId="338"/>
    <tableColumn id="3" xr3:uid="{00000000-0010-0000-A5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336" dataDxfId="334" headerRowBorderDxfId="335" tableBorderDxfId="333" totalsRowBorderDxfId="332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331"/>
    <tableColumn id="2" xr3:uid="{00000000-0010-0000-A600-000002000000}" name="Cliente" dataDxfId="330"/>
    <tableColumn id="3" xr3:uid="{00000000-0010-0000-A600-000003000000}" name="Forma de Pgto" dataDxfId="329" dataCellStyle="Moeda"/>
    <tableColumn id="4" xr3:uid="{00000000-0010-0000-A600-000004000000}" name="Valor Parcela" dataDxfId="328" dataCellStyle="Porcentagem"/>
    <tableColumn id="5" xr3:uid="{00000000-0010-0000-A6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326" headerRowBorderDxfId="325" tableBorderDxfId="324" totalsRowBorderDxfId="323">
  <autoFilter ref="K34:M41" xr:uid="{00000000-0009-0000-0100-0000A9000000}"/>
  <tableColumns count="3">
    <tableColumn id="1" xr3:uid="{00000000-0010-0000-A700-000001000000}" name="OS" dataDxfId="322"/>
    <tableColumn id="2" xr3:uid="{00000000-0010-0000-A700-000002000000}" name="Parcelas" dataDxfId="321"/>
    <tableColumn id="3" xr3:uid="{00000000-0010-0000-A7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19" dataDxfId="317" headerRowBorderDxfId="318" tableBorderDxfId="316" totalsRowBorderDxfId="315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14" dataCellStyle="Moeda"/>
    <tableColumn id="5" xr3:uid="{00000000-0010-0000-9000-000005000000}" name="Cliente" dataDxfId="313" dataCellStyle="Moeda"/>
    <tableColumn id="2" xr3:uid="{00000000-0010-0000-9000-000002000000}" name="Forma de Pgto" dataDxfId="312" dataCellStyle="Moeda"/>
    <tableColumn id="3" xr3:uid="{00000000-0010-0000-9000-000003000000}" name="Valor Venda" dataDxfId="311" dataCellStyle="Porcentagem"/>
    <tableColumn id="4" xr3:uid="{00000000-0010-0000-90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09" dataDxfId="307" headerRowBorderDxfId="308" tableBorderDxfId="306" totalsRowBorderDxfId="305">
  <autoFilter ref="K5:M11" xr:uid="{00000000-0009-0000-0100-00009F000000}"/>
  <tableColumns count="3">
    <tableColumn id="1" xr3:uid="{00000000-0010-0000-9100-000001000000}" name="Descrição" dataDxfId="304"/>
    <tableColumn id="2" xr3:uid="{00000000-0010-0000-9100-000002000000}" name="Tipo de Pagto" dataDxfId="303"/>
    <tableColumn id="3" xr3:uid="{00000000-0010-0000-91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01" dataDxfId="299" headerRowBorderDxfId="300" tableBorderDxfId="298" totalsRowBorderDxfId="297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296"/>
    <tableColumn id="2" xr3:uid="{00000000-0010-0000-9200-000002000000}" name="Cliente" dataDxfId="295"/>
    <tableColumn id="3" xr3:uid="{00000000-0010-0000-9200-000003000000}" name="Forma de Pgto" dataDxfId="294" dataCellStyle="Moeda"/>
    <tableColumn id="4" xr3:uid="{00000000-0010-0000-9200-000004000000}" name="Valor Venda" dataDxfId="293" dataCellStyle="Porcentagem"/>
    <tableColumn id="5" xr3:uid="{00000000-0010-0000-92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291" dataDxfId="289" headerRowBorderDxfId="290" tableBorderDxfId="288" totalsRowBorderDxfId="287">
  <autoFilter ref="K14:M31" xr:uid="{00000000-0009-0000-0100-0000A1000000}"/>
  <tableColumns count="3">
    <tableColumn id="1" xr3:uid="{00000000-0010-0000-9300-000001000000}" name="OS" dataDxfId="286"/>
    <tableColumn id="2" xr3:uid="{00000000-0010-0000-9300-000002000000}" name="Vendedor" dataDxfId="285"/>
    <tableColumn id="3" xr3:uid="{00000000-0010-0000-93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283" dataDxfId="281" headerRowBorderDxfId="282" tableBorderDxfId="280" totalsRowBorderDxfId="279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278"/>
    <tableColumn id="2" xr3:uid="{00000000-0010-0000-9400-000002000000}" name="Cliente" dataDxfId="277"/>
    <tableColumn id="3" xr3:uid="{00000000-0010-0000-9400-000003000000}" name="Forma de Pgto" dataDxfId="276" dataCellStyle="Moeda"/>
    <tableColumn id="4" xr3:uid="{00000000-0010-0000-9400-000004000000}" name="Valor Parcela" dataDxfId="275" dataCellStyle="Porcentagem"/>
    <tableColumn id="5" xr3:uid="{00000000-0010-0000-94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273" headerRowBorderDxfId="272" tableBorderDxfId="271" totalsRowBorderDxfId="270">
  <autoFilter ref="K34:M41" xr:uid="{00000000-0009-0000-0100-0000A3000000}"/>
  <tableColumns count="3">
    <tableColumn id="1" xr3:uid="{00000000-0010-0000-9500-000001000000}" name="OS" dataDxfId="269"/>
    <tableColumn id="2" xr3:uid="{00000000-0010-0000-9500-000002000000}" name="Parcelas" dataDxfId="268"/>
    <tableColumn id="3" xr3:uid="{00000000-0010-0000-95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266" dataDxfId="264" headerRowBorderDxfId="265" tableBorderDxfId="263" totalsRowBorderDxfId="262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261" dataCellStyle="Moeda"/>
    <tableColumn id="5" xr3:uid="{00000000-0010-0000-9600-000005000000}" name="Cliente" dataDxfId="260" dataCellStyle="Moeda"/>
    <tableColumn id="2" xr3:uid="{00000000-0010-0000-9600-000002000000}" name="Forma de Pgto" dataDxfId="259" dataCellStyle="Moeda"/>
    <tableColumn id="3" xr3:uid="{00000000-0010-0000-9600-000003000000}" name="Valor Venda" dataDxfId="258" dataCellStyle="Porcentagem"/>
    <tableColumn id="4" xr3:uid="{00000000-0010-0000-96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256" dataDxfId="254" headerRowBorderDxfId="255" tableBorderDxfId="253" totalsRowBorderDxfId="252">
  <autoFilter ref="K5:M11" xr:uid="{00000000-0009-0000-0100-000099000000}"/>
  <tableColumns count="3">
    <tableColumn id="1" xr3:uid="{00000000-0010-0000-9700-000001000000}" name="Descrição" dataDxfId="251"/>
    <tableColumn id="2" xr3:uid="{00000000-0010-0000-9700-000002000000}" name="Tipo de Pagto" dataDxfId="250"/>
    <tableColumn id="3" xr3:uid="{00000000-0010-0000-97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248" dataDxfId="246" headerRowBorderDxfId="247" tableBorderDxfId="245" totalsRowBorderDxfId="244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43"/>
    <tableColumn id="2" xr3:uid="{00000000-0010-0000-9800-000002000000}" name="Cliente" dataDxfId="242"/>
    <tableColumn id="3" xr3:uid="{00000000-0010-0000-9800-000003000000}" name="Forma de Pgto" dataDxfId="241" dataCellStyle="Moeda"/>
    <tableColumn id="4" xr3:uid="{00000000-0010-0000-9800-000004000000}" name="Valor Venda" dataDxfId="240" dataCellStyle="Porcentagem"/>
    <tableColumn id="5" xr3:uid="{00000000-0010-0000-98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38" dataDxfId="236" headerRowBorderDxfId="237" tableBorderDxfId="235" totalsRowBorderDxfId="234">
  <autoFilter ref="K14:M31" xr:uid="{00000000-0009-0000-0100-00009B000000}"/>
  <tableColumns count="3">
    <tableColumn id="1" xr3:uid="{00000000-0010-0000-9900-000001000000}" name="OS" dataDxfId="233"/>
    <tableColumn id="2" xr3:uid="{00000000-0010-0000-9900-000002000000}" name="Vendedor" dataDxfId="232"/>
    <tableColumn id="3" xr3:uid="{00000000-0010-0000-99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30" dataDxfId="228" headerRowBorderDxfId="229" tableBorderDxfId="227" totalsRowBorderDxfId="226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25"/>
    <tableColumn id="2" xr3:uid="{00000000-0010-0000-9A00-000002000000}" name="Cliente" dataDxfId="224"/>
    <tableColumn id="3" xr3:uid="{00000000-0010-0000-9A00-000003000000}" name="Forma de Pgto" dataDxfId="223" dataCellStyle="Moeda"/>
    <tableColumn id="4" xr3:uid="{00000000-0010-0000-9A00-000004000000}" name="Valor Parcela" dataDxfId="222" dataCellStyle="Porcentagem"/>
    <tableColumn id="5" xr3:uid="{00000000-0010-0000-9A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20" headerRowBorderDxfId="219" tableBorderDxfId="218" totalsRowBorderDxfId="217">
  <autoFilter ref="K34:M41" xr:uid="{00000000-0009-0000-0100-00009D000000}"/>
  <tableColumns count="3">
    <tableColumn id="1" xr3:uid="{00000000-0010-0000-9B00-000001000000}" name="OS" dataDxfId="216"/>
    <tableColumn id="2" xr3:uid="{00000000-0010-0000-9B00-000002000000}" name="Parcelas" dataDxfId="215"/>
    <tableColumn id="3" xr3:uid="{00000000-0010-0000-9B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13" dataDxfId="211" headerRowBorderDxfId="212" tableBorderDxfId="210" totalsRowBorderDxfId="209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08" dataCellStyle="Moeda"/>
    <tableColumn id="5" xr3:uid="{00000000-0010-0000-9C00-000005000000}" name="Cliente" dataDxfId="207" dataCellStyle="Moeda"/>
    <tableColumn id="2" xr3:uid="{00000000-0010-0000-9C00-000002000000}" name="Forma de Pgto" dataDxfId="206" dataCellStyle="Moeda"/>
    <tableColumn id="3" xr3:uid="{00000000-0010-0000-9C00-000003000000}" name="Valor Venda" dataDxfId="205" dataCellStyle="Porcentagem"/>
    <tableColumn id="4" xr3:uid="{00000000-0010-0000-9C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03" dataDxfId="201" headerRowBorderDxfId="202" tableBorderDxfId="200" totalsRowBorderDxfId="199">
  <autoFilter ref="K5:M11" xr:uid="{00000000-0009-0000-0100-0000AB000000}"/>
  <tableColumns count="3">
    <tableColumn id="1" xr3:uid="{00000000-0010-0000-9D00-000001000000}" name="Descrição" dataDxfId="198"/>
    <tableColumn id="2" xr3:uid="{00000000-0010-0000-9D00-000002000000}" name="Tipo de Pagto" dataDxfId="197"/>
    <tableColumn id="3" xr3:uid="{00000000-0010-0000-9D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195" dataDxfId="193" headerRowBorderDxfId="194" tableBorderDxfId="192" totalsRowBorderDxfId="191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190"/>
    <tableColumn id="2" xr3:uid="{00000000-0010-0000-9E00-000002000000}" name="Cliente" dataDxfId="189"/>
    <tableColumn id="3" xr3:uid="{00000000-0010-0000-9E00-000003000000}" name="Forma de Pgto" dataDxfId="188" dataCellStyle="Moeda"/>
    <tableColumn id="4" xr3:uid="{00000000-0010-0000-9E00-000004000000}" name="Valor Venda" dataDxfId="187" dataCellStyle="Porcentagem"/>
    <tableColumn id="5" xr3:uid="{00000000-0010-0000-9E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185" dataDxfId="183" headerRowBorderDxfId="184" tableBorderDxfId="182" totalsRowBorderDxfId="181">
  <autoFilter ref="K14:M31" xr:uid="{00000000-0009-0000-0100-0000AD000000}"/>
  <tableColumns count="3">
    <tableColumn id="1" xr3:uid="{00000000-0010-0000-9F00-000001000000}" name="OS" dataDxfId="180"/>
    <tableColumn id="2" xr3:uid="{00000000-0010-0000-9F00-000002000000}" name="Vendedor" dataDxfId="179"/>
    <tableColumn id="3" xr3:uid="{00000000-0010-0000-9F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177" dataDxfId="175" headerRowBorderDxfId="176" tableBorderDxfId="174" totalsRowBorderDxfId="173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172"/>
    <tableColumn id="2" xr3:uid="{00000000-0010-0000-A000-000002000000}" name="Cliente" dataDxfId="171"/>
    <tableColumn id="3" xr3:uid="{00000000-0010-0000-A000-000003000000}" name="Forma de Pgto" dataDxfId="170" dataCellStyle="Moeda"/>
    <tableColumn id="4" xr3:uid="{00000000-0010-0000-A000-000004000000}" name="Valor Parcela" dataDxfId="169" dataCellStyle="Porcentagem"/>
    <tableColumn id="5" xr3:uid="{00000000-0010-0000-A0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167" headerRowBorderDxfId="166" tableBorderDxfId="165" totalsRowBorderDxfId="164">
  <autoFilter ref="K34:M41" xr:uid="{00000000-0009-0000-0100-0000AF000000}"/>
  <tableColumns count="3">
    <tableColumn id="1" xr3:uid="{00000000-0010-0000-A100-000001000000}" name="OS" dataDxfId="163"/>
    <tableColumn id="2" xr3:uid="{00000000-0010-0000-A100-000002000000}" name="Parcelas" dataDxfId="162"/>
    <tableColumn id="3" xr3:uid="{00000000-0010-0000-A1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2" totalsRowShown="0" headerRowDxfId="160" dataDxfId="158" headerRowBorderDxfId="159" tableBorderDxfId="157" totalsRowBorderDxfId="156">
  <autoFilter ref="E5:I22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8" headerRowBorderDxfId="149" tableBorderDxfId="147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5:I31" totalsRowShown="0" headerRowDxfId="142" dataDxfId="140" headerRowBorderDxfId="141" tableBorderDxfId="139" totalsRowBorderDxfId="138">
  <autoFilter ref="E25:I31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0" headerRowBorderDxfId="131" tableBorderDxfId="129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4:I41" totalsRowShown="0" headerRowDxfId="124" dataDxfId="122" headerRowBorderDxfId="123" tableBorderDxfId="121" totalsRowBorderDxfId="120">
  <autoFilter ref="E34:I41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3" tableBorderDxfId="112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5" headerRowBorderDxfId="106" tableBorderDxfId="104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5" headerRowBorderDxfId="96" tableBorderDxfId="94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7" headerRowBorderDxfId="88" tableBorderDxfId="86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7" headerRowBorderDxfId="78" tableBorderDxfId="76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Ê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69" headerRowBorderDxfId="70" tableBorderDxfId="68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60" tableBorderDxfId="59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2" headerRowBorderDxfId="53" tableBorderDxfId="51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2" headerRowBorderDxfId="43" tableBorderDxfId="41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4" headerRowBorderDxfId="35" tableBorderDxfId="33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4" headerRowBorderDxfId="25" tableBorderDxfId="23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6" headerRowBorderDxfId="17" tableBorderDxfId="15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7" tableBorderDxfId="6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B14" sqref="B14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9847.39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7666.39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</v>
      </c>
    </row>
    <row r="6" spans="1:2" ht="15.75" x14ac:dyDescent="0.25">
      <c r="A6" s="28" t="s">
        <v>4</v>
      </c>
      <c r="B6" s="29">
        <f>SUM(B4:B5)</f>
        <v>7677.39</v>
      </c>
    </row>
    <row r="7" spans="1:2" ht="15" x14ac:dyDescent="0.25">
      <c r="A7" s="2"/>
      <c r="B7" s="2"/>
    </row>
    <row r="8" spans="1:2" ht="15" x14ac:dyDescent="0.2">
      <c r="A8" s="80" t="s">
        <v>5</v>
      </c>
      <c r="B8" s="80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1930.4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833.9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1269.9000000000001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5317.32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596.94999999999993</v>
      </c>
    </row>
    <row r="14" spans="1:2" ht="15.75" x14ac:dyDescent="0.25">
      <c r="A14" s="28" t="s">
        <v>11</v>
      </c>
      <c r="B14" s="32">
        <f>SUM(B9:B13)</f>
        <v>9948.4700000000012</v>
      </c>
    </row>
    <row r="15" spans="1:2" ht="15" x14ac:dyDescent="0.25">
      <c r="A15" s="2"/>
      <c r="B15" s="2"/>
    </row>
    <row r="16" spans="1:2" ht="15" x14ac:dyDescent="0.2">
      <c r="A16" s="80" t="s">
        <v>12</v>
      </c>
      <c r="B16" s="80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3002</v>
      </c>
    </row>
    <row r="18" spans="1:2" ht="15.75" x14ac:dyDescent="0.25">
      <c r="A18" s="28" t="s">
        <v>11</v>
      </c>
      <c r="B18" s="32">
        <f>SUM(B17:B17)</f>
        <v>3002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45231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508</v>
      </c>
      <c r="F6" s="25" t="s">
        <v>21</v>
      </c>
      <c r="G6" s="48"/>
      <c r="H6" s="8" t="s">
        <v>22</v>
      </c>
      <c r="I6" s="8"/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477</v>
      </c>
      <c r="L15" s="9" t="s">
        <v>28</v>
      </c>
      <c r="M15" s="16" t="s">
        <v>29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125</v>
      </c>
      <c r="D16" s="2"/>
      <c r="E16" s="18"/>
      <c r="F16" s="25"/>
      <c r="G16" s="26"/>
      <c r="H16" s="8"/>
      <c r="I16" s="8"/>
      <c r="J16" s="2"/>
      <c r="K16" s="25">
        <v>478</v>
      </c>
      <c r="L16" s="9" t="s">
        <v>28</v>
      </c>
      <c r="M16" s="16" t="s">
        <v>29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6" t="s">
        <v>25</v>
      </c>
      <c r="L34" s="6" t="s">
        <v>35</v>
      </c>
      <c r="M34" s="6" t="s">
        <v>36</v>
      </c>
    </row>
    <row r="35" spans="2:18" ht="15.75" x14ac:dyDescent="0.25">
      <c r="E35" s="18">
        <v>200</v>
      </c>
      <c r="F35" s="25" t="s">
        <v>37</v>
      </c>
      <c r="G35" s="26" t="s">
        <v>6</v>
      </c>
      <c r="H35" s="8">
        <v>125</v>
      </c>
      <c r="I35" s="8" t="s">
        <v>38</v>
      </c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100-000000000000}">
      <formula1>"Sim, Não"</formula1>
    </dataValidation>
    <dataValidation type="list" allowBlank="1" showInputMessage="1" showErrorMessage="1" sqref="L35:L41" xr:uid="{00000000-0002-0000-0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45232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abSelected="1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45233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509</v>
      </c>
      <c r="F6" s="25" t="s">
        <v>40</v>
      </c>
      <c r="G6" s="48" t="s">
        <v>41</v>
      </c>
      <c r="H6" s="8"/>
      <c r="I6" s="8"/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510</v>
      </c>
      <c r="F7" s="25" t="s">
        <v>42</v>
      </c>
      <c r="G7" s="26" t="s">
        <v>7</v>
      </c>
      <c r="H7" s="8">
        <v>750</v>
      </c>
      <c r="I7" s="8">
        <v>10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23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290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463</v>
      </c>
      <c r="L15" s="9" t="s">
        <v>28</v>
      </c>
      <c r="M15" s="16" t="s">
        <v>29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610</v>
      </c>
      <c r="D16" s="2"/>
      <c r="E16" s="18"/>
      <c r="F16" s="25"/>
      <c r="G16" s="26"/>
      <c r="H16" s="8"/>
      <c r="I16" s="8"/>
      <c r="J16" s="2"/>
      <c r="K16" s="25">
        <v>506</v>
      </c>
      <c r="L16" s="9" t="s">
        <v>43</v>
      </c>
      <c r="M16" s="16" t="s">
        <v>29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240</v>
      </c>
      <c r="F26" s="25" t="s">
        <v>44</v>
      </c>
      <c r="G26" s="48" t="s">
        <v>8</v>
      </c>
      <c r="H26" s="8"/>
      <c r="I26" s="8">
        <v>290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196</v>
      </c>
      <c r="F35" s="25" t="s">
        <v>45</v>
      </c>
      <c r="G35" s="26" t="s">
        <v>6</v>
      </c>
      <c r="H35" s="8">
        <v>105.83</v>
      </c>
      <c r="I35" s="8" t="s">
        <v>46</v>
      </c>
      <c r="K35" s="25"/>
      <c r="L35" s="42"/>
      <c r="M35" s="16"/>
    </row>
    <row r="36" spans="2:18" ht="15.75" x14ac:dyDescent="0.25">
      <c r="E36" s="18">
        <v>196</v>
      </c>
      <c r="F36" s="25" t="s">
        <v>45</v>
      </c>
      <c r="G36" s="26" t="s">
        <v>6</v>
      </c>
      <c r="H36" s="8">
        <v>94.17</v>
      </c>
      <c r="I36" s="8" t="s">
        <v>47</v>
      </c>
      <c r="K36" s="25"/>
      <c r="L36" s="42"/>
      <c r="M36" s="16"/>
    </row>
    <row r="37" spans="2:18" ht="15.75" x14ac:dyDescent="0.25">
      <c r="E37" s="18">
        <v>221</v>
      </c>
      <c r="F37" s="25" t="s">
        <v>48</v>
      </c>
      <c r="G37" s="26" t="s">
        <v>7</v>
      </c>
      <c r="H37" s="8">
        <v>90</v>
      </c>
      <c r="I37" s="8" t="s">
        <v>49</v>
      </c>
      <c r="K37" s="25"/>
      <c r="L37" s="42"/>
      <c r="M37" s="16"/>
    </row>
    <row r="38" spans="2:18" ht="15.75" x14ac:dyDescent="0.25">
      <c r="E38" s="18">
        <v>221</v>
      </c>
      <c r="F38" s="25" t="s">
        <v>48</v>
      </c>
      <c r="G38" s="26" t="s">
        <v>6</v>
      </c>
      <c r="H38" s="8">
        <v>20</v>
      </c>
      <c r="I38" s="8" t="s">
        <v>50</v>
      </c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topLeftCell="A5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45234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2280</v>
      </c>
      <c r="D6" s="2"/>
      <c r="E6" s="18">
        <v>511</v>
      </c>
      <c r="F6" s="25" t="s">
        <v>51</v>
      </c>
      <c r="G6" s="48" t="s">
        <v>9</v>
      </c>
      <c r="H6" s="8">
        <v>840</v>
      </c>
      <c r="I6" s="8">
        <v>840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512</v>
      </c>
      <c r="F7" s="25" t="s">
        <v>52</v>
      </c>
      <c r="G7" s="48" t="s">
        <v>9</v>
      </c>
      <c r="H7" s="8">
        <v>950</v>
      </c>
      <c r="I7" s="8">
        <v>950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23</v>
      </c>
      <c r="C8" s="29">
        <f>SUM(C6:C7)</f>
        <v>2280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490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1790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421</v>
      </c>
      <c r="L15" s="9"/>
      <c r="M15" s="16" t="s">
        <v>29</v>
      </c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2400</v>
      </c>
      <c r="D16" s="2"/>
      <c r="E16" s="18"/>
      <c r="F16" s="25"/>
      <c r="G16" s="26"/>
      <c r="H16" s="8"/>
      <c r="I16" s="8"/>
      <c r="J16" s="2"/>
      <c r="K16" s="25">
        <v>456</v>
      </c>
      <c r="L16" s="9" t="s">
        <v>53</v>
      </c>
      <c r="M16" s="16" t="s">
        <v>29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462</v>
      </c>
      <c r="L17" s="9" t="s">
        <v>54</v>
      </c>
      <c r="M17" s="16" t="s">
        <v>29</v>
      </c>
      <c r="R17" s="1">
        <f>IF(vend4[[#This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>
        <v>489</v>
      </c>
      <c r="L18" s="9" t="s">
        <v>55</v>
      </c>
      <c r="M18" s="16" t="s">
        <v>29</v>
      </c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456</v>
      </c>
      <c r="F26" s="25" t="s">
        <v>56</v>
      </c>
      <c r="G26" s="48" t="s">
        <v>8</v>
      </c>
      <c r="H26" s="8"/>
      <c r="I26" s="8">
        <v>490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361</v>
      </c>
      <c r="F35" s="25" t="s">
        <v>57</v>
      </c>
      <c r="G35" s="26" t="s">
        <v>6</v>
      </c>
      <c r="H35" s="8">
        <v>120</v>
      </c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topLeftCell="A2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45235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topLeftCell="A4" zoomScale="80" zoomScaleNormal="80" workbookViewId="0">
      <selection activeCell="H37" sqref="H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45236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899.99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899.99</v>
      </c>
      <c r="D6" s="2"/>
      <c r="E6" s="18">
        <v>513</v>
      </c>
      <c r="F6" s="25" t="s">
        <v>58</v>
      </c>
      <c r="G6" s="48" t="s">
        <v>9</v>
      </c>
      <c r="H6" s="8">
        <v>899.99</v>
      </c>
      <c r="I6" s="8">
        <v>899.99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23</v>
      </c>
      <c r="C8" s="29">
        <f>SUM(C6:C7)</f>
        <v>899.99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899.99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487</v>
      </c>
      <c r="L15" s="9" t="s">
        <v>55</v>
      </c>
      <c r="M15" s="16" t="s">
        <v>29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987.99</v>
      </c>
      <c r="D16" s="2"/>
      <c r="E16" s="18"/>
      <c r="F16" s="25"/>
      <c r="G16" s="26"/>
      <c r="H16" s="8"/>
      <c r="I16" s="8"/>
      <c r="J16" s="2"/>
      <c r="K16" s="25">
        <v>490</v>
      </c>
      <c r="L16" s="9" t="s">
        <v>55</v>
      </c>
      <c r="M16" s="16" t="s">
        <v>29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899.99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353</v>
      </c>
      <c r="F35" s="25" t="s">
        <v>59</v>
      </c>
      <c r="G35" s="26" t="s">
        <v>6</v>
      </c>
      <c r="H35" s="8">
        <v>88</v>
      </c>
      <c r="I35" s="8" t="s">
        <v>60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600-000000000000}">
      <formula1>"1,2,3,4,5,6,7,8,9,10"</formula1>
    </dataValidation>
    <dataValidation type="list" allowBlank="1" showInputMessage="1" showErrorMessage="1" sqref="M15:M31" xr:uid="{00000000-0002-0000-0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zoomScale="80" zoomScaleNormal="80" workbookViewId="0">
      <selection activeCell="J15" sqref="J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45237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3" t="s">
        <v>61</v>
      </c>
      <c r="F6" s="64" t="s">
        <v>62</v>
      </c>
      <c r="G6" s="51" t="s">
        <v>41</v>
      </c>
      <c r="H6" s="52"/>
      <c r="I6" s="52"/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3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167.5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506</v>
      </c>
      <c r="L15" s="9" t="s">
        <v>43</v>
      </c>
      <c r="M15" s="16" t="s">
        <v>29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167.5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4"/>
      <c r="F26" s="55"/>
      <c r="G26" s="56"/>
      <c r="H26" s="57"/>
      <c r="I26" s="57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357</v>
      </c>
      <c r="F35" s="25" t="s">
        <v>63</v>
      </c>
      <c r="G35" s="26" t="s">
        <v>6</v>
      </c>
      <c r="H35" s="8">
        <v>47.5</v>
      </c>
      <c r="I35" s="8" t="s">
        <v>64</v>
      </c>
      <c r="K35" s="25"/>
      <c r="L35" s="42"/>
      <c r="M35" s="16"/>
    </row>
    <row r="36" spans="2:18" ht="15.75" x14ac:dyDescent="0.25">
      <c r="E36" s="18">
        <v>284</v>
      </c>
      <c r="F36" s="25" t="s">
        <v>63</v>
      </c>
      <c r="G36" s="26" t="s">
        <v>6</v>
      </c>
      <c r="H36" s="8">
        <v>120</v>
      </c>
      <c r="I36" s="8" t="s">
        <v>49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topLeftCell="A2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45238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160</v>
      </c>
      <c r="D6" s="2"/>
      <c r="E6" s="58">
        <v>515</v>
      </c>
      <c r="F6" s="8" t="s">
        <v>65</v>
      </c>
      <c r="G6" s="8" t="s">
        <v>6</v>
      </c>
      <c r="H6" s="8">
        <v>10</v>
      </c>
      <c r="I6" s="8">
        <v>10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23</v>
      </c>
      <c r="C8" s="29">
        <f>SUM(C6:C7)</f>
        <v>160</v>
      </c>
      <c r="D8" s="2"/>
      <c r="E8" s="5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312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484</v>
      </c>
      <c r="L15" s="9" t="s">
        <v>66</v>
      </c>
      <c r="M15" s="16" t="s">
        <v>29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312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4">
        <v>480</v>
      </c>
      <c r="F26" s="55" t="s">
        <v>67</v>
      </c>
      <c r="G26" s="56" t="s">
        <v>6</v>
      </c>
      <c r="H26" s="57"/>
      <c r="I26" s="57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1"/>
      <c r="F27" s="62"/>
      <c r="G27" s="59"/>
      <c r="H27" s="60"/>
      <c r="I27" s="60"/>
      <c r="J27" s="2"/>
      <c r="K27" s="25"/>
      <c r="L27" s="9"/>
      <c r="M27" s="16"/>
    </row>
    <row r="28" spans="2:18" ht="15.75" x14ac:dyDescent="0.25">
      <c r="B28" s="2"/>
      <c r="C28" s="2"/>
      <c r="D28" s="2"/>
      <c r="E28" s="61"/>
      <c r="F28" s="62"/>
      <c r="G28" s="59"/>
      <c r="H28" s="60"/>
      <c r="I28" s="60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264</v>
      </c>
      <c r="F35" s="25" t="s">
        <v>68</v>
      </c>
      <c r="G35" s="26" t="s">
        <v>6</v>
      </c>
      <c r="H35" s="8">
        <v>50</v>
      </c>
      <c r="I35" s="8" t="s">
        <v>69</v>
      </c>
      <c r="K35" s="25"/>
      <c r="L35" s="42"/>
      <c r="M35" s="16"/>
    </row>
    <row r="36" spans="2:18" ht="15.75" x14ac:dyDescent="0.25">
      <c r="E36" s="18">
        <v>221</v>
      </c>
      <c r="F36" s="25" t="s">
        <v>70</v>
      </c>
      <c r="G36" s="26" t="s">
        <v>6</v>
      </c>
      <c r="H36" s="8">
        <v>102</v>
      </c>
      <c r="I36" s="8" t="s">
        <v>49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zoomScale="80" zoomScaleNormal="80" workbookViewId="0">
      <selection activeCell="V1" sqref="V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45239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900-000000000000}">
      <formula1>"Sim, Não"</formula1>
    </dataValidation>
    <dataValidation type="list" allowBlank="1" showInputMessage="1" showErrorMessage="1" sqref="L35:L41" xr:uid="{00000000-0002-0000-0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45240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999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229</v>
      </c>
      <c r="D6" s="2"/>
      <c r="E6" s="18">
        <v>516</v>
      </c>
      <c r="F6" s="25" t="s">
        <v>71</v>
      </c>
      <c r="G6" s="48" t="s">
        <v>8</v>
      </c>
      <c r="H6" s="8">
        <v>999</v>
      </c>
      <c r="I6" s="8">
        <v>100</v>
      </c>
      <c r="J6" s="2"/>
      <c r="K6" s="25"/>
      <c r="L6" s="9"/>
      <c r="M6" s="16"/>
      <c r="R6" s="1" t="e">
        <f>IF(#REF!&gt;1,1,0)</f>
        <v>#REF!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 t="e">
        <f>IF(#REF!&gt;1,1,0)</f>
        <v>#REF!</v>
      </c>
    </row>
    <row r="8" spans="2:18" ht="15.75" x14ac:dyDescent="0.25">
      <c r="B8" s="28" t="s">
        <v>23</v>
      </c>
      <c r="C8" s="29">
        <f>SUM(C6:C7)</f>
        <v>229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 t="e">
        <f>IF(#REF!&gt;1,1,0)</f>
        <v>#REF!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 t="e">
        <f>IF(#REF!&gt;1,1,0)</f>
        <v>#REF!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 t="e">
        <f>IF(#REF!&gt;1,1,0)</f>
        <v>#REF!</v>
      </c>
    </row>
    <row r="11" spans="2:18" ht="15.75" x14ac:dyDescent="0.25">
      <c r="B11" s="30" t="s">
        <v>6</v>
      </c>
      <c r="C11" s="31">
        <f>(SUMIF($G$2:$G$31,B11,$I$2:$I$31))+(SUMIF($G$35:$G$41,B11,$H$35:$H$41))</f>
        <v>264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 t="e">
        <f>IF(#REF!&gt;1,1,0)</f>
        <v>#REF!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 t="e">
        <f>IF(#REF!&gt;1,1,0)</f>
        <v>#REF!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 t="e">
        <f>IF(#REF!&gt;1,1,0)</f>
        <v>#REF!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 t="e">
        <f>IF(#REF!&gt;1,1,0)</f>
        <v>#REF!</v>
      </c>
    </row>
    <row r="15" spans="2:18" ht="15.75" x14ac:dyDescent="0.25">
      <c r="B15" s="30" t="s">
        <v>10</v>
      </c>
      <c r="C15" s="31">
        <f t="shared" si="0"/>
        <v>210</v>
      </c>
      <c r="D15" s="2"/>
      <c r="E15" s="18"/>
      <c r="F15" s="25"/>
      <c r="G15" s="26"/>
      <c r="H15" s="8"/>
      <c r="I15" s="8"/>
      <c r="J15" s="2"/>
      <c r="K15" s="25">
        <v>465</v>
      </c>
      <c r="L15" s="9" t="s">
        <v>28</v>
      </c>
      <c r="M15" s="16" t="s">
        <v>72</v>
      </c>
      <c r="R15" s="1" t="e">
        <f>IF(#REF!&gt;1,1,0)</f>
        <v>#REF!</v>
      </c>
    </row>
    <row r="16" spans="2:18" ht="15.75" x14ac:dyDescent="0.25">
      <c r="B16" s="28" t="s">
        <v>11</v>
      </c>
      <c r="C16" s="32">
        <f>SUM(C11:C15)</f>
        <v>574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 t="e">
        <f>IF(#REF!&gt;1,1,0)</f>
        <v>#REF!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 t="e">
        <f>IF(#REF!&gt;1,1,0)</f>
        <v>#REF!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 t="e">
        <f>IF(#REF!&gt;1,1,0)</f>
        <v>#REF!</v>
      </c>
    </row>
    <row r="19" spans="2:18" ht="15.75" x14ac:dyDescent="0.25">
      <c r="B19" s="30">
        <f>COUNT(entr_carn10[OS])</f>
        <v>1</v>
      </c>
      <c r="C19" s="31">
        <f>SUM(entr_carn10[Valor Total])</f>
        <v>903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 t="e">
        <f>IF(#REF!&gt;1,1,0)</f>
        <v>#REF!</v>
      </c>
    </row>
    <row r="20" spans="2:18" ht="15.75" x14ac:dyDescent="0.25">
      <c r="B20" s="28" t="s">
        <v>11</v>
      </c>
      <c r="C20" s="32">
        <f>SUM(C19:C19)</f>
        <v>903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 t="e">
        <f>IF(#REF!&gt;1,1,0)</f>
        <v>#REF!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999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465</v>
      </c>
      <c r="F26" s="25" t="s">
        <v>73</v>
      </c>
      <c r="G26" s="48" t="s">
        <v>6</v>
      </c>
      <c r="H26" s="8"/>
      <c r="I26" s="8">
        <v>129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404</v>
      </c>
      <c r="F35" s="25" t="s">
        <v>74</v>
      </c>
      <c r="G35" s="26" t="s">
        <v>6</v>
      </c>
      <c r="H35" s="8">
        <v>135</v>
      </c>
      <c r="I35" s="8" t="s">
        <v>75</v>
      </c>
      <c r="K35" s="25">
        <v>465</v>
      </c>
      <c r="L35" s="42">
        <v>7</v>
      </c>
      <c r="M35" s="16">
        <v>903</v>
      </c>
    </row>
    <row r="36" spans="2:18" ht="15.75" x14ac:dyDescent="0.25">
      <c r="E36" s="18">
        <v>466</v>
      </c>
      <c r="F36" s="25" t="s">
        <v>76</v>
      </c>
      <c r="G36" s="26" t="s">
        <v>10</v>
      </c>
      <c r="H36" s="8">
        <v>100</v>
      </c>
      <c r="I36" s="8" t="s">
        <v>77</v>
      </c>
      <c r="K36" s="25"/>
      <c r="L36" s="42"/>
      <c r="M36" s="16"/>
    </row>
    <row r="37" spans="2:18" ht="15.75" x14ac:dyDescent="0.25">
      <c r="E37" s="18">
        <v>466</v>
      </c>
      <c r="F37" s="25" t="s">
        <v>76</v>
      </c>
      <c r="G37" s="26" t="s">
        <v>10</v>
      </c>
      <c r="H37" s="8">
        <v>110</v>
      </c>
      <c r="I37" s="8" t="s">
        <v>75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 t="e">
        <f>SUM(R6:R21)</f>
        <v>#REF!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G35:G41 G26:G31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I39:I41 I35:I37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1"/>
  <sheetViews>
    <sheetView showGridLines="0" zoomScale="80" zoomScaleNormal="80" workbookViewId="0">
      <selection activeCell="I28" sqref="I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45241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845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23</v>
      </c>
      <c r="C8" s="29">
        <f>SUM(C6:C7)</f>
        <v>845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820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504</v>
      </c>
      <c r="L15" s="9" t="s">
        <v>43</v>
      </c>
      <c r="M15" s="16" t="s">
        <v>29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845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483</v>
      </c>
      <c r="F26" s="25" t="s">
        <v>78</v>
      </c>
      <c r="G26" s="48" t="s">
        <v>9</v>
      </c>
      <c r="H26" s="8"/>
      <c r="I26" s="8">
        <v>410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495</v>
      </c>
      <c r="F27" s="25" t="s">
        <v>78</v>
      </c>
      <c r="G27" s="26" t="s">
        <v>9</v>
      </c>
      <c r="H27" s="8"/>
      <c r="I27" s="8">
        <v>410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504</v>
      </c>
      <c r="F28" s="25" t="s">
        <v>79</v>
      </c>
      <c r="G28" s="26" t="s">
        <v>7</v>
      </c>
      <c r="H28" s="8">
        <v>25</v>
      </c>
      <c r="I28" s="8">
        <v>25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G35:G41 G26:G31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topLeftCell="A2" zoomScale="80" zoomScaleNormal="8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45242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73"/>
      <c r="F6" s="74"/>
      <c r="G6" s="74"/>
      <c r="H6" s="75"/>
      <c r="I6" s="75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6"/>
      <c r="F7" s="65"/>
      <c r="G7" s="65"/>
      <c r="H7" s="77"/>
      <c r="I7" s="77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68"/>
      <c r="F8" s="66"/>
      <c r="G8" s="66"/>
      <c r="H8" s="67"/>
      <c r="I8" s="67"/>
      <c r="J8" s="2"/>
      <c r="K8" s="25"/>
      <c r="L8" s="9"/>
      <c r="M8" s="16"/>
      <c r="R8" s="1">
        <f>IF(vend12[[#This Row],[Nº Venda]]&gt;1,1,0)</f>
        <v>0</v>
      </c>
    </row>
    <row r="9" spans="2:18" ht="15" x14ac:dyDescent="0.25">
      <c r="B9" s="2"/>
      <c r="C9" s="2"/>
      <c r="D9" s="2"/>
      <c r="E9" s="69"/>
      <c r="F9" s="70"/>
      <c r="G9" s="71"/>
      <c r="H9" s="72"/>
      <c r="I9" s="72"/>
      <c r="J9" s="2"/>
      <c r="K9" s="25"/>
      <c r="L9" s="9"/>
      <c r="M9" s="16"/>
      <c r="R9" s="1">
        <f>IF(vend12[[#This Row],[Nº Venda]]&gt;1,1,0)</f>
        <v>0</v>
      </c>
    </row>
    <row r="10" spans="2:18" ht="15" x14ac:dyDescent="0.25">
      <c r="B10" s="80" t="s">
        <v>5</v>
      </c>
      <c r="C10" s="80"/>
      <c r="D10" s="2"/>
      <c r="E10" s="69"/>
      <c r="F10" s="70"/>
      <c r="G10" s="71"/>
      <c r="H10" s="72"/>
      <c r="I10" s="72"/>
      <c r="J10" s="2"/>
      <c r="K10" s="25"/>
      <c r="L10" s="9"/>
      <c r="M10" s="16"/>
      <c r="R10" s="1">
        <f>IF(vend12[[#This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70"/>
      <c r="G11" s="71"/>
      <c r="H11" s="72"/>
      <c r="I11" s="72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70"/>
      <c r="G12" s="71"/>
      <c r="H12" s="72"/>
      <c r="I12" s="72"/>
      <c r="J12" s="2"/>
      <c r="R12" s="1">
        <f>IF(vend12[[#This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9"/>
      <c r="F13" s="70"/>
      <c r="G13" s="71"/>
      <c r="H13" s="72"/>
      <c r="I13" s="72"/>
      <c r="J13" s="2"/>
      <c r="K13" s="82" t="s">
        <v>24</v>
      </c>
      <c r="L13" s="83"/>
      <c r="M13" s="84"/>
      <c r="R13" s="1">
        <f>IF(vend12[[#This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9"/>
      <c r="F14" s="70"/>
      <c r="G14" s="71"/>
      <c r="H14" s="72"/>
      <c r="I14" s="72"/>
      <c r="J14" s="2"/>
      <c r="K14" s="14" t="s">
        <v>25</v>
      </c>
      <c r="L14" s="6" t="s">
        <v>26</v>
      </c>
      <c r="M14" s="15" t="s">
        <v>27</v>
      </c>
      <c r="R14" s="1">
        <f>IF(vend12[[#This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9"/>
      <c r="F15" s="70"/>
      <c r="G15" s="71"/>
      <c r="H15" s="72"/>
      <c r="I15" s="72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70"/>
      <c r="G16" s="71"/>
      <c r="H16" s="72"/>
      <c r="I16" s="72"/>
      <c r="J16" s="2"/>
      <c r="K16" s="25"/>
      <c r="L16" s="9"/>
      <c r="M16" s="16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69"/>
      <c r="F17" s="70"/>
      <c r="G17" s="71"/>
      <c r="H17" s="72"/>
      <c r="I17" s="72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45243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250</v>
      </c>
      <c r="D6" s="2"/>
      <c r="E6" s="73" t="s">
        <v>80</v>
      </c>
      <c r="F6" s="74" t="s">
        <v>81</v>
      </c>
      <c r="G6" s="74" t="s">
        <v>7</v>
      </c>
      <c r="H6" s="75">
        <v>970</v>
      </c>
      <c r="I6" s="75">
        <v>150</v>
      </c>
      <c r="J6" s="2"/>
      <c r="K6" s="25"/>
      <c r="L6" s="9"/>
      <c r="M6" s="16"/>
      <c r="R6" s="1">
        <f>IF(vend13[[#This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76" t="s">
        <v>82</v>
      </c>
      <c r="F7" s="65" t="s">
        <v>83</v>
      </c>
      <c r="G7" s="65" t="s">
        <v>8</v>
      </c>
      <c r="H7" s="77">
        <v>320</v>
      </c>
      <c r="I7" s="77">
        <v>100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23</v>
      </c>
      <c r="C8" s="29">
        <f>SUM(C6:C7)</f>
        <v>250</v>
      </c>
      <c r="D8" s="2"/>
      <c r="E8" s="68"/>
      <c r="F8" s="66"/>
      <c r="G8" s="66"/>
      <c r="H8" s="67"/>
      <c r="I8" s="67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248</v>
      </c>
      <c r="D15" s="2"/>
      <c r="E15" s="18"/>
      <c r="F15" s="25"/>
      <c r="G15" s="26"/>
      <c r="H15" s="8"/>
      <c r="I15" s="8"/>
      <c r="J15" s="2"/>
      <c r="K15" s="25">
        <v>498</v>
      </c>
      <c r="L15" s="9" t="s">
        <v>28</v>
      </c>
      <c r="M15" s="16" t="s">
        <v>29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498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1290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B35" s="1">
        <v>3</v>
      </c>
      <c r="E35" s="18">
        <v>351</v>
      </c>
      <c r="F35" s="25" t="s">
        <v>84</v>
      </c>
      <c r="G35" s="26" t="s">
        <v>10</v>
      </c>
      <c r="H35" s="8">
        <v>108</v>
      </c>
      <c r="I35" s="8" t="s">
        <v>60</v>
      </c>
      <c r="K35" s="25"/>
      <c r="L35" s="42"/>
      <c r="M35" s="16"/>
    </row>
    <row r="36" spans="2:18" ht="15.75" x14ac:dyDescent="0.25">
      <c r="E36" s="18">
        <v>296</v>
      </c>
      <c r="F36" s="25" t="s">
        <v>85</v>
      </c>
      <c r="G36" s="26" t="s">
        <v>10</v>
      </c>
      <c r="H36" s="8">
        <v>140</v>
      </c>
      <c r="I36" s="8" t="s">
        <v>86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D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45244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512</v>
      </c>
      <c r="L15" s="9" t="s">
        <v>28</v>
      </c>
      <c r="M15" s="16" t="s">
        <v>29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492</v>
      </c>
      <c r="L16" s="9" t="s">
        <v>55</v>
      </c>
      <c r="M16" s="16" t="s">
        <v>29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494</v>
      </c>
      <c r="L17" s="9" t="s">
        <v>55</v>
      </c>
      <c r="M17" s="16" t="s">
        <v>29</v>
      </c>
      <c r="R17" s="1">
        <f>IF(vend14[[#This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45245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45246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140</v>
      </c>
      <c r="D6" s="2"/>
      <c r="E6" s="18">
        <v>519</v>
      </c>
      <c r="F6" s="25" t="s">
        <v>87</v>
      </c>
      <c r="G6" s="48"/>
      <c r="H6" s="8" t="s">
        <v>22</v>
      </c>
      <c r="I6" s="8"/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520</v>
      </c>
      <c r="F7" s="25" t="s">
        <v>88</v>
      </c>
      <c r="G7" s="48"/>
      <c r="H7" s="8" t="s">
        <v>89</v>
      </c>
      <c r="I7" s="8">
        <v>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23</v>
      </c>
      <c r="C8" s="29">
        <f>SUM(C6:C7)</f>
        <v>140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513</v>
      </c>
      <c r="L15" s="9" t="s">
        <v>90</v>
      </c>
      <c r="M15" s="16" t="s">
        <v>29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140</v>
      </c>
      <c r="D16" s="2"/>
      <c r="E16" s="18"/>
      <c r="F16" s="25"/>
      <c r="G16" s="26"/>
      <c r="H16" s="8"/>
      <c r="I16" s="8"/>
      <c r="J16" s="2"/>
      <c r="K16" s="25">
        <v>474</v>
      </c>
      <c r="L16" s="9" t="s">
        <v>91</v>
      </c>
      <c r="M16" s="16" t="s">
        <v>72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475</v>
      </c>
      <c r="L17" s="9" t="s">
        <v>91</v>
      </c>
      <c r="M17" s="16" t="s">
        <v>72</v>
      </c>
      <c r="R17" s="1">
        <f>IF(vend16[[#This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749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749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475</v>
      </c>
      <c r="F26" s="25" t="s">
        <v>92</v>
      </c>
      <c r="G26" s="48" t="s">
        <v>6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>
        <v>474</v>
      </c>
      <c r="L35" s="42">
        <v>7</v>
      </c>
      <c r="M35" s="16">
        <v>749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1"/>
  <sheetViews>
    <sheetView showGridLines="0" topLeftCell="E1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45247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45248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1960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355</v>
      </c>
      <c r="D6" s="2"/>
      <c r="E6" s="18">
        <v>521</v>
      </c>
      <c r="F6" s="25" t="s">
        <v>93</v>
      </c>
      <c r="G6" s="26" t="s">
        <v>9</v>
      </c>
      <c r="H6" s="8">
        <v>680</v>
      </c>
      <c r="I6" s="8">
        <v>85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522</v>
      </c>
      <c r="F7" s="25" t="s">
        <v>94</v>
      </c>
      <c r="G7" s="26" t="s">
        <v>8</v>
      </c>
      <c r="H7" s="8">
        <v>784</v>
      </c>
      <c r="I7" s="8">
        <v>150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23</v>
      </c>
      <c r="C8" s="29">
        <f>SUM(C6:C7)</f>
        <v>355</v>
      </c>
      <c r="D8" s="2"/>
      <c r="E8" s="18">
        <v>523</v>
      </c>
      <c r="F8" s="25" t="s">
        <v>94</v>
      </c>
      <c r="G8" s="26"/>
      <c r="H8" s="8" t="s">
        <v>95</v>
      </c>
      <c r="I8" s="8"/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524</v>
      </c>
      <c r="F9" s="25" t="s">
        <v>96</v>
      </c>
      <c r="G9" s="26" t="s">
        <v>8</v>
      </c>
      <c r="H9" s="8">
        <v>496</v>
      </c>
      <c r="I9" s="8">
        <v>120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130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270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85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v>5</v>
      </c>
      <c r="D15" s="2"/>
      <c r="E15" s="18"/>
      <c r="F15" s="25"/>
      <c r="G15" s="26"/>
      <c r="H15" s="8"/>
      <c r="I15" s="8"/>
      <c r="J15" s="2"/>
      <c r="K15" s="25">
        <v>509</v>
      </c>
      <c r="L15" s="9" t="s">
        <v>97</v>
      </c>
      <c r="M15" s="16" t="s">
        <v>29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490</v>
      </c>
      <c r="D16" s="2"/>
      <c r="E16" s="18"/>
      <c r="F16" s="25"/>
      <c r="G16" s="26"/>
      <c r="H16" s="8"/>
      <c r="I16" s="8"/>
      <c r="J16" s="2"/>
      <c r="K16" s="25">
        <v>485</v>
      </c>
      <c r="L16" s="9" t="s">
        <v>91</v>
      </c>
      <c r="M16" s="16" t="s">
        <v>29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519</v>
      </c>
      <c r="L17" s="9" t="s">
        <v>97</v>
      </c>
      <c r="M17" s="16" t="s">
        <v>29</v>
      </c>
      <c r="R17" s="1">
        <f>IF(vend18[[#This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>
        <v>520</v>
      </c>
      <c r="L18" s="9" t="s">
        <v>97</v>
      </c>
      <c r="M18" s="16" t="s">
        <v>29</v>
      </c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>
        <v>511</v>
      </c>
      <c r="L19" s="9" t="s">
        <v>90</v>
      </c>
      <c r="M19" s="16" t="s">
        <v>29</v>
      </c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1960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161</v>
      </c>
      <c r="F35" s="25" t="s">
        <v>98</v>
      </c>
      <c r="G35" s="26" t="s">
        <v>7</v>
      </c>
      <c r="H35" s="8">
        <v>65</v>
      </c>
      <c r="I35" s="8" t="s">
        <v>46</v>
      </c>
      <c r="K35" s="25"/>
      <c r="L35" s="42"/>
      <c r="M35" s="16"/>
    </row>
    <row r="36" spans="2:18" ht="15.75" x14ac:dyDescent="0.25">
      <c r="E36" s="18">
        <v>161</v>
      </c>
      <c r="F36" s="25" t="s">
        <v>98</v>
      </c>
      <c r="G36" s="26" t="s">
        <v>99</v>
      </c>
      <c r="H36" s="8">
        <v>65</v>
      </c>
      <c r="I36" s="8" t="s">
        <v>47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topLeftCell="C1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45249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45250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41"/>
  <sheetViews>
    <sheetView showGridLines="0" topLeftCell="A2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45251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180</v>
      </c>
      <c r="D6" s="2"/>
      <c r="E6" s="18"/>
      <c r="F6" s="25"/>
      <c r="G6" s="26"/>
      <c r="H6" s="8"/>
      <c r="I6" s="8"/>
      <c r="J6" s="2"/>
      <c r="K6" s="25" t="s">
        <v>100</v>
      </c>
      <c r="L6" s="9" t="s">
        <v>10</v>
      </c>
      <c r="M6" s="16">
        <v>11</v>
      </c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11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23</v>
      </c>
      <c r="C8" s="29">
        <f>SUM(C6:C7)</f>
        <v>191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334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>
        <v>497</v>
      </c>
      <c r="L15" s="9" t="s">
        <v>97</v>
      </c>
      <c r="M15" s="16" t="s">
        <v>29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334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497</v>
      </c>
      <c r="F26" s="25" t="s">
        <v>101</v>
      </c>
      <c r="G26" s="26" t="s">
        <v>6</v>
      </c>
      <c r="H26" s="8"/>
      <c r="I26" s="8">
        <v>180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311</v>
      </c>
      <c r="F35" s="25" t="s">
        <v>102</v>
      </c>
      <c r="G35" s="8" t="s">
        <v>6</v>
      </c>
      <c r="H35" s="57">
        <v>89</v>
      </c>
      <c r="I35" s="8" t="s">
        <v>60</v>
      </c>
      <c r="K35" s="25"/>
      <c r="L35" s="42"/>
      <c r="M35" s="16"/>
    </row>
    <row r="36" spans="2:18" ht="15.75" x14ac:dyDescent="0.25">
      <c r="E36" s="18">
        <v>473</v>
      </c>
      <c r="F36" s="25" t="s">
        <v>103</v>
      </c>
      <c r="G36" s="26" t="s">
        <v>6</v>
      </c>
      <c r="H36" s="8">
        <v>65</v>
      </c>
      <c r="I36" s="8" t="s">
        <v>104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45252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525</v>
      </c>
      <c r="F6" s="25" t="s">
        <v>105</v>
      </c>
      <c r="G6" s="26"/>
      <c r="H6" s="8" t="s">
        <v>22</v>
      </c>
      <c r="I6" s="8"/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526</v>
      </c>
      <c r="F7" s="25" t="s">
        <v>106</v>
      </c>
      <c r="G7" s="26"/>
      <c r="H7" s="8" t="s">
        <v>22</v>
      </c>
      <c r="I7" s="8"/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483</v>
      </c>
      <c r="L15" s="9" t="s">
        <v>107</v>
      </c>
      <c r="M15" s="16" t="s">
        <v>29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480</v>
      </c>
      <c r="L16" s="9" t="s">
        <v>97</v>
      </c>
      <c r="M16" s="16" t="s">
        <v>72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340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340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>
        <v>480</v>
      </c>
      <c r="L35" s="42">
        <v>4</v>
      </c>
      <c r="M35" s="16">
        <v>340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45253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690</v>
      </c>
      <c r="D6" s="2"/>
      <c r="E6" s="18">
        <v>527</v>
      </c>
      <c r="F6" s="25" t="s">
        <v>108</v>
      </c>
      <c r="G6" s="26" t="s">
        <v>9</v>
      </c>
      <c r="H6" s="8">
        <v>690</v>
      </c>
      <c r="I6" s="8">
        <v>690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23</v>
      </c>
      <c r="C8" s="29">
        <f>SUM(C6:C7)</f>
        <v>690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690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74.25</v>
      </c>
      <c r="D15" s="2"/>
      <c r="E15" s="18"/>
      <c r="F15" s="25"/>
      <c r="G15" s="26"/>
      <c r="H15" s="8"/>
      <c r="I15" s="8"/>
      <c r="J15" s="2"/>
      <c r="K15" s="25">
        <v>493</v>
      </c>
      <c r="L15" s="9" t="s">
        <v>91</v>
      </c>
      <c r="M15" s="16" t="s">
        <v>29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764.25</v>
      </c>
      <c r="D16" s="2"/>
      <c r="E16" s="18"/>
      <c r="F16" s="25"/>
      <c r="G16" s="26"/>
      <c r="H16" s="8"/>
      <c r="I16" s="8"/>
      <c r="J16" s="2"/>
      <c r="K16" s="25">
        <v>495</v>
      </c>
      <c r="L16" s="9" t="s">
        <v>107</v>
      </c>
      <c r="M16" s="16" t="s">
        <v>29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157</v>
      </c>
      <c r="F35" s="25" t="s">
        <v>109</v>
      </c>
      <c r="G35" s="26" t="s">
        <v>10</v>
      </c>
      <c r="H35" s="8">
        <v>74.25</v>
      </c>
      <c r="I35" s="8" t="s">
        <v>110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45254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528</v>
      </c>
      <c r="F6" s="25" t="s">
        <v>111</v>
      </c>
      <c r="G6" s="26" t="s">
        <v>41</v>
      </c>
      <c r="H6" s="8"/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529</v>
      </c>
      <c r="F7" s="25" t="s">
        <v>112</v>
      </c>
      <c r="G7" s="26" t="s">
        <v>41</v>
      </c>
      <c r="H7" s="8"/>
      <c r="I7" s="8"/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45258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topLeftCell="E1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8">
        <f>'24'!B1+1</f>
        <v>45255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89.6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988.6</v>
      </c>
      <c r="D6" s="2"/>
      <c r="E6" s="18">
        <v>530</v>
      </c>
      <c r="F6" s="25" t="s">
        <v>113</v>
      </c>
      <c r="G6" s="26" t="s">
        <v>6</v>
      </c>
      <c r="H6" s="8">
        <v>19.899999999999999</v>
      </c>
      <c r="I6" s="8">
        <v>19.899999999999999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531</v>
      </c>
      <c r="F7" s="25" t="s">
        <v>114</v>
      </c>
      <c r="G7" s="26" t="s">
        <v>10</v>
      </c>
      <c r="H7" s="8">
        <v>19.899999999999999</v>
      </c>
      <c r="I7" s="8">
        <v>19.899999999999999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23</v>
      </c>
      <c r="C8" s="29">
        <f>SUM(C6:C7)</f>
        <v>988.6</v>
      </c>
      <c r="D8" s="2"/>
      <c r="E8" s="18">
        <v>532</v>
      </c>
      <c r="F8" s="25" t="s">
        <v>115</v>
      </c>
      <c r="G8" s="26" t="s">
        <v>7</v>
      </c>
      <c r="H8" s="8">
        <v>19.899999999999999</v>
      </c>
      <c r="I8" s="8">
        <v>19.899999999999999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533</v>
      </c>
      <c r="F9" s="25" t="s">
        <v>116</v>
      </c>
      <c r="G9" s="26" t="s">
        <v>10</v>
      </c>
      <c r="H9" s="8">
        <v>19.899999999999999</v>
      </c>
      <c r="I9" s="8">
        <v>19.899999999999999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80" t="s">
        <v>5</v>
      </c>
      <c r="C10" s="80"/>
      <c r="D10" s="2"/>
      <c r="E10" s="18">
        <v>534</v>
      </c>
      <c r="F10" s="25" t="s">
        <v>117</v>
      </c>
      <c r="G10" s="26" t="s">
        <v>7</v>
      </c>
      <c r="H10" s="8">
        <v>10</v>
      </c>
      <c r="I10" s="8">
        <v>10</v>
      </c>
      <c r="J10" s="2"/>
      <c r="K10" s="25"/>
      <c r="L10" s="9"/>
      <c r="M10" s="16"/>
      <c r="R10" s="1">
        <f>IF(vend25[[#This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19.899999999999999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29.9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899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39.799999999999997</v>
      </c>
      <c r="D15" s="2"/>
      <c r="E15" s="18"/>
      <c r="F15" s="25"/>
      <c r="G15" s="26"/>
      <c r="H15" s="8"/>
      <c r="I15" s="8"/>
      <c r="J15" s="2"/>
      <c r="K15" s="25">
        <v>501</v>
      </c>
      <c r="L15" s="9" t="s">
        <v>97</v>
      </c>
      <c r="M15" s="16" t="s">
        <v>29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988.59999999999991</v>
      </c>
      <c r="D16" s="2"/>
      <c r="E16" s="18"/>
      <c r="F16" s="25"/>
      <c r="G16" s="26"/>
      <c r="H16" s="8"/>
      <c r="I16" s="8"/>
      <c r="J16" s="2"/>
      <c r="K16" s="25">
        <v>516</v>
      </c>
      <c r="L16" s="9" t="s">
        <v>97</v>
      </c>
      <c r="M16" s="16" t="s">
        <v>29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522</v>
      </c>
      <c r="L17" s="9" t="s">
        <v>91</v>
      </c>
      <c r="M17" s="16" t="s">
        <v>72</v>
      </c>
      <c r="R17" s="1">
        <f>IF(vend25[[#This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>
        <v>524</v>
      </c>
      <c r="L18" s="9" t="s">
        <v>91</v>
      </c>
      <c r="M18" s="16" t="s">
        <v>72</v>
      </c>
      <c r="R18" s="1">
        <f>IF(vend25[[#This Row],[Nº Venda]]&gt;1,1,0)</f>
        <v>0</v>
      </c>
    </row>
    <row r="19" spans="2:18" ht="15.75" x14ac:dyDescent="0.25">
      <c r="B19" s="30">
        <f>COUNT(entr_carn25[OS])</f>
        <v>2</v>
      </c>
      <c r="C19" s="31">
        <f>SUM(entr_carn25[Valor Total])</f>
        <v>1010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1010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89.6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516</v>
      </c>
      <c r="F26" s="25" t="s">
        <v>118</v>
      </c>
      <c r="G26" s="26" t="s">
        <v>9</v>
      </c>
      <c r="H26" s="8"/>
      <c r="I26" s="8">
        <v>899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>
        <v>522</v>
      </c>
      <c r="L35" s="42">
        <v>7</v>
      </c>
      <c r="M35" s="16">
        <v>634</v>
      </c>
    </row>
    <row r="36" spans="2:18" ht="15.75" x14ac:dyDescent="0.25">
      <c r="E36" s="18"/>
      <c r="F36" s="25"/>
      <c r="G36" s="26"/>
      <c r="H36" s="8"/>
      <c r="I36" s="8"/>
      <c r="K36" s="25">
        <v>524</v>
      </c>
      <c r="L36" s="42">
        <v>7</v>
      </c>
      <c r="M36" s="16">
        <v>376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45256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45257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23</v>
      </c>
      <c r="C8" s="29">
        <f>SUM(C6:C7)</f>
        <v>39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39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>
        <v>525</v>
      </c>
      <c r="L15" s="9" t="s">
        <v>119</v>
      </c>
      <c r="M15" s="16" t="s">
        <v>29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39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525</v>
      </c>
      <c r="F26" s="25" t="s">
        <v>105</v>
      </c>
      <c r="G26" s="26" t="s">
        <v>7</v>
      </c>
      <c r="H26" s="8">
        <v>39</v>
      </c>
      <c r="I26" s="8">
        <v>39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8"/>
      <c r="H35" s="57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G35:G41 G26:G31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45259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945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</v>
      </c>
      <c r="D6" s="2"/>
      <c r="E6" s="18">
        <v>535</v>
      </c>
      <c r="F6" s="25" t="s">
        <v>120</v>
      </c>
      <c r="G6" s="26"/>
      <c r="H6" s="8" t="s">
        <v>121</v>
      </c>
      <c r="I6" s="8"/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536</v>
      </c>
      <c r="F7" s="25" t="s">
        <v>122</v>
      </c>
      <c r="G7" s="26" t="s">
        <v>7</v>
      </c>
      <c r="H7" s="8">
        <v>350</v>
      </c>
      <c r="I7" s="8">
        <v>100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23</v>
      </c>
      <c r="C8" s="29">
        <f>SUM(C6:C7)</f>
        <v>120</v>
      </c>
      <c r="D8" s="2"/>
      <c r="E8" s="18">
        <v>537</v>
      </c>
      <c r="F8" s="25" t="s">
        <v>123</v>
      </c>
      <c r="G8" s="26" t="s">
        <v>6</v>
      </c>
      <c r="H8" s="8">
        <v>595</v>
      </c>
      <c r="I8" s="8">
        <v>20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529</v>
      </c>
      <c r="L15" s="9" t="s">
        <v>97</v>
      </c>
      <c r="M15" s="16" t="s">
        <v>29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240</v>
      </c>
      <c r="D16" s="2"/>
      <c r="E16" s="18"/>
      <c r="F16" s="25"/>
      <c r="G16" s="26"/>
      <c r="H16" s="8"/>
      <c r="I16" s="8"/>
      <c r="J16" s="2"/>
      <c r="K16" s="25">
        <v>500</v>
      </c>
      <c r="L16" s="9" t="s">
        <v>97</v>
      </c>
      <c r="M16" s="16" t="s">
        <v>29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945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435</v>
      </c>
      <c r="F35" s="25" t="s">
        <v>124</v>
      </c>
      <c r="G35" s="8" t="s">
        <v>6</v>
      </c>
      <c r="H35" s="57">
        <v>120</v>
      </c>
      <c r="I35" s="8" t="s">
        <v>125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D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45260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359.79999999999995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189.8</v>
      </c>
      <c r="D6" s="2"/>
      <c r="E6" s="18">
        <v>538</v>
      </c>
      <c r="F6" s="25" t="s">
        <v>126</v>
      </c>
      <c r="G6" s="26" t="s">
        <v>7</v>
      </c>
      <c r="H6" s="8">
        <v>320</v>
      </c>
      <c r="I6" s="8">
        <v>150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539</v>
      </c>
      <c r="F7" s="25" t="s">
        <v>127</v>
      </c>
      <c r="G7" s="26" t="s">
        <v>8</v>
      </c>
      <c r="H7" s="8">
        <v>19.899999999999999</v>
      </c>
      <c r="I7" s="8">
        <v>19.899999999999999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23</v>
      </c>
      <c r="C8" s="29">
        <f>SUM(C6:C7)</f>
        <v>189.8</v>
      </c>
      <c r="D8" s="2"/>
      <c r="E8" s="18">
        <v>540</v>
      </c>
      <c r="F8" s="25" t="s">
        <v>128</v>
      </c>
      <c r="G8" s="26" t="s">
        <v>10</v>
      </c>
      <c r="H8" s="8">
        <v>19.899999999999999</v>
      </c>
      <c r="I8" s="8">
        <v>19.899999999999999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260</v>
      </c>
      <c r="D12" s="2"/>
      <c r="E12" s="18"/>
      <c r="F12" s="25"/>
      <c r="G12" s="26"/>
      <c r="H12" s="8"/>
      <c r="I12" s="8" t="s">
        <v>129</v>
      </c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19.899999999999999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133.33000000000001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130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19.899999999999999</v>
      </c>
      <c r="D15" s="2"/>
      <c r="E15" s="18"/>
      <c r="F15" s="25"/>
      <c r="G15" s="26"/>
      <c r="H15" s="8"/>
      <c r="I15" s="8"/>
      <c r="J15" s="2"/>
      <c r="K15" s="25">
        <v>479</v>
      </c>
      <c r="L15" s="9" t="s">
        <v>97</v>
      </c>
      <c r="M15" s="16" t="s">
        <v>29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433.13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80" t="s">
        <v>131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359.79999999999995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131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386</v>
      </c>
      <c r="F35" s="25" t="s">
        <v>132</v>
      </c>
      <c r="G35" s="26" t="s">
        <v>9</v>
      </c>
      <c r="H35" s="8">
        <v>133.33000000000001</v>
      </c>
      <c r="I35" s="8" t="s">
        <v>64</v>
      </c>
      <c r="K35" s="25"/>
      <c r="L35" s="42"/>
      <c r="M35" s="16"/>
    </row>
    <row r="36" spans="2:18" ht="15.75" x14ac:dyDescent="0.25">
      <c r="E36" s="18">
        <v>221</v>
      </c>
      <c r="F36" s="25" t="s">
        <v>133</v>
      </c>
      <c r="G36" s="26" t="s">
        <v>7</v>
      </c>
      <c r="H36" s="8">
        <v>110</v>
      </c>
      <c r="I36" s="8" t="s">
        <v>50</v>
      </c>
      <c r="K36" s="25"/>
      <c r="L36" s="42"/>
      <c r="M36" s="16"/>
    </row>
    <row r="37" spans="2:18" ht="15.75" x14ac:dyDescent="0.25">
      <c r="E37" s="18"/>
      <c r="F37" s="25"/>
      <c r="G37" s="79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G26:G31 G35:G36 G38:G41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topLeftCell="C15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45261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134</v>
      </c>
      <c r="B1" s="38" t="s">
        <v>135</v>
      </c>
      <c r="E1" s="38" t="s">
        <v>136</v>
      </c>
    </row>
    <row r="2" spans="1:5" x14ac:dyDescent="0.2">
      <c r="A2" s="38" t="s">
        <v>6</v>
      </c>
      <c r="B2" s="38" t="s">
        <v>137</v>
      </c>
      <c r="E2" t="s">
        <v>138</v>
      </c>
    </row>
    <row r="3" spans="1:5" x14ac:dyDescent="0.2">
      <c r="A3" s="38" t="s">
        <v>7</v>
      </c>
      <c r="B3" s="38" t="s">
        <v>139</v>
      </c>
      <c r="E3" t="s">
        <v>77</v>
      </c>
    </row>
    <row r="4" spans="1:5" x14ac:dyDescent="0.2">
      <c r="A4" s="38" t="s">
        <v>8</v>
      </c>
      <c r="B4" s="38" t="s">
        <v>140</v>
      </c>
      <c r="E4" t="s">
        <v>75</v>
      </c>
    </row>
    <row r="5" spans="1:5" x14ac:dyDescent="0.2">
      <c r="A5" s="38" t="s">
        <v>9</v>
      </c>
      <c r="B5" s="38" t="s">
        <v>141</v>
      </c>
      <c r="E5" t="s">
        <v>142</v>
      </c>
    </row>
    <row r="6" spans="1:5" x14ac:dyDescent="0.2">
      <c r="A6" s="38" t="s">
        <v>10</v>
      </c>
      <c r="B6" s="38" t="s">
        <v>10</v>
      </c>
      <c r="E6" t="s">
        <v>125</v>
      </c>
    </row>
    <row r="7" spans="1:5" x14ac:dyDescent="0.2">
      <c r="A7" s="38" t="s">
        <v>143</v>
      </c>
      <c r="B7" s="38" t="s">
        <v>144</v>
      </c>
      <c r="E7" t="s">
        <v>64</v>
      </c>
    </row>
    <row r="8" spans="1:5" x14ac:dyDescent="0.2">
      <c r="A8" t="s">
        <v>27</v>
      </c>
      <c r="B8" t="s">
        <v>145</v>
      </c>
      <c r="E8" t="s">
        <v>110</v>
      </c>
    </row>
    <row r="9" spans="1:5" x14ac:dyDescent="0.2">
      <c r="A9" s="38" t="s">
        <v>41</v>
      </c>
      <c r="B9" s="38" t="s">
        <v>146</v>
      </c>
      <c r="E9" t="s">
        <v>147</v>
      </c>
    </row>
    <row r="10" spans="1:5" x14ac:dyDescent="0.2">
      <c r="E10" t="s">
        <v>148</v>
      </c>
    </row>
    <row r="11" spans="1:5" x14ac:dyDescent="0.2">
      <c r="E11" t="s">
        <v>149</v>
      </c>
    </row>
    <row r="12" spans="1:5" x14ac:dyDescent="0.2">
      <c r="E12" t="s">
        <v>150</v>
      </c>
    </row>
    <row r="13" spans="1:5" x14ac:dyDescent="0.2">
      <c r="E13" t="s">
        <v>38</v>
      </c>
    </row>
    <row r="14" spans="1:5" x14ac:dyDescent="0.2">
      <c r="E14" t="s">
        <v>60</v>
      </c>
    </row>
    <row r="15" spans="1:5" x14ac:dyDescent="0.2">
      <c r="E15" t="s">
        <v>49</v>
      </c>
    </row>
    <row r="16" spans="1:5" x14ac:dyDescent="0.2">
      <c r="E16" t="s">
        <v>50</v>
      </c>
    </row>
    <row r="17" spans="5:5" x14ac:dyDescent="0.2">
      <c r="E17" t="s">
        <v>151</v>
      </c>
    </row>
    <row r="18" spans="5:5" x14ac:dyDescent="0.2">
      <c r="E18" t="s">
        <v>152</v>
      </c>
    </row>
    <row r="19" spans="5:5" x14ac:dyDescent="0.2">
      <c r="E19" t="s">
        <v>153</v>
      </c>
    </row>
    <row r="20" spans="5:5" x14ac:dyDescent="0.2">
      <c r="E20" t="s">
        <v>46</v>
      </c>
    </row>
    <row r="21" spans="5:5" x14ac:dyDescent="0.2">
      <c r="E21" t="s">
        <v>47</v>
      </c>
    </row>
    <row r="22" spans="5:5" x14ac:dyDescent="0.2">
      <c r="E22" t="s">
        <v>154</v>
      </c>
    </row>
    <row r="23" spans="5:5" x14ac:dyDescent="0.2">
      <c r="E23" t="s">
        <v>155</v>
      </c>
    </row>
    <row r="24" spans="5:5" x14ac:dyDescent="0.2">
      <c r="E24" t="s">
        <v>156</v>
      </c>
    </row>
    <row r="25" spans="5:5" x14ac:dyDescent="0.2">
      <c r="E25" t="s">
        <v>157</v>
      </c>
    </row>
    <row r="26" spans="5:5" x14ac:dyDescent="0.2">
      <c r="E26" t="s">
        <v>158</v>
      </c>
    </row>
    <row r="27" spans="5:5" x14ac:dyDescent="0.2">
      <c r="E27" t="s">
        <v>159</v>
      </c>
    </row>
    <row r="28" spans="5:5" x14ac:dyDescent="0.2">
      <c r="E28" t="s">
        <v>160</v>
      </c>
    </row>
    <row r="29" spans="5:5" x14ac:dyDescent="0.2">
      <c r="E29" t="s">
        <v>161</v>
      </c>
    </row>
    <row r="30" spans="5:5" x14ac:dyDescent="0.2">
      <c r="E30" t="s">
        <v>162</v>
      </c>
    </row>
    <row r="31" spans="5:5" x14ac:dyDescent="0.2">
      <c r="E31" t="s">
        <v>163</v>
      </c>
    </row>
    <row r="32" spans="5:5" x14ac:dyDescent="0.2">
      <c r="E32" t="s">
        <v>86</v>
      </c>
    </row>
    <row r="33" spans="5:5" x14ac:dyDescent="0.2">
      <c r="E33" t="s">
        <v>69</v>
      </c>
    </row>
    <row r="34" spans="5:5" x14ac:dyDescent="0.2">
      <c r="E34" t="s">
        <v>164</v>
      </c>
    </row>
    <row r="35" spans="5:5" x14ac:dyDescent="0.2">
      <c r="E35" t="s">
        <v>165</v>
      </c>
    </row>
    <row r="36" spans="5:5" x14ac:dyDescent="0.2">
      <c r="E36" t="s">
        <v>166</v>
      </c>
    </row>
    <row r="37" spans="5:5" x14ac:dyDescent="0.2">
      <c r="E37" t="s">
        <v>167</v>
      </c>
    </row>
    <row r="38" spans="5:5" x14ac:dyDescent="0.2">
      <c r="E38" t="s">
        <v>168</v>
      </c>
    </row>
    <row r="39" spans="5:5" x14ac:dyDescent="0.2">
      <c r="E39" t="s">
        <v>169</v>
      </c>
    </row>
    <row r="40" spans="5:5" x14ac:dyDescent="0.2">
      <c r="E40" t="s">
        <v>170</v>
      </c>
    </row>
    <row r="41" spans="5:5" x14ac:dyDescent="0.2">
      <c r="E41" t="s">
        <v>171</v>
      </c>
    </row>
    <row r="42" spans="5:5" x14ac:dyDescent="0.2">
      <c r="E42" t="s">
        <v>172</v>
      </c>
    </row>
    <row r="43" spans="5:5" x14ac:dyDescent="0.2">
      <c r="E43" t="s">
        <v>173</v>
      </c>
    </row>
    <row r="44" spans="5:5" x14ac:dyDescent="0.2">
      <c r="E44" t="s">
        <v>174</v>
      </c>
    </row>
    <row r="45" spans="5:5" x14ac:dyDescent="0.2">
      <c r="E45" t="s">
        <v>175</v>
      </c>
    </row>
    <row r="46" spans="5:5" x14ac:dyDescent="0.2">
      <c r="E46" t="s">
        <v>176</v>
      </c>
    </row>
    <row r="47" spans="5:5" x14ac:dyDescent="0.2">
      <c r="E47" t="s">
        <v>104</v>
      </c>
    </row>
    <row r="48" spans="5:5" x14ac:dyDescent="0.2">
      <c r="E48" t="s">
        <v>177</v>
      </c>
    </row>
    <row r="49" spans="5:5" x14ac:dyDescent="0.2">
      <c r="E49" t="s">
        <v>178</v>
      </c>
    </row>
    <row r="50" spans="5:5" x14ac:dyDescent="0.2">
      <c r="E50" t="s">
        <v>179</v>
      </c>
    </row>
    <row r="51" spans="5:5" x14ac:dyDescent="0.2">
      <c r="E51" t="s">
        <v>180</v>
      </c>
    </row>
    <row r="52" spans="5:5" x14ac:dyDescent="0.2">
      <c r="E52" t="s">
        <v>181</v>
      </c>
    </row>
    <row r="53" spans="5:5" x14ac:dyDescent="0.2">
      <c r="E53" t="s">
        <v>182</v>
      </c>
    </row>
    <row r="54" spans="5:5" x14ac:dyDescent="0.2">
      <c r="E54" t="s">
        <v>183</v>
      </c>
    </row>
    <row r="55" spans="5:5" x14ac:dyDescent="0.2">
      <c r="E55" t="s">
        <v>184</v>
      </c>
    </row>
    <row r="56" spans="5:5" x14ac:dyDescent="0.2">
      <c r="E56" t="s">
        <v>185</v>
      </c>
    </row>
    <row r="57" spans="5:5" x14ac:dyDescent="0.2">
      <c r="E57" t="s">
        <v>186</v>
      </c>
    </row>
    <row r="58" spans="5:5" x14ac:dyDescent="0.2">
      <c r="E58" t="s">
        <v>187</v>
      </c>
    </row>
    <row r="59" spans="5:5" x14ac:dyDescent="0.2">
      <c r="E59" t="s">
        <v>188</v>
      </c>
    </row>
    <row r="60" spans="5:5" x14ac:dyDescent="0.2">
      <c r="E60" t="s">
        <v>189</v>
      </c>
    </row>
    <row r="61" spans="5:5" x14ac:dyDescent="0.2">
      <c r="E61" t="s">
        <v>190</v>
      </c>
    </row>
    <row r="62" spans="5:5" x14ac:dyDescent="0.2">
      <c r="E62" t="s">
        <v>191</v>
      </c>
    </row>
    <row r="63" spans="5:5" x14ac:dyDescent="0.2">
      <c r="E63" t="s">
        <v>192</v>
      </c>
    </row>
    <row r="64" spans="5:5" x14ac:dyDescent="0.2">
      <c r="E64" t="s">
        <v>193</v>
      </c>
    </row>
    <row r="65" spans="5:5" x14ac:dyDescent="0.2">
      <c r="E65" t="s">
        <v>194</v>
      </c>
    </row>
    <row r="66" spans="5:5" x14ac:dyDescent="0.2">
      <c r="E66" t="s">
        <v>195</v>
      </c>
    </row>
    <row r="67" spans="5:5" x14ac:dyDescent="0.2">
      <c r="E67" t="s">
        <v>196</v>
      </c>
    </row>
    <row r="68" spans="5:5" x14ac:dyDescent="0.2">
      <c r="E68" t="s">
        <v>197</v>
      </c>
    </row>
    <row r="69" spans="5:5" x14ac:dyDescent="0.2">
      <c r="E69" t="s">
        <v>198</v>
      </c>
    </row>
    <row r="70" spans="5:5" x14ac:dyDescent="0.2">
      <c r="E70" t="s">
        <v>199</v>
      </c>
    </row>
    <row r="71" spans="5:5" x14ac:dyDescent="0.2">
      <c r="E71" t="s">
        <v>200</v>
      </c>
    </row>
    <row r="72" spans="5:5" x14ac:dyDescent="0.2">
      <c r="E72" t="s">
        <v>201</v>
      </c>
    </row>
    <row r="73" spans="5:5" x14ac:dyDescent="0.2">
      <c r="E73" t="s">
        <v>202</v>
      </c>
    </row>
    <row r="74" spans="5:5" x14ac:dyDescent="0.2">
      <c r="E74" t="s">
        <v>203</v>
      </c>
    </row>
    <row r="75" spans="5:5" x14ac:dyDescent="0.2">
      <c r="E75" t="s">
        <v>204</v>
      </c>
    </row>
    <row r="76" spans="5:5" x14ac:dyDescent="0.2">
      <c r="E76" t="s">
        <v>205</v>
      </c>
    </row>
    <row r="77" spans="5:5" x14ac:dyDescent="0.2">
      <c r="E77" t="s">
        <v>206</v>
      </c>
    </row>
    <row r="78" spans="5:5" x14ac:dyDescent="0.2">
      <c r="E78" t="s">
        <v>207</v>
      </c>
    </row>
    <row r="79" spans="5:5" x14ac:dyDescent="0.2">
      <c r="E79" t="s">
        <v>208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28</vt:lpstr>
      <vt:lpstr>25</vt:lpstr>
      <vt:lpstr>26</vt:lpstr>
      <vt:lpstr>27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dcterms:created xsi:type="dcterms:W3CDTF">2004-04-07T20:43:43Z</dcterms:created>
  <dcterms:modified xsi:type="dcterms:W3CDTF">2024-08-20T12:02:57Z</dcterms:modified>
  <cp:category/>
  <cp:contentStatus/>
</cp:coreProperties>
</file>