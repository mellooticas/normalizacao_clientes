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"/>
    </mc:Choice>
  </mc:AlternateContent>
  <xr:revisionPtr revIDLastSave="278" documentId="13_ncr:1_{E59B26E4-25EB-4A0F-AFAF-D3181905B789}" xr6:coauthVersionLast="47" xr6:coauthVersionMax="47" xr10:uidLastSave="{B0B6F96C-8B2F-48E3-A5F0-6A353DB005A8}"/>
  <bookViews>
    <workbookView xWindow="-120" yWindow="-120" windowWidth="20730" windowHeight="11310" tabRatio="895" firstSheet="4" activeTab="28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4" sheetId="193" r:id="rId24"/>
    <sheet name="23" sheetId="188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202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202" l="1"/>
  <c r="R7" i="202"/>
  <c r="R8" i="202"/>
  <c r="R9" i="202"/>
  <c r="R10" i="202"/>
  <c r="R11" i="202"/>
  <c r="R12" i="202"/>
  <c r="R13" i="202"/>
  <c r="R14" i="202"/>
  <c r="R15" i="202"/>
  <c r="R16" i="202"/>
  <c r="R17" i="202"/>
  <c r="R18" i="202"/>
  <c r="R19" i="202"/>
  <c r="R20" i="202"/>
  <c r="R40" i="202"/>
  <c r="C5" i="202"/>
  <c r="C21" i="202"/>
  <c r="C18" i="202"/>
  <c r="C19" i="202"/>
  <c r="B18" i="202"/>
  <c r="C11" i="202"/>
  <c r="C12" i="202"/>
  <c r="C13" i="202"/>
  <c r="C14" i="202"/>
  <c r="C15" i="202"/>
  <c r="O11" i="202"/>
  <c r="C6" i="202"/>
  <c r="C7" i="202"/>
  <c r="C8" i="202"/>
  <c r="C14" i="195"/>
  <c r="C13" i="195"/>
  <c r="C12" i="195"/>
  <c r="C11" i="195"/>
  <c r="C12" i="188"/>
  <c r="C13" i="188"/>
  <c r="C14" i="188"/>
  <c r="C11" i="188"/>
  <c r="C12" i="178"/>
  <c r="C13" i="178"/>
  <c r="C14" i="178"/>
  <c r="C11" i="178"/>
  <c r="R20" i="175"/>
  <c r="R19" i="175"/>
  <c r="C18" i="175"/>
  <c r="C19" i="175"/>
  <c r="B18" i="175"/>
  <c r="R18" i="175"/>
  <c r="R17" i="175"/>
  <c r="R16" i="175"/>
  <c r="R15" i="175"/>
  <c r="C14" i="175"/>
  <c r="R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1" i="175"/>
  <c r="C12" i="174"/>
  <c r="C13" i="174"/>
  <c r="C14" i="174"/>
  <c r="C12" i="173"/>
  <c r="C13" i="173"/>
  <c r="C14" i="173"/>
  <c r="C12" i="172"/>
  <c r="C13" i="172"/>
  <c r="C14" i="172"/>
  <c r="C12" i="171"/>
  <c r="C13" i="171"/>
  <c r="C14" i="171"/>
  <c r="C12" i="170"/>
  <c r="C13" i="170"/>
  <c r="C14" i="170"/>
  <c r="C12" i="103"/>
  <c r="C13" i="103"/>
  <c r="C14" i="103"/>
  <c r="C12" i="177"/>
  <c r="C13" i="177"/>
  <c r="C14" i="177"/>
  <c r="C12" i="176"/>
  <c r="C13" i="176"/>
  <c r="C14" i="176"/>
  <c r="C12" i="180"/>
  <c r="C13" i="180"/>
  <c r="C14" i="180"/>
  <c r="C12" i="182"/>
  <c r="C13" i="182"/>
  <c r="C14" i="182"/>
  <c r="C12" i="183"/>
  <c r="C13" i="183"/>
  <c r="C14" i="183"/>
  <c r="C12" i="181"/>
  <c r="C13" i="181"/>
  <c r="C14" i="181"/>
  <c r="C12" i="179"/>
  <c r="C13" i="179"/>
  <c r="C14" i="179"/>
  <c r="C12" i="184"/>
  <c r="C13" i="184"/>
  <c r="C14" i="184"/>
  <c r="C12" i="185"/>
  <c r="C13" i="185"/>
  <c r="C14" i="185"/>
  <c r="C12" i="186"/>
  <c r="C13" i="186"/>
  <c r="C14" i="186"/>
  <c r="C12" i="187"/>
  <c r="C13" i="187"/>
  <c r="C14" i="187"/>
  <c r="C12" i="189"/>
  <c r="C13" i="189"/>
  <c r="C14" i="189"/>
  <c r="C12" i="190"/>
  <c r="C13" i="190"/>
  <c r="C14" i="190"/>
  <c r="C12" i="191"/>
  <c r="C13" i="191"/>
  <c r="C14" i="191"/>
  <c r="C12" i="193"/>
  <c r="C13" i="193"/>
  <c r="C14" i="193"/>
  <c r="C12" i="194"/>
  <c r="C13" i="194"/>
  <c r="C14" i="194"/>
  <c r="C12" i="197"/>
  <c r="C13" i="197"/>
  <c r="C14" i="197"/>
  <c r="C12" i="196"/>
  <c r="C13" i="196"/>
  <c r="C14" i="196"/>
  <c r="C12" i="192"/>
  <c r="C13" i="192"/>
  <c r="C14" i="192"/>
  <c r="C12" i="199"/>
  <c r="C13" i="199"/>
  <c r="C14" i="199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A17" i="200"/>
  <c r="C5" i="174"/>
  <c r="C21" i="174"/>
  <c r="C5" i="173"/>
  <c r="C21" i="173"/>
  <c r="C5" i="172"/>
  <c r="C21" i="172"/>
  <c r="C5" i="171"/>
  <c r="C21" i="171"/>
  <c r="C5" i="170"/>
  <c r="C21" i="170"/>
  <c r="C5" i="103"/>
  <c r="C5" i="178"/>
  <c r="C21" i="178"/>
  <c r="C5" i="177"/>
  <c r="C21" i="177"/>
  <c r="C5" i="176"/>
  <c r="C21" i="176"/>
  <c r="C5" i="180"/>
  <c r="C21" i="180"/>
  <c r="C5" i="182"/>
  <c r="C21" i="182"/>
  <c r="C5" i="183"/>
  <c r="C21" i="183"/>
  <c r="C5" i="181"/>
  <c r="C21" i="181"/>
  <c r="C5" i="179"/>
  <c r="C21" i="179"/>
  <c r="C5" i="184"/>
  <c r="C21" i="184"/>
  <c r="C5" i="185"/>
  <c r="C21" i="185"/>
  <c r="C5" i="186"/>
  <c r="C21" i="186"/>
  <c r="C5" i="187"/>
  <c r="C21" i="187"/>
  <c r="C5" i="189"/>
  <c r="C21" i="189"/>
  <c r="C5" i="190"/>
  <c r="C21" i="190"/>
  <c r="C5" i="191"/>
  <c r="C21" i="191"/>
  <c r="C5" i="188"/>
  <c r="C21" i="188"/>
  <c r="C5" i="193"/>
  <c r="C21" i="193"/>
  <c r="C5" i="195"/>
  <c r="C21" i="195"/>
  <c r="C5" i="194"/>
  <c r="C21" i="194"/>
  <c r="C5" i="197"/>
  <c r="C21" i="197"/>
  <c r="C5" i="196"/>
  <c r="C21" i="196"/>
  <c r="C5" i="192"/>
  <c r="C21" i="192"/>
  <c r="C5" i="199"/>
  <c r="C21" i="199"/>
  <c r="C6" i="174"/>
  <c r="C8" i="174"/>
  <c r="C6" i="173"/>
  <c r="C6" i="172"/>
  <c r="C6" i="171"/>
  <c r="C8" i="171"/>
  <c r="C6" i="170"/>
  <c r="C6" i="103"/>
  <c r="C6" i="178"/>
  <c r="C6" i="177"/>
  <c r="C6" i="176"/>
  <c r="C6" i="180"/>
  <c r="C6" i="182"/>
  <c r="C6" i="183"/>
  <c r="C6" i="181"/>
  <c r="C6" i="179"/>
  <c r="C6" i="184"/>
  <c r="C6" i="185"/>
  <c r="C6" i="186"/>
  <c r="C6" i="187"/>
  <c r="C8" i="187"/>
  <c r="C6" i="189"/>
  <c r="C6" i="190"/>
  <c r="C6" i="191"/>
  <c r="C6" i="188"/>
  <c r="C6" i="193"/>
  <c r="C6" i="195"/>
  <c r="C6" i="194"/>
  <c r="C8" i="194"/>
  <c r="C6" i="197"/>
  <c r="C8" i="197"/>
  <c r="C6" i="196"/>
  <c r="C6" i="192"/>
  <c r="C6" i="199"/>
  <c r="C8" i="199"/>
  <c r="R20" i="199"/>
  <c r="R19" i="199"/>
  <c r="C18" i="199"/>
  <c r="C19" i="199"/>
  <c r="B18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7"/>
  <c r="R19" i="197"/>
  <c r="C18" i="197"/>
  <c r="C19" i="197"/>
  <c r="B18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8" i="196"/>
  <c r="C19" i="196"/>
  <c r="B18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8" i="195"/>
  <c r="C19" i="195"/>
  <c r="B18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8" i="194"/>
  <c r="C19" i="194"/>
  <c r="B18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8" i="193"/>
  <c r="C19" i="193"/>
  <c r="B18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8" i="192"/>
  <c r="C19" i="192"/>
  <c r="B18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8" i="191"/>
  <c r="C19" i="191"/>
  <c r="B18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8" i="190"/>
  <c r="C19" i="190"/>
  <c r="B18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8" i="189"/>
  <c r="C19" i="189"/>
  <c r="B18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8" i="188"/>
  <c r="C19" i="188"/>
  <c r="B18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8" i="187"/>
  <c r="C19" i="187"/>
  <c r="B18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8" i="186"/>
  <c r="C19" i="186"/>
  <c r="B18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8" i="185"/>
  <c r="C19" i="185"/>
  <c r="B18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8" i="184"/>
  <c r="C19" i="184"/>
  <c r="B18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8" i="183"/>
  <c r="C19" i="183"/>
  <c r="B18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8" i="182"/>
  <c r="C19" i="182"/>
  <c r="B18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8" i="181"/>
  <c r="C19" i="181"/>
  <c r="B18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8" i="180"/>
  <c r="C19" i="180"/>
  <c r="B18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8" i="179"/>
  <c r="C19" i="179"/>
  <c r="B18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8" i="178"/>
  <c r="C19" i="178"/>
  <c r="B18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8" i="177"/>
  <c r="C19" i="177"/>
  <c r="B18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8" i="176"/>
  <c r="C19" i="176"/>
  <c r="B18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8" i="174"/>
  <c r="C19" i="174"/>
  <c r="B18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8" i="173"/>
  <c r="C19" i="173"/>
  <c r="B18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8" i="172"/>
  <c r="C19" i="172"/>
  <c r="B18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8" i="171"/>
  <c r="C19" i="171"/>
  <c r="B18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8" i="170"/>
  <c r="C19" i="170"/>
  <c r="B18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8" i="103"/>
  <c r="B18" i="103"/>
  <c r="C8" i="179"/>
  <c r="C8" i="190"/>
  <c r="C8" i="196"/>
  <c r="C8" i="189"/>
  <c r="C8" i="172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B17" i="200"/>
  <c r="B18" i="200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5" i="170"/>
  <c r="O11" i="170"/>
  <c r="R40" i="170"/>
  <c r="C15" i="175"/>
  <c r="O11" i="175"/>
  <c r="R40" i="175"/>
  <c r="R40" i="184"/>
  <c r="R40" i="179"/>
  <c r="R40" i="177"/>
  <c r="R40" i="178"/>
  <c r="R40" i="172"/>
  <c r="R40" i="173"/>
  <c r="R40" i="174"/>
  <c r="R40" i="181"/>
  <c r="R40" i="182"/>
  <c r="R40" i="176"/>
  <c r="C15" i="171"/>
  <c r="O11" i="171"/>
  <c r="R40" i="171"/>
  <c r="B13" i="200"/>
  <c r="B5" i="200"/>
  <c r="B11" i="200"/>
  <c r="B10" i="200"/>
  <c r="B9" i="200"/>
  <c r="B3" i="200"/>
  <c r="B4" i="200"/>
  <c r="B12" i="200"/>
  <c r="C15" i="196"/>
  <c r="O11" i="196"/>
  <c r="C15" i="189"/>
  <c r="O11" i="189"/>
  <c r="C15" i="188"/>
  <c r="O11" i="188"/>
  <c r="C15" i="185"/>
  <c r="O11" i="185"/>
  <c r="C8" i="195"/>
  <c r="C8" i="193"/>
  <c r="C8" i="178"/>
  <c r="C8" i="185"/>
  <c r="C8" i="181"/>
  <c r="C8" i="170"/>
  <c r="C8" i="177"/>
  <c r="C8" i="182"/>
  <c r="C15" i="199"/>
  <c r="O11" i="199"/>
  <c r="C15" i="192"/>
  <c r="O11" i="192"/>
  <c r="C15" i="197"/>
  <c r="O11" i="197"/>
  <c r="C15" i="194"/>
  <c r="O11" i="194"/>
  <c r="C15" i="195"/>
  <c r="O11" i="195"/>
  <c r="C15" i="193"/>
  <c r="O11" i="193"/>
  <c r="C15" i="191"/>
  <c r="O11" i="191"/>
  <c r="C15" i="190"/>
  <c r="O11" i="190"/>
  <c r="C15" i="187"/>
  <c r="O11" i="187"/>
  <c r="C15" i="186"/>
  <c r="O11" i="186"/>
  <c r="C15" i="184"/>
  <c r="O11" i="184"/>
  <c r="C8" i="184"/>
  <c r="C15" i="179"/>
  <c r="O11" i="179"/>
  <c r="C15" i="181"/>
  <c r="O11" i="181"/>
  <c r="C15" i="183"/>
  <c r="O11" i="183"/>
  <c r="C15" i="182"/>
  <c r="O11" i="182"/>
  <c r="C15" i="180"/>
  <c r="O11" i="180"/>
  <c r="C15" i="176"/>
  <c r="O11" i="176"/>
  <c r="C15" i="177"/>
  <c r="O11" i="177"/>
  <c r="C15" i="178"/>
  <c r="O11" i="178"/>
  <c r="C15" i="172"/>
  <c r="O11" i="172"/>
  <c r="C15" i="173"/>
  <c r="O11" i="173"/>
  <c r="C15" i="174"/>
  <c r="O11" i="174"/>
  <c r="C19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1" i="103"/>
  <c r="B6" i="200"/>
  <c r="B14" i="200"/>
  <c r="C15" i="103"/>
  <c r="O11" i="103"/>
  <c r="C8" i="103"/>
  <c r="R40" i="103"/>
  <c r="B1" i="174"/>
  <c r="B1" i="173"/>
  <c r="B1" i="172"/>
  <c r="B1" i="171"/>
  <c r="B1" i="170"/>
  <c r="B1" i="103"/>
  <c r="B1" i="178"/>
  <c r="B1" i="177"/>
  <c r="B1" i="176"/>
  <c r="B1" i="180"/>
  <c r="B1" i="182"/>
  <c r="B1" i="183"/>
  <c r="B1" i="181"/>
  <c r="B1" i="179"/>
  <c r="B1" i="184"/>
  <c r="B1" i="185"/>
  <c r="B1" i="186"/>
  <c r="B1" i="187"/>
  <c r="B1" i="189"/>
  <c r="B1" i="190"/>
  <c r="B1" i="191"/>
  <c r="B1" i="188"/>
  <c r="B1" i="193"/>
  <c r="B1" i="195"/>
  <c r="B1" i="194"/>
  <c r="B1" i="197"/>
  <c r="B1" i="196"/>
  <c r="B1" i="192"/>
  <c r="B1" i="199"/>
</calcChain>
</file>

<file path=xl/sharedStrings.xml><?xml version="1.0" encoding="utf-8"?>
<sst xmlns="http://schemas.openxmlformats.org/spreadsheetml/2006/main" count="1764" uniqueCount="208">
  <si>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</si>
  <si>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</si>
  <si>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</si>
  <si>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</si>
  <si>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</si>
  <si>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</si>
  <si>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</si>
  <si>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</si>
  <si>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</si>
  <si>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</si>
  <si>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</si>
  <si>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</si>
  <si>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</si>
  <si>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</si>
  <si>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</si>
  <si>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</si>
  <si>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</si>
  <si>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</si>
  <si>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</si>
  <si>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</si>
  <si>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</si>
  <si>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</si>
  <si>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</si>
  <si>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</si>
  <si>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</si>
  <si>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</si>
  <si>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</si>
  <si>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</si>
  <si>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</si>
  <si>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</si>
  <si>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</si>
  <si>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</si>
  <si>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</si>
  <si>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</si>
  <si>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</si>
  <si>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</si>
  <si>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</si>
  <si>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</si>
  <si>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</si>
  <si>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</si>
  <si>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</si>
  <si>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</si>
  <si>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</si>
  <si>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</si>
  <si>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</si>
  <si>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</si>
  <si>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</si>
  <si>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</si>
  <si>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</si>
  <si>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</si>
  <si>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</si>
  <si>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</si>
  <si>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</si>
  <si>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</si>
  <si>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</si>
  <si>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</si>
  <si>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</si>
  <si>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</si>
  <si>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</si>
  <si>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</si>
  <si>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</si>
  <si>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</si>
  <si>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</si>
  <si>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</si>
  <si>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</si>
  <si>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</si>
  <si>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</si>
  <si>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</si>
  <si>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</si>
  <si>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</si>
  <si>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</si>
  <si>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</si>
  <si>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</si>
  <si>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</si>
  <si>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</si>
  <si>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</si>
  <si>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</si>
  <si>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</si>
  <si>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</si>
  <si>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</si>
  <si>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</si>
  <si>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</si>
  <si>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</si>
  <si>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</si>
  <si>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</si>
  <si>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</si>
  <si>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</si>
  <si>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</si>
  <si>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</si>
  <si>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</si>
  <si>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</si>
  <si>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</si>
  <si>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</si>
  <si>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</si>
  <si>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</si>
  <si>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</si>
  <si>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</si>
  <si>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</si>
  <si>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</si>
  <si>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</si>
  <si>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</si>
  <si>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</si>
  <si>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</si>
  <si>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</si>
  <si>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</si>
  <si>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</si>
  <si>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</si>
  <si>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</si>
  <si>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</si>
  <si>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</si>
  <si>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</si>
  <si>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</si>
  <si>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</si>
  <si>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</si>
  <si>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</si>
  <si>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</si>
  <si>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</si>
  <si>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</si>
  <si>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</si>
  <si>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</si>
  <si>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</si>
  <si>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</si>
  <si>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</si>
  <si>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</si>
  <si>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Coluna1</t>
  </si>
  <si>
    <t>Coluna2</t>
  </si>
  <si>
    <t>Coluna3</t>
  </si>
  <si>
    <t>Coluna4</t>
  </si>
  <si>
    <t>Coluna5</t>
  </si>
  <si>
    <t xml:space="preserve">CICERA DE LIMA </t>
  </si>
  <si>
    <t>JANAINA DAIANE</t>
  </si>
  <si>
    <t>MARILENE PAULA</t>
  </si>
  <si>
    <t xml:space="preserve">JAO IRAN </t>
  </si>
  <si>
    <t>LUANA</t>
  </si>
  <si>
    <t>Não</t>
  </si>
  <si>
    <t>MARIA VILMA</t>
  </si>
  <si>
    <t>PATRICIA PACIFICO</t>
  </si>
  <si>
    <t>MARIA MOURO</t>
  </si>
  <si>
    <t>LUIS CLAUDIO</t>
  </si>
  <si>
    <t>ELIZABETE CEZAR</t>
  </si>
  <si>
    <t>ADEILDO FERREIRA</t>
  </si>
  <si>
    <t xml:space="preserve">ALEXANDRE DA SILVA </t>
  </si>
  <si>
    <t>ALICE DE ALMEIDA</t>
  </si>
  <si>
    <t>CLINICA</t>
  </si>
  <si>
    <t>TRANSF - BANCARIA</t>
  </si>
  <si>
    <t>MARIA DO CARMO</t>
  </si>
  <si>
    <t>MARIA INES</t>
  </si>
  <si>
    <t>ADEILTON ALVES</t>
  </si>
  <si>
    <t xml:space="preserve">ROSEMARY </t>
  </si>
  <si>
    <t>antonio jorge</t>
  </si>
  <si>
    <t>deusirene soraia</t>
  </si>
  <si>
    <t>inacio jose</t>
  </si>
  <si>
    <t>agua</t>
  </si>
  <si>
    <t>pix</t>
  </si>
  <si>
    <t>pilha</t>
  </si>
  <si>
    <t>luana</t>
  </si>
  <si>
    <t>ROZEMARY</t>
  </si>
  <si>
    <t>JANAINA</t>
  </si>
  <si>
    <t>VERA LUCIA</t>
  </si>
  <si>
    <t>HELLEN</t>
  </si>
  <si>
    <t xml:space="preserve">HELLEN </t>
  </si>
  <si>
    <t>ANA LUCIA</t>
  </si>
  <si>
    <t>MARIA   DO  AMPARO</t>
  </si>
  <si>
    <t>THONY FORVILUS</t>
  </si>
  <si>
    <t>PEDRO PERTRULIO</t>
  </si>
  <si>
    <t>CARINE ALMEIDA</t>
  </si>
  <si>
    <t>JOSE MANOEL</t>
  </si>
  <si>
    <t xml:space="preserve">ATILLA COSTA </t>
  </si>
  <si>
    <t>LUIZ CESPEDES</t>
  </si>
  <si>
    <t>EDMILSON</t>
  </si>
  <si>
    <t>JENIFFER VITORIA</t>
  </si>
  <si>
    <t>JOSE CARLOS</t>
  </si>
  <si>
    <t>SOLANGE DO ESOIRITO SANTO SOUZA</t>
  </si>
  <si>
    <t>LENEIDE RIBEIRO LISBOA</t>
  </si>
  <si>
    <t>ROSA PARECIDA DOS SANTOS</t>
  </si>
  <si>
    <t>AGUA</t>
  </si>
  <si>
    <t xml:space="preserve">ANTONIO JORGE A.D.S.LIMA </t>
  </si>
  <si>
    <t>PATRICIA PACIFICO DA SILVA</t>
  </si>
  <si>
    <t>Sim</t>
  </si>
  <si>
    <t>REPARO</t>
  </si>
  <si>
    <t>PEDREIRO</t>
  </si>
  <si>
    <t xml:space="preserve">Maria amparo </t>
  </si>
  <si>
    <t>ANA LUCIA FEITOSA</t>
  </si>
  <si>
    <t>RUANA MARIA</t>
  </si>
  <si>
    <t xml:space="preserve"> LUIZ CLAUDIO  </t>
  </si>
  <si>
    <t xml:space="preserve">ELIZABTEH </t>
  </si>
  <si>
    <t xml:space="preserve">LUANA </t>
  </si>
  <si>
    <t>JARDEL WEVERTON</t>
  </si>
  <si>
    <t>LINDALVA ALMEIDA</t>
  </si>
  <si>
    <t>MARIA MAURA</t>
  </si>
  <si>
    <t>ALINE MENESE</t>
  </si>
  <si>
    <t xml:space="preserve">LUCAS OLIVEIRA </t>
  </si>
  <si>
    <t>RODRIGO SALUSTIANO</t>
  </si>
  <si>
    <t xml:space="preserve">AGUA </t>
  </si>
  <si>
    <t>SOLANGE  DO E.SANTO</t>
  </si>
  <si>
    <t>ERIKA CRISTINAS</t>
  </si>
  <si>
    <t>RITA  SELMA</t>
  </si>
  <si>
    <t>MARIZA SOARES</t>
  </si>
  <si>
    <t xml:space="preserve">JOSE AGUINALDO </t>
  </si>
  <si>
    <t>CLAUDIA MARIA</t>
  </si>
  <si>
    <t xml:space="preserve">ADELMO PEDRO </t>
  </si>
  <si>
    <t>ERICH CRISTIANO</t>
  </si>
  <si>
    <t>IARA PAIXÃO</t>
  </si>
  <si>
    <t>PATRICIA DA SILVA</t>
  </si>
  <si>
    <t>APARECIDA SANTOS</t>
  </si>
  <si>
    <t xml:space="preserve">RENATO VINICIOS </t>
  </si>
  <si>
    <t xml:space="preserve">  </t>
  </si>
  <si>
    <t>Luana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</si>
</sst>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sz val="12"/>
      <name val="Arial"/>
      <family val="2"/>
    </font>
    <font>
      <sz val="12"/>
      <name val="Calibri"/>
      <family val="2"/>
      <scheme val="minor"/>
    </font>
    <font>
      <sz val="12"/>
      <name val="Calibri"/>
      <family val="2"/>
    </font>
    <font>
      <i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36" fillId="0" borderId="17" xfId="0" applyNumberFormat="1" applyFont="1" applyBorder="1" applyAlignment="1">
      <alignment horizontal="center"/>
    </xf>
    <xf numFmtId="165" fontId="36" fillId="0" borderId="6" xfId="0" applyNumberFormat="1" applyFont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7" fillId="0" borderId="3" xfId="2" applyFont="1" applyFill="1" applyBorder="1" applyAlignment="1">
      <alignment horizontal="center"/>
    </xf>
    <xf numFmtId="164" fontId="38" fillId="0" borderId="3" xfId="2" applyFont="1" applyFill="1" applyBorder="1" applyAlignment="1">
      <alignment horizontal="center"/>
    </xf>
    <xf numFmtId="165" fontId="38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39" fillId="0" borderId="13" xfId="39" applyFont="1" applyFill="1" applyBorder="1" applyAlignment="1">
      <alignment horizontal="center"/>
    </xf>
    <xf numFmtId="165" fontId="39" fillId="0" borderId="13" xfId="4" applyNumberFormat="1" applyFont="1" applyFill="1" applyBorder="1" applyAlignment="1">
      <alignment horizontal="center"/>
    </xf>
    <xf numFmtId="14" fontId="40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1" fillId="0" borderId="17" xfId="0" applyFont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42" fillId="0" borderId="3" xfId="0" applyFont="1" applyBorder="1" applyAlignment="1">
      <alignment horizontal="center"/>
    </xf>
    <xf numFmtId="164" fontId="42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 wrapText="1"/>
    </xf>
    <xf numFmtId="0" fontId="43" fillId="0" borderId="17" xfId="0" applyFont="1" applyBorder="1" applyAlignment="1">
      <alignment horizontal="center"/>
    </xf>
    <xf numFmtId="165" fontId="43" fillId="0" borderId="17" xfId="0" applyNumberFormat="1" applyFont="1" applyBorder="1" applyAlignment="1">
      <alignment horizontal="center"/>
    </xf>
    <xf numFmtId="165" fontId="43" fillId="0" borderId="6" xfId="0" applyNumberFormat="1" applyFont="1" applyBorder="1" applyAlignment="1">
      <alignment horizontal="center"/>
    </xf>
    <xf numFmtId="44" fontId="36" fillId="0" borderId="17" xfId="39" applyFont="1" applyFill="1" applyBorder="1" applyAlignment="1">
      <alignment horizontal="center"/>
    </xf>
    <xf numFmtId="164" fontId="12" fillId="5" borderId="0" xfId="2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44" fontId="43" fillId="0" borderId="17" xfId="39" applyFont="1" applyFill="1" applyBorder="1" applyAlignment="1">
      <alignment horizontal="center"/>
    </xf>
    <xf numFmtId="165" fontId="43" fillId="0" borderId="17" xfId="4" applyNumberFormat="1" applyFont="1" applyFill="1" applyBorder="1" applyAlignment="1">
      <alignment horizontal="center"/>
    </xf>
    <xf numFmtId="164" fontId="43" fillId="0" borderId="17" xfId="2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0" fontId="44" fillId="0" borderId="0" xfId="0" applyFont="1" applyAlignment="1">
      <alignment horizontal="center"/>
    </xf>
    <xf numFmtId="165" fontId="30" fillId="0" borderId="13" xfId="0" applyNumberFormat="1" applyFont="1" applyBorder="1" applyAlignment="1">
      <alignment horizontal="center"/>
    </xf>
    <xf numFmtId="1" fontId="43" fillId="0" borderId="17" xfId="0" applyNumberFormat="1" applyFont="1" applyBorder="1" applyAlignment="1">
      <alignment horizontal="center"/>
    </xf>
    <xf numFmtId="0" fontId="44" fillId="0" borderId="3" xfId="0" applyFont="1" applyBorder="1" applyAlignment="1">
      <alignment horizontal="center"/>
    </xf>
    <xf numFmtId="1" fontId="43" fillId="0" borderId="3" xfId="0" applyNumberFormat="1" applyFont="1" applyBorder="1" applyAlignment="1">
      <alignment horizontal="center"/>
    </xf>
    <xf numFmtId="165" fontId="43" fillId="0" borderId="5" xfId="0" applyNumberFormat="1" applyFont="1" applyBorder="1" applyAlignment="1">
      <alignment horizontal="center"/>
    </xf>
    <xf numFmtId="0" fontId="45" fillId="0" borderId="17" xfId="0" applyFont="1" applyBorder="1" applyAlignment="1">
      <alignment horizontal="center"/>
    </xf>
    <xf numFmtId="164" fontId="45" fillId="0" borderId="17" xfId="2" applyFont="1" applyFill="1" applyBorder="1" applyAlignment="1">
      <alignment horizontal="center"/>
    </xf>
    <xf numFmtId="165" fontId="45" fillId="0" borderId="17" xfId="4" applyNumberFormat="1" applyFont="1" applyFill="1" applyBorder="1" applyAlignment="1">
      <alignment horizontal="center"/>
    </xf>
    <xf numFmtId="0" fontId="43" fillId="0" borderId="3" xfId="0" applyFont="1" applyBorder="1" applyAlignment="1">
      <alignment horizontal="center"/>
    </xf>
    <xf numFmtId="164" fontId="43" fillId="0" borderId="3" xfId="2" applyFont="1" applyFill="1" applyBorder="1" applyAlignment="1">
      <alignment horizontal="center"/>
    </xf>
    <xf numFmtId="165" fontId="43" fillId="0" borderId="3" xfId="4" applyNumberFormat="1" applyFont="1" applyFill="1" applyBorder="1" applyAlignment="1">
      <alignment horizontal="center"/>
    </xf>
    <xf numFmtId="165" fontId="43" fillId="0" borderId="13" xfId="4" applyNumberFormat="1" applyFont="1" applyFill="1" applyBorder="1" applyAlignment="1">
      <alignment horizontal="center"/>
    </xf>
    <xf numFmtId="0" fontId="43" fillId="0" borderId="17" xfId="2" applyNumberFormat="1" applyFont="1" applyFill="1" applyBorder="1" applyAlignment="1">
      <alignment horizontal="center"/>
    </xf>
    <xf numFmtId="0" fontId="44" fillId="0" borderId="8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Coluna1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Coluna1" dataDxfId="1126"/>
    <tableColumn id="2" xr3:uid="{A8D4686B-F05E-4D96-BDB9-FD354C9E28B8}" name="Coluna2" dataDxfId="1125"/>
    <tableColumn id="3" xr3:uid="{0FB871EC-4505-4E7C-A162-0EFDB16AB8E5}" name="Coluna3" dataDxfId="1124" dataCellStyle="Moeda"/>
    <tableColumn id="4" xr3:uid="{41436228-3E61-4F7F-80EF-627B1794150B}" name="Coluna4" dataDxfId="1123" dataCellStyle="Porcentagem"/>
    <tableColumn id="5" xr3:uid="{9C580DC7-08E3-4AD7-B73C-C1AA4298633B}" name="Coluna5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73" dataCellStyle="Moeda"/>
    <tableColumn id="5" xr3:uid="{28960474-C27A-4147-BD99-7BB60462B8B0}" name="Cliente" dataDxfId="472" dataCellStyle="Moeda"/>
    <tableColumn id="2" xr3:uid="{67D37C1F-FE45-48AD-BED8-2CFECE89FEA0}" name="Forma de Pgto" dataDxfId="471" dataCellStyle="Moeda"/>
    <tableColumn id="3" xr3:uid="{9D53CA59-8DC0-45C1-B948-0BC9CE105A46}" name="Valor Venda" dataDxfId="470" dataCellStyle="Porcentagem"/>
    <tableColumn id="4" xr3:uid="{63C5EED9-C4FA-4177-B2B7-18053322A958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EA5469B7-1D8E-40E9-95A2-35DAC9D5EC13}" name="Descrição" dataDxfId="463"/>
    <tableColumn id="2" xr3:uid="{6149AE8A-4EBC-4D73-8258-5E25710E3A30}" name="Tipo de Pagto" dataDxfId="462"/>
    <tableColumn id="3" xr3:uid="{6872D867-5B80-4E69-B012-87CC7B75B649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55"/>
    <tableColumn id="2" xr3:uid="{83BEE3E3-D5E6-4B4E-B0F3-B7D166EBC951}" name="Cliente" dataDxfId="454"/>
    <tableColumn id="3" xr3:uid="{D56D36FF-3364-4C9B-95E8-FF48852EB70B}" name="Forma de Pgto" dataDxfId="453" dataCellStyle="Moeda"/>
    <tableColumn id="4" xr3:uid="{E2E76570-BF3A-47F8-A702-0FE2FE405B33}" name="Valor Venda" dataDxfId="452" dataCellStyle="Porcentagem"/>
    <tableColumn id="5" xr3:uid="{19FD5054-F0CE-4B30-BF14-7D86B666A44E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2A900AC2-CDD6-4655-B7AF-13F9A8DDD9FF}" name="OS" dataDxfId="445"/>
    <tableColumn id="2" xr3:uid="{D566D654-CC7D-40A6-874D-6CD6342DEC3B}" name="Vendedor" dataDxfId="444"/>
    <tableColumn id="3" xr3:uid="{E8D97BA9-0913-40AD-B2A5-0F60E6A0BE95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437"/>
    <tableColumn id="2" xr3:uid="{CDAD5229-EE1B-4727-8C27-8A17FEDA1C5C}" name="Cliente" dataDxfId="436"/>
    <tableColumn id="3" xr3:uid="{93224419-805E-4D8C-A296-80DA02CCC413}" name="Forma de Pgto" dataDxfId="435" dataCellStyle="Moeda"/>
    <tableColumn id="4" xr3:uid="{40C77CE6-762C-49C9-94EB-7D5AFC9A73A4}" name="Valor Parcela" dataDxfId="434" dataCellStyle="Porcentagem"/>
    <tableColumn id="5" xr3:uid="{8A7914AB-189B-4928-860C-9AB79BAA232D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432" headerRowBorderDxfId="431" tableBorderDxfId="430" totalsRowBorderDxfId="429">
  <autoFilter ref="K34:M41" xr:uid="{1B8643D4-6AC3-4029-882A-C62E9D7CB225}"/>
  <tableColumns count="3">
    <tableColumn id="1" xr3:uid="{C92D7BD7-E114-41CE-802D-B41EFFA721F2}" name="OS" dataDxfId="428"/>
    <tableColumn id="2" xr3:uid="{C67ABBBE-4637-4653-928F-36D0678D64F6}" name="Parcelas" dataDxfId="427"/>
    <tableColumn id="3" xr3:uid="{2217F874-8724-4CC1-9542-1585CC1817E3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20" dataCellStyle="Moeda"/>
    <tableColumn id="5" xr3:uid="{8C950723-3D74-47BB-96EF-8D7D6A2189F6}" name="Cliente" dataDxfId="419" dataCellStyle="Moeda"/>
    <tableColumn id="2" xr3:uid="{891A7678-229E-4FF4-AD78-C00F149C7AB3}" name="Forma de Pgto" dataDxfId="418" dataCellStyle="Moeda"/>
    <tableColumn id="3" xr3:uid="{C1AD64CF-D636-4D0B-90AF-998E65C41E3B}" name="Valor Venda" dataDxfId="417" dataCellStyle="Porcentagem"/>
    <tableColumn id="4" xr3:uid="{4674130B-789D-479A-9F01-407FB3322D27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558DC85F-C627-4F48-82AA-C24727E75A42}" name="Descrição" dataDxfId="410"/>
    <tableColumn id="2" xr3:uid="{8346B0E0-FB0D-4ED3-ABBC-3816B7CB40C9}" name="Tipo de Pagto" dataDxfId="409"/>
    <tableColumn id="3" xr3:uid="{362F9934-CC54-4E70-A26F-6CDF66DEB838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02"/>
    <tableColumn id="2" xr3:uid="{B711E4E6-0AE5-42C8-8015-A72C2855CDFB}" name="Cliente" dataDxfId="401"/>
    <tableColumn id="3" xr3:uid="{016D3713-BA29-48F8-8683-6E42C1C8BDFE}" name="Forma de Pgto" dataDxfId="400" dataCellStyle="Moeda"/>
    <tableColumn id="4" xr3:uid="{66F30211-F047-40DA-B134-05B87A798574}" name="Valor Venda" dataDxfId="399" dataCellStyle="Porcentagem"/>
    <tableColumn id="5" xr3:uid="{2FB6AB3C-AA9E-4034-AF4B-12D9A3ECBBCA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D6DF1477-46D1-47E2-A070-9A33886E6137}" name="OS" dataDxfId="392"/>
    <tableColumn id="2" xr3:uid="{C4215FA6-4F2C-444A-8E0B-4F99AEEE9430}" name="Vendedor" dataDxfId="391"/>
    <tableColumn id="3" xr3:uid="{7B8AD675-F389-4803-BFFB-8166F703E829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389" dataDxfId="387" headerRowBorderDxfId="388" tableBorderDxfId="386" totalsRowBorderDxfId="385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384"/>
    <tableColumn id="2" xr3:uid="{45674E96-72EC-433B-9141-E40A07A72A19}" name="Cliente" dataDxfId="383"/>
    <tableColumn id="3" xr3:uid="{22102B96-8607-4584-B5A3-C1EE639E0F4C}" name="Forma de Pgto" dataDxfId="382" dataCellStyle="Moeda"/>
    <tableColumn id="4" xr3:uid="{DC2E9D15-91B3-4478-AA38-B98773D1B0DA}" name="Valor Parcela" dataDxfId="381" dataCellStyle="Porcentagem"/>
    <tableColumn id="5" xr3:uid="{ABCCDEDB-69A0-4492-A24A-12A60E76A2F8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379" headerRowBorderDxfId="378" tableBorderDxfId="377" totalsRowBorderDxfId="376">
  <autoFilter ref="K34:M41" xr:uid="{1B8643D4-6AC3-4029-882A-C62E9D7CB225}"/>
  <tableColumns count="3">
    <tableColumn id="1" xr3:uid="{96E4A694-A16C-4FAB-8484-5D1DCD513FF1}" name="OS" dataDxfId="375"/>
    <tableColumn id="2" xr3:uid="{CEC7F98C-5986-47BB-824E-5616D5A150E4}" name="Parcelas" dataDxfId="374"/>
    <tableColumn id="3" xr3:uid="{A82CBD0B-203D-4ED5-BDE4-3B77ECED5860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3B224F3-AB14-9F4D-AAC8-3A4E7BB662F4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18EFE43B-1923-BD43-ADBE-C5709584A190}" name="Nº Venda" dataDxfId="49" dataCellStyle="Moeda"/>
    <tableColumn id="5" xr3:uid="{4F4D0223-3DD4-C342-AFF2-D1146A77E9BC}" name="Cliente" dataDxfId="48" dataCellStyle="Moeda"/>
    <tableColumn id="2" xr3:uid="{A2B69913-2D85-954B-BA08-12C066C494D3}" name="Forma de Pgto" dataDxfId="47" dataCellStyle="Moeda"/>
    <tableColumn id="3" xr3:uid="{46FF6095-757B-1142-963F-86EDBF3209B8}" name="Valor Venda" dataDxfId="46" dataCellStyle="Porcentagem"/>
    <tableColumn id="4" xr3:uid="{7A741FEB-F04A-BF44-9F34-2DFB27FB4A08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593E462-CC6F-C141-B821-372EB70B8B8E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57F868E0-893A-BE4F-8924-2B512DEAF9A6}" name="Descrição" dataDxfId="39"/>
    <tableColumn id="2" xr3:uid="{3E4373F1-59F7-2840-B0D8-B06F8DBACF97}" name="Tipo de Pagto" dataDxfId="38"/>
    <tableColumn id="3" xr3:uid="{2F44D876-8DDB-2F4A-A42E-01F27295DAC5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C891B1F-AA7C-8B49-A1DB-BE9B3881AC93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69920E5E-1781-D14C-8E41-5A3B45EF42B4}" name="Nº Venda" dataDxfId="31"/>
    <tableColumn id="2" xr3:uid="{89BF7114-12D4-2B40-9991-5981CA834BED}" name="Cliente" dataDxfId="30"/>
    <tableColumn id="3" xr3:uid="{95323E76-0167-6546-ABBD-06C761DCEAC6}" name="Forma de Pgto" dataDxfId="29" dataCellStyle="Moeda"/>
    <tableColumn id="4" xr3:uid="{4AA05F05-C802-6940-9F31-940238F15431}" name="Valor Venda" dataDxfId="28" dataCellStyle="Porcentagem"/>
    <tableColumn id="5" xr3:uid="{5F509BDB-1FB1-5241-AEDB-7C818BD029CD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162B0C7-DAA1-2E46-B05B-25D1659E7E9E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1DA3F259-1798-464A-9EFF-0D50930329EB}" name="OS" dataDxfId="21"/>
    <tableColumn id="2" xr3:uid="{76C2E32D-EEA8-B441-A800-DC3FF7C732CC}" name="Vendedor" dataDxfId="20"/>
    <tableColumn id="3" xr3:uid="{B61947A3-C1C5-7041-B7FB-53B908925379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D5D3F11F-FCE3-8245-A132-DCDA2F65F03F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D0F5A095-04CB-714D-9CAC-65E01AD1C9C6}" name="OS" dataDxfId="13"/>
    <tableColumn id="2" xr3:uid="{4E09D25D-7981-F846-A4FE-456EB8C80006}" name="Cliente" dataDxfId="12"/>
    <tableColumn id="3" xr3:uid="{F3B0E677-C91F-8740-9259-9471604B8588}" name="Forma de Pgto" dataDxfId="11" dataCellStyle="Moeda"/>
    <tableColumn id="4" xr3:uid="{72B846AD-691A-1E4F-9DFC-33D7C2C978AF}" name="Valor Parcela" dataDxfId="10" dataCellStyle="Porcentagem"/>
    <tableColumn id="5" xr3:uid="{6B4D72BA-FD05-F64C-8BBA-187E097EA783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73899E7A-F1FB-6A47-B2DB-3B0FB52EF2A7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082AB9D-AAEB-9749-AA04-F9DE8117E749}" name="OS" dataDxfId="4"/>
    <tableColumn id="2" xr3:uid="{78283CCA-3636-5A4B-950E-8A89AFB9B9F3}" name="Parcelas" dataDxfId="3"/>
    <tableColumn id="3" xr3:uid="{E3DE0A66-5F6D-8C46-A0B2-912501E5813B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8" totalsRowShown="0" headerRowDxfId="1">
  <autoFilter ref="A1:B8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D10" sqref="D10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75">
        <v>0</v>
      </c>
    </row>
    <row r="3" spans="1:2" ht="15" x14ac:dyDescent="0.25">
      <c r="A3" s="23" t="s">
        <v>1</v>
      </c>
      <c r="B3" s="24" t="e">
        <f>SUM('01'!C5,'02'!C5,'03'!C5,'04'!C5,'05'!C5,'06'!C5,'07'!C5,'08'!C5,'09'!C5,'10'!C5,'11'!C5,'12'!C5,'13'!C5,'14'!C5,'15'!C5,'16'!C5,'17'!C5,'18'!C5,'19'!C5,'20'!C5,'21'!C5,'22'!C5,'23'!C5,'24'!C5,'25'!C5,'26'!C5,'27'!C5,'28'!C5,'29'!C5,'30'!C5,#REF!)</f>
        <v>#REF!</v>
      </c>
    </row>
    <row r="4" spans="1:2" ht="15" x14ac:dyDescent="0.25">
      <c r="A4" s="23" t="s">
        <v>2</v>
      </c>
      <c r="B4" s="24" t="e">
        <f>SUM('01'!C6,'02'!C6,'03'!C6,'04'!C6,'05'!C6,'06'!C6,'07'!C6,'08'!C6,'09'!C6,'10'!C6,'11'!C6,'12'!C6,'13'!C6,'14'!C6,'15'!C6,'16'!C6,'17'!C6,'18'!C6,'19'!C6,'20'!C6,'21'!C6,'22'!C6,'23'!C6,'24'!C6,'25'!C6,'26'!C6,'27'!C6,'28'!C6,'29'!C6,'30'!C6,#REF!)</f>
        <v>#REF!</v>
      </c>
    </row>
    <row r="5" spans="1:2" ht="15" x14ac:dyDescent="0.25">
      <c r="A5" s="23" t="s">
        <v>3</v>
      </c>
      <c r="B5" s="24" t="e">
        <f>SUM('01'!C7,'02'!C7,'03'!C7,'04'!C7,'05'!C7,'06'!C7,'07'!C7,'08'!C7,'09'!C7,'10'!C7,'11'!C7,'12'!C7,'13'!C7,'14'!C7,'15'!C7,'16'!C7,'17'!C7,'18'!C7,'19'!C7,'20'!C7,'21'!C7,'22'!C7,'23'!C7,'24'!C7,'25'!C7,'26'!C7,'27'!C7,'28'!C7,'29'!C7,'30'!C7,#REF!)</f>
        <v>#REF!</v>
      </c>
    </row>
    <row r="6" spans="1:2" ht="15.75" x14ac:dyDescent="0.25">
      <c r="A6" s="28" t="s">
        <v>4</v>
      </c>
      <c r="B6" s="29" t="e">
        <f>SUM(B4:B5)</f>
        <v>#REF!</v>
      </c>
    </row>
    <row r="7" spans="1:2" ht="15" x14ac:dyDescent="0.25">
      <c r="A7" s="2"/>
      <c r="B7" s="2"/>
    </row>
    <row r="8" spans="1:2" ht="15" x14ac:dyDescent="0.2">
      <c r="A8" s="121" t="s">
        <v>5</v>
      </c>
      <c r="B8" s="121"/>
    </row>
    <row r="9" spans="1:2" ht="15" x14ac:dyDescent="0.25">
      <c r="A9" s="30" t="s">
        <v>6</v>
      </c>
      <c r="B9" s="24" t="e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#REF!)</f>
        <v>#REF!</v>
      </c>
    </row>
    <row r="10" spans="1:2" ht="15" x14ac:dyDescent="0.25">
      <c r="A10" s="30" t="s">
        <v>7</v>
      </c>
      <c r="B10" s="24" t="e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#REF!)</f>
        <v>#REF!</v>
      </c>
    </row>
    <row r="11" spans="1:2" ht="15" x14ac:dyDescent="0.25">
      <c r="A11" s="30" t="s">
        <v>8</v>
      </c>
      <c r="B11" s="24" t="e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#REF!)</f>
        <v>#REF!</v>
      </c>
    </row>
    <row r="12" spans="1:2" ht="15" x14ac:dyDescent="0.25">
      <c r="A12" s="30" t="s">
        <v>8</v>
      </c>
      <c r="B12" s="24" t="e">
        <f>SUM('01'!#REF!,'02'!#REF!,'03'!#REF!,'04'!#REF!,'05'!#REF!,'06'!#REF!,'07'!#REF!,'08'!#REF!,'09'!#REF!,'10'!#REF!,'11'!#REF!,'12'!#REF!,'13'!#REF!,'14'!#REF!,'15'!#REF!,'16'!#REF!,'17'!#REF!,'18'!#REF!,'19'!#REF!,'20'!#REF!,'21'!#REF!,'22'!#REF!,'23'!#REF!,'24'!#REF!,'25'!#REF!,'26'!#REF!,'27'!#REF!,'28'!#REF!,'29'!#REF!,'30'!#REF!,#REF!)</f>
        <v>#REF!</v>
      </c>
    </row>
    <row r="13" spans="1:2" ht="15" x14ac:dyDescent="0.25">
      <c r="A13" s="30" t="s">
        <v>9</v>
      </c>
      <c r="B13" s="24" t="e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#REF!)</f>
        <v>#REF!</v>
      </c>
    </row>
    <row r="14" spans="1:2" ht="15.75" x14ac:dyDescent="0.25">
      <c r="A14" s="28" t="s">
        <v>10</v>
      </c>
      <c r="B14" s="76" t="e">
        <f>SUM(B9:B13)</f>
        <v>#REF!</v>
      </c>
    </row>
    <row r="15" spans="1:2" ht="15" x14ac:dyDescent="0.25">
      <c r="A15" s="2"/>
      <c r="B15" s="2"/>
    </row>
    <row r="16" spans="1:2" ht="15" x14ac:dyDescent="0.2">
      <c r="A16" s="121" t="s">
        <v>11</v>
      </c>
      <c r="B16" s="121"/>
    </row>
    <row r="17" spans="1:2" ht="15" x14ac:dyDescent="0.25">
      <c r="A17" s="30">
        <f>COUNT(#REF!)</f>
        <v>0</v>
      </c>
      <c r="B17" s="24" t="e">
        <f>SUM('01'!C18,'02'!C18,'03'!C18,'04'!C18,'05'!C18,'06'!C18,'07'!C18,'08'!C18,'09'!C18,'10'!C18,'11'!C18,'12'!C18,'13'!C18,'14'!C18,'15'!C18,'16'!C18,'17'!C18,'18'!C18,'19'!C18,'20'!C18,'21'!C18,'22'!C18,'23'!C18,'24'!C18,'25'!C18,'26'!C18,'27'!C18,'28'!C18,'29'!C18,'30'!C18,#REF!)</f>
        <v>#REF!</v>
      </c>
    </row>
    <row r="18" spans="1:2" ht="15.75" x14ac:dyDescent="0.25">
      <c r="A18" s="28" t="s">
        <v>10</v>
      </c>
      <c r="B18" s="76" t="e">
        <f>SUM(B17:B17)</f>
        <v>#REF!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v>45413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21" t="s">
        <v>5</v>
      </c>
      <c r="C10" s="12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3" t="s">
        <v>21</v>
      </c>
      <c r="L13" s="124"/>
      <c r="M13" s="125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121" t="s">
        <v>11</v>
      </c>
      <c r="C17" s="121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30">
        <f>COUNT(entr_carn1[OS])</f>
        <v>0</v>
      </c>
      <c r="C18" s="31">
        <f>SUM(entr_carn1[Valor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D750A6A5-C201-4190-B207-F5C8AA22818D}">
          <x14:formula1>
            <xm:f>base!$A$2:$A$8</xm:f>
          </x14:formula1>
          <xm:sqref>G6:G22</xm:sqref>
        </x14:dataValidation>
        <x14:dataValidation type="list" allowBlank="1" showInputMessage="1" showErrorMessage="1" xr:uid="{01D25F35-F227-438E-85FA-444CACF98FBB}">
          <x14:formula1>
            <xm:f>base!$A$2:$A$5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topLeftCell="A3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'01'!B1+1</f>
        <v>45414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150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150</v>
      </c>
      <c r="D6" s="2"/>
      <c r="E6" s="18">
        <v>669</v>
      </c>
      <c r="F6" s="25" t="s">
        <v>130</v>
      </c>
      <c r="G6" s="46" t="s">
        <v>48</v>
      </c>
      <c r="H6" s="8">
        <v>70</v>
      </c>
      <c r="I6" s="8"/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670</v>
      </c>
      <c r="F7" s="25" t="s">
        <v>131</v>
      </c>
      <c r="G7" s="46" t="s">
        <v>8</v>
      </c>
      <c r="H7" s="8">
        <v>150</v>
      </c>
      <c r="I7" s="8">
        <v>150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20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21" t="s">
        <v>5</v>
      </c>
      <c r="C10" s="12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158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150</v>
      </c>
      <c r="D13" s="2"/>
      <c r="E13" s="85"/>
      <c r="F13" s="64"/>
      <c r="G13" s="86"/>
      <c r="H13" s="71"/>
      <c r="I13" s="71"/>
      <c r="J13" s="2"/>
      <c r="K13" s="123" t="s">
        <v>21</v>
      </c>
      <c r="L13" s="124"/>
      <c r="M13" s="125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5"/>
      <c r="F14" s="64"/>
      <c r="G14" s="86"/>
      <c r="H14" s="71"/>
      <c r="I14" s="71"/>
      <c r="J14" s="2"/>
      <c r="K14" s="14" t="s">
        <v>124</v>
      </c>
      <c r="L14" s="6" t="s">
        <v>23</v>
      </c>
      <c r="M14" s="15" t="s">
        <v>24</v>
      </c>
      <c r="R14" s="1">
        <f>IF(vend2[[#This Row],[Nº Venda]]&gt;1,1,0)</f>
        <v>0</v>
      </c>
    </row>
    <row r="15" spans="2:18" ht="15.75" x14ac:dyDescent="0.25">
      <c r="B15" s="28" t="s">
        <v>10</v>
      </c>
      <c r="C15" s="32">
        <f>SUM(C11:C14)</f>
        <v>308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121" t="s">
        <v>11</v>
      </c>
      <c r="C17" s="121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30">
        <f>COUNT(entr_carn2[OS])</f>
        <v>0</v>
      </c>
      <c r="C18" s="31">
        <f>SUM(entr_carn2[Valor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8" t="s">
        <v>25</v>
      </c>
      <c r="C21" s="32">
        <f>C5</f>
        <v>150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618</v>
      </c>
      <c r="F35" s="25" t="s">
        <v>129</v>
      </c>
      <c r="G35" s="26" t="s">
        <v>6</v>
      </c>
      <c r="H35" s="8">
        <v>158</v>
      </c>
      <c r="I35" s="8" t="s">
        <v>40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7E95BB8A-1768-4CAA-AEF8-5923B3598C9D}">
          <x14:formula1>
            <xm:f>base!$A$2:$A$5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base!$A$2:$A$8</xm:f>
          </x14:formula1>
          <xm:sqref>G6:G22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'02'!B1+1</f>
        <v>45415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200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20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21" t="s">
        <v>5</v>
      </c>
      <c r="C10" s="12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3" t="s">
        <v>21</v>
      </c>
      <c r="L13" s="124"/>
      <c r="M13" s="125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200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IF(vend3[[#This Row],[Nº Venda]]&gt;1,1,0)</f>
        <v>0</v>
      </c>
    </row>
    <row r="15" spans="2:18" ht="15.75" x14ac:dyDescent="0.25">
      <c r="B15" s="28" t="s">
        <v>10</v>
      </c>
      <c r="C15" s="32">
        <f>SUM(C11:C14)</f>
        <v>200</v>
      </c>
      <c r="D15" s="2"/>
      <c r="E15" s="18"/>
      <c r="F15" s="25"/>
      <c r="G15" s="26"/>
      <c r="H15" s="8"/>
      <c r="I15" s="8"/>
      <c r="J15" s="2"/>
      <c r="K15" s="25">
        <v>664</v>
      </c>
      <c r="L15" s="9" t="s">
        <v>133</v>
      </c>
      <c r="M15" s="16" t="s">
        <v>134</v>
      </c>
      <c r="R15" s="1">
        <f>IF(vend3[[#This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121" t="s">
        <v>11</v>
      </c>
      <c r="C17" s="121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30">
        <f>COUNT(entr_carn3[OS])</f>
        <v>0</v>
      </c>
      <c r="C18" s="31">
        <f>SUM(entr_carn3[Valor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664</v>
      </c>
      <c r="F26" s="25" t="s">
        <v>132</v>
      </c>
      <c r="G26" s="46" t="s">
        <v>9</v>
      </c>
      <c r="H26" s="8">
        <v>0</v>
      </c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627AE46E-77AF-4B05-BD74-FF72E5E2EAE3}">
          <x14:formula1>
            <xm:f>base!$A$2:$A$8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base!$A$2:$A$5</xm:f>
          </x14:formula1>
          <xm:sqref>G26:G31 G35:G41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3" zoomScale="70" zoomScaleNormal="70" workbookViewId="0">
      <selection activeCell="F7" sqref="F7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'03'!B1+1</f>
        <v>45416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2850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1250</v>
      </c>
      <c r="D6" s="2"/>
      <c r="E6" s="18">
        <v>671</v>
      </c>
      <c r="F6" s="25" t="s">
        <v>135</v>
      </c>
      <c r="G6" s="46" t="s">
        <v>8</v>
      </c>
      <c r="H6" s="8">
        <v>1100</v>
      </c>
      <c r="I6" s="8">
        <v>1100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672</v>
      </c>
      <c r="F7" s="25" t="s">
        <v>136</v>
      </c>
      <c r="G7" s="46" t="s">
        <v>9</v>
      </c>
      <c r="H7" s="8">
        <v>1150</v>
      </c>
      <c r="I7" s="8">
        <v>50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20</v>
      </c>
      <c r="C8" s="29">
        <f>SUM(C6:C7)</f>
        <v>1250</v>
      </c>
      <c r="D8" s="2"/>
      <c r="E8" s="18">
        <v>673</v>
      </c>
      <c r="F8" s="25" t="s">
        <v>137</v>
      </c>
      <c r="G8" s="46" t="s">
        <v>6</v>
      </c>
      <c r="H8" s="8">
        <v>600</v>
      </c>
      <c r="I8" s="8">
        <v>100</v>
      </c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21" t="s">
        <v>5</v>
      </c>
      <c r="C10" s="12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1100</v>
      </c>
      <c r="D13" s="2"/>
      <c r="E13" s="18"/>
      <c r="F13" s="25"/>
      <c r="G13" s="26"/>
      <c r="H13" s="8"/>
      <c r="I13" s="8"/>
      <c r="J13" s="2"/>
      <c r="K13" s="123" t="s">
        <v>21</v>
      </c>
      <c r="L13" s="124"/>
      <c r="M13" s="125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50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IF(vend4[[#This Row],[Nº Venda]]&gt;1,1,0)</f>
        <v>0</v>
      </c>
    </row>
    <row r="15" spans="2:18" ht="15.75" x14ac:dyDescent="0.25">
      <c r="B15" s="28" t="s">
        <v>10</v>
      </c>
      <c r="C15" s="32">
        <f>SUM(C11:C14)</f>
        <v>1250</v>
      </c>
      <c r="D15" s="2"/>
      <c r="E15" s="18"/>
      <c r="F15" s="25"/>
      <c r="G15" s="26"/>
      <c r="H15" s="8"/>
      <c r="I15" s="8"/>
      <c r="J15" s="2"/>
      <c r="K15" s="94"/>
      <c r="L15" s="95"/>
      <c r="M15" s="96"/>
      <c r="R15" s="1">
        <f>IF(vend4[[#This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94"/>
      <c r="L16" s="94"/>
      <c r="M16" s="96"/>
      <c r="R16" s="1">
        <f>IF(vend4[[#This Row],[Nº Venda]]&gt;1,1,0)</f>
        <v>0</v>
      </c>
    </row>
    <row r="17" spans="2:18" ht="18.75" x14ac:dyDescent="0.4">
      <c r="B17" s="121" t="s">
        <v>11</v>
      </c>
      <c r="C17" s="121"/>
      <c r="D17" s="2"/>
      <c r="E17" s="18"/>
      <c r="F17" s="25"/>
      <c r="G17" s="26"/>
      <c r="H17" s="8"/>
      <c r="I17" s="8"/>
      <c r="J17" s="2"/>
      <c r="K17" s="60"/>
      <c r="L17" s="61"/>
      <c r="M17" s="62"/>
      <c r="R17" s="1">
        <f>IF(vend4[[#This Row],[Nº Venda]]&gt;1,1,0)</f>
        <v>0</v>
      </c>
    </row>
    <row r="18" spans="2:18" ht="15.75" x14ac:dyDescent="0.25">
      <c r="B18" s="30">
        <f>COUNT(entr_carn4[OS])</f>
        <v>0</v>
      </c>
      <c r="C18" s="31">
        <f>SUM(entr_carn4[Valor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8" t="s">
        <v>25</v>
      </c>
      <c r="C21" s="32">
        <f>C5</f>
        <v>2850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5"/>
      <c r="F26" s="64"/>
      <c r="G26" s="97"/>
      <c r="H26" s="71"/>
      <c r="I26" s="71"/>
      <c r="J26" s="2"/>
      <c r="K26" s="25"/>
      <c r="L26" s="9"/>
      <c r="M26" s="16"/>
    </row>
    <row r="27" spans="2:18" ht="15.75" x14ac:dyDescent="0.25">
      <c r="B27" s="2"/>
      <c r="C27" s="2"/>
      <c r="D27" s="2"/>
      <c r="E27" s="85"/>
      <c r="F27" s="64"/>
      <c r="G27" s="97"/>
      <c r="H27" s="71"/>
      <c r="I27" s="71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3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A86F74FE-C589-48B3-8098-7D63287AC7AD}">
          <x14:formula1>
            <xm:f>base!$A$2:$A$5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base!$A$2:$A$8</xm:f>
          </x14:formula1>
          <xm:sqref>G6:G22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'04'!B1+1</f>
        <v>45417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85"/>
      <c r="F6" s="64"/>
      <c r="G6" s="97"/>
      <c r="H6" s="71"/>
      <c r="I6" s="71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21" t="s">
        <v>5</v>
      </c>
      <c r="C10" s="121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99" t="s">
        <v>6</v>
      </c>
      <c r="C11" s="98">
        <f>(SUMIF($G$2:$G$31,B11,$I$2:$I$31))+(SUMIF($G$35:$G$41,B11,$H$35:$H$41))</f>
        <v>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3" t="s">
        <v>21</v>
      </c>
      <c r="L13" s="124"/>
      <c r="M13" s="125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IF(vend5[[#This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66"/>
      <c r="N15" s="16"/>
      <c r="R15" s="1">
        <f>IF(vend5[[#This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65"/>
      <c r="N16" s="16"/>
      <c r="R16" s="1">
        <f>IF(vend5[[#This Row],[Nº Venda]]&gt;1,1,0)</f>
        <v>0</v>
      </c>
    </row>
    <row r="17" spans="2:18" ht="15.75" x14ac:dyDescent="0.25">
      <c r="B17" s="121" t="s">
        <v>11</v>
      </c>
      <c r="C17" s="121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30">
        <f>COUNT(entr_carn5[OS])</f>
        <v>0</v>
      </c>
      <c r="C18" s="31">
        <f>SUM(entr_carn5[Valor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85"/>
      <c r="F36" s="64"/>
      <c r="G36" s="86"/>
      <c r="H36" s="71"/>
      <c r="I36" s="71"/>
      <c r="K36" s="25"/>
      <c r="L36" s="41"/>
      <c r="M36" s="16"/>
    </row>
    <row r="37" spans="5:18" ht="15.75" x14ac:dyDescent="0.25">
      <c r="E37" s="85"/>
      <c r="F37" s="64"/>
      <c r="G37" s="86"/>
      <c r="H37" s="71"/>
      <c r="I37" s="71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0B84582F-523D-44A4-9068-CEA44BF623CE}">
          <x14:formula1>
            <xm:f>base!$A$2:$A$8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base!$A$2:$A$5</xm:f>
          </x14:formula1>
          <xm:sqref>G26:G31 G35:G41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6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'05'!B1+1</f>
        <v>45418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1400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1300</v>
      </c>
      <c r="D6" s="2"/>
      <c r="E6" s="85">
        <v>674</v>
      </c>
      <c r="F6" s="64" t="s">
        <v>138</v>
      </c>
      <c r="G6" s="86" t="s">
        <v>8</v>
      </c>
      <c r="H6" s="71">
        <v>700</v>
      </c>
      <c r="I6" s="71">
        <v>200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675</v>
      </c>
      <c r="F7" s="25" t="s">
        <v>139</v>
      </c>
      <c r="G7" s="26" t="s">
        <v>8</v>
      </c>
      <c r="H7" s="8">
        <v>700</v>
      </c>
      <c r="I7" s="8">
        <v>200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20</v>
      </c>
      <c r="C8" s="29">
        <f>SUM(C6:C7)</f>
        <v>1300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121" t="s">
        <v>5</v>
      </c>
      <c r="C10" s="121"/>
      <c r="D10" s="2"/>
      <c r="E10" s="18"/>
      <c r="F10" s="59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900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400</v>
      </c>
      <c r="D13" s="2"/>
      <c r="E13" s="18"/>
      <c r="F13" s="25"/>
      <c r="G13" s="26"/>
      <c r="H13" s="8"/>
      <c r="I13" s="8"/>
      <c r="J13" s="2"/>
      <c r="K13" s="123" t="s">
        <v>21</v>
      </c>
      <c r="L13" s="124"/>
      <c r="M13" s="125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IF(vend[[#This Row],[Nº Venda]]&gt;1,1,0)</f>
        <v>0</v>
      </c>
    </row>
    <row r="15" spans="2:18" ht="15.75" x14ac:dyDescent="0.25">
      <c r="B15" s="28" t="s">
        <v>10</v>
      </c>
      <c r="C15" s="32">
        <f>SUM(C11:C14)</f>
        <v>1300</v>
      </c>
      <c r="D15" s="2"/>
      <c r="E15" s="18"/>
      <c r="F15" s="25"/>
      <c r="G15" s="26"/>
      <c r="H15" s="8"/>
      <c r="I15" s="8"/>
      <c r="J15" s="2"/>
      <c r="K15" s="18">
        <v>662</v>
      </c>
      <c r="L15" s="25" t="s">
        <v>133</v>
      </c>
      <c r="M15" s="16" t="s">
        <v>134</v>
      </c>
      <c r="R15" s="1">
        <f>IF(vend[[#This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121" t="s">
        <v>11</v>
      </c>
      <c r="C17" s="121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30">
        <f>COUNT(entr_carn6[OS])</f>
        <v>0</v>
      </c>
      <c r="C18" s="31">
        <f>SUM(entr_carn6[Valor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8" t="s">
        <v>25</v>
      </c>
      <c r="C21" s="32">
        <f>C5</f>
        <v>1400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5">
        <v>662</v>
      </c>
      <c r="F26" s="64" t="s">
        <v>140</v>
      </c>
      <c r="G26" s="86" t="s">
        <v>7</v>
      </c>
      <c r="H26" s="71"/>
      <c r="I26" s="71">
        <v>900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85"/>
      <c r="F27" s="64"/>
      <c r="G27" s="86"/>
      <c r="H27" s="71"/>
      <c r="I27" s="71"/>
      <c r="J27" s="2"/>
      <c r="K27" s="25"/>
      <c r="L27" s="9"/>
      <c r="M27" s="16"/>
    </row>
    <row r="28" spans="2:18" ht="15.75" x14ac:dyDescent="0.25">
      <c r="B28" s="2"/>
      <c r="C28" s="2"/>
      <c r="D28" s="2"/>
      <c r="E28" s="85"/>
      <c r="F28" s="64"/>
      <c r="G28" s="86"/>
      <c r="H28" s="71"/>
      <c r="I28" s="71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BC348BBC-F96F-469C-BB6E-1E38A0DB31CA}">
          <x14:formula1>
            <xm:f>base!$A$2:$A$5</xm:f>
          </x14:formula1>
          <xm:sqref>G35:G41 G26:G31</xm:sqref>
        </x14:dataValidation>
        <x14:dataValidation type="list" allowBlank="1" showInputMessage="1" showErrorMessage="1" xr:uid="{CE08D887-C590-40CC-8020-A1D540338CDB}">
          <x14:formula1>
            <xm:f>base!$A$2:$A$8</xm:f>
          </x14:formula1>
          <xm:sqref>G6:G22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70" zoomScaleNormal="70" workbookViewId="0">
      <selection activeCell="E38" sqref="E38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3">
        <f>'06'!B1+1</f>
        <v>45419</v>
      </c>
    </row>
    <row r="2" spans="2:21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  <c r="U4" s="1">
        <v>0</v>
      </c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1" ht="15.75" x14ac:dyDescent="0.25">
      <c r="B6" s="23" t="s">
        <v>2</v>
      </c>
      <c r="C6" s="24">
        <f>SUM(I6:I41)</f>
        <v>100</v>
      </c>
      <c r="D6" s="2"/>
      <c r="E6" s="18"/>
      <c r="F6" s="81"/>
      <c r="G6" s="81"/>
      <c r="H6" s="82"/>
      <c r="I6" s="82"/>
      <c r="J6" s="2"/>
      <c r="K6" s="25" t="s">
        <v>143</v>
      </c>
      <c r="L6" s="9" t="s">
        <v>144</v>
      </c>
      <c r="M6" s="16">
        <v>180</v>
      </c>
      <c r="R6" s="1">
        <f>IF(vend7[[#This Row],[Nº Venda]]&gt;1,1,0)</f>
        <v>0</v>
      </c>
    </row>
    <row r="7" spans="2:21" ht="15.75" x14ac:dyDescent="0.25">
      <c r="B7" s="23" t="s">
        <v>3</v>
      </c>
      <c r="C7" s="24">
        <f>SUM(M6:M11)</f>
        <v>180</v>
      </c>
      <c r="D7" s="2"/>
      <c r="E7" s="18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20</v>
      </c>
      <c r="C8" s="29">
        <f>SUM(C6:C7)</f>
        <v>280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21" t="s">
        <v>5</v>
      </c>
      <c r="C10" s="12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420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3" t="s">
        <v>21</v>
      </c>
      <c r="L13" s="124"/>
      <c r="M13" s="125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IF(vend7[[#This Row],[Nº Venda]]&gt;1,1,0)</f>
        <v>0</v>
      </c>
    </row>
    <row r="15" spans="2:21" ht="15.75" x14ac:dyDescent="0.25">
      <c r="B15" s="28" t="s">
        <v>10</v>
      </c>
      <c r="C15" s="32">
        <f>SUM(C11:C14)</f>
        <v>420</v>
      </c>
      <c r="D15" s="2"/>
      <c r="E15" s="18"/>
      <c r="F15" s="25"/>
      <c r="G15" s="26"/>
      <c r="H15" s="8"/>
      <c r="I15" s="8"/>
      <c r="J15" s="2"/>
      <c r="K15" s="49"/>
      <c r="L15" s="50"/>
      <c r="M15" s="51"/>
      <c r="R15" s="1">
        <f>IF(vend7[[#This Row],[Nº Venda]]&gt;1,1,0)</f>
        <v>0</v>
      </c>
    </row>
    <row r="16" spans="2:21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121" t="s">
        <v>11</v>
      </c>
      <c r="C17" s="121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30">
        <f>COUNT(entr_carn7[OS])</f>
        <v>0</v>
      </c>
      <c r="C18" s="31">
        <f>SUM(entr_carn7[Valor Total])</f>
        <v>0</v>
      </c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45"/>
      <c r="L25" s="9"/>
      <c r="M25" s="16"/>
    </row>
    <row r="26" spans="2:18" ht="15.75" x14ac:dyDescent="0.25">
      <c r="B26" s="2" t="s">
        <v>56</v>
      </c>
      <c r="C26" s="2"/>
      <c r="D26" s="2"/>
      <c r="E26" s="72">
        <v>674</v>
      </c>
      <c r="F26" s="63" t="s">
        <v>138</v>
      </c>
      <c r="G26" s="73" t="s">
        <v>6</v>
      </c>
      <c r="H26" s="74">
        <v>0</v>
      </c>
      <c r="I26" s="74">
        <v>50</v>
      </c>
      <c r="J26" s="2"/>
      <c r="K26" s="45"/>
      <c r="L26" s="9"/>
      <c r="M26" s="16"/>
    </row>
    <row r="27" spans="2:18" ht="15.75" x14ac:dyDescent="0.25">
      <c r="B27" s="2"/>
      <c r="C27" s="2"/>
      <c r="D27" s="2"/>
      <c r="E27" s="18">
        <v>675</v>
      </c>
      <c r="F27" s="25" t="s">
        <v>139</v>
      </c>
      <c r="G27" s="26" t="s">
        <v>6</v>
      </c>
      <c r="H27" s="8">
        <v>0</v>
      </c>
      <c r="I27" s="8">
        <v>50</v>
      </c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599</v>
      </c>
      <c r="F35" s="25" t="s">
        <v>141</v>
      </c>
      <c r="G35" s="26" t="s">
        <v>6</v>
      </c>
      <c r="H35" s="8">
        <v>120</v>
      </c>
      <c r="I35" s="8" t="s">
        <v>91</v>
      </c>
      <c r="K35" s="25"/>
      <c r="L35" s="41"/>
      <c r="M35" s="16"/>
    </row>
    <row r="36" spans="5:18" ht="15.75" x14ac:dyDescent="0.25">
      <c r="E36" s="18">
        <v>637</v>
      </c>
      <c r="F36" s="25" t="s">
        <v>142</v>
      </c>
      <c r="G36" s="26" t="s">
        <v>6</v>
      </c>
      <c r="H36" s="8">
        <v>100</v>
      </c>
      <c r="I36" s="8" t="s">
        <v>79</v>
      </c>
      <c r="K36" s="25"/>
      <c r="L36" s="41"/>
      <c r="M36" s="16"/>
    </row>
    <row r="37" spans="5:18" ht="15.75" x14ac:dyDescent="0.25">
      <c r="E37" s="18">
        <v>637</v>
      </c>
      <c r="F37" s="25" t="s">
        <v>142</v>
      </c>
      <c r="G37" s="26" t="s">
        <v>6</v>
      </c>
      <c r="H37" s="8">
        <v>100</v>
      </c>
      <c r="I37" s="8" t="s">
        <v>33</v>
      </c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7:C17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00000000-0002-0000-0300-000000000000}">
          <x14:formula1>
            <xm:f>base!$A$2:$A$8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base!$A$2:$A$5</xm:f>
          </x14:formula1>
          <xm:sqref>G26:G31 G35:G41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'07'!B1+1</f>
        <v>45420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84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84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84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4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21" t="s">
        <v>5</v>
      </c>
      <c r="C10" s="12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80">
        <f>(SUMIF($G$2:$G$31,B11,$I$2:$I$31))+(SUMIF($G$35:$G$42,B11,$H$35:$H$42))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80">
        <f>(SUMIF($G$2:$G$31,B12,$I$2:$I$31))+(SUMIF($G$35:$G$42,B12,$H$35:$H$42))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80">
        <f>(SUMIF($G$2:$G$31,B13,$I$2:$I$31))+(SUMIF($G$35:$G$42,B13,$H$35:$H$42))</f>
        <v>0</v>
      </c>
      <c r="D13" s="2"/>
      <c r="E13" s="18"/>
      <c r="F13" s="25"/>
      <c r="G13" s="26"/>
      <c r="H13" s="8"/>
      <c r="I13" s="8"/>
      <c r="J13" s="2"/>
      <c r="K13" s="123" t="s">
        <v>21</v>
      </c>
      <c r="L13" s="124"/>
      <c r="M13" s="125"/>
      <c r="R13" s="1">
        <f>IF(vend8[[#This Row],[Nº Venda]]&gt;1,1,0)</f>
        <v>0</v>
      </c>
    </row>
    <row r="14" spans="2:18" ht="15.75" x14ac:dyDescent="0.25">
      <c r="B14" s="30" t="s">
        <v>9</v>
      </c>
      <c r="C14" s="80">
        <f>(SUMIF($G$2:$G$31,B14,$I$2:$I$31))+(SUMIF($G$35:$G$42,B14,$H$35:$H$42))</f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IF(vend8[[#This Row],[Nº Venda]]&gt;1,1,0)</f>
        <v>0</v>
      </c>
    </row>
    <row r="15" spans="2:18" ht="15.75" x14ac:dyDescent="0.25">
      <c r="B15" s="28" t="s">
        <v>10</v>
      </c>
      <c r="C15" s="32">
        <f>SUM(C11:C14)</f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64"/>
      <c r="L16" s="69"/>
      <c r="M16" s="70"/>
      <c r="R16" s="1">
        <f>IF(vend8[[#This Row],[Nº Venda]]&gt;1,1,0)</f>
        <v>0</v>
      </c>
    </row>
    <row r="17" spans="2:18" ht="15.75" x14ac:dyDescent="0.25">
      <c r="B17" s="121" t="s">
        <v>11</v>
      </c>
      <c r="C17" s="121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30">
        <f>COUNT(entr_carn8[OS])</f>
        <v>0</v>
      </c>
      <c r="C18" s="31">
        <f>SUM(entr_carn8[Valor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2"/>
      <c r="F26" s="100"/>
      <c r="G26" s="101"/>
      <c r="H26" s="74"/>
      <c r="I26" s="74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622</v>
      </c>
      <c r="F35" s="25" t="s">
        <v>145</v>
      </c>
      <c r="G35" s="26" t="s">
        <v>6</v>
      </c>
      <c r="H35" s="8">
        <v>100</v>
      </c>
      <c r="I35" s="8" t="s">
        <v>67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93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5:18" ht="15.75" x14ac:dyDescent="0.25">
      <c r="E42" s="35"/>
      <c r="F42" s="77"/>
      <c r="G42" s="78"/>
      <c r="H42" s="79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6DEDD930-861F-47CC-BD5B-46BF4A7AEB54}">
          <x14:formula1>
            <xm:f>base!$A$2:$A$5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base!$A$2:$A$8</xm:f>
          </x14:formula1>
          <xm:sqref>G6:G22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8">
        <f>'08'!B1+1</f>
        <v>45421</v>
      </c>
    </row>
    <row r="2" spans="2:22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22" ht="15" x14ac:dyDescent="0.25">
      <c r="B5" s="23" t="s">
        <v>1</v>
      </c>
      <c r="C5" s="24">
        <f>SUMIF(I6:I31,"&gt;0",H6:H31)</f>
        <v>4675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2" ht="15.75" x14ac:dyDescent="0.25">
      <c r="B6" s="23" t="s">
        <v>2</v>
      </c>
      <c r="C6" s="24">
        <f>SUM(I6:I41)</f>
        <v>555</v>
      </c>
      <c r="D6" s="2"/>
      <c r="E6" s="18">
        <v>676</v>
      </c>
      <c r="F6" s="25" t="s">
        <v>146</v>
      </c>
      <c r="G6" s="46" t="s">
        <v>7</v>
      </c>
      <c r="H6" s="8">
        <v>848</v>
      </c>
      <c r="I6" s="8">
        <v>80</v>
      </c>
      <c r="J6" s="2"/>
      <c r="K6" s="25" t="s">
        <v>152</v>
      </c>
      <c r="L6" s="9" t="s">
        <v>153</v>
      </c>
      <c r="M6" s="16">
        <v>13</v>
      </c>
      <c r="R6" s="1">
        <f>IF(vend9[[#This Row],[Nº Venda]]&gt;1,1,0)</f>
        <v>1</v>
      </c>
    </row>
    <row r="7" spans="2:22" ht="15.75" x14ac:dyDescent="0.25">
      <c r="B7" s="23" t="s">
        <v>3</v>
      </c>
      <c r="C7" s="24">
        <f>SUM(M6:M11)</f>
        <v>27</v>
      </c>
      <c r="D7" s="2"/>
      <c r="E7" s="18">
        <v>677</v>
      </c>
      <c r="F7" s="25" t="s">
        <v>146</v>
      </c>
      <c r="G7" s="46" t="s">
        <v>7</v>
      </c>
      <c r="H7" s="8">
        <v>150</v>
      </c>
      <c r="I7" s="8">
        <v>20</v>
      </c>
      <c r="J7" s="2"/>
      <c r="K7" s="25" t="s">
        <v>154</v>
      </c>
      <c r="L7" s="9" t="s">
        <v>153</v>
      </c>
      <c r="M7" s="16">
        <v>14</v>
      </c>
      <c r="R7" s="1">
        <f>IF(vend9[[#This Row],[Nº Venda]]&gt;1,1,0)</f>
        <v>1</v>
      </c>
    </row>
    <row r="8" spans="2:22" ht="15.75" x14ac:dyDescent="0.25">
      <c r="B8" s="28" t="s">
        <v>20</v>
      </c>
      <c r="C8" s="29">
        <f>SUM(C6:C7)</f>
        <v>582</v>
      </c>
      <c r="D8" s="2"/>
      <c r="E8" s="18">
        <v>678</v>
      </c>
      <c r="F8" s="25" t="s">
        <v>147</v>
      </c>
      <c r="G8" s="26" t="s">
        <v>6</v>
      </c>
      <c r="H8" s="8">
        <v>890</v>
      </c>
      <c r="I8" s="8">
        <v>100</v>
      </c>
      <c r="J8" s="2"/>
      <c r="K8" s="25"/>
      <c r="L8" s="9"/>
      <c r="M8" s="16"/>
      <c r="R8" s="1">
        <f>IF(vend9[[#This Row],[Nº Venda]]&gt;1,1,0)</f>
        <v>1</v>
      </c>
    </row>
    <row r="9" spans="2:22" ht="15.75" x14ac:dyDescent="0.25">
      <c r="B9" s="2"/>
      <c r="C9" s="2"/>
      <c r="D9" s="2"/>
      <c r="E9" s="18">
        <v>679</v>
      </c>
      <c r="F9" s="25" t="s">
        <v>148</v>
      </c>
      <c r="G9" s="26" t="s">
        <v>6</v>
      </c>
      <c r="H9" s="8">
        <v>690</v>
      </c>
      <c r="I9" s="8">
        <v>100</v>
      </c>
      <c r="J9" s="2"/>
      <c r="K9" s="25"/>
      <c r="L9" s="9"/>
      <c r="M9" s="16"/>
      <c r="R9" s="1">
        <f>IF(vend9[[#This Row],[Nº Venda]]&gt;1,1,0)</f>
        <v>1</v>
      </c>
    </row>
    <row r="10" spans="2:22" ht="15.75" x14ac:dyDescent="0.25">
      <c r="B10" s="121" t="s">
        <v>5</v>
      </c>
      <c r="C10" s="121"/>
      <c r="D10" s="2"/>
      <c r="E10" s="18">
        <v>680</v>
      </c>
      <c r="F10" s="25" t="s">
        <v>149</v>
      </c>
      <c r="G10" s="26" t="s">
        <v>7</v>
      </c>
      <c r="H10" s="8">
        <v>799</v>
      </c>
      <c r="I10" s="8">
        <v>150</v>
      </c>
      <c r="J10" s="2"/>
      <c r="K10" s="25"/>
      <c r="L10" s="9"/>
      <c r="M10" s="16"/>
      <c r="R10" s="1">
        <f>IF(vend9[[#This Row],[Nº Venda]]&gt;1,1,0)</f>
        <v>1</v>
      </c>
    </row>
    <row r="11" spans="2:22" ht="15.75" x14ac:dyDescent="0.25">
      <c r="B11" s="30" t="s">
        <v>6</v>
      </c>
      <c r="C11" s="31">
        <f>(SUMIF($G$2:$G$31,B11,$I$2:$I$31))+(SUMIF($G$35:$G$41,B11,$H$35:$H$41))</f>
        <v>375</v>
      </c>
      <c r="D11" s="2"/>
      <c r="E11" s="18">
        <v>681</v>
      </c>
      <c r="F11" s="25" t="s">
        <v>150</v>
      </c>
      <c r="G11" s="26" t="s">
        <v>6</v>
      </c>
      <c r="H11" s="8">
        <v>799</v>
      </c>
      <c r="I11" s="8">
        <v>100</v>
      </c>
      <c r="J11" s="2"/>
      <c r="K11" s="27"/>
      <c r="L11" s="9"/>
      <c r="M11" s="16"/>
      <c r="O11" s="1">
        <f>IF(C15=0,0,1)</f>
        <v>1</v>
      </c>
      <c r="R11" s="1">
        <f>IF(vend9[[#This Row],[Nº Venda]]&gt;1,1,0)</f>
        <v>1</v>
      </c>
    </row>
    <row r="12" spans="2:22" ht="15.75" x14ac:dyDescent="0.25">
      <c r="B12" s="30" t="s">
        <v>7</v>
      </c>
      <c r="C12" s="31">
        <f t="shared" ref="C12:C14" si="0">(SUMIF($G$2:$G$31,B12,$I$2:$I$31))+(SUMIF($G$35:$G$41,B12,$H$35:$H$41))</f>
        <v>250</v>
      </c>
      <c r="D12" s="2"/>
      <c r="E12" s="18">
        <v>682</v>
      </c>
      <c r="F12" s="25" t="s">
        <v>159</v>
      </c>
      <c r="G12" s="26" t="s">
        <v>9</v>
      </c>
      <c r="H12" s="8">
        <v>499</v>
      </c>
      <c r="I12" s="8">
        <v>5</v>
      </c>
      <c r="J12" s="2"/>
      <c r="R12" s="1">
        <f>IF(vend9[[#This Row],[Nº Venda]]&gt;1,1,0)</f>
        <v>1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3" t="s">
        <v>21</v>
      </c>
      <c r="L13" s="124"/>
      <c r="M13" s="125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5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IF(vend9[[#This Row],[Nº Venda]]&gt;1,1,0)</f>
        <v>0</v>
      </c>
    </row>
    <row r="15" spans="2:22" ht="15.75" x14ac:dyDescent="0.25">
      <c r="B15" s="28" t="s">
        <v>10</v>
      </c>
      <c r="C15" s="32">
        <f>SUM(C11:C14)</f>
        <v>630</v>
      </c>
      <c r="D15" s="2"/>
      <c r="E15" s="18"/>
      <c r="F15" s="25"/>
      <c r="G15" s="26"/>
      <c r="H15" s="8"/>
      <c r="I15" s="8"/>
      <c r="J15" s="2"/>
      <c r="K15" s="25">
        <v>663</v>
      </c>
      <c r="L15" s="9" t="s">
        <v>155</v>
      </c>
      <c r="M15" s="16" t="s">
        <v>134</v>
      </c>
      <c r="R15" s="1">
        <f>IF(vend9[[#This Row],[Nº Venda]]&gt;1,1,0)</f>
        <v>0</v>
      </c>
    </row>
    <row r="16" spans="2:22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121" t="s">
        <v>11</v>
      </c>
      <c r="C17" s="121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30">
        <f>COUNT(entr_carn9[OS])</f>
        <v>0</v>
      </c>
      <c r="C18" s="31">
        <f>SUM(entr_carn9[Valor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"/>
      <c r="C20" s="2"/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8" t="s">
        <v>25</v>
      </c>
      <c r="C21" s="32">
        <f>C5</f>
        <v>4675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633</v>
      </c>
      <c r="F35" s="25" t="s">
        <v>151</v>
      </c>
      <c r="G35" s="26" t="s">
        <v>6</v>
      </c>
      <c r="H35" s="8">
        <v>75</v>
      </c>
      <c r="I35" s="8" t="s">
        <v>50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7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22AFCA31-3D3D-4524-8B45-1A8AA92BC219}">
          <x14:formula1>
            <xm:f>base!$A$2:$A$8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base!$A$2:$A$5</xm:f>
          </x14:formula1>
          <xm:sqref>G26:G31 G35:G41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2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8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'09'!B1+1</f>
        <v>45422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SUMIF(I6:I32,"&gt;0",H6:H32)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SUM(I6:I42)</f>
        <v>1370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20</v>
      </c>
      <c r="C8" s="29">
        <f>SUM(C6:C7)</f>
        <v>1370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21" t="s">
        <v>5</v>
      </c>
      <c r="C10" s="12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123" t="s">
        <v>21</v>
      </c>
      <c r="L13" s="124"/>
      <c r="M13" s="125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1515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IF(vend10[[#This Row],[Nº Venda]]&gt;1,1,0)</f>
        <v>0</v>
      </c>
    </row>
    <row r="15" spans="2:18" ht="15.75" x14ac:dyDescent="0.25">
      <c r="B15" s="28" t="s">
        <v>10</v>
      </c>
      <c r="C15" s="32">
        <f>SUM(C11:C14)</f>
        <v>1515</v>
      </c>
      <c r="D15" s="2"/>
      <c r="E15" s="18"/>
      <c r="F15" s="25"/>
      <c r="G15" s="26"/>
      <c r="H15" s="8"/>
      <c r="I15" s="8"/>
      <c r="J15" s="2"/>
      <c r="K15" s="25">
        <v>669</v>
      </c>
      <c r="L15" s="9" t="s">
        <v>155</v>
      </c>
      <c r="M15" s="16" t="s">
        <v>134</v>
      </c>
      <c r="R15" s="1">
        <f>IF(vend10[[#This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65"/>
      <c r="R16" s="1">
        <f>IF(vend10[[#This Row],[Nº Venda]]&gt;1,1,0)</f>
        <v>0</v>
      </c>
    </row>
    <row r="17" spans="2:18" ht="15.75" x14ac:dyDescent="0.25">
      <c r="B17" s="121" t="s">
        <v>11</v>
      </c>
      <c r="C17" s="121"/>
      <c r="D17" s="2"/>
      <c r="E17" s="18"/>
      <c r="F17" s="25"/>
      <c r="G17" s="26"/>
      <c r="H17" s="8"/>
      <c r="I17" s="8"/>
      <c r="J17" s="2"/>
      <c r="K17" s="64"/>
      <c r="L17" s="69"/>
      <c r="M17" s="70"/>
      <c r="R17" s="1">
        <f>IF(vend10[[#This Row],[Nº Venda]]&gt;1,1,0)</f>
        <v>0</v>
      </c>
    </row>
    <row r="18" spans="2:18" ht="15.75" x14ac:dyDescent="0.25">
      <c r="B18" s="30">
        <f>COUNT(entr_carn10[OS])</f>
        <v>0</v>
      </c>
      <c r="C18" s="31">
        <f>SUM(entr_carn10[Valor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678</v>
      </c>
      <c r="F26" s="25" t="s">
        <v>147</v>
      </c>
      <c r="G26" s="46" t="s">
        <v>9</v>
      </c>
      <c r="H26" s="8">
        <v>0</v>
      </c>
      <c r="I26" s="8">
        <v>650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679</v>
      </c>
      <c r="F27" s="25" t="s">
        <v>156</v>
      </c>
      <c r="G27" s="46" t="s">
        <v>9</v>
      </c>
      <c r="H27" s="8">
        <v>0</v>
      </c>
      <c r="I27" s="8">
        <v>650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669</v>
      </c>
      <c r="F28" s="25" t="s">
        <v>157</v>
      </c>
      <c r="G28" s="46" t="s">
        <v>9</v>
      </c>
      <c r="H28" s="8">
        <v>0</v>
      </c>
      <c r="I28" s="8">
        <v>70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5:18" ht="15" x14ac:dyDescent="0.25">
      <c r="E33" s="33"/>
      <c r="K33" s="123" t="s">
        <v>11</v>
      </c>
      <c r="L33" s="124"/>
      <c r="M33" s="125"/>
    </row>
    <row r="34" spans="5:18" ht="15" x14ac:dyDescent="0.25">
      <c r="E34" s="122" t="s">
        <v>27</v>
      </c>
      <c r="F34" s="122"/>
      <c r="G34" s="122"/>
      <c r="H34" s="122"/>
      <c r="I34" s="122"/>
      <c r="K34" s="14" t="s">
        <v>22</v>
      </c>
      <c r="L34" s="6" t="s">
        <v>30</v>
      </c>
      <c r="M34" s="15" t="s">
        <v>31</v>
      </c>
    </row>
    <row r="35" spans="5:18" ht="15" x14ac:dyDescent="0.25">
      <c r="E35" s="10" t="s">
        <v>124</v>
      </c>
      <c r="F35" s="10" t="s">
        <v>125</v>
      </c>
      <c r="G35" s="11" t="s">
        <v>126</v>
      </c>
      <c r="H35" s="12" t="s">
        <v>127</v>
      </c>
      <c r="I35" s="13" t="s">
        <v>128</v>
      </c>
      <c r="K35" s="25"/>
      <c r="L35" s="41"/>
      <c r="M35" s="16"/>
    </row>
    <row r="36" spans="5:18" ht="15.75" x14ac:dyDescent="0.25">
      <c r="E36" s="18">
        <v>522</v>
      </c>
      <c r="F36" s="25" t="s">
        <v>158</v>
      </c>
      <c r="G36" s="26" t="s">
        <v>9</v>
      </c>
      <c r="H36" s="8">
        <v>145</v>
      </c>
      <c r="I36" s="8" t="s">
        <v>42</v>
      </c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5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5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B80BA27C-92FA-4E44-B45B-142D61BB934F}">
          <x14:formula1>
            <xm:f>base!$A$2:$A$5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base!$A$2:$A$8</xm:f>
          </x14:formula1>
          <xm:sqref>G6:G22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70" zoomScaleNormal="70" workbookViewId="0">
      <selection activeCell="H28" sqref="H28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'10'!B1+1</f>
        <v>45423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1485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20</v>
      </c>
      <c r="C8" s="29">
        <f>SUM(C6:C7)</f>
        <v>1485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21" t="s">
        <v>5</v>
      </c>
      <c r="C10" s="12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1485</v>
      </c>
      <c r="D13" s="2"/>
      <c r="E13" s="18"/>
      <c r="F13" s="25"/>
      <c r="G13" s="26"/>
      <c r="H13" s="8"/>
      <c r="I13" s="8"/>
      <c r="J13" s="2"/>
      <c r="K13" s="123" t="s">
        <v>21</v>
      </c>
      <c r="L13" s="124"/>
      <c r="M13" s="125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IF(vend11[[#This Row],[Nº Venda]]&gt;1,1,0)</f>
        <v>0</v>
      </c>
    </row>
    <row r="15" spans="2:18" ht="15.75" x14ac:dyDescent="0.25">
      <c r="B15" s="28" t="s">
        <v>10</v>
      </c>
      <c r="C15" s="32">
        <f>SUM(C11:C14)</f>
        <v>1485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121" t="s">
        <v>11</v>
      </c>
      <c r="C17" s="121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30">
        <f>COUNT(entr_carn11[OS])</f>
        <v>0</v>
      </c>
      <c r="C18" s="31">
        <f>SUM(entr_carn11[Valor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682</v>
      </c>
      <c r="F26" s="25" t="s">
        <v>160</v>
      </c>
      <c r="G26" s="46" t="s">
        <v>8</v>
      </c>
      <c r="H26" s="8">
        <v>0</v>
      </c>
      <c r="I26" s="8">
        <v>485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668</v>
      </c>
      <c r="F27" s="25" t="s">
        <v>161</v>
      </c>
      <c r="G27" s="26" t="s">
        <v>8</v>
      </c>
      <c r="H27" s="8">
        <v>0</v>
      </c>
      <c r="I27" s="8">
        <v>1000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2C041720-F84D-4B31-8C64-E922AB78D0E6}">
          <x14:formula1>
            <xm:f>base!$A$2:$A$5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base!$A$2:$A$8</xm:f>
          </x14:formula1>
          <xm:sqref>G6:G22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2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'11'!B1+1</f>
        <v>45424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" x14ac:dyDescent="0.25">
      <c r="B6" s="23" t="s">
        <v>2</v>
      </c>
      <c r="C6" s="24">
        <f>SUM(I6:I41)</f>
        <v>0</v>
      </c>
      <c r="D6" s="2"/>
      <c r="E6" s="92"/>
      <c r="F6" s="52"/>
      <c r="G6" s="52"/>
      <c r="H6" s="53"/>
      <c r="I6" s="53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7"/>
      <c r="F7" s="54"/>
      <c r="G7" s="54"/>
      <c r="H7" s="55"/>
      <c r="I7" s="55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57"/>
      <c r="F8" s="54"/>
      <c r="G8" s="54"/>
      <c r="H8" s="55"/>
      <c r="I8" s="55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21" t="s">
        <v>5</v>
      </c>
      <c r="C10" s="12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3" t="s">
        <v>21</v>
      </c>
      <c r="L13" s="124"/>
      <c r="M13" s="125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IF(vend12[[#This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121" t="s">
        <v>11</v>
      </c>
      <c r="C17" s="121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30">
        <f>COUNT(entr_carn12[OS])</f>
        <v>0</v>
      </c>
      <c r="C18" s="31">
        <f>SUM(entr_carn12[Valor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6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76DAD829-EB77-41C4-8A8D-E5F987FD24DB}">
          <x14:formula1>
            <xm:f>base!$A$2:$A$5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base!$A$2:$A$8</xm:f>
          </x14:formula1>
          <xm:sqref>G6:G22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2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'12'!B1+1</f>
        <v>45425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250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250</v>
      </c>
      <c r="D6" s="2"/>
      <c r="E6" s="18">
        <v>683</v>
      </c>
      <c r="F6" s="25" t="s">
        <v>162</v>
      </c>
      <c r="G6" s="26" t="s">
        <v>8</v>
      </c>
      <c r="H6" s="8">
        <v>250</v>
      </c>
      <c r="I6" s="8">
        <v>250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20</v>
      </c>
      <c r="C8" s="29">
        <f>SUM(C6:C7)</f>
        <v>250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121" t="s">
        <v>5</v>
      </c>
      <c r="C10" s="12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250</v>
      </c>
      <c r="D13" s="2"/>
      <c r="E13" s="18"/>
      <c r="F13" s="25"/>
      <c r="G13" s="26"/>
      <c r="H13" s="8"/>
      <c r="I13" s="8"/>
      <c r="J13" s="2"/>
      <c r="K13" s="123" t="s">
        <v>21</v>
      </c>
      <c r="L13" s="124"/>
      <c r="M13" s="125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IF(vend13[[#This Row],[Nº Venda]]&gt;1,1,0)</f>
        <v>0</v>
      </c>
    </row>
    <row r="15" spans="2:18" ht="15.75" x14ac:dyDescent="0.25">
      <c r="B15" s="28" t="s">
        <v>10</v>
      </c>
      <c r="C15" s="32">
        <f>SUM(C11:C14)</f>
        <v>250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121" t="s">
        <v>11</v>
      </c>
      <c r="C17" s="121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30">
        <f>COUNT(entr_carn13[OS])</f>
        <v>0</v>
      </c>
      <c r="C18" s="31">
        <f>SUM(entr_carn13[Valor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8" t="s">
        <v>25</v>
      </c>
      <c r="C21" s="32">
        <f>C5</f>
        <v>250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245BDF35-8AB3-43D0-BD06-D449F65BEBB8}">
          <x14:formula1>
            <xm:f>base!$A$2:$A$8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base!$A$2:$A$5</xm:f>
          </x14:formula1>
          <xm:sqref>G26:G31 G35:G41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2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'13'!B1+1</f>
        <v>45426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1400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100</v>
      </c>
      <c r="D6" s="2"/>
      <c r="E6" s="94">
        <v>684</v>
      </c>
      <c r="F6" s="94" t="s">
        <v>164</v>
      </c>
      <c r="G6" s="102" t="s">
        <v>38</v>
      </c>
      <c r="H6" s="103">
        <v>0</v>
      </c>
      <c r="I6" s="103">
        <v>0</v>
      </c>
      <c r="J6" s="2"/>
      <c r="K6" s="105"/>
      <c r="L6" s="95"/>
      <c r="M6" s="9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685</v>
      </c>
      <c r="F7" s="94" t="s">
        <v>163</v>
      </c>
      <c r="G7" s="102" t="s">
        <v>7</v>
      </c>
      <c r="H7" s="103">
        <v>700</v>
      </c>
      <c r="I7" s="103">
        <v>50</v>
      </c>
      <c r="J7" s="2"/>
      <c r="K7" s="105"/>
      <c r="L7" s="95"/>
      <c r="M7" s="96"/>
      <c r="R7" s="1">
        <f>IF(vend14[[#This Row],[Nº Venda]]&gt;1,1,0)</f>
        <v>1</v>
      </c>
    </row>
    <row r="8" spans="2:18" ht="15.75" x14ac:dyDescent="0.25">
      <c r="B8" s="28" t="s">
        <v>20</v>
      </c>
      <c r="C8" s="29">
        <f>SUM(C6:C7)</f>
        <v>100</v>
      </c>
      <c r="D8" s="2"/>
      <c r="E8" s="94">
        <v>686</v>
      </c>
      <c r="F8" s="94" t="s">
        <v>163</v>
      </c>
      <c r="G8" s="104" t="s">
        <v>7</v>
      </c>
      <c r="H8" s="103">
        <v>700</v>
      </c>
      <c r="I8" s="103">
        <v>50</v>
      </c>
      <c r="J8" s="2"/>
      <c r="K8" s="105"/>
      <c r="L8" s="95"/>
      <c r="M8" s="9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IF(vend14[[#This Row],[Nº Venda]]&gt;1,1,0)</f>
        <v>0</v>
      </c>
    </row>
    <row r="10" spans="2:18" ht="15.75" x14ac:dyDescent="0.25">
      <c r="B10" s="121" t="s">
        <v>5</v>
      </c>
      <c r="C10" s="121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100</v>
      </c>
      <c r="D12" s="2"/>
      <c r="E12" s="94"/>
      <c r="F12" s="94"/>
      <c r="G12" s="104"/>
      <c r="H12" s="103"/>
      <c r="I12" s="103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3" t="s">
        <v>21</v>
      </c>
      <c r="L13" s="124"/>
      <c r="M13" s="125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147.69999999999999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IF(vend14[[#This Row],[Nº Venda]]&gt;1,1,0)</f>
        <v>0</v>
      </c>
    </row>
    <row r="15" spans="2:18" ht="15.75" x14ac:dyDescent="0.25">
      <c r="B15" s="28" t="s">
        <v>10</v>
      </c>
      <c r="C15" s="32">
        <f>SUM(C11:C14)</f>
        <v>247.7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IF(vend14[[#This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IF(vend14[[#This Row],[Nº Venda]]&gt;1,1,0)</f>
        <v>0</v>
      </c>
    </row>
    <row r="17" spans="2:18" ht="15.75" x14ac:dyDescent="0.25">
      <c r="B17" s="121" t="s">
        <v>11</v>
      </c>
      <c r="C17" s="121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IF(vend14[[#This Row],[Nº Venda]]&gt;1,1,0)</f>
        <v>0</v>
      </c>
    </row>
    <row r="18" spans="2:18" ht="15.75" x14ac:dyDescent="0.25">
      <c r="B18" s="30">
        <f>COUNT(entr_carn14[OS])</f>
        <v>0</v>
      </c>
      <c r="C18" s="31">
        <f>SUM(entr_carn14[Valor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IF(vend14[[#This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IF(vend14[[#This Row],[Nº Venda]]&gt;1,1,0)</f>
        <v>0</v>
      </c>
    </row>
    <row r="21" spans="2:18" ht="15.75" x14ac:dyDescent="0.25">
      <c r="B21" s="28" t="s">
        <v>25</v>
      </c>
      <c r="C21" s="32">
        <f>C5</f>
        <v>1400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521</v>
      </c>
      <c r="F35" s="94" t="s">
        <v>158</v>
      </c>
      <c r="G35" s="104" t="s">
        <v>9</v>
      </c>
      <c r="H35" s="103">
        <v>85</v>
      </c>
      <c r="I35" s="103" t="s">
        <v>42</v>
      </c>
      <c r="K35" s="105"/>
      <c r="L35" s="108"/>
      <c r="M35" s="96"/>
    </row>
    <row r="36" spans="5:18" ht="15.75" x14ac:dyDescent="0.25">
      <c r="E36" s="94">
        <v>624</v>
      </c>
      <c r="F36" s="94" t="s">
        <v>165</v>
      </c>
      <c r="G36" s="104" t="s">
        <v>9</v>
      </c>
      <c r="H36" s="103">
        <v>62.7</v>
      </c>
      <c r="I36" s="103" t="s">
        <v>90</v>
      </c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3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6A6D97E3-5A16-4AA2-81E6-E08B3CD71B30}">
          <x14:formula1>
            <xm:f>base!$A$2:$A$8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base!$A$2:$A$5</xm:f>
          </x14:formula1>
          <xm:sqref>G26:G31 G35:G41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'14'!B1+1</f>
        <v>45427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4"/>
      <c r="F6" s="94"/>
      <c r="G6" s="102"/>
      <c r="H6" s="103"/>
      <c r="I6" s="103"/>
      <c r="J6" s="2"/>
      <c r="K6" s="105"/>
      <c r="L6" s="95"/>
      <c r="M6" s="9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2"/>
      <c r="H7" s="103"/>
      <c r="I7" s="103"/>
      <c r="J7" s="2"/>
      <c r="K7" s="105"/>
      <c r="L7" s="95"/>
      <c r="M7" s="96"/>
      <c r="R7" s="1">
        <f>IF(vend15[[#This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IF(vend15[[#This Row],[Nº Venda]]&gt;1,1,0)</f>
        <v>0</v>
      </c>
    </row>
    <row r="10" spans="2:18" ht="15.75" x14ac:dyDescent="0.25">
      <c r="B10" s="121" t="s">
        <v>5</v>
      </c>
      <c r="C10" s="121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3" t="s">
        <v>21</v>
      </c>
      <c r="L13" s="124"/>
      <c r="M13" s="125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IF(vend15[[#This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>
        <v>667</v>
      </c>
      <c r="L15" s="95" t="s">
        <v>133</v>
      </c>
      <c r="M15" s="96" t="s">
        <v>134</v>
      </c>
      <c r="R15" s="1">
        <f>IF(vend15[[#This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668</v>
      </c>
      <c r="L16" s="95" t="s">
        <v>133</v>
      </c>
      <c r="M16" s="96" t="s">
        <v>134</v>
      </c>
      <c r="R16" s="1">
        <f>IF(vend15[[#This Row],[Nº Venda]]&gt;1,1,0)</f>
        <v>0</v>
      </c>
    </row>
    <row r="17" spans="2:18" ht="15.75" x14ac:dyDescent="0.25">
      <c r="B17" s="121" t="s">
        <v>11</v>
      </c>
      <c r="C17" s="121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IF(vend15[[#This Row],[Nº Venda]]&gt;1,1,0)</f>
        <v>0</v>
      </c>
    </row>
    <row r="18" spans="2:18" ht="15.75" x14ac:dyDescent="0.25">
      <c r="B18" s="30">
        <f>COUNT(entr_carn15[OS])</f>
        <v>0</v>
      </c>
      <c r="C18" s="31">
        <f>SUM(entr_carn15[Valor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IF(vend15[[#This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IF(vend15[[#This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2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D2E9574C-8978-4987-B70B-5E6645EF0D63}">
          <x14:formula1>
            <xm:f>base!$A$2:$A$8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base!$A$2:$A$5</xm:f>
          </x14:formula1>
          <xm:sqref>G26:G31 G35:G41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4" zoomScale="70" zoomScaleNormal="70" workbookViewId="0">
      <selection activeCell="F7" sqref="F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7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'15'!B1+1</f>
        <v>45428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6411.99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2829.99</v>
      </c>
      <c r="D6" s="2"/>
      <c r="E6" s="94">
        <v>687</v>
      </c>
      <c r="F6" s="94" t="s">
        <v>166</v>
      </c>
      <c r="G6" s="102" t="s">
        <v>8</v>
      </c>
      <c r="H6" s="103">
        <v>390</v>
      </c>
      <c r="I6" s="103">
        <v>390</v>
      </c>
      <c r="J6" s="2"/>
      <c r="K6" s="105" t="s">
        <v>175</v>
      </c>
      <c r="L6" s="95" t="s">
        <v>6</v>
      </c>
      <c r="M6" s="96">
        <v>13</v>
      </c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13</v>
      </c>
      <c r="D7" s="2"/>
      <c r="E7" s="94">
        <v>688</v>
      </c>
      <c r="F7" s="94" t="s">
        <v>167</v>
      </c>
      <c r="G7" s="102" t="s">
        <v>8</v>
      </c>
      <c r="H7" s="103">
        <v>350</v>
      </c>
      <c r="I7" s="103">
        <v>350</v>
      </c>
      <c r="J7" s="2"/>
      <c r="K7" s="105"/>
      <c r="L7" s="95"/>
      <c r="M7" s="96"/>
      <c r="R7" s="1">
        <f>IF(vend16[[#This Row],[Nº Venda]]&gt;1,1,0)</f>
        <v>1</v>
      </c>
    </row>
    <row r="8" spans="2:18" ht="15.75" x14ac:dyDescent="0.25">
      <c r="B8" s="28" t="s">
        <v>20</v>
      </c>
      <c r="C8" s="29">
        <f>SUM(C6:C7)</f>
        <v>2842.99</v>
      </c>
      <c r="D8" s="2"/>
      <c r="E8" s="94">
        <v>689</v>
      </c>
      <c r="F8" s="94" t="s">
        <v>167</v>
      </c>
      <c r="G8" s="104" t="s">
        <v>8</v>
      </c>
      <c r="H8" s="103">
        <v>949</v>
      </c>
      <c r="I8" s="103">
        <v>650</v>
      </c>
      <c r="J8" s="2"/>
      <c r="K8" s="105"/>
      <c r="L8" s="95"/>
      <c r="M8" s="9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94">
        <v>690</v>
      </c>
      <c r="F9" s="94" t="s">
        <v>168</v>
      </c>
      <c r="G9" s="104" t="s">
        <v>7</v>
      </c>
      <c r="H9" s="103">
        <v>598</v>
      </c>
      <c r="I9" s="103">
        <v>10</v>
      </c>
      <c r="J9" s="2"/>
      <c r="K9" s="105"/>
      <c r="L9" s="95"/>
      <c r="M9" s="96"/>
      <c r="R9" s="1">
        <f>IF(vend16[[#This Row],[Nº Venda]]&gt;1,1,0)</f>
        <v>1</v>
      </c>
    </row>
    <row r="10" spans="2:18" ht="15.75" x14ac:dyDescent="0.25">
      <c r="B10" s="121" t="s">
        <v>5</v>
      </c>
      <c r="C10" s="121"/>
      <c r="D10" s="2"/>
      <c r="E10" s="94">
        <v>691</v>
      </c>
      <c r="F10" s="94" t="s">
        <v>169</v>
      </c>
      <c r="G10" s="104" t="s">
        <v>6</v>
      </c>
      <c r="H10" s="103">
        <v>500</v>
      </c>
      <c r="I10" s="103">
        <v>20</v>
      </c>
      <c r="J10" s="2"/>
      <c r="K10" s="105"/>
      <c r="L10" s="95"/>
      <c r="M10" s="96"/>
      <c r="R10" s="1">
        <f>IF(vend16[[#This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320</v>
      </c>
      <c r="D11" s="2"/>
      <c r="E11" s="94">
        <v>692</v>
      </c>
      <c r="F11" s="94" t="s">
        <v>170</v>
      </c>
      <c r="G11" s="104" t="s">
        <v>9</v>
      </c>
      <c r="H11" s="103">
        <v>784</v>
      </c>
      <c r="I11" s="103">
        <v>20</v>
      </c>
      <c r="J11" s="2"/>
      <c r="K11" s="106"/>
      <c r="L11" s="95"/>
      <c r="M11" s="96"/>
      <c r="O11" s="1">
        <f>IF(C15=0,0,1)</f>
        <v>1</v>
      </c>
      <c r="R11" s="1">
        <f>IF(vend16[[#This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10</v>
      </c>
      <c r="D12" s="2"/>
      <c r="E12" s="94">
        <v>693</v>
      </c>
      <c r="F12" s="94" t="s">
        <v>171</v>
      </c>
      <c r="G12" s="104" t="s">
        <v>6</v>
      </c>
      <c r="H12" s="103">
        <v>590</v>
      </c>
      <c r="I12" s="103">
        <v>100</v>
      </c>
      <c r="J12" s="2"/>
      <c r="R12" s="1">
        <f>IF(vend16[[#This Row],[Nº Venda]]&gt;1,1,0)</f>
        <v>1</v>
      </c>
    </row>
    <row r="13" spans="2:18" ht="15.75" x14ac:dyDescent="0.25">
      <c r="B13" s="30" t="s">
        <v>8</v>
      </c>
      <c r="C13" s="31">
        <f t="shared" si="0"/>
        <v>2479.9899999999998</v>
      </c>
      <c r="D13" s="2"/>
      <c r="E13" s="94">
        <v>694</v>
      </c>
      <c r="F13" s="94" t="s">
        <v>172</v>
      </c>
      <c r="G13" s="104" t="s">
        <v>6</v>
      </c>
      <c r="H13" s="103">
        <v>1161</v>
      </c>
      <c r="I13" s="103">
        <v>200</v>
      </c>
      <c r="J13" s="2"/>
      <c r="K13" s="123" t="s">
        <v>21</v>
      </c>
      <c r="L13" s="124"/>
      <c r="M13" s="125"/>
      <c r="R13" s="1">
        <f>IF(vend16[[#This Row],[Nº Venda]]&gt;1,1,0)</f>
        <v>1</v>
      </c>
    </row>
    <row r="14" spans="2:18" ht="15.75" x14ac:dyDescent="0.25">
      <c r="B14" s="30" t="s">
        <v>9</v>
      </c>
      <c r="C14" s="31">
        <f t="shared" si="0"/>
        <v>20</v>
      </c>
      <c r="D14" s="2"/>
      <c r="E14" s="94">
        <v>695</v>
      </c>
      <c r="F14" s="94" t="s">
        <v>173</v>
      </c>
      <c r="G14" s="104" t="s">
        <v>8</v>
      </c>
      <c r="H14" s="103">
        <v>499.99</v>
      </c>
      <c r="I14" s="103">
        <v>499.99</v>
      </c>
      <c r="J14" s="2"/>
      <c r="K14" s="14" t="s">
        <v>22</v>
      </c>
      <c r="L14" s="6" t="s">
        <v>23</v>
      </c>
      <c r="M14" s="15" t="s">
        <v>24</v>
      </c>
      <c r="R14" s="1">
        <f>IF(vend16[[#This Row],[Nº Venda]]&gt;1,1,0)</f>
        <v>1</v>
      </c>
    </row>
    <row r="15" spans="2:18" ht="15.75" x14ac:dyDescent="0.25">
      <c r="B15" s="28" t="s">
        <v>10</v>
      </c>
      <c r="C15" s="32">
        <f>SUM(C11:C14)</f>
        <v>2829.99</v>
      </c>
      <c r="D15" s="2"/>
      <c r="E15" s="94">
        <v>696</v>
      </c>
      <c r="F15" s="94" t="s">
        <v>174</v>
      </c>
      <c r="G15" s="104" t="s">
        <v>8</v>
      </c>
      <c r="H15" s="103">
        <v>590</v>
      </c>
      <c r="I15" s="103">
        <v>590</v>
      </c>
      <c r="J15" s="2"/>
      <c r="K15" s="105"/>
      <c r="L15" s="95"/>
      <c r="M15" s="96"/>
      <c r="R15" s="1">
        <f>IF(vend16[[#This Row],[Nº Venda]]&gt;1,1,0)</f>
        <v>1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IF(vend16[[#This Row],[Nº Venda]]&gt;1,1,0)</f>
        <v>0</v>
      </c>
    </row>
    <row r="17" spans="2:18" ht="15.75" x14ac:dyDescent="0.25">
      <c r="B17" s="121" t="s">
        <v>11</v>
      </c>
      <c r="C17" s="121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IF(vend16[[#This Row],[Nº Venda]]&gt;1,1,0)</f>
        <v>0</v>
      </c>
    </row>
    <row r="18" spans="2:18" ht="15.75" x14ac:dyDescent="0.25">
      <c r="B18" s="30">
        <f>COUNT(entr_carn16[OS])</f>
        <v>0</v>
      </c>
      <c r="C18" s="31">
        <f>SUM(entr_carn16[Valor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IF(vend16[[#This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IF(vend16[[#This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IF(vend16[[#This Row],[Nº Venda]]&gt;1,1,0)</f>
        <v>0</v>
      </c>
    </row>
    <row r="21" spans="2:18" ht="15.75" x14ac:dyDescent="0.25">
      <c r="B21" s="28" t="s">
        <v>25</v>
      </c>
      <c r="C21" s="32">
        <f>C5</f>
        <v>6411.99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2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10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93DBB679-1465-4AE3-9464-4632F880272C}">
          <x14:formula1>
            <xm:f>base!$A$2:$A$5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base!$A$2:$A$8</xm:f>
          </x14:formula1>
          <xm:sqref>G6:G22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70" zoomScaleNormal="70" workbookViewId="0">
      <selection activeCell="V10" sqref="V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'16'!B1+1</f>
        <v>45429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250</v>
      </c>
      <c r="D6" s="2"/>
      <c r="E6" s="94"/>
      <c r="F6" s="94"/>
      <c r="G6" s="104"/>
      <c r="H6" s="103"/>
      <c r="I6" s="103"/>
      <c r="J6" s="2"/>
      <c r="K6" s="105" t="s">
        <v>179</v>
      </c>
      <c r="L6" s="95" t="s">
        <v>9</v>
      </c>
      <c r="M6" s="96">
        <v>75</v>
      </c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165</v>
      </c>
      <c r="D7" s="2"/>
      <c r="E7" s="94"/>
      <c r="F7" s="94"/>
      <c r="G7" s="104"/>
      <c r="H7" s="103"/>
      <c r="I7" s="103"/>
      <c r="J7" s="2"/>
      <c r="K7" s="105" t="s">
        <v>180</v>
      </c>
      <c r="L7" s="95" t="s">
        <v>6</v>
      </c>
      <c r="M7" s="96">
        <v>90</v>
      </c>
      <c r="R7" s="1">
        <f>IF(vend17[[#This Row],[Nº Venda]]&gt;1,1,0)</f>
        <v>0</v>
      </c>
    </row>
    <row r="8" spans="2:18" ht="15.75" x14ac:dyDescent="0.25">
      <c r="B8" s="28" t="s">
        <v>20</v>
      </c>
      <c r="C8" s="29">
        <f>SUM(C6:C7)</f>
        <v>415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IF(vend17[[#This Row],[Nº Venda]]&gt;1,1,0)</f>
        <v>0</v>
      </c>
    </row>
    <row r="10" spans="2:18" ht="15.75" x14ac:dyDescent="0.25">
      <c r="B10" s="121" t="s">
        <v>5</v>
      </c>
      <c r="C10" s="121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250</v>
      </c>
      <c r="D12" s="2"/>
      <c r="E12" s="94"/>
      <c r="F12" s="94"/>
      <c r="G12" s="104"/>
      <c r="H12" s="103"/>
      <c r="I12" s="103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3" t="s">
        <v>21</v>
      </c>
      <c r="L13" s="124"/>
      <c r="M13" s="125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IF(vend17[[#This Row],[Nº Venda]]&gt;1,1,0)</f>
        <v>0</v>
      </c>
    </row>
    <row r="15" spans="2:18" ht="15.75" x14ac:dyDescent="0.25">
      <c r="B15" s="28" t="s">
        <v>10</v>
      </c>
      <c r="C15" s="32">
        <f>SUM(C11:C14)</f>
        <v>250</v>
      </c>
      <c r="D15" s="2"/>
      <c r="E15" s="94"/>
      <c r="F15" s="94"/>
      <c r="G15" s="104"/>
      <c r="H15" s="103"/>
      <c r="I15" s="103"/>
      <c r="J15" s="2"/>
      <c r="K15" s="105">
        <v>680</v>
      </c>
      <c r="L15" s="95" t="s">
        <v>133</v>
      </c>
      <c r="M15" s="96" t="s">
        <v>178</v>
      </c>
      <c r="R15" s="1">
        <f>IF(vend17[[#This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672</v>
      </c>
      <c r="L16" s="95" t="s">
        <v>133</v>
      </c>
      <c r="M16" s="96" t="s">
        <v>178</v>
      </c>
      <c r="R16" s="1">
        <f>IF(vend17[[#This Row],[Nº Venda]]&gt;1,1,0)</f>
        <v>0</v>
      </c>
    </row>
    <row r="17" spans="2:18" ht="15.75" x14ac:dyDescent="0.25">
      <c r="B17" s="121" t="s">
        <v>11</v>
      </c>
      <c r="C17" s="121"/>
      <c r="D17" s="2"/>
      <c r="E17" s="94"/>
      <c r="F17" s="94"/>
      <c r="G17" s="104"/>
      <c r="H17" s="103"/>
      <c r="I17" s="103"/>
      <c r="J17" s="2"/>
      <c r="K17" s="105">
        <v>682</v>
      </c>
      <c r="L17" s="95" t="s">
        <v>133</v>
      </c>
      <c r="M17" s="96" t="s">
        <v>134</v>
      </c>
      <c r="R17" s="1">
        <f>IF(vend17[[#This Row],[Nº Venda]]&gt;1,1,0)</f>
        <v>0</v>
      </c>
    </row>
    <row r="18" spans="2:18" ht="15.75" x14ac:dyDescent="0.25">
      <c r="B18" s="30">
        <f>COUNT(entr_carn17[OS])</f>
        <v>2</v>
      </c>
      <c r="C18" s="31">
        <f>SUM(entr_carn17[Valor Total])</f>
        <v>1500</v>
      </c>
      <c r="D18" s="2"/>
      <c r="E18" s="94"/>
      <c r="F18" s="94"/>
      <c r="G18" s="104"/>
      <c r="H18" s="103"/>
      <c r="I18" s="103"/>
      <c r="J18" s="2"/>
      <c r="K18" s="105">
        <v>671</v>
      </c>
      <c r="L18" s="95" t="s">
        <v>133</v>
      </c>
      <c r="M18" s="96" t="s">
        <v>134</v>
      </c>
      <c r="R18" s="1">
        <f>IF(vend17[[#This Row],[Nº Venda]]&gt;1,1,0)</f>
        <v>0</v>
      </c>
    </row>
    <row r="19" spans="2:18" ht="15.75" x14ac:dyDescent="0.25">
      <c r="B19" s="28" t="s">
        <v>10</v>
      </c>
      <c r="C19" s="32">
        <f>SUM(C18:C18)</f>
        <v>1500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IF(vend17[[#This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IF(vend17[[#This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680</v>
      </c>
      <c r="F26" s="94" t="s">
        <v>176</v>
      </c>
      <c r="G26" s="104" t="s">
        <v>7</v>
      </c>
      <c r="H26" s="103">
        <v>0</v>
      </c>
      <c r="I26" s="103">
        <v>150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119">
        <v>672</v>
      </c>
      <c r="F27" s="94" t="s">
        <v>177</v>
      </c>
      <c r="G27" s="104" t="s">
        <v>7</v>
      </c>
      <c r="H27" s="103">
        <v>0</v>
      </c>
      <c r="I27" s="103">
        <v>100</v>
      </c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>
        <v>680</v>
      </c>
      <c r="L35" s="108">
        <v>5</v>
      </c>
      <c r="M35" s="96">
        <v>500</v>
      </c>
    </row>
    <row r="36" spans="5:18" ht="15.75" x14ac:dyDescent="0.25">
      <c r="E36" s="94"/>
      <c r="F36" s="94"/>
      <c r="G36" s="104"/>
      <c r="H36" s="103"/>
      <c r="I36" s="103"/>
      <c r="K36" s="105">
        <v>672</v>
      </c>
      <c r="L36" s="108">
        <v>5</v>
      </c>
      <c r="M36" s="96">
        <v>1000</v>
      </c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51FDB922-3E57-4990-B691-641DA5F97512}">
          <x14:formula1>
            <xm:f>base!$A$2:$A$8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base!$A$2:$A$5</xm:f>
          </x14:formula1>
          <xm:sqref>G26:G31 G35:G41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70" zoomScaleNormal="7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'17'!B1+1</f>
        <v>45430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10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10</v>
      </c>
      <c r="D6" s="2"/>
      <c r="E6" s="112">
        <v>697</v>
      </c>
      <c r="F6" s="112" t="s">
        <v>181</v>
      </c>
      <c r="G6" s="113" t="s">
        <v>6</v>
      </c>
      <c r="H6" s="114">
        <v>10</v>
      </c>
      <c r="I6" s="114">
        <v>10</v>
      </c>
      <c r="J6" s="2"/>
      <c r="K6" s="105"/>
      <c r="L6" s="107"/>
      <c r="M6" s="9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IF(vend18[[#This Row],[Nº Venda]]&gt;1,1,0)</f>
        <v>0</v>
      </c>
    </row>
    <row r="8" spans="2:18" ht="15.75" x14ac:dyDescent="0.25">
      <c r="B8" s="28" t="s">
        <v>20</v>
      </c>
      <c r="C8" s="29">
        <f>SUM(C6:C7)</f>
        <v>10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IF(vend18[[#This Row],[Nº Venda]]&gt;1,1,0)</f>
        <v>0</v>
      </c>
    </row>
    <row r="10" spans="2:18" ht="15.75" x14ac:dyDescent="0.25">
      <c r="B10" s="121" t="s">
        <v>5</v>
      </c>
      <c r="C10" s="121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3" t="s">
        <v>21</v>
      </c>
      <c r="L13" s="124"/>
      <c r="M13" s="125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79.900000000000006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IF(vend18[[#This Row],[Nº Venda]]&gt;1,1,0)</f>
        <v>0</v>
      </c>
    </row>
    <row r="15" spans="2:18" ht="15.75" x14ac:dyDescent="0.25">
      <c r="B15" s="28" t="s">
        <v>10</v>
      </c>
      <c r="C15" s="32">
        <f>SUM(C11:C14)</f>
        <v>89.9</v>
      </c>
      <c r="D15" s="2"/>
      <c r="E15" s="94"/>
      <c r="F15" s="94"/>
      <c r="G15" s="104"/>
      <c r="H15" s="103"/>
      <c r="I15" s="103"/>
      <c r="J15" s="2"/>
      <c r="K15" s="105">
        <v>683</v>
      </c>
      <c r="L15" s="95" t="s">
        <v>133</v>
      </c>
      <c r="M15" s="96" t="s">
        <v>134</v>
      </c>
      <c r="R15" s="1">
        <f>IF(vend18[[#This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665</v>
      </c>
      <c r="L16" s="95" t="s">
        <v>133</v>
      </c>
      <c r="M16" s="96" t="s">
        <v>134</v>
      </c>
      <c r="R16" s="1">
        <f>IF(vend18[[#This Row],[Nº Venda]]&gt;1,1,0)</f>
        <v>0</v>
      </c>
    </row>
    <row r="17" spans="2:18" ht="15.75" x14ac:dyDescent="0.25">
      <c r="B17" s="121" t="s">
        <v>11</v>
      </c>
      <c r="C17" s="121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IF(vend18[[#This Row],[Nº Venda]]&gt;1,1,0)</f>
        <v>0</v>
      </c>
    </row>
    <row r="18" spans="2:18" ht="15.75" x14ac:dyDescent="0.25">
      <c r="B18" s="30">
        <f>COUNT(entr_carn18[OS])</f>
        <v>0</v>
      </c>
      <c r="C18" s="31">
        <f>SUM(entr_carn18[Valor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IF(vend18[[#This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IF(vend18[[#This Row],[Nº Venda]]&gt;1,1,0)</f>
        <v>0</v>
      </c>
    </row>
    <row r="21" spans="2:18" ht="15.75" x14ac:dyDescent="0.25">
      <c r="B21" s="28" t="s">
        <v>25</v>
      </c>
      <c r="C21" s="32">
        <f>C5</f>
        <v>10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67"/>
      <c r="F23" s="67"/>
      <c r="G23" s="67"/>
      <c r="H23" s="68"/>
      <c r="I23" s="68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608</v>
      </c>
      <c r="F35" s="94" t="s">
        <v>182</v>
      </c>
      <c r="G35" s="104" t="s">
        <v>9</v>
      </c>
      <c r="H35" s="103">
        <v>79.900000000000006</v>
      </c>
      <c r="I35" s="103" t="s">
        <v>52</v>
      </c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1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785A6D07-781D-4F76-AFED-B220484140B1}">
          <x14:formula1>
            <xm:f>base!$A$2:$A$5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base!$A$2:$A$8</xm:f>
          </x14:formula1>
          <xm:sqref>G6:G23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70" zoomScaleNormal="70" zoomScaleSheetLayoutView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'18'!B1+1</f>
        <v>45431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IF(vend19[[#This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12"/>
      <c r="F9" s="112"/>
      <c r="G9" s="113"/>
      <c r="H9" s="114"/>
      <c r="I9" s="114"/>
      <c r="J9" s="2"/>
      <c r="K9" s="105"/>
      <c r="L9" s="95"/>
      <c r="M9" s="96"/>
      <c r="R9" s="1">
        <f>IF(vend19[[#This Row],[Nº Venda]]&gt;1,1,0)</f>
        <v>0</v>
      </c>
    </row>
    <row r="10" spans="2:18" ht="15.75" x14ac:dyDescent="0.25">
      <c r="B10" s="121" t="s">
        <v>5</v>
      </c>
      <c r="C10" s="121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3" t="s">
        <v>21</v>
      </c>
      <c r="L13" s="124"/>
      <c r="M13" s="125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IF(vend19[[#This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IF(vend19[[#This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IF(vend19[[#This Row],[Nº Venda]]&gt;1,1,0)</f>
        <v>0</v>
      </c>
    </row>
    <row r="17" spans="2:22" ht="15.75" x14ac:dyDescent="0.25">
      <c r="B17" s="121" t="s">
        <v>11</v>
      </c>
      <c r="C17" s="121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IF(vend19[[#This Row],[Nº Venda]]&gt;1,1,0)</f>
        <v>0</v>
      </c>
    </row>
    <row r="18" spans="2:22" ht="15.75" x14ac:dyDescent="0.25">
      <c r="B18" s="30">
        <f>COUNT(entr_carn19[OS])</f>
        <v>0</v>
      </c>
      <c r="C18" s="31">
        <f>SUM(entr_carn19[Valor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IF(vend19[[#This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IF(vend19[[#This Row],[Nº Venda]]&gt;1,1,0)</f>
        <v>0</v>
      </c>
    </row>
    <row r="20" spans="2:22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IF(vend19[[#This Row],[Nº Venda]]&gt;1,1,0)</f>
        <v>0</v>
      </c>
      <c r="V20" s="1" t="s">
        <v>56</v>
      </c>
    </row>
    <row r="21" spans="2:22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22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22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22" ht="15.7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105"/>
      <c r="L24" s="95"/>
      <c r="M24" s="96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22" ht="15.75" x14ac:dyDescent="0.25">
      <c r="B26" s="2"/>
      <c r="C26" s="2"/>
      <c r="D26" s="2"/>
      <c r="E26" s="94"/>
      <c r="F26" s="104"/>
      <c r="G26" s="104"/>
      <c r="H26" s="103"/>
      <c r="I26" s="103"/>
      <c r="J26" s="2"/>
      <c r="K26" s="105"/>
      <c r="L26" s="95"/>
      <c r="M26" s="96"/>
    </row>
    <row r="27" spans="2:22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22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22" ht="15.75" x14ac:dyDescent="0.25">
      <c r="B29" s="2"/>
      <c r="C29" s="2"/>
      <c r="D29" s="2"/>
      <c r="E29" s="94"/>
      <c r="F29" s="94"/>
      <c r="G29" s="104"/>
      <c r="H29" s="104"/>
      <c r="I29" s="103"/>
      <c r="J29" s="2"/>
      <c r="K29" s="105"/>
      <c r="L29" s="95"/>
      <c r="M29" s="96"/>
    </row>
    <row r="30" spans="2:22" ht="15.75" x14ac:dyDescent="0.25">
      <c r="B30" s="2"/>
      <c r="C30" s="2"/>
      <c r="D30" s="2"/>
      <c r="E30" s="94"/>
      <c r="F30" s="94"/>
      <c r="G30" s="104"/>
      <c r="H30" s="103"/>
      <c r="I30" s="103"/>
      <c r="J30" s="2"/>
      <c r="K30" s="105"/>
      <c r="L30" s="95"/>
      <c r="M30" s="96"/>
    </row>
    <row r="31" spans="2:22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22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E55B2DC7-1842-4C90-945B-7820B2C63E70}">
          <x14:formula1>
            <xm:f>base!$A$2:$A$5</xm:f>
          </x14:formula1>
          <xm:sqref>G35:G41 G30:G31 G26:G28 H29</xm:sqref>
        </x14:dataValidation>
        <x14:dataValidation type="list" allowBlank="1" showInputMessage="1" showErrorMessage="1" xr:uid="{E8E38C9D-005E-41B9-810F-BB230AC9AE3C}">
          <x14:formula1>
            <xm:f>base!$A$2:$A$8</xm:f>
          </x14:formula1>
          <xm:sqref>G6:G22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V41"/>
  <sheetViews>
    <sheetView showGridLines="0" topLeftCell="A2" zoomScale="70" zoomScaleNormal="70" workbookViewId="0">
      <selection activeCell="V8" sqref="V8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8">
        <f>'19'!B1+1</f>
        <v>45432</v>
      </c>
    </row>
    <row r="2" spans="2:22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22" ht="15" x14ac:dyDescent="0.25">
      <c r="B5" s="23" t="s">
        <v>1</v>
      </c>
      <c r="C5" s="24">
        <f>SUMIF(I6:I31,"&gt;0",H6:H31)</f>
        <v>550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2" ht="15.75" x14ac:dyDescent="0.25">
      <c r="B6" s="23" t="s">
        <v>2</v>
      </c>
      <c r="C6" s="24">
        <f>SUM(I6:I41)</f>
        <v>10</v>
      </c>
      <c r="D6" s="2"/>
      <c r="E6" s="94">
        <v>698</v>
      </c>
      <c r="F6" s="94" t="s">
        <v>146</v>
      </c>
      <c r="G6" s="104" t="s">
        <v>38</v>
      </c>
      <c r="H6" s="103">
        <v>0</v>
      </c>
      <c r="I6" s="103">
        <v>0</v>
      </c>
      <c r="J6" s="2"/>
      <c r="K6" s="105"/>
      <c r="L6" s="95"/>
      <c r="M6" s="96"/>
      <c r="R6" s="1">
        <f>IF(vend20[[#This Row],[Nº Venda]]&gt;1,1,0)</f>
        <v>1</v>
      </c>
    </row>
    <row r="7" spans="2:22" ht="15.75" x14ac:dyDescent="0.25">
      <c r="B7" s="23" t="s">
        <v>3</v>
      </c>
      <c r="C7" s="24">
        <f>SUM(M6:M11)</f>
        <v>0</v>
      </c>
      <c r="D7" s="2"/>
      <c r="E7" s="94">
        <v>699</v>
      </c>
      <c r="F7" s="94" t="s">
        <v>183</v>
      </c>
      <c r="G7" s="104" t="s">
        <v>8</v>
      </c>
      <c r="H7" s="103">
        <v>550</v>
      </c>
      <c r="I7" s="103">
        <v>10</v>
      </c>
      <c r="J7" s="2"/>
      <c r="K7" s="105"/>
      <c r="L7" s="95"/>
      <c r="M7" s="96"/>
      <c r="R7" s="1">
        <f>IF(vend20[[#This Row],[Nº Venda]]&gt;1,1,0)</f>
        <v>1</v>
      </c>
    </row>
    <row r="8" spans="2:22" ht="15.75" x14ac:dyDescent="0.25">
      <c r="B8" s="28" t="s">
        <v>20</v>
      </c>
      <c r="C8" s="29">
        <f>SUM(C6:C7)</f>
        <v>10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IF(vend20[[#This Row],[Nº Venda]]&gt;1,1,0)</f>
        <v>0</v>
      </c>
      <c r="V8" s="1">
        <v>0</v>
      </c>
    </row>
    <row r="9" spans="2:22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IF(vend20[[#This Row],[Nº Venda]]&gt;1,1,0)</f>
        <v>0</v>
      </c>
    </row>
    <row r="10" spans="2:22" ht="15.75" x14ac:dyDescent="0.25">
      <c r="B10" s="121" t="s">
        <v>5</v>
      </c>
      <c r="C10" s="121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IF(vend20[[#This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IF(vend20[[#This Row],[Nº Venda]]&gt;1,1,0)</f>
        <v>0</v>
      </c>
    </row>
    <row r="12" spans="2:22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IF(vend20[[#This Row],[Nº Venda]]&gt;1,1,0)</f>
        <v>0</v>
      </c>
    </row>
    <row r="13" spans="2:22" ht="15.75" x14ac:dyDescent="0.25">
      <c r="B13" s="30" t="s">
        <v>8</v>
      </c>
      <c r="C13" s="31">
        <f t="shared" si="0"/>
        <v>10</v>
      </c>
      <c r="D13" s="2"/>
      <c r="E13" s="94"/>
      <c r="F13" s="94"/>
      <c r="G13" s="104"/>
      <c r="H13" s="103"/>
      <c r="I13" s="103"/>
      <c r="J13" s="2"/>
      <c r="K13" s="123" t="s">
        <v>21</v>
      </c>
      <c r="L13" s="124"/>
      <c r="M13" s="125"/>
      <c r="R13" s="1">
        <f>IF(vend20[[#This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IF(vend20[[#This Row],[Nº Venda]]&gt;1,1,0)</f>
        <v>0</v>
      </c>
    </row>
    <row r="15" spans="2:22" ht="15.75" x14ac:dyDescent="0.25">
      <c r="B15" s="28" t="s">
        <v>10</v>
      </c>
      <c r="C15" s="32">
        <f>SUM(C11:C14)</f>
        <v>10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IF(vend20[[#This Row],[Nº Venda]]&gt;1,1,0)</f>
        <v>0</v>
      </c>
    </row>
    <row r="16" spans="2:22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IF(vend20[[#This Row],[Nº Venda]]&gt;1,1,0)</f>
        <v>0</v>
      </c>
    </row>
    <row r="17" spans="2:18" ht="15.75" x14ac:dyDescent="0.25">
      <c r="B17" s="121" t="s">
        <v>11</v>
      </c>
      <c r="C17" s="121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IF(vend20[[#This Row],[Nº Venda]]&gt;1,1,0)</f>
        <v>0</v>
      </c>
    </row>
    <row r="18" spans="2:18" ht="15.75" x14ac:dyDescent="0.25">
      <c r="B18" s="30">
        <f>COUNT(entr_carn20[OS])</f>
        <v>0</v>
      </c>
      <c r="C18" s="31">
        <f>SUM(entr_carn20[Valor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IF(vend20[[#This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IF(vend20[[#This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IF(vend20[[#This Row],[Nº Venda]]&gt;1,1,0)</f>
        <v>0</v>
      </c>
    </row>
    <row r="21" spans="2:18" ht="15.75" x14ac:dyDescent="0.25">
      <c r="B21" s="28" t="s">
        <v>25</v>
      </c>
      <c r="C21" s="32">
        <f>C5</f>
        <v>550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2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2C4842A4-1C90-4E23-9C1F-C83AC9F81898}">
          <x14:formula1>
            <xm:f>base!$A$2:$A$5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base!$A$2:$A$8</xm:f>
          </x14:formula1>
          <xm:sqref>G6:G22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70" zoomScaleNormal="70" workbookViewId="0">
      <selection activeCell="W15" sqref="W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'20'!B1+1</f>
        <v>45433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1440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IF(vend21[[#This Row],[Nº Venda]]&gt;1,1,0)</f>
        <v>0</v>
      </c>
    </row>
    <row r="8" spans="2:18" ht="15.75" x14ac:dyDescent="0.25">
      <c r="B8" s="28" t="s">
        <v>20</v>
      </c>
      <c r="C8" s="29">
        <f>SUM(C6:C7)</f>
        <v>1440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IF(vend21[[#This Row],[Nº Venda]]&gt;1,1,0)</f>
        <v>0</v>
      </c>
    </row>
    <row r="10" spans="2:18" ht="15.75" x14ac:dyDescent="0.25">
      <c r="B10" s="121" t="s">
        <v>5</v>
      </c>
      <c r="C10" s="121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1440</v>
      </c>
      <c r="D13" s="2"/>
      <c r="E13" s="94"/>
      <c r="F13" s="94"/>
      <c r="G13" s="104"/>
      <c r="H13" s="103"/>
      <c r="I13" s="103"/>
      <c r="J13" s="2"/>
      <c r="K13" s="123" t="s">
        <v>21</v>
      </c>
      <c r="L13" s="124"/>
      <c r="M13" s="125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IF(vend21[[#This Row],[Nº Venda]]&gt;1,1,0)</f>
        <v>0</v>
      </c>
    </row>
    <row r="15" spans="2:18" ht="15.75" x14ac:dyDescent="0.25">
      <c r="B15" s="28" t="s">
        <v>10</v>
      </c>
      <c r="C15" s="32">
        <f>SUM(C11:C14)</f>
        <v>1440</v>
      </c>
      <c r="D15" s="2"/>
      <c r="E15" s="94"/>
      <c r="F15" s="94"/>
      <c r="G15" s="104"/>
      <c r="H15" s="103"/>
      <c r="I15" s="103"/>
      <c r="J15" s="2"/>
      <c r="K15" s="105">
        <v>679</v>
      </c>
      <c r="L15" s="95" t="s">
        <v>186</v>
      </c>
      <c r="M15" s="96" t="s">
        <v>134</v>
      </c>
      <c r="R15" s="1">
        <f>IF(vend21[[#This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674</v>
      </c>
      <c r="L16" s="95" t="s">
        <v>186</v>
      </c>
      <c r="M16" s="96" t="s">
        <v>134</v>
      </c>
      <c r="R16" s="1">
        <f>IF(vend21[[#This Row],[Nº Venda]]&gt;1,1,0)</f>
        <v>0</v>
      </c>
    </row>
    <row r="17" spans="2:18" ht="15.75" x14ac:dyDescent="0.25">
      <c r="B17" s="121" t="s">
        <v>11</v>
      </c>
      <c r="C17" s="121"/>
      <c r="D17" s="2"/>
      <c r="E17" s="94"/>
      <c r="F17" s="94"/>
      <c r="G17" s="104"/>
      <c r="H17" s="103"/>
      <c r="I17" s="103"/>
      <c r="J17" s="2"/>
      <c r="K17" s="105">
        <v>675</v>
      </c>
      <c r="L17" s="95" t="s">
        <v>186</v>
      </c>
      <c r="M17" s="96" t="s">
        <v>134</v>
      </c>
      <c r="R17" s="1">
        <f>IF(vend21[[#This Row],[Nº Venda]]&gt;1,1,0)</f>
        <v>0</v>
      </c>
    </row>
    <row r="18" spans="2:18" ht="15.75" x14ac:dyDescent="0.25">
      <c r="B18" s="30">
        <f>COUNT(entr_carn21[OS])</f>
        <v>0</v>
      </c>
      <c r="C18" s="31">
        <f>SUM(entr_carn21[Valor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IF(vend21[[#This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IF(vend21[[#This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674</v>
      </c>
      <c r="F26" s="94" t="s">
        <v>184</v>
      </c>
      <c r="G26" s="104" t="s">
        <v>8</v>
      </c>
      <c r="H26" s="103">
        <v>0</v>
      </c>
      <c r="I26" s="103">
        <v>450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>
        <v>675</v>
      </c>
      <c r="F27" s="94" t="s">
        <v>185</v>
      </c>
      <c r="G27" s="104" t="s">
        <v>8</v>
      </c>
      <c r="H27" s="103">
        <v>0</v>
      </c>
      <c r="I27" s="103">
        <v>450</v>
      </c>
      <c r="J27" s="2"/>
      <c r="K27" s="105"/>
      <c r="L27" s="95"/>
      <c r="M27" s="96"/>
    </row>
    <row r="28" spans="2:18" ht="15.75" x14ac:dyDescent="0.25">
      <c r="B28" s="2"/>
      <c r="C28" s="2"/>
      <c r="D28" s="2"/>
      <c r="E28" s="94">
        <v>699</v>
      </c>
      <c r="F28" s="94" t="s">
        <v>183</v>
      </c>
      <c r="G28" s="104" t="s">
        <v>8</v>
      </c>
      <c r="H28" s="103">
        <v>0</v>
      </c>
      <c r="I28" s="103">
        <v>540</v>
      </c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112AC7CD-ADD6-4750-8A3B-76F63CB62447}">
          <x14:formula1>
            <xm:f>base!$A$2:$A$8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base!$A$2:$A$5</xm:f>
          </x14:formula1>
          <xm:sqref>G26:G31 G35:G41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2" zoomScale="70" zoomScaleNormal="70" workbookViewId="0">
      <selection activeCell="F10" sqref="F10:F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'21'!B1+1</f>
        <v>45434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699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699</v>
      </c>
      <c r="D6" s="2"/>
      <c r="E6" s="94">
        <v>700</v>
      </c>
      <c r="F6" s="94" t="s">
        <v>188</v>
      </c>
      <c r="G6" s="104" t="s">
        <v>8</v>
      </c>
      <c r="H6" s="103">
        <v>699</v>
      </c>
      <c r="I6" s="103">
        <v>699</v>
      </c>
      <c r="J6" s="2"/>
      <c r="K6" s="105"/>
      <c r="L6" s="95"/>
      <c r="M6" s="9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IF(vend22[[#This Row],[Nº Venda]]&gt;1,1,0)</f>
        <v>0</v>
      </c>
    </row>
    <row r="8" spans="2:18" ht="15.75" x14ac:dyDescent="0.25">
      <c r="B8" s="28" t="s">
        <v>20</v>
      </c>
      <c r="C8" s="29">
        <f>SUM(C6:C7)</f>
        <v>699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IF(vend22[[#This Row],[Nº Venda]]&gt;1,1,0)</f>
        <v>0</v>
      </c>
    </row>
    <row r="10" spans="2:18" ht="15.75" x14ac:dyDescent="0.25">
      <c r="B10" s="121" t="s">
        <v>5</v>
      </c>
      <c r="C10" s="121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699</v>
      </c>
      <c r="D13" s="2"/>
      <c r="E13" s="94"/>
      <c r="F13" s="94"/>
      <c r="G13" s="104"/>
      <c r="H13" s="103"/>
      <c r="I13" s="103"/>
      <c r="J13" s="2"/>
      <c r="K13" s="123" t="s">
        <v>21</v>
      </c>
      <c r="L13" s="124"/>
      <c r="M13" s="125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64.900000000000006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IF(vend22[[#This Row],[Nº Venda]]&gt;1,1,0)</f>
        <v>0</v>
      </c>
    </row>
    <row r="15" spans="2:18" ht="15.75" x14ac:dyDescent="0.25">
      <c r="B15" s="28" t="s">
        <v>10</v>
      </c>
      <c r="C15" s="32">
        <f>SUM(C11:C14)</f>
        <v>763.9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IF(vend22[[#This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IF(vend22[[#This Row],[Nº Venda]]&gt;1,1,0)</f>
        <v>0</v>
      </c>
    </row>
    <row r="17" spans="2:18" ht="15.75" x14ac:dyDescent="0.25">
      <c r="B17" s="121" t="s">
        <v>11</v>
      </c>
      <c r="C17" s="121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IF(vend22[[#This Row],[Nº Venda]]&gt;1,1,0)</f>
        <v>0</v>
      </c>
    </row>
    <row r="18" spans="2:18" ht="15.75" x14ac:dyDescent="0.25">
      <c r="B18" s="30">
        <f>COUNT(entr_carn22[OS])</f>
        <v>0</v>
      </c>
      <c r="C18" s="31">
        <f>SUM(entr_carn22[Valor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IF(vend22[[#This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IF(vend22[[#This Row],[Nº Venda]]&gt;1,1,0)</f>
        <v>0</v>
      </c>
    </row>
    <row r="21" spans="2:18" ht="15.75" x14ac:dyDescent="0.25">
      <c r="B21" s="28" t="s">
        <v>25</v>
      </c>
      <c r="C21" s="32">
        <f>C5</f>
        <v>699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473</v>
      </c>
      <c r="F35" s="94" t="s">
        <v>187</v>
      </c>
      <c r="G35" s="104" t="s">
        <v>9</v>
      </c>
      <c r="H35" s="103">
        <v>64.900000000000006</v>
      </c>
      <c r="I35" s="103" t="s">
        <v>96</v>
      </c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1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8A269FE1-C817-46B6-91D2-B2E7EC645BEF}">
          <x14:formula1>
            <xm:f>base!$A$2:$A$5</xm:f>
          </x14:formula1>
          <xm:sqref>G35:G41 G26:G31</xm:sqref>
        </x14:dataValidation>
        <x14:dataValidation type="list" allowBlank="1" showInputMessage="1" showErrorMessage="1" xr:uid="{AB5F3EF7-D944-42D1-9B92-44255DDC8ACC}">
          <x14:formula1>
            <xm:f>base!$A$2:$A$8</xm:f>
          </x14:formula1>
          <xm:sqref>G6:G22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70" zoomScaleNormal="70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'23'!B1+1</f>
        <v>45436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IF(vend24[[#This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IF(vend24[[#This Row],[Nº Venda]]&gt;1,1,0)</f>
        <v>0</v>
      </c>
    </row>
    <row r="10" spans="2:18" ht="15.75" x14ac:dyDescent="0.25">
      <c r="B10" s="121" t="s">
        <v>5</v>
      </c>
      <c r="C10" s="121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95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3" t="s">
        <v>21</v>
      </c>
      <c r="L13" s="124"/>
      <c r="M13" s="125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IF(vend24[[#This Row],[Nº Venda]]&gt;1,1,0)</f>
        <v>0</v>
      </c>
    </row>
    <row r="15" spans="2:18" ht="15.75" x14ac:dyDescent="0.25">
      <c r="B15" s="28" t="s">
        <v>10</v>
      </c>
      <c r="C15" s="32">
        <f>SUM(C11:C14)</f>
        <v>95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IF(vend24[[#This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IF(vend24[[#This Row],[Nº Venda]]&gt;1,1,0)</f>
        <v>0</v>
      </c>
    </row>
    <row r="17" spans="2:18" ht="15.75" x14ac:dyDescent="0.25">
      <c r="B17" s="121" t="s">
        <v>11</v>
      </c>
      <c r="C17" s="121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IF(vend24[[#This Row],[Nº Venda]]&gt;1,1,0)</f>
        <v>0</v>
      </c>
    </row>
    <row r="18" spans="2:18" ht="15.75" x14ac:dyDescent="0.25">
      <c r="B18" s="30">
        <f>COUNT(entr_carn24[OS])</f>
        <v>0</v>
      </c>
      <c r="C18" s="31">
        <f>SUM(entr_carn24[Valor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IF(vend24[[#This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IF(vend24[[#This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316</v>
      </c>
      <c r="F35" s="94" t="s">
        <v>190</v>
      </c>
      <c r="G35" s="104" t="s">
        <v>6</v>
      </c>
      <c r="H35" s="103">
        <v>95</v>
      </c>
      <c r="I35" s="103" t="s">
        <v>42</v>
      </c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18A6F7EE-195C-4324-9E05-F5B94E183D0C}">
          <x14:formula1>
            <xm:f>base!$A$2:$A$8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base!$A$2:$A$5</xm:f>
          </x14:formula1>
          <xm:sqref>G26:G31 G35:G41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70" zoomScaleNormal="7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'22'!B1+1</f>
        <v>45435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500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IF(vend23[[#This Row],[Nº Venda]]&gt;1,1,0)</f>
        <v>0</v>
      </c>
    </row>
    <row r="8" spans="2:18" ht="15.75" x14ac:dyDescent="0.25">
      <c r="B8" s="28" t="s">
        <v>20</v>
      </c>
      <c r="C8" s="29">
        <f>SUM(C6:C7)</f>
        <v>500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IF(vend23[[#This Row],[Nº Venda]]&gt;1,1,0)</f>
        <v>0</v>
      </c>
    </row>
    <row r="10" spans="2:18" ht="15.75" x14ac:dyDescent="0.25">
      <c r="B10" s="121" t="s">
        <v>5</v>
      </c>
      <c r="C10" s="121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IF(vend23[[#This Row],[Nº Venda]]&gt;1,1,0)</f>
        <v>0</v>
      </c>
    </row>
    <row r="11" spans="2:18" ht="15.75" x14ac:dyDescent="0.25">
      <c r="B11" s="30" t="s">
        <v>6</v>
      </c>
      <c r="C11" s="80">
        <f>(SUMIF($G$2:$G$31,B11,$I$2:$I$31))+(SUMIF($G$35:$G$44,B11,$H$35:$H$44))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80">
        <f>(SUMIF($G$2:$G$31,B12,$I$2:$I$31))+(SUMIF($G$35:$G$44,B12,$H$35:$H$44))</f>
        <v>0</v>
      </c>
      <c r="D12" s="2"/>
      <c r="E12" s="94"/>
      <c r="F12" s="94"/>
      <c r="G12" s="104"/>
      <c r="H12" s="103"/>
      <c r="I12" s="103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80">
        <f>(SUMIF($G$2:$G$31,B13,$I$2:$I$31))+(SUMIF($G$35:$G$44,B13,$H$35:$H$44))</f>
        <v>0</v>
      </c>
      <c r="D13" s="2"/>
      <c r="E13" s="94"/>
      <c r="F13" s="94"/>
      <c r="G13" s="104"/>
      <c r="H13" s="103"/>
      <c r="I13" s="103"/>
      <c r="J13" s="2"/>
      <c r="K13" s="123" t="s">
        <v>21</v>
      </c>
      <c r="L13" s="124"/>
      <c r="M13" s="125"/>
      <c r="R13" s="1">
        <f>IF(vend23[[#This Row],[Nº Venda]]&gt;1,1,0)</f>
        <v>0</v>
      </c>
    </row>
    <row r="14" spans="2:18" ht="15.75" x14ac:dyDescent="0.25">
      <c r="B14" s="30" t="s">
        <v>9</v>
      </c>
      <c r="C14" s="80">
        <f>(SUMIF($G$2:$G$31,B14,$I$2:$I$31))+(SUMIF($G$35:$G$44,B14,$H$35:$H$44))</f>
        <v>500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IF(vend23[[#This Row],[Nº Venda]]&gt;1,1,0)</f>
        <v>0</v>
      </c>
    </row>
    <row r="15" spans="2:18" ht="15.75" x14ac:dyDescent="0.25">
      <c r="B15" s="28" t="s">
        <v>10</v>
      </c>
      <c r="C15" s="32">
        <f>SUM(C11:C14)</f>
        <v>500</v>
      </c>
      <c r="D15" s="2"/>
      <c r="E15" s="94"/>
      <c r="F15" s="94"/>
      <c r="G15" s="104"/>
      <c r="H15" s="103"/>
      <c r="I15" s="103"/>
      <c r="J15" s="2"/>
      <c r="K15" s="105">
        <v>673</v>
      </c>
      <c r="L15" s="95" t="s">
        <v>133</v>
      </c>
      <c r="M15" s="96" t="s">
        <v>134</v>
      </c>
      <c r="R15" s="1">
        <f>IF(vend23[[#This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IF(vend23[[#This Row],[Nº Venda]]&gt;1,1,0)</f>
        <v>0</v>
      </c>
    </row>
    <row r="17" spans="2:18" ht="15.75" x14ac:dyDescent="0.25">
      <c r="B17" s="121" t="s">
        <v>11</v>
      </c>
      <c r="C17" s="121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IF(vend23[[#This Row],[Nº Venda]]&gt;1,1,0)</f>
        <v>0</v>
      </c>
    </row>
    <row r="18" spans="2:18" ht="15.75" x14ac:dyDescent="0.25">
      <c r="B18" s="30">
        <f>COUNT(entr_carn23[OS])</f>
        <v>0</v>
      </c>
      <c r="C18" s="31">
        <f>SUM(entr_carn23[Valor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IF(vend23[[#This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IF(vend23[[#This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673</v>
      </c>
      <c r="F26" s="94" t="s">
        <v>189</v>
      </c>
      <c r="G26" s="104" t="s">
        <v>9</v>
      </c>
      <c r="H26" s="103">
        <v>0</v>
      </c>
      <c r="I26" s="103">
        <v>500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15"/>
      <c r="F41" s="104"/>
      <c r="G41" s="104"/>
      <c r="H41" s="103"/>
      <c r="I41" s="103"/>
      <c r="K41" s="44"/>
      <c r="L41" s="41"/>
      <c r="M41" s="40"/>
    </row>
    <row r="42" spans="5:18" ht="15.75" x14ac:dyDescent="0.25">
      <c r="E42" s="90"/>
      <c r="F42" s="77"/>
      <c r="G42" s="78"/>
      <c r="H42" s="79"/>
      <c r="I42" s="17"/>
    </row>
    <row r="43" spans="5:18" ht="15.75" x14ac:dyDescent="0.25">
      <c r="E43" s="90"/>
      <c r="F43" s="88"/>
      <c r="G43" s="87"/>
      <c r="H43" s="89"/>
      <c r="I43" s="8"/>
    </row>
    <row r="44" spans="5:18" ht="15.75" x14ac:dyDescent="0.25">
      <c r="E44" s="91"/>
      <c r="F44" s="77"/>
      <c r="G44" s="78"/>
      <c r="H44" s="79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C91A013F-B5AB-4066-9C5C-FC038E017C5E}">
          <x14:formula1>
            <xm:f>base!$A$2:$A$8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base!$A$2:$A$5</xm:f>
          </x14:formula1>
          <xm:sqref>G26:G31 G35:G44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A1:V41"/>
  <sheetViews>
    <sheetView showGridLines="0" topLeftCell="A3" zoomScale="70" zoomScaleNormal="70" workbookViewId="0">
      <selection activeCell="V18" sqref="V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1:18" ht="27" x14ac:dyDescent="0.5">
      <c r="B1" s="58">
        <f>'24'!B1+1</f>
        <v>45437</v>
      </c>
    </row>
    <row r="2" spans="1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1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1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1:18" ht="15.75" x14ac:dyDescent="0.25">
      <c r="A6" s="1">
        <v>67</v>
      </c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IF(vend25[[#This Row],[Nº Venda]]&gt;1,1,0)</f>
        <v>0</v>
      </c>
    </row>
    <row r="7" spans="1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IF(vend25[[#This Row],[Nº Venda]]&gt;1,1,0)</f>
        <v>0</v>
      </c>
    </row>
    <row r="8" spans="1:18" ht="15.75" x14ac:dyDescent="0.25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IF(vend25[[#This Row],[Nº Venda]]&gt;1,1,0)</f>
        <v>0</v>
      </c>
    </row>
    <row r="9" spans="1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IF(vend25[[#This Row],[Nº Venda]]&gt;1,1,0)</f>
        <v>0</v>
      </c>
    </row>
    <row r="10" spans="1:18" ht="15.75" x14ac:dyDescent="0.25">
      <c r="B10" s="121" t="s">
        <v>5</v>
      </c>
      <c r="C10" s="121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IF(vend25[[#This Row],[Nº Venda]]&gt;1,1,0)</f>
        <v>0</v>
      </c>
    </row>
    <row r="11" spans="1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IF(vend25[[#This Row],[Nº Venda]]&gt;1,1,0)</f>
        <v>0</v>
      </c>
    </row>
    <row r="12" spans="1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IF(vend25[[#This Row],[Nº Venda]]&gt;1,1,0)</f>
        <v>0</v>
      </c>
    </row>
    <row r="13" spans="1:18" ht="15.75" x14ac:dyDescent="0.25">
      <c r="B13" s="30" t="s">
        <v>8</v>
      </c>
      <c r="C13" s="31">
        <f>(SUMIF($G$2:$G$31,B13,$I$2:$I$31))+(SUMIF($G$35:$G$41,B13,$H$35:$H$41))</f>
        <v>0</v>
      </c>
      <c r="D13" s="2"/>
      <c r="E13" s="94"/>
      <c r="F13" s="94"/>
      <c r="G13" s="104"/>
      <c r="H13" s="103"/>
      <c r="I13" s="103"/>
      <c r="J13" s="2"/>
      <c r="K13" s="123" t="s">
        <v>21</v>
      </c>
      <c r="L13" s="124"/>
      <c r="M13" s="125"/>
      <c r="R13" s="1">
        <f>IF(vend25[[#This Row],[Nº Venda]]&gt;1,1,0)</f>
        <v>0</v>
      </c>
    </row>
    <row r="14" spans="1:18" ht="15.75" x14ac:dyDescent="0.25">
      <c r="B14" s="30" t="s">
        <v>9</v>
      </c>
      <c r="C14" s="31">
        <f>(SUMIF($G$2:$G$31,B14,$I$2:$I$31))+(SUMIF($G$35:$G$41,B14,$H$35:$H$41))</f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IF(vend25[[#This Row],[Nº Venda]]&gt;1,1,0)</f>
        <v>0</v>
      </c>
    </row>
    <row r="15" spans="1:18" ht="15.75" x14ac:dyDescent="0.25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>
        <v>695</v>
      </c>
      <c r="L15" s="95" t="s">
        <v>133</v>
      </c>
      <c r="M15" s="96" t="s">
        <v>134</v>
      </c>
      <c r="R15" s="1">
        <f>IF(vend25[[#This Row],[Nº Venda]]&gt;1,1,0)</f>
        <v>0</v>
      </c>
    </row>
    <row r="16" spans="1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678</v>
      </c>
      <c r="L16" s="95" t="s">
        <v>133</v>
      </c>
      <c r="M16" s="96" t="s">
        <v>134</v>
      </c>
      <c r="R16" s="1">
        <f>IF(vend25[[#This Row],[Nº Venda]]&gt;1,1,0)</f>
        <v>0</v>
      </c>
    </row>
    <row r="17" spans="2:22" ht="15.75" x14ac:dyDescent="0.25">
      <c r="B17" s="121" t="s">
        <v>11</v>
      </c>
      <c r="C17" s="121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IF(vend25[[#This Row],[Nº Venda]]&gt;1,1,0)</f>
        <v>0</v>
      </c>
    </row>
    <row r="18" spans="2:22" ht="15.75" x14ac:dyDescent="0.25">
      <c r="B18" s="30">
        <f>COUNT(entr_carn25[OS])</f>
        <v>0</v>
      </c>
      <c r="C18" s="31">
        <f>SUM(entr_carn25[Valor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IF(vend25[[#This Row],[Nº Venda]]&gt;1,1,0)</f>
        <v>0</v>
      </c>
      <c r="V18" s="1" t="s">
        <v>56</v>
      </c>
    </row>
    <row r="19" spans="2:22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IF(vend25[[#This Row],[Nº Venda]]&gt;1,1,0)</f>
        <v>0</v>
      </c>
    </row>
    <row r="20" spans="2:22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IF(vend25[[#This Row],[Nº Venda]]&gt;1,1,0)</f>
        <v>0</v>
      </c>
    </row>
    <row r="21" spans="2:22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22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22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22" ht="15.7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105"/>
      <c r="L24" s="95"/>
      <c r="M24" s="96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22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22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22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22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22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22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22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18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53CC645E-DE03-4B8F-AE0F-BD5DB3BEFCE4}">
          <x14:formula1>
            <xm:f>base!$A$2:$A$8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base!$A$2:$A$5</xm:f>
          </x14:formula1>
          <xm:sqref>G26:G31 G35:G41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'25'!B1+1</f>
        <v>45438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IF(vend26[[#This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IF(vend26[[#This Row],[Nº Venda]]&gt;1,1,0)</f>
        <v>0</v>
      </c>
    </row>
    <row r="10" spans="2:18" ht="15.75" x14ac:dyDescent="0.25">
      <c r="B10" s="121" t="s">
        <v>5</v>
      </c>
      <c r="C10" s="121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3" t="s">
        <v>21</v>
      </c>
      <c r="L13" s="124"/>
      <c r="M13" s="125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IF(vend26[[#This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IF(vend26[[#This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IF(vend26[[#This Row],[Nº Venda]]&gt;1,1,0)</f>
        <v>0</v>
      </c>
    </row>
    <row r="17" spans="2:18" ht="15.75" x14ac:dyDescent="0.25">
      <c r="B17" s="121" t="s">
        <v>11</v>
      </c>
      <c r="C17" s="121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IF(vend26[[#This Row],[Nº Venda]]&gt;1,1,0)</f>
        <v>0</v>
      </c>
    </row>
    <row r="18" spans="2:18" ht="15.75" x14ac:dyDescent="0.25">
      <c r="B18" s="30">
        <f>COUNT(entr_carn26[OS])</f>
        <v>0</v>
      </c>
      <c r="C18" s="31">
        <f>SUM(entr_carn26[Valor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IF(vend26[[#This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IF(vend26[[#This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IF(vend26[[#This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F25EF7E0-5BB3-4CF1-9B17-26FA036353B2}">
          <x14:formula1>
            <xm:f>base!$A$2:$A$5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base!$A$2:$A$8</xm:f>
          </x14:formula1>
          <xm:sqref>G6:G22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70" zoomScaleNormal="70" workbookViewId="0">
      <selection activeCell="E7" sqref="E7:F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'26'!B1+1</f>
        <v>45439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1639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1009</v>
      </c>
      <c r="D6" s="2"/>
      <c r="E6" s="94">
        <v>701</v>
      </c>
      <c r="F6" s="94" t="s">
        <v>191</v>
      </c>
      <c r="G6" s="104" t="s">
        <v>8</v>
      </c>
      <c r="H6" s="103">
        <v>989</v>
      </c>
      <c r="I6" s="103">
        <v>989</v>
      </c>
      <c r="J6" s="2"/>
      <c r="K6" s="105" t="s">
        <v>193</v>
      </c>
      <c r="L6" s="95" t="s">
        <v>9</v>
      </c>
      <c r="M6" s="96">
        <v>13</v>
      </c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13</v>
      </c>
      <c r="D7" s="2"/>
      <c r="E7" s="94">
        <v>702</v>
      </c>
      <c r="F7" s="94" t="s">
        <v>192</v>
      </c>
      <c r="G7" s="104" t="s">
        <v>6</v>
      </c>
      <c r="H7" s="103">
        <v>650</v>
      </c>
      <c r="I7" s="103">
        <v>20</v>
      </c>
      <c r="J7" s="2"/>
      <c r="K7" s="105"/>
      <c r="L7" s="95"/>
      <c r="M7" s="96"/>
      <c r="R7" s="1">
        <f>IF(vend27[[#This Row],[Nº Venda]]&gt;1,1,0)</f>
        <v>1</v>
      </c>
    </row>
    <row r="8" spans="2:18" ht="15.75" x14ac:dyDescent="0.25">
      <c r="B8" s="28" t="s">
        <v>20</v>
      </c>
      <c r="C8" s="29">
        <f>SUM(C6:C7)</f>
        <v>1022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IF(vend27[[#This Row],[Nº Venda]]&gt;1,1,0)</f>
        <v>0</v>
      </c>
    </row>
    <row r="10" spans="2:18" ht="15.75" x14ac:dyDescent="0.25">
      <c r="B10" s="121" t="s">
        <v>5</v>
      </c>
      <c r="C10" s="121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989</v>
      </c>
      <c r="D13" s="2"/>
      <c r="E13" s="94"/>
      <c r="F13" s="94"/>
      <c r="G13" s="104"/>
      <c r="H13" s="103"/>
      <c r="I13" s="103"/>
      <c r="J13" s="2"/>
      <c r="K13" s="123" t="s">
        <v>21</v>
      </c>
      <c r="L13" s="124"/>
      <c r="M13" s="125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IF(vend27[[#This Row],[Nº Venda]]&gt;1,1,0)</f>
        <v>0</v>
      </c>
    </row>
    <row r="15" spans="2:18" ht="15.75" x14ac:dyDescent="0.25">
      <c r="B15" s="28" t="s">
        <v>10</v>
      </c>
      <c r="C15" s="32">
        <f>SUM(C11:C14)</f>
        <v>1009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IF(vend27[[#This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IF(vend27[[#This Row],[Nº Venda]]&gt;1,1,0)</f>
        <v>0</v>
      </c>
    </row>
    <row r="17" spans="2:18" ht="15.75" x14ac:dyDescent="0.25">
      <c r="B17" s="121" t="s">
        <v>11</v>
      </c>
      <c r="C17" s="121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IF(vend27[[#This Row],[Nº Venda]]&gt;1,1,0)</f>
        <v>0</v>
      </c>
    </row>
    <row r="18" spans="2:18" ht="15.75" x14ac:dyDescent="0.25">
      <c r="B18" s="30">
        <f>COUNT(entr_carn27[OS])</f>
        <v>0</v>
      </c>
      <c r="C18" s="31">
        <f>SUM(entr_carn27[Valor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IF(vend27[[#This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IF(vend27[[#This Row],[Nº Venda]]&gt;1,1,0)</f>
        <v>0</v>
      </c>
    </row>
    <row r="21" spans="2:18" ht="15.75" x14ac:dyDescent="0.25">
      <c r="B21" s="28" t="s">
        <v>25</v>
      </c>
      <c r="C21" s="32">
        <f>C5</f>
        <v>1639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2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C98E5996-9497-4006-B937-DD7511465A6E}">
          <x14:formula1>
            <xm:f>base!$A$2:$A$5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base!$A$2:$A$8</xm:f>
          </x14:formula1>
          <xm:sqref>G6:G22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abSelected="1" zoomScale="70" zoomScaleNormal="70" workbookViewId="0">
      <selection activeCell="M19" sqref="M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'27'!B1+1</f>
        <v>45440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100</v>
      </c>
      <c r="D6" s="2"/>
      <c r="E6" s="94">
        <v>703</v>
      </c>
      <c r="F6" s="94" t="s">
        <v>195</v>
      </c>
      <c r="G6" s="104" t="s">
        <v>38</v>
      </c>
      <c r="H6" s="103">
        <v>0</v>
      </c>
      <c r="I6" s="103">
        <v>0</v>
      </c>
      <c r="J6" s="2"/>
      <c r="K6" s="105"/>
      <c r="L6" s="95"/>
      <c r="M6" s="9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704</v>
      </c>
      <c r="F7" s="94" t="s">
        <v>196</v>
      </c>
      <c r="G7" s="104" t="s">
        <v>38</v>
      </c>
      <c r="H7" s="103">
        <v>0</v>
      </c>
      <c r="I7" s="103">
        <v>0</v>
      </c>
      <c r="J7" s="2"/>
      <c r="K7" s="105"/>
      <c r="L7" s="95"/>
      <c r="M7" s="96"/>
      <c r="R7" s="1">
        <f>IF(vend28[[#This Row],[Nº Venda]]&gt;1,1,0)</f>
        <v>1</v>
      </c>
    </row>
    <row r="8" spans="2:18" ht="15.75" x14ac:dyDescent="0.25">
      <c r="B8" s="28" t="s">
        <v>20</v>
      </c>
      <c r="C8" s="29">
        <f>SUM(C6:C7)</f>
        <v>100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IF(vend28[[#This Row],[Nº Venda]]&gt;1,1,0)</f>
        <v>0</v>
      </c>
    </row>
    <row r="10" spans="2:18" ht="15.75" x14ac:dyDescent="0.25">
      <c r="B10" s="121" t="s">
        <v>5</v>
      </c>
      <c r="C10" s="121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3" t="s">
        <v>21</v>
      </c>
      <c r="L13" s="124"/>
      <c r="M13" s="125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IF(vend28[[#This Row],[Nº Venda]]&gt;1,1,0)</f>
        <v>0</v>
      </c>
    </row>
    <row r="15" spans="2:18" ht="15.75" x14ac:dyDescent="0.25">
      <c r="B15" s="28" t="s">
        <v>10</v>
      </c>
      <c r="C15" s="32">
        <f>SUM(C11:C14)</f>
        <v>100</v>
      </c>
      <c r="D15" s="2"/>
      <c r="E15" s="94"/>
      <c r="F15" s="94"/>
      <c r="G15" s="104"/>
      <c r="H15" s="103"/>
      <c r="I15" s="103"/>
      <c r="J15" s="2"/>
      <c r="K15" s="105">
        <v>694</v>
      </c>
      <c r="L15" s="95" t="s">
        <v>133</v>
      </c>
      <c r="M15" s="96" t="s">
        <v>134</v>
      </c>
      <c r="R15" s="1">
        <f>IF(vend28[[#This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20">
        <v>696</v>
      </c>
      <c r="L16" s="95" t="s">
        <v>133</v>
      </c>
      <c r="M16" s="96" t="s">
        <v>134</v>
      </c>
      <c r="R16" s="1">
        <f>IF(vend28[[#This Row],[Nº Venda]]&gt;1,1,0)</f>
        <v>0</v>
      </c>
    </row>
    <row r="17" spans="2:18" ht="15.75" x14ac:dyDescent="0.25">
      <c r="B17" s="121" t="s">
        <v>11</v>
      </c>
      <c r="C17" s="121"/>
      <c r="D17" s="2"/>
      <c r="E17" s="94"/>
      <c r="F17" s="94"/>
      <c r="G17" s="104"/>
      <c r="H17" s="103"/>
      <c r="I17" s="103"/>
      <c r="J17" s="2"/>
      <c r="K17" s="105">
        <v>684</v>
      </c>
      <c r="L17" s="95" t="s">
        <v>133</v>
      </c>
      <c r="M17" s="96" t="s">
        <v>134</v>
      </c>
      <c r="R17" s="1">
        <f>IF(vend28[[#This Row],[Nº Venda]]&gt;1,1,0)</f>
        <v>0</v>
      </c>
    </row>
    <row r="18" spans="2:18" ht="15.75" x14ac:dyDescent="0.25">
      <c r="B18" s="30">
        <f>COUNT(entr_carn28[OS])</f>
        <v>1</v>
      </c>
      <c r="C18" s="31">
        <f>SUM(entr_carn28[Valor Total])</f>
        <v>821</v>
      </c>
      <c r="D18" s="2"/>
      <c r="E18" s="94"/>
      <c r="F18" s="94"/>
      <c r="G18" s="104"/>
      <c r="H18" s="103"/>
      <c r="I18" s="103"/>
      <c r="J18" s="2"/>
      <c r="K18" s="105">
        <v>703</v>
      </c>
      <c r="L18" s="95" t="s">
        <v>207</v>
      </c>
      <c r="M18" s="96" t="s">
        <v>134</v>
      </c>
      <c r="R18" s="1">
        <f>IF(vend28[[#This Row],[Nº Venda]]&gt;1,1,0)</f>
        <v>0</v>
      </c>
    </row>
    <row r="19" spans="2:18" ht="15.75" x14ac:dyDescent="0.25">
      <c r="B19" s="28" t="s">
        <v>10</v>
      </c>
      <c r="C19" s="32">
        <f>SUM(C18:C18)</f>
        <v>821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IF(vend28[[#This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IF(vend28[[#This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694</v>
      </c>
      <c r="F26" s="94" t="s">
        <v>194</v>
      </c>
      <c r="G26" s="104" t="s">
        <v>6</v>
      </c>
      <c r="H26" s="103"/>
      <c r="I26" s="103">
        <v>100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>
        <v>694</v>
      </c>
      <c r="L35" s="108">
        <v>8</v>
      </c>
      <c r="M35" s="96">
        <v>821</v>
      </c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2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04CC2420-F7B8-4106-A4AD-F26F4A00FCE6}">
          <x14:formula1>
            <xm:f>base!$A$2:$A$8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base!$A$2:$A$5</xm:f>
          </x14:formula1>
          <xm:sqref>G26:G31 G35:G41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70" zoomScaleNormal="70" workbookViewId="0">
      <selection activeCell="G20" sqref="G20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'28'!B1+1</f>
        <v>45441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5338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3489</v>
      </c>
      <c r="D6" s="2"/>
      <c r="E6" s="94">
        <v>705</v>
      </c>
      <c r="F6" s="94" t="s">
        <v>197</v>
      </c>
      <c r="G6" s="104" t="s">
        <v>8</v>
      </c>
      <c r="H6" s="103">
        <v>899</v>
      </c>
      <c r="I6" s="103">
        <v>899</v>
      </c>
      <c r="J6" s="2"/>
      <c r="K6" s="105"/>
      <c r="L6" s="95"/>
      <c r="M6" s="9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706</v>
      </c>
      <c r="F7" s="94" t="s">
        <v>198</v>
      </c>
      <c r="G7" s="104" t="s">
        <v>7</v>
      </c>
      <c r="H7" s="103">
        <v>960</v>
      </c>
      <c r="I7" s="103">
        <v>480</v>
      </c>
      <c r="J7" s="2"/>
      <c r="K7" s="105"/>
      <c r="L7" s="95"/>
      <c r="M7" s="96"/>
      <c r="R7" s="1">
        <f>IF(vend29[[#This Row],[Nº Venda]]&gt;1,1,0)</f>
        <v>1</v>
      </c>
    </row>
    <row r="8" spans="2:18" ht="15.75" x14ac:dyDescent="0.25">
      <c r="B8" s="28" t="s">
        <v>20</v>
      </c>
      <c r="C8" s="29">
        <f>SUM(C6:C7)</f>
        <v>3489</v>
      </c>
      <c r="D8" s="2"/>
      <c r="E8" s="94">
        <v>707</v>
      </c>
      <c r="F8" s="94" t="s">
        <v>199</v>
      </c>
      <c r="G8" s="104" t="s">
        <v>8</v>
      </c>
      <c r="H8" s="103">
        <v>1390</v>
      </c>
      <c r="I8" s="103">
        <v>1390</v>
      </c>
      <c r="J8" s="2"/>
      <c r="K8" s="105"/>
      <c r="L8" s="95"/>
      <c r="M8" s="9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94">
        <v>708</v>
      </c>
      <c r="F9" s="94" t="s">
        <v>200</v>
      </c>
      <c r="G9" s="104" t="s">
        <v>8</v>
      </c>
      <c r="H9" s="103">
        <v>300</v>
      </c>
      <c r="I9" s="103">
        <v>300</v>
      </c>
      <c r="J9" s="2"/>
      <c r="K9" s="105"/>
      <c r="L9" s="95"/>
      <c r="M9" s="96"/>
      <c r="R9" s="1">
        <f>IF(vend29[[#This Row],[Nº Venda]]&gt;1,1,0)</f>
        <v>1</v>
      </c>
    </row>
    <row r="10" spans="2:18" ht="15.75" x14ac:dyDescent="0.25">
      <c r="B10" s="121" t="s">
        <v>5</v>
      </c>
      <c r="C10" s="121"/>
      <c r="D10" s="2"/>
      <c r="E10" s="94">
        <v>709</v>
      </c>
      <c r="F10" s="94" t="s">
        <v>201</v>
      </c>
      <c r="G10" s="104" t="s">
        <v>6</v>
      </c>
      <c r="H10" s="103">
        <v>990</v>
      </c>
      <c r="I10" s="103">
        <v>10</v>
      </c>
      <c r="J10" s="2"/>
      <c r="K10" s="105"/>
      <c r="L10" s="95"/>
      <c r="M10" s="96"/>
      <c r="R10" s="1">
        <f>IF(vend29[[#This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10</v>
      </c>
      <c r="D11" s="2"/>
      <c r="E11" s="94">
        <v>710</v>
      </c>
      <c r="F11" s="94" t="s">
        <v>202</v>
      </c>
      <c r="G11" s="104" t="s">
        <v>9</v>
      </c>
      <c r="H11" s="103">
        <v>690</v>
      </c>
      <c r="I11" s="103">
        <v>9</v>
      </c>
      <c r="J11" s="2"/>
      <c r="K11" s="106"/>
      <c r="L11" s="95"/>
      <c r="M11" s="96"/>
      <c r="O11" s="1">
        <f>IF(C15=0,0,1)</f>
        <v>1</v>
      </c>
      <c r="R11" s="1">
        <f>IF(vend29[[#This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480</v>
      </c>
      <c r="D12" s="2"/>
      <c r="E12" s="94">
        <v>711</v>
      </c>
      <c r="F12" s="94" t="s">
        <v>202</v>
      </c>
      <c r="G12" s="104" t="s">
        <v>9</v>
      </c>
      <c r="H12" s="103">
        <v>109</v>
      </c>
      <c r="I12" s="103">
        <v>1</v>
      </c>
      <c r="J12" s="2"/>
      <c r="R12" s="1">
        <f>IF(vend29[[#This Row],[Nº Venda]]&gt;1,1,0)</f>
        <v>1</v>
      </c>
    </row>
    <row r="13" spans="2:18" ht="15.75" x14ac:dyDescent="0.25">
      <c r="B13" s="30" t="s">
        <v>8</v>
      </c>
      <c r="C13" s="31">
        <f t="shared" si="0"/>
        <v>2989</v>
      </c>
      <c r="D13" s="2"/>
      <c r="E13" s="94"/>
      <c r="F13" s="94"/>
      <c r="G13" s="104"/>
      <c r="H13" s="103"/>
      <c r="I13" s="103"/>
      <c r="J13" s="2"/>
      <c r="K13" s="123" t="s">
        <v>21</v>
      </c>
      <c r="L13" s="124"/>
      <c r="M13" s="125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10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IF(vend29[[#This Row],[Nº Venda]]&gt;1,1,0)</f>
        <v>0</v>
      </c>
    </row>
    <row r="15" spans="2:18" ht="15.75" x14ac:dyDescent="0.25">
      <c r="B15" s="28" t="s">
        <v>10</v>
      </c>
      <c r="C15" s="32">
        <f>SUM(C11:C14)</f>
        <v>3489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IF(vend29[[#This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IF(vend29[[#This Row],[Nº Venda]]&gt;1,1,0)</f>
        <v>0</v>
      </c>
    </row>
    <row r="17" spans="2:18" ht="15.75" x14ac:dyDescent="0.25">
      <c r="B17" s="121" t="s">
        <v>11</v>
      </c>
      <c r="C17" s="121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IF(vend29[[#This Row],[Nº Venda]]&gt;1,1,0)</f>
        <v>0</v>
      </c>
    </row>
    <row r="18" spans="2:18" ht="15.75" x14ac:dyDescent="0.25">
      <c r="B18" s="30">
        <f>COUNT(entr_carn29[OS])</f>
        <v>0</v>
      </c>
      <c r="C18" s="31">
        <f>SUM(entr_carn29[Valor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IF(vend29[[#This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IF(vend29[[#This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IF(vend29[[#This Row],[Nº Venda]]&gt;1,1,0)</f>
        <v>0</v>
      </c>
    </row>
    <row r="21" spans="2:18" ht="15.75" x14ac:dyDescent="0.25">
      <c r="B21" s="28" t="s">
        <v>25</v>
      </c>
      <c r="C21" s="32">
        <f>C5</f>
        <v>5338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702</v>
      </c>
      <c r="F26" s="94" t="s">
        <v>192</v>
      </c>
      <c r="G26" s="104" t="s">
        <v>8</v>
      </c>
      <c r="H26" s="103">
        <v>0</v>
      </c>
      <c r="I26" s="103">
        <v>400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7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882420CE-1467-422A-964B-18F1EC928A68}">
          <x14:formula1>
            <xm:f>base!$A$2:$A$5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base!$A$2:$A$8</xm:f>
          </x14:formula1>
          <xm:sqref>G6:G22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70" zoomScaleNormal="70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'29'!B1+1</f>
        <v>45442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IF(vend30[[#This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IF(vend30[[#This Row],[Nº Venda]]&gt;1,1,0)</f>
        <v>0</v>
      </c>
    </row>
    <row r="10" spans="2:18" ht="15.75" x14ac:dyDescent="0.25">
      <c r="B10" s="121" t="s">
        <v>5</v>
      </c>
      <c r="C10" s="121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(SUMIF($G$2:$G$31,B13,$I$2:$I$31))+(SUMIF($G$35:$G$41,B13,$H$35:$H$41))</f>
        <v>0</v>
      </c>
      <c r="D13" s="2"/>
      <c r="E13" s="94"/>
      <c r="F13" s="94"/>
      <c r="G13" s="104"/>
      <c r="H13" s="103"/>
      <c r="I13" s="103"/>
      <c r="J13" s="2"/>
      <c r="K13" s="123" t="s">
        <v>21</v>
      </c>
      <c r="L13" s="124"/>
      <c r="M13" s="125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(SUMIF($G$2:$G$31,B14,$I$2:$I$31))+(SUMIF($G$35:$G$41,B14,$H$35:$H$41))</f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IF(vend30[[#This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IF(vend30[[#This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IF(vend30[[#This Row],[Nº Venda]]&gt;1,1,0)</f>
        <v>0</v>
      </c>
    </row>
    <row r="17" spans="2:22" ht="15.75" x14ac:dyDescent="0.25">
      <c r="B17" s="121" t="s">
        <v>11</v>
      </c>
      <c r="C17" s="121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IF(vend30[[#This Row],[Nº Venda]]&gt;1,1,0)</f>
        <v>0</v>
      </c>
    </row>
    <row r="18" spans="2:22" ht="15.75" x14ac:dyDescent="0.25">
      <c r="B18" s="30">
        <f>COUNT(entr_carn30[OS])</f>
        <v>0</v>
      </c>
      <c r="C18" s="31">
        <f>SUM(entr_carn30[Valor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IF(vend30[[#This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IF(vend30[[#This Row],[Nº Venda]]&gt;1,1,0)</f>
        <v>0</v>
      </c>
    </row>
    <row r="20" spans="2:22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IF(vend30[[#This Row],[Nº Venda]]&gt;1,1,0)</f>
        <v>0</v>
      </c>
    </row>
    <row r="21" spans="2:22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  <c r="V21" s="1" t="s">
        <v>123</v>
      </c>
    </row>
    <row r="22" spans="2:22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22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22" ht="15.7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105"/>
      <c r="L24" s="95"/>
      <c r="M24" s="96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22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22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22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22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22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22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22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454549B3-C2F1-4A35-B7FA-A3C6892C967B}">
          <x14:formula1>
            <xm:f>base!$A$2:$A$5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base!$A$2:$A$8</xm:f>
          </x14:formula1>
          <xm:sqref>G6:G22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DAA9-A8B0-7441-A5B4-71E6FD52904B}">
  <sheetPr codeName="Planilha31"/>
  <dimension ref="B1:V41"/>
  <sheetViews>
    <sheetView showGridLines="0" topLeftCell="A16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 t="s">
        <v>206</v>
      </c>
    </row>
    <row r="2" spans="2:18" ht="18.75" x14ac:dyDescent="0.2">
      <c r="B2" s="126" t="s">
        <v>12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9" t="s">
        <v>1</v>
      </c>
      <c r="F4" s="129"/>
      <c r="G4" s="129"/>
      <c r="H4" s="129"/>
      <c r="I4" s="129"/>
      <c r="J4" s="22"/>
      <c r="K4" s="123" t="s">
        <v>3</v>
      </c>
      <c r="L4" s="124"/>
      <c r="M4" s="125"/>
    </row>
    <row r="5" spans="2:18" ht="15" x14ac:dyDescent="0.25">
      <c r="B5" s="23" t="s">
        <v>1</v>
      </c>
      <c r="C5" s="24">
        <f>SUMIF(I6:I31,"&gt;0",H6:H31)</f>
        <v>1489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949</v>
      </c>
      <c r="D6" s="2"/>
      <c r="E6" s="94">
        <v>712</v>
      </c>
      <c r="F6" s="94" t="s">
        <v>203</v>
      </c>
      <c r="G6" s="104" t="s">
        <v>9</v>
      </c>
      <c r="H6" s="103">
        <v>599</v>
      </c>
      <c r="I6" s="103">
        <v>59</v>
      </c>
      <c r="J6" s="2"/>
      <c r="K6" s="105"/>
      <c r="L6" s="95"/>
      <c r="M6" s="96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713</v>
      </c>
      <c r="F7" s="94" t="s">
        <v>205</v>
      </c>
      <c r="G7" s="104" t="s">
        <v>8</v>
      </c>
      <c r="H7" s="103">
        <v>890</v>
      </c>
      <c r="I7" s="103">
        <v>890</v>
      </c>
      <c r="J7" s="2"/>
      <c r="K7" s="105"/>
      <c r="L7" s="95"/>
      <c r="M7" s="96"/>
      <c r="R7" s="1">
        <f>IF(vend31[[#This Row],[Nº Venda]]&gt;1,1,0)</f>
        <v>1</v>
      </c>
    </row>
    <row r="8" spans="2:18" ht="15.75" x14ac:dyDescent="0.25">
      <c r="B8" s="28" t="s">
        <v>20</v>
      </c>
      <c r="C8" s="29">
        <f>SUM(C6:C7)</f>
        <v>949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IF(vend31[[#This Row],[Nº Venda]]&gt;1,1,0)</f>
        <v>0</v>
      </c>
    </row>
    <row r="10" spans="2:18" ht="15.75" x14ac:dyDescent="0.25">
      <c r="B10" s="121" t="s">
        <v>5</v>
      </c>
      <c r="C10" s="121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890</v>
      </c>
      <c r="D13" s="2"/>
      <c r="E13" s="94"/>
      <c r="F13" s="94"/>
      <c r="G13" s="104"/>
      <c r="H13" s="103"/>
      <c r="I13" s="103"/>
      <c r="J13" s="2"/>
      <c r="K13" s="123" t="s">
        <v>21</v>
      </c>
      <c r="L13" s="124"/>
      <c r="M13" s="125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159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IF(vend31[[#This Row],[Nº Venda]]&gt;1,1,0)</f>
        <v>0</v>
      </c>
    </row>
    <row r="15" spans="2:18" ht="15.75" x14ac:dyDescent="0.25">
      <c r="B15" s="28" t="s">
        <v>10</v>
      </c>
      <c r="C15" s="32">
        <f>SUM(C11:C14)</f>
        <v>1049</v>
      </c>
      <c r="D15" s="2"/>
      <c r="E15" s="94"/>
      <c r="F15" s="94"/>
      <c r="G15" s="104"/>
      <c r="H15" s="103"/>
      <c r="I15" s="103"/>
      <c r="J15" s="2"/>
      <c r="K15" s="105">
        <v>687</v>
      </c>
      <c r="L15" s="95" t="s">
        <v>133</v>
      </c>
      <c r="M15" s="96" t="s">
        <v>134</v>
      </c>
      <c r="R15" s="1">
        <f>IF(vend31[[#This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IF(vend31[[#This Row],[Nº Venda]]&gt;1,1,0)</f>
        <v>0</v>
      </c>
    </row>
    <row r="17" spans="2:22" ht="15.75" x14ac:dyDescent="0.25">
      <c r="B17" s="121" t="s">
        <v>11</v>
      </c>
      <c r="C17" s="121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IF(vend31[[#This Row],[Nº Venda]]&gt;1,1,0)</f>
        <v>0</v>
      </c>
    </row>
    <row r="18" spans="2:22" ht="15.75" x14ac:dyDescent="0.25">
      <c r="B18" s="30">
        <f>COUNT(entr_carn31[OS])</f>
        <v>0</v>
      </c>
      <c r="C18" s="31">
        <f>SUM(entr_carn31[Valor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IF(vend31[[#This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IF(vend31[[#This Row],[Nº Venda]]&gt;1,1,0)</f>
        <v>0</v>
      </c>
    </row>
    <row r="20" spans="2:22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IF(vend31[[#This Row],[Nº Venda]]&gt;1,1,0)</f>
        <v>0</v>
      </c>
    </row>
    <row r="21" spans="2:22" ht="15.75" x14ac:dyDescent="0.25">
      <c r="B21" s="28" t="s">
        <v>25</v>
      </c>
      <c r="C21" s="32">
        <f>C5</f>
        <v>1489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  <c r="V21" s="1" t="s">
        <v>123</v>
      </c>
    </row>
    <row r="22" spans="2:22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22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22" ht="15.75" x14ac:dyDescent="0.25">
      <c r="B24" s="2"/>
      <c r="C24" s="2"/>
      <c r="D24" s="2"/>
      <c r="E24" s="122" t="s">
        <v>26</v>
      </c>
      <c r="F24" s="122"/>
      <c r="G24" s="122"/>
      <c r="H24" s="122"/>
      <c r="I24" s="122"/>
      <c r="J24" s="2"/>
      <c r="K24" s="105"/>
      <c r="L24" s="95"/>
      <c r="M24" s="96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22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22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22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22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22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22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22" ht="15" x14ac:dyDescent="0.25">
      <c r="B32" s="2"/>
      <c r="C32" s="2"/>
      <c r="E32" s="33"/>
    </row>
    <row r="33" spans="5:18" ht="15" x14ac:dyDescent="0.25">
      <c r="E33" s="122" t="s">
        <v>27</v>
      </c>
      <c r="F33" s="122"/>
      <c r="G33" s="122"/>
      <c r="H33" s="122"/>
      <c r="I33" s="122"/>
      <c r="K33" s="123" t="s">
        <v>11</v>
      </c>
      <c r="L33" s="124"/>
      <c r="M33" s="125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100</v>
      </c>
      <c r="F35" s="94" t="s">
        <v>204</v>
      </c>
      <c r="G35" s="104" t="s">
        <v>9</v>
      </c>
      <c r="H35" s="103">
        <v>100</v>
      </c>
      <c r="I35" s="103" t="s">
        <v>74</v>
      </c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2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F50350AC-5DBE-524C-8980-2CDAB889AD30}">
      <formula1>"Sim, Não"</formula1>
    </dataValidation>
    <dataValidation type="list" allowBlank="1" showInputMessage="1" showErrorMessage="1" sqref="L35:L41" xr:uid="{406A28B4-8E87-B548-B770-E021DFB8CDD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1508748-44AD-E743-B3D7-192AE69561D4}">
          <x14:formula1>
            <xm:f>base!$A$2:$A$8</xm:f>
          </x14:formula1>
          <xm:sqref>G6:G22</xm:sqref>
        </x14:dataValidation>
        <x14:dataValidation type="list" allowBlank="1" showInputMessage="1" showErrorMessage="1" xr:uid="{31180118-9893-A844-83C7-F7299A046E95}">
          <x14:formula1>
            <xm:f>base!$A$2:$A$5</xm:f>
          </x14:formula1>
          <xm:sqref>G26:G31 G35:G41</xm:sqref>
        </x14:dataValidation>
        <x14:dataValidation type="list" allowBlank="1" showInputMessage="1" showErrorMessage="1" xr:uid="{05346E6E-8BE1-D245-88A7-EE4008F81B2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B18" sqref="B18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60</v>
      </c>
      <c r="B1" s="38" t="s">
        <v>61</v>
      </c>
      <c r="E1" s="38" t="s">
        <v>62</v>
      </c>
    </row>
    <row r="2" spans="1:5" x14ac:dyDescent="0.2">
      <c r="A2" s="38" t="s">
        <v>6</v>
      </c>
      <c r="B2" s="38" t="s">
        <v>63</v>
      </c>
      <c r="E2" t="s">
        <v>44</v>
      </c>
    </row>
    <row r="3" spans="1:5" x14ac:dyDescent="0.2">
      <c r="A3" s="38" t="s">
        <v>7</v>
      </c>
      <c r="B3" s="38" t="s">
        <v>64</v>
      </c>
      <c r="E3" t="s">
        <v>65</v>
      </c>
    </row>
    <row r="4" spans="1:5" x14ac:dyDescent="0.2">
      <c r="A4" s="38" t="s">
        <v>8</v>
      </c>
      <c r="B4" s="38" t="s">
        <v>66</v>
      </c>
      <c r="E4" t="s">
        <v>67</v>
      </c>
    </row>
    <row r="5" spans="1:5" x14ac:dyDescent="0.2">
      <c r="A5" s="38" t="s">
        <v>9</v>
      </c>
      <c r="B5" s="38" t="s">
        <v>9</v>
      </c>
      <c r="E5" t="s">
        <v>68</v>
      </c>
    </row>
    <row r="6" spans="1:5" x14ac:dyDescent="0.2">
      <c r="A6" s="38" t="s">
        <v>48</v>
      </c>
      <c r="B6" s="38" t="s">
        <v>69</v>
      </c>
      <c r="E6" t="s">
        <v>32</v>
      </c>
    </row>
    <row r="7" spans="1:5" x14ac:dyDescent="0.2">
      <c r="A7" t="s">
        <v>24</v>
      </c>
      <c r="B7" t="s">
        <v>71</v>
      </c>
      <c r="E7" t="s">
        <v>70</v>
      </c>
    </row>
    <row r="8" spans="1:5" x14ac:dyDescent="0.2">
      <c r="A8" s="38" t="s">
        <v>38</v>
      </c>
      <c r="B8" s="38" t="s">
        <v>72</v>
      </c>
      <c r="E8" t="s">
        <v>50</v>
      </c>
    </row>
    <row r="9" spans="1:5" x14ac:dyDescent="0.2">
      <c r="E9" t="s">
        <v>73</v>
      </c>
    </row>
    <row r="10" spans="1:5" x14ac:dyDescent="0.2">
      <c r="E10" t="s">
        <v>74</v>
      </c>
    </row>
    <row r="11" spans="1:5" x14ac:dyDescent="0.2">
      <c r="E11" t="s">
        <v>75</v>
      </c>
    </row>
    <row r="12" spans="1:5" x14ac:dyDescent="0.2">
      <c r="E12" t="s">
        <v>37</v>
      </c>
    </row>
    <row r="13" spans="1:5" x14ac:dyDescent="0.2">
      <c r="E13" t="s">
        <v>51</v>
      </c>
    </row>
    <row r="14" spans="1:5" x14ac:dyDescent="0.2">
      <c r="E14" t="s">
        <v>45</v>
      </c>
    </row>
    <row r="15" spans="1:5" x14ac:dyDescent="0.2">
      <c r="E15" t="s">
        <v>76</v>
      </c>
    </row>
    <row r="16" spans="1:5" x14ac:dyDescent="0.2">
      <c r="E16" t="s">
        <v>46</v>
      </c>
    </row>
    <row r="17" spans="5:5" x14ac:dyDescent="0.2">
      <c r="E17" t="s">
        <v>40</v>
      </c>
    </row>
    <row r="18" spans="5:5" x14ac:dyDescent="0.2">
      <c r="E18" t="s">
        <v>52</v>
      </c>
    </row>
    <row r="19" spans="5:5" x14ac:dyDescent="0.2">
      <c r="E19" t="s">
        <v>43</v>
      </c>
    </row>
    <row r="20" spans="5:5" x14ac:dyDescent="0.2">
      <c r="E20" t="s">
        <v>77</v>
      </c>
    </row>
    <row r="21" spans="5:5" x14ac:dyDescent="0.2">
      <c r="E21" t="s">
        <v>78</v>
      </c>
    </row>
    <row r="22" spans="5:5" x14ac:dyDescent="0.2">
      <c r="E22" t="s">
        <v>57</v>
      </c>
    </row>
    <row r="23" spans="5:5" x14ac:dyDescent="0.2">
      <c r="E23" t="s">
        <v>34</v>
      </c>
    </row>
    <row r="24" spans="5:5" x14ac:dyDescent="0.2">
      <c r="E24" t="s">
        <v>53</v>
      </c>
    </row>
    <row r="25" spans="5:5" x14ac:dyDescent="0.2">
      <c r="E25" t="s">
        <v>47</v>
      </c>
    </row>
    <row r="26" spans="5:5" x14ac:dyDescent="0.2">
      <c r="E26" t="s">
        <v>39</v>
      </c>
    </row>
    <row r="27" spans="5:5" x14ac:dyDescent="0.2">
      <c r="E27" t="s">
        <v>42</v>
      </c>
    </row>
    <row r="28" spans="5:5" x14ac:dyDescent="0.2">
      <c r="E28" t="s">
        <v>58</v>
      </c>
    </row>
    <row r="29" spans="5:5" x14ac:dyDescent="0.2">
      <c r="E29" t="s">
        <v>59</v>
      </c>
    </row>
    <row r="30" spans="5:5" x14ac:dyDescent="0.2">
      <c r="E30" t="s">
        <v>79</v>
      </c>
    </row>
    <row r="31" spans="5:5" x14ac:dyDescent="0.2">
      <c r="E31" t="s">
        <v>33</v>
      </c>
    </row>
    <row r="32" spans="5:5" x14ac:dyDescent="0.2">
      <c r="E32" t="s">
        <v>80</v>
      </c>
    </row>
    <row r="33" spans="5:5" x14ac:dyDescent="0.2">
      <c r="E33" t="s">
        <v>55</v>
      </c>
    </row>
    <row r="34" spans="5:5" x14ac:dyDescent="0.2">
      <c r="E34" t="s">
        <v>36</v>
      </c>
    </row>
    <row r="35" spans="5:5" x14ac:dyDescent="0.2">
      <c r="E35" t="s">
        <v>54</v>
      </c>
    </row>
    <row r="36" spans="5:5" x14ac:dyDescent="0.2">
      <c r="E36" t="s">
        <v>41</v>
      </c>
    </row>
    <row r="37" spans="5:5" x14ac:dyDescent="0.2">
      <c r="E37" t="s">
        <v>49</v>
      </c>
    </row>
    <row r="38" spans="5:5" x14ac:dyDescent="0.2">
      <c r="E38" t="s">
        <v>81</v>
      </c>
    </row>
    <row r="39" spans="5:5" x14ac:dyDescent="0.2">
      <c r="E39" t="s">
        <v>82</v>
      </c>
    </row>
    <row r="40" spans="5:5" x14ac:dyDescent="0.2">
      <c r="E40" t="s">
        <v>83</v>
      </c>
    </row>
    <row r="41" spans="5:5" x14ac:dyDescent="0.2">
      <c r="E41" t="s">
        <v>84</v>
      </c>
    </row>
    <row r="42" spans="5:5" x14ac:dyDescent="0.2">
      <c r="E42" t="s">
        <v>85</v>
      </c>
    </row>
    <row r="43" spans="5:5" x14ac:dyDescent="0.2">
      <c r="E43" t="s">
        <v>86</v>
      </c>
    </row>
    <row r="44" spans="5:5" x14ac:dyDescent="0.2">
      <c r="E44" t="s">
        <v>87</v>
      </c>
    </row>
    <row r="45" spans="5:5" x14ac:dyDescent="0.2">
      <c r="E45" t="s">
        <v>88</v>
      </c>
    </row>
    <row r="46" spans="5:5" x14ac:dyDescent="0.2">
      <c r="E46" t="s">
        <v>89</v>
      </c>
    </row>
    <row r="47" spans="5:5" x14ac:dyDescent="0.2">
      <c r="E47" t="s">
        <v>90</v>
      </c>
    </row>
    <row r="48" spans="5:5" x14ac:dyDescent="0.2">
      <c r="E48" t="s">
        <v>91</v>
      </c>
    </row>
    <row r="49" spans="5:5" x14ac:dyDescent="0.2">
      <c r="E49" t="s">
        <v>92</v>
      </c>
    </row>
    <row r="50" spans="5:5" x14ac:dyDescent="0.2">
      <c r="E50" t="s">
        <v>93</v>
      </c>
    </row>
    <row r="51" spans="5:5" x14ac:dyDescent="0.2">
      <c r="E51" t="s">
        <v>94</v>
      </c>
    </row>
    <row r="52" spans="5:5" x14ac:dyDescent="0.2">
      <c r="E52" t="s">
        <v>95</v>
      </c>
    </row>
    <row r="53" spans="5:5" x14ac:dyDescent="0.2">
      <c r="E53" t="s">
        <v>96</v>
      </c>
    </row>
    <row r="54" spans="5:5" x14ac:dyDescent="0.2">
      <c r="E54" t="s">
        <v>97</v>
      </c>
    </row>
    <row r="55" spans="5:5" x14ac:dyDescent="0.2">
      <c r="E55" t="s">
        <v>98</v>
      </c>
    </row>
    <row r="56" spans="5:5" x14ac:dyDescent="0.2">
      <c r="E56" t="s">
        <v>99</v>
      </c>
    </row>
    <row r="57" spans="5:5" x14ac:dyDescent="0.2">
      <c r="E57" t="s">
        <v>100</v>
      </c>
    </row>
    <row r="58" spans="5:5" x14ac:dyDescent="0.2">
      <c r="E58" t="s">
        <v>101</v>
      </c>
    </row>
    <row r="59" spans="5:5" x14ac:dyDescent="0.2">
      <c r="E59" t="s">
        <v>102</v>
      </c>
    </row>
    <row r="60" spans="5:5" x14ac:dyDescent="0.2">
      <c r="E60" t="s">
        <v>103</v>
      </c>
    </row>
    <row r="61" spans="5:5" x14ac:dyDescent="0.2">
      <c r="E61" t="s">
        <v>104</v>
      </c>
    </row>
    <row r="62" spans="5:5" x14ac:dyDescent="0.2">
      <c r="E62" t="s">
        <v>105</v>
      </c>
    </row>
    <row r="63" spans="5:5" x14ac:dyDescent="0.2">
      <c r="E63" t="s">
        <v>106</v>
      </c>
    </row>
    <row r="64" spans="5:5" x14ac:dyDescent="0.2">
      <c r="E64" t="s">
        <v>107</v>
      </c>
    </row>
    <row r="65" spans="5:5" x14ac:dyDescent="0.2">
      <c r="E65" t="s">
        <v>108</v>
      </c>
    </row>
    <row r="66" spans="5:5" x14ac:dyDescent="0.2">
      <c r="E66" t="s">
        <v>109</v>
      </c>
    </row>
    <row r="67" spans="5:5" x14ac:dyDescent="0.2">
      <c r="E67" t="s">
        <v>110</v>
      </c>
    </row>
    <row r="68" spans="5:5" x14ac:dyDescent="0.2">
      <c r="E68" t="s">
        <v>111</v>
      </c>
    </row>
    <row r="69" spans="5:5" x14ac:dyDescent="0.2">
      <c r="E69" t="s">
        <v>112</v>
      </c>
    </row>
    <row r="70" spans="5:5" x14ac:dyDescent="0.2">
      <c r="E70" t="s">
        <v>113</v>
      </c>
    </row>
    <row r="71" spans="5:5" x14ac:dyDescent="0.2">
      <c r="E71" t="s">
        <v>114</v>
      </c>
    </row>
    <row r="72" spans="5:5" x14ac:dyDescent="0.2">
      <c r="E72" t="s">
        <v>115</v>
      </c>
    </row>
    <row r="73" spans="5:5" x14ac:dyDescent="0.2">
      <c r="E73" t="s">
        <v>116</v>
      </c>
    </row>
    <row r="74" spans="5:5" x14ac:dyDescent="0.2">
      <c r="E74" t="s">
        <v>117</v>
      </c>
    </row>
    <row r="75" spans="5:5" x14ac:dyDescent="0.2">
      <c r="E75" t="s">
        <v>118</v>
      </c>
    </row>
    <row r="76" spans="5:5" x14ac:dyDescent="0.2">
      <c r="E76" t="s">
        <v>119</v>
      </c>
    </row>
    <row r="77" spans="5:5" x14ac:dyDescent="0.2">
      <c r="E77" t="s">
        <v>120</v>
      </c>
    </row>
    <row r="78" spans="5:5" x14ac:dyDescent="0.2">
      <c r="E78" t="s">
        <v>121</v>
      </c>
    </row>
    <row r="79" spans="5:5" x14ac:dyDescent="0.2">
      <c r="E79" t="s">
        <v>122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5</vt:i4>
      </vt:variant>
    </vt:vector>
  </HeadingPairs>
  <TitlesOfParts>
    <vt:vector size="38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24</vt:lpstr>
      <vt:lpstr>23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perus lojas</cp:lastModifiedBy>
  <cp:revision/>
  <cp:lastPrinted>2024-05-31T16:41:49Z</cp:lastPrinted>
  <dcterms:created xsi:type="dcterms:W3CDTF">2004-04-07T20:43:43Z</dcterms:created>
  <dcterms:modified xsi:type="dcterms:W3CDTF">2024-09-21T13:15:47Z</dcterms:modified>
  <cp:category/>
  <cp:contentStatus/>
</cp:coreProperties>
</file>