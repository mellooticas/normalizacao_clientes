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474" documentId="13_ncr:1_{7412B4C8-BAC3-4E56-8244-DAC76CBDF892}" xr6:coauthVersionLast="47" xr6:coauthVersionMax="47" xr10:uidLastSave="{52386EB2-5CD6-447D-AD0E-8DFEC3212C4C}"/>
  <bookViews>
    <workbookView xWindow="-120" yWindow="330" windowWidth="29040" windowHeight="15990" tabRatio="895" firstSheet="1" activeTab="16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Planilha1" sheetId="201" r:id="rId33"/>
    <sheet name="base" sheetId="36" state="hidden" r:id="rId34"/>
  </sheets>
  <definedNames>
    <definedName name="_xlnm.Print_Area" localSheetId="18">'18'!$A$1:$AB$41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6" i="172"/>
  <c r="C8" i="172" s="1"/>
  <c r="C6" i="171"/>
  <c r="C8" i="171" s="1"/>
  <c r="C6" i="170"/>
  <c r="C6" i="103"/>
  <c r="C6" i="178"/>
  <c r="C6" i="177"/>
  <c r="C6" i="176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E6" i="200" s="1"/>
  <c r="E9" i="200" s="1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F6" i="200" l="1"/>
  <c r="G6" i="200" s="1"/>
  <c r="B14" i="200"/>
  <c r="B4" i="200" s="1"/>
  <c r="B6" i="200" s="1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<sst xmlns="http://schemas.openxmlformats.org/spreadsheetml/2006/main" count="1694" uniqueCount="172">
  <si>
    <t>Saldo Inicial</t>
  </si>
  <si>
    <t>Vendas</t>
  </si>
  <si>
    <t>Entrada</t>
  </si>
  <si>
    <t>Despesas</t>
  </si>
  <si>
    <t>OBJETIVO</t>
  </si>
  <si>
    <t>FEITO</t>
  </si>
  <si>
    <t>RESTA</t>
  </si>
  <si>
    <t>POR DIA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</si>
  <si>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</si>
  <si>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</si>
  <si>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</si>
  <si>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</si>
  <si>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</si>
  <si>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</si>
  <si>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</si>
  <si>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</si>
  <si>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</si>
  <si>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</si>
  <si>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</si>
  <si>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</si>
  <si>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</si>
  <si>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</si>
  <si>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</si>
  <si>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</si>
  <si>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</si>
  <si>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VERANICE MARIA DOS SANTOS</t>
  </si>
  <si>
    <t>SS</t>
  </si>
  <si>
    <t>GARANTIA</t>
  </si>
  <si>
    <t>Total  entrada</t>
  </si>
  <si>
    <t>OS Entregue no Dia</t>
  </si>
  <si>
    <t>OS</t>
  </si>
  <si>
    <t>Vendedor</t>
  </si>
  <si>
    <t>CARNE</t>
  </si>
  <si>
    <t>WEVILLY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</si>
  <si>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</si>
  <si>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</si>
  <si>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</si>
  <si>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</si>
  <si>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</si>
  <si>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</si>
  <si>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</si>
  <si>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</si>
  <si>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</si>
  <si>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CICERA DE LIMA PACHECO</t>
  </si>
  <si>
    <t>ELZITA DAS DORES</t>
  </si>
  <si>
    <t>CREUZA MARCIANO</t>
  </si>
  <si>
    <t>PARC. 3/5</t>
  </si>
  <si>
    <t>MARILDA CAETANO</t>
  </si>
  <si>
    <t>NATALIA DOS REIS SANTOS</t>
  </si>
  <si>
    <t>ADRYELLEN CAROLINE</t>
  </si>
  <si>
    <t>PARC. 1/3</t>
  </si>
  <si>
    <t>APARECIDA SANTOS TENORIO</t>
  </si>
  <si>
    <t>621</t>
  </si>
  <si>
    <t>MARIA MADALENA FEITOZA</t>
  </si>
  <si>
    <t>BEATRIZ JESSICA DA SILVA</t>
  </si>
  <si>
    <t>MARIA DO CARMO</t>
  </si>
  <si>
    <t>AGUA</t>
  </si>
  <si>
    <t>CLAUDIONOR JOSE</t>
  </si>
  <si>
    <t>GICELIA FRANCISCA</t>
  </si>
  <si>
    <t>PARC. 2/8</t>
  </si>
  <si>
    <t>623</t>
  </si>
  <si>
    <t xml:space="preserve">VERANICE </t>
  </si>
  <si>
    <t>Wevilly</t>
  </si>
  <si>
    <t>CARINE ALMEIDA</t>
  </si>
  <si>
    <t>ELAINE APARECIDA</t>
  </si>
  <si>
    <t xml:space="preserve"> </t>
  </si>
  <si>
    <t>FRANCISCA ESMIRIO</t>
  </si>
  <si>
    <t>BEATRIZ JESSICA</t>
  </si>
  <si>
    <t>ROSEMEIRE DE OLIVEIRA</t>
  </si>
  <si>
    <t>ALEXANDRE DA SILVA</t>
  </si>
  <si>
    <t>VERA LUCIA P DA SILVA</t>
  </si>
  <si>
    <t>PARC. 3/7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</si>
  <si>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</si>
  <si>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</si>
  <si>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</si>
  <si>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</si>
  <si>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</si>
  <si>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</si>
  <si>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</si>
  <si>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</si>
  <si>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</si>
  <si>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</si>
  <si>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</si>
  <si>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</si>
  <si>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</si>
  <si>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</si>
  <si>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</si>
  <si>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</si>
  <si>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</si>
  <si>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</si>
  <si>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</si>
  <si>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1/5</t>
  </si>
  <si>
    <t>PARC. 2/5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</si>
  <si>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</si>
  <si>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</si>
  <si>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</si>
  <si>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</si>
  <si>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</si>
  <si>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</si>
  <si>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</si>
  <si>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</si>
  <si>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</si>
  <si>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</si>
  <si>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4/7</t>
  </si>
  <si>
    <t>PARC. 5/7</t>
  </si>
  <si>
    <t>PARC. 6/7</t>
  </si>
  <si>
    <t>PARC. 7/7</t>
  </si>
  <si>
    <t>PARC. 1/8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</si>
  <si>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</si>
  <si>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</si>
  <si>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</si>
  <si>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</si>
  <si>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</si>
  <si>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</si>
  <si>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</si>
  <si>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</si>
  <si>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</si>
  <si>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</si>
  <si>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</si>
  <si>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</si>
  <si>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</si>
  <si>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</si>
  <si>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</si>
  <si>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</si>
  <si>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</si>
  <si>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</si>
  <si>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</si>
  <si>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</si>
  <si>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</si>
  <si>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</si>
  <si>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</si>
  <si>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</si>
  <si>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</si>
  <si>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</si>
  <si>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</si>
  <si>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</si>
  <si>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</si>
  <si>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</si>
  <si>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</si>
  <si>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</si>
  <si>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</si>
  <si>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</si>
  <si>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</si>
  <si>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</si>
  <si>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</si>
  <si>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</si>
  <si>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</si>
  <si>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</si>
  <si>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</si>
  <si>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</si>
  <si>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</si>
  <si>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</si>
  <si>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</si>
  <si>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</si>
  <si>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</si>
  <si>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</si>
  <si>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PEDRO PETRUNILIO DE CARVALHO</t>
  </si>
  <si>
    <t>WALLACE OLIVEIRA PIRES</t>
  </si>
  <si>
    <t>FRANCISCO DE BARROS ALVES</t>
  </si>
  <si>
    <t>LUCIANA MARIA</t>
  </si>
  <si>
    <t>PROJEÇÃO</t>
  </si>
  <si>
    <t>JADIEL SANTOS DO NASC</t>
  </si>
  <si>
    <t>ELIELMA DE LIMA</t>
  </si>
  <si>
    <t>JOELMA SILVA SANTOS</t>
  </si>
  <si>
    <t>INACIO JOSE DO CARMO</t>
  </si>
  <si>
    <t>ALICE DE ALMEIDA</t>
  </si>
  <si>
    <t>HELIO JOSE</t>
  </si>
  <si>
    <t>MARICELIA DE PAULA OLIVEIRA</t>
  </si>
  <si>
    <t>ALINE MENESES SILVA</t>
  </si>
  <si>
    <t>ANA MARCIA SANTOS</t>
  </si>
  <si>
    <t>THAMIRES SANTOS DA SILVA</t>
  </si>
  <si>
    <t>JARDEL WEVERTON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</si>
</sst>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</font>
    <font>
      <sz val="24"/>
      <name val="Castellar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0" fontId="14" fillId="7" borderId="17" xfId="0" applyFont="1" applyFill="1" applyBorder="1" applyAlignment="1">
      <alignment horizontal="center"/>
    </xf>
    <xf numFmtId="165" fontId="13" fillId="5" borderId="17" xfId="0" applyNumberFormat="1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40" fillId="0" borderId="17" xfId="0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G18"/>
  <sheetViews>
    <sheetView workbookViewId="0">
      <selection activeCell="E10" sqref="E10"/>
    </sheetView>
  </sheetViews>
  <sheetFormatPr defaultColWidth="21.28515625" defaultRowHeight="12.75" x14ac:dyDescent="0.2"/>
  <cols>
    <col min="2" max="2" width="22.7109375" customWidth="1"/>
  </cols>
  <sheetData>
    <row r="2" spans="1:7" ht="15" x14ac:dyDescent="0.2">
      <c r="A2" s="19" t="s">
        <v>0</v>
      </c>
      <c r="B2" s="85">
        <v>0</v>
      </c>
    </row>
    <row r="3" spans="1:7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15751.09</v>
      </c>
    </row>
    <row r="4" spans="1:7" ht="15" x14ac:dyDescent="0.25">
      <c r="A4" s="23" t="s">
        <v>2</v>
      </c>
      <c r="B4" s="24">
        <f ca="1">B14</f>
        <v>9560.9</v>
      </c>
    </row>
    <row r="5" spans="1:7" ht="15.7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13</v>
      </c>
      <c r="D5" s="87" t="s">
        <v>4</v>
      </c>
      <c r="E5" s="87" t="s">
        <v>5</v>
      </c>
      <c r="F5" s="87" t="s">
        <v>6</v>
      </c>
      <c r="G5" s="87" t="s">
        <v>7</v>
      </c>
    </row>
    <row r="6" spans="1:7" ht="15.75" x14ac:dyDescent="0.25">
      <c r="A6" s="28" t="s">
        <v>8</v>
      </c>
      <c r="B6" s="29">
        <f ca="1">SUM(B4:B5)</f>
        <v>9573.9</v>
      </c>
      <c r="D6" s="88">
        <v>20000</v>
      </c>
      <c r="E6" s="88">
        <f>B3</f>
        <v>15751.09</v>
      </c>
      <c r="F6" s="88">
        <f>D6-E6</f>
        <v>4248.91</v>
      </c>
      <c r="G6" s="88">
        <f>F6</f>
        <v>4248.91</v>
      </c>
    </row>
    <row r="7" spans="1:7" ht="15" x14ac:dyDescent="0.25">
      <c r="A7" s="2"/>
      <c r="B7" s="2"/>
    </row>
    <row r="8" spans="1:7" ht="15.75" x14ac:dyDescent="0.25">
      <c r="A8" s="95" t="s">
        <v>9</v>
      </c>
      <c r="B8" s="95"/>
      <c r="E8" s="87" t="s">
        <v>160</v>
      </c>
    </row>
    <row r="9" spans="1:7" ht="15" x14ac:dyDescent="0.25">
      <c r="A9" s="30" t="s">
        <v>10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2605</v>
      </c>
      <c r="E9" s="88">
        <f>(E6/25)*25</f>
        <v>15751.09</v>
      </c>
    </row>
    <row r="10" spans="1:7" ht="15" x14ac:dyDescent="0.25">
      <c r="A10" s="30" t="s">
        <v>11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695</v>
      </c>
    </row>
    <row r="11" spans="1:7" ht="15" x14ac:dyDescent="0.25">
      <c r="A11" s="30" t="s">
        <v>12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</row>
    <row r="12" spans="1:7" ht="15" x14ac:dyDescent="0.25">
      <c r="A12" s="30" t="s">
        <v>13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5410</v>
      </c>
    </row>
    <row r="13" spans="1:7" ht="15" x14ac:dyDescent="0.25">
      <c r="A13" s="30" t="s">
        <v>14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850.9</v>
      </c>
    </row>
    <row r="14" spans="1:7" ht="15.75" x14ac:dyDescent="0.25">
      <c r="A14" s="28" t="s">
        <v>15</v>
      </c>
      <c r="B14" s="86">
        <f ca="1">SUM(B9:B13)</f>
        <v>9560.9</v>
      </c>
    </row>
    <row r="15" spans="1:7" ht="15" x14ac:dyDescent="0.25">
      <c r="A15" s="2"/>
      <c r="B15" s="2"/>
    </row>
    <row r="16" spans="1:7" ht="15" x14ac:dyDescent="0.2">
      <c r="A16" s="95" t="s">
        <v>16</v>
      </c>
      <c r="B16" s="95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2634.8</v>
      </c>
    </row>
    <row r="18" spans="1:2" ht="15.75" x14ac:dyDescent="0.25">
      <c r="A18" s="28" t="s">
        <v>15</v>
      </c>
      <c r="B18" s="86">
        <f>SUM(B17:B17)</f>
        <v>2634.8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I16" sqref="I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45352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617</v>
      </c>
      <c r="F6" s="25" t="s">
        <v>25</v>
      </c>
      <c r="G6" s="26" t="s">
        <v>26</v>
      </c>
      <c r="H6" s="8" t="s">
        <v>27</v>
      </c>
      <c r="I6" s="8">
        <v>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590</v>
      </c>
      <c r="L15" s="9" t="s">
        <v>33</v>
      </c>
      <c r="M15" s="16" t="s">
        <v>34</v>
      </c>
      <c r="R15" s="1">
        <f>IF(vend1[[#This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45353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1254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10</v>
      </c>
      <c r="D6" s="2"/>
      <c r="E6" s="18">
        <v>618</v>
      </c>
      <c r="F6" s="25" t="s">
        <v>43</v>
      </c>
      <c r="G6" s="46" t="s">
        <v>11</v>
      </c>
      <c r="H6" s="8">
        <v>1254</v>
      </c>
      <c r="I6" s="8">
        <v>10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28</v>
      </c>
      <c r="C8" s="29"/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10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611</v>
      </c>
      <c r="L15" s="9" t="s">
        <v>33</v>
      </c>
      <c r="M15" s="16" t="s">
        <v>34</v>
      </c>
      <c r="R15" s="1">
        <f>IF(vend2[[#This Row],[Nº Venda]]&gt;1,1,0)</f>
        <v>0</v>
      </c>
    </row>
    <row r="16" spans="2:18" ht="15.75" x14ac:dyDescent="0.25">
      <c r="B16" s="28" t="s">
        <v>15</v>
      </c>
      <c r="C16" s="32">
        <f>SUM(C11:C15)</f>
        <v>10</v>
      </c>
      <c r="D16" s="2"/>
      <c r="E16" s="18"/>
      <c r="F16" s="25"/>
      <c r="G16" s="26"/>
      <c r="H16" s="8"/>
      <c r="I16" s="8"/>
      <c r="J16" s="2"/>
      <c r="K16" s="25"/>
      <c r="L16" s="90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1254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80" zoomScaleNormal="80" workbookViewId="0">
      <selection activeCell="E24" sqref="E23:I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45354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IF(vend3[[#This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45355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200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28</v>
      </c>
      <c r="C8" s="29">
        <f>SUM(C6:C7)</f>
        <v>200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IF(vend4[[#This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14</v>
      </c>
      <c r="C15" s="31">
        <f t="shared" si="0"/>
        <v>86</v>
      </c>
      <c r="D15" s="2"/>
      <c r="E15" s="18"/>
      <c r="F15" s="25"/>
      <c r="G15" s="26"/>
      <c r="H15" s="8"/>
      <c r="I15" s="8"/>
      <c r="J15" s="2"/>
      <c r="K15" s="25">
        <v>600</v>
      </c>
      <c r="L15" s="25" t="s">
        <v>33</v>
      </c>
      <c r="M15" s="25" t="s">
        <v>34</v>
      </c>
      <c r="R15" s="1">
        <f>IF(vend4[[#This Row],[Nº Venda]]&gt;1,1,0)</f>
        <v>0</v>
      </c>
    </row>
    <row r="16" spans="2:18" ht="15.75" x14ac:dyDescent="0.25">
      <c r="B16" s="28" t="s">
        <v>15</v>
      </c>
      <c r="C16" s="32">
        <f>SUM(C11:C15)</f>
        <v>286</v>
      </c>
      <c r="D16" s="2"/>
      <c r="E16" s="18"/>
      <c r="F16" s="25"/>
      <c r="G16" s="26"/>
      <c r="H16" s="8"/>
      <c r="I16" s="8"/>
      <c r="J16" s="2"/>
      <c r="K16" s="25">
        <v>613</v>
      </c>
      <c r="L16" s="25" t="s">
        <v>33</v>
      </c>
      <c r="M16" s="25" t="s">
        <v>34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25"/>
      <c r="M17" s="25"/>
      <c r="R17" s="1">
        <f>IF(vend4[[#This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613</v>
      </c>
      <c r="F26" s="25" t="s">
        <v>44</v>
      </c>
      <c r="G26" s="46" t="s">
        <v>11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>
        <v>316</v>
      </c>
      <c r="F35" s="25" t="s">
        <v>45</v>
      </c>
      <c r="G35" s="26" t="s">
        <v>14</v>
      </c>
      <c r="H35" s="8">
        <v>86</v>
      </c>
      <c r="I35" s="8" t="s">
        <v>46</v>
      </c>
      <c r="K35" s="25"/>
      <c r="L35" s="41"/>
      <c r="M35" s="16"/>
    </row>
    <row r="36" spans="2:18" ht="15.75" x14ac:dyDescent="0.25">
      <c r="E36" s="89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7" zoomScale="80" zoomScaleNormal="8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45356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619</v>
      </c>
      <c r="F6" s="25" t="s">
        <v>47</v>
      </c>
      <c r="G6" s="46" t="s">
        <v>27</v>
      </c>
      <c r="H6" s="8">
        <v>0</v>
      </c>
      <c r="I6" s="8">
        <v>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28</v>
      </c>
      <c r="C8" s="29">
        <f>SUM(C6:C7)</f>
        <v>300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150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IF(vend5[[#This Row],[Nº Venda]]&gt;1,1,0)</f>
        <v>0</v>
      </c>
    </row>
    <row r="14" spans="2:18" ht="15.75" x14ac:dyDescent="0.25">
      <c r="B14" s="30" t="s">
        <v>13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71"/>
      <c r="N15" s="16"/>
      <c r="R15" s="1">
        <f>IF(vend5[[#This Row],[Nº Venda]]&gt;1,1,0)</f>
        <v>0</v>
      </c>
    </row>
    <row r="16" spans="2:18" ht="15.75" x14ac:dyDescent="0.25">
      <c r="B16" s="28" t="s">
        <v>15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/>
      <c r="L16" s="9"/>
      <c r="M16" s="70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614</v>
      </c>
      <c r="F26" s="25" t="s">
        <v>48</v>
      </c>
      <c r="G26" s="46" t="s">
        <v>13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>
        <v>198</v>
      </c>
      <c r="F35" s="25" t="s">
        <v>49</v>
      </c>
      <c r="G35" s="26" t="s">
        <v>10</v>
      </c>
      <c r="H35" s="8">
        <v>150</v>
      </c>
      <c r="I35" s="8" t="s">
        <v>50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24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45357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620</v>
      </c>
      <c r="F6" s="25" t="s">
        <v>51</v>
      </c>
      <c r="G6" s="26" t="s">
        <v>10</v>
      </c>
      <c r="H6" s="8">
        <v>700</v>
      </c>
      <c r="I6" s="8">
        <v>200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28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95" t="s">
        <v>9</v>
      </c>
      <c r="C10" s="95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8" t="s">
        <v>15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A19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45358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1400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" x14ac:dyDescent="0.25">
      <c r="B6" s="23" t="s">
        <v>2</v>
      </c>
      <c r="C6" s="24">
        <f>SUM(I6:I41)</f>
        <v>600</v>
      </c>
      <c r="D6" s="2"/>
      <c r="E6" s="51" t="s">
        <v>52</v>
      </c>
      <c r="F6" s="49" t="s">
        <v>53</v>
      </c>
      <c r="G6" s="49" t="s">
        <v>13</v>
      </c>
      <c r="H6" s="50">
        <v>500</v>
      </c>
      <c r="I6" s="50">
        <v>500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28</v>
      </c>
      <c r="C8" s="29">
        <f>SUM(C6:C7)</f>
        <v>600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IF(vend7[[#This Row],[Nº Venda]]&gt;1,1,0)</f>
        <v>0</v>
      </c>
    </row>
    <row r="14" spans="2:18" ht="15.75" x14ac:dyDescent="0.25">
      <c r="B14" s="30" t="s">
        <v>13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15</v>
      </c>
      <c r="C16" s="32">
        <f>SUM(C11:C15)</f>
        <v>600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35</v>
      </c>
      <c r="C22" s="32">
        <f>C5</f>
        <v>1400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82">
        <v>615</v>
      </c>
      <c r="F26" s="67" t="s">
        <v>54</v>
      </c>
      <c r="G26" s="83" t="s">
        <v>11</v>
      </c>
      <c r="H26" s="84">
        <v>900</v>
      </c>
      <c r="I26" s="84">
        <v>100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topLeftCell="A22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45359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450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" x14ac:dyDescent="0.25">
      <c r="B6" s="23" t="s">
        <v>2</v>
      </c>
      <c r="C6" s="24">
        <f>SUM(I6:I41)</f>
        <v>950</v>
      </c>
      <c r="D6" s="2"/>
      <c r="E6" s="56">
        <v>622</v>
      </c>
      <c r="F6" s="8" t="s">
        <v>55</v>
      </c>
      <c r="G6" s="8" t="s">
        <v>10</v>
      </c>
      <c r="H6" s="8">
        <v>450</v>
      </c>
      <c r="I6" s="8">
        <v>50</v>
      </c>
      <c r="J6" s="2"/>
      <c r="K6" s="25" t="s">
        <v>56</v>
      </c>
      <c r="L6" s="9" t="s">
        <v>14</v>
      </c>
      <c r="M6" s="16">
        <v>13</v>
      </c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13</v>
      </c>
      <c r="D7" s="2"/>
      <c r="E7" s="5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28</v>
      </c>
      <c r="C8" s="29">
        <f>SUM(C6:C7)</f>
        <v>963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IF(vend8[[#This Row],[Nº Venda]]&gt;1,1,0)</f>
        <v>0</v>
      </c>
    </row>
    <row r="14" spans="2:18" ht="15.75" x14ac:dyDescent="0.25">
      <c r="B14" s="30" t="s">
        <v>13</v>
      </c>
      <c r="C14" s="31">
        <f t="shared" si="0"/>
        <v>900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601</v>
      </c>
      <c r="L15" s="9" t="s">
        <v>33</v>
      </c>
      <c r="M15" s="16" t="s">
        <v>34</v>
      </c>
      <c r="R15" s="1">
        <f>IF(vend8[[#This Row],[Nº Venda]]&gt;1,1,0)</f>
        <v>0</v>
      </c>
    </row>
    <row r="16" spans="2:18" ht="15.75" x14ac:dyDescent="0.25">
      <c r="B16" s="28" t="s">
        <v>15</v>
      </c>
      <c r="C16" s="32">
        <f>SUM(C11:C15)</f>
        <v>1000</v>
      </c>
      <c r="D16" s="2"/>
      <c r="E16" s="18"/>
      <c r="F16" s="25"/>
      <c r="G16" s="26"/>
      <c r="H16" s="8"/>
      <c r="I16" s="8"/>
      <c r="J16" s="2"/>
      <c r="K16" s="25">
        <v>606</v>
      </c>
      <c r="L16" s="9" t="s">
        <v>33</v>
      </c>
      <c r="M16" s="16" t="s">
        <v>34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2">
        <v>601</v>
      </c>
      <c r="F26" s="67" t="s">
        <v>57</v>
      </c>
      <c r="G26" s="83" t="s">
        <v>13</v>
      </c>
      <c r="H26" s="84"/>
      <c r="I26" s="84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>
        <v>264</v>
      </c>
      <c r="F35" s="25" t="s">
        <v>58</v>
      </c>
      <c r="G35" s="26" t="s">
        <v>10</v>
      </c>
      <c r="H35" s="8">
        <v>50</v>
      </c>
      <c r="I35" s="8" t="s">
        <v>59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14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45360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100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28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IF(vend9[[#This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15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15</v>
      </c>
      <c r="C20" s="32">
        <f>SUM(C19:C19)</f>
        <v>400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620</v>
      </c>
      <c r="F26" s="25" t="s">
        <v>51</v>
      </c>
      <c r="G26" s="4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>
        <v>620</v>
      </c>
      <c r="L35" s="41">
        <v>4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7" zoomScale="80" zoomScaleNormal="80" workbookViewId="0">
      <selection activeCell="I41" sqref="E36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45361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10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11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12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IF(vend10[[#This Row],[Nº Venda]]&gt;1,1,0)</f>
        <v>0</v>
      </c>
    </row>
    <row r="14" spans="2:18" ht="15.75" x14ac:dyDescent="0.25">
      <c r="B14" s="30" t="s">
        <v>13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14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70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97" t="s">
        <v>16</v>
      </c>
      <c r="L33" s="98"/>
      <c r="M33" s="99"/>
    </row>
    <row r="34" spans="2:18" ht="15" x14ac:dyDescent="0.25">
      <c r="E34" s="96" t="s">
        <v>37</v>
      </c>
      <c r="F34" s="96"/>
      <c r="G34" s="96"/>
      <c r="H34" s="96"/>
      <c r="I34" s="96"/>
      <c r="K34" s="14" t="s">
        <v>30</v>
      </c>
      <c r="L34" s="6" t="s">
        <v>40</v>
      </c>
      <c r="M34" s="15" t="s">
        <v>41</v>
      </c>
    </row>
    <row r="35" spans="2:18" ht="15" x14ac:dyDescent="0.25">
      <c r="E35" s="10" t="s">
        <v>30</v>
      </c>
      <c r="F35" s="10" t="s">
        <v>19</v>
      </c>
      <c r="G35" s="11" t="s">
        <v>20</v>
      </c>
      <c r="H35" s="12" t="s">
        <v>38</v>
      </c>
      <c r="I35" s="13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32" zoomScale="80" zoomScaleNormal="80" workbookViewId="0">
      <selection activeCell="K35" sqref="K35:M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45362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IF(vend11[[#This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5" zoomScale="80" zoomScaleNormal="80" workbookViewId="0">
      <selection activeCell="G9" sqref="G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45363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" x14ac:dyDescent="0.25">
      <c r="B6" s="23" t="s">
        <v>2</v>
      </c>
      <c r="C6" s="24">
        <f>SUM(I6:I41)</f>
        <v>0</v>
      </c>
      <c r="D6" s="2"/>
      <c r="E6" s="57" t="s">
        <v>60</v>
      </c>
      <c r="F6" s="58" t="s">
        <v>61</v>
      </c>
      <c r="G6" s="58" t="s">
        <v>26</v>
      </c>
      <c r="H6" s="59" t="s">
        <v>27</v>
      </c>
      <c r="I6" s="59">
        <v>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IF(vend12[[#This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617</v>
      </c>
      <c r="L15" s="9" t="s">
        <v>62</v>
      </c>
      <c r="M15" s="16" t="s">
        <v>34</v>
      </c>
      <c r="R15" s="1">
        <f>IF(vend12[[#This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9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45364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877.2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624</v>
      </c>
      <c r="F6" s="25" t="s">
        <v>63</v>
      </c>
      <c r="G6" s="26" t="s">
        <v>14</v>
      </c>
      <c r="H6" s="8">
        <v>877.2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625</v>
      </c>
      <c r="F7" s="25" t="s">
        <v>63</v>
      </c>
      <c r="G7" s="26" t="s">
        <v>26</v>
      </c>
      <c r="H7" s="8">
        <v>0</v>
      </c>
      <c r="I7" s="8">
        <v>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28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IF(vend13[[#This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14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15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877.2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6" zoomScale="80" zoomScaleNormal="80" workbookViewId="0">
      <selection activeCell="H6" sqref="H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45365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626</v>
      </c>
      <c r="F6" s="25" t="s">
        <v>64</v>
      </c>
      <c r="G6" s="46" t="s">
        <v>26</v>
      </c>
      <c r="H6" s="8">
        <v>643</v>
      </c>
      <c r="I6" s="8">
        <v>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 t="s">
        <v>65</v>
      </c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IF(vend14[[#This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32" zoomScale="80" zoomScaleNormal="80" workbookViewId="0">
      <selection activeCell="I22" sqref="I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45366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627</v>
      </c>
      <c r="F6" s="25" t="s">
        <v>66</v>
      </c>
      <c r="G6" s="46" t="s">
        <v>26</v>
      </c>
      <c r="H6" s="8">
        <v>600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28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IF(vend15[[#This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15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836.8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15</v>
      </c>
      <c r="C20" s="32">
        <f>SUM(C19:C19)</f>
        <v>836.8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615</v>
      </c>
      <c r="F26" s="25" t="s">
        <v>67</v>
      </c>
      <c r="G26" s="46" t="s">
        <v>11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>
        <v>615</v>
      </c>
      <c r="L35" s="41">
        <v>8</v>
      </c>
      <c r="M35" s="16">
        <v>836.8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abSelected="1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45367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628</v>
      </c>
      <c r="F6" s="25" t="s">
        <v>68</v>
      </c>
      <c r="G6" s="46" t="s">
        <v>11</v>
      </c>
      <c r="H6" s="8">
        <v>500</v>
      </c>
      <c r="I6" s="8">
        <v>250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28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335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IF(vend16[[#This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621</v>
      </c>
      <c r="L15" s="9" t="s">
        <v>33</v>
      </c>
      <c r="M15" s="16" t="s">
        <v>34</v>
      </c>
      <c r="R15" s="1">
        <f>IF(vend16[[#This Row],[Nº Venda]]&gt;1,1,0)</f>
        <v>0</v>
      </c>
    </row>
    <row r="16" spans="2:18" ht="15.75" x14ac:dyDescent="0.25">
      <c r="B16" s="28" t="s">
        <v>15</v>
      </c>
      <c r="C16" s="32">
        <f>SUM(C11:C15)</f>
        <v>385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1198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15</v>
      </c>
      <c r="C20" s="32">
        <f>SUM(C19:C19)</f>
        <v>1198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599</v>
      </c>
      <c r="F26" s="25" t="s">
        <v>69</v>
      </c>
      <c r="G26" s="46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>
        <v>521</v>
      </c>
      <c r="F35" s="25" t="s">
        <v>70</v>
      </c>
      <c r="G35" s="26" t="s">
        <v>11</v>
      </c>
      <c r="H35" s="8">
        <v>85</v>
      </c>
      <c r="I35" s="8" t="s">
        <v>71</v>
      </c>
      <c r="K35" s="25">
        <v>599</v>
      </c>
      <c r="L35" s="41">
        <v>10</v>
      </c>
      <c r="M35" s="16">
        <v>1198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4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45368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IF(vend17[[#This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K6" sqref="K6:M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9">
        <f>'17'!B1+1</f>
        <v>45369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0"/>
      <c r="I6" s="8"/>
      <c r="J6" s="2"/>
      <c r="K6" s="25"/>
      <c r="L6" s="74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0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IF(vend18[[#This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72"/>
      <c r="F23" s="72"/>
      <c r="G23" s="72"/>
      <c r="H23" s="73"/>
      <c r="I23" s="73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45370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629</v>
      </c>
      <c r="F6" s="25" t="s">
        <v>156</v>
      </c>
      <c r="G6" s="26" t="s">
        <v>10</v>
      </c>
      <c r="H6" s="8">
        <v>350</v>
      </c>
      <c r="I6" s="8">
        <v>200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5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28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IF(vend19[[#This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15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9">
        <f>'19'!B1+1</f>
        <v>45371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IF(vend20[[#This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8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8"/>
      <c r="L16" s="76"/>
      <c r="M16" s="77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77"/>
    </row>
    <row r="36" spans="2:18" ht="15.75" x14ac:dyDescent="0.25">
      <c r="E36" s="18"/>
      <c r="F36" s="25"/>
      <c r="G36" s="26"/>
      <c r="H36" s="8"/>
      <c r="I36" s="8"/>
      <c r="K36" s="68"/>
      <c r="L36" s="78"/>
      <c r="M36" s="77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I28" sqref="I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45372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2979.99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1989</v>
      </c>
      <c r="D6" s="2"/>
      <c r="E6" s="18">
        <v>630</v>
      </c>
      <c r="F6" s="25" t="s">
        <v>157</v>
      </c>
      <c r="G6" s="26" t="s">
        <v>14</v>
      </c>
      <c r="H6" s="8">
        <v>280</v>
      </c>
      <c r="I6" s="8">
        <v>280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631</v>
      </c>
      <c r="F7" s="25" t="s">
        <v>158</v>
      </c>
      <c r="G7" s="26" t="s">
        <v>13</v>
      </c>
      <c r="H7" s="8">
        <v>1899.99</v>
      </c>
      <c r="I7" s="8">
        <v>1059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28</v>
      </c>
      <c r="C8" s="29">
        <f>SUM(C6:C7)</f>
        <v>1989</v>
      </c>
      <c r="D8" s="2"/>
      <c r="E8" s="18">
        <v>632</v>
      </c>
      <c r="F8" s="25" t="s">
        <v>159</v>
      </c>
      <c r="G8" s="26" t="s">
        <v>13</v>
      </c>
      <c r="H8" s="8">
        <v>800</v>
      </c>
      <c r="I8" s="8">
        <v>500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IF(vend21[[#This Row],[Nº Venda]]&gt;1,1,0)</f>
        <v>0</v>
      </c>
    </row>
    <row r="14" spans="2:18" ht="15.75" x14ac:dyDescent="0.25">
      <c r="B14" s="30" t="s">
        <v>13</v>
      </c>
      <c r="C14" s="31">
        <f t="shared" si="0"/>
        <v>1559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14</v>
      </c>
      <c r="C15" s="31">
        <f t="shared" si="0"/>
        <v>280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15</v>
      </c>
      <c r="C16" s="32">
        <f>SUM(C11:C15)</f>
        <v>1989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15</v>
      </c>
      <c r="C20" s="32">
        <f>SUM(C19:C19)</f>
        <v>200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2979.99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622</v>
      </c>
      <c r="F26" s="25" t="s">
        <v>55</v>
      </c>
      <c r="G26" s="26" t="s">
        <v>10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>
        <v>622</v>
      </c>
      <c r="L35" s="41">
        <v>2</v>
      </c>
      <c r="M35" s="16">
        <v>200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G6" sqref="G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45373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IF(vend22[[#This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2" zoomScale="80" zoomScaleNormal="80" workbookViewId="0">
      <selection activeCell="E6" sqref="E6:I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45374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IF(vend23[[#This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45375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6189.9000000000005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3660.9999999999995</v>
      </c>
      <c r="D6" s="2"/>
      <c r="E6" s="18">
        <v>633</v>
      </c>
      <c r="F6" s="25" t="s">
        <v>164</v>
      </c>
      <c r="G6" s="26" t="s">
        <v>10</v>
      </c>
      <c r="H6" s="8">
        <v>699.9</v>
      </c>
      <c r="I6" s="8">
        <v>50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634</v>
      </c>
      <c r="F7" s="25" t="s">
        <v>162</v>
      </c>
      <c r="G7" s="26" t="s">
        <v>13</v>
      </c>
      <c r="H7" s="8">
        <v>750.08</v>
      </c>
      <c r="I7" s="8">
        <v>750.08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28</v>
      </c>
      <c r="C8" s="29">
        <f>SUM(C6:C7)</f>
        <v>3660.9999999999995</v>
      </c>
      <c r="D8" s="2"/>
      <c r="E8" s="18">
        <v>635</v>
      </c>
      <c r="F8" s="25" t="s">
        <v>162</v>
      </c>
      <c r="G8" s="26" t="s">
        <v>13</v>
      </c>
      <c r="H8" s="8">
        <v>410.92</v>
      </c>
      <c r="I8" s="8">
        <v>410.92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636</v>
      </c>
      <c r="F9" s="25" t="s">
        <v>163</v>
      </c>
      <c r="G9" s="26" t="s">
        <v>13</v>
      </c>
      <c r="H9" s="8">
        <v>990</v>
      </c>
      <c r="I9" s="8">
        <v>990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95" t="s">
        <v>9</v>
      </c>
      <c r="C10" s="95"/>
      <c r="D10" s="2"/>
      <c r="E10" s="18">
        <v>637</v>
      </c>
      <c r="F10" s="25" t="s">
        <v>165</v>
      </c>
      <c r="G10" s="26" t="s">
        <v>10</v>
      </c>
      <c r="H10" s="8">
        <v>750</v>
      </c>
      <c r="I10" s="8">
        <v>100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10</v>
      </c>
      <c r="C11" s="31">
        <f>(SUMIF($G$2:$G$31,B11,$I$2:$I$31))+(SUMIF($G$35:$G$41,B11,$H$35:$H$41))</f>
        <v>1490.0000000000002</v>
      </c>
      <c r="D11" s="2"/>
      <c r="E11" s="18">
        <v>638</v>
      </c>
      <c r="F11" s="25" t="s">
        <v>165</v>
      </c>
      <c r="G11" s="26" t="s">
        <v>10</v>
      </c>
      <c r="H11" s="8">
        <v>350</v>
      </c>
      <c r="I11" s="8">
        <v>60</v>
      </c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>
        <v>639</v>
      </c>
      <c r="F12" s="25" t="s">
        <v>161</v>
      </c>
      <c r="G12" s="26" t="s">
        <v>10</v>
      </c>
      <c r="H12" s="8">
        <v>450.16</v>
      </c>
      <c r="I12" s="8">
        <v>450.16</v>
      </c>
      <c r="J12" s="2"/>
      <c r="R12" s="1">
        <f>IF(vend24[[#This Row],[Nº Venda]]&gt;1,1,0)</f>
        <v>1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>
        <v>640</v>
      </c>
      <c r="F13" s="25" t="s">
        <v>161</v>
      </c>
      <c r="G13" s="26" t="s">
        <v>10</v>
      </c>
      <c r="H13" s="8">
        <v>450.16</v>
      </c>
      <c r="I13" s="8">
        <v>450.16</v>
      </c>
      <c r="J13" s="2"/>
      <c r="K13" s="97" t="s">
        <v>29</v>
      </c>
      <c r="L13" s="98"/>
      <c r="M13" s="99"/>
      <c r="R13" s="1">
        <f>IF(vend24[[#This Row],[Nº Venda]]&gt;1,1,0)</f>
        <v>1</v>
      </c>
    </row>
    <row r="14" spans="2:18" ht="15.75" x14ac:dyDescent="0.25">
      <c r="B14" s="30" t="s">
        <v>13</v>
      </c>
      <c r="C14" s="31">
        <f t="shared" si="0"/>
        <v>2151</v>
      </c>
      <c r="D14" s="2"/>
      <c r="E14" s="18">
        <v>641</v>
      </c>
      <c r="F14" s="25" t="s">
        <v>161</v>
      </c>
      <c r="G14" s="26" t="s">
        <v>10</v>
      </c>
      <c r="H14" s="8">
        <v>349.68</v>
      </c>
      <c r="I14" s="8">
        <v>349.68</v>
      </c>
      <c r="J14" s="2"/>
      <c r="K14" s="14" t="s">
        <v>30</v>
      </c>
      <c r="L14" s="6" t="s">
        <v>31</v>
      </c>
      <c r="M14" s="15" t="s">
        <v>32</v>
      </c>
      <c r="R14" s="1">
        <f>IF(vend24[[#This Row],[Nº Venda]]&gt;1,1,0)</f>
        <v>1</v>
      </c>
    </row>
    <row r="15" spans="2:18" ht="15.75" x14ac:dyDescent="0.25">
      <c r="B15" s="30" t="s">
        <v>14</v>
      </c>
      <c r="C15" s="31">
        <f t="shared" si="0"/>
        <v>20</v>
      </c>
      <c r="D15" s="2"/>
      <c r="E15" s="18">
        <v>642</v>
      </c>
      <c r="F15" s="25" t="s">
        <v>166</v>
      </c>
      <c r="G15" s="26" t="s">
        <v>10</v>
      </c>
      <c r="H15" s="8">
        <v>590</v>
      </c>
      <c r="I15" s="8">
        <v>30</v>
      </c>
      <c r="J15" s="2"/>
      <c r="K15" s="25"/>
      <c r="L15" s="9"/>
      <c r="M15" s="16"/>
      <c r="R15" s="1">
        <f>IF(vend24[[#This Row],[Nº Venda]]&gt;1,1,0)</f>
        <v>1</v>
      </c>
    </row>
    <row r="16" spans="2:18" ht="15.75" x14ac:dyDescent="0.25">
      <c r="B16" s="28" t="s">
        <v>15</v>
      </c>
      <c r="C16" s="32">
        <f>SUM(C11:C15)</f>
        <v>3661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>
        <v>644</v>
      </c>
      <c r="F17" s="25" t="s">
        <v>167</v>
      </c>
      <c r="G17" s="26" t="s">
        <v>14</v>
      </c>
      <c r="H17" s="8">
        <v>399</v>
      </c>
      <c r="I17" s="8">
        <v>20</v>
      </c>
      <c r="J17" s="2"/>
      <c r="K17" s="25"/>
      <c r="L17" s="9"/>
      <c r="M17" s="16"/>
      <c r="R17" s="1">
        <f>IF(vend24[[#This Row],[Nº Venda]]&gt;1,1,0)</f>
        <v>1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6189.9000000000005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8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4">
        <f>'24'!B1+1</f>
        <v>45376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28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145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11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12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IF(vend25[[#This Row],[Nº Venda]]&gt;1,1,0)</f>
        <v>0</v>
      </c>
    </row>
    <row r="14" spans="2:18" ht="15.75" x14ac:dyDescent="0.25">
      <c r="B14" s="30" t="s">
        <v>13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14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619</v>
      </c>
      <c r="L15" s="9" t="s">
        <v>33</v>
      </c>
      <c r="M15" s="16" t="s">
        <v>34</v>
      </c>
      <c r="R15" s="1">
        <f>IF(vend25[[#This Row],[Nº Venda]]&gt;1,1,0)</f>
        <v>0</v>
      </c>
    </row>
    <row r="16" spans="2:18" ht="15.75" x14ac:dyDescent="0.25">
      <c r="B16" s="28" t="s">
        <v>15</v>
      </c>
      <c r="C16" s="32">
        <f ca="1">SUM(C11:C15)</f>
        <v>145</v>
      </c>
      <c r="D16" s="2"/>
      <c r="E16" s="18"/>
      <c r="F16" s="25"/>
      <c r="G16" s="26"/>
      <c r="H16" s="8"/>
      <c r="I16" s="8"/>
      <c r="J16" s="2"/>
      <c r="K16" s="91">
        <v>623</v>
      </c>
      <c r="L16" s="92" t="s">
        <v>33</v>
      </c>
      <c r="M16" s="93" t="s">
        <v>34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91"/>
      <c r="L17" s="92"/>
      <c r="M17" s="93"/>
      <c r="R17" s="1">
        <f>IF(vend25[[#This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618</v>
      </c>
      <c r="F26" s="25" t="s">
        <v>43</v>
      </c>
      <c r="G26" s="26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>
        <v>537</v>
      </c>
      <c r="F35" s="25" t="s">
        <v>168</v>
      </c>
      <c r="G35" s="26" t="s">
        <v>10</v>
      </c>
      <c r="H35" s="81">
        <v>95</v>
      </c>
      <c r="I35" s="8" t="s">
        <v>71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45377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20</v>
      </c>
      <c r="D6" s="2"/>
      <c r="E6" s="18">
        <v>643</v>
      </c>
      <c r="F6" s="25" t="s">
        <v>169</v>
      </c>
      <c r="G6" s="26" t="s">
        <v>10</v>
      </c>
      <c r="H6" s="8">
        <v>700</v>
      </c>
      <c r="I6" s="8">
        <v>20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28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IF(vend26[[#This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15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" zoomScale="80" zoomScaleNormal="80" workbookViewId="0">
      <selection activeCell="K35" sqref="K35:M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45378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IF(vend27[[#This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45379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IF(vend28[[#This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9">
        <f>'28'!B1+1</f>
        <v>45380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IF(vend29[[#This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8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8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8"/>
      <c r="L17" s="9"/>
      <c r="M17" s="16"/>
      <c r="R17" s="1">
        <f>IF(vend29[[#This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45381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350</v>
      </c>
      <c r="D6" s="2"/>
      <c r="E6" s="18">
        <v>645</v>
      </c>
      <c r="F6" s="25" t="s">
        <v>170</v>
      </c>
      <c r="G6" s="26" t="s">
        <v>14</v>
      </c>
      <c r="H6" s="8">
        <v>350</v>
      </c>
      <c r="I6" s="8">
        <v>350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28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IF(vend30[[#This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14</v>
      </c>
      <c r="C15" s="31">
        <f t="shared" si="0"/>
        <v>414.9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15</v>
      </c>
      <c r="C16" s="32">
        <f>SUM(C11:C15)</f>
        <v>414.9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>
        <v>473</v>
      </c>
      <c r="F35" s="25" t="s">
        <v>171</v>
      </c>
      <c r="G35" s="26" t="s">
        <v>14</v>
      </c>
      <c r="H35" s="8">
        <v>64.900000000000006</v>
      </c>
      <c r="I35" s="8" t="s">
        <v>127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E35" sqref="E35: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45382</v>
      </c>
    </row>
    <row r="2" spans="2:18" ht="18.75" x14ac:dyDescent="0.2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18</v>
      </c>
      <c r="F5" s="10" t="s">
        <v>19</v>
      </c>
      <c r="G5" s="11" t="s">
        <v>20</v>
      </c>
      <c r="H5" s="12" t="s">
        <v>21</v>
      </c>
      <c r="I5" s="13" t="s">
        <v>2</v>
      </c>
      <c r="J5" s="2"/>
      <c r="K5" s="14" t="s">
        <v>22</v>
      </c>
      <c r="L5" s="6" t="s">
        <v>23</v>
      </c>
      <c r="M5" s="15" t="s">
        <v>24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28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5" t="s">
        <v>9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10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11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12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29</v>
      </c>
      <c r="L13" s="98"/>
      <c r="M13" s="99"/>
      <c r="R13" s="1">
        <f>IF(vend31[[#This Row],[Nº Venda]]&gt;1,1,0)</f>
        <v>0</v>
      </c>
    </row>
    <row r="14" spans="2:18" ht="15.75" x14ac:dyDescent="0.25">
      <c r="B14" s="30" t="s">
        <v>13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30</v>
      </c>
      <c r="L14" s="6" t="s">
        <v>31</v>
      </c>
      <c r="M14" s="15" t="s">
        <v>32</v>
      </c>
      <c r="R14" s="1">
        <f>IF(vend31[[#This Row],[Nº Venda]]&gt;1,1,0)</f>
        <v>0</v>
      </c>
    </row>
    <row r="15" spans="2:18" ht="15.75" x14ac:dyDescent="0.25">
      <c r="B15" s="30" t="s">
        <v>14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15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5" t="s">
        <v>16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15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35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36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18</v>
      </c>
      <c r="F25" s="10" t="s">
        <v>19</v>
      </c>
      <c r="G25" s="11" t="s">
        <v>20</v>
      </c>
      <c r="H25" s="12" t="s">
        <v>21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37</v>
      </c>
      <c r="F33" s="96"/>
      <c r="G33" s="96"/>
      <c r="H33" s="96"/>
      <c r="I33" s="96"/>
      <c r="K33" s="97" t="s">
        <v>16</v>
      </c>
      <c r="L33" s="98"/>
      <c r="M33" s="99"/>
    </row>
    <row r="34" spans="2:18" ht="15" x14ac:dyDescent="0.25">
      <c r="E34" s="10" t="s">
        <v>30</v>
      </c>
      <c r="F34" s="10" t="s">
        <v>19</v>
      </c>
      <c r="G34" s="11" t="s">
        <v>20</v>
      </c>
      <c r="H34" s="12" t="s">
        <v>38</v>
      </c>
      <c r="I34" s="13" t="s">
        <v>39</v>
      </c>
      <c r="K34" s="14" t="s">
        <v>30</v>
      </c>
      <c r="L34" s="6" t="s">
        <v>40</v>
      </c>
      <c r="M34" s="15" t="s">
        <v>41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42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8EC7-2998-4107-ADE0-EF7E58ABB209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72</v>
      </c>
      <c r="B1" s="38" t="s">
        <v>73</v>
      </c>
      <c r="E1" s="38" t="s">
        <v>74</v>
      </c>
    </row>
    <row r="2" spans="1:5" x14ac:dyDescent="0.2">
      <c r="A2" s="38" t="s">
        <v>10</v>
      </c>
      <c r="B2" s="38" t="s">
        <v>75</v>
      </c>
      <c r="E2" t="s">
        <v>76</v>
      </c>
    </row>
    <row r="3" spans="1:5" x14ac:dyDescent="0.2">
      <c r="A3" s="38" t="s">
        <v>11</v>
      </c>
      <c r="B3" s="38" t="s">
        <v>77</v>
      </c>
      <c r="E3" t="s">
        <v>78</v>
      </c>
    </row>
    <row r="4" spans="1:5" x14ac:dyDescent="0.2">
      <c r="A4" s="38" t="s">
        <v>12</v>
      </c>
      <c r="B4" s="38" t="s">
        <v>79</v>
      </c>
      <c r="E4" t="s">
        <v>80</v>
      </c>
    </row>
    <row r="5" spans="1:5" x14ac:dyDescent="0.2">
      <c r="A5" s="38" t="s">
        <v>13</v>
      </c>
      <c r="B5" s="38" t="s">
        <v>81</v>
      </c>
      <c r="E5" t="s">
        <v>50</v>
      </c>
    </row>
    <row r="6" spans="1:5" x14ac:dyDescent="0.2">
      <c r="A6" s="38" t="s">
        <v>14</v>
      </c>
      <c r="B6" s="38" t="s">
        <v>14</v>
      </c>
      <c r="E6" t="s">
        <v>82</v>
      </c>
    </row>
    <row r="7" spans="1:5" x14ac:dyDescent="0.2">
      <c r="A7" s="38" t="s">
        <v>26</v>
      </c>
      <c r="B7" s="38" t="s">
        <v>83</v>
      </c>
      <c r="E7" t="s">
        <v>84</v>
      </c>
    </row>
    <row r="8" spans="1:5" x14ac:dyDescent="0.2">
      <c r="A8" t="s">
        <v>32</v>
      </c>
      <c r="B8" t="s">
        <v>85</v>
      </c>
      <c r="E8" t="s">
        <v>86</v>
      </c>
    </row>
    <row r="9" spans="1:5" x14ac:dyDescent="0.2">
      <c r="A9" s="38" t="s">
        <v>27</v>
      </c>
      <c r="B9" s="38" t="s">
        <v>87</v>
      </c>
      <c r="E9" t="s">
        <v>88</v>
      </c>
    </row>
    <row r="10" spans="1:5" x14ac:dyDescent="0.2">
      <c r="E10" t="s">
        <v>89</v>
      </c>
    </row>
    <row r="11" spans="1:5" x14ac:dyDescent="0.2">
      <c r="E11" t="s">
        <v>90</v>
      </c>
    </row>
    <row r="12" spans="1:5" x14ac:dyDescent="0.2">
      <c r="E12" t="s">
        <v>91</v>
      </c>
    </row>
    <row r="13" spans="1:5" x14ac:dyDescent="0.2">
      <c r="E13" t="s">
        <v>92</v>
      </c>
    </row>
    <row r="14" spans="1:5" x14ac:dyDescent="0.2">
      <c r="E14" t="s">
        <v>46</v>
      </c>
    </row>
    <row r="15" spans="1:5" x14ac:dyDescent="0.2">
      <c r="E15" t="s">
        <v>93</v>
      </c>
    </row>
    <row r="16" spans="1:5" x14ac:dyDescent="0.2">
      <c r="E16" t="s">
        <v>94</v>
      </c>
    </row>
    <row r="17" spans="5:5" x14ac:dyDescent="0.2">
      <c r="E17" t="s">
        <v>95</v>
      </c>
    </row>
    <row r="18" spans="5:5" x14ac:dyDescent="0.2">
      <c r="E18" t="s">
        <v>96</v>
      </c>
    </row>
    <row r="19" spans="5:5" x14ac:dyDescent="0.2">
      <c r="E19" t="s">
        <v>97</v>
      </c>
    </row>
    <row r="20" spans="5:5" x14ac:dyDescent="0.2">
      <c r="E20" t="s">
        <v>98</v>
      </c>
    </row>
    <row r="21" spans="5:5" x14ac:dyDescent="0.2">
      <c r="E21" t="s">
        <v>99</v>
      </c>
    </row>
    <row r="22" spans="5:5" x14ac:dyDescent="0.2">
      <c r="E22" t="s">
        <v>100</v>
      </c>
    </row>
    <row r="23" spans="5:5" x14ac:dyDescent="0.2">
      <c r="E23" t="s">
        <v>101</v>
      </c>
    </row>
    <row r="24" spans="5:5" x14ac:dyDescent="0.2">
      <c r="E24" t="s">
        <v>102</v>
      </c>
    </row>
    <row r="25" spans="5:5" x14ac:dyDescent="0.2">
      <c r="E25" t="s">
        <v>71</v>
      </c>
    </row>
    <row r="26" spans="5:5" x14ac:dyDescent="0.2">
      <c r="E26" t="s">
        <v>103</v>
      </c>
    </row>
    <row r="27" spans="5:5" x14ac:dyDescent="0.2">
      <c r="E27" t="s">
        <v>104</v>
      </c>
    </row>
    <row r="28" spans="5:5" x14ac:dyDescent="0.2">
      <c r="E28" t="s">
        <v>105</v>
      </c>
    </row>
    <row r="29" spans="5:5" x14ac:dyDescent="0.2">
      <c r="E29" t="s">
        <v>106</v>
      </c>
    </row>
    <row r="30" spans="5:5" x14ac:dyDescent="0.2">
      <c r="E30" t="s">
        <v>107</v>
      </c>
    </row>
    <row r="31" spans="5:5" x14ac:dyDescent="0.2">
      <c r="E31" t="s">
        <v>59</v>
      </c>
    </row>
    <row r="32" spans="5:5" x14ac:dyDescent="0.2">
      <c r="E32" t="s">
        <v>108</v>
      </c>
    </row>
    <row r="33" spans="5:5" x14ac:dyDescent="0.2">
      <c r="E33" t="s">
        <v>109</v>
      </c>
    </row>
    <row r="34" spans="5:5" x14ac:dyDescent="0.2">
      <c r="E34" t="s">
        <v>110</v>
      </c>
    </row>
    <row r="35" spans="5:5" x14ac:dyDescent="0.2">
      <c r="E35" t="s">
        <v>111</v>
      </c>
    </row>
    <row r="36" spans="5:5" x14ac:dyDescent="0.2">
      <c r="E36" t="s">
        <v>112</v>
      </c>
    </row>
    <row r="37" spans="5:5" x14ac:dyDescent="0.2">
      <c r="E37" t="s">
        <v>113</v>
      </c>
    </row>
    <row r="38" spans="5:5" x14ac:dyDescent="0.2">
      <c r="E38" t="s">
        <v>114</v>
      </c>
    </row>
    <row r="39" spans="5:5" x14ac:dyDescent="0.2">
      <c r="E39" t="s">
        <v>115</v>
      </c>
    </row>
    <row r="40" spans="5:5" x14ac:dyDescent="0.2">
      <c r="E40" t="s">
        <v>116</v>
      </c>
    </row>
    <row r="41" spans="5:5" x14ac:dyDescent="0.2">
      <c r="E41" t="s">
        <v>117</v>
      </c>
    </row>
    <row r="42" spans="5:5" x14ac:dyDescent="0.2">
      <c r="E42" t="s">
        <v>118</v>
      </c>
    </row>
    <row r="43" spans="5:5" x14ac:dyDescent="0.2">
      <c r="E43" t="s">
        <v>119</v>
      </c>
    </row>
    <row r="44" spans="5:5" x14ac:dyDescent="0.2">
      <c r="E44" t="s">
        <v>120</v>
      </c>
    </row>
    <row r="45" spans="5:5" x14ac:dyDescent="0.2">
      <c r="E45" t="s">
        <v>121</v>
      </c>
    </row>
    <row r="46" spans="5:5" x14ac:dyDescent="0.2">
      <c r="E46" t="s">
        <v>122</v>
      </c>
    </row>
    <row r="47" spans="5:5" x14ac:dyDescent="0.2">
      <c r="E47" t="s">
        <v>123</v>
      </c>
    </row>
    <row r="48" spans="5:5" x14ac:dyDescent="0.2">
      <c r="E48" t="s">
        <v>124</v>
      </c>
    </row>
    <row r="49" spans="5:5" x14ac:dyDescent="0.2">
      <c r="E49" t="s">
        <v>125</v>
      </c>
    </row>
    <row r="50" spans="5:5" x14ac:dyDescent="0.2">
      <c r="E50" t="s">
        <v>126</v>
      </c>
    </row>
    <row r="51" spans="5:5" x14ac:dyDescent="0.2">
      <c r="E51" t="s">
        <v>127</v>
      </c>
    </row>
    <row r="52" spans="5:5" x14ac:dyDescent="0.2">
      <c r="E52" t="s">
        <v>128</v>
      </c>
    </row>
    <row r="53" spans="5:5" x14ac:dyDescent="0.2">
      <c r="E53" t="s">
        <v>129</v>
      </c>
    </row>
    <row r="54" spans="5:5" x14ac:dyDescent="0.2">
      <c r="E54" t="s">
        <v>130</v>
      </c>
    </row>
    <row r="55" spans="5:5" x14ac:dyDescent="0.2">
      <c r="E55" t="s">
        <v>131</v>
      </c>
    </row>
    <row r="56" spans="5:5" x14ac:dyDescent="0.2">
      <c r="E56" t="s">
        <v>132</v>
      </c>
    </row>
    <row r="57" spans="5:5" x14ac:dyDescent="0.2">
      <c r="E57" t="s">
        <v>133</v>
      </c>
    </row>
    <row r="58" spans="5:5" x14ac:dyDescent="0.2">
      <c r="E58" t="s">
        <v>134</v>
      </c>
    </row>
    <row r="59" spans="5:5" x14ac:dyDescent="0.2">
      <c r="E59" t="s">
        <v>135</v>
      </c>
    </row>
    <row r="60" spans="5:5" x14ac:dyDescent="0.2">
      <c r="E60" t="s">
        <v>136</v>
      </c>
    </row>
    <row r="61" spans="5:5" x14ac:dyDescent="0.2">
      <c r="E61" t="s">
        <v>137</v>
      </c>
    </row>
    <row r="62" spans="5:5" x14ac:dyDescent="0.2">
      <c r="E62" t="s">
        <v>138</v>
      </c>
    </row>
    <row r="63" spans="5:5" x14ac:dyDescent="0.2">
      <c r="E63" t="s">
        <v>139</v>
      </c>
    </row>
    <row r="64" spans="5:5" x14ac:dyDescent="0.2">
      <c r="E64" t="s">
        <v>140</v>
      </c>
    </row>
    <row r="65" spans="5:5" x14ac:dyDescent="0.2">
      <c r="E65" t="s">
        <v>141</v>
      </c>
    </row>
    <row r="66" spans="5:5" x14ac:dyDescent="0.2">
      <c r="E66" t="s">
        <v>142</v>
      </c>
    </row>
    <row r="67" spans="5:5" x14ac:dyDescent="0.2">
      <c r="E67" t="s">
        <v>143</v>
      </c>
    </row>
    <row r="68" spans="5:5" x14ac:dyDescent="0.2">
      <c r="E68" t="s">
        <v>144</v>
      </c>
    </row>
    <row r="69" spans="5:5" x14ac:dyDescent="0.2">
      <c r="E69" t="s">
        <v>145</v>
      </c>
    </row>
    <row r="70" spans="5:5" x14ac:dyDescent="0.2">
      <c r="E70" t="s">
        <v>146</v>
      </c>
    </row>
    <row r="71" spans="5:5" x14ac:dyDescent="0.2">
      <c r="E71" t="s">
        <v>147</v>
      </c>
    </row>
    <row r="72" spans="5:5" x14ac:dyDescent="0.2">
      <c r="E72" t="s">
        <v>148</v>
      </c>
    </row>
    <row r="73" spans="5:5" x14ac:dyDescent="0.2">
      <c r="E73" t="s">
        <v>149</v>
      </c>
    </row>
    <row r="74" spans="5:5" x14ac:dyDescent="0.2">
      <c r="E74" t="s">
        <v>150</v>
      </c>
    </row>
    <row r="75" spans="5:5" x14ac:dyDescent="0.2">
      <c r="E75" t="s">
        <v>151</v>
      </c>
    </row>
    <row r="76" spans="5:5" x14ac:dyDescent="0.2">
      <c r="E76" t="s">
        <v>152</v>
      </c>
    </row>
    <row r="77" spans="5:5" x14ac:dyDescent="0.2">
      <c r="E77" t="s">
        <v>153</v>
      </c>
    </row>
    <row r="78" spans="5:5" x14ac:dyDescent="0.2">
      <c r="E78" t="s">
        <v>154</v>
      </c>
    </row>
    <row r="79" spans="5:5" x14ac:dyDescent="0.2">
      <c r="E79" t="s">
        <v>155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1</vt:i4>
      </vt:variant>
    </vt:vector>
  </HeadingPairs>
  <TitlesOfParts>
    <vt:vector size="35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base</vt:lpstr>
      <vt:lpstr>'18'!Area_de_impressao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2024-04-01T20:08:12Z</cp:lastPrinted>
  <dcterms:created xsi:type="dcterms:W3CDTF">2004-04-07T20:43:43Z</dcterms:created>
  <dcterms:modified xsi:type="dcterms:W3CDTF">2024-11-26T19:43:54Z</dcterms:modified>
  <cp:category/>
  <cp:contentStatus/>
</cp:coreProperties>
</file>