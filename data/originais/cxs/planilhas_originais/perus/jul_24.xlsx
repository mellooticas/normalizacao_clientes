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PERUS/CAIXA/2024/"/>
    </mc:Choice>
  </mc:AlternateContent>
  <xr:revisionPtr revIDLastSave="1325" documentId="13_ncr:1_{0402BA61-346E-4614-9EF8-32644BD0418E}" xr6:coauthVersionLast="47" xr6:coauthVersionMax="47" xr10:uidLastSave="{B2568040-9977-4B8A-AC84-C51CCBA8BE47}"/>
  <bookViews>
    <workbookView xWindow="-120" yWindow="-120" windowWidth="29040" windowHeight="15840" tabRatio="895" firstSheet="1" activeTab="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  <definedName name="_xlnm.Print_Area" localSheetId="30">'30'!$A$1:$T$41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88" l="1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0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8" i="174" s="1"/>
  <c r="C6" i="173"/>
  <c r="C6" i="172"/>
  <c r="C8" i="172" s="1"/>
  <c r="C6" i="171"/>
  <c r="C8" i="171" s="1"/>
  <c r="C6" i="170"/>
  <c r="C6" i="103"/>
  <c r="C6" i="178"/>
  <c r="C6" i="177"/>
  <c r="C6" i="176"/>
  <c r="C6" i="180"/>
  <c r="C6" i="182"/>
  <c r="C6" i="183"/>
  <c r="C6" i="181"/>
  <c r="C6" i="179"/>
  <c r="C8" i="179" s="1"/>
  <c r="C6" i="184"/>
  <c r="C6" i="185"/>
  <c r="C6" i="186"/>
  <c r="C6" i="187"/>
  <c r="C8" i="187" s="1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 l="1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<sst xmlns="http://schemas.openxmlformats.org/spreadsheetml/2006/main" count="1949" uniqueCount="233">
  <si>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</si>
  <si>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</si>
  <si>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</si>
  <si>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</si>
  <si>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</si>
  <si>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</si>
  <si>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</si>
  <si>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</si>
  <si>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</si>
  <si>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</si>
  <si>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</si>
  <si>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</si>
  <si>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</si>
  <si>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</si>
  <si>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</si>
  <si>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</si>
  <si>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</si>
  <si>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</si>
  <si>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</si>
  <si>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</si>
  <si>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</si>
  <si>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</si>
  <si>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</si>
  <si>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</si>
  <si>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</si>
  <si>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</si>
  <si>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</si>
  <si>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</si>
  <si>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</si>
  <si>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</si>
  <si>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</si>
  <si>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</si>
  <si>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</si>
  <si>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</si>
  <si>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</si>
  <si>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</si>
  <si>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</si>
  <si>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</si>
  <si>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</si>
  <si>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</si>
  <si>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</si>
  <si>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</si>
  <si>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</si>
  <si>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</si>
  <si>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</si>
  <si>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</si>
  <si>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</si>
  <si>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</si>
  <si>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</si>
  <si>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</si>
  <si>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</si>
  <si>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</si>
  <si>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</si>
  <si>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</si>
  <si>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</si>
  <si>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</si>
  <si>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</si>
  <si>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</si>
  <si>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</si>
  <si>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</si>
  <si>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</si>
  <si>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</si>
  <si>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</si>
  <si>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</si>
  <si>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</si>
  <si>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</si>
  <si>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</si>
  <si>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</si>
  <si>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</si>
  <si>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</si>
  <si>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</si>
  <si>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</si>
  <si>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</si>
  <si>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</si>
  <si>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</si>
  <si>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</si>
  <si>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</si>
  <si>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</si>
  <si>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</si>
  <si>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</si>
  <si>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</si>
  <si>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</si>
  <si>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</si>
  <si>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</si>
  <si>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</si>
  <si>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</si>
  <si>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</si>
  <si>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</si>
  <si>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</si>
  <si>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</si>
  <si>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</si>
  <si>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</si>
  <si>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</si>
  <si>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</si>
  <si>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</si>
  <si>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</si>
  <si>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</si>
  <si>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</si>
  <si>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</si>
  <si>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</si>
  <si>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</si>
  <si>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</si>
  <si>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</si>
  <si>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</si>
  <si>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</si>
  <si>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</si>
  <si>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</si>
  <si>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</si>
  <si>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</si>
  <si>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</si>
  <si>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</si>
  <si>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</si>
  <si>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</si>
  <si>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</si>
  <si>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</si>
  <si>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</si>
  <si>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</si>
  <si>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</si>
  <si>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</si>
  <si>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</si>
  <si>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</si>
  <si>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</si>
  <si>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</si>
  <si>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</si>
  <si>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</si>
  <si>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</si>
  <si>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</si>
  <si>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</si>
  <si>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</si>
  <si>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</si>
  <si>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</si>
  <si>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</si>
  <si>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</si>
  <si>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</si>
  <si>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</si>
  <si>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</si>
  <si>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</si>
  <si>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</si>
  <si>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</si>
  <si>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</si>
  <si>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</si>
  <si>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GRAZIELA CRISTINA</t>
  </si>
  <si>
    <t xml:space="preserve">CLAUDIA </t>
  </si>
  <si>
    <t>Não</t>
  </si>
  <si>
    <t>JOSE CARLOS</t>
  </si>
  <si>
    <t xml:space="preserve">APARECIDA </t>
  </si>
  <si>
    <t>Carine</t>
  </si>
  <si>
    <t>ANTONIO JORGE</t>
  </si>
  <si>
    <t>VANESSA  SOUZA SANTOS</t>
  </si>
  <si>
    <t>MARIA  APARECIDA</t>
  </si>
  <si>
    <t>ADRIANA BENVINDO</t>
  </si>
  <si>
    <t>DEUSDETE GOMES</t>
  </si>
  <si>
    <t>HERONILDES BASTISTA</t>
  </si>
  <si>
    <t>NAIUMY KEMELLY</t>
  </si>
  <si>
    <t>CARLOS ROBERTO</t>
  </si>
  <si>
    <t xml:space="preserve">CLEBER GONÇALVES </t>
  </si>
  <si>
    <t>JASSICA REIS</t>
  </si>
  <si>
    <t>ISABELLA SILVA</t>
  </si>
  <si>
    <t>Sim</t>
  </si>
  <si>
    <t xml:space="preserve">VANESSA  GOMES DE SOUZA </t>
  </si>
  <si>
    <t xml:space="preserve">JOSE  CARLOS GOMES </t>
  </si>
  <si>
    <t>NÃO</t>
  </si>
  <si>
    <t>ALICE DE ALMEIDA</t>
  </si>
  <si>
    <t>LUIZ CESPEDES</t>
  </si>
  <si>
    <t>THONY GUSTAVE</t>
  </si>
  <si>
    <t>ALEXANDRE DA SILVA ADAO</t>
  </si>
  <si>
    <t>EDNEIA POMPEU FREIRE</t>
  </si>
  <si>
    <t>AGUA</t>
  </si>
  <si>
    <t xml:space="preserve">JOSE CARLOS </t>
  </si>
  <si>
    <t xml:space="preserve">LEANDRO ALONSO </t>
  </si>
  <si>
    <t xml:space="preserve">INACIO JOSE </t>
  </si>
  <si>
    <t>valter de almeida</t>
  </si>
  <si>
    <t>ROSANGELA CRISTINA</t>
  </si>
  <si>
    <t xml:space="preserve">MARCO ANTONIO </t>
  </si>
  <si>
    <t>JESILENE SILVA</t>
  </si>
  <si>
    <t>DORIVAL CLEMENTE</t>
  </si>
  <si>
    <t xml:space="preserve">MARIA CLAUDIA </t>
  </si>
  <si>
    <t>ROSELENE RODRIGUES</t>
  </si>
  <si>
    <t>ALESSANDRA SIMOES</t>
  </si>
  <si>
    <t xml:space="preserve">VIVIANE DE JESUS </t>
  </si>
  <si>
    <t>MANUELA CARMO</t>
  </si>
  <si>
    <t xml:space="preserve">CLEONICE ROCHA </t>
  </si>
  <si>
    <t>CICERA DE LIMA</t>
  </si>
  <si>
    <t>ERICK CRISTIANO</t>
  </si>
  <si>
    <t>DEUSA APARECIDA</t>
  </si>
  <si>
    <t>JENIFER VITORIA</t>
  </si>
  <si>
    <t xml:space="preserve">ATILLA  COSTA </t>
  </si>
  <si>
    <t xml:space="preserve">CLEBER DA SILVA </t>
  </si>
  <si>
    <t>JOSEFA GOMES</t>
  </si>
  <si>
    <t>MARIA MOURA</t>
  </si>
  <si>
    <t>EDINALDO SEBASTIAO</t>
  </si>
  <si>
    <t xml:space="preserve">JENIFER VITORIA </t>
  </si>
  <si>
    <t xml:space="preserve">JARDEL WEVERTON </t>
  </si>
  <si>
    <t xml:space="preserve">RITA SELMA </t>
  </si>
  <si>
    <t>VALTER ALMEIDA</t>
  </si>
  <si>
    <t>ANA LUCIA</t>
  </si>
  <si>
    <t>JUSSARA CARVALHO</t>
  </si>
  <si>
    <t xml:space="preserve">AGUA </t>
  </si>
  <si>
    <t>SULFITE</t>
  </si>
  <si>
    <t>VANESSA GOMES</t>
  </si>
  <si>
    <t>JODENILSON SANTOS SAMPAIO</t>
  </si>
  <si>
    <t>PEDRO EXPEDITO VIANA</t>
  </si>
  <si>
    <t>MARIA APARECIDA</t>
  </si>
  <si>
    <t xml:space="preserve">SIMONE RODRIGUES </t>
  </si>
  <si>
    <t>KARINE JUSTINO</t>
  </si>
  <si>
    <t xml:space="preserve">LUIZ ROBERTO </t>
  </si>
  <si>
    <t xml:space="preserve">PAULO HENRIQUE </t>
  </si>
  <si>
    <t xml:space="preserve">DENIZARTE DOS SANTOS </t>
  </si>
  <si>
    <t xml:space="preserve">MARIA MADALENA </t>
  </si>
  <si>
    <t xml:space="preserve">ELIZABETH MENESES  </t>
  </si>
  <si>
    <t>ANDREIA DO SOCORRO</t>
  </si>
  <si>
    <t>JULIA MENDES</t>
  </si>
  <si>
    <t>LUIZ ROBERTO</t>
  </si>
  <si>
    <t>NAUMY KEMELLY</t>
  </si>
  <si>
    <t xml:space="preserve">CARINA DOS SANTOS  </t>
  </si>
  <si>
    <t>JESILENE SILVA SOARES</t>
  </si>
  <si>
    <t>DONIZARTE DOS SANTOS</t>
  </si>
  <si>
    <t xml:space="preserve">MARIA LUCIA </t>
  </si>
  <si>
    <t>EVANY DOS SANTOS</t>
  </si>
  <si>
    <t>MARIZA SOARES</t>
  </si>
  <si>
    <t>GISLENE CORREIA</t>
  </si>
  <si>
    <t>ALESSANDRA  SIMOES</t>
  </si>
  <si>
    <t>VIVIANE DE JESUS</t>
  </si>
  <si>
    <t>GRAZILA CRISTINA</t>
  </si>
  <si>
    <t>PATRICIA PACIFICO</t>
  </si>
  <si>
    <t>MARCELO RAIMUNDO</t>
  </si>
  <si>
    <t>ELIENE NOVAIS</t>
  </si>
  <si>
    <t>MARIA CELIA</t>
  </si>
  <si>
    <t>CLINICA OFTALMED</t>
  </si>
  <si>
    <t>NIVEA CIPRIANO</t>
  </si>
  <si>
    <t>FERNANDA DAS NEVES</t>
  </si>
  <si>
    <t>ERICH CRISTIANO</t>
  </si>
  <si>
    <t>BEATRIZ PEDROTTI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</si>
</sst>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b/>
      <sz val="12"/>
      <name val="Arial"/>
      <family val="2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8" fillId="0" borderId="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40" fillId="0" borderId="3" xfId="2" applyFont="1" applyFill="1" applyBorder="1" applyAlignment="1">
      <alignment horizontal="center"/>
    </xf>
    <xf numFmtId="164" fontId="41" fillId="0" borderId="3" xfId="2" applyFont="1" applyFill="1" applyBorder="1" applyAlignment="1">
      <alignment horizontal="center"/>
    </xf>
    <xf numFmtId="165" fontId="41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42" fillId="0" borderId="13" xfId="39" applyFont="1" applyFill="1" applyBorder="1" applyAlignment="1">
      <alignment horizontal="center"/>
    </xf>
    <xf numFmtId="165" fontId="42" fillId="0" borderId="13" xfId="4" applyNumberFormat="1" applyFont="1" applyFill="1" applyBorder="1" applyAlignment="1">
      <alignment horizontal="center"/>
    </xf>
    <xf numFmtId="14" fontId="43" fillId="0" borderId="0" xfId="0" applyNumberFormat="1" applyFont="1" applyAlignment="1">
      <alignment horizontal="center"/>
    </xf>
    <xf numFmtId="0" fontId="30" fillId="0" borderId="17" xfId="4" applyNumberFormat="1" applyFont="1" applyFill="1" applyBorder="1" applyAlignment="1">
      <alignment horizontal="center"/>
    </xf>
    <xf numFmtId="0" fontId="44" fillId="0" borderId="13" xfId="0" applyFont="1" applyBorder="1" applyAlignment="1">
      <alignment horizontal="center"/>
    </xf>
    <xf numFmtId="164" fontId="36" fillId="0" borderId="13" xfId="2" applyFont="1" applyFill="1" applyBorder="1" applyAlignment="1">
      <alignment horizontal="center"/>
    </xf>
    <xf numFmtId="164" fontId="38" fillId="0" borderId="13" xfId="2" applyFont="1" applyFill="1" applyBorder="1" applyAlignment="1">
      <alignment horizontal="center"/>
    </xf>
    <xf numFmtId="165" fontId="38" fillId="0" borderId="13" xfId="4" applyNumberFormat="1" applyFont="1" applyFill="1" applyBorder="1" applyAlignment="1">
      <alignment horizontal="center"/>
    </xf>
    <xf numFmtId="0" fontId="45" fillId="0" borderId="17" xfId="0" applyFont="1" applyBorder="1" applyAlignment="1">
      <alignment horizontal="center"/>
    </xf>
    <xf numFmtId="0" fontId="46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4" fontId="41" fillId="0" borderId="17" xfId="2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5" fontId="41" fillId="0" borderId="17" xfId="4" applyNumberFormat="1" applyFont="1" applyFill="1" applyBorder="1" applyAlignment="1">
      <alignment horizontal="center"/>
    </xf>
    <xf numFmtId="0" fontId="47" fillId="0" borderId="3" xfId="0" applyFont="1" applyBorder="1" applyAlignment="1">
      <alignment horizontal="center"/>
    </xf>
    <xf numFmtId="164" fontId="47" fillId="0" borderId="3" xfId="2" applyFont="1" applyFill="1" applyBorder="1" applyAlignment="1">
      <alignment horizontal="center"/>
    </xf>
    <xf numFmtId="0" fontId="31" fillId="0" borderId="13" xfId="39" applyNumberFormat="1" applyFont="1" applyFill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5" fontId="41" fillId="0" borderId="13" xfId="4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9.xml"/><Relationship Id="rId1" Type="http://schemas.openxmlformats.org/officeDocument/2006/relationships/table" Target="../tables/table18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C24" sqref="C24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128</v>
      </c>
    </row>
    <row r="2" spans="1:16" ht="15" x14ac:dyDescent="0.2">
      <c r="A2" s="19" t="s">
        <v>0</v>
      </c>
      <c r="B2" s="78">
        <v>0</v>
      </c>
      <c r="P2" t="s">
        <v>129</v>
      </c>
    </row>
    <row r="3" spans="1:16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31456.98</v>
      </c>
      <c r="P3" t="s">
        <v>130</v>
      </c>
    </row>
    <row r="4" spans="1:16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23379.98</v>
      </c>
      <c r="P4" t="s">
        <v>131</v>
      </c>
    </row>
    <row r="5" spans="1:16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136.9</v>
      </c>
      <c r="P5" t="s">
        <v>132</v>
      </c>
    </row>
    <row r="6" spans="1:16" ht="15.75" x14ac:dyDescent="0.25">
      <c r="A6" s="28" t="s">
        <v>4</v>
      </c>
      <c r="B6" s="29">
        <f>SUM(B4:B5)</f>
        <v>23516.880000000001</v>
      </c>
      <c r="P6" t="s">
        <v>133</v>
      </c>
    </row>
    <row r="7" spans="1:16" ht="15" x14ac:dyDescent="0.25">
      <c r="A7" s="2"/>
      <c r="B7" s="2"/>
      <c r="P7" t="s">
        <v>134</v>
      </c>
    </row>
    <row r="8" spans="1:16" ht="15" x14ac:dyDescent="0.2">
      <c r="A8" s="107" t="s">
        <v>5</v>
      </c>
      <c r="B8" s="107"/>
      <c r="P8" t="s">
        <v>135</v>
      </c>
    </row>
    <row r="9" spans="1:16" ht="15" x14ac:dyDescent="0.25">
      <c r="A9" s="30" t="s">
        <v>6</v>
      </c>
      <c r="B9" s="24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2091.3000000000002</v>
      </c>
      <c r="P9" t="s">
        <v>136</v>
      </c>
    </row>
    <row r="10" spans="1:16" ht="15" x14ac:dyDescent="0.25">
      <c r="A10" s="30" t="s">
        <v>7</v>
      </c>
      <c r="B10" s="24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4100.24</v>
      </c>
      <c r="P10" t="s">
        <v>137</v>
      </c>
    </row>
    <row r="11" spans="1:16" ht="15" x14ac:dyDescent="0.25">
      <c r="A11" s="30" t="s">
        <v>8</v>
      </c>
      <c r="B11" s="24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7533.99</v>
      </c>
      <c r="P11" t="s">
        <v>138</v>
      </c>
    </row>
    <row r="12" spans="1:16" ht="15" x14ac:dyDescent="0.25">
      <c r="A12" s="30" t="s">
        <v>9</v>
      </c>
      <c r="B12" s="24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4309</v>
      </c>
      <c r="P12" t="s">
        <v>139</v>
      </c>
    </row>
    <row r="13" spans="1:16" ht="15" x14ac:dyDescent="0.25">
      <c r="A13" s="30" t="s">
        <v>10</v>
      </c>
      <c r="B13" s="24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6969.7</v>
      </c>
      <c r="P13" t="s">
        <v>140</v>
      </c>
    </row>
    <row r="14" spans="1:16" ht="15.75" x14ac:dyDescent="0.25">
      <c r="A14" s="28" t="s">
        <v>11</v>
      </c>
      <c r="B14" s="79">
        <f ca="1">SUM(B9:B13)</f>
        <v>25004.23</v>
      </c>
    </row>
    <row r="15" spans="1:16" ht="15" x14ac:dyDescent="0.25">
      <c r="A15" s="2"/>
      <c r="B15" s="2"/>
    </row>
    <row r="16" spans="1:16" ht="15" x14ac:dyDescent="0.2">
      <c r="A16" s="107" t="s">
        <v>12</v>
      </c>
      <c r="B16" s="107"/>
    </row>
    <row r="17" spans="1:2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6759</v>
      </c>
    </row>
    <row r="18" spans="1:2" ht="15.75" x14ac:dyDescent="0.25">
      <c r="A18" s="28" t="s">
        <v>11</v>
      </c>
      <c r="B18" s="79">
        <f>SUM(B17:B17)</f>
        <v>6759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abSelected="1" topLeftCell="A14" zoomScale="80" zoomScaleNormal="80" workbookViewId="0">
      <selection activeCell="F35" sqref="F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v>45474</v>
      </c>
    </row>
    <row r="2" spans="2:18" ht="18.75" x14ac:dyDescent="0.2">
      <c r="B2" s="112" t="s">
        <v>127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2:18" ht="15" x14ac:dyDescent="0.25">
      <c r="B5" s="23" t="s">
        <v>1</v>
      </c>
      <c r="C5" s="24">
        <f>SUMIF(I6:I31,"&gt;0",H6:H31)</f>
        <v>837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295</v>
      </c>
      <c r="D6" s="2"/>
      <c r="E6" s="18">
        <v>786</v>
      </c>
      <c r="F6" s="25" t="s">
        <v>142</v>
      </c>
      <c r="G6" s="26" t="s">
        <v>8</v>
      </c>
      <c r="H6" s="8">
        <v>45</v>
      </c>
      <c r="I6" s="8">
        <v>45</v>
      </c>
      <c r="J6" s="2"/>
      <c r="K6" s="25"/>
      <c r="L6" s="9"/>
      <c r="M6" s="16"/>
      <c r="R6" s="1">
        <f>IF(vend1[[#This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787</v>
      </c>
      <c r="F7" s="25" t="s">
        <v>141</v>
      </c>
      <c r="G7" s="26" t="s">
        <v>10</v>
      </c>
      <c r="H7" s="8">
        <v>792</v>
      </c>
      <c r="I7" s="8">
        <v>50</v>
      </c>
      <c r="J7" s="2"/>
      <c r="K7" s="25"/>
      <c r="L7" s="9"/>
      <c r="M7" s="16"/>
      <c r="R7" s="1">
        <f>IF(vend1[[#This Row],[Nº Venda]]&gt;1,1,0)</f>
        <v>1</v>
      </c>
    </row>
    <row r="8" spans="2:18" ht="15.75" x14ac:dyDescent="0.25">
      <c r="B8" s="28" t="s">
        <v>21</v>
      </c>
      <c r="C8" s="29">
        <f>SUM(C6:C7)</f>
        <v>295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107" t="s">
        <v>5</v>
      </c>
      <c r="C10" s="10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45</v>
      </c>
      <c r="D13" s="2"/>
      <c r="E13" s="18"/>
      <c r="F13" s="25"/>
      <c r="G13" s="26"/>
      <c r="H13" s="8"/>
      <c r="I13" s="8"/>
      <c r="J13" s="2"/>
      <c r="K13" s="109" t="s">
        <v>22</v>
      </c>
      <c r="L13" s="110"/>
      <c r="M13" s="111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150</v>
      </c>
      <c r="D15" s="2"/>
      <c r="E15" s="18"/>
      <c r="F15" s="25"/>
      <c r="G15" s="26"/>
      <c r="H15" s="8"/>
      <c r="I15" s="8"/>
      <c r="J15" s="2"/>
      <c r="K15" s="25">
        <v>746</v>
      </c>
      <c r="L15" s="9" t="s">
        <v>139</v>
      </c>
      <c r="M15" s="16" t="s">
        <v>143</v>
      </c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395</v>
      </c>
      <c r="D16" s="2"/>
      <c r="E16" s="18"/>
      <c r="F16" s="25"/>
      <c r="G16" s="26"/>
      <c r="H16" s="8"/>
      <c r="I16" s="8"/>
      <c r="J16" s="2"/>
      <c r="K16" s="25">
        <v>745</v>
      </c>
      <c r="L16" s="9" t="s">
        <v>139</v>
      </c>
      <c r="M16" s="16" t="s">
        <v>143</v>
      </c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837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783</v>
      </c>
      <c r="F26" s="25" t="s">
        <v>144</v>
      </c>
      <c r="G26" s="26" t="s">
        <v>7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100</v>
      </c>
      <c r="F35" s="25" t="s">
        <v>145</v>
      </c>
      <c r="G35" s="26" t="s">
        <v>10</v>
      </c>
      <c r="H35" s="8">
        <v>100</v>
      </c>
      <c r="I35" s="8" t="s">
        <v>77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zoomScale="80" zoomScaleNormal="80" workbookViewId="0">
      <selection activeCell="K16" sqref="K16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86">
        <f>'01'!B1+1</f>
        <v>45475</v>
      </c>
    </row>
    <row r="2" spans="2:21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2:21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21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21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21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21" ht="15.75" x14ac:dyDescent="0.25">
      <c r="B10" s="107" t="s">
        <v>5</v>
      </c>
      <c r="C10" s="10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21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21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21" ht="15.75" x14ac:dyDescent="0.25">
      <c r="B13" s="30" t="s">
        <v>8</v>
      </c>
      <c r="C13" s="31">
        <f t="shared" si="0"/>
        <v>0</v>
      </c>
      <c r="D13" s="2"/>
      <c r="E13" s="96"/>
      <c r="F13" s="63"/>
      <c r="G13" s="97"/>
      <c r="H13" s="74"/>
      <c r="I13" s="74"/>
      <c r="J13" s="2"/>
      <c r="K13" s="109" t="s">
        <v>22</v>
      </c>
      <c r="L13" s="110"/>
      <c r="M13" s="111"/>
      <c r="R13" s="1">
        <f>IF(vend2[[#This Row],[Nº Venda]]&gt;1,1,0)</f>
        <v>0</v>
      </c>
    </row>
    <row r="14" spans="2:21" ht="15.75" x14ac:dyDescent="0.25">
      <c r="B14" s="30" t="s">
        <v>9</v>
      </c>
      <c r="C14" s="31">
        <f t="shared" si="0"/>
        <v>0</v>
      </c>
      <c r="D14" s="2"/>
      <c r="E14" s="96"/>
      <c r="F14" s="63"/>
      <c r="G14" s="97"/>
      <c r="H14" s="74"/>
      <c r="I14" s="74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21" ht="15.75" x14ac:dyDescent="0.25">
      <c r="B15" s="30" t="s">
        <v>10</v>
      </c>
      <c r="C15" s="31">
        <f t="shared" si="0"/>
        <v>62.7</v>
      </c>
      <c r="D15" s="2"/>
      <c r="E15" s="18"/>
      <c r="F15" s="25"/>
      <c r="G15" s="26"/>
      <c r="H15" s="8"/>
      <c r="I15" s="8"/>
      <c r="J15" s="2"/>
      <c r="K15" s="25">
        <v>750</v>
      </c>
      <c r="L15" s="9" t="s">
        <v>139</v>
      </c>
      <c r="M15" s="16" t="s">
        <v>143</v>
      </c>
      <c r="R15" s="1">
        <f>IF(vend2[[#This Row],[Nº Venda]]&gt;1,1,0)</f>
        <v>0</v>
      </c>
    </row>
    <row r="16" spans="2:21" ht="15.75" x14ac:dyDescent="0.25">
      <c r="B16" s="28" t="s">
        <v>11</v>
      </c>
      <c r="C16" s="32">
        <f>SUM(C11:C15)</f>
        <v>62.7</v>
      </c>
      <c r="D16" s="2"/>
      <c r="E16" s="18"/>
      <c r="F16" s="25"/>
      <c r="G16" s="26"/>
      <c r="H16" s="8"/>
      <c r="I16" s="8"/>
      <c r="J16" s="2"/>
      <c r="K16" s="104">
        <v>751</v>
      </c>
      <c r="L16" s="9" t="s">
        <v>139</v>
      </c>
      <c r="M16" s="16" t="s">
        <v>143</v>
      </c>
      <c r="R16" s="1">
        <f>IF(vend2[[#This Row],[Nº Venda]]&gt;1,1,0)</f>
        <v>0</v>
      </c>
      <c r="U16" s="105"/>
    </row>
    <row r="17" spans="2:21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  <c r="U17" s="105"/>
    </row>
    <row r="18" spans="2:21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21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21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21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1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1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1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21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1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21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1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1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1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1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1" ht="15" x14ac:dyDescent="0.25">
      <c r="B32" s="2"/>
      <c r="C32" s="2"/>
      <c r="E32" s="33"/>
    </row>
    <row r="33" spans="2:21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18">
        <v>624</v>
      </c>
      <c r="F35" s="25" t="s">
        <v>146</v>
      </c>
      <c r="G35" s="26" t="s">
        <v>10</v>
      </c>
      <c r="H35" s="8">
        <v>62.7</v>
      </c>
      <c r="I35" s="8" t="s">
        <v>95</v>
      </c>
      <c r="K35" s="25"/>
      <c r="L35" s="41"/>
      <c r="M35" s="16"/>
    </row>
    <row r="36" spans="2:21" ht="15.75" x14ac:dyDescent="0.25">
      <c r="E36" s="18"/>
      <c r="F36" s="25"/>
      <c r="G36" s="26"/>
      <c r="H36" s="8"/>
      <c r="I36" s="8"/>
      <c r="K36" s="25"/>
      <c r="L36" s="41"/>
      <c r="M36" s="16"/>
    </row>
    <row r="37" spans="2:21" ht="15.75" x14ac:dyDescent="0.25">
      <c r="E37" s="18"/>
      <c r="F37" s="25"/>
      <c r="G37" s="26"/>
      <c r="H37" s="8"/>
      <c r="I37" s="8"/>
      <c r="K37" s="25"/>
      <c r="L37" s="41"/>
      <c r="M37" s="16"/>
    </row>
    <row r="38" spans="2:21" ht="15.75" x14ac:dyDescent="0.25">
      <c r="E38" s="18"/>
      <c r="F38" s="25"/>
      <c r="G38" s="26"/>
      <c r="H38" s="8"/>
      <c r="I38" s="8"/>
      <c r="K38" s="25"/>
      <c r="L38" s="41"/>
      <c r="M38" s="16"/>
    </row>
    <row r="39" spans="2:21" ht="15.75" x14ac:dyDescent="0.25">
      <c r="E39" s="18"/>
      <c r="F39" s="39"/>
      <c r="G39" s="26"/>
      <c r="H39" s="8"/>
      <c r="I39" s="8"/>
      <c r="K39" s="25"/>
      <c r="L39" s="41"/>
      <c r="M39" s="16"/>
    </row>
    <row r="40" spans="2:21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21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12" zoomScale="80" zoomScaleNormal="80" workbookViewId="0">
      <selection activeCell="I35" sqref="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'02'!B1+1</f>
        <v>45476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107" t="s">
        <v>5</v>
      </c>
      <c r="C10" s="10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22</v>
      </c>
      <c r="L13" s="110"/>
      <c r="M13" s="111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680</v>
      </c>
      <c r="F35" s="25" t="s">
        <v>147</v>
      </c>
      <c r="G35" s="26" t="s">
        <v>6</v>
      </c>
      <c r="H35" s="8">
        <v>100</v>
      </c>
      <c r="I35" s="8" t="s">
        <v>53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80" zoomScaleNormal="80" workbookViewId="0">
      <selection activeCell="G21" sqref="G2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'03'!B1+1</f>
        <v>45477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2:18" ht="15" x14ac:dyDescent="0.25">
      <c r="B5" s="23" t="s">
        <v>1</v>
      </c>
      <c r="C5" s="24">
        <f>SUMIF(I6:I31,"&gt;0",H6:H31)</f>
        <v>6195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3893</v>
      </c>
      <c r="D6" s="2"/>
      <c r="E6" s="18">
        <v>788</v>
      </c>
      <c r="F6" s="25" t="s">
        <v>148</v>
      </c>
      <c r="G6" s="46" t="s">
        <v>9</v>
      </c>
      <c r="H6" s="8">
        <v>549</v>
      </c>
      <c r="I6" s="8">
        <v>549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789</v>
      </c>
      <c r="F7" s="25" t="s">
        <v>149</v>
      </c>
      <c r="G7" s="46" t="s">
        <v>10</v>
      </c>
      <c r="H7" s="8">
        <v>690</v>
      </c>
      <c r="I7" s="8">
        <v>50</v>
      </c>
      <c r="J7" s="2"/>
      <c r="K7" s="25"/>
      <c r="L7" s="9"/>
      <c r="M7" s="16"/>
      <c r="R7" s="1">
        <f>IF(vend4[[#This Row],[Nº Venda]]&gt;1,1,0)</f>
        <v>1</v>
      </c>
    </row>
    <row r="8" spans="2:18" ht="15.75" x14ac:dyDescent="0.25">
      <c r="B8" s="28" t="s">
        <v>21</v>
      </c>
      <c r="C8" s="29">
        <f>SUM(C6:C7)</f>
        <v>3893</v>
      </c>
      <c r="D8" s="2"/>
      <c r="E8" s="18">
        <v>790</v>
      </c>
      <c r="F8" s="25" t="s">
        <v>150</v>
      </c>
      <c r="G8" s="46" t="s">
        <v>8</v>
      </c>
      <c r="H8" s="8">
        <v>1499</v>
      </c>
      <c r="I8" s="8">
        <v>1499</v>
      </c>
      <c r="J8" s="2"/>
      <c r="K8" s="25"/>
      <c r="L8" s="9"/>
      <c r="M8" s="16"/>
      <c r="R8" s="1">
        <f>IF(vend4[[#This Row],[Nº Venda]]&gt;1,1,0)</f>
        <v>1</v>
      </c>
    </row>
    <row r="9" spans="2:18" ht="15.75" x14ac:dyDescent="0.25">
      <c r="B9" s="2"/>
      <c r="C9" s="2"/>
      <c r="D9" s="2"/>
      <c r="E9" s="18">
        <v>791</v>
      </c>
      <c r="F9" s="25" t="s">
        <v>151</v>
      </c>
      <c r="G9" s="46" t="s">
        <v>6</v>
      </c>
      <c r="H9" s="8">
        <v>1399</v>
      </c>
      <c r="I9" s="8">
        <v>10</v>
      </c>
      <c r="J9" s="2"/>
      <c r="K9" s="25"/>
      <c r="L9" s="9"/>
      <c r="M9" s="16"/>
      <c r="R9" s="1">
        <f>IF(vend4[[#This Row],[Nº Venda]]&gt;1,1,0)</f>
        <v>1</v>
      </c>
    </row>
    <row r="10" spans="2:18" ht="15.75" x14ac:dyDescent="0.25">
      <c r="B10" s="107" t="s">
        <v>5</v>
      </c>
      <c r="C10" s="107"/>
      <c r="D10" s="2"/>
      <c r="E10" s="18"/>
      <c r="F10" s="25"/>
      <c r="G10" s="26" t="s">
        <v>10</v>
      </c>
      <c r="H10" s="8"/>
      <c r="I10" s="8">
        <v>5</v>
      </c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120</v>
      </c>
      <c r="D11" s="2"/>
      <c r="E11" s="18">
        <v>792</v>
      </c>
      <c r="F11" s="25" t="s">
        <v>152</v>
      </c>
      <c r="G11" s="26" t="s">
        <v>9</v>
      </c>
      <c r="H11" s="8">
        <v>470</v>
      </c>
      <c r="I11" s="8">
        <v>470</v>
      </c>
      <c r="J11" s="2"/>
      <c r="K11" s="27"/>
      <c r="L11" s="9"/>
      <c r="M11" s="16"/>
      <c r="O11" s="1">
        <f>IF(C16=0,0,1)</f>
        <v>1</v>
      </c>
      <c r="R11" s="1">
        <f>IF(vend4[[#This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>
        <v>793</v>
      </c>
      <c r="F12" s="25" t="s">
        <v>153</v>
      </c>
      <c r="G12" s="26" t="s">
        <v>8</v>
      </c>
      <c r="H12" s="8">
        <v>589</v>
      </c>
      <c r="I12" s="8">
        <v>100</v>
      </c>
      <c r="J12" s="2"/>
      <c r="R12" s="1">
        <f>IF(vend4[[#This Row],[Nº Venda]]&gt;1,1,0)</f>
        <v>1</v>
      </c>
    </row>
    <row r="13" spans="2:18" ht="15.75" x14ac:dyDescent="0.25">
      <c r="B13" s="30" t="s">
        <v>8</v>
      </c>
      <c r="C13" s="31">
        <f t="shared" si="0"/>
        <v>1599</v>
      </c>
      <c r="D13" s="2"/>
      <c r="E13" s="18">
        <v>794</v>
      </c>
      <c r="F13" s="25" t="s">
        <v>154</v>
      </c>
      <c r="G13" s="26" t="s">
        <v>6</v>
      </c>
      <c r="H13" s="8">
        <v>999</v>
      </c>
      <c r="I13" s="8">
        <v>110</v>
      </c>
      <c r="J13" s="2"/>
      <c r="K13" s="109" t="s">
        <v>22</v>
      </c>
      <c r="L13" s="110"/>
      <c r="M13" s="111"/>
      <c r="R13" s="1">
        <f>IF(vend4[[#This Row],[Nº Venda]]&gt;1,1,0)</f>
        <v>1</v>
      </c>
    </row>
    <row r="14" spans="2:18" ht="15.75" x14ac:dyDescent="0.25">
      <c r="B14" s="30" t="s">
        <v>9</v>
      </c>
      <c r="C14" s="31">
        <f t="shared" si="0"/>
        <v>2119</v>
      </c>
      <c r="D14" s="2"/>
      <c r="E14" s="18">
        <v>795</v>
      </c>
      <c r="F14" s="25" t="s">
        <v>156</v>
      </c>
      <c r="G14" s="26" t="s">
        <v>50</v>
      </c>
      <c r="H14" s="8">
        <v>399.5</v>
      </c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1</v>
      </c>
    </row>
    <row r="15" spans="2:18" ht="18.75" x14ac:dyDescent="0.4">
      <c r="B15" s="30" t="s">
        <v>10</v>
      </c>
      <c r="C15" s="31">
        <f t="shared" si="0"/>
        <v>55</v>
      </c>
      <c r="D15" s="2"/>
      <c r="E15" s="18">
        <v>796</v>
      </c>
      <c r="F15" s="25" t="s">
        <v>157</v>
      </c>
      <c r="G15" s="26" t="s">
        <v>50</v>
      </c>
      <c r="H15" s="8">
        <v>399.5</v>
      </c>
      <c r="I15" s="8"/>
      <c r="J15" s="2"/>
      <c r="K15" s="59">
        <v>739</v>
      </c>
      <c r="L15" s="9" t="s">
        <v>136</v>
      </c>
      <c r="M15" s="60" t="s">
        <v>143</v>
      </c>
      <c r="R15" s="1">
        <f>IF(vend4[[#This Row],[Nº Venda]]&gt;1,1,0)</f>
        <v>1</v>
      </c>
    </row>
    <row r="16" spans="2:18" ht="19.5" x14ac:dyDescent="0.4">
      <c r="B16" s="28" t="s">
        <v>11</v>
      </c>
      <c r="C16" s="32">
        <f>SUM(C11:C15)</f>
        <v>3893</v>
      </c>
      <c r="D16" s="2"/>
      <c r="E16" s="18"/>
      <c r="F16" s="25"/>
      <c r="G16" s="26"/>
      <c r="H16" s="8"/>
      <c r="I16" s="8"/>
      <c r="J16" s="2"/>
      <c r="K16" s="61">
        <v>741</v>
      </c>
      <c r="L16" s="9" t="s">
        <v>136</v>
      </c>
      <c r="M16" s="60" t="s">
        <v>143</v>
      </c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59">
        <v>769</v>
      </c>
      <c r="L17" s="9" t="s">
        <v>139</v>
      </c>
      <c r="M17" s="60" t="s">
        <v>158</v>
      </c>
      <c r="R17" s="1">
        <f>IF(vend4[[#This Row],[Nº Venda]]&gt;1,1,0)</f>
        <v>0</v>
      </c>
    </row>
    <row r="18" spans="2:18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25">
        <v>770</v>
      </c>
      <c r="L18" s="9" t="s">
        <v>139</v>
      </c>
      <c r="M18" s="16" t="s">
        <v>158</v>
      </c>
      <c r="R18" s="1">
        <f>IF(vend4[[#This Row],[Nº Venda]]&gt;1,1,0)</f>
        <v>0</v>
      </c>
    </row>
    <row r="19" spans="2:18" ht="15.75" x14ac:dyDescent="0.25">
      <c r="B19" s="30">
        <f>COUNT(entr_carn4[OS])</f>
        <v>1</v>
      </c>
      <c r="C19" s="31">
        <f>SUM(entr_carn4[Valor Total])</f>
        <v>669</v>
      </c>
      <c r="D19" s="2"/>
      <c r="E19" s="18"/>
      <c r="F19" s="25"/>
      <c r="G19" s="26"/>
      <c r="H19" s="8"/>
      <c r="I19" s="8"/>
      <c r="J19" s="2"/>
      <c r="K19" s="25">
        <v>739</v>
      </c>
      <c r="L19" s="9" t="s">
        <v>136</v>
      </c>
      <c r="M19" s="16" t="s">
        <v>143</v>
      </c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669</v>
      </c>
      <c r="D20" s="2"/>
      <c r="E20" s="18"/>
      <c r="F20" s="26"/>
      <c r="G20" s="26"/>
      <c r="H20" s="8"/>
      <c r="I20" s="8"/>
      <c r="J20" s="2"/>
      <c r="K20" s="25">
        <v>740</v>
      </c>
      <c r="L20" s="9" t="s">
        <v>136</v>
      </c>
      <c r="M20" s="16" t="s">
        <v>143</v>
      </c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6195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739</v>
      </c>
      <c r="F26" s="25" t="s">
        <v>155</v>
      </c>
      <c r="G26" s="46" t="s">
        <v>9</v>
      </c>
      <c r="H26" s="106">
        <v>0</v>
      </c>
      <c r="I26" s="8">
        <v>550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740</v>
      </c>
      <c r="F27" s="25" t="s">
        <v>155</v>
      </c>
      <c r="G27" s="46" t="s">
        <v>9</v>
      </c>
      <c r="H27" s="8">
        <v>0</v>
      </c>
      <c r="I27" s="8">
        <v>550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769</v>
      </c>
      <c r="L35" s="41">
        <v>8</v>
      </c>
      <c r="M35" s="16">
        <v>669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9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A9" zoomScale="80" zoomScaleNormal="80" workbookViewId="0">
      <selection activeCell="I36" sqref="I36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'04'!B1+1</f>
        <v>45478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595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21</v>
      </c>
      <c r="C8" s="29">
        <f>SUM(C6:C7)</f>
        <v>595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107" t="s">
        <v>5</v>
      </c>
      <c r="C10" s="107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595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22</v>
      </c>
      <c r="L13" s="110"/>
      <c r="M13" s="111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783</v>
      </c>
      <c r="L15" s="9" t="s">
        <v>129</v>
      </c>
      <c r="M15" s="66" t="s">
        <v>161</v>
      </c>
      <c r="N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695</v>
      </c>
      <c r="D16" s="2"/>
      <c r="E16" s="18"/>
      <c r="F16" s="25"/>
      <c r="G16" s="26"/>
      <c r="H16" s="8"/>
      <c r="I16" s="8"/>
      <c r="J16" s="2"/>
      <c r="K16" s="25">
        <v>771</v>
      </c>
      <c r="L16" s="9" t="s">
        <v>139</v>
      </c>
      <c r="M16" s="65" t="s">
        <v>161</v>
      </c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771</v>
      </c>
      <c r="F26" s="25" t="s">
        <v>159</v>
      </c>
      <c r="G26" s="46" t="s">
        <v>7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783</v>
      </c>
      <c r="F27" s="25" t="s">
        <v>160</v>
      </c>
      <c r="G27" s="46" t="s">
        <v>7</v>
      </c>
      <c r="H27" s="8"/>
      <c r="I27" s="8">
        <v>495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637</v>
      </c>
      <c r="F35" s="25" t="s">
        <v>162</v>
      </c>
      <c r="G35" s="26" t="s">
        <v>6</v>
      </c>
      <c r="H35" s="8">
        <v>50</v>
      </c>
      <c r="I35" s="8" t="s">
        <v>83</v>
      </c>
      <c r="K35" s="25"/>
      <c r="L35" s="41"/>
      <c r="M35" s="16"/>
    </row>
    <row r="36" spans="2:18" ht="15.75" x14ac:dyDescent="0.25">
      <c r="E36" s="18">
        <v>638</v>
      </c>
      <c r="F36" s="25" t="s">
        <v>162</v>
      </c>
      <c r="G36" s="26" t="s">
        <v>6</v>
      </c>
      <c r="H36" s="8">
        <v>50</v>
      </c>
      <c r="I36" s="8" t="s">
        <v>83</v>
      </c>
      <c r="K36" s="25"/>
      <c r="L36" s="41"/>
      <c r="M36" s="16"/>
    </row>
    <row r="37" spans="2:18" ht="15.75" x14ac:dyDescent="0.25">
      <c r="E37" s="93"/>
      <c r="F37" s="92"/>
      <c r="G37" s="94"/>
      <c r="H37" s="95"/>
      <c r="I37" s="95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topLeftCell="A14" zoomScale="80" zoomScaleNormal="80" workbookViewId="0">
      <selection activeCell="E35" sqref="E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'05'!B1+1</f>
        <v>45479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789.99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21</v>
      </c>
      <c r="C8" s="29">
        <f>SUM(C6:C7)</f>
        <v>789.99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107" t="s">
        <v>5</v>
      </c>
      <c r="C10" s="107"/>
      <c r="D10" s="2"/>
      <c r="E10" s="18"/>
      <c r="F10" s="58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119.8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388.99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22</v>
      </c>
      <c r="L13" s="110"/>
      <c r="M13" s="111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500</v>
      </c>
      <c r="D15" s="2"/>
      <c r="E15" s="18"/>
      <c r="F15" s="25"/>
      <c r="G15" s="26"/>
      <c r="H15" s="8"/>
      <c r="I15" s="8"/>
      <c r="J15" s="2"/>
      <c r="K15" s="18">
        <v>765</v>
      </c>
      <c r="L15" s="9" t="s">
        <v>139</v>
      </c>
      <c r="M15" s="16" t="s">
        <v>143</v>
      </c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1008.79</v>
      </c>
      <c r="D16" s="2"/>
      <c r="E16" s="18"/>
      <c r="F16" s="25"/>
      <c r="G16" s="26"/>
      <c r="H16" s="8"/>
      <c r="I16" s="8"/>
      <c r="J16" s="2"/>
      <c r="K16" s="25">
        <v>690</v>
      </c>
      <c r="L16" s="9" t="s">
        <v>139</v>
      </c>
      <c r="M16" s="16" t="s">
        <v>158</v>
      </c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759</v>
      </c>
      <c r="L17" s="9" t="s">
        <v>139</v>
      </c>
      <c r="M17" s="16" t="s">
        <v>158</v>
      </c>
      <c r="R17" s="1">
        <f>IF(vend[[#This Row],[Nº Venda]]&gt;1,1,0)</f>
        <v>0</v>
      </c>
    </row>
    <row r="18" spans="2:18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2</v>
      </c>
      <c r="C19" s="31">
        <f>SUM(entr_carn6[Valor Total])</f>
        <v>688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688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690</v>
      </c>
      <c r="F26" s="25" t="s">
        <v>163</v>
      </c>
      <c r="G26" s="26" t="s">
        <v>7</v>
      </c>
      <c r="H26" s="8">
        <v>0</v>
      </c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794</v>
      </c>
      <c r="F27" s="25" t="s">
        <v>154</v>
      </c>
      <c r="G27" s="26" t="s">
        <v>7</v>
      </c>
      <c r="H27" s="8">
        <v>0</v>
      </c>
      <c r="I27" s="8">
        <v>189.99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759</v>
      </c>
      <c r="F28" s="25" t="s">
        <v>164</v>
      </c>
      <c r="G28" s="26" t="s">
        <v>10</v>
      </c>
      <c r="H28" s="8">
        <v>0</v>
      </c>
      <c r="I28" s="8">
        <v>500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599</v>
      </c>
      <c r="F35" s="25" t="s">
        <v>165</v>
      </c>
      <c r="G35" s="26" t="s">
        <v>6</v>
      </c>
      <c r="H35" s="8">
        <v>119.8</v>
      </c>
      <c r="I35" s="8" t="s">
        <v>96</v>
      </c>
      <c r="K35" s="25">
        <v>690</v>
      </c>
      <c r="L35" s="41">
        <v>5</v>
      </c>
      <c r="M35" s="16">
        <v>488</v>
      </c>
    </row>
    <row r="36" spans="2:18" ht="15.75" x14ac:dyDescent="0.25">
      <c r="E36" s="18">
        <v>721</v>
      </c>
      <c r="F36" s="25" t="s">
        <v>166</v>
      </c>
      <c r="G36" s="26" t="s">
        <v>7</v>
      </c>
      <c r="H36" s="8">
        <v>99</v>
      </c>
      <c r="I36" s="8" t="s">
        <v>93</v>
      </c>
      <c r="K36" s="25">
        <v>759</v>
      </c>
      <c r="L36" s="41">
        <v>2</v>
      </c>
      <c r="M36" s="16">
        <v>200</v>
      </c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86">
        <f>'06'!B1+1</f>
        <v>45480</v>
      </c>
    </row>
    <row r="2" spans="2:21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  <c r="U4" s="1">
        <v>0</v>
      </c>
    </row>
    <row r="5" spans="2:21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3" t="s">
        <v>2</v>
      </c>
      <c r="C6" s="24">
        <f>SUM(I6:I41)</f>
        <v>0</v>
      </c>
      <c r="D6" s="2"/>
      <c r="E6" s="18"/>
      <c r="F6" s="84"/>
      <c r="G6" s="84"/>
      <c r="H6" s="85"/>
      <c r="I6" s="85"/>
      <c r="J6" s="2"/>
      <c r="K6" s="25"/>
      <c r="L6" s="9"/>
      <c r="M6" s="16"/>
      <c r="R6" s="1">
        <f>IF(vend7[[#This Row],[Nº Venda]]&gt;1,1,0)</f>
        <v>0</v>
      </c>
    </row>
    <row r="7" spans="2:21" ht="15.75" x14ac:dyDescent="0.25">
      <c r="B7" s="23" t="s">
        <v>3</v>
      </c>
      <c r="C7" s="24">
        <f>SUM(M6:M11)</f>
        <v>0</v>
      </c>
      <c r="D7" s="2"/>
      <c r="E7" s="18"/>
      <c r="F7" s="48"/>
      <c r="G7" s="48"/>
      <c r="H7" s="47"/>
      <c r="I7" s="47"/>
      <c r="J7" s="2"/>
      <c r="K7" s="25"/>
      <c r="L7" s="9"/>
      <c r="M7" s="16"/>
      <c r="R7" s="1">
        <f>IF(vend7[[#This Row],[Nº Venda]]&gt;1,1,0)</f>
        <v>0</v>
      </c>
    </row>
    <row r="8" spans="2:21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21" ht="15.75" x14ac:dyDescent="0.25">
      <c r="B10" s="107" t="s">
        <v>5</v>
      </c>
      <c r="C10" s="10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21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21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22</v>
      </c>
      <c r="L13" s="110"/>
      <c r="M13" s="111"/>
      <c r="R13" s="1">
        <f>IF(vend7[[#This Row],[Nº Venda]]&gt;1,1,0)</f>
        <v>0</v>
      </c>
    </row>
    <row r="14" spans="2:21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49"/>
      <c r="L15" s="9"/>
      <c r="M15" s="50"/>
      <c r="R15" s="1">
        <f>IF(vend7[[#This Row],[Nº Venda]]&gt;1,1,0)</f>
        <v>0</v>
      </c>
    </row>
    <row r="16" spans="2:21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75"/>
      <c r="F26" s="62"/>
      <c r="G26" s="76"/>
      <c r="H26" s="77"/>
      <c r="I26" s="77"/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A1:R42"/>
  <sheetViews>
    <sheetView showGridLines="0" topLeftCell="A14" zoomScale="80" zoomScaleNormal="80" workbookViewId="0">
      <selection activeCell="M16" sqref="M16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1:18" ht="31.5" x14ac:dyDescent="0.5">
      <c r="B1" s="86">
        <f>'07'!B1+1</f>
        <v>45481</v>
      </c>
    </row>
    <row r="2" spans="1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1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8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1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1:18" ht="15.75" x14ac:dyDescent="0.25">
      <c r="B6" s="23" t="s">
        <v>2</v>
      </c>
      <c r="C6" s="24">
        <f>SUM(I6:I41)</f>
        <v>0</v>
      </c>
      <c r="D6" s="2"/>
      <c r="E6" s="87"/>
      <c r="F6" s="8"/>
      <c r="G6" s="8"/>
      <c r="H6" s="8"/>
      <c r="I6" s="8"/>
      <c r="J6" s="2"/>
      <c r="K6" s="25" t="s">
        <v>167</v>
      </c>
      <c r="L6" s="9" t="s">
        <v>10</v>
      </c>
      <c r="M6" s="16">
        <v>13</v>
      </c>
      <c r="R6" s="1">
        <f>IF(vend8[[#This Row],[Nº Venda]]&gt;1,1,0)</f>
        <v>0</v>
      </c>
    </row>
    <row r="7" spans="1:18" ht="15.75" x14ac:dyDescent="0.25">
      <c r="B7" s="23" t="s">
        <v>3</v>
      </c>
      <c r="C7" s="24">
        <f>SUM(M6:M11)</f>
        <v>13</v>
      </c>
      <c r="D7" s="2"/>
      <c r="E7" s="87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1:18" ht="15.75" x14ac:dyDescent="0.25">
      <c r="B8" s="28" t="s">
        <v>21</v>
      </c>
      <c r="C8" s="29">
        <f>SUM(C6:C7)</f>
        <v>13</v>
      </c>
      <c r="D8" s="2"/>
      <c r="E8" s="87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1:18" ht="15.75" x14ac:dyDescent="0.25">
      <c r="B9" s="2"/>
      <c r="C9" s="2"/>
      <c r="D9" s="2"/>
      <c r="E9" s="87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1:18" ht="15.75" x14ac:dyDescent="0.25">
      <c r="B10" s="107" t="s">
        <v>5</v>
      </c>
      <c r="C10" s="10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1:18" ht="15.75" x14ac:dyDescent="0.25">
      <c r="B11" s="30" t="s">
        <v>6</v>
      </c>
      <c r="C11" s="83">
        <f>(SUMIF($G$2:$G$31,B11,$I$2:$I$31))+(SUMIF($G$35:$G$42,B11,$H$35:$H$42))</f>
        <v>72.5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1:18" ht="15.75" x14ac:dyDescent="0.25">
      <c r="B12" s="30" t="s">
        <v>7</v>
      </c>
      <c r="C12" s="83">
        <f>(SUMIF($G$2:$G$31,B12,$I$2:$I$31))+(SUMIF($G$35:$G$42,B12,$H$35:$H$42))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1:18" ht="15.75" x14ac:dyDescent="0.25">
      <c r="B13" s="30" t="s">
        <v>8</v>
      </c>
      <c r="C13" s="83">
        <f>(SUMIF($G$2:$G$31,B13,$I$2:$I$31))+(SUMIF($G$35:$G$42,B13,$H$35:$H$42))</f>
        <v>0</v>
      </c>
      <c r="D13" s="2"/>
      <c r="E13" s="18"/>
      <c r="F13" s="25"/>
      <c r="G13" s="26"/>
      <c r="H13" s="8"/>
      <c r="I13" s="8"/>
      <c r="J13" s="2"/>
      <c r="K13" s="109" t="s">
        <v>22</v>
      </c>
      <c r="L13" s="110"/>
      <c r="M13" s="111"/>
      <c r="R13" s="1">
        <f>IF(vend8[[#This Row],[Nº Venda]]&gt;1,1,0)</f>
        <v>0</v>
      </c>
    </row>
    <row r="14" spans="1:18" ht="15.75" x14ac:dyDescent="0.25">
      <c r="B14" s="30" t="s">
        <v>9</v>
      </c>
      <c r="C14" s="83">
        <f>(SUMIF($G$2:$G$31,B14,$I$2:$I$31))+(SUMIF($G$35:$G$42,B14,$H$35:$H$42))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1:18" ht="15.75" x14ac:dyDescent="0.25">
      <c r="B15" s="30" t="s">
        <v>10</v>
      </c>
      <c r="C15" s="83">
        <f>(SUMIF($G$2:$G$31,B15,$I$2:$I$31))+(SUMIF($G$35:$G$42,B15,$H$35:$H$42))</f>
        <v>170</v>
      </c>
      <c r="D15" s="2"/>
      <c r="E15" s="18"/>
      <c r="F15" s="25"/>
      <c r="G15" s="26"/>
      <c r="H15" s="8"/>
      <c r="I15" s="8"/>
      <c r="J15" s="2"/>
      <c r="K15" s="25">
        <v>734</v>
      </c>
      <c r="L15" s="9" t="s">
        <v>139</v>
      </c>
      <c r="M15" s="16" t="s">
        <v>143</v>
      </c>
      <c r="R15" s="1">
        <f>IF(vend8[[#This Row],[Nº Venda]]&gt;1,1,0)</f>
        <v>0</v>
      </c>
    </row>
    <row r="16" spans="1:18" ht="15.75" x14ac:dyDescent="0.25">
      <c r="A16" s="1">
        <v>76</v>
      </c>
      <c r="B16" s="28" t="s">
        <v>11</v>
      </c>
      <c r="C16" s="32">
        <f>SUM(C11:C15)</f>
        <v>242.5</v>
      </c>
      <c r="D16" s="2"/>
      <c r="E16" s="18"/>
      <c r="F16" s="25"/>
      <c r="G16" s="26"/>
      <c r="H16" s="8"/>
      <c r="I16" s="8"/>
      <c r="J16" s="2"/>
      <c r="K16" s="25">
        <v>767</v>
      </c>
      <c r="L16" s="9" t="s">
        <v>139</v>
      </c>
      <c r="M16" s="16" t="s">
        <v>143</v>
      </c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8"/>
      <c r="F26" s="89"/>
      <c r="G26" s="90"/>
      <c r="H26" s="91"/>
      <c r="I26" s="91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4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693</v>
      </c>
      <c r="F35" s="25" t="s">
        <v>168</v>
      </c>
      <c r="G35" s="26" t="s">
        <v>6</v>
      </c>
      <c r="H35" s="8">
        <v>72.5</v>
      </c>
      <c r="I35" s="8" t="s">
        <v>52</v>
      </c>
      <c r="K35" s="25"/>
      <c r="L35" s="41"/>
      <c r="M35" s="16"/>
    </row>
    <row r="36" spans="2:18" ht="15.75" x14ac:dyDescent="0.25">
      <c r="E36" s="18">
        <v>715</v>
      </c>
      <c r="F36" s="25" t="s">
        <v>169</v>
      </c>
      <c r="G36" s="26" t="s">
        <v>10</v>
      </c>
      <c r="H36" s="8">
        <v>170</v>
      </c>
      <c r="I36" s="8" t="s">
        <v>67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2:18" ht="15.75" x14ac:dyDescent="0.25">
      <c r="E42" s="35"/>
      <c r="F42" s="80"/>
      <c r="G42" s="81"/>
      <c r="H42" s="82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opLeftCell="A5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7">
        <f>'08'!B1+1</f>
        <v>45482</v>
      </c>
    </row>
    <row r="2" spans="2:22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2:22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22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22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22" ht="15.75" x14ac:dyDescent="0.25">
      <c r="B10" s="107" t="s">
        <v>5</v>
      </c>
      <c r="C10" s="10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22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22</v>
      </c>
      <c r="L13" s="110"/>
      <c r="M13" s="111"/>
      <c r="R13" s="1">
        <f>IF(vend9[[#This Row],[Nº Venda]]&gt;1,1,0)</f>
        <v>0</v>
      </c>
    </row>
    <row r="14" spans="2:22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22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A4" zoomScale="80" zoomScaleNormal="80" workbookViewId="0">
      <selection activeCell="W26" sqref="W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'09'!B1+1</f>
        <v>45483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2:18" ht="15" x14ac:dyDescent="0.25">
      <c r="B5" s="23" t="s">
        <v>1</v>
      </c>
      <c r="C5" s="24">
        <f>SUMIF(I6:I32,"&gt;0",H6:H32)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SUM(I6:I42)</f>
        <v>150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21</v>
      </c>
      <c r="C8" s="29">
        <f>SUM(C6:C7)</f>
        <v>150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107" t="s">
        <v>5</v>
      </c>
      <c r="C10" s="10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(SUMIF($G$2:$G$32,B11,$I$2:$I$32))+(SUMIF($G$36:$G$42,B11,$H$36:$H$42))</f>
        <v>75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>(SUMIF($G$2:$G$32,B12,$I$2:$I$32))+(SUMIF($G$36:$G$42,B12,$H$36:$H$42))</f>
        <v>150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(SUMIF($G$2:$G$32,B13,$I$2:$I$32))+(SUMIF($G$36:$G$42,B13,$H$36:$H$42))</f>
        <v>0</v>
      </c>
      <c r="D13" s="2"/>
      <c r="E13" s="18"/>
      <c r="F13" s="25"/>
      <c r="G13" s="26"/>
      <c r="H13" s="8"/>
      <c r="I13" s="8"/>
      <c r="J13" s="2"/>
      <c r="K13" s="109" t="s">
        <v>22</v>
      </c>
      <c r="L13" s="110"/>
      <c r="M13" s="111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(SUMIF($G$2:$G$32,B14,$I$2:$I$32))+(SUMIF($G$36:$G$42,B14,$H$36:$H$42))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>(SUMIF($G$2:$G$32,B15,$I$2:$I$32))+(SUMIF($G$36:$G$42,B15,$H$36:$H$42))</f>
        <v>0</v>
      </c>
      <c r="D15" s="2"/>
      <c r="E15" s="18"/>
      <c r="F15" s="25"/>
      <c r="G15" s="26"/>
      <c r="H15" s="8"/>
      <c r="I15" s="8"/>
      <c r="J15" s="2"/>
      <c r="K15" s="25">
        <v>781</v>
      </c>
      <c r="L15" s="9" t="s">
        <v>139</v>
      </c>
      <c r="M15" s="16" t="s">
        <v>158</v>
      </c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225</v>
      </c>
      <c r="D16" s="2"/>
      <c r="E16" s="18"/>
      <c r="F16" s="25"/>
      <c r="G16" s="26"/>
      <c r="H16" s="8"/>
      <c r="I16" s="8"/>
      <c r="J16" s="2"/>
      <c r="K16" s="25"/>
      <c r="L16" s="9"/>
      <c r="M16" s="65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1</v>
      </c>
      <c r="C19" s="31">
        <f>SUM(entr_carn10[Valor Total])</f>
        <v>750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750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781</v>
      </c>
      <c r="F26" s="25" t="s">
        <v>171</v>
      </c>
      <c r="G26" s="46" t="s">
        <v>7</v>
      </c>
      <c r="H26" s="8"/>
      <c r="I26" s="8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2:18" ht="15" x14ac:dyDescent="0.25">
      <c r="B33" s="2"/>
      <c r="C33" s="2"/>
      <c r="E33" s="33"/>
      <c r="K33" s="109" t="s">
        <v>12</v>
      </c>
      <c r="L33" s="110"/>
      <c r="M33" s="111"/>
    </row>
    <row r="34" spans="2:18" ht="15" x14ac:dyDescent="0.25">
      <c r="E34" s="108" t="s">
        <v>28</v>
      </c>
      <c r="F34" s="108"/>
      <c r="G34" s="108"/>
      <c r="H34" s="108"/>
      <c r="I34" s="108"/>
      <c r="K34" s="14" t="s">
        <v>23</v>
      </c>
      <c r="L34" s="6" t="s">
        <v>31</v>
      </c>
      <c r="M34" s="15" t="s">
        <v>32</v>
      </c>
    </row>
    <row r="35" spans="2:18" ht="15" x14ac:dyDescent="0.25">
      <c r="E35" s="10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25">
        <v>781</v>
      </c>
      <c r="L35" s="41">
        <v>5</v>
      </c>
      <c r="M35" s="16">
        <v>750</v>
      </c>
    </row>
    <row r="36" spans="2:18" ht="15.75" x14ac:dyDescent="0.25">
      <c r="E36" s="18">
        <v>633</v>
      </c>
      <c r="F36" s="25" t="s">
        <v>170</v>
      </c>
      <c r="G36" s="26" t="s">
        <v>6</v>
      </c>
      <c r="H36" s="8">
        <v>75</v>
      </c>
      <c r="I36" s="8" t="s">
        <v>77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2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3" zoomScale="80" zoomScaleNormal="80" workbookViewId="0">
      <selection activeCell="F10" sqref="F10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5.140625" style="1" bestFit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'10'!B1+1</f>
        <v>45484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2:18" ht="15" x14ac:dyDescent="0.25">
      <c r="B5" s="23" t="s">
        <v>1</v>
      </c>
      <c r="C5" s="24">
        <f>SUMIF(I6:I31,"&gt;0",H6:H31)</f>
        <v>10963.98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5209.99</v>
      </c>
      <c r="D6" s="2"/>
      <c r="E6" s="18">
        <v>797</v>
      </c>
      <c r="F6" s="25" t="s">
        <v>172</v>
      </c>
      <c r="G6" s="26" t="s">
        <v>8</v>
      </c>
      <c r="H6" s="8">
        <v>890</v>
      </c>
      <c r="I6" s="8">
        <v>890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798</v>
      </c>
      <c r="F7" s="25" t="s">
        <v>173</v>
      </c>
      <c r="G7" s="26" t="s">
        <v>10</v>
      </c>
      <c r="H7" s="8">
        <v>1198</v>
      </c>
      <c r="I7" s="8">
        <v>200</v>
      </c>
      <c r="J7" s="2"/>
      <c r="K7" s="25"/>
      <c r="L7" s="9"/>
      <c r="M7" s="16"/>
      <c r="R7" s="1">
        <f>IF(vend11[[#This Row],[Nº Venda]]&gt;1,1,0)</f>
        <v>1</v>
      </c>
    </row>
    <row r="8" spans="2:18" ht="15.75" x14ac:dyDescent="0.25">
      <c r="B8" s="28" t="s">
        <v>21</v>
      </c>
      <c r="C8" s="29">
        <f>SUM(C6:C7)</f>
        <v>5209.99</v>
      </c>
      <c r="D8" s="2"/>
      <c r="E8" s="18">
        <v>799</v>
      </c>
      <c r="F8" s="25" t="s">
        <v>174</v>
      </c>
      <c r="G8" s="26" t="s">
        <v>6</v>
      </c>
      <c r="H8" s="8">
        <v>715</v>
      </c>
      <c r="I8" s="8">
        <v>300</v>
      </c>
      <c r="J8" s="2"/>
      <c r="K8" s="25"/>
      <c r="L8" s="9"/>
      <c r="M8" s="16"/>
      <c r="R8" s="1">
        <f>IF(vend11[[#This Row],[Nº Venda]]&gt;1,1,0)</f>
        <v>1</v>
      </c>
    </row>
    <row r="9" spans="2:18" ht="15.75" x14ac:dyDescent="0.25">
      <c r="B9" s="2"/>
      <c r="C9" s="2"/>
      <c r="D9" s="2"/>
      <c r="E9" s="18">
        <v>800</v>
      </c>
      <c r="F9" s="25" t="s">
        <v>175</v>
      </c>
      <c r="G9" s="26" t="s">
        <v>6</v>
      </c>
      <c r="H9" s="8">
        <v>660</v>
      </c>
      <c r="I9" s="8">
        <v>120</v>
      </c>
      <c r="J9" s="2"/>
      <c r="K9" s="25"/>
      <c r="L9" s="9"/>
      <c r="M9" s="16"/>
      <c r="R9" s="1">
        <f>IF(vend11[[#This Row],[Nº Venda]]&gt;1,1,0)</f>
        <v>1</v>
      </c>
    </row>
    <row r="10" spans="2:18" ht="15.75" x14ac:dyDescent="0.25">
      <c r="B10" s="107" t="s">
        <v>5</v>
      </c>
      <c r="C10" s="107"/>
      <c r="D10" s="2"/>
      <c r="E10" s="18">
        <v>801</v>
      </c>
      <c r="F10" s="25" t="s">
        <v>176</v>
      </c>
      <c r="G10" s="26" t="s">
        <v>10</v>
      </c>
      <c r="H10" s="8">
        <v>699.99</v>
      </c>
      <c r="I10" s="8">
        <v>200</v>
      </c>
      <c r="J10" s="2"/>
      <c r="K10" s="25"/>
      <c r="L10" s="9"/>
      <c r="M10" s="16"/>
      <c r="R10" s="1">
        <f>IF(vend11[[#This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628</v>
      </c>
      <c r="D11" s="2"/>
      <c r="E11" s="18">
        <v>802</v>
      </c>
      <c r="F11" s="25" t="s">
        <v>177</v>
      </c>
      <c r="G11" s="26" t="s">
        <v>8</v>
      </c>
      <c r="H11" s="8">
        <v>850</v>
      </c>
      <c r="I11" s="8">
        <v>850</v>
      </c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>
        <v>803</v>
      </c>
      <c r="F12" s="25" t="s">
        <v>177</v>
      </c>
      <c r="G12" s="26" t="s">
        <v>8</v>
      </c>
      <c r="H12" s="8">
        <v>649.99</v>
      </c>
      <c r="I12" s="8">
        <v>649.99</v>
      </c>
      <c r="J12" s="2"/>
      <c r="R12" s="1">
        <f>IF(vend11[[#This Row],[Nº Venda]]&gt;1,1,0)</f>
        <v>1</v>
      </c>
    </row>
    <row r="13" spans="2:18" ht="15.75" x14ac:dyDescent="0.25">
      <c r="B13" s="30" t="s">
        <v>8</v>
      </c>
      <c r="C13" s="31">
        <f t="shared" si="0"/>
        <v>2389.9899999999998</v>
      </c>
      <c r="D13" s="2"/>
      <c r="E13" s="18">
        <v>804</v>
      </c>
      <c r="F13" s="25" t="s">
        <v>178</v>
      </c>
      <c r="G13" s="26" t="s">
        <v>10</v>
      </c>
      <c r="H13" s="8">
        <v>1800</v>
      </c>
      <c r="I13" s="8">
        <v>250</v>
      </c>
      <c r="J13" s="2"/>
      <c r="K13" s="109" t="s">
        <v>22</v>
      </c>
      <c r="L13" s="110"/>
      <c r="M13" s="111"/>
      <c r="R13" s="1">
        <f>IF(vend11[[#This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>
        <v>805</v>
      </c>
      <c r="F14" s="25" t="s">
        <v>178</v>
      </c>
      <c r="G14" s="26" t="s">
        <v>10</v>
      </c>
      <c r="H14" s="8">
        <v>171</v>
      </c>
      <c r="I14" s="8">
        <v>50</v>
      </c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1</v>
      </c>
    </row>
    <row r="15" spans="2:18" ht="15.75" x14ac:dyDescent="0.25">
      <c r="B15" s="30" t="s">
        <v>10</v>
      </c>
      <c r="C15" s="31">
        <f t="shared" si="0"/>
        <v>2350</v>
      </c>
      <c r="D15" s="2"/>
      <c r="E15" s="18">
        <v>806</v>
      </c>
      <c r="F15" s="25" t="s">
        <v>179</v>
      </c>
      <c r="G15" s="26" t="s">
        <v>10</v>
      </c>
      <c r="H15" s="8">
        <v>850</v>
      </c>
      <c r="I15" s="8">
        <v>600</v>
      </c>
      <c r="J15" s="2"/>
      <c r="K15" s="25">
        <v>757</v>
      </c>
      <c r="L15" s="9" t="s">
        <v>139</v>
      </c>
      <c r="M15" s="16" t="s">
        <v>143</v>
      </c>
      <c r="R15" s="1">
        <f>IF(vend11[[#This Row],[Nº Venda]]&gt;1,1,0)</f>
        <v>1</v>
      </c>
    </row>
    <row r="16" spans="2:18" ht="15.75" x14ac:dyDescent="0.25">
      <c r="B16" s="28" t="s">
        <v>11</v>
      </c>
      <c r="C16" s="32">
        <f>SUM(C11:C15)</f>
        <v>5367.99</v>
      </c>
      <c r="D16" s="2"/>
      <c r="E16" s="18">
        <v>807</v>
      </c>
      <c r="F16" s="25" t="s">
        <v>179</v>
      </c>
      <c r="G16" s="26" t="s">
        <v>10</v>
      </c>
      <c r="H16" s="8">
        <v>200</v>
      </c>
      <c r="I16" s="8">
        <v>50</v>
      </c>
      <c r="J16" s="2"/>
      <c r="K16" s="25"/>
      <c r="L16" s="9"/>
      <c r="M16" s="16"/>
      <c r="R16" s="1">
        <f>IF(vend11[[#This Row],[Nº Venda]]&gt;1,1,0)</f>
        <v>1</v>
      </c>
    </row>
    <row r="17" spans="2:18" ht="15.75" x14ac:dyDescent="0.25">
      <c r="B17" s="2"/>
      <c r="C17" s="2"/>
      <c r="D17" s="2"/>
      <c r="E17" s="18">
        <v>808</v>
      </c>
      <c r="F17" s="25" t="s">
        <v>180</v>
      </c>
      <c r="G17" s="26" t="s">
        <v>10</v>
      </c>
      <c r="H17" s="8">
        <v>450</v>
      </c>
      <c r="I17" s="8">
        <v>50</v>
      </c>
      <c r="J17" s="2"/>
      <c r="K17" s="25"/>
      <c r="L17" s="9"/>
      <c r="M17" s="16"/>
      <c r="R17" s="1">
        <f>IF(vend11[[#This Row],[Nº Venda]]&gt;1,1,0)</f>
        <v>1</v>
      </c>
    </row>
    <row r="18" spans="2:18" ht="15.75" x14ac:dyDescent="0.25">
      <c r="B18" s="107" t="s">
        <v>12</v>
      </c>
      <c r="C18" s="107"/>
      <c r="D18" s="2"/>
      <c r="E18" s="18">
        <v>809</v>
      </c>
      <c r="F18" s="25" t="s">
        <v>180</v>
      </c>
      <c r="G18" s="26" t="s">
        <v>10</v>
      </c>
      <c r="H18" s="8">
        <v>180</v>
      </c>
      <c r="I18" s="8">
        <v>50</v>
      </c>
      <c r="J18" s="2"/>
      <c r="K18" s="25"/>
      <c r="L18" s="9"/>
      <c r="M18" s="16"/>
      <c r="R18" s="1">
        <f>IF(vend11[[#This Row],[Nº Venda]]&gt;1,1,0)</f>
        <v>1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>
        <v>810</v>
      </c>
      <c r="F19" s="25" t="s">
        <v>181</v>
      </c>
      <c r="G19" s="26" t="s">
        <v>6</v>
      </c>
      <c r="H19" s="8">
        <v>1650</v>
      </c>
      <c r="I19" s="8">
        <v>50</v>
      </c>
      <c r="J19" s="2"/>
      <c r="K19" s="25"/>
      <c r="L19" s="9"/>
      <c r="M19" s="16"/>
      <c r="R19" s="1">
        <f>IF(vend11[[#This Row],[Nº Venda]]&gt;1,1,0)</f>
        <v>1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 t="s">
        <v>10</v>
      </c>
      <c r="H20" s="8">
        <v>0</v>
      </c>
      <c r="I20" s="8">
        <v>900</v>
      </c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10963.98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618</v>
      </c>
      <c r="F35" s="25" t="s">
        <v>182</v>
      </c>
      <c r="G35" s="26" t="s">
        <v>6</v>
      </c>
      <c r="H35" s="8">
        <v>158</v>
      </c>
      <c r="I35" s="8" t="s">
        <v>80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7" zoomScale="80" zoomScaleNormal="80" workbookViewId="0">
      <selection activeCell="K16" sqref="K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'11'!B1+1</f>
        <v>45485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2:18" ht="15" x14ac:dyDescent="0.25">
      <c r="B5" s="23" t="s">
        <v>1</v>
      </c>
      <c r="C5" s="24">
        <f>SUMIF(I6:I31,"&gt;0",H6:H31)</f>
        <v>890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420</v>
      </c>
      <c r="D6" s="2"/>
      <c r="E6" s="103">
        <v>811</v>
      </c>
      <c r="F6" s="51" t="s">
        <v>183</v>
      </c>
      <c r="G6" s="51" t="s">
        <v>10</v>
      </c>
      <c r="H6" s="52">
        <v>890</v>
      </c>
      <c r="I6" s="52">
        <v>50</v>
      </c>
      <c r="J6" s="2"/>
      <c r="K6" s="25"/>
      <c r="L6" s="9"/>
      <c r="M6" s="16"/>
      <c r="R6" s="1">
        <f>IF(vend12[[#This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6">
        <v>812</v>
      </c>
      <c r="F7" s="53" t="s">
        <v>164</v>
      </c>
      <c r="G7" s="53" t="s">
        <v>40</v>
      </c>
      <c r="H7" s="54">
        <v>0</v>
      </c>
      <c r="I7" s="54">
        <v>0</v>
      </c>
      <c r="J7" s="2"/>
      <c r="K7" s="25"/>
      <c r="L7" s="9"/>
      <c r="M7" s="16"/>
      <c r="R7" s="1">
        <f>IF(vend12[[#This Row],[Nº Venda]]&gt;1,1,0)</f>
        <v>1</v>
      </c>
    </row>
    <row r="8" spans="2:18" ht="15.75" x14ac:dyDescent="0.25">
      <c r="B8" s="28" t="s">
        <v>21</v>
      </c>
      <c r="C8" s="29">
        <f>SUM(C6:C7)</f>
        <v>420</v>
      </c>
      <c r="D8" s="2"/>
      <c r="E8" s="56">
        <v>813</v>
      </c>
      <c r="F8" s="53" t="s">
        <v>184</v>
      </c>
      <c r="G8" s="53" t="s">
        <v>40</v>
      </c>
      <c r="H8" s="54">
        <v>0</v>
      </c>
      <c r="I8" s="54">
        <v>0</v>
      </c>
      <c r="J8" s="2"/>
      <c r="K8" s="25"/>
      <c r="L8" s="9"/>
      <c r="M8" s="16"/>
      <c r="R8" s="1">
        <f>IF(vend12[[#This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107" t="s">
        <v>5</v>
      </c>
      <c r="C10" s="10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22</v>
      </c>
      <c r="L13" s="110"/>
      <c r="M13" s="111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420</v>
      </c>
      <c r="D15" s="2"/>
      <c r="E15" s="18"/>
      <c r="F15" s="25"/>
      <c r="G15" s="26"/>
      <c r="H15" s="8"/>
      <c r="I15" s="8"/>
      <c r="J15" s="2"/>
      <c r="K15" s="25">
        <v>725</v>
      </c>
      <c r="L15" s="9" t="s">
        <v>139</v>
      </c>
      <c r="M15" s="16" t="s">
        <v>143</v>
      </c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420</v>
      </c>
      <c r="D16" s="2"/>
      <c r="E16" s="18"/>
      <c r="F16" s="25"/>
      <c r="G16" s="26"/>
      <c r="H16" s="8"/>
      <c r="I16" s="8"/>
      <c r="J16" s="2"/>
      <c r="K16" s="25">
        <v>688</v>
      </c>
      <c r="L16" s="9" t="s">
        <v>139</v>
      </c>
      <c r="M16" s="16" t="s">
        <v>143</v>
      </c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890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728</v>
      </c>
      <c r="F26" s="55" t="s">
        <v>185</v>
      </c>
      <c r="G26" s="46" t="s">
        <v>10</v>
      </c>
      <c r="H26" s="8">
        <v>0</v>
      </c>
      <c r="I26" s="8">
        <v>35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730</v>
      </c>
      <c r="F27" s="25" t="s">
        <v>185</v>
      </c>
      <c r="G27" s="26" t="s">
        <v>10</v>
      </c>
      <c r="H27" s="8">
        <v>0</v>
      </c>
      <c r="I27" s="8">
        <v>35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688</v>
      </c>
      <c r="F28" s="25" t="s">
        <v>186</v>
      </c>
      <c r="G28" s="26" t="s">
        <v>10</v>
      </c>
      <c r="H28" s="8">
        <v>0</v>
      </c>
      <c r="I28" s="8">
        <v>300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5" zoomScale="80" zoomScaleNormal="80" workbookViewId="0">
      <selection activeCell="F7" sqref="F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'12'!B1+1</f>
        <v>45486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2:18" ht="15" x14ac:dyDescent="0.25">
      <c r="B5" s="23" t="s">
        <v>1</v>
      </c>
      <c r="C5" s="24">
        <f>SUMIF(I6:I31,"&gt;0",H6:H31)</f>
        <v>1480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440</v>
      </c>
      <c r="D6" s="2"/>
      <c r="E6" s="18">
        <v>814</v>
      </c>
      <c r="F6" s="25" t="s">
        <v>187</v>
      </c>
      <c r="G6" s="26" t="s">
        <v>10</v>
      </c>
      <c r="H6" s="8">
        <v>790</v>
      </c>
      <c r="I6" s="8">
        <v>50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815</v>
      </c>
      <c r="F7" s="25" t="s">
        <v>190</v>
      </c>
      <c r="G7" s="26" t="s">
        <v>10</v>
      </c>
      <c r="H7" s="8">
        <v>500</v>
      </c>
      <c r="I7" s="8">
        <v>50</v>
      </c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21</v>
      </c>
      <c r="C8" s="29">
        <f>SUM(C6:C7)</f>
        <v>440</v>
      </c>
      <c r="D8" s="2"/>
      <c r="E8" s="18">
        <v>816</v>
      </c>
      <c r="F8" s="25" t="s">
        <v>189</v>
      </c>
      <c r="G8" s="26" t="s">
        <v>6</v>
      </c>
      <c r="H8" s="8">
        <v>190</v>
      </c>
      <c r="I8" s="8">
        <v>40</v>
      </c>
      <c r="J8" s="2"/>
      <c r="K8" s="25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107" t="s">
        <v>5</v>
      </c>
      <c r="C10" s="10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340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22</v>
      </c>
      <c r="L13" s="110"/>
      <c r="M13" s="111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711</v>
      </c>
      <c r="L15" s="9" t="s">
        <v>139</v>
      </c>
      <c r="M15" s="16" t="s">
        <v>143</v>
      </c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440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1480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773</v>
      </c>
      <c r="F26" s="25" t="s">
        <v>188</v>
      </c>
      <c r="G26" s="26" t="s">
        <v>6</v>
      </c>
      <c r="H26" s="8">
        <v>0</v>
      </c>
      <c r="I26" s="8">
        <v>300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17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'13'!B1+1</f>
        <v>45487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107" t="s">
        <v>5</v>
      </c>
      <c r="C10" s="10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22</v>
      </c>
      <c r="L13" s="110"/>
      <c r="M13" s="111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12" zoomScale="80" zoomScaleNormal="80" workbookViewId="0">
      <selection activeCell="I35" sqref="I35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'14'!B1+1</f>
        <v>45488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330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21</v>
      </c>
      <c r="C8" s="29">
        <f>SUM(C6:C7)</f>
        <v>330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107" t="s">
        <v>5</v>
      </c>
      <c r="C10" s="10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330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22</v>
      </c>
      <c r="L13" s="110"/>
      <c r="M13" s="111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65</v>
      </c>
      <c r="D15" s="2"/>
      <c r="E15" s="18"/>
      <c r="F15" s="25"/>
      <c r="G15" s="26"/>
      <c r="H15" s="8"/>
      <c r="I15" s="8"/>
      <c r="J15" s="2"/>
      <c r="K15" s="63">
        <v>728</v>
      </c>
      <c r="L15" s="9" t="s">
        <v>139</v>
      </c>
      <c r="M15" s="71" t="s">
        <v>158</v>
      </c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395</v>
      </c>
      <c r="D16" s="2"/>
      <c r="E16" s="18"/>
      <c r="F16" s="25"/>
      <c r="G16" s="26"/>
      <c r="H16" s="8"/>
      <c r="I16" s="8"/>
      <c r="J16" s="2"/>
      <c r="K16" s="25">
        <v>772</v>
      </c>
      <c r="L16" s="9" t="s">
        <v>139</v>
      </c>
      <c r="M16" s="16" t="s">
        <v>158</v>
      </c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1</v>
      </c>
      <c r="C19" s="31">
        <f>SUM(entr_carn15[Valor Total])</f>
        <v>800</v>
      </c>
      <c r="D19" s="2"/>
      <c r="E19" s="18"/>
      <c r="F19" s="25"/>
      <c r="G19" s="26"/>
      <c r="H19" s="8"/>
      <c r="I19" s="8"/>
      <c r="J19" s="2"/>
      <c r="K19" s="63"/>
      <c r="L19" s="9"/>
      <c r="M19" s="71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800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692</v>
      </c>
      <c r="F26" s="25" t="s">
        <v>191</v>
      </c>
      <c r="G26" s="46" t="s">
        <v>7</v>
      </c>
      <c r="H26" s="8">
        <v>0</v>
      </c>
      <c r="I26" s="8">
        <v>82.5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728</v>
      </c>
      <c r="F27" s="25" t="s">
        <v>191</v>
      </c>
      <c r="G27" s="26" t="s">
        <v>7</v>
      </c>
      <c r="H27" s="8">
        <v>0</v>
      </c>
      <c r="I27" s="8">
        <v>82.5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729</v>
      </c>
      <c r="F28" s="25" t="s">
        <v>191</v>
      </c>
      <c r="G28" s="26" t="s">
        <v>7</v>
      </c>
      <c r="H28" s="8">
        <v>0</v>
      </c>
      <c r="I28" s="8">
        <v>82.5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730</v>
      </c>
      <c r="F29" s="25" t="s">
        <v>191</v>
      </c>
      <c r="G29" s="26" t="s">
        <v>7</v>
      </c>
      <c r="H29" s="8">
        <v>0</v>
      </c>
      <c r="I29" s="8">
        <v>82.5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473</v>
      </c>
      <c r="F35" s="25" t="s">
        <v>192</v>
      </c>
      <c r="G35" s="26" t="s">
        <v>10</v>
      </c>
      <c r="H35" s="8">
        <v>65</v>
      </c>
      <c r="I35" s="8" t="s">
        <v>100</v>
      </c>
      <c r="K35" s="25">
        <v>728</v>
      </c>
      <c r="L35" s="41">
        <v>8</v>
      </c>
      <c r="M35" s="16">
        <v>800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14" zoomScale="80" zoomScaleNormal="80" workbookViewId="0">
      <selection activeCell="K17" sqref="K17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'15'!B1+1</f>
        <v>45489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740</v>
      </c>
      <c r="D6" s="2"/>
      <c r="E6" s="18">
        <v>817</v>
      </c>
      <c r="F6" s="25" t="s">
        <v>193</v>
      </c>
      <c r="G6" s="46" t="s">
        <v>40</v>
      </c>
      <c r="H6" s="8">
        <v>0</v>
      </c>
      <c r="I6" s="8">
        <v>0</v>
      </c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21</v>
      </c>
      <c r="C8" s="29">
        <f>SUM(C6:C7)</f>
        <v>740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107" t="s">
        <v>5</v>
      </c>
      <c r="C10" s="10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70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740</v>
      </c>
      <c r="D13" s="2"/>
      <c r="E13" s="18"/>
      <c r="F13" s="25"/>
      <c r="G13" s="26"/>
      <c r="H13" s="8"/>
      <c r="I13" s="8"/>
      <c r="J13" s="2"/>
      <c r="K13" s="109" t="s">
        <v>22</v>
      </c>
      <c r="L13" s="110"/>
      <c r="M13" s="111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10</v>
      </c>
      <c r="D15" s="2"/>
      <c r="E15" s="18"/>
      <c r="F15" s="25"/>
      <c r="G15" s="26"/>
      <c r="H15" s="8"/>
      <c r="I15" s="8"/>
      <c r="J15" s="2"/>
      <c r="K15" s="25">
        <v>786</v>
      </c>
      <c r="L15" s="9" t="s">
        <v>139</v>
      </c>
      <c r="M15" s="16" t="s">
        <v>158</v>
      </c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820</v>
      </c>
      <c r="D16" s="2"/>
      <c r="E16" s="18"/>
      <c r="F16" s="25"/>
      <c r="G16" s="26"/>
      <c r="H16" s="8"/>
      <c r="I16" s="8"/>
      <c r="J16" s="2"/>
      <c r="K16" s="25">
        <v>788</v>
      </c>
      <c r="L16" s="9" t="s">
        <v>129</v>
      </c>
      <c r="M16" s="16" t="s">
        <v>143</v>
      </c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3">
        <v>792</v>
      </c>
      <c r="L17" s="9" t="s">
        <v>129</v>
      </c>
      <c r="M17" s="71" t="s">
        <v>143</v>
      </c>
      <c r="R17" s="1">
        <f>IF(vend16[[#This Row],[Nº Venda]]&gt;1,1,0)</f>
        <v>0</v>
      </c>
    </row>
    <row r="18" spans="2:18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814</v>
      </c>
      <c r="F26" s="25" t="s">
        <v>187</v>
      </c>
      <c r="G26" s="46" t="s">
        <v>8</v>
      </c>
      <c r="H26" s="8">
        <v>0</v>
      </c>
      <c r="I26" s="8">
        <v>740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608</v>
      </c>
      <c r="F35" s="25" t="s">
        <v>195</v>
      </c>
      <c r="G35" s="26" t="s">
        <v>6</v>
      </c>
      <c r="H35" s="8">
        <v>70</v>
      </c>
      <c r="I35" s="8" t="s">
        <v>80</v>
      </c>
      <c r="K35" s="25"/>
      <c r="L35" s="41"/>
      <c r="M35" s="16"/>
    </row>
    <row r="36" spans="2:18" ht="15.75" x14ac:dyDescent="0.25">
      <c r="E36" s="18"/>
      <c r="F36" s="25" t="s">
        <v>195</v>
      </c>
      <c r="G36" s="26" t="s">
        <v>10</v>
      </c>
      <c r="H36" s="8">
        <v>10</v>
      </c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12" zoomScale="80" zoomScaleNormal="80" workbookViewId="0">
      <selection activeCell="M17" sqref="M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'16'!B1+1</f>
        <v>45490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2:18" ht="15" x14ac:dyDescent="0.25">
      <c r="B5" s="23" t="s">
        <v>1</v>
      </c>
      <c r="C5" s="24">
        <f>SUMIF(I6:I31,"&gt;0",H6:H31)</f>
        <v>500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250</v>
      </c>
      <c r="D6" s="2"/>
      <c r="E6" s="18">
        <v>818</v>
      </c>
      <c r="F6" s="25" t="s">
        <v>194</v>
      </c>
      <c r="G6" s="26" t="s">
        <v>10</v>
      </c>
      <c r="H6" s="8">
        <v>500</v>
      </c>
      <c r="I6" s="8">
        <v>50</v>
      </c>
      <c r="J6" s="2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21</v>
      </c>
      <c r="C8" s="29">
        <f>SUM(C6:C7)</f>
        <v>250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107" t="s">
        <v>5</v>
      </c>
      <c r="C10" s="10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22</v>
      </c>
      <c r="L13" s="110"/>
      <c r="M13" s="111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200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>
        <v>766</v>
      </c>
      <c r="L15" s="9" t="s">
        <v>139</v>
      </c>
      <c r="M15" s="16" t="s">
        <v>158</v>
      </c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250</v>
      </c>
      <c r="D16" s="2"/>
      <c r="E16" s="18"/>
      <c r="F16" s="25"/>
      <c r="G16" s="26"/>
      <c r="H16" s="8"/>
      <c r="I16" s="8"/>
      <c r="J16" s="2"/>
      <c r="K16" s="25">
        <v>763</v>
      </c>
      <c r="L16" s="9" t="s">
        <v>139</v>
      </c>
      <c r="M16" s="16" t="s">
        <v>158</v>
      </c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800</v>
      </c>
      <c r="L17" s="9" t="s">
        <v>136</v>
      </c>
      <c r="M17" s="16" t="s">
        <v>143</v>
      </c>
      <c r="R17" s="1">
        <f>IF(vend17[[#This Row],[Nº Venda]]&gt;1,1,0)</f>
        <v>0</v>
      </c>
    </row>
    <row r="18" spans="2:18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2</v>
      </c>
      <c r="C19" s="31">
        <f>SUM(entr_carn17[Valor Total])</f>
        <v>130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130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766</v>
      </c>
      <c r="F26" s="25" t="s">
        <v>196</v>
      </c>
      <c r="G26" s="26" t="s">
        <v>9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43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766</v>
      </c>
      <c r="L35" s="41">
        <v>5</v>
      </c>
      <c r="M35" s="16">
        <v>74</v>
      </c>
    </row>
    <row r="36" spans="2:18" ht="15.75" x14ac:dyDescent="0.25">
      <c r="E36" s="18"/>
      <c r="F36" s="25"/>
      <c r="G36" s="26"/>
      <c r="H36" s="8"/>
      <c r="I36" s="8"/>
      <c r="K36" s="25">
        <v>763</v>
      </c>
      <c r="L36" s="41">
        <v>5</v>
      </c>
      <c r="M36" s="16">
        <v>56</v>
      </c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80" zoomScaleNormal="80" workbookViewId="0">
      <selection activeCell="E27" sqref="E27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3">
        <f>'17'!B1+1</f>
        <v>45491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2:18" ht="15" x14ac:dyDescent="0.25">
      <c r="B5" s="23" t="s">
        <v>1</v>
      </c>
      <c r="C5" s="24">
        <f>SUMIF(I6:I31,"&gt;0",H6:H31)</f>
        <v>5811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2290</v>
      </c>
      <c r="D6" s="2"/>
      <c r="E6" s="96">
        <v>819</v>
      </c>
      <c r="F6" s="63" t="s">
        <v>200</v>
      </c>
      <c r="G6" s="97" t="s">
        <v>8</v>
      </c>
      <c r="H6" s="74">
        <v>1199</v>
      </c>
      <c r="I6" s="74">
        <v>200</v>
      </c>
      <c r="J6" s="2"/>
      <c r="K6" s="25" t="s">
        <v>197</v>
      </c>
      <c r="L6" s="69" t="s">
        <v>10</v>
      </c>
      <c r="M6" s="16">
        <v>13</v>
      </c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20.9</v>
      </c>
      <c r="D7" s="2"/>
      <c r="E7" s="18">
        <v>820</v>
      </c>
      <c r="F7" s="25" t="s">
        <v>200</v>
      </c>
      <c r="G7" s="26" t="s">
        <v>8</v>
      </c>
      <c r="H7" s="8">
        <v>673</v>
      </c>
      <c r="I7" s="8">
        <v>70</v>
      </c>
      <c r="J7" s="2"/>
      <c r="K7" s="25" t="s">
        <v>198</v>
      </c>
      <c r="L7" s="9" t="s">
        <v>7</v>
      </c>
      <c r="M7" s="16">
        <v>7.9</v>
      </c>
      <c r="R7" s="1">
        <f>IF(vend18[[#This Row],[Nº Venda]]&gt;1,1,0)</f>
        <v>1</v>
      </c>
    </row>
    <row r="8" spans="2:18" ht="15.75" x14ac:dyDescent="0.25">
      <c r="B8" s="28" t="s">
        <v>21</v>
      </c>
      <c r="C8" s="29">
        <f>SUM(C6:C7)</f>
        <v>2310.9</v>
      </c>
      <c r="D8" s="2"/>
      <c r="E8" s="18"/>
      <c r="F8" s="25"/>
      <c r="G8" s="26" t="s">
        <v>10</v>
      </c>
      <c r="H8" s="8"/>
      <c r="I8" s="8">
        <v>30</v>
      </c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>
        <v>821</v>
      </c>
      <c r="F9" s="25" t="s">
        <v>201</v>
      </c>
      <c r="G9" s="26" t="s">
        <v>8</v>
      </c>
      <c r="H9" s="8">
        <v>400</v>
      </c>
      <c r="I9" s="8">
        <v>200</v>
      </c>
      <c r="J9" s="2"/>
      <c r="K9" s="25"/>
      <c r="L9" s="9"/>
      <c r="M9" s="16"/>
      <c r="R9" s="1">
        <f>IF(vend18[[#This Row],[Nº Venda]]&gt;1,1,0)</f>
        <v>1</v>
      </c>
    </row>
    <row r="10" spans="2:18" ht="15.75" x14ac:dyDescent="0.25">
      <c r="B10" s="107" t="s">
        <v>5</v>
      </c>
      <c r="C10" s="107"/>
      <c r="D10" s="2"/>
      <c r="E10" s="18">
        <v>822</v>
      </c>
      <c r="F10" s="25" t="s">
        <v>202</v>
      </c>
      <c r="G10" s="26" t="s">
        <v>8</v>
      </c>
      <c r="H10" s="8">
        <v>600</v>
      </c>
      <c r="I10" s="8">
        <v>200</v>
      </c>
      <c r="J10" s="2"/>
      <c r="K10" s="25"/>
      <c r="L10" s="9"/>
      <c r="M10" s="16"/>
      <c r="R10" s="1">
        <f>IF(vend18[[#This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>
        <v>823</v>
      </c>
      <c r="F11" s="25" t="s">
        <v>203</v>
      </c>
      <c r="G11" s="26" t="s">
        <v>50</v>
      </c>
      <c r="H11" s="8">
        <v>850</v>
      </c>
      <c r="I11" s="8">
        <v>0</v>
      </c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>
        <v>824</v>
      </c>
      <c r="F12" s="25" t="s">
        <v>204</v>
      </c>
      <c r="G12" s="26" t="s">
        <v>8</v>
      </c>
      <c r="H12" s="8">
        <v>650</v>
      </c>
      <c r="I12" s="8">
        <v>650</v>
      </c>
      <c r="J12" s="2"/>
      <c r="R12" s="1">
        <f>IF(vend18[[#This Row],[Nº Venda]]&gt;1,1,0)</f>
        <v>1</v>
      </c>
    </row>
    <row r="13" spans="2:18" ht="15.75" x14ac:dyDescent="0.25">
      <c r="B13" s="30" t="s">
        <v>8</v>
      </c>
      <c r="C13" s="31">
        <f t="shared" si="0"/>
        <v>2060</v>
      </c>
      <c r="D13" s="2"/>
      <c r="E13" s="18">
        <v>825</v>
      </c>
      <c r="F13" s="25" t="s">
        <v>205</v>
      </c>
      <c r="G13" s="26" t="s">
        <v>7</v>
      </c>
      <c r="H13" s="8">
        <v>800</v>
      </c>
      <c r="I13" s="8">
        <v>50</v>
      </c>
      <c r="J13" s="2"/>
      <c r="K13" s="109" t="s">
        <v>22</v>
      </c>
      <c r="L13" s="110"/>
      <c r="M13" s="111"/>
      <c r="R13" s="1">
        <f>IF(vend18[[#This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>
        <v>826</v>
      </c>
      <c r="F14" s="25" t="s">
        <v>206</v>
      </c>
      <c r="G14" s="26" t="s">
        <v>8</v>
      </c>
      <c r="H14" s="8">
        <v>699</v>
      </c>
      <c r="I14" s="8">
        <v>100</v>
      </c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1</v>
      </c>
    </row>
    <row r="15" spans="2:18" ht="15.75" x14ac:dyDescent="0.25">
      <c r="B15" s="30" t="s">
        <v>10</v>
      </c>
      <c r="C15" s="31">
        <f t="shared" si="0"/>
        <v>130</v>
      </c>
      <c r="D15" s="2"/>
      <c r="E15" s="18">
        <v>827</v>
      </c>
      <c r="F15" s="25" t="s">
        <v>207</v>
      </c>
      <c r="G15" s="26" t="s">
        <v>7</v>
      </c>
      <c r="H15" s="8">
        <v>790</v>
      </c>
      <c r="I15" s="8">
        <v>50</v>
      </c>
      <c r="J15" s="2"/>
      <c r="K15" s="25"/>
      <c r="L15" s="9"/>
      <c r="M15" s="16"/>
      <c r="R15" s="1">
        <f>IF(vend18[[#This Row],[Nº Venda]]&gt;1,1,0)</f>
        <v>1</v>
      </c>
    </row>
    <row r="16" spans="2:18" ht="15.75" x14ac:dyDescent="0.25">
      <c r="B16" s="28" t="s">
        <v>11</v>
      </c>
      <c r="C16" s="32">
        <f>SUM(C11:C15)</f>
        <v>2290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5811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67"/>
      <c r="F23" s="67"/>
      <c r="G23" s="67"/>
      <c r="H23" s="68"/>
      <c r="I23" s="68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771</v>
      </c>
      <c r="F26" s="25" t="s">
        <v>199</v>
      </c>
      <c r="G26" s="26" t="s">
        <v>10</v>
      </c>
      <c r="H26" s="8">
        <v>0</v>
      </c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789</v>
      </c>
      <c r="F27" s="25" t="s">
        <v>208</v>
      </c>
      <c r="G27" s="26" t="s">
        <v>8</v>
      </c>
      <c r="H27" s="8"/>
      <c r="I27" s="8">
        <v>640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9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A14" zoomScale="80" zoomScaleNormal="80" zoomScaleSheetLayoutView="70" workbookViewId="0">
      <selection activeCell="L12" sqref="L12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'18'!B1+1</f>
        <v>45492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2:18" ht="15" x14ac:dyDescent="0.25">
      <c r="B5" s="23" t="s">
        <v>1</v>
      </c>
      <c r="C5" s="24">
        <f>SUMIF(I6:I31,"&gt;0",H6:H31)</f>
        <v>2490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1549</v>
      </c>
      <c r="D6" s="2"/>
      <c r="E6" s="18">
        <v>828</v>
      </c>
      <c r="F6" s="25" t="s">
        <v>209</v>
      </c>
      <c r="G6" s="26" t="s">
        <v>6</v>
      </c>
      <c r="H6" s="8">
        <v>1690</v>
      </c>
      <c r="I6" s="8">
        <v>200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829</v>
      </c>
      <c r="F7" s="25" t="s">
        <v>210</v>
      </c>
      <c r="G7" s="26" t="s">
        <v>10</v>
      </c>
      <c r="H7" s="70">
        <v>500</v>
      </c>
      <c r="I7" s="8">
        <v>100</v>
      </c>
      <c r="J7" s="2"/>
      <c r="K7" s="25"/>
      <c r="L7" s="9"/>
      <c r="M7" s="16"/>
      <c r="R7" s="1">
        <f>IF(vend19[[#This Row],[Nº Venda]]&gt;1,1,0)</f>
        <v>1</v>
      </c>
    </row>
    <row r="8" spans="2:18" ht="15.75" x14ac:dyDescent="0.25">
      <c r="B8" s="28" t="s">
        <v>21</v>
      </c>
      <c r="C8" s="29">
        <f>SUM(C6:C7)</f>
        <v>1549</v>
      </c>
      <c r="D8" s="2"/>
      <c r="E8" s="18">
        <v>830</v>
      </c>
      <c r="F8" s="25" t="s">
        <v>211</v>
      </c>
      <c r="G8" s="26" t="s">
        <v>10</v>
      </c>
      <c r="H8" s="8">
        <v>300</v>
      </c>
      <c r="I8" s="8">
        <v>10</v>
      </c>
      <c r="J8" s="2"/>
      <c r="K8" s="25"/>
      <c r="L8" s="9"/>
      <c r="M8" s="16"/>
      <c r="R8" s="1">
        <f>IF(vend19[[#This Row],[Nº Venda]]&gt;1,1,0)</f>
        <v>1</v>
      </c>
    </row>
    <row r="9" spans="2:18" ht="15.75" x14ac:dyDescent="0.25">
      <c r="B9" s="2"/>
      <c r="C9" s="2"/>
      <c r="D9" s="2"/>
      <c r="E9" s="96"/>
      <c r="F9" s="63"/>
      <c r="G9" s="97"/>
      <c r="H9" s="74"/>
      <c r="I9" s="74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107" t="s">
        <v>5</v>
      </c>
      <c r="C10" s="10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22</v>
      </c>
      <c r="L13" s="110"/>
      <c r="M13" s="111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750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599</v>
      </c>
      <c r="D15" s="2"/>
      <c r="E15" s="18"/>
      <c r="F15" s="25"/>
      <c r="G15" s="26"/>
      <c r="H15" s="8"/>
      <c r="I15" s="8"/>
      <c r="J15" s="2"/>
      <c r="K15" s="25">
        <v>790</v>
      </c>
      <c r="L15" s="9" t="s">
        <v>139</v>
      </c>
      <c r="M15" s="16" t="s">
        <v>143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1549</v>
      </c>
      <c r="D16" s="2"/>
      <c r="E16" s="18"/>
      <c r="F16" s="25"/>
      <c r="G16" s="26"/>
      <c r="H16" s="8"/>
      <c r="I16" s="8"/>
      <c r="J16" s="2"/>
      <c r="K16" s="25">
        <v>793</v>
      </c>
      <c r="L16" s="9" t="s">
        <v>129</v>
      </c>
      <c r="M16" s="16" t="s">
        <v>143</v>
      </c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22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22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2" ht="15.75" x14ac:dyDescent="0.25">
      <c r="B22" s="28" t="s">
        <v>26</v>
      </c>
      <c r="C22" s="32">
        <f>C5</f>
        <v>2490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>
        <v>825</v>
      </c>
      <c r="F26" s="39" t="s">
        <v>212</v>
      </c>
      <c r="G26" s="26" t="s">
        <v>9</v>
      </c>
      <c r="H26" s="8">
        <v>0</v>
      </c>
      <c r="I26" s="8">
        <v>750</v>
      </c>
      <c r="J26" s="2"/>
      <c r="K26" s="25"/>
      <c r="L26" s="9"/>
      <c r="M26" s="16"/>
    </row>
    <row r="27" spans="2:22" ht="15.75" x14ac:dyDescent="0.25">
      <c r="B27" s="2"/>
      <c r="C27" s="2"/>
      <c r="D27" s="2"/>
      <c r="E27" s="18">
        <v>793</v>
      </c>
      <c r="F27" s="25" t="s">
        <v>213</v>
      </c>
      <c r="G27" s="26" t="s">
        <v>10</v>
      </c>
      <c r="H27" s="8">
        <v>0</v>
      </c>
      <c r="I27" s="8">
        <v>489</v>
      </c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98"/>
      <c r="H29" s="26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4" zoomScale="80" zoomScaleNormal="80" workbookViewId="0">
      <selection activeCell="E27" sqref="E27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3">
        <f>'19'!B1+1</f>
        <v>45493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2:18" ht="15" x14ac:dyDescent="0.25">
      <c r="B5" s="23" t="s">
        <v>1</v>
      </c>
      <c r="C5" s="24">
        <f>SUMIF(I6:I31,"&gt;0",H6:H31)</f>
        <v>2290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1720</v>
      </c>
      <c r="D6" s="2"/>
      <c r="E6" s="18">
        <v>831</v>
      </c>
      <c r="F6" s="25" t="s">
        <v>215</v>
      </c>
      <c r="G6" s="26" t="s">
        <v>40</v>
      </c>
      <c r="H6" s="8">
        <v>0</v>
      </c>
      <c r="I6" s="8">
        <v>0</v>
      </c>
      <c r="J6" s="2"/>
      <c r="K6" s="25"/>
      <c r="L6" s="9"/>
      <c r="M6" s="16"/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832</v>
      </c>
      <c r="F7" s="25" t="s">
        <v>214</v>
      </c>
      <c r="G7" s="26" t="s">
        <v>9</v>
      </c>
      <c r="H7" s="8">
        <v>600</v>
      </c>
      <c r="I7" s="8">
        <v>600</v>
      </c>
      <c r="J7" s="2"/>
      <c r="K7" s="25"/>
      <c r="L7" s="9"/>
      <c r="M7" s="16"/>
      <c r="R7" s="1">
        <f>IF(vend20[[#This Row],[Nº Venda]]&gt;1,1,0)</f>
        <v>1</v>
      </c>
    </row>
    <row r="8" spans="2:18" ht="15.75" x14ac:dyDescent="0.25">
      <c r="B8" s="28" t="s">
        <v>21</v>
      </c>
      <c r="C8" s="29">
        <f>SUM(C6:C7)</f>
        <v>1720</v>
      </c>
      <c r="D8" s="2"/>
      <c r="E8" s="18">
        <v>833</v>
      </c>
      <c r="F8" s="25" t="s">
        <v>217</v>
      </c>
      <c r="G8" s="26" t="s">
        <v>7</v>
      </c>
      <c r="H8" s="8">
        <v>1290</v>
      </c>
      <c r="I8" s="8">
        <v>190</v>
      </c>
      <c r="J8" s="2"/>
      <c r="K8" s="25"/>
      <c r="L8" s="9"/>
      <c r="M8" s="16"/>
      <c r="R8" s="1">
        <f>IF(vend20[[#This Row],[Nº Venda]]&gt;1,1,0)</f>
        <v>1</v>
      </c>
    </row>
    <row r="9" spans="2:18" ht="15.75" x14ac:dyDescent="0.25">
      <c r="B9" s="2"/>
      <c r="C9" s="2"/>
      <c r="D9" s="2"/>
      <c r="E9" s="18">
        <v>834</v>
      </c>
      <c r="F9" s="25" t="s">
        <v>218</v>
      </c>
      <c r="G9" s="26" t="s">
        <v>7</v>
      </c>
      <c r="H9" s="8">
        <v>400</v>
      </c>
      <c r="I9" s="8">
        <v>50</v>
      </c>
      <c r="J9" s="2"/>
      <c r="K9" s="25"/>
      <c r="L9" s="9"/>
      <c r="M9" s="16"/>
      <c r="R9" s="1">
        <f>IF(vend20[[#This Row],[Nº Venda]]&gt;1,1,0)</f>
        <v>1</v>
      </c>
    </row>
    <row r="10" spans="2:18" ht="15.75" x14ac:dyDescent="0.25">
      <c r="B10" s="107" t="s">
        <v>5</v>
      </c>
      <c r="C10" s="10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480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22</v>
      </c>
      <c r="L13" s="110"/>
      <c r="M13" s="111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1240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3">
        <v>794</v>
      </c>
      <c r="L15" s="9" t="s">
        <v>139</v>
      </c>
      <c r="M15" s="16" t="s">
        <v>158</v>
      </c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1720</v>
      </c>
      <c r="D16" s="2"/>
      <c r="E16" s="18"/>
      <c r="F16" s="25"/>
      <c r="G16" s="26"/>
      <c r="H16" s="8"/>
      <c r="I16" s="8"/>
      <c r="J16" s="2"/>
      <c r="K16" s="63">
        <v>797</v>
      </c>
      <c r="L16" s="9" t="s">
        <v>139</v>
      </c>
      <c r="M16" s="71" t="s">
        <v>143</v>
      </c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812</v>
      </c>
      <c r="L17" s="9" t="s">
        <v>139</v>
      </c>
      <c r="M17" s="16" t="s">
        <v>143</v>
      </c>
      <c r="R17" s="1">
        <f>IF(vend20[[#This Row],[Nº Venda]]&gt;1,1,0)</f>
        <v>0</v>
      </c>
    </row>
    <row r="18" spans="2:18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25">
        <v>806</v>
      </c>
      <c r="L18" s="9" t="s">
        <v>139</v>
      </c>
      <c r="M18" s="16" t="s">
        <v>143</v>
      </c>
      <c r="R18" s="1">
        <f>IF(vend20[[#This Row],[Nº Venda]]&gt;1,1,0)</f>
        <v>0</v>
      </c>
    </row>
    <row r="19" spans="2:18" ht="15.75" x14ac:dyDescent="0.25">
      <c r="B19" s="30">
        <f>COUNT(entr_carn20[OS])</f>
        <v>3</v>
      </c>
      <c r="C19" s="31">
        <f>SUM(entr_carn20[Valor Total])</f>
        <v>2170</v>
      </c>
      <c r="D19" s="2"/>
      <c r="E19" s="18"/>
      <c r="F19" s="25"/>
      <c r="G19" s="26"/>
      <c r="H19" s="8"/>
      <c r="I19" s="8"/>
      <c r="J19" s="2"/>
      <c r="K19" s="25">
        <v>811</v>
      </c>
      <c r="L19" s="9" t="s">
        <v>139</v>
      </c>
      <c r="M19" s="16" t="s">
        <v>158</v>
      </c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2170</v>
      </c>
      <c r="D20" s="2"/>
      <c r="E20" s="18"/>
      <c r="F20" s="26"/>
      <c r="G20" s="26"/>
      <c r="H20" s="8"/>
      <c r="I20" s="8"/>
      <c r="J20" s="2"/>
      <c r="K20" s="25">
        <v>812</v>
      </c>
      <c r="L20" s="9" t="s">
        <v>139</v>
      </c>
      <c r="M20" s="16" t="s">
        <v>143</v>
      </c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827</v>
      </c>
      <c r="L21" s="9" t="s">
        <v>139</v>
      </c>
      <c r="M21" s="16" t="s">
        <v>158</v>
      </c>
    </row>
    <row r="22" spans="2:18" ht="15.75" x14ac:dyDescent="0.25">
      <c r="B22" s="28" t="s">
        <v>26</v>
      </c>
      <c r="C22" s="32">
        <f>C5</f>
        <v>2290</v>
      </c>
      <c r="D22" s="2"/>
      <c r="E22" s="18"/>
      <c r="F22" s="25"/>
      <c r="G22" s="26"/>
      <c r="H22" s="8"/>
      <c r="I22" s="8"/>
      <c r="J22" s="2"/>
      <c r="K22" s="25">
        <v>727</v>
      </c>
      <c r="L22" s="9" t="s">
        <v>139</v>
      </c>
      <c r="M22" s="16" t="s">
        <v>158</v>
      </c>
    </row>
    <row r="23" spans="2:18" ht="15" x14ac:dyDescent="0.25">
      <c r="B23" s="2"/>
      <c r="C23" s="2"/>
      <c r="D23" s="2"/>
      <c r="E23" s="33"/>
      <c r="H23" s="7"/>
      <c r="J23" s="2"/>
      <c r="K23" s="25">
        <v>773</v>
      </c>
      <c r="L23" s="9" t="s">
        <v>139</v>
      </c>
      <c r="M23" s="16" t="s">
        <v>143</v>
      </c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773</v>
      </c>
      <c r="F26" s="25" t="s">
        <v>188</v>
      </c>
      <c r="G26" s="26" t="s">
        <v>9</v>
      </c>
      <c r="H26" s="8"/>
      <c r="I26" s="8">
        <v>640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827</v>
      </c>
      <c r="F27" s="25" t="s">
        <v>216</v>
      </c>
      <c r="G27" s="26" t="s">
        <v>7</v>
      </c>
      <c r="H27" s="8"/>
      <c r="I27" s="8">
        <v>240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794</v>
      </c>
      <c r="L35" s="41">
        <v>8</v>
      </c>
      <c r="M35" s="71">
        <v>700</v>
      </c>
    </row>
    <row r="36" spans="2:18" ht="15.75" x14ac:dyDescent="0.25">
      <c r="E36" s="18"/>
      <c r="F36" s="25"/>
      <c r="G36" s="26"/>
      <c r="H36" s="8"/>
      <c r="I36" s="8"/>
      <c r="K36" s="63">
        <v>811</v>
      </c>
      <c r="L36" s="72">
        <v>5</v>
      </c>
      <c r="M36" s="71">
        <v>590</v>
      </c>
    </row>
    <row r="37" spans="2:18" ht="15.75" x14ac:dyDescent="0.25">
      <c r="E37" s="18"/>
      <c r="F37" s="25"/>
      <c r="G37" s="26"/>
      <c r="H37" s="8"/>
      <c r="I37" s="8"/>
      <c r="K37" s="25">
        <v>727</v>
      </c>
      <c r="L37" s="41">
        <v>8</v>
      </c>
      <c r="M37" s="16">
        <v>880</v>
      </c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7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'20'!B1+1</f>
        <v>45494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107" t="s">
        <v>5</v>
      </c>
      <c r="C10" s="10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22</v>
      </c>
      <c r="L13" s="110"/>
      <c r="M13" s="111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80" zoomScaleNormal="80" workbookViewId="0">
      <selection activeCell="M16" sqref="M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'21'!B1+1</f>
        <v>45495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400</v>
      </c>
      <c r="D6" s="2"/>
      <c r="E6" s="18">
        <v>835</v>
      </c>
      <c r="F6" s="25" t="s">
        <v>219</v>
      </c>
      <c r="G6" s="26" t="s">
        <v>40</v>
      </c>
      <c r="H6" s="8">
        <v>0</v>
      </c>
      <c r="I6" s="8">
        <v>0</v>
      </c>
      <c r="J6" s="2"/>
      <c r="K6" s="25"/>
      <c r="L6" s="9"/>
      <c r="M6" s="16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836</v>
      </c>
      <c r="F7" s="25" t="s">
        <v>220</v>
      </c>
      <c r="G7" s="26" t="s">
        <v>40</v>
      </c>
      <c r="H7" s="8">
        <v>0</v>
      </c>
      <c r="I7" s="8">
        <v>0</v>
      </c>
      <c r="J7" s="2"/>
      <c r="K7" s="25"/>
      <c r="L7" s="9"/>
      <c r="M7" s="16"/>
      <c r="R7" s="1">
        <f>IF(vend22[[#This Row],[Nº Venda]]&gt;1,1,0)</f>
        <v>1</v>
      </c>
    </row>
    <row r="8" spans="2:18" ht="15.75" x14ac:dyDescent="0.25">
      <c r="B8" s="28" t="s">
        <v>21</v>
      </c>
      <c r="C8" s="29">
        <f>SUM(C6:C7)</f>
        <v>400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107" t="s">
        <v>5</v>
      </c>
      <c r="C10" s="10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400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22</v>
      </c>
      <c r="L13" s="110"/>
      <c r="M13" s="111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400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835</v>
      </c>
      <c r="F26" s="25" t="s">
        <v>217</v>
      </c>
      <c r="G26" s="26" t="s">
        <v>7</v>
      </c>
      <c r="H26" s="8">
        <v>0</v>
      </c>
      <c r="I26" s="8">
        <v>400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A14" zoomScale="80" zoomScaleNormal="80" workbookViewId="0">
      <selection activeCell="E35" sqref="E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'22'!B1+1</f>
        <v>45496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1070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21</v>
      </c>
      <c r="C8" s="29">
        <f>SUM(C6:C7)</f>
        <v>1070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107" t="s">
        <v>5</v>
      </c>
      <c r="C10" s="10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83">
        <f>(SUMIF($G$2:$G$31,B11,$I$2:$I$31))+(SUMIF($G$35:$G$44,B11,$H$35:$H$44))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83">
        <f>(SUMIF($G$2:$G$31,B12,$I$2:$I$31))+(SUMIF($G$35:$G$44,B12,$H$35:$H$44))</f>
        <v>150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83">
        <f>(SUMIF($G$2:$G$31,B13,$I$2:$I$31))+(SUMIF($G$35:$G$44,B13,$H$35:$H$44))</f>
        <v>0</v>
      </c>
      <c r="D13" s="2"/>
      <c r="E13" s="18"/>
      <c r="F13" s="25"/>
      <c r="G13" s="26"/>
      <c r="H13" s="8"/>
      <c r="I13" s="8"/>
      <c r="J13" s="2"/>
      <c r="K13" s="109" t="s">
        <v>22</v>
      </c>
      <c r="L13" s="110"/>
      <c r="M13" s="111"/>
      <c r="R13" s="1">
        <f>IF(vend23[[#This Row],[Nº Venda]]&gt;1,1,0)</f>
        <v>0</v>
      </c>
    </row>
    <row r="14" spans="2:18" ht="15.75" x14ac:dyDescent="0.25">
      <c r="B14" s="30" t="s">
        <v>9</v>
      </c>
      <c r="C14" s="83">
        <f>(SUMIF($G$2:$G$31,B14,$I$2:$I$31))+(SUMIF($G$35:$G$44,B14,$H$35:$H$44))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83">
        <f>(SUMIF($G$2:$G$31,B15,$I$2:$I$31))+(SUMIF($G$35:$G$44,B15,$H$35:$H$44))</f>
        <v>920</v>
      </c>
      <c r="D15" s="2"/>
      <c r="E15" s="18"/>
      <c r="F15" s="25"/>
      <c r="G15" s="26"/>
      <c r="H15" s="8"/>
      <c r="I15" s="8"/>
      <c r="J15" s="2"/>
      <c r="K15" s="25">
        <v>804</v>
      </c>
      <c r="L15" s="9" t="s">
        <v>139</v>
      </c>
      <c r="M15" s="16" t="s">
        <v>143</v>
      </c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1070</v>
      </c>
      <c r="D16" s="2"/>
      <c r="E16" s="18"/>
      <c r="F16" s="25"/>
      <c r="G16" s="26"/>
      <c r="H16" s="8"/>
      <c r="I16" s="8"/>
      <c r="J16" s="2"/>
      <c r="K16" s="25">
        <v>814</v>
      </c>
      <c r="L16" s="9" t="s">
        <v>139</v>
      </c>
      <c r="M16" s="16" t="s">
        <v>143</v>
      </c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777</v>
      </c>
      <c r="L17" s="9" t="s">
        <v>139</v>
      </c>
      <c r="M17" s="16" t="s">
        <v>143</v>
      </c>
      <c r="R17" s="1">
        <f>IF(vend23[[#This Row],[Nº Venda]]&gt;1,1,0)</f>
        <v>0</v>
      </c>
    </row>
    <row r="18" spans="2:18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25">
        <v>807</v>
      </c>
      <c r="L18" s="9" t="s">
        <v>139</v>
      </c>
      <c r="M18" s="16" t="s">
        <v>143</v>
      </c>
      <c r="R18" s="1">
        <f>IF(vend23[[#This Row],[Nº Venda]]&gt;1,1,0)</f>
        <v>0</v>
      </c>
    </row>
    <row r="19" spans="2:18" ht="15.75" x14ac:dyDescent="0.25">
      <c r="B19" s="30">
        <f>COUNT(entr_carn23[OS])</f>
        <v>1</v>
      </c>
      <c r="C19" s="31">
        <f>SUM(entr_carn23[Valor Total])</f>
        <v>592</v>
      </c>
      <c r="D19" s="2"/>
      <c r="E19" s="18"/>
      <c r="F19" s="25"/>
      <c r="G19" s="26"/>
      <c r="H19" s="8"/>
      <c r="I19" s="8"/>
      <c r="J19" s="2"/>
      <c r="K19" s="25">
        <v>808</v>
      </c>
      <c r="L19" s="9" t="s">
        <v>139</v>
      </c>
      <c r="M19" s="16" t="s">
        <v>143</v>
      </c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592</v>
      </c>
      <c r="D20" s="2"/>
      <c r="E20" s="18"/>
      <c r="F20" s="26"/>
      <c r="G20" s="26"/>
      <c r="H20" s="8"/>
      <c r="I20" s="8"/>
      <c r="J20" s="2"/>
      <c r="K20" s="25">
        <v>787</v>
      </c>
      <c r="L20" s="9" t="s">
        <v>139</v>
      </c>
      <c r="M20" s="16" t="s">
        <v>158</v>
      </c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804</v>
      </c>
      <c r="F26" s="25" t="s">
        <v>221</v>
      </c>
      <c r="G26" s="26" t="s">
        <v>10</v>
      </c>
      <c r="H26" s="8">
        <v>0</v>
      </c>
      <c r="I26" s="8">
        <v>170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806</v>
      </c>
      <c r="F27" s="25" t="s">
        <v>222</v>
      </c>
      <c r="G27" s="26" t="s">
        <v>10</v>
      </c>
      <c r="H27" s="8">
        <v>0</v>
      </c>
      <c r="I27" s="8">
        <v>250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807</v>
      </c>
      <c r="F28" s="25" t="s">
        <v>222</v>
      </c>
      <c r="G28" s="26" t="s">
        <v>10</v>
      </c>
      <c r="H28" s="8">
        <v>0</v>
      </c>
      <c r="I28" s="8">
        <v>250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807</v>
      </c>
      <c r="F29" s="25" t="s">
        <v>180</v>
      </c>
      <c r="G29" s="26" t="s">
        <v>10</v>
      </c>
      <c r="H29" s="8">
        <v>0</v>
      </c>
      <c r="I29" s="8">
        <v>250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787</v>
      </c>
      <c r="F30" s="39" t="s">
        <v>223</v>
      </c>
      <c r="G30" s="26" t="s">
        <v>7</v>
      </c>
      <c r="H30" s="8">
        <v>0</v>
      </c>
      <c r="I30" s="8">
        <v>150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787</v>
      </c>
      <c r="L35" s="41">
        <v>5</v>
      </c>
      <c r="M35" s="16">
        <v>592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2:18" ht="15.75" x14ac:dyDescent="0.25">
      <c r="E42" s="101"/>
      <c r="F42" s="80"/>
      <c r="G42" s="81"/>
      <c r="H42" s="82"/>
      <c r="I42" s="17"/>
    </row>
    <row r="43" spans="2:18" ht="15.75" x14ac:dyDescent="0.25">
      <c r="E43" s="101"/>
      <c r="F43" s="99"/>
      <c r="G43" s="98"/>
      <c r="H43" s="100"/>
      <c r="I43" s="8"/>
    </row>
    <row r="44" spans="2:18" ht="15.75" x14ac:dyDescent="0.25">
      <c r="E44" s="102"/>
      <c r="F44" s="80"/>
      <c r="G44" s="81"/>
      <c r="H44" s="82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2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'23'!B1+1</f>
        <v>45497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1450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21</v>
      </c>
      <c r="C8" s="29">
        <f>SUM(C6:C7)</f>
        <v>1450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107" t="s">
        <v>5</v>
      </c>
      <c r="C10" s="10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1300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22</v>
      </c>
      <c r="L13" s="110"/>
      <c r="M13" s="111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25">
        <v>774</v>
      </c>
      <c r="L15" s="9" t="s">
        <v>139</v>
      </c>
      <c r="M15" s="16" t="s">
        <v>143</v>
      </c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1650</v>
      </c>
      <c r="D16" s="2"/>
      <c r="E16" s="18"/>
      <c r="F16" s="25"/>
      <c r="G16" s="26"/>
      <c r="H16" s="8"/>
      <c r="I16" s="8"/>
      <c r="J16" s="2"/>
      <c r="K16" s="25">
        <v>778</v>
      </c>
      <c r="L16" s="9" t="s">
        <v>139</v>
      </c>
      <c r="M16" s="16" t="s">
        <v>143</v>
      </c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816</v>
      </c>
      <c r="F26" s="25" t="s">
        <v>189</v>
      </c>
      <c r="G26" s="26" t="s">
        <v>6</v>
      </c>
      <c r="H26" s="8">
        <v>0</v>
      </c>
      <c r="I26" s="8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774</v>
      </c>
      <c r="F27" s="25" t="s">
        <v>225</v>
      </c>
      <c r="G27" s="26" t="s">
        <v>7</v>
      </c>
      <c r="H27" s="8">
        <v>0</v>
      </c>
      <c r="I27" s="8">
        <v>750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778</v>
      </c>
      <c r="F28" s="25" t="s">
        <v>226</v>
      </c>
      <c r="G28" s="26" t="s">
        <v>7</v>
      </c>
      <c r="H28" s="8">
        <v>0</v>
      </c>
      <c r="I28" s="8">
        <v>550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672</v>
      </c>
      <c r="F35" s="25" t="s">
        <v>224</v>
      </c>
      <c r="G35" s="26" t="s">
        <v>10</v>
      </c>
      <c r="H35" s="8">
        <v>200</v>
      </c>
      <c r="I35" s="8" t="s">
        <v>53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topLeftCell="D1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'24'!B1+1</f>
        <v>45498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107" t="s">
        <v>5</v>
      </c>
      <c r="C10" s="10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 ca="1">(SUMIF($G$2:$G$31,B11,$I$2:$I$31))+(SUMIF($G$35:$G$41,B11,$H$36:$H$41))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 ca="1">IF(C16=0,0,1)</f>
        <v>0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ca="1">(SUMIF($G$2:$G$31,B12,$I$2:$I$31))+(SUMIF($G$35:$G$41,B12,$H$36:$H$41))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ca="1">(SUMIF($G$2:$G$31,B13,$I$2:$I$31))+(SUMIF($G$35:$G$41,B13,$H$36:$H$41))</f>
        <v>0</v>
      </c>
      <c r="D13" s="2"/>
      <c r="E13" s="18"/>
      <c r="F13" s="25"/>
      <c r="G13" s="26"/>
      <c r="H13" s="8"/>
      <c r="I13" s="8"/>
      <c r="J13" s="2"/>
      <c r="K13" s="109" t="s">
        <v>22</v>
      </c>
      <c r="L13" s="110"/>
      <c r="M13" s="111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ca="1">(SUMIF($G$2:$G$31,B14,$I$2:$I$31))+(SUMIF($G$35:$G$41,B14,$H$36:$H$41))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ca="1">(SUMIF($G$2:$G$31,B15,$I$2:$I$31))+(SUMIF($G$35:$G$41,B15,$H$36:$H$41))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 ca="1"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77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12" zoomScale="80" zoomScaleNormal="80" workbookViewId="0">
      <selection activeCell="K6" sqref="K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'25'!B1+1</f>
        <v>45499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 t="s">
        <v>228</v>
      </c>
      <c r="L6" s="9" t="s">
        <v>8</v>
      </c>
      <c r="M6" s="16">
        <v>90</v>
      </c>
      <c r="R6" s="1">
        <f>IF(vend26[[#This Row],[Nº Venda]]&gt;1,1,0)</f>
        <v>0</v>
      </c>
    </row>
    <row r="7" spans="2:18" ht="15.75" x14ac:dyDescent="0.25">
      <c r="B7" s="23" t="s">
        <v>3</v>
      </c>
      <c r="C7" s="24">
        <f>SUM(M6:M11)</f>
        <v>90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21</v>
      </c>
      <c r="C8" s="29">
        <f>SUM(C6:C7)</f>
        <v>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107" t="s">
        <v>5</v>
      </c>
      <c r="C10" s="10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36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22</v>
      </c>
      <c r="L13" s="110"/>
      <c r="M13" s="111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802</v>
      </c>
      <c r="L15" s="9" t="s">
        <v>139</v>
      </c>
      <c r="M15" s="16" t="s">
        <v>143</v>
      </c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36</v>
      </c>
      <c r="D16" s="2"/>
      <c r="E16" s="18"/>
      <c r="F16" s="25"/>
      <c r="G16" s="26"/>
      <c r="H16" s="8"/>
      <c r="I16" s="8"/>
      <c r="J16" s="2"/>
      <c r="K16" s="25">
        <v>813</v>
      </c>
      <c r="L16" s="9" t="s">
        <v>139</v>
      </c>
      <c r="M16" s="16" t="s">
        <v>143</v>
      </c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761</v>
      </c>
      <c r="F35" s="25" t="s">
        <v>227</v>
      </c>
      <c r="G35" s="26" t="s">
        <v>6</v>
      </c>
      <c r="H35" s="8">
        <v>36</v>
      </c>
      <c r="I35" s="8" t="s">
        <v>82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19" zoomScale="80" zoomScaleNormal="80" workbookViewId="0">
      <selection activeCell="M18" sqref="M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'26'!B1+1</f>
        <v>45500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1648</v>
      </c>
      <c r="D6" s="2"/>
      <c r="E6" s="18"/>
      <c r="F6" s="25"/>
      <c r="G6" s="26"/>
      <c r="H6" s="8"/>
      <c r="I6" s="8"/>
      <c r="J6" s="2"/>
      <c r="K6" s="25" t="s">
        <v>167</v>
      </c>
      <c r="L6" s="9" t="s">
        <v>10</v>
      </c>
      <c r="M6" s="16">
        <v>13</v>
      </c>
      <c r="R6" s="1">
        <f>IF(vend27[[#This Row],[Nº Venda]]&gt;1,1,0)</f>
        <v>0</v>
      </c>
    </row>
    <row r="7" spans="2:18" ht="15.75" x14ac:dyDescent="0.25">
      <c r="B7" s="23" t="s">
        <v>3</v>
      </c>
      <c r="C7" s="24">
        <f>SUM(M6:M11)</f>
        <v>13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21</v>
      </c>
      <c r="C8" s="29">
        <f>SUM(C6:C7)</f>
        <v>1661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107" t="s">
        <v>5</v>
      </c>
      <c r="C10" s="10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700</v>
      </c>
      <c r="D13" s="2"/>
      <c r="E13" s="18"/>
      <c r="F13" s="25"/>
      <c r="G13" s="26"/>
      <c r="H13" s="8"/>
      <c r="I13" s="8"/>
      <c r="J13" s="2"/>
      <c r="K13" s="109" t="s">
        <v>22</v>
      </c>
      <c r="L13" s="110"/>
      <c r="M13" s="111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948</v>
      </c>
      <c r="D15" s="2"/>
      <c r="E15" s="18"/>
      <c r="F15" s="25"/>
      <c r="G15" s="26"/>
      <c r="H15" s="8"/>
      <c r="I15" s="8"/>
      <c r="J15" s="2"/>
      <c r="K15" s="25">
        <v>815</v>
      </c>
      <c r="L15" s="9" t="s">
        <v>139</v>
      </c>
      <c r="M15" s="16" t="s">
        <v>158</v>
      </c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1648</v>
      </c>
      <c r="D16" s="2"/>
      <c r="E16" s="18"/>
      <c r="F16" s="25"/>
      <c r="G16" s="26"/>
      <c r="H16" s="8"/>
      <c r="I16" s="8"/>
      <c r="J16" s="2"/>
      <c r="K16" s="25">
        <v>780</v>
      </c>
      <c r="L16" s="9" t="s">
        <v>139</v>
      </c>
      <c r="M16" s="16" t="s">
        <v>143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782</v>
      </c>
      <c r="L17" s="9" t="s">
        <v>139</v>
      </c>
      <c r="M17" s="16" t="s">
        <v>143</v>
      </c>
      <c r="R17" s="1">
        <f>IF(vend27[[#This Row],[Nº Venda]]&gt;1,1,0)</f>
        <v>0</v>
      </c>
    </row>
    <row r="18" spans="2:18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25">
        <v>816</v>
      </c>
      <c r="L18" s="9" t="s">
        <v>139</v>
      </c>
      <c r="M18" s="16" t="s">
        <v>143</v>
      </c>
      <c r="R18" s="1">
        <f>IF(vend27[[#This Row],[Nº Venda]]&gt;1,1,0)</f>
        <v>0</v>
      </c>
    </row>
    <row r="19" spans="2:18" ht="15.75" x14ac:dyDescent="0.25">
      <c r="B19" s="30">
        <f>COUNT(entr_carn27[OS])</f>
        <v>1</v>
      </c>
      <c r="C19" s="31">
        <f>SUM(entr_carn27[Valor Total])</f>
        <v>400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400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833</v>
      </c>
      <c r="F26" s="25" t="s">
        <v>217</v>
      </c>
      <c r="G26" s="26" t="s">
        <v>8</v>
      </c>
      <c r="H26" s="8">
        <v>0</v>
      </c>
      <c r="I26" s="8">
        <v>700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780</v>
      </c>
      <c r="F27" s="25" t="s">
        <v>229</v>
      </c>
      <c r="G27" s="26" t="s">
        <v>10</v>
      </c>
      <c r="H27" s="8">
        <v>0</v>
      </c>
      <c r="I27" s="8">
        <v>449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782</v>
      </c>
      <c r="F28" s="25" t="s">
        <v>229</v>
      </c>
      <c r="G28" s="26" t="s">
        <v>10</v>
      </c>
      <c r="H28" s="8">
        <v>0</v>
      </c>
      <c r="I28" s="8">
        <v>449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815</v>
      </c>
      <c r="F29" s="25" t="s">
        <v>190</v>
      </c>
      <c r="G29" s="26" t="s">
        <v>10</v>
      </c>
      <c r="H29" s="8">
        <v>0</v>
      </c>
      <c r="I29" s="8">
        <v>50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815</v>
      </c>
      <c r="L35" s="41">
        <v>4</v>
      </c>
      <c r="M35" s="16">
        <v>400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12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'27'!B1+1</f>
        <v>45501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107" t="s">
        <v>5</v>
      </c>
      <c r="C10" s="10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22</v>
      </c>
      <c r="L13" s="110"/>
      <c r="M13" s="111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9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64">
        <f>'28'!B1+1</f>
        <v>45502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47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107" t="s">
        <v>5</v>
      </c>
      <c r="C10" s="10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22</v>
      </c>
      <c r="L13" s="110"/>
      <c r="M13" s="111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3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63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3"/>
      <c r="L17" s="9"/>
      <c r="M17" s="16"/>
      <c r="R17" s="1">
        <f>IF(vend29[[#This Row],[Nº Venda]]&gt;1,1,0)</f>
        <v>0</v>
      </c>
    </row>
    <row r="18" spans="2:18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view="pageBreakPreview" topLeftCell="A7" zoomScale="60" zoomScaleNormal="8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'29'!B1+1</f>
        <v>45503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140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21</v>
      </c>
      <c r="C8" s="29">
        <f>SUM(C6:C7)</f>
        <v>140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107" t="s">
        <v>5</v>
      </c>
      <c r="C10" s="10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80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6.25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22</v>
      </c>
      <c r="L13" s="110"/>
      <c r="M13" s="111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240</v>
      </c>
      <c r="D15" s="2"/>
      <c r="E15" s="18"/>
      <c r="F15" s="25"/>
      <c r="G15" s="26"/>
      <c r="H15" s="8"/>
      <c r="I15" s="8"/>
      <c r="J15" s="2"/>
      <c r="K15" s="25">
        <v>830</v>
      </c>
      <c r="L15" s="9" t="s">
        <v>139</v>
      </c>
      <c r="M15" s="16" t="s">
        <v>158</v>
      </c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326.25</v>
      </c>
      <c r="D16" s="2"/>
      <c r="E16" s="18"/>
      <c r="F16" s="25"/>
      <c r="G16" s="26"/>
      <c r="H16" s="8"/>
      <c r="I16" s="8"/>
      <c r="J16" s="2"/>
      <c r="K16" s="25">
        <v>709</v>
      </c>
      <c r="L16" s="9" t="s">
        <v>139</v>
      </c>
      <c r="M16" s="16" t="s">
        <v>158</v>
      </c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22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22" ht="15.75" x14ac:dyDescent="0.25">
      <c r="B19" s="30">
        <f>COUNT(entr_carn30[OS])</f>
        <v>1</v>
      </c>
      <c r="C19" s="31">
        <f>SUM(entr_carn30[Valor Total])</f>
        <v>560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22" ht="15.75" x14ac:dyDescent="0.25">
      <c r="B20" s="28" t="s">
        <v>11</v>
      </c>
      <c r="C20" s="32">
        <f>SUM(C19:C19)</f>
        <v>560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  <c r="V21" s="1" t="s">
        <v>126</v>
      </c>
    </row>
    <row r="22" spans="2:22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>
        <v>709</v>
      </c>
      <c r="F26" s="25" t="s">
        <v>231</v>
      </c>
      <c r="G26" s="26" t="s">
        <v>10</v>
      </c>
      <c r="H26" s="8">
        <v>0</v>
      </c>
      <c r="I26" s="8">
        <v>140</v>
      </c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769</v>
      </c>
      <c r="F35" s="25" t="s">
        <v>230</v>
      </c>
      <c r="G35" s="26" t="s">
        <v>6</v>
      </c>
      <c r="H35" s="8">
        <v>80</v>
      </c>
      <c r="I35" s="8" t="s">
        <v>82</v>
      </c>
      <c r="K35" s="25">
        <v>709</v>
      </c>
      <c r="L35" s="41">
        <v>8</v>
      </c>
      <c r="M35" s="16">
        <v>560</v>
      </c>
    </row>
    <row r="36" spans="2:18" ht="15.75" x14ac:dyDescent="0.25">
      <c r="E36" s="18"/>
      <c r="F36" s="25"/>
      <c r="G36" s="26" t="s">
        <v>7</v>
      </c>
      <c r="H36" s="8">
        <v>6.25</v>
      </c>
      <c r="I36" s="8"/>
      <c r="K36" s="25"/>
      <c r="L36" s="41"/>
      <c r="M36" s="16"/>
    </row>
    <row r="37" spans="2:18" ht="15.75" x14ac:dyDescent="0.25">
      <c r="E37" s="18">
        <v>620</v>
      </c>
      <c r="F37" s="25" t="s">
        <v>145</v>
      </c>
      <c r="G37" s="26" t="s">
        <v>10</v>
      </c>
      <c r="H37" s="8">
        <v>100</v>
      </c>
      <c r="I37" s="8" t="s">
        <v>78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80" zoomScaleNormal="80" workbookViewId="0">
      <selection activeCell="F6" sqref="F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'30'!B1+1</f>
        <v>45504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5" t="s">
        <v>1</v>
      </c>
      <c r="F4" s="115"/>
      <c r="G4" s="115"/>
      <c r="H4" s="115"/>
      <c r="I4" s="115"/>
      <c r="J4" s="22"/>
      <c r="K4" s="109" t="s">
        <v>3</v>
      </c>
      <c r="L4" s="110"/>
      <c r="M4" s="11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837</v>
      </c>
      <c r="F6" s="25" t="s">
        <v>232</v>
      </c>
      <c r="G6" s="26" t="s">
        <v>40</v>
      </c>
      <c r="H6" s="8">
        <v>0</v>
      </c>
      <c r="I6" s="8">
        <v>0</v>
      </c>
      <c r="J6" s="2"/>
      <c r="K6" s="25"/>
      <c r="L6" s="9"/>
      <c r="M6" s="16"/>
      <c r="R6" s="1">
        <f>IF(vend31[[#This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107" t="s">
        <v>5</v>
      </c>
      <c r="C10" s="10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22</v>
      </c>
      <c r="L13" s="110"/>
      <c r="M13" s="111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809</v>
      </c>
      <c r="L15" s="9" t="s">
        <v>136</v>
      </c>
      <c r="M15" s="16" t="s">
        <v>143</v>
      </c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107" t="s">
        <v>12</v>
      </c>
      <c r="C18" s="10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62</v>
      </c>
      <c r="B1" s="38" t="s">
        <v>63</v>
      </c>
      <c r="E1" s="38" t="s">
        <v>64</v>
      </c>
    </row>
    <row r="2" spans="1:5" x14ac:dyDescent="0.2">
      <c r="A2" s="38" t="s">
        <v>6</v>
      </c>
      <c r="B2" s="38" t="s">
        <v>65</v>
      </c>
      <c r="E2" t="s">
        <v>46</v>
      </c>
    </row>
    <row r="3" spans="1:5" x14ac:dyDescent="0.2">
      <c r="A3" s="38" t="s">
        <v>7</v>
      </c>
      <c r="B3" s="38" t="s">
        <v>66</v>
      </c>
      <c r="E3" t="s">
        <v>67</v>
      </c>
    </row>
    <row r="4" spans="1:5" x14ac:dyDescent="0.2">
      <c r="A4" s="38" t="s">
        <v>8</v>
      </c>
      <c r="B4" s="38" t="s">
        <v>68</v>
      </c>
      <c r="E4" t="s">
        <v>69</v>
      </c>
    </row>
    <row r="5" spans="1:5" x14ac:dyDescent="0.2">
      <c r="A5" s="38" t="s">
        <v>9</v>
      </c>
      <c r="B5" s="38" t="s">
        <v>70</v>
      </c>
      <c r="E5" t="s">
        <v>71</v>
      </c>
    </row>
    <row r="6" spans="1:5" x14ac:dyDescent="0.2">
      <c r="A6" s="38" t="s">
        <v>10</v>
      </c>
      <c r="B6" s="38" t="s">
        <v>10</v>
      </c>
      <c r="E6" t="s">
        <v>33</v>
      </c>
    </row>
    <row r="7" spans="1:5" x14ac:dyDescent="0.2">
      <c r="A7" s="38" t="s">
        <v>50</v>
      </c>
      <c r="B7" s="38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8" t="s">
        <v>40</v>
      </c>
      <c r="B9" s="38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6</vt:i4>
      </vt:variant>
    </vt:vector>
  </HeadingPairs>
  <TitlesOfParts>
    <vt:vector size="39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cp:lastPrinted>2024-07-31T20:32:05Z</cp:lastPrinted>
  <dcterms:created xsi:type="dcterms:W3CDTF">2004-04-07T20:43:43Z</dcterms:created>
  <dcterms:modified xsi:type="dcterms:W3CDTF">2024-12-19T18:47:11Z</dcterms:modified>
  <cp:category/>
  <cp:contentStatus/>
</cp:coreProperties>
</file>