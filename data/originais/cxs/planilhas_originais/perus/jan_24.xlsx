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PERUS/CAIXA/"/>
    </mc:Choice>
  </mc:AlternateContent>
  <xr:revisionPtr revIDLastSave="12" documentId="13_ncr:1_{743CFB6D-668B-4D10-858F-D4507EC8FE50}" xr6:coauthVersionLast="47" xr6:coauthVersionMax="47" xr10:uidLastSave="{A2BF04A6-921D-4359-ABAC-9EF9E2558D49}"/>
  <bookViews>
    <workbookView xWindow="-120" yWindow="-120" windowWidth="20730" windowHeight="11310" tabRatio="1000" activeTab="24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00" l="1"/>
  <c r="E7" i="200" s="1"/>
  <c r="R20" i="175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F6" i="200" s="1"/>
  <c r="F7" i="200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6" i="173"/>
  <c r="C8" i="173" s="1"/>
  <c r="C6" i="172"/>
  <c r="C8" i="172" s="1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6" i="181"/>
  <c r="C6" i="179"/>
  <c r="C8" i="179" s="1"/>
  <c r="C6" i="184"/>
  <c r="C6" i="185"/>
  <c r="C6" i="186"/>
  <c r="C8" i="186" s="1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92" l="1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14" i="200" l="1"/>
  <c r="B4" i="200" s="1"/>
  <c r="B6" i="200" s="1"/>
  <c r="C16" i="103"/>
  <c r="O11" i="103" s="1"/>
  <c r="C8" i="103"/>
  <c r="R40" i="103"/>
  <c r="B1" i="174" l="1"/>
  <c r="B1" i="173" s="1"/>
  <c r="B1" i="17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<sst xmlns="http://schemas.openxmlformats.org/spreadsheetml/2006/main" count="1739" uniqueCount="181">
  <si>
    <t>Saldo Inicial</t>
  </si>
  <si>
    <t>Vendas</t>
  </si>
  <si>
    <t>Entrada</t>
  </si>
  <si>
    <t>Despesas</t>
  </si>
  <si>
    <t>DIAS</t>
  </si>
  <si>
    <t>Entr_Desp</t>
  </si>
  <si>
    <t>FEITO</t>
  </si>
  <si>
    <t>TM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</si>
  <si>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</si>
  <si>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</si>
  <si>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</si>
  <si>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</si>
  <si>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</si>
  <si>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</si>
  <si>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</si>
  <si>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</si>
  <si>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</si>
  <si>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</si>
  <si>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</si>
  <si>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</si>
  <si>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</si>
  <si>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</si>
  <si>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</si>
  <si>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</si>
  <si>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</si>
  <si>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</si>
  <si>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</si>
  <si>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</si>
  <si>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</si>
  <si>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</si>
  <si>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</si>
  <si>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</si>
  <si>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</si>
  <si>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</si>
  <si>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</si>
  <si>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</si>
  <si>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</si>
  <si>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>SOPHIA SOUZA</t>
  </si>
  <si>
    <t>CASCIA MARIA</t>
  </si>
  <si>
    <t xml:space="preserve">ADRYELLEN CAROLINE </t>
  </si>
  <si>
    <t>PARC. 3/7</t>
  </si>
  <si>
    <t>PARC. 4/7</t>
  </si>
  <si>
    <t>PARC. 5/7</t>
  </si>
  <si>
    <t xml:space="preserve">IVANILTON SILVA </t>
  </si>
  <si>
    <t>ROGÉRIO</t>
  </si>
  <si>
    <t>Não</t>
  </si>
  <si>
    <t>,</t>
  </si>
  <si>
    <t xml:space="preserve">SANDRA APARECIDA </t>
  </si>
  <si>
    <t xml:space="preserve">ÁGUA </t>
  </si>
  <si>
    <t xml:space="preserve">  </t>
  </si>
  <si>
    <t xml:space="preserve">VERA LUCIA </t>
  </si>
  <si>
    <t>PARC. 1/7</t>
  </si>
  <si>
    <t xml:space="preserve">JESSICA AMORIM </t>
  </si>
  <si>
    <t>SS</t>
  </si>
  <si>
    <t>FRANCISCO OLIVEIRA</t>
  </si>
  <si>
    <t>GARANTIA</t>
  </si>
  <si>
    <t xml:space="preserve">GICÉLIA FRANCISCA </t>
  </si>
  <si>
    <t>PARC. 6/8</t>
  </si>
  <si>
    <t>VITORIA RAMOS</t>
  </si>
  <si>
    <t>ROGERIO</t>
  </si>
  <si>
    <t xml:space="preserve">IRACI SOUZA </t>
  </si>
  <si>
    <t xml:space="preserve">KELLY CRISTINA </t>
  </si>
  <si>
    <t>PARC. 5/5</t>
  </si>
  <si>
    <t xml:space="preserve">RAQUEL MENDES </t>
  </si>
  <si>
    <t xml:space="preserve">VITORIA RAMOS </t>
  </si>
  <si>
    <t>PARC. 2/7</t>
  </si>
  <si>
    <t>JORGE ALEXANDRE</t>
  </si>
  <si>
    <t xml:space="preserve">WESLEY PEREIRA </t>
  </si>
  <si>
    <t xml:space="preserve">DEUSA APARECIDA </t>
  </si>
  <si>
    <t xml:space="preserve"> </t>
  </si>
  <si>
    <t>FABIANO LEOPOLDINO</t>
  </si>
  <si>
    <t>ELIANA PEREIRA</t>
  </si>
  <si>
    <t>JÉSSICA AMORIM</t>
  </si>
  <si>
    <t xml:space="preserve">ROSINEIDE ANGELINA </t>
  </si>
  <si>
    <t>ÁGUA</t>
  </si>
  <si>
    <t xml:space="preserve">DEJAIR BENEDITO </t>
  </si>
  <si>
    <t xml:space="preserve">CREUZA MARCIANO </t>
  </si>
  <si>
    <t>PARC. 1/5</t>
  </si>
  <si>
    <t xml:space="preserve">WILLIGTON DIAS </t>
  </si>
  <si>
    <t>CREMILDES DE SOUZA</t>
  </si>
  <si>
    <t>FLAVIO RODRIGUES</t>
  </si>
  <si>
    <t>ANA CRISTINA RODRIGUES</t>
  </si>
  <si>
    <t>JUSSARA PACHECO</t>
  </si>
  <si>
    <t>MARIA JOSE COSTA</t>
  </si>
  <si>
    <t>JOSE IVANILDO</t>
  </si>
  <si>
    <t>ANA CRISTINA</t>
  </si>
  <si>
    <t>JARDEL WEVERTON</t>
  </si>
  <si>
    <t>PARC. 3/10</t>
  </si>
  <si>
    <t>ANA</t>
  </si>
  <si>
    <t>UELINTON DE BARROS</t>
  </si>
  <si>
    <t>JOÃO FRANCISCO</t>
  </si>
  <si>
    <t>ÉRIKA</t>
  </si>
  <si>
    <t>Sim</t>
  </si>
  <si>
    <t>JOEL SANTANA</t>
  </si>
  <si>
    <t>ALINE MENESES</t>
  </si>
  <si>
    <t>WEVILLY</t>
  </si>
  <si>
    <t>JOSE IVANILDO COSTA</t>
  </si>
  <si>
    <t>ROSANGELA PAES</t>
  </si>
  <si>
    <t>DEJAIR BENEDITO</t>
  </si>
  <si>
    <t>WALTER BUENO</t>
  </si>
  <si>
    <t>MARIA APARECIDA</t>
  </si>
  <si>
    <t>CLARICE PEREIRA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</si>
  <si>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</si>
  <si>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</si>
  <si>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</si>
  <si>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</si>
  <si>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</si>
  <si>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</si>
  <si>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</si>
  <si>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</si>
  <si>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PARC. 2/2</t>
  </si>
  <si>
    <t>Parcelado Cartão Crédito</t>
  </si>
  <si>
    <t>PARC. 1/3</t>
  </si>
  <si>
    <t>PARC. 2/3</t>
  </si>
  <si>
    <t>Sem Sinal</t>
  </si>
  <si>
    <t>PARC. 3/3</t>
  </si>
  <si>
    <t xml:space="preserve">Carne </t>
  </si>
  <si>
    <t>PARC. 1/4</t>
  </si>
  <si>
    <t>Todas as Garantias</t>
  </si>
  <si>
    <t>PARC. 2/4</t>
  </si>
  <si>
    <t>PARC. 3/4</t>
  </si>
  <si>
    <t>PARC. 4/4</t>
  </si>
  <si>
    <t>PARC. 2/5</t>
  </si>
  <si>
    <t>PARC. 3/5</t>
  </si>
  <si>
    <t>PARC. 4/5</t>
  </si>
  <si>
    <t>PARC. 1/6</t>
  </si>
  <si>
    <t>PARC. 2/6</t>
  </si>
  <si>
    <t>PARC. 3/6</t>
  </si>
  <si>
    <t>PARC. 4/6</t>
  </si>
  <si>
    <t>PARC. 5/6</t>
  </si>
  <si>
    <t>PARC. 6/6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</si>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</sst>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u/>
      <sz val="24"/>
      <name val="Castellar"/>
      <family val="1"/>
    </font>
    <font>
      <sz val="12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Aptos Narrow"/>
      <charset val="1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9" fontId="31" fillId="0" borderId="13" xfId="39" applyNumberFormat="1" applyFont="1" applyFill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9" fontId="31" fillId="0" borderId="17" xfId="39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17" xfId="0" applyNumberFormat="1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4" fontId="38" fillId="0" borderId="0" xfId="0" applyNumberFormat="1" applyFont="1" applyAlignment="1">
      <alignment horizontal="center"/>
    </xf>
    <xf numFmtId="0" fontId="39" fillId="0" borderId="17" xfId="0" applyFont="1" applyBorder="1" applyAlignment="1">
      <alignment horizontal="center"/>
    </xf>
    <xf numFmtId="165" fontId="39" fillId="0" borderId="17" xfId="0" applyNumberFormat="1" applyFont="1" applyBorder="1" applyAlignment="1">
      <alignment horizontal="center"/>
    </xf>
    <xf numFmtId="165" fontId="40" fillId="0" borderId="6" xfId="0" applyNumberFormat="1" applyFont="1" applyBorder="1" applyAlignment="1">
      <alignment horizontal="center"/>
    </xf>
    <xf numFmtId="44" fontId="41" fillId="0" borderId="17" xfId="39" applyFont="1" applyFill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0" fillId="0" borderId="0" xfId="0" applyNumberFormat="1"/>
    <xf numFmtId="9" fontId="0" fillId="0" borderId="0" xfId="0" applyNumberFormat="1"/>
    <xf numFmtId="0" fontId="42" fillId="0" borderId="18" xfId="0" applyFont="1" applyBorder="1" applyAlignment="1">
      <alignment horizontal="center"/>
    </xf>
    <xf numFmtId="0" fontId="42" fillId="0" borderId="19" xfId="0" applyFont="1" applyBorder="1" applyAlignment="1">
      <alignment horizontal="center"/>
    </xf>
    <xf numFmtId="0" fontId="42" fillId="0" borderId="20" xfId="0" applyFont="1" applyBorder="1" applyAlignment="1">
      <alignment horizontal="center"/>
    </xf>
    <xf numFmtId="0" fontId="42" fillId="0" borderId="21" xfId="0" applyFont="1" applyBorder="1" applyAlignment="1">
      <alignment horizontal="center"/>
    </xf>
    <xf numFmtId="165" fontId="42" fillId="0" borderId="17" xfId="0" applyNumberFormat="1" applyFont="1" applyBorder="1" applyAlignment="1">
      <alignment horizontal="center"/>
    </xf>
    <xf numFmtId="165" fontId="42" fillId="0" borderId="22" xfId="0" applyNumberFormat="1" applyFont="1" applyBorder="1" applyAlignment="1">
      <alignment horizontal="center"/>
    </xf>
    <xf numFmtId="0" fontId="42" fillId="0" borderId="23" xfId="0" applyFont="1" applyBorder="1" applyAlignment="1">
      <alignment horizontal="center"/>
    </xf>
    <xf numFmtId="165" fontId="42" fillId="0" borderId="24" xfId="0" applyNumberFormat="1" applyFont="1" applyBorder="1" applyAlignment="1">
      <alignment horizontal="center"/>
    </xf>
    <xf numFmtId="165" fontId="42" fillId="0" borderId="25" xfId="0" applyNumberFormat="1" applyFont="1" applyBorder="1" applyAlignment="1">
      <alignment horizontal="center"/>
    </xf>
    <xf numFmtId="0" fontId="43" fillId="0" borderId="0" xfId="0" applyFont="1"/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31190" displayName="vend31190" ref="E5:I22" totalsRowShown="0" headerRowDxfId="1644" dataDxfId="1642" headerRowBorderDxfId="1643" tableBorderDxfId="1641" totalsRowBorderDxfId="1640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9" dataCellStyle="Moeda"/>
    <tableColumn id="5" xr3:uid="{45BECD08-8ABE-4A34-BD78-E2D3AFB8C62A}" name="Cliente" dataDxfId="1638" dataCellStyle="Moeda"/>
    <tableColumn id="2" xr3:uid="{A0D6666C-9CF7-4343-AF6B-BDFE62F94469}" name="Forma de Pgto" dataDxfId="1637" dataCellStyle="Moeda"/>
    <tableColumn id="3" xr3:uid="{988F127F-9D83-4428-BB94-C16FBBB1BD89}" name="Valor Venda" dataDxfId="1636" dataCellStyle="Porcentagem"/>
    <tableColumn id="4" xr3:uid="{6A2928C3-17B0-4FA3-B60C-9E1A2C0324E1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4" dataDxfId="1632" headerRowBorderDxfId="1633" tableBorderDxfId="1631" totalsRowBorderDxfId="1630">
  <autoFilter ref="K5:M11" xr:uid="{DD403130-B35C-452C-92F9-290622D77A3D}"/>
  <tableColumns count="3">
    <tableColumn id="1" xr3:uid="{FAD87634-3375-4B41-BEC0-5B072F6B52CE}" name="Descrição" dataDxfId="1629"/>
    <tableColumn id="2" xr3:uid="{7688071E-9548-4552-8BB1-3BA5128DF645}" name="Tipo de Pagto" dataDxfId="1628"/>
    <tableColumn id="3" xr3:uid="{2B260C33-79A5-4C5D-9195-15780C53A861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31192" displayName="rest_entr31192" ref="E25:I31" totalsRowShown="0" headerRowDxfId="1626" dataDxfId="1624" headerRowBorderDxfId="1625" tableBorderDxfId="1623" totalsRowBorderDxfId="1622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21"/>
    <tableColumn id="2" xr3:uid="{606BE417-6802-4580-90D2-86F95EFAAEB7}" name="Cliente" dataDxfId="1620"/>
    <tableColumn id="3" xr3:uid="{2F522A54-F708-4DA3-97E3-CE7C29912E04}" name="Forma de Pgto" dataDxfId="1619" dataCellStyle="Moeda"/>
    <tableColumn id="4" xr3:uid="{7B46EE64-F7F1-4449-A783-67286A94A7C4}" name="Valor Venda" dataDxfId="1618" dataCellStyle="Porcentagem"/>
    <tableColumn id="5" xr3:uid="{389A7D1A-3C35-485E-9958-8A78EF77BE9B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6" dataDxfId="1614" headerRowBorderDxfId="1615" tableBorderDxfId="1613" totalsRowBorderDxfId="1612">
  <autoFilter ref="K14:M31" xr:uid="{F07D43AD-1A4D-4B31-96B8-824F8623E518}"/>
  <tableColumns count="3">
    <tableColumn id="1" xr3:uid="{3AF01421-A7B6-4D23-9DA8-C20FAFAFDD9C}" name="OS" dataDxfId="1611"/>
    <tableColumn id="2" xr3:uid="{55DCC30E-EB52-427E-A16A-B2C93A41F1CE}" name="Vendedor" dataDxfId="1610"/>
    <tableColumn id="3" xr3:uid="{23EDA46C-42B4-4F6C-97D9-7040D6B9797C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8" dataDxfId="1606" headerRowBorderDxfId="1607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F18"/>
  <sheetViews>
    <sheetView workbookViewId="0">
      <selection activeCell="E6" sqref="E6"/>
    </sheetView>
  </sheetViews>
  <sheetFormatPr defaultColWidth="21.28515625" defaultRowHeight="12.75" x14ac:dyDescent="0.2"/>
  <cols>
    <col min="2" max="2" width="22.7109375" customWidth="1"/>
  </cols>
  <sheetData>
    <row r="2" spans="1:6" ht="15" x14ac:dyDescent="0.2">
      <c r="A2" s="19" t="s">
        <v>0</v>
      </c>
      <c r="B2" s="20">
        <v>0</v>
      </c>
    </row>
    <row r="3" spans="1:6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9050.9</v>
      </c>
    </row>
    <row r="4" spans="1:6" ht="15.75" thickBot="1" x14ac:dyDescent="0.3">
      <c r="A4" s="23" t="s">
        <v>2</v>
      </c>
      <c r="B4" s="24">
        <f>B14</f>
        <v>8036.4299999999994</v>
      </c>
    </row>
    <row r="5" spans="1:6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24</v>
      </c>
      <c r="D5" s="85" t="s">
        <v>4</v>
      </c>
      <c r="E5" s="86">
        <v>14</v>
      </c>
      <c r="F5" s="87">
        <v>12</v>
      </c>
    </row>
    <row r="6" spans="1:6" ht="15.75" x14ac:dyDescent="0.25">
      <c r="A6" s="28" t="s">
        <v>5</v>
      </c>
      <c r="B6" s="29">
        <f>SUM(B4:B5)</f>
        <v>8060.4299999999994</v>
      </c>
      <c r="D6" s="88" t="s">
        <v>6</v>
      </c>
      <c r="E6" s="89">
        <f>SUM('01:17'!C22)</f>
        <v>4021</v>
      </c>
      <c r="F6" s="90">
        <f>SUM('18:31'!C22)</f>
        <v>5029.8999999999996</v>
      </c>
    </row>
    <row r="7" spans="1:6" ht="15.75" thickBot="1" x14ac:dyDescent="0.3">
      <c r="A7" s="2"/>
      <c r="B7" s="2"/>
      <c r="D7" s="91" t="s">
        <v>7</v>
      </c>
      <c r="E7" s="92">
        <f>E6/E5</f>
        <v>287.21428571428572</v>
      </c>
      <c r="F7" s="93">
        <f>F6/F5</f>
        <v>419.1583333333333</v>
      </c>
    </row>
    <row r="8" spans="1:6" ht="15" x14ac:dyDescent="0.2">
      <c r="A8" s="95" t="s">
        <v>8</v>
      </c>
      <c r="B8" s="95"/>
      <c r="E8" s="84"/>
      <c r="F8" s="83"/>
    </row>
    <row r="9" spans="1:6" ht="15" x14ac:dyDescent="0.25">
      <c r="A9" s="30" t="s">
        <v>9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1631.9</v>
      </c>
    </row>
    <row r="10" spans="1:6" ht="15" x14ac:dyDescent="0.25">
      <c r="A10" s="30" t="s">
        <v>10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1881</v>
      </c>
    </row>
    <row r="11" spans="1:6" ht="15" x14ac:dyDescent="0.25">
      <c r="A11" s="30" t="s">
        <v>11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100</v>
      </c>
    </row>
    <row r="12" spans="1:6" ht="15" x14ac:dyDescent="0.25">
      <c r="A12" s="30" t="s">
        <v>12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3355</v>
      </c>
    </row>
    <row r="13" spans="1:6" ht="15" x14ac:dyDescent="0.25">
      <c r="A13" s="30" t="s">
        <v>13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1068.53</v>
      </c>
    </row>
    <row r="14" spans="1:6" ht="15.75" x14ac:dyDescent="0.25">
      <c r="A14" s="28" t="s">
        <v>14</v>
      </c>
      <c r="B14" s="32">
        <f>SUM(B9:B13)</f>
        <v>8036.4299999999994</v>
      </c>
    </row>
    <row r="15" spans="1:6" ht="15" x14ac:dyDescent="0.25">
      <c r="A15" s="2"/>
      <c r="B15" s="2"/>
    </row>
    <row r="16" spans="1:6" ht="15" x14ac:dyDescent="0.2">
      <c r="A16" s="95" t="s">
        <v>15</v>
      </c>
      <c r="B16" s="95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1340</v>
      </c>
    </row>
    <row r="18" spans="1:2" ht="15.75" x14ac:dyDescent="0.25">
      <c r="A18" s="28" t="s">
        <v>14</v>
      </c>
      <c r="B18" s="32">
        <f>SUM(B17:B17)</f>
        <v>1340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zoomScale="80" zoomScaleNormal="80" workbookViewId="0">
      <selection activeCell="C24" sqref="C2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v>45261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IF(vend31190[[#This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IF(vend31190[[#This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IF(vend31190[[#This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IF(vend31190[[#This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IF(vend31190[[#This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IF(vend31190[[#This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IF(vend31190[[#This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IF(vend31190[[#This Row],[Nº Venda]]&gt;1,1,0)</f>
        <v>0</v>
      </c>
    </row>
    <row r="14" spans="2:18" ht="15.75" x14ac:dyDescent="0.25">
      <c r="B14" s="30" t="s">
        <v>12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IF(vend31190[[#This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IF(vend31190[[#This Row],[Nº Venda]]&gt;1,1,0)</f>
        <v>0</v>
      </c>
    </row>
    <row r="16" spans="2:18" ht="15.75" x14ac:dyDescent="0.25">
      <c r="B16" s="28" t="s">
        <v>14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IF(vend31190[[#This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IF(vend31190[[#This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IF(vend31190[[#This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IF(vend31190[[#This Row],[Nº Venda]]&gt;1,1,0)</f>
        <v>0</v>
      </c>
    </row>
    <row r="20" spans="2:18" ht="15.75" x14ac:dyDescent="0.25">
      <c r="B20" s="28" t="s">
        <v>14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IF(vend31190[[#This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26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disablePrompts="1" count="2">
    <dataValidation type="list" allowBlank="1" showInputMessage="1" showErrorMessage="1" sqref="M15:M31" xr:uid="{41BC2770-4628-466A-8A8E-25736D42D595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D750A6A5-C201-4190-B207-F5C8AA22818D}">
          <x14:formula1>
            <xm:f>base!$A$2:$A$9</xm:f>
          </x14:formula1>
          <xm:sqref>G6:G22 G35:G41</xm:sqref>
        </x14:dataValidation>
        <x14:dataValidation type="list" allowBlank="1" showInputMessage="1" showErrorMessage="1" xr:uid="{EA02ED54-2EDC-4F48-9411-38520FE9FF7F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1"/>
  <sheetViews>
    <sheetView showGridLines="0" topLeftCell="A5" zoomScale="80" zoomScaleNormal="80" workbookViewId="0">
      <selection activeCell="F15" sqref="F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'01'!B1+1</f>
        <v>45262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698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698</v>
      </c>
      <c r="D6" s="2"/>
      <c r="E6" s="18">
        <v>565</v>
      </c>
      <c r="F6" s="25" t="s">
        <v>37</v>
      </c>
      <c r="G6" s="46" t="s">
        <v>10</v>
      </c>
      <c r="H6" s="8">
        <v>399</v>
      </c>
      <c r="I6" s="8">
        <v>399</v>
      </c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566</v>
      </c>
      <c r="F7" s="25" t="s">
        <v>38</v>
      </c>
      <c r="G7" s="46" t="s">
        <v>10</v>
      </c>
      <c r="H7" s="8">
        <v>299</v>
      </c>
      <c r="I7" s="8">
        <v>299</v>
      </c>
      <c r="J7" s="2"/>
      <c r="K7" s="25"/>
      <c r="L7" s="9"/>
      <c r="M7" s="16"/>
      <c r="R7" s="1">
        <f>IF(vend2[[#This Row],[Nº Venda]]&gt;1,1,0)</f>
        <v>1</v>
      </c>
    </row>
    <row r="8" spans="2:18" ht="15.75" x14ac:dyDescent="0.25">
      <c r="B8" s="28" t="s">
        <v>24</v>
      </c>
      <c r="C8" s="29">
        <f>SUM(C6:C7)</f>
        <v>698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390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698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IF(vend2[[#This Row],[Nº Venda]]&gt;1,1,0)</f>
        <v>0</v>
      </c>
    </row>
    <row r="14" spans="2:18" ht="15.75" x14ac:dyDescent="0.25">
      <c r="B14" s="30" t="s">
        <v>12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 x14ac:dyDescent="0.25">
      <c r="B16" s="28" t="s">
        <v>14</v>
      </c>
      <c r="C16" s="32">
        <f>SUM(C11:C15)</f>
        <v>1088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14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698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>
        <v>198</v>
      </c>
      <c r="F35" s="25" t="s">
        <v>39</v>
      </c>
      <c r="G35" s="26" t="s">
        <v>9</v>
      </c>
      <c r="H35" s="8">
        <v>130</v>
      </c>
      <c r="I35" s="8" t="s">
        <v>40</v>
      </c>
      <c r="K35" s="25"/>
      <c r="L35" s="41"/>
      <c r="M35" s="16"/>
    </row>
    <row r="36" spans="2:18" ht="15.75" x14ac:dyDescent="0.25">
      <c r="E36" s="18">
        <v>198</v>
      </c>
      <c r="F36" s="25" t="s">
        <v>39</v>
      </c>
      <c r="G36" s="26" t="s">
        <v>9</v>
      </c>
      <c r="H36" s="8">
        <v>130</v>
      </c>
      <c r="I36" s="8" t="s">
        <v>41</v>
      </c>
      <c r="K36" s="25"/>
      <c r="L36" s="41"/>
      <c r="M36" s="16"/>
    </row>
    <row r="37" spans="2:18" ht="15.75" x14ac:dyDescent="0.25">
      <c r="E37" s="18">
        <v>198</v>
      </c>
      <c r="F37" s="25" t="s">
        <v>39</v>
      </c>
      <c r="G37" s="26" t="s">
        <v>9</v>
      </c>
      <c r="H37" s="8">
        <v>130</v>
      </c>
      <c r="I37" s="8" t="s">
        <v>42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E1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'02'!B1+1</f>
        <v>45263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299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299</v>
      </c>
      <c r="D6" s="2"/>
      <c r="E6" s="18">
        <v>567</v>
      </c>
      <c r="F6" s="25" t="s">
        <v>43</v>
      </c>
      <c r="G6" s="46" t="s">
        <v>10</v>
      </c>
      <c r="H6" s="8">
        <v>299</v>
      </c>
      <c r="I6" s="8">
        <v>100</v>
      </c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567</v>
      </c>
      <c r="F7" s="25" t="s">
        <v>43</v>
      </c>
      <c r="G7" s="26" t="s">
        <v>12</v>
      </c>
      <c r="H7" s="8">
        <v>0</v>
      </c>
      <c r="I7" s="8">
        <v>199</v>
      </c>
      <c r="J7" s="2"/>
      <c r="K7" s="25"/>
      <c r="L7" s="9"/>
      <c r="M7" s="16"/>
      <c r="R7" s="1">
        <f>IF(vend3[[#This Row],[Nº Venda]]&gt;1,1,0)</f>
        <v>1</v>
      </c>
    </row>
    <row r="8" spans="2:18" ht="15.75" x14ac:dyDescent="0.25">
      <c r="B8" s="28" t="s">
        <v>24</v>
      </c>
      <c r="C8" s="29">
        <f>SUM(C6:C7)</f>
        <v>299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IF(vend3[[#This Row],[Nº Venda]]&gt;1,1,0)</f>
        <v>0</v>
      </c>
    </row>
    <row r="14" spans="2:18" ht="15.75" x14ac:dyDescent="0.25">
      <c r="B14" s="30" t="s">
        <v>12</v>
      </c>
      <c r="C14" s="31">
        <f t="shared" si="0"/>
        <v>199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IF(vend3[[#This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560</v>
      </c>
      <c r="L15" s="9" t="s">
        <v>44</v>
      </c>
      <c r="M15" s="16" t="s">
        <v>45</v>
      </c>
      <c r="R15" s="1">
        <f>IF(vend3[[#This Row],[Nº Venda]]&gt;1,1,0)</f>
        <v>0</v>
      </c>
    </row>
    <row r="16" spans="2:18" ht="15.75" x14ac:dyDescent="0.25">
      <c r="B16" s="28" t="s">
        <v>14</v>
      </c>
      <c r="C16" s="32">
        <f>SUM(C11:C15)</f>
        <v>299</v>
      </c>
      <c r="D16" s="2"/>
      <c r="E16" s="18"/>
      <c r="F16" s="25"/>
      <c r="G16" s="26"/>
      <c r="H16" s="8"/>
      <c r="I16" s="8"/>
      <c r="J16" s="2"/>
      <c r="K16" s="25">
        <v>561</v>
      </c>
      <c r="L16" s="9" t="s">
        <v>44</v>
      </c>
      <c r="M16" s="16" t="s">
        <v>45</v>
      </c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14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299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 t="s">
        <v>46</v>
      </c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70" zoomScaleNormal="70" zoomScalePageLayoutView="7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8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4">
        <v>45295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448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150</v>
      </c>
      <c r="D6" s="2"/>
      <c r="E6" s="18">
        <v>568</v>
      </c>
      <c r="F6" s="25" t="s">
        <v>47</v>
      </c>
      <c r="G6" s="46" t="s">
        <v>10</v>
      </c>
      <c r="H6" s="8">
        <v>448</v>
      </c>
      <c r="I6" s="8">
        <v>150</v>
      </c>
      <c r="J6" s="2"/>
      <c r="K6" s="25" t="s">
        <v>48</v>
      </c>
      <c r="L6" s="9" t="s">
        <v>13</v>
      </c>
      <c r="M6" s="16">
        <v>12</v>
      </c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12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24</v>
      </c>
      <c r="C8" s="29">
        <f>SUM(C6:C7)</f>
        <v>162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 t="s">
        <v>49</v>
      </c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235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IF(vend4[[#This Row],[Nº Venda]]&gt;1,1,0)</f>
        <v>0</v>
      </c>
    </row>
    <row r="14" spans="2:18" ht="15.75" x14ac:dyDescent="0.25">
      <c r="B14" s="30" t="s">
        <v>12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IF(vend4[[#This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75">
        <v>550</v>
      </c>
      <c r="L15" s="76" t="s">
        <v>44</v>
      </c>
      <c r="M15" s="77" t="s">
        <v>45</v>
      </c>
      <c r="R15" s="1">
        <f>IF(vend4[[#This Row],[Nº Venda]]&gt;1,1,0)</f>
        <v>0</v>
      </c>
    </row>
    <row r="16" spans="2:18" ht="19.5" x14ac:dyDescent="0.4">
      <c r="B16" s="28" t="s">
        <v>14</v>
      </c>
      <c r="C16" s="32">
        <f>SUM(C11:C15)</f>
        <v>235</v>
      </c>
      <c r="D16" s="2"/>
      <c r="E16" s="18"/>
      <c r="F16" s="25"/>
      <c r="G16" s="26"/>
      <c r="H16" s="8"/>
      <c r="I16" s="8"/>
      <c r="J16" s="2"/>
      <c r="K16" s="70"/>
      <c r="L16" s="67"/>
      <c r="M16" s="69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67"/>
      <c r="L17" s="68"/>
      <c r="M17" s="69"/>
      <c r="R17" s="1">
        <f>IF(vend4[[#This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1</v>
      </c>
      <c r="C19" s="31">
        <f>SUM(entr_carn4[Valor Total])</f>
        <v>595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14</v>
      </c>
      <c r="C20" s="32">
        <f>SUM(C19:C19)</f>
        <v>595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448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>
        <v>521</v>
      </c>
      <c r="F35" s="25" t="s">
        <v>50</v>
      </c>
      <c r="G35" s="26" t="s">
        <v>10</v>
      </c>
      <c r="H35" s="8">
        <v>85</v>
      </c>
      <c r="I35" s="8" t="s">
        <v>51</v>
      </c>
      <c r="K35" s="25">
        <v>521</v>
      </c>
      <c r="L35" s="41">
        <v>7</v>
      </c>
      <c r="M35" s="16">
        <v>595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80" zoomScaleNormal="80" workbookViewId="0">
      <selection activeCell="G7" sqref="G7"/>
    </sheetView>
  </sheetViews>
  <sheetFormatPr defaultColWidth="9.140625" defaultRowHeight="12.75" x14ac:dyDescent="0.2"/>
  <cols>
    <col min="1" max="1" width="3.7109375" style="1" customWidth="1"/>
    <col min="2" max="2" width="28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4">
        <f>'04'!B1+1</f>
        <v>45296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570</v>
      </c>
      <c r="F6" s="25" t="s">
        <v>52</v>
      </c>
      <c r="G6" s="78" t="s">
        <v>53</v>
      </c>
      <c r="H6" s="8">
        <v>40</v>
      </c>
      <c r="I6" s="8">
        <v>0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569</v>
      </c>
      <c r="F7" s="25" t="s">
        <v>54</v>
      </c>
      <c r="G7" s="46" t="s">
        <v>55</v>
      </c>
      <c r="H7" s="8">
        <v>0</v>
      </c>
      <c r="I7" s="8">
        <v>0</v>
      </c>
      <c r="J7" s="2"/>
      <c r="K7" s="25"/>
      <c r="L7" s="9"/>
      <c r="M7" s="16"/>
      <c r="R7" s="1">
        <f>IF(vend5[[#This Row],[Nº Venda]]&gt;1,1,0)</f>
        <v>1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50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IF(vend5[[#This Row],[Nº Venda]]&gt;1,1,0)</f>
        <v>0</v>
      </c>
    </row>
    <row r="14" spans="2:18" ht="15.75" x14ac:dyDescent="0.25">
      <c r="B14" s="30" t="s">
        <v>12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IF(vend5[[#This Row],[Nº Venda]]&gt;1,1,0)</f>
        <v>0</v>
      </c>
    </row>
    <row r="15" spans="2:18" ht="15.75" x14ac:dyDescent="0.25">
      <c r="B15" s="30" t="s">
        <v>13</v>
      </c>
      <c r="C15" s="31">
        <f t="shared" si="0"/>
        <v>144.28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IF(vend5[[#This Row],[Nº Venda]]&gt;1,1,0)</f>
        <v>0</v>
      </c>
    </row>
    <row r="16" spans="2:18" ht="15.75" x14ac:dyDescent="0.25">
      <c r="B16" s="28" t="s">
        <v>14</v>
      </c>
      <c r="C16" s="32">
        <f>SUM(C11:C15)</f>
        <v>194.28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14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>
        <v>522</v>
      </c>
      <c r="F35" s="25" t="s">
        <v>50</v>
      </c>
      <c r="G35" s="26" t="s">
        <v>13</v>
      </c>
      <c r="H35" s="8">
        <v>144.28</v>
      </c>
      <c r="I35" s="8" t="s">
        <v>51</v>
      </c>
      <c r="K35" s="25"/>
      <c r="L35" s="41"/>
      <c r="M35" s="16"/>
    </row>
    <row r="36" spans="2:18" ht="15.75" x14ac:dyDescent="0.25">
      <c r="E36" s="18">
        <v>264</v>
      </c>
      <c r="F36" s="25" t="s">
        <v>56</v>
      </c>
      <c r="G36" s="26" t="s">
        <v>9</v>
      </c>
      <c r="H36" s="8">
        <v>50</v>
      </c>
      <c r="I36" s="8" t="s">
        <v>57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topLeftCell="A4" zoomScale="80" zoomScaleNormal="80" workbookViewId="0">
      <selection activeCell="G19" sqref="G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'05'!B1+1</f>
        <v>45297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200</v>
      </c>
      <c r="D6" s="2"/>
      <c r="E6" s="18">
        <v>571</v>
      </c>
      <c r="F6" s="25" t="s">
        <v>58</v>
      </c>
      <c r="G6" s="26" t="s">
        <v>55</v>
      </c>
      <c r="H6" s="8">
        <v>0</v>
      </c>
      <c r="I6" s="8">
        <v>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24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" x14ac:dyDescent="0.25">
      <c r="B10" s="95" t="s">
        <v>8</v>
      </c>
      <c r="C10" s="95"/>
      <c r="D10" s="2"/>
      <c r="E10" s="66"/>
      <c r="F10" s="66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88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IF(vend[[#This Row],[Nº Venda]]&gt;1,1,0)</f>
        <v>0</v>
      </c>
    </row>
    <row r="14" spans="2:18" ht="15.75" x14ac:dyDescent="0.25">
      <c r="B14" s="30" t="s">
        <v>12</v>
      </c>
      <c r="C14" s="31">
        <f t="shared" si="0"/>
        <v>200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18">
        <v>555</v>
      </c>
      <c r="L15" s="25" t="s">
        <v>59</v>
      </c>
      <c r="M15" s="16" t="s">
        <v>45</v>
      </c>
      <c r="R15" s="1">
        <f>IF(vend[[#This Row],[Nº Venda]]&gt;1,1,0)</f>
        <v>0</v>
      </c>
    </row>
    <row r="16" spans="2:18" ht="15.75" x14ac:dyDescent="0.25">
      <c r="B16" s="28" t="s">
        <v>14</v>
      </c>
      <c r="C16" s="32">
        <f>SUM(C11:C15)</f>
        <v>288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14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555</v>
      </c>
      <c r="F26" s="25" t="s">
        <v>60</v>
      </c>
      <c r="G26" s="26" t="s">
        <v>12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>
        <v>353</v>
      </c>
      <c r="F35" s="25" t="s">
        <v>61</v>
      </c>
      <c r="G35" s="26" t="s">
        <v>9</v>
      </c>
      <c r="H35" s="8">
        <v>88</v>
      </c>
      <c r="I35" s="8" t="s">
        <v>62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R41"/>
  <sheetViews>
    <sheetView showGridLines="0" topLeftCell="H17" zoomScale="80" zoomScaleNormal="80" workbookViewId="0">
      <selection activeCell="Z32" sqref="Z31:Z3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'06'!B1+1</f>
        <v>45298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" x14ac:dyDescent="0.25">
      <c r="B6" s="23" t="s">
        <v>2</v>
      </c>
      <c r="C6" s="24">
        <f>SUM(I6:I41)</f>
        <v>0</v>
      </c>
      <c r="D6" s="2"/>
      <c r="E6" s="51"/>
      <c r="F6" s="49"/>
      <c r="G6" s="49"/>
      <c r="H6" s="50"/>
      <c r="I6" s="50"/>
      <c r="J6" s="2"/>
      <c r="K6" s="25"/>
      <c r="L6" s="9"/>
      <c r="M6" s="16"/>
      <c r="R6" s="1">
        <f>IF(vend7[[#This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52"/>
      <c r="F7" s="48"/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IF(vend7[[#This Row],[Nº Venda]]&gt;1,1,0)</f>
        <v>0</v>
      </c>
    </row>
    <row r="14" spans="2:18" ht="15.75" x14ac:dyDescent="0.25">
      <c r="B14" s="30" t="s">
        <v>12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IF(vend7[[#This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3"/>
      <c r="L15" s="54"/>
      <c r="M15" s="55"/>
      <c r="R15" s="1">
        <f>IF(vend7[[#This Row],[Nº Venda]]&gt;1,1,0)</f>
        <v>0</v>
      </c>
    </row>
    <row r="16" spans="2:18" ht="15.75" x14ac:dyDescent="0.25">
      <c r="B16" s="28" t="s">
        <v>14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14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80"/>
      <c r="F26" s="71"/>
      <c r="G26" s="81"/>
      <c r="H26" s="82"/>
      <c r="I26" s="82"/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1"/>
  <sheetViews>
    <sheetView showGridLines="0" zoomScale="80" zoomScaleNormal="8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'07'!B1+1</f>
        <v>45299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" x14ac:dyDescent="0.25">
      <c r="B6" s="23" t="s">
        <v>2</v>
      </c>
      <c r="C6" s="24">
        <f>SUM(I6:I41)</f>
        <v>0</v>
      </c>
      <c r="D6" s="2"/>
      <c r="E6" s="56"/>
      <c r="F6" s="8"/>
      <c r="G6" s="8"/>
      <c r="H6" s="8"/>
      <c r="I6" s="8"/>
      <c r="J6" s="2"/>
      <c r="K6" s="25"/>
      <c r="L6" s="9"/>
      <c r="M6" s="16"/>
      <c r="R6" s="1">
        <f>IF(vend8[[#This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56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56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 x14ac:dyDescent="0.25">
      <c r="B9" s="2"/>
      <c r="C9" s="2"/>
      <c r="D9" s="2"/>
      <c r="E9" s="56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129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IF(vend8[[#This Row],[Nº Venda]]&gt;1,1,0)</f>
        <v>0</v>
      </c>
    </row>
    <row r="14" spans="2:18" ht="15.75" x14ac:dyDescent="0.25">
      <c r="B14" s="30" t="s">
        <v>12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IF(vend8[[#This Row],[Nº Venda]]&gt;1,1,0)</f>
        <v>0</v>
      </c>
    </row>
    <row r="15" spans="2:18" ht="15.75" x14ac:dyDescent="0.25">
      <c r="B15" s="30" t="s">
        <v>13</v>
      </c>
      <c r="C15" s="31">
        <f t="shared" si="0"/>
        <v>108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8" t="s">
        <v>14</v>
      </c>
      <c r="C16" s="32">
        <f>SUM(C11:C15)</f>
        <v>237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14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0"/>
      <c r="F26" s="71"/>
      <c r="G26" s="81"/>
      <c r="H26" s="82"/>
      <c r="I26" s="82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>
        <v>351</v>
      </c>
      <c r="F35" s="25" t="s">
        <v>63</v>
      </c>
      <c r="G35" s="26" t="s">
        <v>13</v>
      </c>
      <c r="H35" s="8">
        <v>108</v>
      </c>
      <c r="I35" s="8" t="s">
        <v>62</v>
      </c>
      <c r="K35" s="25"/>
      <c r="L35" s="41"/>
      <c r="M35" s="16"/>
    </row>
    <row r="36" spans="2:18" ht="15.75" x14ac:dyDescent="0.25">
      <c r="E36" s="18">
        <v>465</v>
      </c>
      <c r="F36" s="25" t="s">
        <v>64</v>
      </c>
      <c r="G36" s="26" t="s">
        <v>9</v>
      </c>
      <c r="H36" s="8">
        <v>129</v>
      </c>
      <c r="I36" s="8" t="s">
        <v>65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R41"/>
  <sheetViews>
    <sheetView showGridLines="0" zoomScale="80" zoomScaleNormal="80" workbookViewId="0">
      <selection activeCell="G22" sqref="G2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'08'!B1+1</f>
        <v>45300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IF(vend9[[#This Row],[Nº Venda]]&gt;1,1,0)</f>
        <v>0</v>
      </c>
    </row>
    <row r="14" spans="2:18" ht="15.75" x14ac:dyDescent="0.25">
      <c r="B14" s="30" t="s">
        <v>12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IF(vend9[[#This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18" ht="15.75" x14ac:dyDescent="0.25">
      <c r="B16" s="28" t="s">
        <v>14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14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1"/>
  <sheetViews>
    <sheetView showGridLines="0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'09'!B1+1</f>
        <v>45301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900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600</v>
      </c>
      <c r="D6" s="2"/>
      <c r="E6" s="18">
        <v>572</v>
      </c>
      <c r="F6" s="25" t="s">
        <v>66</v>
      </c>
      <c r="G6" s="46" t="s">
        <v>12</v>
      </c>
      <c r="H6" s="8">
        <v>800</v>
      </c>
      <c r="I6" s="8">
        <v>500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573</v>
      </c>
      <c r="F7" s="25" t="s">
        <v>67</v>
      </c>
      <c r="G7" s="46" t="s">
        <v>9</v>
      </c>
      <c r="H7" s="8">
        <v>100</v>
      </c>
      <c r="I7" s="8">
        <v>100</v>
      </c>
      <c r="J7" s="2"/>
      <c r="K7" s="25"/>
      <c r="L7" s="9"/>
      <c r="M7" s="16"/>
      <c r="R7" s="1">
        <f>IF(vend10[[#This Row],[Nº Venda]]&gt;1,1,0)</f>
        <v>1</v>
      </c>
    </row>
    <row r="8" spans="2:18" ht="15.75" x14ac:dyDescent="0.25">
      <c r="B8" s="28" t="s">
        <v>24</v>
      </c>
      <c r="C8" s="29">
        <f>SUM(C6:C7)</f>
        <v>600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IF(vend10[[#This Row],[Nº Venda]]&gt;1,1,0)</f>
        <v>0</v>
      </c>
    </row>
    <row r="14" spans="2:18" ht="15.75" x14ac:dyDescent="0.25">
      <c r="B14" s="30" t="s">
        <v>12</v>
      </c>
      <c r="C14" s="31">
        <f t="shared" si="0"/>
        <v>500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IF(vend10[[#This Row],[Nº Venda]]&gt;1,1,0)</f>
        <v>0</v>
      </c>
    </row>
    <row r="15" spans="2:18" ht="15.75" x14ac:dyDescent="0.25">
      <c r="B15" s="30" t="s">
        <v>13</v>
      </c>
      <c r="C15" s="31">
        <f t="shared" si="0"/>
        <v>140</v>
      </c>
      <c r="D15" s="2"/>
      <c r="E15" s="18"/>
      <c r="F15" s="25"/>
      <c r="G15" s="26"/>
      <c r="H15" s="8"/>
      <c r="I15" s="8"/>
      <c r="J15" s="2"/>
      <c r="K15" s="25">
        <v>573</v>
      </c>
      <c r="L15" s="94" t="s">
        <v>44</v>
      </c>
      <c r="M15" s="16" t="s">
        <v>45</v>
      </c>
      <c r="R15" s="1">
        <f>IF(vend10[[#This Row],[Nº Venda]]&gt;1,1,0)</f>
        <v>0</v>
      </c>
    </row>
    <row r="16" spans="2:18" ht="15.75" x14ac:dyDescent="0.25">
      <c r="B16" s="28" t="s">
        <v>14</v>
      </c>
      <c r="C16" s="32">
        <f>SUM(C11:C15)</f>
        <v>740</v>
      </c>
      <c r="D16" s="2"/>
      <c r="E16" s="18"/>
      <c r="F16" s="25"/>
      <c r="G16" s="26"/>
      <c r="H16" s="8"/>
      <c r="I16" s="8"/>
      <c r="J16" s="2"/>
      <c r="K16" s="25">
        <v>566</v>
      </c>
      <c r="L16" s="94" t="s">
        <v>44</v>
      </c>
      <c r="M16" s="16" t="s">
        <v>45</v>
      </c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14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900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>
        <v>296</v>
      </c>
      <c r="F35" s="25" t="s">
        <v>68</v>
      </c>
      <c r="G35" s="26" t="s">
        <v>13</v>
      </c>
      <c r="H35" s="8">
        <v>140</v>
      </c>
      <c r="I35" s="8" t="s">
        <v>62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 t="s">
        <v>69</v>
      </c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80" zoomScaleNormal="80" workbookViewId="0">
      <selection activeCell="E26" sqref="E26:I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'10'!B1+1</f>
        <v>45302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698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698</v>
      </c>
      <c r="D6" s="2"/>
      <c r="E6" s="18">
        <v>574</v>
      </c>
      <c r="F6" s="25" t="s">
        <v>70</v>
      </c>
      <c r="G6" s="26" t="s">
        <v>12</v>
      </c>
      <c r="H6" s="8">
        <v>299</v>
      </c>
      <c r="I6" s="8">
        <v>299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575</v>
      </c>
      <c r="F7" s="25" t="s">
        <v>71</v>
      </c>
      <c r="G7" s="26" t="s">
        <v>12</v>
      </c>
      <c r="H7" s="8">
        <v>399</v>
      </c>
      <c r="I7" s="8">
        <v>399</v>
      </c>
      <c r="J7" s="2"/>
      <c r="K7" s="25"/>
      <c r="L7" s="9"/>
      <c r="M7" s="16"/>
      <c r="R7" s="1">
        <f>IF(vend11[[#This Row],[Nº Venda]]&gt;1,1,0)</f>
        <v>1</v>
      </c>
    </row>
    <row r="8" spans="2:18" ht="15.75" x14ac:dyDescent="0.25">
      <c r="B8" s="28" t="s">
        <v>24</v>
      </c>
      <c r="C8" s="29">
        <f>SUM(C6:C7)</f>
        <v>698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IF(vend11[[#This Row],[Nº Venda]]&gt;1,1,0)</f>
        <v>0</v>
      </c>
    </row>
    <row r="14" spans="2:18" ht="15.75" x14ac:dyDescent="0.25">
      <c r="B14" s="30" t="s">
        <v>12</v>
      </c>
      <c r="C14" s="31">
        <f t="shared" si="0"/>
        <v>698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IF(vend11[[#This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14</v>
      </c>
      <c r="C16" s="32">
        <f>SUM(C11:C15)</f>
        <v>698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14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698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80" zoomScaleNormal="80" workbookViewId="0">
      <selection activeCell="G19" sqref="G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'11'!B1+1</f>
        <v>45303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" x14ac:dyDescent="0.25">
      <c r="B6" s="23" t="s">
        <v>2</v>
      </c>
      <c r="C6" s="24">
        <f>SUM(I6:I41)</f>
        <v>0</v>
      </c>
      <c r="D6" s="2"/>
      <c r="E6" s="57"/>
      <c r="F6" s="58"/>
      <c r="G6" s="58"/>
      <c r="H6" s="59"/>
      <c r="I6" s="59"/>
      <c r="J6" s="2"/>
      <c r="K6" s="25"/>
      <c r="L6" s="9"/>
      <c r="M6" s="16"/>
      <c r="R6" s="1">
        <f>IF(vend12[[#This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0"/>
      <c r="F7" s="61"/>
      <c r="G7" s="61"/>
      <c r="H7" s="62"/>
      <c r="I7" s="62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64"/>
      <c r="F8" s="61"/>
      <c r="G8" s="61"/>
      <c r="H8" s="62"/>
      <c r="I8" s="62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IF(vend12[[#This Row],[Nº Venda]]&gt;1,1,0)</f>
        <v>0</v>
      </c>
    </row>
    <row r="14" spans="2:18" ht="15.75" x14ac:dyDescent="0.25">
      <c r="B14" s="30" t="s">
        <v>12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IF(vend12[[#This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8" t="s">
        <v>14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14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63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E1" zoomScale="80" zoomScaleNormal="8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'12'!B1+1</f>
        <v>45304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40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40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24</v>
      </c>
      <c r="C8" s="29">
        <f>SUM(C6:C7)</f>
        <v>40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40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IF(vend13[[#This Row],[Nº Venda]]&gt;1,1,0)</f>
        <v>0</v>
      </c>
    </row>
    <row r="14" spans="2:18" ht="15.75" x14ac:dyDescent="0.25">
      <c r="B14" s="30" t="s">
        <v>12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IF(vend13[[#This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570</v>
      </c>
      <c r="L15" s="9" t="s">
        <v>44</v>
      </c>
      <c r="M15" s="16" t="s">
        <v>45</v>
      </c>
      <c r="R15" s="1">
        <f>IF(vend13[[#This Row],[Nº Venda]]&gt;1,1,0)</f>
        <v>0</v>
      </c>
    </row>
    <row r="16" spans="2:18" ht="15.75" x14ac:dyDescent="0.25">
      <c r="B16" s="28" t="s">
        <v>14</v>
      </c>
      <c r="C16" s="32">
        <f>SUM(C11:C15)</f>
        <v>40</v>
      </c>
      <c r="D16" s="2"/>
      <c r="E16" s="18"/>
      <c r="F16" s="25"/>
      <c r="G16" s="26"/>
      <c r="H16" s="8"/>
      <c r="I16" s="8"/>
      <c r="J16" s="2"/>
      <c r="K16" s="25">
        <v>565</v>
      </c>
      <c r="L16" s="9" t="s">
        <v>44</v>
      </c>
      <c r="M16" s="16" t="s">
        <v>45</v>
      </c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567</v>
      </c>
      <c r="L17" s="9" t="s">
        <v>44</v>
      </c>
      <c r="M17" s="16" t="s">
        <v>45</v>
      </c>
      <c r="R17" s="1">
        <f>IF(vend13[[#This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14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570</v>
      </c>
      <c r="F26" s="25" t="s">
        <v>72</v>
      </c>
      <c r="G26" s="26" t="s">
        <v>9</v>
      </c>
      <c r="H26" s="8">
        <v>40</v>
      </c>
      <c r="I26" s="8">
        <v>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B35" s="1">
        <v>3</v>
      </c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80" zoomScaleNormal="80" workbookViewId="0">
      <selection activeCell="H23" sqref="H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'13'!B1+1</f>
        <v>45305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IF(vend14[[#This Row],[Nº Venda]]&gt;1,1,0)</f>
        <v>0</v>
      </c>
    </row>
    <row r="14" spans="2:18" ht="15.75" x14ac:dyDescent="0.25">
      <c r="B14" s="30" t="s">
        <v>12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IF(vend14[[#This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14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14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80" zoomScaleNormal="80" workbookViewId="0">
      <selection activeCell="L15" sqref="L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'14'!B1+1</f>
        <v>45306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298</v>
      </c>
      <c r="D6" s="2"/>
      <c r="E6" s="18">
        <v>576</v>
      </c>
      <c r="F6" s="25" t="s">
        <v>73</v>
      </c>
      <c r="G6" s="46" t="s">
        <v>55</v>
      </c>
      <c r="H6" s="8">
        <v>0</v>
      </c>
      <c r="I6" s="8">
        <v>0</v>
      </c>
      <c r="J6" s="2"/>
      <c r="K6" s="25" t="s">
        <v>74</v>
      </c>
      <c r="L6" s="9" t="s">
        <v>13</v>
      </c>
      <c r="M6" s="16">
        <v>12</v>
      </c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12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24</v>
      </c>
      <c r="C8" s="29">
        <f>SUM(C6:C7)</f>
        <v>310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298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IF(vend15[[#This Row],[Nº Venda]]&gt;1,1,0)</f>
        <v>0</v>
      </c>
    </row>
    <row r="14" spans="2:18" ht="15.75" x14ac:dyDescent="0.25">
      <c r="B14" s="30" t="s">
        <v>12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IF(vend15[[#This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568</v>
      </c>
      <c r="L15" s="94" t="s">
        <v>44</v>
      </c>
      <c r="M15" s="16" t="s">
        <v>45</v>
      </c>
      <c r="R15" s="1">
        <f>IF(vend15[[#This Row],[Nº Venda]]&gt;1,1,0)</f>
        <v>0</v>
      </c>
    </row>
    <row r="16" spans="2:18" ht="15.75" x14ac:dyDescent="0.25">
      <c r="B16" s="28" t="s">
        <v>14</v>
      </c>
      <c r="C16" s="32">
        <f>SUM(C11:C15)</f>
        <v>298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14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568</v>
      </c>
      <c r="F26" s="25" t="s">
        <v>47</v>
      </c>
      <c r="G26" s="46" t="s">
        <v>10</v>
      </c>
      <c r="H26" s="8"/>
      <c r="I26" s="8">
        <v>298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80" zoomScaleNormal="80" workbookViewId="0">
      <selection activeCell="F15" sqref="F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'15'!B1+1</f>
        <v>45307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479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379</v>
      </c>
      <c r="D6" s="2"/>
      <c r="E6" s="18">
        <v>577</v>
      </c>
      <c r="F6" s="25" t="s">
        <v>75</v>
      </c>
      <c r="G6" s="46" t="s">
        <v>13</v>
      </c>
      <c r="H6" s="8">
        <v>479</v>
      </c>
      <c r="I6" s="8">
        <v>379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24</v>
      </c>
      <c r="C8" s="29">
        <f>SUM(C6:C7)</f>
        <v>379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IF(vend16[[#This Row],[Nº Venda]]&gt;1,1,0)</f>
        <v>0</v>
      </c>
    </row>
    <row r="14" spans="2:18" ht="15.75" x14ac:dyDescent="0.25">
      <c r="B14" s="30" t="s">
        <v>12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IF(vend16[[#This Row],[Nº Venda]]&gt;1,1,0)</f>
        <v>0</v>
      </c>
    </row>
    <row r="15" spans="2:18" ht="15.75" x14ac:dyDescent="0.25">
      <c r="B15" s="30" t="s">
        <v>13</v>
      </c>
      <c r="C15" s="31">
        <f t="shared" si="0"/>
        <v>465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 x14ac:dyDescent="0.25">
      <c r="B16" s="28" t="s">
        <v>14</v>
      </c>
      <c r="C16" s="32">
        <f>SUM(C11:C15)</f>
        <v>465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14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479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 t="s">
        <v>76</v>
      </c>
      <c r="G35" s="26" t="s">
        <v>13</v>
      </c>
      <c r="H35" s="8">
        <v>86</v>
      </c>
      <c r="I35" s="8" t="s">
        <v>77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70" zoomScaleNormal="70" workbookViewId="0">
      <selection activeCell="H11" sqref="H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'16'!B1+1</f>
        <v>45308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459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459</v>
      </c>
      <c r="D6" s="2"/>
      <c r="E6" s="18">
        <v>578</v>
      </c>
      <c r="F6" s="25" t="s">
        <v>78</v>
      </c>
      <c r="G6" s="26" t="s">
        <v>12</v>
      </c>
      <c r="H6" s="8">
        <v>459</v>
      </c>
      <c r="I6" s="8">
        <v>459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24</v>
      </c>
      <c r="C8" s="29">
        <f>SUM(C6:C7)</f>
        <v>459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IF(vend17[[#This Row],[Nº Venda]]&gt;1,1,0)</f>
        <v>0</v>
      </c>
    </row>
    <row r="14" spans="2:18" ht="15.75" x14ac:dyDescent="0.25">
      <c r="B14" s="30" t="s">
        <v>12</v>
      </c>
      <c r="C14" s="31">
        <f t="shared" si="0"/>
        <v>459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IF(vend17[[#This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 x14ac:dyDescent="0.25">
      <c r="B16" s="28" t="s">
        <v>14</v>
      </c>
      <c r="C16" s="32">
        <f>SUM(C11:C15)</f>
        <v>459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14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459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80" zoomScaleNormal="80" workbookViewId="0">
      <selection activeCell="I40" sqref="I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'17'!B1+1</f>
        <v>45309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IF(vend18[[#This Row],[Nº Venda]]&gt;1,1,0)</f>
        <v>0</v>
      </c>
    </row>
    <row r="14" spans="2:18" ht="15.75" x14ac:dyDescent="0.25">
      <c r="B14" s="30" t="s">
        <v>12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IF(vend18[[#This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 x14ac:dyDescent="0.25">
      <c r="B16" s="28" t="s">
        <v>14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14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R41"/>
  <sheetViews>
    <sheetView showGridLines="0" zoomScale="80" zoomScaleNormal="80" workbookViewId="0">
      <selection activeCell="E27" sqref="E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'18'!B1+1</f>
        <v>45310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549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24</v>
      </c>
      <c r="C8" s="29">
        <f>SUM(C6:C7)</f>
        <v>549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10</v>
      </c>
      <c r="C12" s="31">
        <f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11</v>
      </c>
      <c r="C13" s="31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IF(vend19[[#This Row],[Nº Venda]]&gt;1,1,0)</f>
        <v>0</v>
      </c>
    </row>
    <row r="14" spans="2:18" ht="15.75" x14ac:dyDescent="0.25">
      <c r="B14" s="30" t="s">
        <v>12</v>
      </c>
      <c r="C14" s="31">
        <f>(SUMIF($G$2:$G$31,B14,$I$2:$I$31))+(SUMIF($G$35:$G$41,B14,$H$35:$H$41))</f>
        <v>549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IF(vend19[[#This Row],[Nº Venda]]&gt;1,1,0)</f>
        <v>0</v>
      </c>
    </row>
    <row r="15" spans="2:18" ht="15.75" x14ac:dyDescent="0.25">
      <c r="B15" s="30" t="s">
        <v>13</v>
      </c>
      <c r="C15" s="31">
        <f>(SUMIF($G$2:$G$31,B15,$I$2:$I$31))+(SUMIF($G$35:$G$41,B15,$H$35:$H$41))</f>
        <v>31.25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IF(vend19[[#This Row],[Nº Venda]]&gt;1,1,0)</f>
        <v>0</v>
      </c>
    </row>
    <row r="16" spans="2:18" ht="15.75" x14ac:dyDescent="0.25">
      <c r="B16" s="28" t="s">
        <v>14</v>
      </c>
      <c r="C16" s="32">
        <f>SUM(C11:C15)</f>
        <v>580.25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14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563</v>
      </c>
      <c r="F26" s="25" t="s">
        <v>79</v>
      </c>
      <c r="G26" s="26" t="s">
        <v>12</v>
      </c>
      <c r="H26" s="8"/>
      <c r="I26" s="8">
        <v>549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>
        <v>286</v>
      </c>
      <c r="F35" s="25" t="s">
        <v>80</v>
      </c>
      <c r="G35" s="26" t="s">
        <v>13</v>
      </c>
      <c r="H35" s="8">
        <v>31.25</v>
      </c>
      <c r="I35" s="8" t="s">
        <v>57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G35:G41 G27:G31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80" zoomScaleNormal="80" workbookViewId="0">
      <selection activeCell="E9" sqref="E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'19'!B1+1</f>
        <v>45311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20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20</v>
      </c>
      <c r="D6" s="2"/>
      <c r="E6" s="18">
        <v>580</v>
      </c>
      <c r="F6" s="25" t="s">
        <v>81</v>
      </c>
      <c r="G6" s="26" t="s">
        <v>53</v>
      </c>
      <c r="H6" s="8">
        <v>150</v>
      </c>
      <c r="I6" s="8">
        <v>0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579</v>
      </c>
      <c r="F7" s="25" t="s">
        <v>82</v>
      </c>
      <c r="G7" s="26" t="s">
        <v>13</v>
      </c>
      <c r="H7" s="8">
        <v>20</v>
      </c>
      <c r="I7" s="8">
        <v>20</v>
      </c>
      <c r="J7" s="2"/>
      <c r="K7" s="25"/>
      <c r="L7" s="9"/>
      <c r="M7" s="16"/>
      <c r="R7" s="1">
        <f>IF(vend20[[#This Row],[Nº Venda]]&gt;1,1,0)</f>
        <v>1</v>
      </c>
    </row>
    <row r="8" spans="2:18" ht="15.75" x14ac:dyDescent="0.25">
      <c r="B8" s="28" t="s">
        <v>24</v>
      </c>
      <c r="C8" s="29">
        <f>SUM(C6:C7)</f>
        <v>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IF(vend20[[#This Row],[Nº Venda]]&gt;1,1,0)</f>
        <v>0</v>
      </c>
    </row>
    <row r="14" spans="2:18" ht="15.75" x14ac:dyDescent="0.25">
      <c r="B14" s="30" t="s">
        <v>12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IF(vend20[[#This Row],[Nº Venda]]&gt;1,1,0)</f>
        <v>0</v>
      </c>
    </row>
    <row r="15" spans="2:18" ht="15.75" x14ac:dyDescent="0.25">
      <c r="B15" s="30" t="s">
        <v>13</v>
      </c>
      <c r="C15" s="31">
        <f t="shared" si="0"/>
        <v>20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IF(vend20[[#This Row],[Nº Venda]]&gt;1,1,0)</f>
        <v>0</v>
      </c>
    </row>
    <row r="16" spans="2:18" ht="15.75" x14ac:dyDescent="0.25">
      <c r="B16" s="28" t="s">
        <v>14</v>
      </c>
      <c r="C16" s="32">
        <f>SUM(C11:C15)</f>
        <v>20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14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80" zoomScaleNormal="80" workbookViewId="0">
      <selection activeCell="H28" sqref="H2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'20'!B1+1</f>
        <v>45312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IF(vend21[[#This Row],[Nº Venda]]&gt;1,1,0)</f>
        <v>0</v>
      </c>
    </row>
    <row r="14" spans="2:18" ht="15.75" x14ac:dyDescent="0.25">
      <c r="B14" s="30" t="s">
        <v>12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IF(vend21[[#This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14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14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7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4">
        <f>'21'!B1+1</f>
        <v>45313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1060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510</v>
      </c>
      <c r="D6" s="2"/>
      <c r="E6" s="18">
        <v>581</v>
      </c>
      <c r="F6" s="25" t="s">
        <v>83</v>
      </c>
      <c r="G6" s="26" t="s">
        <v>9</v>
      </c>
      <c r="H6" s="8">
        <v>410</v>
      </c>
      <c r="I6" s="8">
        <v>410</v>
      </c>
      <c r="J6" s="2"/>
      <c r="K6" s="25"/>
      <c r="L6" s="9"/>
      <c r="M6" s="1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582</v>
      </c>
      <c r="F7" s="25" t="s">
        <v>84</v>
      </c>
      <c r="G7" s="26" t="s">
        <v>9</v>
      </c>
      <c r="H7" s="8">
        <v>500</v>
      </c>
      <c r="I7" s="8">
        <v>50</v>
      </c>
      <c r="J7" s="2"/>
      <c r="K7" s="25"/>
      <c r="L7" s="9"/>
      <c r="M7" s="16"/>
      <c r="R7" s="1">
        <f>IF(vend22[[#This Row],[Nº Venda]]&gt;1,1,0)</f>
        <v>1</v>
      </c>
    </row>
    <row r="8" spans="2:18" ht="15.75" x14ac:dyDescent="0.25">
      <c r="B8" s="28" t="s">
        <v>24</v>
      </c>
      <c r="C8" s="29">
        <f>SUM(C6:C7)</f>
        <v>510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524.9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IF(vend22[[#This Row],[Nº Venda]]&gt;1,1,0)</f>
        <v>0</v>
      </c>
    </row>
    <row r="14" spans="2:18" ht="15.75" x14ac:dyDescent="0.25">
      <c r="B14" s="30" t="s">
        <v>12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IF(vend22[[#This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 x14ac:dyDescent="0.25">
      <c r="B16" s="28" t="s">
        <v>14</v>
      </c>
      <c r="C16" s="32">
        <f>SUM(C11:C15)</f>
        <v>574.9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 t="s">
        <v>49</v>
      </c>
      <c r="M19" s="16"/>
      <c r="R19" s="1">
        <f>IF(vend22[[#This Row],[Nº Venda]]&gt;1,1,0)</f>
        <v>0</v>
      </c>
    </row>
    <row r="20" spans="2:18" ht="15.75" x14ac:dyDescent="0.25">
      <c r="B20" s="28" t="s">
        <v>14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1060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 t="s">
        <v>46</v>
      </c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580</v>
      </c>
      <c r="F26" s="25" t="s">
        <v>85</v>
      </c>
      <c r="G26" s="26" t="s">
        <v>10</v>
      </c>
      <c r="H26" s="8">
        <v>150</v>
      </c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>
        <v>473</v>
      </c>
      <c r="F35" s="25" t="s">
        <v>86</v>
      </c>
      <c r="G35" s="26" t="s">
        <v>9</v>
      </c>
      <c r="H35" s="8">
        <v>64.900000000000006</v>
      </c>
      <c r="I35" s="8" t="s">
        <v>87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1"/>
  <sheetViews>
    <sheetView showGridLines="0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'22'!B1+1</f>
        <v>45314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300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24</v>
      </c>
      <c r="C8" s="29">
        <f>SUM(C6:C7)</f>
        <v>300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IF(vend23[[#This Row],[Nº Venda]]&gt;1,1,0)</f>
        <v>0</v>
      </c>
    </row>
    <row r="14" spans="2:18" ht="15.75" x14ac:dyDescent="0.25">
      <c r="B14" s="30" t="s">
        <v>12</v>
      </c>
      <c r="C14" s="31">
        <f t="shared" si="0"/>
        <v>300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IF(vend23[[#This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576</v>
      </c>
      <c r="L15" s="9" t="s">
        <v>88</v>
      </c>
      <c r="M15" s="16" t="s">
        <v>45</v>
      </c>
      <c r="R15" s="1">
        <f>IF(vend23[[#This Row],[Nº Venda]]&gt;1,1,0)</f>
        <v>0</v>
      </c>
    </row>
    <row r="16" spans="2:18" ht="15.75" x14ac:dyDescent="0.25">
      <c r="B16" s="28" t="s">
        <v>14</v>
      </c>
      <c r="C16" s="32">
        <f>SUM(C11:C15)</f>
        <v>300</v>
      </c>
      <c r="D16" s="2"/>
      <c r="E16" s="18"/>
      <c r="F16" s="25"/>
      <c r="G16" s="26"/>
      <c r="H16" s="8"/>
      <c r="I16" s="8"/>
      <c r="J16" s="2"/>
      <c r="K16" s="25">
        <v>572</v>
      </c>
      <c r="L16" s="94" t="s">
        <v>44</v>
      </c>
      <c r="M16" s="16" t="s">
        <v>45</v>
      </c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1</v>
      </c>
      <c r="C19" s="31">
        <f>SUM(entr_carn23[Valor Total])</f>
        <v>100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14</v>
      </c>
      <c r="C20" s="32">
        <f>SUM(C19:C19)</f>
        <v>100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572</v>
      </c>
      <c r="F26" s="25" t="s">
        <v>66</v>
      </c>
      <c r="G26" s="26" t="s">
        <v>12</v>
      </c>
      <c r="H26" s="8">
        <v>0</v>
      </c>
      <c r="I26" s="8">
        <v>300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>
        <v>576</v>
      </c>
      <c r="L35" s="41">
        <v>1</v>
      </c>
      <c r="M35" s="16">
        <v>100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abSelected="1" zoomScale="80" zoomScaleNormal="80" workbookViewId="0">
      <selection activeCell="E9" sqref="E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'23'!B1+1</f>
        <v>45315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2450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500</v>
      </c>
      <c r="D6" s="2"/>
      <c r="E6" s="18">
        <v>584</v>
      </c>
      <c r="F6" s="25" t="s">
        <v>89</v>
      </c>
      <c r="G6" s="26" t="s">
        <v>13</v>
      </c>
      <c r="H6" s="8">
        <v>750</v>
      </c>
      <c r="I6" s="8">
        <v>40</v>
      </c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585</v>
      </c>
      <c r="F7" s="25" t="s">
        <v>89</v>
      </c>
      <c r="G7" s="26" t="s">
        <v>13</v>
      </c>
      <c r="H7" s="8">
        <v>750</v>
      </c>
      <c r="I7" s="8">
        <v>30</v>
      </c>
      <c r="J7" s="2"/>
      <c r="K7" s="25"/>
      <c r="L7" s="9"/>
      <c r="M7" s="16"/>
      <c r="R7" s="1">
        <f>IF(vend24[[#This Row],[Nº Venda]]&gt;1,1,0)</f>
        <v>1</v>
      </c>
    </row>
    <row r="8" spans="2:18" ht="15.75" x14ac:dyDescent="0.25">
      <c r="B8" s="28" t="s">
        <v>24</v>
      </c>
      <c r="C8" s="29">
        <f>SUM(C6:C7)</f>
        <v>500</v>
      </c>
      <c r="D8" s="2"/>
      <c r="E8" s="18">
        <v>586</v>
      </c>
      <c r="F8" s="25" t="s">
        <v>89</v>
      </c>
      <c r="G8" s="26" t="s">
        <v>13</v>
      </c>
      <c r="H8" s="8">
        <v>150</v>
      </c>
      <c r="I8" s="8">
        <v>30</v>
      </c>
      <c r="J8" s="2"/>
      <c r="K8" s="25"/>
      <c r="L8" s="9"/>
      <c r="M8" s="16"/>
      <c r="R8" s="1">
        <f>IF(vend24[[#This Row],[Nº Venda]]&gt;1,1,0)</f>
        <v>1</v>
      </c>
    </row>
    <row r="9" spans="2:18" ht="15.75" x14ac:dyDescent="0.25">
      <c r="B9" s="2"/>
      <c r="C9" s="2"/>
      <c r="D9" s="2"/>
      <c r="E9" s="18">
        <v>583</v>
      </c>
      <c r="F9" s="25" t="s">
        <v>90</v>
      </c>
      <c r="G9" s="26" t="s">
        <v>10</v>
      </c>
      <c r="H9" s="8">
        <v>800</v>
      </c>
      <c r="I9" s="8">
        <v>400</v>
      </c>
      <c r="J9" s="2"/>
      <c r="K9" s="25"/>
      <c r="L9" s="9"/>
      <c r="M9" s="16"/>
      <c r="R9" s="1">
        <f>IF(vend24[[#This Row],[Nº Venda]]&gt;1,1,0)</f>
        <v>1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400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IF(vend24[[#This Row],[Nº Venda]]&gt;1,1,0)</f>
        <v>0</v>
      </c>
    </row>
    <row r="14" spans="2:18" ht="15.75" x14ac:dyDescent="0.25">
      <c r="B14" s="30" t="s">
        <v>12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IF(vend24[[#This Row],[Nº Venda]]&gt;1,1,0)</f>
        <v>0</v>
      </c>
    </row>
    <row r="15" spans="2:18" ht="15.75" x14ac:dyDescent="0.25">
      <c r="B15" s="30" t="s">
        <v>13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 x14ac:dyDescent="0.25">
      <c r="B16" s="28" t="s">
        <v>14</v>
      </c>
      <c r="C16" s="32">
        <f>SUM(C11:C15)</f>
        <v>500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14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2450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80" zoomScaleNormal="80" workbookViewId="0">
      <selection activeCell="A12" sqref="A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'24'!B1+1</f>
        <v>45316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IF(vend25[[#This Row],[Nº Venda]]&gt;1,1,0)</f>
        <v>0</v>
      </c>
    </row>
    <row r="14" spans="2:18" ht="15.75" x14ac:dyDescent="0.25">
      <c r="B14" s="30" t="s">
        <v>12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IF(vend25[[#This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14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14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2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'25'!B1+1</f>
        <v>45317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100</v>
      </c>
      <c r="D6" s="2"/>
      <c r="E6" s="18">
        <v>587</v>
      </c>
      <c r="F6" s="25" t="s">
        <v>66</v>
      </c>
      <c r="G6" s="26" t="s">
        <v>53</v>
      </c>
      <c r="H6" s="8">
        <v>120</v>
      </c>
      <c r="I6" s="8">
        <v>0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24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90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11</v>
      </c>
      <c r="C13" s="31">
        <f t="shared" si="0"/>
        <v>100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IF(vend26[[#This Row],[Nº Venda]]&gt;1,1,0)</f>
        <v>0</v>
      </c>
    </row>
    <row r="14" spans="2:18" ht="15.75" x14ac:dyDescent="0.25">
      <c r="B14" s="30" t="s">
        <v>12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IF(vend26[[#This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578</v>
      </c>
      <c r="L15" s="94" t="s">
        <v>44</v>
      </c>
      <c r="M15" s="16" t="s">
        <v>45</v>
      </c>
      <c r="R15" s="1">
        <f>IF(vend26[[#This Row],[Nº Venda]]&gt;1,1,0)</f>
        <v>0</v>
      </c>
    </row>
    <row r="16" spans="2:18" ht="15.75" x14ac:dyDescent="0.25">
      <c r="B16" s="28" t="s">
        <v>14</v>
      </c>
      <c r="C16" s="32">
        <f>SUM(C11:C15)</f>
        <v>190</v>
      </c>
      <c r="D16" s="2"/>
      <c r="E16" s="18"/>
      <c r="F16" s="25"/>
      <c r="G16" s="26"/>
      <c r="H16" s="8"/>
      <c r="I16" s="8"/>
      <c r="J16" s="2"/>
      <c r="K16" s="25">
        <v>517</v>
      </c>
      <c r="L16" s="9" t="s">
        <v>91</v>
      </c>
      <c r="M16" s="16" t="s">
        <v>92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1</v>
      </c>
      <c r="C19" s="31">
        <f>SUM(entr_carn26[Valor Total])</f>
        <v>495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14</v>
      </c>
      <c r="C20" s="32">
        <f>SUM(C19:C19)</f>
        <v>495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517</v>
      </c>
      <c r="F26" s="25" t="s">
        <v>93</v>
      </c>
      <c r="G26" s="26" t="s">
        <v>11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>
        <v>537</v>
      </c>
      <c r="F35" s="25" t="s">
        <v>94</v>
      </c>
      <c r="G35" s="26" t="s">
        <v>9</v>
      </c>
      <c r="H35" s="8">
        <v>90</v>
      </c>
      <c r="I35" s="8" t="s">
        <v>51</v>
      </c>
      <c r="K35" s="25">
        <v>517</v>
      </c>
      <c r="L35" s="41">
        <v>9</v>
      </c>
      <c r="M35" s="16">
        <v>495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80" zoomScaleNormal="80" workbookViewId="0">
      <selection activeCell="K18" sqref="K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'26'!B1+1</f>
        <v>45318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450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24</v>
      </c>
      <c r="C8" s="29">
        <f>SUM(C6:C7)</f>
        <v>450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90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IF(vend27[[#This Row],[Nº Venda]]&gt;1,1,0)</f>
        <v>0</v>
      </c>
    </row>
    <row r="14" spans="2:18" ht="15.75" x14ac:dyDescent="0.25">
      <c r="B14" s="30" t="s">
        <v>12</v>
      </c>
      <c r="C14" s="31">
        <f t="shared" si="0"/>
        <v>450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IF(vend27[[#This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582</v>
      </c>
      <c r="L15" s="9" t="s">
        <v>95</v>
      </c>
      <c r="M15" s="16" t="s">
        <v>45</v>
      </c>
      <c r="R15" s="1">
        <f>IF(vend27[[#This Row],[Nº Venda]]&gt;1,1,0)</f>
        <v>0</v>
      </c>
    </row>
    <row r="16" spans="2:18" ht="15.75" x14ac:dyDescent="0.25">
      <c r="B16" s="28" t="s">
        <v>14</v>
      </c>
      <c r="C16" s="32">
        <f>SUM(C11:C15)</f>
        <v>540</v>
      </c>
      <c r="D16" s="2"/>
      <c r="E16" s="18"/>
      <c r="F16" s="25"/>
      <c r="G16" s="26"/>
      <c r="H16" s="8"/>
      <c r="I16" s="8"/>
      <c r="J16" s="2"/>
      <c r="K16" s="25">
        <v>574</v>
      </c>
      <c r="L16" s="9" t="s">
        <v>44</v>
      </c>
      <c r="M16" s="16" t="s">
        <v>45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575</v>
      </c>
      <c r="L17" s="9" t="s">
        <v>44</v>
      </c>
      <c r="M17" s="16" t="s">
        <v>45</v>
      </c>
      <c r="R17" s="1">
        <f>IF(vend27[[#This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79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14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582</v>
      </c>
      <c r="F26" s="25" t="s">
        <v>96</v>
      </c>
      <c r="G26" s="26" t="s">
        <v>12</v>
      </c>
      <c r="H26" s="8"/>
      <c r="I26" s="8">
        <v>450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>
        <v>200</v>
      </c>
      <c r="F35" s="25" t="s">
        <v>97</v>
      </c>
      <c r="G35" s="26" t="s">
        <v>9</v>
      </c>
      <c r="H35" s="8">
        <v>90</v>
      </c>
      <c r="I35" s="8" t="s">
        <v>62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9" zoomScale="80" zoomScaleNormal="80" workbookViewId="0">
      <selection activeCell="A23" sqref="A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'27'!B1+1</f>
        <v>45319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IF(vend28[[#This Row],[Nº Venda]]&gt;1,1,0)</f>
        <v>0</v>
      </c>
    </row>
    <row r="14" spans="2:18" ht="15.75" x14ac:dyDescent="0.25">
      <c r="B14" s="30" t="s">
        <v>12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IF(vend28[[#This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8" t="s">
        <v>14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14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73">
        <f>'28'!B1+1</f>
        <v>45320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100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24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IF(vend29[[#This Row],[Nº Venda]]&gt;1,1,0)</f>
        <v>0</v>
      </c>
    </row>
    <row r="14" spans="2:18" ht="15.75" x14ac:dyDescent="0.25">
      <c r="B14" s="30" t="s">
        <v>12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IF(vend29[[#This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72">
        <v>577</v>
      </c>
      <c r="L15" s="9" t="s">
        <v>44</v>
      </c>
      <c r="M15" s="16" t="s">
        <v>45</v>
      </c>
      <c r="R15" s="1">
        <f>IF(vend29[[#This Row],[Nº Venda]]&gt;1,1,0)</f>
        <v>0</v>
      </c>
    </row>
    <row r="16" spans="2:18" ht="15.75" x14ac:dyDescent="0.25">
      <c r="B16" s="28" t="s">
        <v>14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72">
        <v>581</v>
      </c>
      <c r="L16" s="9" t="s">
        <v>95</v>
      </c>
      <c r="M16" s="16" t="s">
        <v>45</v>
      </c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72"/>
      <c r="L17" s="9"/>
      <c r="M17" s="16"/>
      <c r="R17" s="1">
        <f>IF(vend29[[#This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14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577</v>
      </c>
      <c r="F26" s="25" t="s">
        <v>98</v>
      </c>
      <c r="G26" s="26" t="s">
        <v>10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R41"/>
  <sheetViews>
    <sheetView showGridLines="0" topLeftCell="A10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'29'!B1+1</f>
        <v>45321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1499.9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190</v>
      </c>
      <c r="D6" s="2"/>
      <c r="E6" s="18">
        <v>588</v>
      </c>
      <c r="F6" s="25" t="s">
        <v>99</v>
      </c>
      <c r="G6" s="26" t="s">
        <v>9</v>
      </c>
      <c r="H6" s="8">
        <v>1209.9000000000001</v>
      </c>
      <c r="I6" s="8">
        <v>25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589</v>
      </c>
      <c r="F7" s="25" t="s">
        <v>99</v>
      </c>
      <c r="G7" s="26" t="s">
        <v>9</v>
      </c>
      <c r="H7" s="8">
        <v>290</v>
      </c>
      <c r="I7" s="8">
        <v>25</v>
      </c>
      <c r="J7" s="2"/>
      <c r="K7" s="25"/>
      <c r="L7" s="9"/>
      <c r="M7" s="16"/>
      <c r="R7" s="1">
        <f>IF(vend30[[#This Row],[Nº Venda]]&gt;1,1,0)</f>
        <v>1</v>
      </c>
    </row>
    <row r="8" spans="2:18" ht="15.75" x14ac:dyDescent="0.25">
      <c r="B8" s="28" t="s">
        <v>24</v>
      </c>
      <c r="C8" s="29">
        <f>SUM(C6:C7)</f>
        <v>190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130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IF(vend30[[#This Row],[Nº Venda]]&gt;1,1,0)</f>
        <v>0</v>
      </c>
    </row>
    <row r="14" spans="2:18" ht="15.75" x14ac:dyDescent="0.25">
      <c r="B14" s="30" t="s">
        <v>12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IF(vend30[[#This Row],[Nº Venda]]&gt;1,1,0)</f>
        <v>0</v>
      </c>
    </row>
    <row r="15" spans="2:18" ht="15.75" x14ac:dyDescent="0.25">
      <c r="B15" s="30" t="s">
        <v>13</v>
      </c>
      <c r="C15" s="31">
        <f t="shared" si="0"/>
        <v>60</v>
      </c>
      <c r="D15" s="2"/>
      <c r="E15" s="18"/>
      <c r="F15" s="25"/>
      <c r="G15" s="26"/>
      <c r="H15" s="8"/>
      <c r="I15" s="8"/>
      <c r="J15" s="2"/>
      <c r="K15" s="25">
        <v>499</v>
      </c>
      <c r="L15" s="9" t="s">
        <v>91</v>
      </c>
      <c r="M15" s="16" t="s">
        <v>92</v>
      </c>
      <c r="R15" s="1">
        <f>IF(vend30[[#This Row],[Nº Venda]]&gt;1,1,0)</f>
        <v>0</v>
      </c>
    </row>
    <row r="16" spans="2:18" ht="15.75" x14ac:dyDescent="0.25">
      <c r="B16" s="28" t="s">
        <v>14</v>
      </c>
      <c r="C16" s="32">
        <f>SUM(C11:C15)</f>
        <v>190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 x14ac:dyDescent="0.25">
      <c r="B19" s="30">
        <f>COUNT(entr_carn30[OS])</f>
        <v>1</v>
      </c>
      <c r="C19" s="31">
        <f>SUM(entr_carn30[Valor Total])</f>
        <v>150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 x14ac:dyDescent="0.25">
      <c r="B20" s="28" t="s">
        <v>14</v>
      </c>
      <c r="C20" s="32">
        <f>SUM(C19:C19)</f>
        <v>150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1499.9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499</v>
      </c>
      <c r="F26" s="25" t="s">
        <v>100</v>
      </c>
      <c r="G26" s="26" t="s">
        <v>9</v>
      </c>
      <c r="H26" s="8"/>
      <c r="I26" s="8">
        <v>80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393</v>
      </c>
      <c r="F27" s="25" t="s">
        <v>101</v>
      </c>
      <c r="G27" s="26" t="s">
        <v>13</v>
      </c>
      <c r="H27" s="8"/>
      <c r="I27" s="8">
        <v>60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>
        <v>499</v>
      </c>
      <c r="L35" s="41">
        <v>2</v>
      </c>
      <c r="M35" s="16">
        <v>150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80" zoomScaleNormal="8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'30'!B1+1</f>
        <v>45322</v>
      </c>
    </row>
    <row r="2" spans="2:18" ht="18.75" x14ac:dyDescent="0.2">
      <c r="B2" s="100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3" t="s">
        <v>1</v>
      </c>
      <c r="F4" s="103"/>
      <c r="G4" s="103"/>
      <c r="H4" s="103"/>
      <c r="I4" s="103"/>
      <c r="J4" s="22"/>
      <c r="K4" s="97" t="s">
        <v>3</v>
      </c>
      <c r="L4" s="98"/>
      <c r="M4" s="99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17</v>
      </c>
      <c r="F5" s="10" t="s">
        <v>18</v>
      </c>
      <c r="G5" s="11" t="s">
        <v>19</v>
      </c>
      <c r="H5" s="12" t="s">
        <v>20</v>
      </c>
      <c r="I5" s="13" t="s">
        <v>2</v>
      </c>
      <c r="J5" s="2"/>
      <c r="K5" s="14" t="s">
        <v>21</v>
      </c>
      <c r="L5" s="6" t="s">
        <v>22</v>
      </c>
      <c r="M5" s="15" t="s">
        <v>23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95" t="s">
        <v>8</v>
      </c>
      <c r="C10" s="95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9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30" t="s">
        <v>10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11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7" t="s">
        <v>25</v>
      </c>
      <c r="L13" s="98"/>
      <c r="M13" s="99"/>
      <c r="R13" s="1">
        <f>IF(vend31[[#This Row],[Nº Venda]]&gt;1,1,0)</f>
        <v>0</v>
      </c>
    </row>
    <row r="14" spans="2:18" ht="15.75" x14ac:dyDescent="0.25">
      <c r="B14" s="30" t="s">
        <v>12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IF(vend31[[#This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14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95" t="s">
        <v>15</v>
      </c>
      <c r="C18" s="95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14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6" t="s">
        <v>30</v>
      </c>
      <c r="F24" s="96"/>
      <c r="G24" s="96"/>
      <c r="H24" s="96"/>
      <c r="I24" s="96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17</v>
      </c>
      <c r="F25" s="10" t="s">
        <v>18</v>
      </c>
      <c r="G25" s="11" t="s">
        <v>19</v>
      </c>
      <c r="H25" s="12" t="s">
        <v>20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6" t="s">
        <v>31</v>
      </c>
      <c r="F33" s="96"/>
      <c r="G33" s="96"/>
      <c r="H33" s="96"/>
      <c r="I33" s="96"/>
      <c r="K33" s="97" t="s">
        <v>15</v>
      </c>
      <c r="L33" s="98"/>
      <c r="M33" s="99"/>
    </row>
    <row r="34" spans="2:18" ht="15" x14ac:dyDescent="0.25">
      <c r="E34" s="10" t="s">
        <v>26</v>
      </c>
      <c r="F34" s="10" t="s">
        <v>18</v>
      </c>
      <c r="G34" s="11" t="s">
        <v>19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102</v>
      </c>
      <c r="B1" s="38" t="s">
        <v>103</v>
      </c>
      <c r="E1" s="38" t="s">
        <v>104</v>
      </c>
    </row>
    <row r="2" spans="1:5" x14ac:dyDescent="0.2">
      <c r="A2" s="38" t="s">
        <v>9</v>
      </c>
      <c r="B2" s="38" t="s">
        <v>105</v>
      </c>
      <c r="E2" t="s">
        <v>106</v>
      </c>
    </row>
    <row r="3" spans="1:5" x14ac:dyDescent="0.2">
      <c r="A3" s="38" t="s">
        <v>10</v>
      </c>
      <c r="B3" s="38" t="s">
        <v>107</v>
      </c>
      <c r="E3" t="s">
        <v>108</v>
      </c>
    </row>
    <row r="4" spans="1:5" x14ac:dyDescent="0.2">
      <c r="A4" s="38" t="s">
        <v>11</v>
      </c>
      <c r="B4" s="38" t="s">
        <v>109</v>
      </c>
      <c r="E4" t="s">
        <v>110</v>
      </c>
    </row>
    <row r="5" spans="1:5" x14ac:dyDescent="0.2">
      <c r="A5" s="38" t="s">
        <v>12</v>
      </c>
      <c r="B5" s="38" t="s">
        <v>111</v>
      </c>
      <c r="E5" t="s">
        <v>112</v>
      </c>
    </row>
    <row r="6" spans="1:5" x14ac:dyDescent="0.2">
      <c r="A6" s="38" t="s">
        <v>13</v>
      </c>
      <c r="B6" s="38" t="s">
        <v>13</v>
      </c>
      <c r="E6" t="s">
        <v>113</v>
      </c>
    </row>
    <row r="7" spans="1:5" x14ac:dyDescent="0.2">
      <c r="A7" s="38" t="s">
        <v>53</v>
      </c>
      <c r="B7" s="38" t="s">
        <v>114</v>
      </c>
      <c r="E7" t="s">
        <v>115</v>
      </c>
    </row>
    <row r="8" spans="1:5" x14ac:dyDescent="0.2">
      <c r="A8" t="s">
        <v>28</v>
      </c>
      <c r="B8" t="s">
        <v>116</v>
      </c>
      <c r="E8" t="s">
        <v>117</v>
      </c>
    </row>
    <row r="9" spans="1:5" x14ac:dyDescent="0.2">
      <c r="A9" s="38" t="s">
        <v>55</v>
      </c>
      <c r="B9" s="38" t="s">
        <v>118</v>
      </c>
      <c r="E9" t="s">
        <v>119</v>
      </c>
    </row>
    <row r="10" spans="1:5" x14ac:dyDescent="0.2">
      <c r="E10" t="s">
        <v>120</v>
      </c>
    </row>
    <row r="11" spans="1:5" x14ac:dyDescent="0.2">
      <c r="E11" t="s">
        <v>121</v>
      </c>
    </row>
    <row r="12" spans="1:5" x14ac:dyDescent="0.2">
      <c r="E12" t="s">
        <v>77</v>
      </c>
    </row>
    <row r="13" spans="1:5" x14ac:dyDescent="0.2">
      <c r="E13" t="s">
        <v>122</v>
      </c>
    </row>
    <row r="14" spans="1:5" x14ac:dyDescent="0.2">
      <c r="E14" t="s">
        <v>123</v>
      </c>
    </row>
    <row r="15" spans="1:5" x14ac:dyDescent="0.2">
      <c r="E15" t="s">
        <v>124</v>
      </c>
    </row>
    <row r="16" spans="1:5" x14ac:dyDescent="0.2">
      <c r="E16" t="s">
        <v>62</v>
      </c>
    </row>
    <row r="17" spans="5:5" x14ac:dyDescent="0.2">
      <c r="E17" t="s">
        <v>125</v>
      </c>
    </row>
    <row r="18" spans="5:5" x14ac:dyDescent="0.2">
      <c r="E18" t="s">
        <v>126</v>
      </c>
    </row>
    <row r="19" spans="5:5" x14ac:dyDescent="0.2">
      <c r="E19" t="s">
        <v>127</v>
      </c>
    </row>
    <row r="20" spans="5:5" x14ac:dyDescent="0.2">
      <c r="E20" t="s">
        <v>128</v>
      </c>
    </row>
    <row r="21" spans="5:5" x14ac:dyDescent="0.2">
      <c r="E21" t="s">
        <v>129</v>
      </c>
    </row>
    <row r="22" spans="5:5" x14ac:dyDescent="0.2">
      <c r="E22" t="s">
        <v>130</v>
      </c>
    </row>
    <row r="23" spans="5:5" x14ac:dyDescent="0.2">
      <c r="E23" t="s">
        <v>51</v>
      </c>
    </row>
    <row r="24" spans="5:5" x14ac:dyDescent="0.2">
      <c r="E24" t="s">
        <v>65</v>
      </c>
    </row>
    <row r="25" spans="5:5" x14ac:dyDescent="0.2">
      <c r="E25" t="s">
        <v>40</v>
      </c>
    </row>
    <row r="26" spans="5:5" x14ac:dyDescent="0.2">
      <c r="E26" t="s">
        <v>41</v>
      </c>
    </row>
    <row r="27" spans="5:5" x14ac:dyDescent="0.2">
      <c r="E27" t="s">
        <v>42</v>
      </c>
    </row>
    <row r="28" spans="5:5" x14ac:dyDescent="0.2">
      <c r="E28" t="s">
        <v>131</v>
      </c>
    </row>
    <row r="29" spans="5:5" x14ac:dyDescent="0.2">
      <c r="E29" t="s">
        <v>132</v>
      </c>
    </row>
    <row r="30" spans="5:5" x14ac:dyDescent="0.2">
      <c r="E30" t="s">
        <v>133</v>
      </c>
    </row>
    <row r="31" spans="5:5" x14ac:dyDescent="0.2">
      <c r="E31" t="s">
        <v>134</v>
      </c>
    </row>
    <row r="32" spans="5:5" x14ac:dyDescent="0.2">
      <c r="E32" t="s">
        <v>135</v>
      </c>
    </row>
    <row r="33" spans="5:5" x14ac:dyDescent="0.2">
      <c r="E33" t="s">
        <v>136</v>
      </c>
    </row>
    <row r="34" spans="5:5" x14ac:dyDescent="0.2">
      <c r="E34" t="s">
        <v>137</v>
      </c>
    </row>
    <row r="35" spans="5:5" x14ac:dyDescent="0.2">
      <c r="E35" t="s">
        <v>57</v>
      </c>
    </row>
    <row r="36" spans="5:5" x14ac:dyDescent="0.2">
      <c r="E36" t="s">
        <v>138</v>
      </c>
    </row>
    <row r="37" spans="5:5" x14ac:dyDescent="0.2">
      <c r="E37" t="s">
        <v>139</v>
      </c>
    </row>
    <row r="38" spans="5:5" x14ac:dyDescent="0.2">
      <c r="E38" t="s">
        <v>140</v>
      </c>
    </row>
    <row r="39" spans="5:5" x14ac:dyDescent="0.2">
      <c r="E39" t="s">
        <v>141</v>
      </c>
    </row>
    <row r="40" spans="5:5" x14ac:dyDescent="0.2">
      <c r="E40" t="s">
        <v>142</v>
      </c>
    </row>
    <row r="41" spans="5:5" x14ac:dyDescent="0.2">
      <c r="E41" t="s">
        <v>143</v>
      </c>
    </row>
    <row r="42" spans="5:5" x14ac:dyDescent="0.2">
      <c r="E42" t="s">
        <v>144</v>
      </c>
    </row>
    <row r="43" spans="5:5" x14ac:dyDescent="0.2">
      <c r="E43" t="s">
        <v>145</v>
      </c>
    </row>
    <row r="44" spans="5:5" x14ac:dyDescent="0.2">
      <c r="E44" t="s">
        <v>146</v>
      </c>
    </row>
    <row r="45" spans="5:5" x14ac:dyDescent="0.2">
      <c r="E45" t="s">
        <v>147</v>
      </c>
    </row>
    <row r="46" spans="5:5" x14ac:dyDescent="0.2">
      <c r="E46" t="s">
        <v>148</v>
      </c>
    </row>
    <row r="47" spans="5:5" x14ac:dyDescent="0.2">
      <c r="E47" t="s">
        <v>149</v>
      </c>
    </row>
    <row r="48" spans="5:5" x14ac:dyDescent="0.2">
      <c r="E48" t="s">
        <v>150</v>
      </c>
    </row>
    <row r="49" spans="5:5" x14ac:dyDescent="0.2">
      <c r="E49" t="s">
        <v>87</v>
      </c>
    </row>
    <row r="50" spans="5:5" x14ac:dyDescent="0.2">
      <c r="E50" t="s">
        <v>151</v>
      </c>
    </row>
    <row r="51" spans="5:5" x14ac:dyDescent="0.2">
      <c r="E51" t="s">
        <v>152</v>
      </c>
    </row>
    <row r="52" spans="5:5" x14ac:dyDescent="0.2">
      <c r="E52" t="s">
        <v>153</v>
      </c>
    </row>
    <row r="53" spans="5:5" x14ac:dyDescent="0.2">
      <c r="E53" t="s">
        <v>154</v>
      </c>
    </row>
    <row r="54" spans="5:5" x14ac:dyDescent="0.2">
      <c r="E54" t="s">
        <v>155</v>
      </c>
    </row>
    <row r="55" spans="5:5" x14ac:dyDescent="0.2">
      <c r="E55" t="s">
        <v>156</v>
      </c>
    </row>
    <row r="56" spans="5:5" x14ac:dyDescent="0.2">
      <c r="E56" t="s">
        <v>157</v>
      </c>
    </row>
    <row r="57" spans="5:5" x14ac:dyDescent="0.2">
      <c r="E57" t="s">
        <v>158</v>
      </c>
    </row>
    <row r="58" spans="5:5" x14ac:dyDescent="0.2">
      <c r="E58" t="s">
        <v>159</v>
      </c>
    </row>
    <row r="59" spans="5:5" x14ac:dyDescent="0.2">
      <c r="E59" t="s">
        <v>160</v>
      </c>
    </row>
    <row r="60" spans="5:5" x14ac:dyDescent="0.2">
      <c r="E60" t="s">
        <v>161</v>
      </c>
    </row>
    <row r="61" spans="5:5" x14ac:dyDescent="0.2">
      <c r="E61" t="s">
        <v>162</v>
      </c>
    </row>
    <row r="62" spans="5:5" x14ac:dyDescent="0.2">
      <c r="E62" t="s">
        <v>163</v>
      </c>
    </row>
    <row r="63" spans="5:5" x14ac:dyDescent="0.2">
      <c r="E63" t="s">
        <v>164</v>
      </c>
    </row>
    <row r="64" spans="5:5" x14ac:dyDescent="0.2">
      <c r="E64" t="s">
        <v>165</v>
      </c>
    </row>
    <row r="65" spans="5:5" x14ac:dyDescent="0.2">
      <c r="E65" t="s">
        <v>166</v>
      </c>
    </row>
    <row r="66" spans="5:5" x14ac:dyDescent="0.2">
      <c r="E66" t="s">
        <v>167</v>
      </c>
    </row>
    <row r="67" spans="5:5" x14ac:dyDescent="0.2">
      <c r="E67" t="s">
        <v>168</v>
      </c>
    </row>
    <row r="68" spans="5:5" x14ac:dyDescent="0.2">
      <c r="E68" t="s">
        <v>169</v>
      </c>
    </row>
    <row r="69" spans="5:5" x14ac:dyDescent="0.2">
      <c r="E69" t="s">
        <v>170</v>
      </c>
    </row>
    <row r="70" spans="5:5" x14ac:dyDescent="0.2">
      <c r="E70" t="s">
        <v>171</v>
      </c>
    </row>
    <row r="71" spans="5:5" x14ac:dyDescent="0.2">
      <c r="E71" t="s">
        <v>172</v>
      </c>
    </row>
    <row r="72" spans="5:5" x14ac:dyDescent="0.2">
      <c r="E72" t="s">
        <v>173</v>
      </c>
    </row>
    <row r="73" spans="5:5" x14ac:dyDescent="0.2">
      <c r="E73" t="s">
        <v>174</v>
      </c>
    </row>
    <row r="74" spans="5:5" x14ac:dyDescent="0.2">
      <c r="E74" t="s">
        <v>175</v>
      </c>
    </row>
    <row r="75" spans="5:5" x14ac:dyDescent="0.2">
      <c r="E75" t="s">
        <v>176</v>
      </c>
    </row>
    <row r="76" spans="5:5" x14ac:dyDescent="0.2">
      <c r="E76" t="s">
        <v>177</v>
      </c>
    </row>
    <row r="77" spans="5:5" x14ac:dyDescent="0.2">
      <c r="E77" t="s">
        <v>178</v>
      </c>
    </row>
    <row r="78" spans="5:5" x14ac:dyDescent="0.2">
      <c r="E78" t="s">
        <v>179</v>
      </c>
    </row>
    <row r="79" spans="5:5" x14ac:dyDescent="0.2">
      <c r="E79" t="s">
        <v>180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perus lojas</cp:lastModifiedBy>
  <cp:revision/>
  <dcterms:created xsi:type="dcterms:W3CDTF">2004-04-07T20:43:43Z</dcterms:created>
  <dcterms:modified xsi:type="dcterms:W3CDTF">2024-04-15T16:25:10Z</dcterms:modified>
  <cp:category/>
  <cp:contentStatus/>
</cp:coreProperties>
</file>