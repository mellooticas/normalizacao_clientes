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3/"/>
    </mc:Choice>
  </mc:AlternateContent>
  <xr:revisionPtr revIDLastSave="153" documentId="13_ncr:1_{673E3F9E-2CC2-493D-A098-9EB108058860}" xr6:coauthVersionLast="47" xr6:coauthVersionMax="47" xr10:uidLastSave="{52623CD5-892B-4EC4-A241-341FFFF5EE7F}"/>
  <bookViews>
    <workbookView xWindow="-120" yWindow="-120" windowWidth="20730" windowHeight="11310" tabRatio="895" firstSheet="24" activeTab="2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91" l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6" i="189"/>
  <c r="C8" i="189" s="1"/>
  <c r="C6" i="190"/>
  <c r="C8" i="190" s="1"/>
  <c r="C6" i="191"/>
  <c r="C6" i="188"/>
  <c r="C6" i="193"/>
  <c r="C6" i="195"/>
  <c r="C6" i="194"/>
  <c r="C6" i="197"/>
  <c r="C8" i="197" s="1"/>
  <c r="C6" i="196"/>
  <c r="C8" i="196" s="1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 s="1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R40" i="170" l="1"/>
  <c r="R40" i="193"/>
  <c r="C8" i="174"/>
  <c r="B17" i="200"/>
  <c r="B18" i="200" s="1"/>
  <c r="R40" i="190"/>
  <c r="R40" i="194"/>
  <c r="R40" i="198"/>
  <c r="R40" i="177"/>
  <c r="R40" i="191"/>
  <c r="R40" i="195"/>
  <c r="R40" i="184"/>
  <c r="R40" i="199"/>
  <c r="R40" i="183"/>
  <c r="R40" i="180"/>
  <c r="R40" i="185"/>
  <c r="R40" i="188"/>
  <c r="R40" i="192"/>
  <c r="R40" i="196"/>
  <c r="C8" i="188"/>
  <c r="C8" i="191"/>
  <c r="R40" i="187"/>
  <c r="R40" i="186"/>
  <c r="R40" i="179"/>
  <c r="R40" i="178"/>
  <c r="R40" i="172"/>
  <c r="R40" i="173"/>
  <c r="R40" i="174"/>
  <c r="C8" i="175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<sst xmlns="http://schemas.openxmlformats.org/spreadsheetml/2006/main" count="1751" uniqueCount="200">
  <si>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</si>
  <si>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</si>
  <si>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</si>
  <si>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</si>
  <si>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</si>
  <si>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</si>
  <si>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</si>
  <si>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</si>
  <si>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</si>
  <si>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</si>
  <si>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</si>
  <si>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</si>
  <si>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</si>
  <si>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</si>
  <si>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</si>
  <si>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</si>
  <si>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</si>
  <si>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</si>
  <si>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</si>
  <si>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</si>
  <si>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</si>
  <si>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Evany dos santos souza</t>
  </si>
  <si>
    <t>pão</t>
  </si>
  <si>
    <t>Geremias trindade araujo</t>
  </si>
  <si>
    <t>Total  entrada</t>
  </si>
  <si>
    <t>luiza masrtins dos santos</t>
  </si>
  <si>
    <t>OS Entregue no Dia</t>
  </si>
  <si>
    <t>OS</t>
  </si>
  <si>
    <t>Vendedor</t>
  </si>
  <si>
    <t>CARNE</t>
  </si>
  <si>
    <t>Venda</t>
  </si>
  <si>
    <t>Restante Entrada</t>
  </si>
  <si>
    <t>marli ferreira de sousa</t>
  </si>
  <si>
    <t>Hilda da costa batista</t>
  </si>
  <si>
    <t>Recebimento de Carnê</t>
  </si>
  <si>
    <t>Valor Parcela</t>
  </si>
  <si>
    <t>Nº Parcela</t>
  </si>
  <si>
    <t>Parcelas</t>
  </si>
  <si>
    <t>Valor Total</t>
  </si>
  <si>
    <t>Total de OS</t>
  </si>
  <si>
    <t>Vanessa barreto da silva</t>
  </si>
  <si>
    <t>galão de água</t>
  </si>
  <si>
    <t>pix</t>
  </si>
  <si>
    <t xml:space="preserve">Elineide ribeiro </t>
  </si>
  <si>
    <t>ARIANI</t>
  </si>
  <si>
    <t>Não</t>
  </si>
  <si>
    <t>Rosa ferreira cobra</t>
  </si>
  <si>
    <t xml:space="preserve">Luana antunes </t>
  </si>
  <si>
    <t>SS</t>
  </si>
  <si>
    <t>(verificação)</t>
  </si>
  <si>
    <t>gicelia francisca</t>
  </si>
  <si>
    <t>Helena maria silva</t>
  </si>
  <si>
    <t>Alessandra silva pedrotti</t>
  </si>
  <si>
    <t>Simone mota de alkmim</t>
  </si>
  <si>
    <t>simone mota de alkmim</t>
  </si>
  <si>
    <t xml:space="preserve">Evany dos santos </t>
  </si>
  <si>
    <t>ctd</t>
  </si>
  <si>
    <t>Silviapereira da S.moura</t>
  </si>
  <si>
    <t>pctc</t>
  </si>
  <si>
    <t>Marcela santos gomes</t>
  </si>
  <si>
    <t>Marcia vanessa</t>
  </si>
  <si>
    <t>(garantia )</t>
  </si>
  <si>
    <t>Marlucia ilara da silva</t>
  </si>
  <si>
    <t>Karen giovana da paz</t>
  </si>
  <si>
    <t>Regiane maciel ribeiro</t>
  </si>
  <si>
    <t xml:space="preserve">Beatriz jessica da silveira </t>
  </si>
  <si>
    <t>(verificação )</t>
  </si>
  <si>
    <t>Sandra reiko hasegawa</t>
  </si>
  <si>
    <t xml:space="preserve">Adriellen caroline c. ferreira </t>
  </si>
  <si>
    <t>(Gsrantia)</t>
  </si>
  <si>
    <t xml:space="preserve">Neide aparecida </t>
  </si>
  <si>
    <t>Helena maria lourenço</t>
  </si>
  <si>
    <t>Andriellen caroline ferreira</t>
  </si>
  <si>
    <t xml:space="preserve">Cristina dos santos </t>
  </si>
  <si>
    <t xml:space="preserve">Joel santana </t>
  </si>
  <si>
    <t xml:space="preserve">Angélica donizete </t>
  </si>
  <si>
    <t>Susan maria de lima</t>
  </si>
  <si>
    <t xml:space="preserve">Maria celeste ferreira </t>
  </si>
  <si>
    <t>Pedro luiz massaia</t>
  </si>
  <si>
    <t>Veônica suyama gebim</t>
  </si>
  <si>
    <t xml:space="preserve">Josélia maria </t>
  </si>
  <si>
    <t>Rogério da cunha</t>
  </si>
  <si>
    <t xml:space="preserve">Marilene farias </t>
  </si>
  <si>
    <t xml:space="preserve">Camila aparecida </t>
  </si>
  <si>
    <t xml:space="preserve">Giulia toledo </t>
  </si>
  <si>
    <t>Marilene paula</t>
  </si>
  <si>
    <t>Deborah lene brandão</t>
  </si>
  <si>
    <t>Gabrielly brandão de souza</t>
  </si>
  <si>
    <t xml:space="preserve">Deusa aparecida </t>
  </si>
  <si>
    <t>Ivete de cassia</t>
  </si>
  <si>
    <t>Angélica donizete</t>
  </si>
  <si>
    <t>Camila aparecida</t>
  </si>
  <si>
    <t>Giulia toledo</t>
  </si>
  <si>
    <t>Antônio carlos de palma</t>
  </si>
  <si>
    <t>Marilene farias dos santos</t>
  </si>
  <si>
    <t xml:space="preserve">Luara oliveira dos santos </t>
  </si>
  <si>
    <t>Janete dos santos lima</t>
  </si>
  <si>
    <t xml:space="preserve">Maria do A. de oliveira </t>
  </si>
  <si>
    <t>Yolanda cristina</t>
  </si>
  <si>
    <t xml:space="preserve">celeste alves </t>
  </si>
  <si>
    <t xml:space="preserve">Alexandre moreira </t>
  </si>
  <si>
    <t xml:space="preserve">Aiala macedo da conceição </t>
  </si>
  <si>
    <t>Rosa pereira cobiça</t>
  </si>
  <si>
    <t>(Garantia)</t>
  </si>
  <si>
    <t>Helena Maria Silva</t>
  </si>
  <si>
    <t xml:space="preserve">Luisa helena da silva </t>
  </si>
  <si>
    <t>gabriela pereira</t>
  </si>
  <si>
    <t>Vitória de barros</t>
  </si>
  <si>
    <t>Evany dos santos</t>
  </si>
  <si>
    <t>Quezia de oliveira freitas</t>
  </si>
  <si>
    <t>Maria celeste ferreira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</si>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</sst>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b/>
      <sz val="12"/>
      <name val="Arial"/>
      <family val="2"/>
    </font>
    <font>
      <b/>
      <sz val="11"/>
      <name val="Calibri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14" fillId="0" borderId="17" xfId="39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44" fontId="14" fillId="0" borderId="17" xfId="68" applyFont="1" applyFill="1" applyBorder="1" applyAlignment="1">
      <alignment horizontal="center"/>
    </xf>
    <xf numFmtId="44" fontId="14" fillId="0" borderId="17" xfId="104" applyFont="1" applyFill="1" applyBorder="1" applyAlignment="1">
      <alignment horizontal="center"/>
    </xf>
    <xf numFmtId="44" fontId="25" fillId="0" borderId="17" xfId="104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44" fontId="13" fillId="0" borderId="17" xfId="104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31" fillId="0" borderId="17" xfId="2" applyNumberFormat="1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113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00000000-0005-0000-0000-00000E000000}"/>
    <cellStyle name="Moeda 2 2 2 2" xfId="108" xr:uid="{00000000-0005-0000-0000-00000F000000}"/>
    <cellStyle name="Moeda 2 2 2 3" xfId="93" xr:uid="{00000000-0005-0000-0000-000010000000}"/>
    <cellStyle name="Moeda 2 2 2 4" xfId="72" xr:uid="{00000000-0005-0000-0000-000011000000}"/>
    <cellStyle name="Moeda 2 2 3" xfId="59" xr:uid="{00000000-0005-0000-0000-000012000000}"/>
    <cellStyle name="Moeda 2 2 3 2" xfId="101" xr:uid="{00000000-0005-0000-0000-000013000000}"/>
    <cellStyle name="Moeda 2 2 3 3" xfId="80" xr:uid="{00000000-0005-0000-0000-000014000000}"/>
    <cellStyle name="Moeda 2 2 4" xfId="86" xr:uid="{00000000-0005-0000-0000-000015000000}"/>
    <cellStyle name="Moeda 2 2 5" xfId="65" xr:uid="{00000000-0005-0000-0000-000016000000}"/>
    <cellStyle name="Moeda 2 3" xfId="44" xr:uid="{00000000-0005-0000-0000-000017000000}"/>
    <cellStyle name="Moeda 2 3 2" xfId="106" xr:uid="{00000000-0005-0000-0000-000018000000}"/>
    <cellStyle name="Moeda 2 3 3" xfId="91" xr:uid="{00000000-0005-0000-0000-000019000000}"/>
    <cellStyle name="Moeda 2 3 4" xfId="70" xr:uid="{00000000-0005-0000-0000-00001A000000}"/>
    <cellStyle name="Moeda 2 4" xfId="57" xr:uid="{00000000-0005-0000-0000-00001B000000}"/>
    <cellStyle name="Moeda 2 4 2" xfId="99" xr:uid="{00000000-0005-0000-0000-00001C000000}"/>
    <cellStyle name="Moeda 2 4 3" xfId="78" xr:uid="{00000000-0005-0000-0000-00001D000000}"/>
    <cellStyle name="Moeda 2 5" xfId="84" xr:uid="{00000000-0005-0000-0000-00001E000000}"/>
    <cellStyle name="Moeda 2 6" xfId="63" xr:uid="{00000000-0005-0000-0000-00001F000000}"/>
    <cellStyle name="Moeda 3" xfId="39" xr:uid="{00000000-0005-0000-0000-000020000000}"/>
    <cellStyle name="Moeda 3 2" xfId="104" xr:uid="{00000000-0005-0000-0000-000021000000}"/>
    <cellStyle name="Moeda 3 3" xfId="89" xr:uid="{00000000-0005-0000-0000-000022000000}"/>
    <cellStyle name="Moeda 3 4" xfId="68" xr:uid="{00000000-0005-0000-0000-000023000000}"/>
    <cellStyle name="Normal" xfId="0" builtinId="0"/>
    <cellStyle name="Normal 2" xfId="3" xr:uid="{00000000-0005-0000-0000-000025000000}"/>
    <cellStyle name="Normal 2 2" xfId="8" xr:uid="{00000000-0005-0000-0000-000026000000}"/>
    <cellStyle name="Normal 2 2 2" xfId="12" xr:uid="{00000000-0005-0000-0000-000027000000}"/>
    <cellStyle name="Normal 2 2 2 2" xfId="43" xr:uid="{00000000-0005-0000-0000-000028000000}"/>
    <cellStyle name="Normal 2 2 3" xfId="40" xr:uid="{00000000-0005-0000-0000-000029000000}"/>
    <cellStyle name="Normal 2 3" xfId="27" xr:uid="{00000000-0005-0000-0000-00002A000000}"/>
    <cellStyle name="Normal 2 3 2" xfId="48" xr:uid="{00000000-0005-0000-0000-00002B000000}"/>
    <cellStyle name="Normal 3" xfId="18" xr:uid="{00000000-0005-0000-0000-00002C000000}"/>
    <cellStyle name="Normal 3 2" xfId="45" xr:uid="{00000000-0005-0000-0000-00002D000000}"/>
    <cellStyle name="Normal 4" xfId="28" xr:uid="{00000000-0005-0000-0000-00002E000000}"/>
    <cellStyle name="Normal 4 2" xfId="20" xr:uid="{00000000-0005-0000-0000-00002F000000}"/>
    <cellStyle name="Normal 4 3" xfId="49" xr:uid="{00000000-0005-0000-0000-000030000000}"/>
    <cellStyle name="Normal 4 3 2" xfId="109" xr:uid="{00000000-0005-0000-0000-000031000000}"/>
    <cellStyle name="Normal 4 3 3" xfId="94" xr:uid="{00000000-0005-0000-0000-000032000000}"/>
    <cellStyle name="Normal 4 3 4" xfId="73" xr:uid="{00000000-0005-0000-0000-000033000000}"/>
    <cellStyle name="Normal 4 4" xfId="60" xr:uid="{00000000-0005-0000-0000-000034000000}"/>
    <cellStyle name="Normal 4 4 2" xfId="102" xr:uid="{00000000-0005-0000-0000-000035000000}"/>
    <cellStyle name="Normal 4 4 3" xfId="81" xr:uid="{00000000-0005-0000-0000-000036000000}"/>
    <cellStyle name="Normal 4 5" xfId="87" xr:uid="{00000000-0005-0000-0000-000037000000}"/>
    <cellStyle name="Normal 4 6" xfId="66" xr:uid="{00000000-0005-0000-0000-000038000000}"/>
    <cellStyle name="Normal 5" xfId="29" xr:uid="{00000000-0005-0000-0000-000039000000}"/>
    <cellStyle name="Normal 5 2" xfId="50" xr:uid="{00000000-0005-0000-0000-00003A000000}"/>
    <cellStyle name="Normal 6" xfId="30" xr:uid="{00000000-0005-0000-0000-00003B000000}"/>
    <cellStyle name="Normal 6 2" xfId="51" xr:uid="{00000000-0005-0000-0000-00003C000000}"/>
    <cellStyle name="Percentual de métrica-chave" xfId="31" xr:uid="{00000000-0005-0000-0000-00003D000000}"/>
    <cellStyle name="Porcentagem" xfId="4" builtinId="5"/>
    <cellStyle name="Porcentagem 2" xfId="10" xr:uid="{00000000-0005-0000-0000-00003F000000}"/>
    <cellStyle name="Porcentagem 2 2" xfId="41" xr:uid="{00000000-0005-0000-0000-000040000000}"/>
    <cellStyle name="Porcentagem 5" xfId="32" xr:uid="{00000000-0005-0000-0000-000041000000}"/>
    <cellStyle name="Porcentagem 5 2" xfId="52" xr:uid="{00000000-0005-0000-0000-000042000000}"/>
    <cellStyle name="Separador de milhares 2" xfId="11" xr:uid="{00000000-0005-0000-0000-000043000000}"/>
    <cellStyle name="Separador de milhares 2 2" xfId="42" xr:uid="{00000000-0005-0000-0000-000044000000}"/>
    <cellStyle name="Separador de milhares 2 2 2" xfId="105" xr:uid="{00000000-0005-0000-0000-000045000000}"/>
    <cellStyle name="Separador de milhares 2 2 3" xfId="90" xr:uid="{00000000-0005-0000-0000-000046000000}"/>
    <cellStyle name="Separador de milhares 2 2 4" xfId="69" xr:uid="{00000000-0005-0000-0000-000047000000}"/>
    <cellStyle name="Separador de milhares 2 3" xfId="56" xr:uid="{00000000-0005-0000-0000-000048000000}"/>
    <cellStyle name="Separador de milhares 2 3 2" xfId="98" xr:uid="{00000000-0005-0000-0000-000049000000}"/>
    <cellStyle name="Separador de milhares 2 3 3" xfId="77" xr:uid="{00000000-0005-0000-0000-00004A000000}"/>
    <cellStyle name="Separador de milhares 2 4" xfId="83" xr:uid="{00000000-0005-0000-0000-00004B000000}"/>
    <cellStyle name="Separador de milhares 2 5" xfId="62" xr:uid="{00000000-0005-0000-0000-00004C000000}"/>
    <cellStyle name="Separador de milhares 3" xfId="33" xr:uid="{00000000-0005-0000-0000-00004D000000}"/>
    <cellStyle name="Separador de milhares 5" xfId="34" xr:uid="{00000000-0005-0000-0000-00004E000000}"/>
    <cellStyle name="Separador de milhares 5 2" xfId="53" xr:uid="{00000000-0005-0000-0000-00004F000000}"/>
    <cellStyle name="Separador de milhares 5 2 2" xfId="110" xr:uid="{00000000-0005-0000-0000-000050000000}"/>
    <cellStyle name="Separador de milhares 5 2 3" xfId="95" xr:uid="{00000000-0005-0000-0000-000051000000}"/>
    <cellStyle name="Separador de milhares 5 2 4" xfId="74" xr:uid="{00000000-0005-0000-0000-000052000000}"/>
    <cellStyle name="Separador de milhares 6" xfId="35" xr:uid="{00000000-0005-0000-0000-000053000000}"/>
    <cellStyle name="Separador de milhares 6 2" xfId="54" xr:uid="{00000000-0005-0000-0000-000054000000}"/>
    <cellStyle name="Separador de milhares 6 2 2" xfId="111" xr:uid="{00000000-0005-0000-0000-000055000000}"/>
    <cellStyle name="Separador de milhares 6 2 3" xfId="96" xr:uid="{00000000-0005-0000-0000-000056000000}"/>
    <cellStyle name="Separador de milhares 6 2 4" xfId="75" xr:uid="{00000000-0005-0000-0000-000057000000}"/>
    <cellStyle name="Título 1 1" xfId="5" xr:uid="{00000000-0005-0000-0000-000058000000}"/>
    <cellStyle name="Título 1 1 1" xfId="6" xr:uid="{00000000-0005-0000-0000-000059000000}"/>
    <cellStyle name="Título 1 1 1 1" xfId="7" xr:uid="{00000000-0005-0000-0000-00005A000000}"/>
    <cellStyle name="Título 5" xfId="36" xr:uid="{00000000-0005-0000-0000-00005B000000}"/>
    <cellStyle name="Valor de métrica-chave" xfId="37" xr:uid="{00000000-0005-0000-0000-00005C000000}"/>
    <cellStyle name="Vírgula 10" xfId="19" xr:uid="{00000000-0005-0000-0000-00005D000000}"/>
    <cellStyle name="Vírgula 10 2" xfId="46" xr:uid="{00000000-0005-0000-0000-00005E000000}"/>
    <cellStyle name="Vírgula 10 2 2" xfId="107" xr:uid="{00000000-0005-0000-0000-00005F000000}"/>
    <cellStyle name="Vírgula 10 2 3" xfId="92" xr:uid="{00000000-0005-0000-0000-000060000000}"/>
    <cellStyle name="Vírgula 10 2 4" xfId="71" xr:uid="{00000000-0005-0000-0000-000061000000}"/>
    <cellStyle name="Vírgula 10 3" xfId="58" xr:uid="{00000000-0005-0000-0000-000062000000}"/>
    <cellStyle name="Vírgula 10 3 2" xfId="100" xr:uid="{00000000-0005-0000-0000-000063000000}"/>
    <cellStyle name="Vírgula 10 3 3" xfId="79" xr:uid="{00000000-0005-0000-0000-000064000000}"/>
    <cellStyle name="Vírgula 10 4" xfId="85" xr:uid="{00000000-0005-0000-0000-000065000000}"/>
    <cellStyle name="Vírgula 10 5" xfId="64" xr:uid="{00000000-0005-0000-0000-000066000000}"/>
    <cellStyle name="Vírgula 2" xfId="38" xr:uid="{00000000-0005-0000-0000-000067000000}"/>
    <cellStyle name="Vírgula 2 2" xfId="55" xr:uid="{00000000-0005-0000-0000-000068000000}"/>
    <cellStyle name="Vírgula 2 2 2" xfId="112" xr:uid="{00000000-0005-0000-0000-000069000000}"/>
    <cellStyle name="Vírgula 2 2 3" xfId="97" xr:uid="{00000000-0005-0000-0000-00006A000000}"/>
    <cellStyle name="Vírgula 2 2 4" xfId="76" xr:uid="{00000000-0005-0000-0000-00006B000000}"/>
    <cellStyle name="Vírgula 2 3" xfId="61" xr:uid="{00000000-0005-0000-0000-00006C000000}"/>
    <cellStyle name="Vírgula 2 3 2" xfId="103" xr:uid="{00000000-0005-0000-0000-00006D000000}"/>
    <cellStyle name="Vírgula 2 3 3" xfId="82" xr:uid="{00000000-0005-0000-0000-00006E000000}"/>
    <cellStyle name="Vírgula 2 4" xfId="88" xr:uid="{00000000-0005-0000-0000-00006F000000}"/>
    <cellStyle name="Vírgula 2 5" xfId="67" xr:uid="{00000000-0005-0000-0000-000070000000}"/>
  </cellStyles>
  <dxfs count="16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0000000}" name="vend1" displayName="vend1" ref="E5:I22" totalsRowShown="0" headerRowDxfId="1642" dataDxfId="1640" headerRowBorderDxfId="1641" tableBorderDxfId="1639" totalsRowBorderDxfId="1638">
  <autoFilter ref="E5:I22" xr:uid="{00000000-0009-0000-0100-000026000000}"/>
  <sortState xmlns:xlrd2="http://schemas.microsoft.com/office/spreadsheetml/2017/richdata2" ref="E6:I22">
    <sortCondition ref="E5:E22"/>
  </sortState>
  <tableColumns count="5">
    <tableColumn id="1" xr3:uid="{00000000-0010-0000-0000-000001000000}" name="Nº Venda" dataDxfId="1637" dataCellStyle="Moeda"/>
    <tableColumn id="5" xr3:uid="{00000000-0010-0000-0000-000005000000}" name="Cliente" dataDxfId="1636" dataCellStyle="Moeda"/>
    <tableColumn id="2" xr3:uid="{00000000-0010-0000-0000-000002000000}" name="Forma de Pgto" dataDxfId="1635" dataCellStyle="Moeda"/>
    <tableColumn id="3" xr3:uid="{00000000-0010-0000-0000-000003000000}" name="Valor Venda" dataDxfId="1634" dataCellStyle="Porcentagem"/>
    <tableColumn id="4" xr3:uid="{00000000-0010-0000-0000-000004000000}" name="Entrada" dataDxfId="1633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1000000}" name="desp1" displayName="desp1" ref="K5:M11" totalsRowShown="0" headerRowDxfId="1632" dataDxfId="1630" headerRowBorderDxfId="1631" tableBorderDxfId="1629" totalsRowBorderDxfId="1628">
  <autoFilter ref="K5:M11" xr:uid="{00000000-0009-0000-0100-000027000000}"/>
  <tableColumns count="3">
    <tableColumn id="1" xr3:uid="{00000000-0010-0000-0100-000001000000}" name="Descrição" dataDxfId="1627"/>
    <tableColumn id="2" xr3:uid="{00000000-0010-0000-0100-000002000000}" name="Tipo de Pagto" dataDxfId="1626"/>
    <tableColumn id="3" xr3:uid="{00000000-0010-0000-0100-000003000000}" name="Valor" dataDxfId="16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2000000}" name="rest_entr1" displayName="rest_entr1" ref="E25:I31" totalsRowShown="0" headerRowDxfId="1624" dataDxfId="1622" headerRowBorderDxfId="1623" tableBorderDxfId="1621" totalsRowBorderDxfId="1620">
  <autoFilter ref="E25:I31" xr:uid="{00000000-0009-0000-0100-000028000000}"/>
  <sortState xmlns:xlrd2="http://schemas.microsoft.com/office/spreadsheetml/2017/richdata2" ref="E26:I31">
    <sortCondition ref="E25:E31"/>
  </sortState>
  <tableColumns count="5">
    <tableColumn id="1" xr3:uid="{00000000-0010-0000-0200-000001000000}" name="Nº Venda" dataDxfId="1619"/>
    <tableColumn id="2" xr3:uid="{00000000-0010-0000-0200-000002000000}" name="Cliente" dataDxfId="1618"/>
    <tableColumn id="3" xr3:uid="{00000000-0010-0000-0200-000003000000}" name="Forma de Pgto" dataDxfId="1617" dataCellStyle="Moeda"/>
    <tableColumn id="4" xr3:uid="{00000000-0010-0000-0200-000004000000}" name="Valor Venda" dataDxfId="1616" dataCellStyle="Porcentagem"/>
    <tableColumn id="5" xr3:uid="{00000000-0010-0000-0200-000005000000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3000000}" name="os_entr_dia1" displayName="os_entr_dia1" ref="K14:M31" totalsRowShown="0" headerRowDxfId="1614" dataDxfId="1612" headerRowBorderDxfId="1613" tableBorderDxfId="1611" totalsRowBorderDxfId="1610">
  <autoFilter ref="K14:M31" xr:uid="{00000000-0009-0000-0100-000029000000}"/>
  <tableColumns count="3">
    <tableColumn id="1" xr3:uid="{00000000-0010-0000-0300-000001000000}" name="OS" dataDxfId="1609"/>
    <tableColumn id="2" xr3:uid="{00000000-0010-0000-0300-000002000000}" name="Vendedor" dataDxfId="1608"/>
    <tableColumn id="3" xr3:uid="{00000000-0010-0000-0300-000003000000}" name="CARNE" dataDxfId="160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4000000}" name="rec_carn1" displayName="rec_carn1" ref="E34:I41" totalsRowShown="0" headerRowDxfId="1606" dataDxfId="1604" headerRowBorderDxfId="1605" tableBorderDxfId="1603" totalsRowBorderDxfId="1602">
  <autoFilter ref="E34:I41" xr:uid="{00000000-0009-0000-0100-00002A000000}"/>
  <sortState xmlns:xlrd2="http://schemas.microsoft.com/office/spreadsheetml/2017/richdata2" ref="E35:I40">
    <sortCondition ref="E25:E31"/>
  </sortState>
  <tableColumns count="5">
    <tableColumn id="1" xr3:uid="{00000000-0010-0000-0400-000001000000}" name="OS" dataDxfId="1601"/>
    <tableColumn id="2" xr3:uid="{00000000-0010-0000-0400-000002000000}" name="Cliente" dataDxfId="1600"/>
    <tableColumn id="3" xr3:uid="{00000000-0010-0000-0400-000003000000}" name="Forma de Pgto" dataDxfId="1599" dataCellStyle="Moeda"/>
    <tableColumn id="4" xr3:uid="{00000000-0010-0000-0400-000004000000}" name="Valor Parcela" dataDxfId="1598" dataCellStyle="Porcentagem"/>
    <tableColumn id="5" xr3:uid="{00000000-0010-0000-0400-000005000000}" name="Nº Parcela" dataDxfId="1597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5000000}" name="entr_carn1" displayName="entr_carn1" ref="K34:M41" totalsRowShown="0" headerRowDxfId="1596" headerRowBorderDxfId="1595" tableBorderDxfId="1594" totalsRowBorderDxfId="1593">
  <autoFilter ref="K34:M41" xr:uid="{00000000-0009-0000-0100-00002B000000}"/>
  <tableColumns count="3">
    <tableColumn id="1" xr3:uid="{00000000-0010-0000-0500-000001000000}" name="OS" dataDxfId="1592"/>
    <tableColumn id="2" xr3:uid="{00000000-0010-0000-0500-000002000000}" name="Parcelas" dataDxfId="1591"/>
    <tableColumn id="3" xr3:uid="{00000000-0010-0000-0500-000003000000}" name="Valor Total" dataDxfId="159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6000000}" name="vend2" displayName="vend2" ref="E5:I22" totalsRowShown="0" headerRowDxfId="1589" dataDxfId="1587" headerRowBorderDxfId="1588" tableBorderDxfId="1586" totalsRowBorderDxfId="1585">
  <autoFilter ref="E5:I22" xr:uid="{00000000-0009-0000-0100-000020000000}"/>
  <sortState xmlns:xlrd2="http://schemas.microsoft.com/office/spreadsheetml/2017/richdata2" ref="E6:I22">
    <sortCondition ref="E5:E22"/>
  </sortState>
  <tableColumns count="5">
    <tableColumn id="1" xr3:uid="{00000000-0010-0000-0600-000001000000}" name="Nº Venda" dataDxfId="1584" dataCellStyle="Moeda"/>
    <tableColumn id="5" xr3:uid="{00000000-0010-0000-0600-000005000000}" name="Cliente" dataDxfId="1583" dataCellStyle="Moeda"/>
    <tableColumn id="2" xr3:uid="{00000000-0010-0000-0600-000002000000}" name="Forma de Pgto" dataDxfId="1582" dataCellStyle="Moeda"/>
    <tableColumn id="3" xr3:uid="{00000000-0010-0000-0600-000003000000}" name="Valor Venda" dataDxfId="1581" dataCellStyle="Porcentagem"/>
    <tableColumn id="4" xr3:uid="{00000000-0010-0000-0600-000004000000}" name="Entrada" dataDxfId="1580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desp2" displayName="desp2" ref="K5:M11" totalsRowShown="0" headerRowDxfId="1579" dataDxfId="1577" headerRowBorderDxfId="1578" tableBorderDxfId="1576" totalsRowBorderDxfId="1575">
  <autoFilter ref="K5:M11" xr:uid="{00000000-0009-0000-0100-000021000000}"/>
  <tableColumns count="3">
    <tableColumn id="1" xr3:uid="{00000000-0010-0000-0700-000001000000}" name="Descrição" dataDxfId="1574"/>
    <tableColumn id="2" xr3:uid="{00000000-0010-0000-0700-000002000000}" name="Tipo de Pagto" dataDxfId="1573"/>
    <tableColumn id="3" xr3:uid="{00000000-0010-0000-0700-000003000000}" name="Valor" dataDxfId="157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8000000}" name="rest_entr2" displayName="rest_entr2" ref="E25:I31" totalsRowShown="0" headerRowDxfId="1571" dataDxfId="1569" headerRowBorderDxfId="1570" tableBorderDxfId="1568" totalsRowBorderDxfId="1567">
  <autoFilter ref="E25:I31" xr:uid="{00000000-0009-0000-0100-000022000000}"/>
  <sortState xmlns:xlrd2="http://schemas.microsoft.com/office/spreadsheetml/2017/richdata2" ref="E26:I31">
    <sortCondition ref="E25:E31"/>
  </sortState>
  <tableColumns count="5">
    <tableColumn id="1" xr3:uid="{00000000-0010-0000-0800-000001000000}" name="Nº Venda" dataDxfId="1566"/>
    <tableColumn id="2" xr3:uid="{00000000-0010-0000-0800-000002000000}" name="Cliente" dataDxfId="1565"/>
    <tableColumn id="3" xr3:uid="{00000000-0010-0000-0800-000003000000}" name="Forma de Pgto" dataDxfId="1564" dataCellStyle="Moeda"/>
    <tableColumn id="4" xr3:uid="{00000000-0010-0000-0800-000004000000}" name="Valor Venda" dataDxfId="1563" dataCellStyle="Porcentagem"/>
    <tableColumn id="5" xr3:uid="{00000000-0010-0000-0800-000005000000}" name="Entrada" dataDxfId="1562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9000000}" name="os_entr_dia2" displayName="os_entr_dia2" ref="K14:M31" totalsRowShown="0" headerRowDxfId="1561" dataDxfId="1559" headerRowBorderDxfId="1560" tableBorderDxfId="1558" totalsRowBorderDxfId="1557">
  <autoFilter ref="K14:M31" xr:uid="{00000000-0009-0000-0100-000023000000}"/>
  <tableColumns count="3">
    <tableColumn id="1" xr3:uid="{00000000-0010-0000-0900-000001000000}" name="OS" dataDxfId="1556"/>
    <tableColumn id="2" xr3:uid="{00000000-0010-0000-0900-000002000000}" name="Vendedor" dataDxfId="1555"/>
    <tableColumn id="3" xr3:uid="{00000000-0010-0000-0900-000003000000}" name="CARNE" dataDxfId="15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A000000}" name="rec_carn2" displayName="rec_carn2" ref="E34:I41" totalsRowShown="0" headerRowDxfId="1553" dataDxfId="1551" headerRowBorderDxfId="1552" tableBorderDxfId="1550" totalsRowBorderDxfId="1549">
  <autoFilter ref="E34:I41" xr:uid="{00000000-0009-0000-0100-000024000000}"/>
  <sortState xmlns:xlrd2="http://schemas.microsoft.com/office/spreadsheetml/2017/richdata2" ref="E35:I40">
    <sortCondition ref="E25:E31"/>
  </sortState>
  <tableColumns count="5">
    <tableColumn id="1" xr3:uid="{00000000-0010-0000-0A00-000001000000}" name="OS" dataDxfId="1548"/>
    <tableColumn id="2" xr3:uid="{00000000-0010-0000-0A00-000002000000}" name="Cliente" dataDxfId="1547"/>
    <tableColumn id="3" xr3:uid="{00000000-0010-0000-0A00-000003000000}" name="Forma de Pgto" dataDxfId="1546" dataCellStyle="Moeda"/>
    <tableColumn id="4" xr3:uid="{00000000-0010-0000-0A00-000004000000}" name="Valor Parcela" dataDxfId="1545" dataCellStyle="Porcentagem"/>
    <tableColumn id="5" xr3:uid="{00000000-0010-0000-0A00-000005000000}" name="Nº Parcela" dataDxfId="1544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entr_carn2" displayName="entr_carn2" ref="K34:M41" totalsRowShown="0" headerRowDxfId="1543" headerRowBorderDxfId="1542" tableBorderDxfId="1541" totalsRowBorderDxfId="1540">
  <autoFilter ref="K34:M41" xr:uid="{00000000-0009-0000-0100-000025000000}"/>
  <tableColumns count="3">
    <tableColumn id="1" xr3:uid="{00000000-0010-0000-0B00-000001000000}" name="OS" dataDxfId="1539"/>
    <tableColumn id="2" xr3:uid="{00000000-0010-0000-0B00-000002000000}" name="Parcelas" dataDxfId="1538"/>
    <tableColumn id="3" xr3:uid="{00000000-0010-0000-0B00-000003000000}" name="Valor Total" dataDxfId="153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vend3" displayName="vend3" ref="E5:I22" totalsRowShown="0" headerRowDxfId="1536" dataDxfId="1534" headerRowBorderDxfId="1535" tableBorderDxfId="1533" totalsRowBorderDxfId="1532">
  <autoFilter ref="E5:I22" xr:uid="{00000000-0009-0000-0100-00001A000000}"/>
  <sortState xmlns:xlrd2="http://schemas.microsoft.com/office/spreadsheetml/2017/richdata2" ref="E6:I22">
    <sortCondition ref="E5:E22"/>
  </sortState>
  <tableColumns count="5">
    <tableColumn id="1" xr3:uid="{00000000-0010-0000-0C00-000001000000}" name="Nº Venda" dataDxfId="1531" dataCellStyle="Moeda"/>
    <tableColumn id="5" xr3:uid="{00000000-0010-0000-0C00-000005000000}" name="Cliente" dataDxfId="1530" dataCellStyle="Moeda"/>
    <tableColumn id="2" xr3:uid="{00000000-0010-0000-0C00-000002000000}" name="Forma de Pgto" dataDxfId="1529" dataCellStyle="Moeda"/>
    <tableColumn id="3" xr3:uid="{00000000-0010-0000-0C00-000003000000}" name="Valor Venda" dataDxfId="1528" dataCellStyle="Porcentagem"/>
    <tableColumn id="4" xr3:uid="{00000000-0010-0000-0C00-000004000000}" name="Entrada" dataDxfId="1527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desp3" displayName="desp3" ref="K5:M11" totalsRowShown="0" headerRowDxfId="1526" dataDxfId="1524" headerRowBorderDxfId="1525" tableBorderDxfId="1523" totalsRowBorderDxfId="1522">
  <autoFilter ref="K5:M11" xr:uid="{00000000-0009-0000-0100-00001B000000}"/>
  <tableColumns count="3">
    <tableColumn id="1" xr3:uid="{00000000-0010-0000-0D00-000001000000}" name="Descrição" dataDxfId="1521"/>
    <tableColumn id="2" xr3:uid="{00000000-0010-0000-0D00-000002000000}" name="Tipo de Pagto" dataDxfId="1520"/>
    <tableColumn id="3" xr3:uid="{00000000-0010-0000-0D00-000003000000}" name="Valor" dataDxfId="151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E000000}" name="rest_entr3" displayName="rest_entr3" ref="E25:I31" totalsRowShown="0" headerRowDxfId="1518" dataDxfId="1516" headerRowBorderDxfId="1517" tableBorderDxfId="1515" totalsRowBorderDxfId="1514">
  <autoFilter ref="E25:I31" xr:uid="{00000000-0009-0000-0100-00001C000000}"/>
  <sortState xmlns:xlrd2="http://schemas.microsoft.com/office/spreadsheetml/2017/richdata2" ref="E26:I31">
    <sortCondition ref="E25:E31"/>
  </sortState>
  <tableColumns count="5">
    <tableColumn id="1" xr3:uid="{00000000-0010-0000-0E00-000001000000}" name="Nº Venda" dataDxfId="1513"/>
    <tableColumn id="2" xr3:uid="{00000000-0010-0000-0E00-000002000000}" name="Cliente" dataDxfId="1512"/>
    <tableColumn id="3" xr3:uid="{00000000-0010-0000-0E00-000003000000}" name="Forma de Pgto" dataDxfId="1511" dataCellStyle="Moeda"/>
    <tableColumn id="4" xr3:uid="{00000000-0010-0000-0E00-000004000000}" name="Valor Venda" dataDxfId="1510" dataCellStyle="Porcentagem"/>
    <tableColumn id="5" xr3:uid="{00000000-0010-0000-0E00-000005000000}" name="Entrada" dataDxfId="1509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F000000}" name="os_entr_dia3" displayName="os_entr_dia3" ref="K14:M31" totalsRowShown="0" headerRowDxfId="1508" dataDxfId="1506" headerRowBorderDxfId="1507" tableBorderDxfId="1505" totalsRowBorderDxfId="1504">
  <autoFilter ref="K14:M31" xr:uid="{00000000-0009-0000-0100-00001D000000}"/>
  <tableColumns count="3">
    <tableColumn id="1" xr3:uid="{00000000-0010-0000-0F00-000001000000}" name="OS" dataDxfId="1503"/>
    <tableColumn id="2" xr3:uid="{00000000-0010-0000-0F00-000002000000}" name="Vendedor" dataDxfId="1502"/>
    <tableColumn id="3" xr3:uid="{00000000-0010-0000-0F00-000003000000}" name="CARNE" dataDxfId="150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rec_carn3" displayName="rec_carn3" ref="E34:I41" totalsRowShown="0" headerRowDxfId="1500" dataDxfId="1498" headerRowBorderDxfId="1499" tableBorderDxfId="1497" totalsRowBorderDxfId="1496">
  <autoFilter ref="E34:I41" xr:uid="{00000000-0009-0000-0100-00001E000000}"/>
  <sortState xmlns:xlrd2="http://schemas.microsoft.com/office/spreadsheetml/2017/richdata2" ref="E35:I40">
    <sortCondition ref="E25:E31"/>
  </sortState>
  <tableColumns count="5">
    <tableColumn id="1" xr3:uid="{00000000-0010-0000-1000-000001000000}" name="OS" dataDxfId="1495"/>
    <tableColumn id="2" xr3:uid="{00000000-0010-0000-1000-000002000000}" name="Cliente" dataDxfId="1494"/>
    <tableColumn id="3" xr3:uid="{00000000-0010-0000-1000-000003000000}" name="Forma de Pgto" dataDxfId="1493" dataCellStyle="Moeda"/>
    <tableColumn id="4" xr3:uid="{00000000-0010-0000-1000-000004000000}" name="Valor Parcela" dataDxfId="1492" dataCellStyle="Porcentagem"/>
    <tableColumn id="5" xr3:uid="{00000000-0010-0000-1000-000005000000}" name="Nº Parcela" dataDxfId="1491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1000000}" name="entr_carn3" displayName="entr_carn3" ref="K34:M41" totalsRowShown="0" headerRowDxfId="1490" headerRowBorderDxfId="1489" tableBorderDxfId="1488" totalsRowBorderDxfId="1487">
  <autoFilter ref="K34:M41" xr:uid="{00000000-0009-0000-0100-00001F000000}"/>
  <tableColumns count="3">
    <tableColumn id="1" xr3:uid="{00000000-0010-0000-1100-000001000000}" name="OS" dataDxfId="1486"/>
    <tableColumn id="2" xr3:uid="{00000000-0010-0000-1100-000002000000}" name="Parcelas" dataDxfId="1485"/>
    <tableColumn id="3" xr3:uid="{00000000-0010-0000-1100-000003000000}" name="Valor Total" dataDxfId="148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vend4" displayName="vend4" ref="E5:I22" totalsRowShown="0" headerRowDxfId="1483" dataDxfId="1481" headerRowBorderDxfId="1482" tableBorderDxfId="1480" totalsRowBorderDxfId="1479">
  <autoFilter ref="E5:I22" xr:uid="{00000000-0009-0000-0100-000011000000}"/>
  <sortState xmlns:xlrd2="http://schemas.microsoft.com/office/spreadsheetml/2017/richdata2" ref="E6:I22">
    <sortCondition ref="E5:E22"/>
  </sortState>
  <tableColumns count="5">
    <tableColumn id="1" xr3:uid="{00000000-0010-0000-1200-000001000000}" name="Nº Venda" dataDxfId="1478" dataCellStyle="Moeda"/>
    <tableColumn id="5" xr3:uid="{00000000-0010-0000-1200-000005000000}" name="Cliente" dataDxfId="1477" dataCellStyle="Moeda"/>
    <tableColumn id="2" xr3:uid="{00000000-0010-0000-1200-000002000000}" name="Forma de Pgto" dataDxfId="1476" dataCellStyle="Moeda"/>
    <tableColumn id="3" xr3:uid="{00000000-0010-0000-1200-000003000000}" name="Valor Venda" dataDxfId="1475" dataCellStyle="Porcentagem"/>
    <tableColumn id="4" xr3:uid="{00000000-0010-0000-1200-000004000000}" name="Entrada" dataDxfId="1474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desp4" displayName="desp4" ref="K5:M11" totalsRowShown="0" headerRowDxfId="1473" dataDxfId="1471" headerRowBorderDxfId="1472" tableBorderDxfId="1470" totalsRowBorderDxfId="1469">
  <autoFilter ref="K5:M11" xr:uid="{00000000-0009-0000-0100-000012000000}"/>
  <tableColumns count="3">
    <tableColumn id="1" xr3:uid="{00000000-0010-0000-1300-000001000000}" name="Descrição" dataDxfId="1468"/>
    <tableColumn id="2" xr3:uid="{00000000-0010-0000-1300-000002000000}" name="Tipo de Pagto" dataDxfId="1467"/>
    <tableColumn id="3" xr3:uid="{00000000-0010-0000-1300-000003000000}" name="Valor" dataDxfId="146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4000000}" name="rest_entr4" displayName="rest_entr4" ref="E25:I31" totalsRowShown="0" headerRowDxfId="1465" dataDxfId="1463" headerRowBorderDxfId="1464" tableBorderDxfId="1462" totalsRowBorderDxfId="1461">
  <autoFilter ref="E25:I31" xr:uid="{00000000-0009-0000-0100-000013000000}"/>
  <sortState xmlns:xlrd2="http://schemas.microsoft.com/office/spreadsheetml/2017/richdata2" ref="E26:I31">
    <sortCondition ref="E25:E31"/>
  </sortState>
  <tableColumns count="5">
    <tableColumn id="1" xr3:uid="{00000000-0010-0000-1400-000001000000}" name="Nº Venda" dataDxfId="1460"/>
    <tableColumn id="2" xr3:uid="{00000000-0010-0000-1400-000002000000}" name="Cliente" dataDxfId="1459"/>
    <tableColumn id="3" xr3:uid="{00000000-0010-0000-1400-000003000000}" name="Forma de Pgto" dataDxfId="1458" dataCellStyle="Moeda"/>
    <tableColumn id="4" xr3:uid="{00000000-0010-0000-1400-000004000000}" name="Valor Venda" dataDxfId="1457" dataCellStyle="Porcentagem"/>
    <tableColumn id="5" xr3:uid="{00000000-0010-0000-1400-000005000000}" name="Entrada" dataDxfId="1456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os_entr_dia4" displayName="os_entr_dia4" ref="K14:M31" totalsRowShown="0" headerRowDxfId="1455" dataDxfId="1453" headerRowBorderDxfId="1454" tableBorderDxfId="1452" totalsRowBorderDxfId="1451">
  <autoFilter ref="K14:M31" xr:uid="{00000000-0009-0000-0100-000017000000}"/>
  <tableColumns count="3">
    <tableColumn id="1" xr3:uid="{00000000-0010-0000-1500-000001000000}" name="OS" dataDxfId="1450"/>
    <tableColumn id="2" xr3:uid="{00000000-0010-0000-1500-000002000000}" name="Vendedor" dataDxfId="1449"/>
    <tableColumn id="3" xr3:uid="{00000000-0010-0000-1500-000003000000}" name="CARNE" dataDxfId="144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rec_carn4" displayName="rec_carn4" ref="E34:I41" totalsRowShown="0" headerRowDxfId="1447" dataDxfId="1445" headerRowBorderDxfId="1446" tableBorderDxfId="1444" totalsRowBorderDxfId="1443">
  <autoFilter ref="E34:I41" xr:uid="{00000000-0009-0000-0100-000018000000}"/>
  <sortState xmlns:xlrd2="http://schemas.microsoft.com/office/spreadsheetml/2017/richdata2" ref="E35:I40">
    <sortCondition ref="E25:E31"/>
  </sortState>
  <tableColumns count="5">
    <tableColumn id="1" xr3:uid="{00000000-0010-0000-1600-000001000000}" name="OS" dataDxfId="1442"/>
    <tableColumn id="2" xr3:uid="{00000000-0010-0000-1600-000002000000}" name="Cliente" dataDxfId="1441"/>
    <tableColumn id="3" xr3:uid="{00000000-0010-0000-1600-000003000000}" name="Forma de Pgto" dataDxfId="1440" dataCellStyle="Moeda"/>
    <tableColumn id="4" xr3:uid="{00000000-0010-0000-1600-000004000000}" name="Valor Parcela" dataDxfId="1439" dataCellStyle="Porcentagem"/>
    <tableColumn id="5" xr3:uid="{00000000-0010-0000-1600-000005000000}" name="Nº Parcela" dataDxfId="1438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ntr_carn4" displayName="entr_carn4" ref="K34:M41" totalsRowShown="0" headerRowDxfId="1437" headerRowBorderDxfId="1436" tableBorderDxfId="1435" totalsRowBorderDxfId="1434">
  <autoFilter ref="K34:M41" xr:uid="{00000000-0009-0000-0100-000019000000}"/>
  <tableColumns count="3">
    <tableColumn id="1" xr3:uid="{00000000-0010-0000-1700-000001000000}" name="OS" dataDxfId="1433"/>
    <tableColumn id="2" xr3:uid="{00000000-0010-0000-1700-000002000000}" name="Parcelas" dataDxfId="1432"/>
    <tableColumn id="3" xr3:uid="{00000000-0010-0000-1700-000003000000}" name="Valor Total" dataDxfId="143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8000000}" name="vend5" displayName="vend5" ref="E5:I22" totalsRowShown="0" headerRowDxfId="1430" dataDxfId="1428" headerRowBorderDxfId="1429" tableBorderDxfId="1427" totalsRowBorderDxfId="1426">
  <autoFilter ref="E5:I22" xr:uid="{00000000-0009-0000-0100-00000B000000}"/>
  <sortState xmlns:xlrd2="http://schemas.microsoft.com/office/spreadsheetml/2017/richdata2" ref="E6:I22">
    <sortCondition ref="E5:E22"/>
  </sortState>
  <tableColumns count="5">
    <tableColumn id="1" xr3:uid="{00000000-0010-0000-1800-000001000000}" name="Nº Venda" dataDxfId="1425" dataCellStyle="Moeda"/>
    <tableColumn id="5" xr3:uid="{00000000-0010-0000-1800-000005000000}" name="Cliente" dataDxfId="1424" dataCellStyle="Moeda"/>
    <tableColumn id="2" xr3:uid="{00000000-0010-0000-1800-000002000000}" name="Forma de Pgto" dataDxfId="1423" dataCellStyle="Moeda"/>
    <tableColumn id="3" xr3:uid="{00000000-0010-0000-1800-000003000000}" name="Valor Venda" dataDxfId="1422" dataCellStyle="Porcentagem"/>
    <tableColumn id="4" xr3:uid="{00000000-0010-0000-1800-000004000000}" name="Entrada" dataDxfId="1421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9000000}" name="desp5" displayName="desp5" ref="K5:M11" totalsRowShown="0" headerRowDxfId="1420" dataDxfId="1418" headerRowBorderDxfId="1419" tableBorderDxfId="1417" totalsRowBorderDxfId="1416">
  <autoFilter ref="K5:M11" xr:uid="{00000000-0009-0000-0100-00000C000000}"/>
  <tableColumns count="3">
    <tableColumn id="1" xr3:uid="{00000000-0010-0000-1900-000001000000}" name="Descrição" dataDxfId="1415"/>
    <tableColumn id="2" xr3:uid="{00000000-0010-0000-1900-000002000000}" name="Tipo de Pagto" dataDxfId="1414"/>
    <tableColumn id="3" xr3:uid="{00000000-0010-0000-1900-000003000000}" name="Valor" dataDxfId="141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A000000}" name="rest_entr5" displayName="rest_entr5" ref="E25:I31" totalsRowShown="0" headerRowDxfId="1412" dataDxfId="1410" headerRowBorderDxfId="1411" tableBorderDxfId="1409" totalsRowBorderDxfId="1408">
  <autoFilter ref="E25:I31" xr:uid="{00000000-0009-0000-0100-00000D000000}"/>
  <sortState xmlns:xlrd2="http://schemas.microsoft.com/office/spreadsheetml/2017/richdata2" ref="E26:I31">
    <sortCondition ref="E25:E31"/>
  </sortState>
  <tableColumns count="5">
    <tableColumn id="1" xr3:uid="{00000000-0010-0000-1A00-000001000000}" name="Nº Venda" dataDxfId="1407"/>
    <tableColumn id="2" xr3:uid="{00000000-0010-0000-1A00-000002000000}" name="Cliente" dataDxfId="1406"/>
    <tableColumn id="3" xr3:uid="{00000000-0010-0000-1A00-000003000000}" name="Forma de Pgto" dataDxfId="1405" dataCellStyle="Moeda"/>
    <tableColumn id="4" xr3:uid="{00000000-0010-0000-1A00-000004000000}" name="Valor Venda" dataDxfId="1404" dataCellStyle="Porcentagem"/>
    <tableColumn id="5" xr3:uid="{00000000-0010-0000-1A00-000005000000}" name="Entrada" dataDxfId="1403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B000000}" name="os_entr_dia5" displayName="os_entr_dia5" ref="K14:M31" totalsRowShown="0" headerRowDxfId="1402" dataDxfId="1400" headerRowBorderDxfId="1401" tableBorderDxfId="1399" totalsRowBorderDxfId="1398">
  <autoFilter ref="K14:M31" xr:uid="{00000000-0009-0000-0100-00000E000000}"/>
  <tableColumns count="3">
    <tableColumn id="1" xr3:uid="{00000000-0010-0000-1B00-000001000000}" name="OS" dataDxfId="1397"/>
    <tableColumn id="2" xr3:uid="{00000000-0010-0000-1B00-000002000000}" name="Vendedor" dataDxfId="1396"/>
    <tableColumn id="3" xr3:uid="{00000000-0010-0000-1B00-000003000000}" name="CARNE" dataDxfId="139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C000000}" name="rec_carn5" displayName="rec_carn5" ref="E34:I41" totalsRowShown="0" headerRowDxfId="1394" dataDxfId="1392" headerRowBorderDxfId="1393" tableBorderDxfId="1391" totalsRowBorderDxfId="1390">
  <autoFilter ref="E34:I41" xr:uid="{00000000-0009-0000-0100-00000F000000}"/>
  <sortState xmlns:xlrd2="http://schemas.microsoft.com/office/spreadsheetml/2017/richdata2" ref="E35:I40">
    <sortCondition ref="E25:E31"/>
  </sortState>
  <tableColumns count="5">
    <tableColumn id="1" xr3:uid="{00000000-0010-0000-1C00-000001000000}" name="OS" dataDxfId="1389"/>
    <tableColumn id="2" xr3:uid="{00000000-0010-0000-1C00-000002000000}" name="Cliente" dataDxfId="1388"/>
    <tableColumn id="3" xr3:uid="{00000000-0010-0000-1C00-000003000000}" name="Forma de Pgto" dataDxfId="1387" dataCellStyle="Moeda"/>
    <tableColumn id="4" xr3:uid="{00000000-0010-0000-1C00-000004000000}" name="Valor Parcela" dataDxfId="1386" dataCellStyle="Porcentagem"/>
    <tableColumn id="5" xr3:uid="{00000000-0010-0000-1C00-000005000000}" name="Nº Parcela" dataDxfId="1385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D000000}" name="entr_carn5" displayName="entr_carn5" ref="K34:M41" totalsRowShown="0" headerRowDxfId="1384" headerRowBorderDxfId="1383" tableBorderDxfId="1382" totalsRowBorderDxfId="1381">
  <autoFilter ref="K34:M41" xr:uid="{00000000-0009-0000-0100-000010000000}"/>
  <tableColumns count="3">
    <tableColumn id="1" xr3:uid="{00000000-0010-0000-1D00-000001000000}" name="OS" dataDxfId="1380"/>
    <tableColumn id="2" xr3:uid="{00000000-0010-0000-1D00-000002000000}" name="Parcelas" dataDxfId="1379"/>
    <tableColumn id="3" xr3:uid="{00000000-0010-0000-1D00-000003000000}" name="Valor Total" dataDxfId="137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vend" displayName="vend" ref="E5:I22" totalsRowShown="0" headerRowDxfId="1377" dataDxfId="1375" headerRowBorderDxfId="1376" tableBorderDxfId="1374" totalsRowBorderDxfId="1373">
  <autoFilter ref="E5:I22" xr:uid="{00000000-0009-0000-0100-000005000000}"/>
  <sortState xmlns:xlrd2="http://schemas.microsoft.com/office/spreadsheetml/2017/richdata2" ref="E6:I22">
    <sortCondition ref="E5:E22"/>
  </sortState>
  <tableColumns count="5">
    <tableColumn id="1" xr3:uid="{00000000-0010-0000-1E00-000001000000}" name="Nº Venda" dataDxfId="1372" dataCellStyle="Moeda"/>
    <tableColumn id="5" xr3:uid="{00000000-0010-0000-1E00-000005000000}" name="Cliente" dataDxfId="1371" dataCellStyle="Moeda"/>
    <tableColumn id="2" xr3:uid="{00000000-0010-0000-1E00-000002000000}" name="Forma de Pgto" dataDxfId="1370" dataCellStyle="Moeda"/>
    <tableColumn id="3" xr3:uid="{00000000-0010-0000-1E00-000003000000}" name="Valor Venda" dataDxfId="1369" dataCellStyle="Porcentagem"/>
    <tableColumn id="4" xr3:uid="{00000000-0010-0000-1E00-000004000000}" name="Entrada" dataDxfId="1368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desp6" displayName="desp6" ref="K5:M11" totalsRowShown="0" headerRowDxfId="1367" dataDxfId="1365" headerRowBorderDxfId="1366" tableBorderDxfId="1364" totalsRowBorderDxfId="1363">
  <autoFilter ref="K5:M11" xr:uid="{00000000-0009-0000-0100-000006000000}"/>
  <tableColumns count="3">
    <tableColumn id="1" xr3:uid="{00000000-0010-0000-1F00-000001000000}" name="Descrição" dataDxfId="1362"/>
    <tableColumn id="2" xr3:uid="{00000000-0010-0000-1F00-000002000000}" name="Tipo de Pagto" dataDxfId="1361"/>
    <tableColumn id="3" xr3:uid="{00000000-0010-0000-1F00-000003000000}" name="Valor" dataDxfId="136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0000000}" name="rest_entr6" displayName="rest_entr6" ref="E25:I31" totalsRowShown="0" headerRowDxfId="1359" dataDxfId="1357" headerRowBorderDxfId="1358" tableBorderDxfId="1356" totalsRowBorderDxfId="1355">
  <autoFilter ref="E25:I31" xr:uid="{00000000-0009-0000-0100-000007000000}"/>
  <sortState xmlns:xlrd2="http://schemas.microsoft.com/office/spreadsheetml/2017/richdata2" ref="E26:I31">
    <sortCondition ref="E25:E31"/>
  </sortState>
  <tableColumns count="5">
    <tableColumn id="1" xr3:uid="{00000000-0010-0000-2000-000001000000}" name="Nº Venda" dataDxfId="1354"/>
    <tableColumn id="2" xr3:uid="{00000000-0010-0000-2000-000002000000}" name="Cliente" dataDxfId="1353"/>
    <tableColumn id="3" xr3:uid="{00000000-0010-0000-2000-000003000000}" name="Forma de Pgto" dataDxfId="1352" dataCellStyle="Moeda"/>
    <tableColumn id="4" xr3:uid="{00000000-0010-0000-2000-000004000000}" name="Valor Venda" dataDxfId="1351" dataCellStyle="Porcentagem"/>
    <tableColumn id="5" xr3:uid="{00000000-0010-0000-2000-000005000000}" name="Entrada" dataDxfId="1350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1000000}" name="os_entr_dia6" displayName="os_entr_dia6" ref="K14:M31" totalsRowShown="0" headerRowDxfId="1349" dataDxfId="1347" headerRowBorderDxfId="1348" tableBorderDxfId="1346" totalsRowBorderDxfId="1345">
  <autoFilter ref="K14:M31" xr:uid="{00000000-0009-0000-0100-000008000000}"/>
  <tableColumns count="3">
    <tableColumn id="1" xr3:uid="{00000000-0010-0000-2100-000001000000}" name="OS" dataDxfId="1344"/>
    <tableColumn id="2" xr3:uid="{00000000-0010-0000-2100-000002000000}" name="Vendedor" dataDxfId="1343"/>
    <tableColumn id="3" xr3:uid="{00000000-0010-0000-2100-000003000000}" name="CARNE" dataDxfId="1342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2000000}" name="rec_carn6" displayName="rec_carn6" ref="E34:I41" totalsRowShown="0" headerRowDxfId="1341" dataDxfId="1339" headerRowBorderDxfId="1340" tableBorderDxfId="1338" totalsRowBorderDxfId="1337">
  <autoFilter ref="E34:I41" xr:uid="{00000000-0009-0000-0100-000009000000}"/>
  <sortState xmlns:xlrd2="http://schemas.microsoft.com/office/spreadsheetml/2017/richdata2" ref="E35:I40">
    <sortCondition ref="E25:E31"/>
  </sortState>
  <tableColumns count="5">
    <tableColumn id="1" xr3:uid="{00000000-0010-0000-2200-000001000000}" name="OS" dataDxfId="1336"/>
    <tableColumn id="2" xr3:uid="{00000000-0010-0000-2200-000002000000}" name="Cliente" dataDxfId="1335"/>
    <tableColumn id="3" xr3:uid="{00000000-0010-0000-2200-000003000000}" name="Forma de Pgto" dataDxfId="1334" dataCellStyle="Moeda"/>
    <tableColumn id="4" xr3:uid="{00000000-0010-0000-2200-000004000000}" name="Valor Parcela" dataDxfId="1333" dataCellStyle="Porcentagem"/>
    <tableColumn id="5" xr3:uid="{00000000-0010-0000-2200-000005000000}" name="Nº Parcela" dataDxfId="1332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3000000}" name="entr_carn6" displayName="entr_carn6" ref="K34:M41" totalsRowShown="0" headerRowDxfId="1331" headerRowBorderDxfId="1330" tableBorderDxfId="1329" totalsRowBorderDxfId="1328">
  <autoFilter ref="K34:M41" xr:uid="{00000000-0009-0000-0100-00000A000000}"/>
  <tableColumns count="3">
    <tableColumn id="1" xr3:uid="{00000000-0010-0000-2300-000001000000}" name="OS" dataDxfId="1327"/>
    <tableColumn id="2" xr3:uid="{00000000-0010-0000-2300-000002000000}" name="Parcelas" dataDxfId="1326"/>
    <tableColumn id="3" xr3:uid="{00000000-0010-0000-2300-000003000000}" name="Valor Total" dataDxfId="1325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4000000}" name="vend7" displayName="vend7" ref="E5:I22" totalsRowShown="0" headerRowDxfId="1324" dataDxfId="1322" headerRowBorderDxfId="1323" tableBorderDxfId="1321" totalsRowBorderDxfId="13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2400-000001000000}" name="Nº Venda" dataDxfId="1319" dataCellStyle="Moeda"/>
    <tableColumn id="5" xr3:uid="{00000000-0010-0000-2400-000005000000}" name="Cliente" dataDxfId="1318" dataCellStyle="Moeda"/>
    <tableColumn id="2" xr3:uid="{00000000-0010-0000-2400-000002000000}" name="Forma de Pgto" dataDxfId="1317" dataCellStyle="Moeda"/>
    <tableColumn id="3" xr3:uid="{00000000-0010-0000-2400-000003000000}" name="Valor Venda" dataDxfId="1316" dataCellStyle="Porcentagem"/>
    <tableColumn id="4" xr3:uid="{00000000-0010-0000-2400-000004000000}" name="Entrada" dataDxfId="1315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5000000}" name="desp7" displayName="desp7" ref="K5:M11" totalsRowShown="0" headerRowDxfId="1314" dataDxfId="1312" headerRowBorderDxfId="1313" tableBorderDxfId="1311" totalsRowBorderDxfId="1310">
  <autoFilter ref="K5:M11" xr:uid="{00000000-0009-0000-0100-000015000000}"/>
  <tableColumns count="3">
    <tableColumn id="1" xr3:uid="{00000000-0010-0000-2500-000001000000}" name="Descrição" dataDxfId="1309"/>
    <tableColumn id="2" xr3:uid="{00000000-0010-0000-2500-000002000000}" name="Tipo de Pagto" dataDxfId="1308"/>
    <tableColumn id="3" xr3:uid="{00000000-0010-0000-2500-000003000000}" name="Valor" dataDxfId="130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6000000}" name="rest_entr7" displayName="rest_entr7" ref="E25:I31" totalsRowShown="0" headerRowDxfId="1306" dataDxfId="1304" headerRowBorderDxfId="1305" tableBorderDxfId="1303" totalsRowBorderDxfId="13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2600-000001000000}" name="Nº Venda" dataDxfId="1301"/>
    <tableColumn id="2" xr3:uid="{00000000-0010-0000-2600-000002000000}" name="Cliente" dataDxfId="1300"/>
    <tableColumn id="3" xr3:uid="{00000000-0010-0000-2600-000003000000}" name="Forma de Pgto" dataDxfId="1299" dataCellStyle="Moeda"/>
    <tableColumn id="4" xr3:uid="{00000000-0010-0000-2600-000004000000}" name="Valor Venda" dataDxfId="1298" dataCellStyle="Porcentagem"/>
    <tableColumn id="5" xr3:uid="{00000000-0010-0000-2600-000005000000}" name="Entrada" dataDxfId="1297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27000000}" name="os_entr_dia7" displayName="os_entr_dia7" ref="K14:M31" totalsRowShown="0" headerRowDxfId="1296" dataDxfId="1294" headerRowBorderDxfId="1295" tableBorderDxfId="1293" totalsRowBorderDxfId="1292">
  <autoFilter ref="K14:M31" xr:uid="{00000000-0009-0000-0100-000050000000}"/>
  <tableColumns count="3">
    <tableColumn id="1" xr3:uid="{00000000-0010-0000-2700-000001000000}" name="OS" dataDxfId="1291"/>
    <tableColumn id="2" xr3:uid="{00000000-0010-0000-2700-000002000000}" name="Vendedor" dataDxfId="1290"/>
    <tableColumn id="3" xr3:uid="{00000000-0010-0000-2700-000003000000}" name="CARNE" dataDxfId="1289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8000000}" name="rec_carn7" displayName="rec_carn7" ref="E34:I41" totalsRowShown="0" headerRowDxfId="1288" dataDxfId="1286" headerRowBorderDxfId="1287" tableBorderDxfId="1285" totalsRowBorderDxfId="1284">
  <autoFilter ref="E34:I41" xr:uid="{00000000-0009-0000-0100-000002000000}"/>
  <sortState xmlns:xlrd2="http://schemas.microsoft.com/office/spreadsheetml/2017/richdata2" ref="E35:I40">
    <sortCondition ref="E25:E31"/>
  </sortState>
  <tableColumns count="5">
    <tableColumn id="1" xr3:uid="{00000000-0010-0000-2800-000001000000}" name="OS" dataDxfId="1283"/>
    <tableColumn id="2" xr3:uid="{00000000-0010-0000-2800-000002000000}" name="Cliente" dataDxfId="1282"/>
    <tableColumn id="3" xr3:uid="{00000000-0010-0000-2800-000003000000}" name="Forma de Pgto" dataDxfId="1281" dataCellStyle="Moeda"/>
    <tableColumn id="4" xr3:uid="{00000000-0010-0000-2800-000004000000}" name="Valor Parcela" dataDxfId="1280" dataCellStyle="Porcentagem"/>
    <tableColumn id="5" xr3:uid="{00000000-0010-0000-2800-000005000000}" name="Nº Parcela" dataDxfId="1279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9000000}" name="entr_carn7" displayName="entr_carn7" ref="K34:M41" totalsRowShown="0" headerRowDxfId="1278" headerRowBorderDxfId="1277" tableBorderDxfId="1276" totalsRowBorderDxfId="1275">
  <autoFilter ref="K34:M41" xr:uid="{00000000-0009-0000-0100-000004000000}"/>
  <tableColumns count="3">
    <tableColumn id="1" xr3:uid="{00000000-0010-0000-2900-000001000000}" name="OS" dataDxfId="1274"/>
    <tableColumn id="2" xr3:uid="{00000000-0010-0000-2900-000002000000}" name="Parcelas" dataDxfId="1273"/>
    <tableColumn id="3" xr3:uid="{00000000-0010-0000-2900-000003000000}" name="Valor Total" dataDxfId="1272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A000000}" name="vend8" displayName="vend8" ref="E5:I22" totalsRowShown="0" headerRowDxfId="1271" dataDxfId="1269" headerRowBorderDxfId="1270" tableBorderDxfId="1268" totalsRowBorderDxfId="1267">
  <autoFilter ref="E5:I22" xr:uid="{00000000-0009-0000-0100-000038000000}"/>
  <sortState xmlns:xlrd2="http://schemas.microsoft.com/office/spreadsheetml/2017/richdata2" ref="E6:I22">
    <sortCondition ref="E5:E22"/>
  </sortState>
  <tableColumns count="5">
    <tableColumn id="1" xr3:uid="{00000000-0010-0000-2A00-000001000000}" name="Nº Venda" dataDxfId="1266" dataCellStyle="Moeda"/>
    <tableColumn id="5" xr3:uid="{00000000-0010-0000-2A00-000005000000}" name="Cliente" dataDxfId="1265" dataCellStyle="Moeda"/>
    <tableColumn id="2" xr3:uid="{00000000-0010-0000-2A00-000002000000}" name="Forma de Pgto" dataDxfId="1264" dataCellStyle="Moeda"/>
    <tableColumn id="3" xr3:uid="{00000000-0010-0000-2A00-000003000000}" name="Valor Venda" dataDxfId="1263" dataCellStyle="Porcentagem"/>
    <tableColumn id="4" xr3:uid="{00000000-0010-0000-2A00-000004000000}" name="Entrada" dataDxfId="1262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desp8" displayName="desp8" ref="K5:M11" totalsRowShown="0" headerRowDxfId="1261" dataDxfId="1259" headerRowBorderDxfId="1260" tableBorderDxfId="1258" totalsRowBorderDxfId="1257">
  <autoFilter ref="K5:M11" xr:uid="{00000000-0009-0000-0100-000039000000}"/>
  <tableColumns count="3">
    <tableColumn id="1" xr3:uid="{00000000-0010-0000-2B00-000001000000}" name="Descrição" dataDxfId="1256"/>
    <tableColumn id="2" xr3:uid="{00000000-0010-0000-2B00-000002000000}" name="Tipo de Pagto" dataDxfId="1255"/>
    <tableColumn id="3" xr3:uid="{00000000-0010-0000-2B00-000003000000}" name="Valor" dataDxfId="1254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rest_entr8" displayName="rest_entr8" ref="E25:I31" totalsRowShown="0" headerRowDxfId="1253" dataDxfId="1251" headerRowBorderDxfId="1252" tableBorderDxfId="1250" totalsRowBorderDxfId="1249">
  <autoFilter ref="E25:I31" xr:uid="{00000000-0009-0000-0100-00003A000000}"/>
  <sortState xmlns:xlrd2="http://schemas.microsoft.com/office/spreadsheetml/2017/richdata2" ref="E26:I31">
    <sortCondition ref="E25:E31"/>
  </sortState>
  <tableColumns count="5">
    <tableColumn id="1" xr3:uid="{00000000-0010-0000-2C00-000001000000}" name="Nº Venda" dataDxfId="1248"/>
    <tableColumn id="2" xr3:uid="{00000000-0010-0000-2C00-000002000000}" name="Cliente" dataDxfId="1247"/>
    <tableColumn id="3" xr3:uid="{00000000-0010-0000-2C00-000003000000}" name="Forma de Pgto" dataDxfId="1246" dataCellStyle="Moeda"/>
    <tableColumn id="4" xr3:uid="{00000000-0010-0000-2C00-000004000000}" name="Valor Venda" dataDxfId="1245" dataCellStyle="Porcentagem"/>
    <tableColumn id="5" xr3:uid="{00000000-0010-0000-2C00-000005000000}" name="Entrada" dataDxfId="1244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os_entr_dia8" displayName="os_entr_dia8" ref="K14:M31" totalsRowShown="0" headerRowDxfId="1243" dataDxfId="1241" headerRowBorderDxfId="1242" tableBorderDxfId="1240" totalsRowBorderDxfId="1239">
  <autoFilter ref="K14:M31" xr:uid="{00000000-0009-0000-0100-00003B000000}"/>
  <tableColumns count="3">
    <tableColumn id="1" xr3:uid="{00000000-0010-0000-2D00-000001000000}" name="OS" dataDxfId="1238"/>
    <tableColumn id="2" xr3:uid="{00000000-0010-0000-2D00-000002000000}" name="Vendedor" dataDxfId="1237"/>
    <tableColumn id="3" xr3:uid="{00000000-0010-0000-2D00-000003000000}" name="CARNE" dataDxfId="1236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rec_carn8" displayName="rec_carn8" ref="E34:I41" totalsRowShown="0" headerRowDxfId="1235" dataDxfId="1233" headerRowBorderDxfId="1234" tableBorderDxfId="1232" totalsRowBorderDxfId="1231">
  <autoFilter ref="E34:I41" xr:uid="{00000000-0009-0000-0100-00003C000000}"/>
  <sortState xmlns:xlrd2="http://schemas.microsoft.com/office/spreadsheetml/2017/richdata2" ref="E35:I40">
    <sortCondition ref="E25:E31"/>
  </sortState>
  <tableColumns count="5">
    <tableColumn id="1" xr3:uid="{00000000-0010-0000-2E00-000001000000}" name="OS" dataDxfId="1230"/>
    <tableColumn id="2" xr3:uid="{00000000-0010-0000-2E00-000002000000}" name="Cliente" dataDxfId="1229"/>
    <tableColumn id="3" xr3:uid="{00000000-0010-0000-2E00-000003000000}" name="Forma de Pgto" dataDxfId="1228" dataCellStyle="Moeda"/>
    <tableColumn id="4" xr3:uid="{00000000-0010-0000-2E00-000004000000}" name="Valor Parcela" dataDxfId="1227" dataCellStyle="Porcentagem"/>
    <tableColumn id="5" xr3:uid="{00000000-0010-0000-2E00-000005000000}" name="Nº Parcela" dataDxfId="1226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ntr_carn8" displayName="entr_carn8" ref="K34:M41" totalsRowShown="0" headerRowDxfId="1225" headerRowBorderDxfId="1224" tableBorderDxfId="1223" totalsRowBorderDxfId="1222">
  <autoFilter ref="K34:M41" xr:uid="{00000000-0009-0000-0100-00003D000000}"/>
  <tableColumns count="3">
    <tableColumn id="1" xr3:uid="{00000000-0010-0000-2F00-000001000000}" name="OS" dataDxfId="1221"/>
    <tableColumn id="2" xr3:uid="{00000000-0010-0000-2F00-000002000000}" name="Parcelas" dataDxfId="1220"/>
    <tableColumn id="3" xr3:uid="{00000000-0010-0000-2F00-000003000000}" name="Valor Total" dataDxfId="1219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vend9" displayName="vend9" ref="E5:I22" totalsRowShown="0" headerRowDxfId="1218" dataDxfId="1216" headerRowBorderDxfId="1217" tableBorderDxfId="1215" totalsRowBorderDxfId="1214">
  <autoFilter ref="E5:I22" xr:uid="{00000000-0009-0000-0100-000032000000}"/>
  <sortState xmlns:xlrd2="http://schemas.microsoft.com/office/spreadsheetml/2017/richdata2" ref="E6:I22">
    <sortCondition ref="E5:E22"/>
  </sortState>
  <tableColumns count="5">
    <tableColumn id="1" xr3:uid="{00000000-0010-0000-3000-000001000000}" name="Nº Venda" dataDxfId="1213" dataCellStyle="Moeda"/>
    <tableColumn id="5" xr3:uid="{00000000-0010-0000-3000-000005000000}" name="Cliente" dataDxfId="1212" dataCellStyle="Moeda"/>
    <tableColumn id="2" xr3:uid="{00000000-0010-0000-3000-000002000000}" name="Forma de Pgto" dataDxfId="1211" dataCellStyle="Moeda"/>
    <tableColumn id="3" xr3:uid="{00000000-0010-0000-3000-000003000000}" name="Valor Venda" dataDxfId="1210" dataCellStyle="Porcentagem"/>
    <tableColumn id="4" xr3:uid="{00000000-0010-0000-3000-000004000000}" name="Entrada" dataDxfId="1209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desp9" displayName="desp9" ref="K5:M11" totalsRowShown="0" headerRowDxfId="1208" dataDxfId="1206" headerRowBorderDxfId="1207" tableBorderDxfId="1205" totalsRowBorderDxfId="1204">
  <autoFilter ref="K5:M11" xr:uid="{00000000-0009-0000-0100-000033000000}"/>
  <tableColumns count="3">
    <tableColumn id="1" xr3:uid="{00000000-0010-0000-3100-000001000000}" name="Descrição" dataDxfId="1203"/>
    <tableColumn id="2" xr3:uid="{00000000-0010-0000-3100-000002000000}" name="Tipo de Pagto" dataDxfId="1202"/>
    <tableColumn id="3" xr3:uid="{00000000-0010-0000-3100-000003000000}" name="Valor" dataDxfId="1201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rest_entr9" displayName="rest_entr9" ref="E25:I31" totalsRowShown="0" headerRowDxfId="1200" dataDxfId="1198" headerRowBorderDxfId="1199" tableBorderDxfId="1197" totalsRowBorderDxfId="1196">
  <autoFilter ref="E25:I31" xr:uid="{00000000-0009-0000-0100-000034000000}"/>
  <sortState xmlns:xlrd2="http://schemas.microsoft.com/office/spreadsheetml/2017/richdata2" ref="E26:I31">
    <sortCondition ref="E25:E31"/>
  </sortState>
  <tableColumns count="5">
    <tableColumn id="1" xr3:uid="{00000000-0010-0000-3200-000001000000}" name="Nº Venda" dataDxfId="1195"/>
    <tableColumn id="2" xr3:uid="{00000000-0010-0000-3200-000002000000}" name="Cliente" dataDxfId="1194"/>
    <tableColumn id="3" xr3:uid="{00000000-0010-0000-3200-000003000000}" name="Forma de Pgto" dataDxfId="1193" dataCellStyle="Moeda"/>
    <tableColumn id="4" xr3:uid="{00000000-0010-0000-3200-000004000000}" name="Valor Venda" dataDxfId="1192" dataCellStyle="Porcentagem"/>
    <tableColumn id="5" xr3:uid="{00000000-0010-0000-3200-000005000000}" name="Entrada" dataDxfId="1191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os_entr_dia9" displayName="os_entr_dia9" ref="K14:M31" totalsRowShown="0" headerRowDxfId="1190" dataDxfId="1188" headerRowBorderDxfId="1189" tableBorderDxfId="1187" totalsRowBorderDxfId="1186">
  <autoFilter ref="K14:M31" xr:uid="{00000000-0009-0000-0100-000035000000}"/>
  <tableColumns count="3">
    <tableColumn id="1" xr3:uid="{00000000-0010-0000-3300-000001000000}" name="OS" dataDxfId="1185"/>
    <tableColumn id="2" xr3:uid="{00000000-0010-0000-3300-000002000000}" name="Vendedor" dataDxfId="1184"/>
    <tableColumn id="3" xr3:uid="{00000000-0010-0000-3300-000003000000}" name="CARNE" dataDxfId="1183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rec_carn9" displayName="rec_carn9" ref="E34:I41" totalsRowShown="0" headerRowDxfId="1182" dataDxfId="1180" headerRowBorderDxfId="1181" tableBorderDxfId="1179" totalsRowBorderDxfId="1178">
  <autoFilter ref="E34:I41" xr:uid="{00000000-0009-0000-0100-000036000000}"/>
  <sortState xmlns:xlrd2="http://schemas.microsoft.com/office/spreadsheetml/2017/richdata2" ref="E35:I40">
    <sortCondition ref="E25:E31"/>
  </sortState>
  <tableColumns count="5">
    <tableColumn id="1" xr3:uid="{00000000-0010-0000-3400-000001000000}" name="OS" dataDxfId="1177"/>
    <tableColumn id="2" xr3:uid="{00000000-0010-0000-3400-000002000000}" name="Cliente" dataDxfId="1176"/>
    <tableColumn id="3" xr3:uid="{00000000-0010-0000-3400-000003000000}" name="Forma de Pgto" dataDxfId="1175" dataCellStyle="Moeda"/>
    <tableColumn id="4" xr3:uid="{00000000-0010-0000-3400-000004000000}" name="Valor Parcela" dataDxfId="1174" dataCellStyle="Porcentagem"/>
    <tableColumn id="5" xr3:uid="{00000000-0010-0000-3400-000005000000}" name="Nº Parcela" dataDxfId="1173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5000000}" name="entr_carn9" displayName="entr_carn9" ref="K34:M41" totalsRowShown="0" headerRowDxfId="1172" headerRowBorderDxfId="1171" tableBorderDxfId="1170" totalsRowBorderDxfId="1169">
  <autoFilter ref="K34:M41" xr:uid="{00000000-0009-0000-0100-000037000000}"/>
  <tableColumns count="3">
    <tableColumn id="1" xr3:uid="{00000000-0010-0000-3500-000001000000}" name="OS" dataDxfId="1168"/>
    <tableColumn id="2" xr3:uid="{00000000-0010-0000-3500-000002000000}" name="Parcelas" dataDxfId="1167"/>
    <tableColumn id="3" xr3:uid="{00000000-0010-0000-3500-000003000000}" name="Valor Total" dataDxfId="1166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6000000}" name="vend10" displayName="vend10" ref="E5:I22" totalsRowShown="0" headerRowDxfId="1165" dataDxfId="1163" headerRowBorderDxfId="1164" tableBorderDxfId="1162" totalsRowBorderDxfId="1161">
  <autoFilter ref="E5:I22" xr:uid="{00000000-0009-0000-0100-00002C000000}"/>
  <sortState xmlns:xlrd2="http://schemas.microsoft.com/office/spreadsheetml/2017/richdata2" ref="E6:I22">
    <sortCondition ref="E5:E22"/>
  </sortState>
  <tableColumns count="5">
    <tableColumn id="1" xr3:uid="{00000000-0010-0000-3600-000001000000}" name="Nº Venda" dataDxfId="1160" dataCellStyle="Moeda"/>
    <tableColumn id="5" xr3:uid="{00000000-0010-0000-3600-000005000000}" name="Cliente" dataDxfId="1159" dataCellStyle="Moeda"/>
    <tableColumn id="2" xr3:uid="{00000000-0010-0000-3600-000002000000}" name="Forma de Pgto" dataDxfId="1158" dataCellStyle="Moeda"/>
    <tableColumn id="3" xr3:uid="{00000000-0010-0000-3600-000003000000}" name="Valor Venda" dataDxfId="1157" dataCellStyle="Porcentagem"/>
    <tableColumn id="4" xr3:uid="{00000000-0010-0000-3600-000004000000}" name="Entrada" dataDxfId="1156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7000000}" name="desp10" displayName="desp10" ref="K5:M11" totalsRowShown="0" headerRowDxfId="1155" dataDxfId="1153" headerRowBorderDxfId="1154" tableBorderDxfId="1152" totalsRowBorderDxfId="1151">
  <autoFilter ref="K5:M11" xr:uid="{00000000-0009-0000-0100-00002D000000}"/>
  <tableColumns count="3">
    <tableColumn id="1" xr3:uid="{00000000-0010-0000-3700-000001000000}" name="Descrição" dataDxfId="1150"/>
    <tableColumn id="2" xr3:uid="{00000000-0010-0000-3700-000002000000}" name="Tipo de Pagto" dataDxfId="1149"/>
    <tableColumn id="3" xr3:uid="{00000000-0010-0000-3700-000003000000}" name="Valor" dataDxfId="1148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38000000}" name="rest_entr10" displayName="rest_entr10" ref="E25:I31" totalsRowShown="0" headerRowDxfId="1147" dataDxfId="1145" headerRowBorderDxfId="1146" tableBorderDxfId="1144" totalsRowBorderDxfId="1143">
  <autoFilter ref="E25:I31" xr:uid="{00000000-0009-0000-0100-00002E000000}"/>
  <sortState xmlns:xlrd2="http://schemas.microsoft.com/office/spreadsheetml/2017/richdata2" ref="E26:I31">
    <sortCondition ref="E25:E31"/>
  </sortState>
  <tableColumns count="5">
    <tableColumn id="1" xr3:uid="{00000000-0010-0000-3800-000001000000}" name="Nº Venda" dataDxfId="1142"/>
    <tableColumn id="2" xr3:uid="{00000000-0010-0000-3800-000002000000}" name="Cliente" dataDxfId="1141"/>
    <tableColumn id="3" xr3:uid="{00000000-0010-0000-3800-000003000000}" name="Forma de Pgto" dataDxfId="1140" dataCellStyle="Moeda"/>
    <tableColumn id="4" xr3:uid="{00000000-0010-0000-3800-000004000000}" name="Valor Venda" dataDxfId="1139" dataCellStyle="Porcentagem"/>
    <tableColumn id="5" xr3:uid="{00000000-0010-0000-3800-000005000000}" name="Entrada" dataDxfId="1138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9000000}" name="os_entr_dia10" displayName="os_entr_dia10" ref="K14:M31" totalsRowShown="0" headerRowDxfId="1137" dataDxfId="1135" headerRowBorderDxfId="1136" tableBorderDxfId="1134" totalsRowBorderDxfId="1133">
  <autoFilter ref="K14:M31" xr:uid="{00000000-0009-0000-0100-00002F000000}"/>
  <tableColumns count="3">
    <tableColumn id="1" xr3:uid="{00000000-0010-0000-3900-000001000000}" name="OS" dataDxfId="1132"/>
    <tableColumn id="2" xr3:uid="{00000000-0010-0000-3900-000002000000}" name="Vendedor" dataDxfId="1131"/>
    <tableColumn id="3" xr3:uid="{00000000-0010-0000-3900-000003000000}" name="CARNE" dataDxfId="1130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A000000}" name="rec_carn10" displayName="rec_carn10" ref="E34:I41" totalsRowShown="0" headerRowDxfId="1129" dataDxfId="1127" headerRowBorderDxfId="1128" tableBorderDxfId="1126" totalsRowBorderDxfId="1125">
  <autoFilter ref="E34:I41" xr:uid="{00000000-0009-0000-0100-000030000000}"/>
  <sortState xmlns:xlrd2="http://schemas.microsoft.com/office/spreadsheetml/2017/richdata2" ref="E35:I40">
    <sortCondition ref="E25:E31"/>
  </sortState>
  <tableColumns count="5">
    <tableColumn id="1" xr3:uid="{00000000-0010-0000-3A00-000001000000}" name="OS" dataDxfId="1124"/>
    <tableColumn id="2" xr3:uid="{00000000-0010-0000-3A00-000002000000}" name="Cliente" dataDxfId="1123"/>
    <tableColumn id="3" xr3:uid="{00000000-0010-0000-3A00-000003000000}" name="Forma de Pgto" dataDxfId="1122" dataCellStyle="Moeda"/>
    <tableColumn id="4" xr3:uid="{00000000-0010-0000-3A00-000004000000}" name="Valor Parcela" dataDxfId="1121" dataCellStyle="Porcentagem"/>
    <tableColumn id="5" xr3:uid="{00000000-0010-0000-3A00-000005000000}" name="Nº Parcela" dataDxfId="1120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B000000}" name="entr_carn10" displayName="entr_carn10" ref="K34:M41" totalsRowShown="0" headerRowDxfId="1119" headerRowBorderDxfId="1118" tableBorderDxfId="1117" totalsRowBorderDxfId="1116">
  <autoFilter ref="K34:M41" xr:uid="{00000000-0009-0000-0100-000031000000}"/>
  <tableColumns count="3">
    <tableColumn id="1" xr3:uid="{00000000-0010-0000-3B00-000001000000}" name="OS" dataDxfId="1115"/>
    <tableColumn id="2" xr3:uid="{00000000-0010-0000-3B00-000002000000}" name="Parcelas" dataDxfId="1114"/>
    <tableColumn id="3" xr3:uid="{00000000-0010-0000-3B00-000003000000}" name="Valor Total" dataDxfId="1113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C000000}" name="vend11" displayName="vend11" ref="E5:I22" totalsRowShown="0" headerRowDxfId="1112" dataDxfId="1110" headerRowBorderDxfId="1111" tableBorderDxfId="1109" totalsRowBorderDxfId="1108">
  <autoFilter ref="E5:I22" xr:uid="{00000000-0009-0000-0100-000044000000}"/>
  <sortState xmlns:xlrd2="http://schemas.microsoft.com/office/spreadsheetml/2017/richdata2" ref="E6:I22">
    <sortCondition ref="E5:E22"/>
  </sortState>
  <tableColumns count="5">
    <tableColumn id="1" xr3:uid="{00000000-0010-0000-3C00-000001000000}" name="Nº Venda" dataDxfId="1107" dataCellStyle="Moeda"/>
    <tableColumn id="5" xr3:uid="{00000000-0010-0000-3C00-000005000000}" name="Cliente" dataDxfId="1106" dataCellStyle="Moeda"/>
    <tableColumn id="2" xr3:uid="{00000000-0010-0000-3C00-000002000000}" name="Forma de Pgto" dataDxfId="1105" dataCellStyle="Moeda"/>
    <tableColumn id="3" xr3:uid="{00000000-0010-0000-3C00-000003000000}" name="Valor Venda" dataDxfId="1104" dataCellStyle="Porcentagem"/>
    <tableColumn id="4" xr3:uid="{00000000-0010-0000-3C00-000004000000}" name="Entrada" dataDxfId="1103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D000000}" name="desp11" displayName="desp11" ref="K5:M11" totalsRowShown="0" headerRowDxfId="1102" dataDxfId="1100" headerRowBorderDxfId="1101" tableBorderDxfId="1099" totalsRowBorderDxfId="1098">
  <autoFilter ref="K5:M11" xr:uid="{00000000-0009-0000-0100-000045000000}"/>
  <tableColumns count="3">
    <tableColumn id="1" xr3:uid="{00000000-0010-0000-3D00-000001000000}" name="Descrição" dataDxfId="1097"/>
    <tableColumn id="2" xr3:uid="{00000000-0010-0000-3D00-000002000000}" name="Tipo de Pagto" dataDxfId="1096"/>
    <tableColumn id="3" xr3:uid="{00000000-0010-0000-3D00-000003000000}" name="Valor" dataDxfId="109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E000000}" name="rest_entr11" displayName="rest_entr11" ref="E25:I31" totalsRowShown="0" headerRowDxfId="1094" dataDxfId="1092" headerRowBorderDxfId="1093" tableBorderDxfId="1091" totalsRowBorderDxfId="1090">
  <autoFilter ref="E25:I31" xr:uid="{00000000-0009-0000-0100-000046000000}"/>
  <sortState xmlns:xlrd2="http://schemas.microsoft.com/office/spreadsheetml/2017/richdata2" ref="E26:I31">
    <sortCondition ref="E25:E31"/>
  </sortState>
  <tableColumns count="5">
    <tableColumn id="1" xr3:uid="{00000000-0010-0000-3E00-000001000000}" name="Nº Venda" dataDxfId="1089"/>
    <tableColumn id="2" xr3:uid="{00000000-0010-0000-3E00-000002000000}" name="Cliente" dataDxfId="1088"/>
    <tableColumn id="3" xr3:uid="{00000000-0010-0000-3E00-000003000000}" name="Forma de Pgto" dataDxfId="1087" dataCellStyle="Moeda"/>
    <tableColumn id="4" xr3:uid="{00000000-0010-0000-3E00-000004000000}" name="Valor Venda" dataDxfId="1086" dataCellStyle="Porcentagem"/>
    <tableColumn id="5" xr3:uid="{00000000-0010-0000-3E00-000005000000}" name="Entrada" dataDxfId="1085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F000000}" name="os_entr_dia11" displayName="os_entr_dia11" ref="K14:M31" totalsRowShown="0" headerRowDxfId="1084" dataDxfId="1082" headerRowBorderDxfId="1083" tableBorderDxfId="1081" totalsRowBorderDxfId="1080">
  <autoFilter ref="K14:M31" xr:uid="{00000000-0009-0000-0100-000047000000}"/>
  <tableColumns count="3">
    <tableColumn id="1" xr3:uid="{00000000-0010-0000-3F00-000001000000}" name="OS" dataDxfId="1079"/>
    <tableColumn id="2" xr3:uid="{00000000-0010-0000-3F00-000002000000}" name="Vendedor" dataDxfId="1078"/>
    <tableColumn id="3" xr3:uid="{00000000-0010-0000-3F00-000003000000}" name="CARNE" dataDxfId="1077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0000000}" name="rec_carn11" displayName="rec_carn11" ref="E34:I41" totalsRowShown="0" headerRowDxfId="1076" dataDxfId="1074" headerRowBorderDxfId="1075" tableBorderDxfId="1073" totalsRowBorderDxfId="1072">
  <autoFilter ref="E34:I41" xr:uid="{00000000-0009-0000-0100-000048000000}"/>
  <sortState xmlns:xlrd2="http://schemas.microsoft.com/office/spreadsheetml/2017/richdata2" ref="E35:I40">
    <sortCondition ref="E25:E31"/>
  </sortState>
  <tableColumns count="5">
    <tableColumn id="1" xr3:uid="{00000000-0010-0000-4000-000001000000}" name="OS" dataDxfId="1071"/>
    <tableColumn id="2" xr3:uid="{00000000-0010-0000-4000-000002000000}" name="Cliente" dataDxfId="1070"/>
    <tableColumn id="3" xr3:uid="{00000000-0010-0000-4000-000003000000}" name="Forma de Pgto" dataDxfId="1069" dataCellStyle="Moeda"/>
    <tableColumn id="4" xr3:uid="{00000000-0010-0000-4000-000004000000}" name="Valor Parcela" dataDxfId="1068" dataCellStyle="Porcentagem"/>
    <tableColumn id="5" xr3:uid="{00000000-0010-0000-4000-000005000000}" name="Nº Parcela" dataDxfId="1067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1000000}" name="entr_carn11" displayName="entr_carn11" ref="K34:M41" totalsRowShown="0" headerRowDxfId="1066" headerRowBorderDxfId="1065" tableBorderDxfId="1064" totalsRowBorderDxfId="1063">
  <autoFilter ref="K34:M41" xr:uid="{00000000-0009-0000-0100-000049000000}"/>
  <tableColumns count="3">
    <tableColumn id="1" xr3:uid="{00000000-0010-0000-4100-000001000000}" name="OS" dataDxfId="1062"/>
    <tableColumn id="2" xr3:uid="{00000000-0010-0000-4100-000002000000}" name="Parcelas" dataDxfId="1061"/>
    <tableColumn id="3" xr3:uid="{00000000-0010-0000-4100-000003000000}" name="Valor Total" dataDxfId="1060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2000000}" name="vend12" displayName="vend12" ref="E5:I22" totalsRowShown="0" headerRowDxfId="1059" dataDxfId="1057" headerRowBorderDxfId="1058" tableBorderDxfId="1056" totalsRowBorderDxfId="1055">
  <autoFilter ref="E5:I22" xr:uid="{00000000-0009-0000-0100-000051000000}"/>
  <sortState xmlns:xlrd2="http://schemas.microsoft.com/office/spreadsheetml/2017/richdata2" ref="E6:I22">
    <sortCondition ref="E5:E22"/>
  </sortState>
  <tableColumns count="5">
    <tableColumn id="1" xr3:uid="{00000000-0010-0000-4200-000001000000}" name="Nº Venda" dataDxfId="1054" dataCellStyle="Moeda"/>
    <tableColumn id="5" xr3:uid="{00000000-0010-0000-4200-000005000000}" name="Cliente" dataDxfId="1053" dataCellStyle="Moeda"/>
    <tableColumn id="2" xr3:uid="{00000000-0010-0000-4200-000002000000}" name="Forma de Pgto" dataDxfId="1052" dataCellStyle="Moeda"/>
    <tableColumn id="3" xr3:uid="{00000000-0010-0000-4200-000003000000}" name="Valor Venda" dataDxfId="1051" dataCellStyle="Porcentagem"/>
    <tableColumn id="4" xr3:uid="{00000000-0010-0000-4200-000004000000}" name="Entrada" dataDxfId="1050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desp12" displayName="desp12" ref="K5:M11" totalsRowShown="0" headerRowDxfId="1049" dataDxfId="1047" headerRowBorderDxfId="1048" tableBorderDxfId="1046" totalsRowBorderDxfId="1045">
  <autoFilter ref="K5:M11" xr:uid="{00000000-0009-0000-0100-000052000000}"/>
  <tableColumns count="3">
    <tableColumn id="1" xr3:uid="{00000000-0010-0000-4300-000001000000}" name="Descrição" dataDxfId="1044"/>
    <tableColumn id="2" xr3:uid="{00000000-0010-0000-4300-000002000000}" name="Tipo de Pagto" dataDxfId="1043"/>
    <tableColumn id="3" xr3:uid="{00000000-0010-0000-4300-000003000000}" name="Valor" dataDxfId="1042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4000000}" name="rest_entr12" displayName="rest_entr12" ref="E25:I31" totalsRowShown="0" headerRowDxfId="1041" dataDxfId="1039" headerRowBorderDxfId="1040" tableBorderDxfId="1038" totalsRowBorderDxfId="1037">
  <autoFilter ref="E25:I31" xr:uid="{00000000-0009-0000-0100-000053000000}"/>
  <sortState xmlns:xlrd2="http://schemas.microsoft.com/office/spreadsheetml/2017/richdata2" ref="E26:I31">
    <sortCondition ref="E25:E31"/>
  </sortState>
  <tableColumns count="5">
    <tableColumn id="1" xr3:uid="{00000000-0010-0000-4400-000001000000}" name="Nº Venda" dataDxfId="1036"/>
    <tableColumn id="2" xr3:uid="{00000000-0010-0000-4400-000002000000}" name="Cliente" dataDxfId="1035"/>
    <tableColumn id="3" xr3:uid="{00000000-0010-0000-4400-000003000000}" name="Forma de Pgto" dataDxfId="1034" dataCellStyle="Moeda"/>
    <tableColumn id="4" xr3:uid="{00000000-0010-0000-4400-000004000000}" name="Valor Venda" dataDxfId="1033" dataCellStyle="Porcentagem"/>
    <tableColumn id="5" xr3:uid="{00000000-0010-0000-4400-000005000000}" name="Entrada" dataDxfId="1032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5000000}" name="os_entr_dia12" displayName="os_entr_dia12" ref="K14:M31" totalsRowShown="0" headerRowDxfId="1031" dataDxfId="1029" headerRowBorderDxfId="1030" tableBorderDxfId="1028" totalsRowBorderDxfId="1027">
  <autoFilter ref="K14:M31" xr:uid="{00000000-0009-0000-0100-000054000000}"/>
  <tableColumns count="3">
    <tableColumn id="1" xr3:uid="{00000000-0010-0000-4500-000001000000}" name="OS" dataDxfId="1026"/>
    <tableColumn id="2" xr3:uid="{00000000-0010-0000-4500-000002000000}" name="Vendedor" dataDxfId="1025"/>
    <tableColumn id="3" xr3:uid="{00000000-0010-0000-4500-000003000000}" name="CARNE" dataDxfId="1024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6000000}" name="rec_carn12" displayName="rec_carn12" ref="E34:I41" totalsRowShown="0" headerRowDxfId="1023" dataDxfId="1021" headerRowBorderDxfId="1022" tableBorderDxfId="1020" totalsRowBorderDxfId="1019">
  <autoFilter ref="E34:I41" xr:uid="{00000000-0009-0000-0100-000055000000}"/>
  <sortState xmlns:xlrd2="http://schemas.microsoft.com/office/spreadsheetml/2017/richdata2" ref="E35:I40">
    <sortCondition ref="E25:E31"/>
  </sortState>
  <tableColumns count="5">
    <tableColumn id="1" xr3:uid="{00000000-0010-0000-4600-000001000000}" name="OS" dataDxfId="1018"/>
    <tableColumn id="2" xr3:uid="{00000000-0010-0000-4600-000002000000}" name="Cliente" dataDxfId="1017"/>
    <tableColumn id="3" xr3:uid="{00000000-0010-0000-4600-000003000000}" name="Forma de Pgto" dataDxfId="1016" dataCellStyle="Moeda"/>
    <tableColumn id="4" xr3:uid="{00000000-0010-0000-4600-000004000000}" name="Valor Parcela" dataDxfId="1015" dataCellStyle="Porcentagem"/>
    <tableColumn id="5" xr3:uid="{00000000-0010-0000-4600-000005000000}" name="Nº Parcela" dataDxfId="1014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47000000}" name="entr_carn12" displayName="entr_carn12" ref="K34:M41" totalsRowShown="0" headerRowDxfId="1013" headerRowBorderDxfId="1012" tableBorderDxfId="1011" totalsRowBorderDxfId="1010">
  <autoFilter ref="K34:M41" xr:uid="{00000000-0009-0000-0100-000056000000}"/>
  <tableColumns count="3">
    <tableColumn id="1" xr3:uid="{00000000-0010-0000-4700-000001000000}" name="OS" dataDxfId="1009"/>
    <tableColumn id="2" xr3:uid="{00000000-0010-0000-4700-000002000000}" name="Parcelas" dataDxfId="1008"/>
    <tableColumn id="3" xr3:uid="{00000000-0010-0000-4700-000003000000}" name="Valor Total" dataDxfId="1007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48000000}" name="vend13" displayName="vend13" ref="E5:I22" totalsRowShown="0" headerRowDxfId="1006" headerRowBorderDxfId="1005" tableBorderDxfId="1004" totalsRowBorderDxfId="1003">
  <autoFilter ref="E5:I22" xr:uid="{00000000-0009-0000-0100-000057000000}"/>
  <sortState xmlns:xlrd2="http://schemas.microsoft.com/office/spreadsheetml/2017/richdata2" ref="E6:I22">
    <sortCondition ref="E5:E22"/>
  </sortState>
  <tableColumns count="5">
    <tableColumn id="1" xr3:uid="{00000000-0010-0000-4800-000001000000}" name="Nº Venda" dataDxfId="1002" dataCellStyle="Moeda"/>
    <tableColumn id="5" xr3:uid="{00000000-0010-0000-4800-000005000000}" name="Cliente" dataDxfId="1001" dataCellStyle="Moeda"/>
    <tableColumn id="2" xr3:uid="{00000000-0010-0000-4800-000002000000}" name="Forma de Pgto" dataDxfId="1000" dataCellStyle="Moeda"/>
    <tableColumn id="3" xr3:uid="{00000000-0010-0000-4800-000003000000}" name="Valor Venda" dataDxfId="999" dataCellStyle="Porcentagem"/>
    <tableColumn id="4" xr3:uid="{00000000-0010-0000-4800-000004000000}" name="Entrada" dataDxfId="998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49000000}" name="desp13" displayName="desp13" ref="K5:M11" totalsRowShown="0" headerRowDxfId="997" dataDxfId="995" headerRowBorderDxfId="996" tableBorderDxfId="994" totalsRowBorderDxfId="993">
  <autoFilter ref="K5:M11" xr:uid="{00000000-0009-0000-0100-000058000000}"/>
  <tableColumns count="3">
    <tableColumn id="1" xr3:uid="{00000000-0010-0000-4900-000001000000}" name="Descrição" dataDxfId="992"/>
    <tableColumn id="2" xr3:uid="{00000000-0010-0000-4900-000002000000}" name="Tipo de Pagto" dataDxfId="991"/>
    <tableColumn id="3" xr3:uid="{00000000-0010-0000-4900-000003000000}" name="Valor" dataDxfId="990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4A000000}" name="rest_entr13" displayName="rest_entr13" ref="E25:I31" totalsRowShown="0" headerRowDxfId="989" dataDxfId="987" headerRowBorderDxfId="988" tableBorderDxfId="986" totalsRowBorderDxfId="985">
  <autoFilter ref="E25:I31" xr:uid="{00000000-0009-0000-0100-000059000000}"/>
  <sortState xmlns:xlrd2="http://schemas.microsoft.com/office/spreadsheetml/2017/richdata2" ref="E26:I31">
    <sortCondition ref="E25:E31"/>
  </sortState>
  <tableColumns count="5">
    <tableColumn id="1" xr3:uid="{00000000-0010-0000-4A00-000001000000}" name="Nº Venda" dataDxfId="984"/>
    <tableColumn id="2" xr3:uid="{00000000-0010-0000-4A00-000002000000}" name="Cliente" dataDxfId="983"/>
    <tableColumn id="3" xr3:uid="{00000000-0010-0000-4A00-000003000000}" name="Forma de Pgto" dataDxfId="982" dataCellStyle="Moeda"/>
    <tableColumn id="4" xr3:uid="{00000000-0010-0000-4A00-000004000000}" name="Valor Venda" dataDxfId="981" dataCellStyle="Porcentagem"/>
    <tableColumn id="5" xr3:uid="{00000000-0010-0000-4A00-000005000000}" name="Entrada" dataDxfId="980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4B000000}" name="os_entr_dia13" displayName="os_entr_dia13" ref="K14:M31" totalsRowShown="0" headerRowDxfId="979" dataDxfId="977" headerRowBorderDxfId="978" tableBorderDxfId="976" totalsRowBorderDxfId="975">
  <autoFilter ref="K14:M31" xr:uid="{00000000-0009-0000-0100-00005A000000}"/>
  <tableColumns count="3">
    <tableColumn id="1" xr3:uid="{00000000-0010-0000-4B00-000001000000}" name="OS" dataDxfId="974"/>
    <tableColumn id="2" xr3:uid="{00000000-0010-0000-4B00-000002000000}" name="Vendedor" dataDxfId="973"/>
    <tableColumn id="3" xr3:uid="{00000000-0010-0000-4B00-000003000000}" name="CARNE" dataDxfId="97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4C000000}" name="rec_carn13" displayName="rec_carn13" ref="E34:I41" totalsRowShown="0" headerRowDxfId="971" dataDxfId="969" headerRowBorderDxfId="970" tableBorderDxfId="968" totalsRowBorderDxfId="967">
  <autoFilter ref="E34:I41" xr:uid="{00000000-0009-0000-0100-00005B000000}"/>
  <sortState xmlns:xlrd2="http://schemas.microsoft.com/office/spreadsheetml/2017/richdata2" ref="E35:I40">
    <sortCondition ref="E25:E31"/>
  </sortState>
  <tableColumns count="5">
    <tableColumn id="1" xr3:uid="{00000000-0010-0000-4C00-000001000000}" name="OS" dataDxfId="966"/>
    <tableColumn id="2" xr3:uid="{00000000-0010-0000-4C00-000002000000}" name="Cliente" dataDxfId="965"/>
    <tableColumn id="3" xr3:uid="{00000000-0010-0000-4C00-000003000000}" name="Forma de Pgto" dataDxfId="964" dataCellStyle="Moeda"/>
    <tableColumn id="4" xr3:uid="{00000000-0010-0000-4C00-000004000000}" name="Valor Parcela" dataDxfId="963" dataCellStyle="Porcentagem"/>
    <tableColumn id="5" xr3:uid="{00000000-0010-0000-4C00-000005000000}" name="Nº Parcela" dataDxfId="962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4D000000}" name="entr_carn13" displayName="entr_carn13" ref="K34:M41" totalsRowShown="0" headerRowDxfId="961" headerRowBorderDxfId="960" tableBorderDxfId="959" totalsRowBorderDxfId="958">
  <autoFilter ref="K34:M41" xr:uid="{00000000-0009-0000-0100-00005C000000}"/>
  <tableColumns count="3">
    <tableColumn id="1" xr3:uid="{00000000-0010-0000-4D00-000001000000}" name="OS" dataDxfId="957"/>
    <tableColumn id="2" xr3:uid="{00000000-0010-0000-4D00-000002000000}" name="Parcelas" dataDxfId="956"/>
    <tableColumn id="3" xr3:uid="{00000000-0010-0000-4D00-000003000000}" name="Valor Total" dataDxfId="955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E000000}" name="vend14" displayName="vend14" ref="E5:I22" totalsRowShown="0" headerRowDxfId="954" dataDxfId="952" headerRowBorderDxfId="953" tableBorderDxfId="951" totalsRowBorderDxfId="950">
  <autoFilter ref="E5:I22" xr:uid="{00000000-0009-0000-0100-00004A000000}"/>
  <sortState xmlns:xlrd2="http://schemas.microsoft.com/office/spreadsheetml/2017/richdata2" ref="E6:I22">
    <sortCondition ref="E5:E22"/>
  </sortState>
  <tableColumns count="5">
    <tableColumn id="1" xr3:uid="{00000000-0010-0000-4E00-000001000000}" name="Nº Venda" dataDxfId="949" dataCellStyle="Moeda"/>
    <tableColumn id="5" xr3:uid="{00000000-0010-0000-4E00-000005000000}" name="Cliente" dataDxfId="948" dataCellStyle="Moeda"/>
    <tableColumn id="2" xr3:uid="{00000000-0010-0000-4E00-000002000000}" name="Forma de Pgto" dataDxfId="947" dataCellStyle="Moeda"/>
    <tableColumn id="3" xr3:uid="{00000000-0010-0000-4E00-000003000000}" name="Valor Venda" dataDxfId="946" dataCellStyle="Porcentagem"/>
    <tableColumn id="4" xr3:uid="{00000000-0010-0000-4E00-000004000000}" name="Entrada" dataDxfId="945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F000000}" name="desp14" displayName="desp14" ref="K5:M11" totalsRowShown="0" headerRowDxfId="944" dataDxfId="942" headerRowBorderDxfId="943" tableBorderDxfId="941" totalsRowBorderDxfId="940">
  <autoFilter ref="K5:M11" xr:uid="{00000000-0009-0000-0100-00004B000000}"/>
  <tableColumns count="3">
    <tableColumn id="1" xr3:uid="{00000000-0010-0000-4F00-000001000000}" name="Descrição" dataDxfId="939"/>
    <tableColumn id="2" xr3:uid="{00000000-0010-0000-4F00-000002000000}" name="Tipo de Pagto" dataDxfId="938"/>
    <tableColumn id="3" xr3:uid="{00000000-0010-0000-4F00-000003000000}" name="Valor" dataDxfId="937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50000000}" name="rest_entr14" displayName="rest_entr14" ref="E25:I31" totalsRowShown="0" headerRowDxfId="936" dataDxfId="934" headerRowBorderDxfId="935" tableBorderDxfId="933" totalsRowBorderDxfId="932">
  <autoFilter ref="E25:I31" xr:uid="{00000000-0009-0000-0100-00004C000000}"/>
  <sortState xmlns:xlrd2="http://schemas.microsoft.com/office/spreadsheetml/2017/richdata2" ref="E26:I31">
    <sortCondition ref="E25:E31"/>
  </sortState>
  <tableColumns count="5">
    <tableColumn id="1" xr3:uid="{00000000-0010-0000-5000-000001000000}" name="Nº Venda" dataDxfId="931"/>
    <tableColumn id="2" xr3:uid="{00000000-0010-0000-5000-000002000000}" name="Cliente" dataDxfId="930"/>
    <tableColumn id="3" xr3:uid="{00000000-0010-0000-5000-000003000000}" name="Forma de Pgto" dataDxfId="929" dataCellStyle="Moeda"/>
    <tableColumn id="4" xr3:uid="{00000000-0010-0000-5000-000004000000}" name="Valor Venda" dataDxfId="928" dataCellStyle="Porcentagem"/>
    <tableColumn id="5" xr3:uid="{00000000-0010-0000-5000-000005000000}" name="Entrada" dataDxfId="927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51000000}" name="os_entr_dia14" displayName="os_entr_dia14" ref="K14:M31" totalsRowShown="0" headerRowDxfId="926" dataDxfId="924" headerRowBorderDxfId="925" tableBorderDxfId="923" totalsRowBorderDxfId="922">
  <autoFilter ref="K14:M31" xr:uid="{00000000-0009-0000-0100-00004D000000}"/>
  <tableColumns count="3">
    <tableColumn id="1" xr3:uid="{00000000-0010-0000-5100-000001000000}" name="OS" dataDxfId="921"/>
    <tableColumn id="2" xr3:uid="{00000000-0010-0000-5100-000002000000}" name="Vendedor" dataDxfId="920"/>
    <tableColumn id="3" xr3:uid="{00000000-0010-0000-5100-000003000000}" name="CARNE" dataDxfId="91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52000000}" name="rec_carn14" displayName="rec_carn14" ref="E34:I41" totalsRowShown="0" headerRowDxfId="918" dataDxfId="916" headerRowBorderDxfId="917" tableBorderDxfId="915" totalsRowBorderDxfId="914">
  <autoFilter ref="E34:I41" xr:uid="{00000000-0009-0000-0100-00004E000000}"/>
  <sortState xmlns:xlrd2="http://schemas.microsoft.com/office/spreadsheetml/2017/richdata2" ref="E35:I40">
    <sortCondition ref="E25:E31"/>
  </sortState>
  <tableColumns count="5">
    <tableColumn id="1" xr3:uid="{00000000-0010-0000-5200-000001000000}" name="OS" dataDxfId="913"/>
    <tableColumn id="2" xr3:uid="{00000000-0010-0000-5200-000002000000}" name="Cliente" dataDxfId="912"/>
    <tableColumn id="3" xr3:uid="{00000000-0010-0000-5200-000003000000}" name="Forma de Pgto" dataDxfId="911" dataCellStyle="Moeda"/>
    <tableColumn id="4" xr3:uid="{00000000-0010-0000-5200-000004000000}" name="Valor Parcela" dataDxfId="910" dataCellStyle="Porcentagem"/>
    <tableColumn id="5" xr3:uid="{00000000-0010-0000-5200-000005000000}" name="Nº Parcela" dataDxfId="909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53000000}" name="entr_carn14" displayName="entr_carn14" ref="K34:M41" totalsRowShown="0" headerRowDxfId="908" headerRowBorderDxfId="907" tableBorderDxfId="906" totalsRowBorderDxfId="905">
  <autoFilter ref="K34:M41" xr:uid="{00000000-0009-0000-0100-00004F000000}"/>
  <tableColumns count="3">
    <tableColumn id="1" xr3:uid="{00000000-0010-0000-5300-000001000000}" name="OS" dataDxfId="904"/>
    <tableColumn id="2" xr3:uid="{00000000-0010-0000-5300-000002000000}" name="Parcelas" dataDxfId="903"/>
    <tableColumn id="3" xr3:uid="{00000000-0010-0000-5300-000003000000}" name="Valor Total" dataDxfId="902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54000000}" name="vend15" displayName="vend15" ref="E5:I22" totalsRowShown="0" headerRowDxfId="901" dataDxfId="899" headerRowBorderDxfId="900" tableBorderDxfId="898" totalsRowBorderDxfId="897">
  <autoFilter ref="E5:I22" xr:uid="{00000000-0009-0000-0100-00003E000000}"/>
  <sortState xmlns:xlrd2="http://schemas.microsoft.com/office/spreadsheetml/2017/richdata2" ref="E6:I22">
    <sortCondition ref="E5:E22"/>
  </sortState>
  <tableColumns count="5">
    <tableColumn id="1" xr3:uid="{00000000-0010-0000-5400-000001000000}" name="Nº Venda" dataDxfId="896" dataCellStyle="Moeda"/>
    <tableColumn id="5" xr3:uid="{00000000-0010-0000-5400-000005000000}" name="Cliente" dataDxfId="895" dataCellStyle="Moeda"/>
    <tableColumn id="2" xr3:uid="{00000000-0010-0000-5400-000002000000}" name="Forma de Pgto" dataDxfId="894" dataCellStyle="Moeda"/>
    <tableColumn id="3" xr3:uid="{00000000-0010-0000-5400-000003000000}" name="Valor Venda" dataDxfId="893" dataCellStyle="Porcentagem"/>
    <tableColumn id="4" xr3:uid="{00000000-0010-0000-5400-000004000000}" name="Entrada" dataDxfId="892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55000000}" name="desp15" displayName="desp15" ref="K5:M11" totalsRowShown="0" headerRowDxfId="891" dataDxfId="889" headerRowBorderDxfId="890" tableBorderDxfId="888" totalsRowBorderDxfId="887">
  <autoFilter ref="K5:M11" xr:uid="{00000000-0009-0000-0100-00003F000000}"/>
  <tableColumns count="3">
    <tableColumn id="1" xr3:uid="{00000000-0010-0000-5500-000001000000}" name="Descrição" dataDxfId="886"/>
    <tableColumn id="2" xr3:uid="{00000000-0010-0000-5500-000002000000}" name="Tipo de Pagto" dataDxfId="885"/>
    <tableColumn id="3" xr3:uid="{00000000-0010-0000-5500-000003000000}" name="Valor" dataDxfId="884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56000000}" name="rest_entr15" displayName="rest_entr15" ref="E25:I31" totalsRowShown="0" headerRowDxfId="883" dataDxfId="881" headerRowBorderDxfId="882" tableBorderDxfId="880" totalsRowBorderDxfId="879">
  <autoFilter ref="E25:I31" xr:uid="{00000000-0009-0000-0100-000040000000}"/>
  <sortState xmlns:xlrd2="http://schemas.microsoft.com/office/spreadsheetml/2017/richdata2" ref="E26:I31">
    <sortCondition ref="E25:E31"/>
  </sortState>
  <tableColumns count="5">
    <tableColumn id="1" xr3:uid="{00000000-0010-0000-5600-000001000000}" name="Nº Venda" dataDxfId="878"/>
    <tableColumn id="2" xr3:uid="{00000000-0010-0000-5600-000002000000}" name="Cliente" dataDxfId="877"/>
    <tableColumn id="3" xr3:uid="{00000000-0010-0000-5600-000003000000}" name="Forma de Pgto" dataDxfId="876" dataCellStyle="Moeda"/>
    <tableColumn id="4" xr3:uid="{00000000-0010-0000-5600-000004000000}" name="Valor Venda" dataDxfId="875" dataCellStyle="Porcentagem"/>
    <tableColumn id="5" xr3:uid="{00000000-0010-0000-5600-000005000000}" name="Entrada" dataDxfId="874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57000000}" name="os_entr_dia15" displayName="os_entr_dia15" ref="K14:M31" totalsRowShown="0" headerRowDxfId="873" dataDxfId="871" headerRowBorderDxfId="872" tableBorderDxfId="870" totalsRowBorderDxfId="869">
  <autoFilter ref="K14:M31" xr:uid="{00000000-0009-0000-0100-000041000000}"/>
  <tableColumns count="3">
    <tableColumn id="1" xr3:uid="{00000000-0010-0000-5700-000001000000}" name="OS" dataDxfId="868"/>
    <tableColumn id="2" xr3:uid="{00000000-0010-0000-5700-000002000000}" name="Vendedor" dataDxfId="867"/>
    <tableColumn id="3" xr3:uid="{00000000-0010-0000-5700-000003000000}" name="CARNE" dataDxfId="866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58000000}" name="rec_carn15" displayName="rec_carn15" ref="E34:I41" totalsRowShown="0" headerRowDxfId="865" dataDxfId="863" headerRowBorderDxfId="864" tableBorderDxfId="862" totalsRowBorderDxfId="861">
  <autoFilter ref="E34:I41" xr:uid="{00000000-0009-0000-0100-000042000000}"/>
  <sortState xmlns:xlrd2="http://schemas.microsoft.com/office/spreadsheetml/2017/richdata2" ref="E35:I40">
    <sortCondition ref="E25:E31"/>
  </sortState>
  <tableColumns count="5">
    <tableColumn id="1" xr3:uid="{00000000-0010-0000-5800-000001000000}" name="OS" dataDxfId="860"/>
    <tableColumn id="2" xr3:uid="{00000000-0010-0000-5800-000002000000}" name="Cliente" dataDxfId="859"/>
    <tableColumn id="3" xr3:uid="{00000000-0010-0000-5800-000003000000}" name="Forma de Pgto" dataDxfId="858" dataCellStyle="Moeda"/>
    <tableColumn id="4" xr3:uid="{00000000-0010-0000-5800-000004000000}" name="Valor Parcela" dataDxfId="857" dataCellStyle="Porcentagem"/>
    <tableColumn id="5" xr3:uid="{00000000-0010-0000-5800-000005000000}" name="Nº Parcela" dataDxfId="856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59000000}" name="entr_carn15" displayName="entr_carn15" ref="K34:M41" totalsRowShown="0" headerRowDxfId="855" headerRowBorderDxfId="854" tableBorderDxfId="853" totalsRowBorderDxfId="852">
  <autoFilter ref="K34:M41" xr:uid="{00000000-0009-0000-0100-000043000000}"/>
  <tableColumns count="3">
    <tableColumn id="1" xr3:uid="{00000000-0010-0000-5900-000001000000}" name="OS" dataDxfId="851"/>
    <tableColumn id="2" xr3:uid="{00000000-0010-0000-5900-000002000000}" name="Parcelas" dataDxfId="850"/>
    <tableColumn id="3" xr3:uid="{00000000-0010-0000-5900-000003000000}" name="Valor Total" dataDxfId="849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A000000}" name="vend16" displayName="vend16" ref="E5:I22" totalsRowShown="0" headerRowDxfId="848" dataDxfId="846" headerRowBorderDxfId="847" tableBorderDxfId="845" totalsRowBorderDxfId="844">
  <autoFilter ref="E5:I22" xr:uid="{00000000-0009-0000-0100-00005D000000}"/>
  <sortState xmlns:xlrd2="http://schemas.microsoft.com/office/spreadsheetml/2017/richdata2" ref="E6:I22">
    <sortCondition ref="E5:E22"/>
  </sortState>
  <tableColumns count="5">
    <tableColumn id="1" xr3:uid="{00000000-0010-0000-5A00-000001000000}" name="Nº Venda" dataDxfId="843" dataCellStyle="Moeda"/>
    <tableColumn id="5" xr3:uid="{00000000-0010-0000-5A00-000005000000}" name="Cliente" dataDxfId="842" dataCellStyle="Moeda"/>
    <tableColumn id="2" xr3:uid="{00000000-0010-0000-5A00-000002000000}" name="Forma de Pgto" dataDxfId="841" dataCellStyle="Moeda"/>
    <tableColumn id="3" xr3:uid="{00000000-0010-0000-5A00-000003000000}" name="Valor Venda" dataDxfId="840" dataCellStyle="Porcentagem"/>
    <tableColumn id="4" xr3:uid="{00000000-0010-0000-5A00-000004000000}" name="Entrada" dataDxfId="839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B000000}" name="desp16" displayName="desp16" ref="K5:M11" totalsRowShown="0" headerRowDxfId="838" dataDxfId="836" headerRowBorderDxfId="837" tableBorderDxfId="835" totalsRowBorderDxfId="834">
  <autoFilter ref="K5:M11" xr:uid="{00000000-0009-0000-0100-00005E000000}"/>
  <tableColumns count="3">
    <tableColumn id="1" xr3:uid="{00000000-0010-0000-5B00-000001000000}" name="Descrição" dataDxfId="833"/>
    <tableColumn id="2" xr3:uid="{00000000-0010-0000-5B00-000002000000}" name="Tipo de Pagto" dataDxfId="832"/>
    <tableColumn id="3" xr3:uid="{00000000-0010-0000-5B00-000003000000}" name="Valor" dataDxfId="831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C000000}" name="rest_entr16" displayName="rest_entr16" ref="E25:I31" totalsRowShown="0" headerRowDxfId="830" dataDxfId="828" headerRowBorderDxfId="829" tableBorderDxfId="827" totalsRowBorderDxfId="826">
  <autoFilter ref="E25:I31" xr:uid="{00000000-0009-0000-0100-00005F000000}"/>
  <sortState xmlns:xlrd2="http://schemas.microsoft.com/office/spreadsheetml/2017/richdata2" ref="E26:I31">
    <sortCondition ref="E25:E31"/>
  </sortState>
  <tableColumns count="5">
    <tableColumn id="1" xr3:uid="{00000000-0010-0000-5C00-000001000000}" name="Nº Venda" dataDxfId="825"/>
    <tableColumn id="2" xr3:uid="{00000000-0010-0000-5C00-000002000000}" name="Cliente" dataDxfId="824"/>
    <tableColumn id="3" xr3:uid="{00000000-0010-0000-5C00-000003000000}" name="Forma de Pgto" dataDxfId="823" dataCellStyle="Moeda"/>
    <tableColumn id="4" xr3:uid="{00000000-0010-0000-5C00-000004000000}" name="Valor Venda" dataDxfId="822" dataCellStyle="Porcentagem"/>
    <tableColumn id="5" xr3:uid="{00000000-0010-0000-5C00-000005000000}" name="Entrada" dataDxfId="821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D000000}" name="os_entr_dia16" displayName="os_entr_dia16" ref="K14:M31" totalsRowShown="0" headerRowDxfId="820" dataDxfId="818" headerRowBorderDxfId="819" tableBorderDxfId="817" totalsRowBorderDxfId="816">
  <autoFilter ref="K14:M31" xr:uid="{00000000-0009-0000-0100-000060000000}"/>
  <sortState xmlns:xlrd2="http://schemas.microsoft.com/office/spreadsheetml/2017/richdata2" ref="K15:M31">
    <sortCondition ref="K14:K31"/>
  </sortState>
  <tableColumns count="3">
    <tableColumn id="1" xr3:uid="{00000000-0010-0000-5D00-000001000000}" name="OS" dataDxfId="815"/>
    <tableColumn id="2" xr3:uid="{00000000-0010-0000-5D00-000002000000}" name="Vendedor" dataDxfId="814"/>
    <tableColumn id="3" xr3:uid="{00000000-0010-0000-5D00-000003000000}" name="CARNE" dataDxfId="813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E000000}" name="rec_carn16" displayName="rec_carn16" ref="E34:I41" totalsRowShown="0" headerRowDxfId="812" dataDxfId="810" headerRowBorderDxfId="811" tableBorderDxfId="809" totalsRowBorderDxfId="808">
  <autoFilter ref="E34:I41" xr:uid="{00000000-0009-0000-0100-000061000000}"/>
  <sortState xmlns:xlrd2="http://schemas.microsoft.com/office/spreadsheetml/2017/richdata2" ref="E35:I40">
    <sortCondition ref="E25:E31"/>
  </sortState>
  <tableColumns count="5">
    <tableColumn id="1" xr3:uid="{00000000-0010-0000-5E00-000001000000}" name="OS" dataDxfId="807"/>
    <tableColumn id="2" xr3:uid="{00000000-0010-0000-5E00-000002000000}" name="Cliente" dataDxfId="806"/>
    <tableColumn id="3" xr3:uid="{00000000-0010-0000-5E00-000003000000}" name="Forma de Pgto" dataDxfId="805" dataCellStyle="Moeda"/>
    <tableColumn id="4" xr3:uid="{00000000-0010-0000-5E00-000004000000}" name="Valor Parcela" dataDxfId="804" dataCellStyle="Porcentagem"/>
    <tableColumn id="5" xr3:uid="{00000000-0010-0000-5E00-000005000000}" name="Nº Parcela" dataDxfId="803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F000000}" name="entr_carn16" displayName="entr_carn16" ref="K34:M41" totalsRowShown="0" headerRowDxfId="802" headerRowBorderDxfId="801" tableBorderDxfId="800" totalsRowBorderDxfId="799">
  <autoFilter ref="K34:M41" xr:uid="{00000000-0009-0000-0100-000062000000}"/>
  <tableColumns count="3">
    <tableColumn id="1" xr3:uid="{00000000-0010-0000-5F00-000001000000}" name="OS" dataDxfId="798"/>
    <tableColumn id="2" xr3:uid="{00000000-0010-0000-5F00-000002000000}" name="Parcelas" dataDxfId="797"/>
    <tableColumn id="3" xr3:uid="{00000000-0010-0000-5F00-000003000000}" name="Valor Total" dataDxfId="796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0000000}" name="vend17" displayName="vend17" ref="E5:I22" totalsRowShown="0" headerRowDxfId="795" dataDxfId="793" headerRowBorderDxfId="794" tableBorderDxfId="792" totalsRowBorderDxfId="791">
  <autoFilter ref="E5:I22" xr:uid="{00000000-0009-0000-0100-000063000000}"/>
  <sortState xmlns:xlrd2="http://schemas.microsoft.com/office/spreadsheetml/2017/richdata2" ref="E6:I22">
    <sortCondition ref="E5:E22"/>
  </sortState>
  <tableColumns count="5">
    <tableColumn id="1" xr3:uid="{00000000-0010-0000-6000-000001000000}" name="Nº Venda" dataDxfId="790" dataCellStyle="Moeda"/>
    <tableColumn id="5" xr3:uid="{00000000-0010-0000-6000-000005000000}" name="Cliente" dataDxfId="789" dataCellStyle="Moeda"/>
    <tableColumn id="2" xr3:uid="{00000000-0010-0000-6000-000002000000}" name="Forma de Pgto" dataDxfId="788" dataCellStyle="Moeda"/>
    <tableColumn id="3" xr3:uid="{00000000-0010-0000-6000-000003000000}" name="Valor Venda" dataDxfId="787" dataCellStyle="Porcentagem"/>
    <tableColumn id="4" xr3:uid="{00000000-0010-0000-6000-000004000000}" name="Entrada" dataDxfId="786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1000000}" name="desp17" displayName="desp17" ref="K5:M11" totalsRowShown="0" headerRowDxfId="785" dataDxfId="783" headerRowBorderDxfId="784" tableBorderDxfId="782" totalsRowBorderDxfId="781">
  <autoFilter ref="K5:M11" xr:uid="{00000000-0009-0000-0100-000064000000}"/>
  <tableColumns count="3">
    <tableColumn id="1" xr3:uid="{00000000-0010-0000-6100-000001000000}" name="Descrição" dataDxfId="780"/>
    <tableColumn id="2" xr3:uid="{00000000-0010-0000-6100-000002000000}" name="Tipo de Pagto" dataDxfId="779"/>
    <tableColumn id="3" xr3:uid="{00000000-0010-0000-6100-000003000000}" name="Valor" dataDxfId="778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2000000}" name="rest_entr17" displayName="rest_entr17" ref="E25:I31" totalsRowShown="0" headerRowDxfId="777" dataDxfId="775" headerRowBorderDxfId="776" tableBorderDxfId="774" totalsRowBorderDxfId="773">
  <autoFilter ref="E25:I31" xr:uid="{00000000-0009-0000-0100-000065000000}"/>
  <sortState xmlns:xlrd2="http://schemas.microsoft.com/office/spreadsheetml/2017/richdata2" ref="E26:I31">
    <sortCondition ref="E25:E31"/>
  </sortState>
  <tableColumns count="5">
    <tableColumn id="1" xr3:uid="{00000000-0010-0000-6200-000001000000}" name="Nº Venda" dataDxfId="772"/>
    <tableColumn id="2" xr3:uid="{00000000-0010-0000-6200-000002000000}" name="Cliente" dataDxfId="771"/>
    <tableColumn id="3" xr3:uid="{00000000-0010-0000-6200-000003000000}" name="Forma de Pgto" dataDxfId="770" dataCellStyle="Moeda"/>
    <tableColumn id="4" xr3:uid="{00000000-0010-0000-6200-000004000000}" name="Valor Venda" dataDxfId="769" dataCellStyle="Porcentagem"/>
    <tableColumn id="5" xr3:uid="{00000000-0010-0000-6200-000005000000}" name="Entrada" dataDxfId="768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3000000}" name="os_entr_dia17" displayName="os_entr_dia17" ref="K14:M31" totalsRowShown="0" headerRowDxfId="767" dataDxfId="765" headerRowBorderDxfId="766" tableBorderDxfId="764" totalsRowBorderDxfId="763">
  <autoFilter ref="K14:M31" xr:uid="{00000000-0009-0000-0100-000066000000}"/>
  <tableColumns count="3">
    <tableColumn id="1" xr3:uid="{00000000-0010-0000-6300-000001000000}" name="OS" dataDxfId="762"/>
    <tableColumn id="2" xr3:uid="{00000000-0010-0000-6300-000002000000}" name="Vendedor" dataDxfId="761"/>
    <tableColumn id="3" xr3:uid="{00000000-0010-0000-6300-000003000000}" name="CARNE" dataDxfId="760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4000000}" name="rec_carn17" displayName="rec_carn17" ref="E34:I41" totalsRowShown="0" headerRowDxfId="759" dataDxfId="757" headerRowBorderDxfId="758" tableBorderDxfId="756" totalsRowBorderDxfId="755">
  <autoFilter ref="E34:I41" xr:uid="{00000000-0009-0000-0100-000067000000}"/>
  <sortState xmlns:xlrd2="http://schemas.microsoft.com/office/spreadsheetml/2017/richdata2" ref="E35:I40">
    <sortCondition ref="E25:E31"/>
  </sortState>
  <tableColumns count="5">
    <tableColumn id="1" xr3:uid="{00000000-0010-0000-6400-000001000000}" name="OS" dataDxfId="754"/>
    <tableColumn id="2" xr3:uid="{00000000-0010-0000-6400-000002000000}" name="Cliente" dataDxfId="753"/>
    <tableColumn id="3" xr3:uid="{00000000-0010-0000-6400-000003000000}" name="Forma de Pgto" dataDxfId="752" dataCellStyle="Moeda"/>
    <tableColumn id="4" xr3:uid="{00000000-0010-0000-6400-000004000000}" name="Valor Parcela" dataDxfId="751" dataCellStyle="Porcentagem"/>
    <tableColumn id="5" xr3:uid="{00000000-0010-0000-6400-000005000000}" name="Nº Parcela" dataDxfId="750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5000000}" name="entr_carn17" displayName="entr_carn17" ref="K34:M41" totalsRowShown="0" headerRowDxfId="749" headerRowBorderDxfId="748" tableBorderDxfId="747" totalsRowBorderDxfId="746">
  <autoFilter ref="K34:M41" xr:uid="{00000000-0009-0000-0100-000068000000}"/>
  <tableColumns count="3">
    <tableColumn id="1" xr3:uid="{00000000-0010-0000-6500-000001000000}" name="OS" dataDxfId="745"/>
    <tableColumn id="2" xr3:uid="{00000000-0010-0000-6500-000002000000}" name="Parcelas" dataDxfId="744"/>
    <tableColumn id="3" xr3:uid="{00000000-0010-0000-6500-000003000000}" name="Valor Total" dataDxfId="743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6000000}" name="vend18" displayName="vend18" ref="E5:I22" totalsRowShown="0" headerRowDxfId="742" dataDxfId="740" headerRowBorderDxfId="741" tableBorderDxfId="739" totalsRowBorderDxfId="738">
  <autoFilter ref="E5:I22" xr:uid="{00000000-0009-0000-0100-000069000000}"/>
  <sortState xmlns:xlrd2="http://schemas.microsoft.com/office/spreadsheetml/2017/richdata2" ref="E6:I22">
    <sortCondition ref="E5:E22"/>
  </sortState>
  <tableColumns count="5">
    <tableColumn id="1" xr3:uid="{00000000-0010-0000-6600-000001000000}" name="Nº Venda" dataDxfId="737" dataCellStyle="Moeda"/>
    <tableColumn id="5" xr3:uid="{00000000-0010-0000-6600-000005000000}" name="Cliente" dataDxfId="736" dataCellStyle="Moeda"/>
    <tableColumn id="2" xr3:uid="{00000000-0010-0000-6600-000002000000}" name="Forma de Pgto" dataDxfId="735" dataCellStyle="Moeda"/>
    <tableColumn id="3" xr3:uid="{00000000-0010-0000-6600-000003000000}" name="Valor Venda" dataDxfId="734" dataCellStyle="Porcentagem"/>
    <tableColumn id="4" xr3:uid="{00000000-0010-0000-6600-000004000000}" name="Entrada" dataDxfId="733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7000000}" name="desp18" displayName="desp18" ref="K5:M11" totalsRowShown="0" headerRowDxfId="732" dataDxfId="730" headerRowBorderDxfId="731" tableBorderDxfId="729" totalsRowBorderDxfId="728">
  <autoFilter ref="K5:M11" xr:uid="{00000000-0009-0000-0100-00006A000000}"/>
  <tableColumns count="3">
    <tableColumn id="1" xr3:uid="{00000000-0010-0000-6700-000001000000}" name="Descrição" dataDxfId="727"/>
    <tableColumn id="2" xr3:uid="{00000000-0010-0000-6700-000002000000}" name="Tipo de Pagto" dataDxfId="726"/>
    <tableColumn id="3" xr3:uid="{00000000-0010-0000-6700-000003000000}" name="Valor" dataDxfId="725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8000000}" name="rest_entr18" displayName="rest_entr18" ref="E25:I31" totalsRowShown="0" headerRowDxfId="724" dataDxfId="722" headerRowBorderDxfId="723" tableBorderDxfId="721" totalsRowBorderDxfId="720">
  <autoFilter ref="E25:I31" xr:uid="{00000000-0009-0000-0100-00006B000000}"/>
  <sortState xmlns:xlrd2="http://schemas.microsoft.com/office/spreadsheetml/2017/richdata2" ref="E26:I31">
    <sortCondition ref="E25:E31"/>
  </sortState>
  <tableColumns count="5">
    <tableColumn id="1" xr3:uid="{00000000-0010-0000-6800-000001000000}" name="Nº Venda" dataDxfId="719"/>
    <tableColumn id="2" xr3:uid="{00000000-0010-0000-6800-000002000000}" name="Cliente" dataDxfId="718"/>
    <tableColumn id="3" xr3:uid="{00000000-0010-0000-6800-000003000000}" name="Forma de Pgto" dataDxfId="717" dataCellStyle="Moeda"/>
    <tableColumn id="4" xr3:uid="{00000000-0010-0000-6800-000004000000}" name="Valor Venda" dataDxfId="716" dataCellStyle="Porcentagem"/>
    <tableColumn id="5" xr3:uid="{00000000-0010-0000-6800-000005000000}" name="Entrada" dataDxfId="715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9000000}" name="os_entr_dia18" displayName="os_entr_dia18" ref="K14:M31" totalsRowShown="0" headerRowDxfId="714" dataDxfId="712" headerRowBorderDxfId="713" tableBorderDxfId="711" totalsRowBorderDxfId="710">
  <autoFilter ref="K14:M31" xr:uid="{00000000-0009-0000-0100-00006C000000}"/>
  <tableColumns count="3">
    <tableColumn id="1" xr3:uid="{00000000-0010-0000-6900-000001000000}" name="OS" dataDxfId="709"/>
    <tableColumn id="2" xr3:uid="{00000000-0010-0000-6900-000002000000}" name="Vendedor" dataDxfId="708"/>
    <tableColumn id="3" xr3:uid="{00000000-0010-0000-6900-000003000000}" name="CARNE" dataDxfId="707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A000000}" name="rec_carn18" displayName="rec_carn18" ref="E34:I41" totalsRowShown="0" headerRowDxfId="706" dataDxfId="704" headerRowBorderDxfId="705" tableBorderDxfId="703" totalsRowBorderDxfId="702">
  <autoFilter ref="E34:I41" xr:uid="{00000000-0009-0000-0100-00006D000000}"/>
  <sortState xmlns:xlrd2="http://schemas.microsoft.com/office/spreadsheetml/2017/richdata2" ref="E35:I40">
    <sortCondition ref="E25:E31"/>
  </sortState>
  <tableColumns count="5">
    <tableColumn id="1" xr3:uid="{00000000-0010-0000-6A00-000001000000}" name="OS" dataDxfId="701"/>
    <tableColumn id="2" xr3:uid="{00000000-0010-0000-6A00-000002000000}" name="Cliente" dataDxfId="700"/>
    <tableColumn id="3" xr3:uid="{00000000-0010-0000-6A00-000003000000}" name="Forma de Pgto" dataDxfId="699" dataCellStyle="Moeda"/>
    <tableColumn id="4" xr3:uid="{00000000-0010-0000-6A00-000004000000}" name="Valor Parcela" dataDxfId="698" dataCellStyle="Porcentagem"/>
    <tableColumn id="5" xr3:uid="{00000000-0010-0000-6A00-000005000000}" name="Nº Parcela" dataDxfId="697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B000000}" name="entr_carn18" displayName="entr_carn18" ref="K34:M41" totalsRowShown="0" headerRowDxfId="696" headerRowBorderDxfId="695" tableBorderDxfId="694" totalsRowBorderDxfId="693">
  <autoFilter ref="K34:M41" xr:uid="{00000000-0009-0000-0100-00006E000000}"/>
  <tableColumns count="3">
    <tableColumn id="1" xr3:uid="{00000000-0010-0000-6B00-000001000000}" name="OS" dataDxfId="692"/>
    <tableColumn id="2" xr3:uid="{00000000-0010-0000-6B00-000002000000}" name="Parcelas" dataDxfId="691"/>
    <tableColumn id="3" xr3:uid="{00000000-0010-0000-6B00-000003000000}" name="Valor Total" dataDxfId="690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C000000}" name="vend19" displayName="vend19" ref="E5:I22" totalsRowShown="0" headerRowDxfId="689" dataDxfId="687" headerRowBorderDxfId="688" tableBorderDxfId="686" totalsRowBorderDxfId="685">
  <autoFilter ref="E5:I22" xr:uid="{00000000-0009-0000-0100-00006F000000}"/>
  <sortState xmlns:xlrd2="http://schemas.microsoft.com/office/spreadsheetml/2017/richdata2" ref="E6:I22">
    <sortCondition ref="E5:E22"/>
  </sortState>
  <tableColumns count="5">
    <tableColumn id="1" xr3:uid="{00000000-0010-0000-6C00-000001000000}" name="Nº Venda" dataDxfId="684" dataCellStyle="Moeda"/>
    <tableColumn id="5" xr3:uid="{00000000-0010-0000-6C00-000005000000}" name="Cliente" dataDxfId="683" dataCellStyle="Moeda"/>
    <tableColumn id="2" xr3:uid="{00000000-0010-0000-6C00-000002000000}" name="Forma de Pgto" dataDxfId="682" dataCellStyle="Moeda"/>
    <tableColumn id="3" xr3:uid="{00000000-0010-0000-6C00-000003000000}" name="Valor Venda" dataDxfId="681" dataCellStyle="Porcentagem"/>
    <tableColumn id="4" xr3:uid="{00000000-0010-0000-6C00-000004000000}" name="Entrada" dataDxfId="680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D000000}" name="desp19" displayName="desp19" ref="K5:M11" totalsRowShown="0" headerRowDxfId="679" dataDxfId="677" headerRowBorderDxfId="678" tableBorderDxfId="676" totalsRowBorderDxfId="675">
  <autoFilter ref="K5:M11" xr:uid="{00000000-0009-0000-0100-000070000000}"/>
  <tableColumns count="3">
    <tableColumn id="1" xr3:uid="{00000000-0010-0000-6D00-000001000000}" name="Descrição" dataDxfId="674"/>
    <tableColumn id="2" xr3:uid="{00000000-0010-0000-6D00-000002000000}" name="Tipo de Pagto" dataDxfId="673"/>
    <tableColumn id="3" xr3:uid="{00000000-0010-0000-6D00-000003000000}" name="Valor" dataDxfId="672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E000000}" name="rest_entr19" displayName="rest_entr19" ref="E25:I31" totalsRowShown="0" headerRowDxfId="671" dataDxfId="669" headerRowBorderDxfId="670" tableBorderDxfId="668" totalsRowBorderDxfId="667">
  <autoFilter ref="E25:I31" xr:uid="{00000000-0009-0000-0100-000071000000}"/>
  <sortState xmlns:xlrd2="http://schemas.microsoft.com/office/spreadsheetml/2017/richdata2" ref="E26:I31">
    <sortCondition ref="E25:E31"/>
  </sortState>
  <tableColumns count="5">
    <tableColumn id="1" xr3:uid="{00000000-0010-0000-6E00-000001000000}" name="Nº Venda" dataDxfId="666"/>
    <tableColumn id="2" xr3:uid="{00000000-0010-0000-6E00-000002000000}" name="Cliente" dataDxfId="665"/>
    <tableColumn id="3" xr3:uid="{00000000-0010-0000-6E00-000003000000}" name="Forma de Pgto" dataDxfId="664" dataCellStyle="Moeda"/>
    <tableColumn id="4" xr3:uid="{00000000-0010-0000-6E00-000004000000}" name="Valor Venda" dataDxfId="663" dataCellStyle="Porcentagem"/>
    <tableColumn id="5" xr3:uid="{00000000-0010-0000-6E00-000005000000}" name="Entrada" dataDxfId="662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F000000}" name="os_entr_dia19" displayName="os_entr_dia19" ref="K14:M31" totalsRowShown="0" headerRowDxfId="661" dataDxfId="659" headerRowBorderDxfId="660" tableBorderDxfId="658" totalsRowBorderDxfId="657">
  <autoFilter ref="K14:M31" xr:uid="{00000000-0009-0000-0100-000072000000}"/>
  <tableColumns count="3">
    <tableColumn id="1" xr3:uid="{00000000-0010-0000-6F00-000001000000}" name="OS" dataDxfId="656"/>
    <tableColumn id="2" xr3:uid="{00000000-0010-0000-6F00-000002000000}" name="Vendedor" dataDxfId="655"/>
    <tableColumn id="3" xr3:uid="{00000000-0010-0000-6F00-000003000000}" name="CARNE" dataDxfId="654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0000000}" name="rec_carn19" displayName="rec_carn19" ref="E34:I41" totalsRowShown="0" headerRowDxfId="653" dataDxfId="651" headerRowBorderDxfId="652" tableBorderDxfId="650" totalsRowBorderDxfId="649">
  <autoFilter ref="E34:I41" xr:uid="{00000000-0009-0000-0100-000073000000}"/>
  <sortState xmlns:xlrd2="http://schemas.microsoft.com/office/spreadsheetml/2017/richdata2" ref="E35:I40">
    <sortCondition ref="E25:E31"/>
  </sortState>
  <tableColumns count="5">
    <tableColumn id="1" xr3:uid="{00000000-0010-0000-7000-000001000000}" name="OS" dataDxfId="648"/>
    <tableColumn id="2" xr3:uid="{00000000-0010-0000-7000-000002000000}" name="Cliente" dataDxfId="647"/>
    <tableColumn id="3" xr3:uid="{00000000-0010-0000-7000-000003000000}" name="Forma de Pgto" dataDxfId="646" dataCellStyle="Moeda"/>
    <tableColumn id="4" xr3:uid="{00000000-0010-0000-7000-000004000000}" name="Valor Parcela" dataDxfId="645" dataCellStyle="Porcentagem"/>
    <tableColumn id="5" xr3:uid="{00000000-0010-0000-7000-000005000000}" name="Nº Parcela" dataDxfId="644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1000000}" name="entr_carn19" displayName="entr_carn19" ref="K34:M41" totalsRowShown="0" headerRowDxfId="643" headerRowBorderDxfId="642" tableBorderDxfId="641" totalsRowBorderDxfId="640">
  <autoFilter ref="K34:M41" xr:uid="{00000000-0009-0000-0100-000074000000}"/>
  <tableColumns count="3">
    <tableColumn id="1" xr3:uid="{00000000-0010-0000-7100-000001000000}" name="OS" dataDxfId="639"/>
    <tableColumn id="2" xr3:uid="{00000000-0010-0000-7100-000002000000}" name="Parcelas" dataDxfId="638"/>
    <tableColumn id="3" xr3:uid="{00000000-0010-0000-7100-000003000000}" name="Valor Total" dataDxfId="637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2000000}" name="vend20" displayName="vend20" ref="E5:I22" totalsRowShown="0" headerRowDxfId="636" dataDxfId="634" headerRowBorderDxfId="635" tableBorderDxfId="633" totalsRowBorderDxfId="632">
  <autoFilter ref="E5:I22" xr:uid="{00000000-0009-0000-0100-00007A000000}"/>
  <sortState xmlns:xlrd2="http://schemas.microsoft.com/office/spreadsheetml/2017/richdata2" ref="E6:I22">
    <sortCondition ref="E5:E22"/>
  </sortState>
  <tableColumns count="5">
    <tableColumn id="1" xr3:uid="{00000000-0010-0000-7200-000001000000}" name="Nº Venda" dataDxfId="631" dataCellStyle="Moeda"/>
    <tableColumn id="5" xr3:uid="{00000000-0010-0000-7200-000005000000}" name="Cliente" dataDxfId="630" dataCellStyle="Moeda"/>
    <tableColumn id="2" xr3:uid="{00000000-0010-0000-7200-000002000000}" name="Forma de Pgto" dataDxfId="629" dataCellStyle="Moeda"/>
    <tableColumn id="3" xr3:uid="{00000000-0010-0000-7200-000003000000}" name="Valor Venda" dataDxfId="628" dataCellStyle="Porcentagem"/>
    <tableColumn id="4" xr3:uid="{00000000-0010-0000-7200-000004000000}" name="Entrada" dataDxfId="627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3000000}" name="desp20" displayName="desp20" ref="K5:M11" totalsRowShown="0" headerRowDxfId="626" dataDxfId="624" headerRowBorderDxfId="625" tableBorderDxfId="623" totalsRowBorderDxfId="622">
  <autoFilter ref="K5:M11" xr:uid="{00000000-0009-0000-0100-00007B000000}"/>
  <tableColumns count="3">
    <tableColumn id="1" xr3:uid="{00000000-0010-0000-7300-000001000000}" name="Descrição" dataDxfId="621"/>
    <tableColumn id="2" xr3:uid="{00000000-0010-0000-7300-000002000000}" name="Tipo de Pagto" dataDxfId="620"/>
    <tableColumn id="3" xr3:uid="{00000000-0010-0000-7300-000003000000}" name="Valor" dataDxfId="619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4000000}" name="rest_entr20" displayName="rest_entr20" ref="E25:I31" totalsRowShown="0" headerRowDxfId="618" dataDxfId="616" headerRowBorderDxfId="617" tableBorderDxfId="615" totalsRowBorderDxfId="614">
  <autoFilter ref="E25:I31" xr:uid="{00000000-0009-0000-0100-00007C000000}"/>
  <sortState xmlns:xlrd2="http://schemas.microsoft.com/office/spreadsheetml/2017/richdata2" ref="E26:I31">
    <sortCondition ref="E25:E31"/>
  </sortState>
  <tableColumns count="5">
    <tableColumn id="1" xr3:uid="{00000000-0010-0000-7400-000001000000}" name="Nº Venda" dataDxfId="613"/>
    <tableColumn id="2" xr3:uid="{00000000-0010-0000-7400-000002000000}" name="Cliente" dataDxfId="612"/>
    <tableColumn id="3" xr3:uid="{00000000-0010-0000-7400-000003000000}" name="Forma de Pgto" dataDxfId="611" dataCellStyle="Moeda"/>
    <tableColumn id="4" xr3:uid="{00000000-0010-0000-7400-000004000000}" name="Valor Venda" dataDxfId="610" dataCellStyle="Porcentagem"/>
    <tableColumn id="5" xr3:uid="{00000000-0010-0000-7400-000005000000}" name="Entrada" dataDxfId="609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5000000}" name="os_entr_dia20" displayName="os_entr_dia20" ref="K14:M31" totalsRowShown="0" headerRowDxfId="608" dataDxfId="606" headerRowBorderDxfId="607" tableBorderDxfId="605" totalsRowBorderDxfId="604">
  <autoFilter ref="K14:M31" xr:uid="{00000000-0009-0000-0100-00007D000000}"/>
  <tableColumns count="3">
    <tableColumn id="1" xr3:uid="{00000000-0010-0000-7500-000001000000}" name="OS" dataDxfId="603"/>
    <tableColumn id="2" xr3:uid="{00000000-0010-0000-7500-000002000000}" name="Vendedor" dataDxfId="602"/>
    <tableColumn id="3" xr3:uid="{00000000-0010-0000-7500-000003000000}" name="CARNE" dataDxfId="601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6000000}" name="rec_carn20" displayName="rec_carn20" ref="E34:I41" totalsRowShown="0" headerRowDxfId="600" dataDxfId="598" headerRowBorderDxfId="599" tableBorderDxfId="597" totalsRowBorderDxfId="596">
  <autoFilter ref="E34:I41" xr:uid="{00000000-0009-0000-0100-00007E000000}"/>
  <sortState xmlns:xlrd2="http://schemas.microsoft.com/office/spreadsheetml/2017/richdata2" ref="E35:I40">
    <sortCondition ref="E25:E31"/>
  </sortState>
  <tableColumns count="5">
    <tableColumn id="1" xr3:uid="{00000000-0010-0000-7600-000001000000}" name="OS" dataDxfId="595"/>
    <tableColumn id="2" xr3:uid="{00000000-0010-0000-7600-000002000000}" name="Cliente" dataDxfId="594"/>
    <tableColumn id="3" xr3:uid="{00000000-0010-0000-7600-000003000000}" name="Forma de Pgto" dataDxfId="593" dataCellStyle="Moeda"/>
    <tableColumn id="4" xr3:uid="{00000000-0010-0000-7600-000004000000}" name="Valor Parcela" dataDxfId="592" dataCellStyle="Porcentagem"/>
    <tableColumn id="5" xr3:uid="{00000000-0010-0000-7600-000005000000}" name="Nº Parcela" dataDxfId="591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7000000}" name="entr_carn20" displayName="entr_carn20" ref="K34:M41" totalsRowShown="0" headerRowDxfId="590" headerRowBorderDxfId="589" tableBorderDxfId="588" totalsRowBorderDxfId="587">
  <autoFilter ref="K34:M41" xr:uid="{00000000-0009-0000-0100-00007F000000}"/>
  <tableColumns count="3">
    <tableColumn id="1" xr3:uid="{00000000-0010-0000-7700-000001000000}" name="OS" dataDxfId="586"/>
    <tableColumn id="2" xr3:uid="{00000000-0010-0000-7700-000002000000}" name="Parcelas" dataDxfId="585"/>
    <tableColumn id="3" xr3:uid="{00000000-0010-0000-7700-000003000000}" name="Valor Total" dataDxfId="584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8000000}" name="vend21" displayName="vend21" ref="E5:I22" totalsRowShown="0" headerRowDxfId="583" dataDxfId="581" headerRowBorderDxfId="582" tableBorderDxfId="580" totalsRowBorderDxfId="579">
  <autoFilter ref="E5:I22" xr:uid="{00000000-0009-0000-0100-000080000000}"/>
  <sortState xmlns:xlrd2="http://schemas.microsoft.com/office/spreadsheetml/2017/richdata2" ref="E6:I22">
    <sortCondition ref="E5:E22"/>
  </sortState>
  <tableColumns count="5">
    <tableColumn id="1" xr3:uid="{00000000-0010-0000-7800-000001000000}" name="Nº Venda" dataDxfId="578" dataCellStyle="Moeda"/>
    <tableColumn id="5" xr3:uid="{00000000-0010-0000-7800-000005000000}" name="Cliente" dataDxfId="577" dataCellStyle="Moeda"/>
    <tableColumn id="2" xr3:uid="{00000000-0010-0000-7800-000002000000}" name="Forma de Pgto" dataDxfId="576" dataCellStyle="Moeda"/>
    <tableColumn id="3" xr3:uid="{00000000-0010-0000-7800-000003000000}" name="Valor Venda" dataDxfId="575" dataCellStyle="Porcentagem"/>
    <tableColumn id="4" xr3:uid="{00000000-0010-0000-7800-000004000000}" name="Entrada" dataDxfId="574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9000000}" name="desp21" displayName="desp21" ref="K5:M11" totalsRowShown="0" headerRowDxfId="573" dataDxfId="571" headerRowBorderDxfId="572" tableBorderDxfId="570" totalsRowBorderDxfId="569">
  <autoFilter ref="K5:M11" xr:uid="{00000000-0009-0000-0100-000081000000}"/>
  <tableColumns count="3">
    <tableColumn id="1" xr3:uid="{00000000-0010-0000-7900-000001000000}" name="Descrição" dataDxfId="568"/>
    <tableColumn id="2" xr3:uid="{00000000-0010-0000-7900-000002000000}" name="Tipo de Pagto" dataDxfId="567"/>
    <tableColumn id="3" xr3:uid="{00000000-0010-0000-7900-000003000000}" name="Valor" dataDxfId="566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A000000}" name="rest_entr21" displayName="rest_entr21" ref="E25:I31" totalsRowShown="0" headerRowDxfId="565" dataDxfId="563" headerRowBorderDxfId="564" tableBorderDxfId="562" totalsRowBorderDxfId="561">
  <autoFilter ref="E25:I31" xr:uid="{00000000-0009-0000-0100-000082000000}"/>
  <sortState xmlns:xlrd2="http://schemas.microsoft.com/office/spreadsheetml/2017/richdata2" ref="E26:I31">
    <sortCondition ref="E25:E31"/>
  </sortState>
  <tableColumns count="5">
    <tableColumn id="1" xr3:uid="{00000000-0010-0000-7A00-000001000000}" name="Nº Venda" dataDxfId="560"/>
    <tableColumn id="2" xr3:uid="{00000000-0010-0000-7A00-000002000000}" name="Cliente" dataDxfId="559"/>
    <tableColumn id="3" xr3:uid="{00000000-0010-0000-7A00-000003000000}" name="Forma de Pgto" dataDxfId="558" dataCellStyle="Moeda"/>
    <tableColumn id="4" xr3:uid="{00000000-0010-0000-7A00-000004000000}" name="Valor Venda" dataDxfId="557" dataCellStyle="Porcentagem"/>
    <tableColumn id="5" xr3:uid="{00000000-0010-0000-7A00-000005000000}" name="Entrada" dataDxfId="556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B000000}" name="os_entr_dia21" displayName="os_entr_dia21" ref="K14:M31" totalsRowShown="0" headerRowDxfId="555" dataDxfId="553" headerRowBorderDxfId="554" tableBorderDxfId="552" totalsRowBorderDxfId="551">
  <autoFilter ref="K14:M31" xr:uid="{00000000-0009-0000-0100-000083000000}"/>
  <tableColumns count="3">
    <tableColumn id="1" xr3:uid="{00000000-0010-0000-7B00-000001000000}" name="OS" dataDxfId="550"/>
    <tableColumn id="2" xr3:uid="{00000000-0010-0000-7B00-000002000000}" name="Vendedor" dataDxfId="549"/>
    <tableColumn id="3" xr3:uid="{00000000-0010-0000-7B00-000003000000}" name="CARNE" dataDxfId="548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C000000}" name="rec_carn21" displayName="rec_carn21" ref="E34:I41" totalsRowShown="0" headerRowDxfId="547" dataDxfId="545" headerRowBorderDxfId="546" tableBorderDxfId="544" totalsRowBorderDxfId="543">
  <autoFilter ref="E34:I41" xr:uid="{00000000-0009-0000-0100-000084000000}"/>
  <sortState xmlns:xlrd2="http://schemas.microsoft.com/office/spreadsheetml/2017/richdata2" ref="E35:I40">
    <sortCondition ref="E25:E31"/>
  </sortState>
  <tableColumns count="5">
    <tableColumn id="1" xr3:uid="{00000000-0010-0000-7C00-000001000000}" name="OS" dataDxfId="542"/>
    <tableColumn id="2" xr3:uid="{00000000-0010-0000-7C00-000002000000}" name="Cliente" dataDxfId="541"/>
    <tableColumn id="3" xr3:uid="{00000000-0010-0000-7C00-000003000000}" name="Forma de Pgto" dataDxfId="540" dataCellStyle="Moeda"/>
    <tableColumn id="4" xr3:uid="{00000000-0010-0000-7C00-000004000000}" name="Valor Parcela" dataDxfId="539" dataCellStyle="Porcentagem"/>
    <tableColumn id="5" xr3:uid="{00000000-0010-0000-7C00-000005000000}" name="Nº Parcela" dataDxfId="538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7D000000}" name="entr_carn21" displayName="entr_carn21" ref="K34:M41" totalsRowShown="0" headerRowDxfId="537" headerRowBorderDxfId="536" tableBorderDxfId="535" totalsRowBorderDxfId="534">
  <autoFilter ref="K34:M41" xr:uid="{00000000-0009-0000-0100-000085000000}"/>
  <tableColumns count="3">
    <tableColumn id="1" xr3:uid="{00000000-0010-0000-7D00-000001000000}" name="OS" dataDxfId="533"/>
    <tableColumn id="2" xr3:uid="{00000000-0010-0000-7D00-000002000000}" name="Parcelas" dataDxfId="532"/>
    <tableColumn id="3" xr3:uid="{00000000-0010-0000-7D00-000003000000}" name="Valor Total" dataDxfId="531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7E000000}" name="vend22" displayName="vend22" ref="E5:I22" totalsRowShown="0" headerRowDxfId="530" dataDxfId="528" headerRowBorderDxfId="529" tableBorderDxfId="527" totalsRowBorderDxfId="526">
  <autoFilter ref="E5:I22" xr:uid="{00000000-0009-0000-0100-000086000000}"/>
  <sortState xmlns:xlrd2="http://schemas.microsoft.com/office/spreadsheetml/2017/richdata2" ref="E6:I22">
    <sortCondition ref="E5:E22"/>
  </sortState>
  <tableColumns count="5">
    <tableColumn id="1" xr3:uid="{00000000-0010-0000-7E00-000001000000}" name="Nº Venda" dataDxfId="525" dataCellStyle="Moeda"/>
    <tableColumn id="5" xr3:uid="{00000000-0010-0000-7E00-000005000000}" name="Cliente" dataDxfId="524" dataCellStyle="Moeda"/>
    <tableColumn id="2" xr3:uid="{00000000-0010-0000-7E00-000002000000}" name="Forma de Pgto" dataDxfId="523" dataCellStyle="Moeda"/>
    <tableColumn id="3" xr3:uid="{00000000-0010-0000-7E00-000003000000}" name="Valor Venda" dataDxfId="522" dataCellStyle="Porcentagem"/>
    <tableColumn id="4" xr3:uid="{00000000-0010-0000-7E00-000004000000}" name="Entrada" dataDxfId="521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7F000000}" name="desp22" displayName="desp22" ref="K5:M11" totalsRowShown="0" headerRowDxfId="520" dataDxfId="518" headerRowBorderDxfId="519" tableBorderDxfId="517" totalsRowBorderDxfId="516">
  <autoFilter ref="K5:M11" xr:uid="{00000000-0009-0000-0100-000087000000}"/>
  <tableColumns count="3">
    <tableColumn id="1" xr3:uid="{00000000-0010-0000-7F00-000001000000}" name="Descrição" dataDxfId="515"/>
    <tableColumn id="2" xr3:uid="{00000000-0010-0000-7F00-000002000000}" name="Tipo de Pagto" dataDxfId="514"/>
    <tableColumn id="3" xr3:uid="{00000000-0010-0000-7F00-000003000000}" name="Valor" dataDxfId="513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0000000}" name="rest_entr22" displayName="rest_entr22" ref="E25:I31" totalsRowShown="0" headerRowDxfId="512" dataDxfId="510" headerRowBorderDxfId="511" tableBorderDxfId="509" totalsRowBorderDxfId="508">
  <autoFilter ref="E25:I31" xr:uid="{00000000-0009-0000-0100-000088000000}"/>
  <sortState xmlns:xlrd2="http://schemas.microsoft.com/office/spreadsheetml/2017/richdata2" ref="E26:I31">
    <sortCondition ref="E25:E31"/>
  </sortState>
  <tableColumns count="5">
    <tableColumn id="1" xr3:uid="{00000000-0010-0000-8000-000001000000}" name="Nº Venda" dataDxfId="507"/>
    <tableColumn id="2" xr3:uid="{00000000-0010-0000-8000-000002000000}" name="Cliente" dataDxfId="506"/>
    <tableColumn id="3" xr3:uid="{00000000-0010-0000-8000-000003000000}" name="Forma de Pgto" dataDxfId="505" dataCellStyle="Moeda"/>
    <tableColumn id="4" xr3:uid="{00000000-0010-0000-8000-000004000000}" name="Valor Venda" dataDxfId="504" dataCellStyle="Porcentagem"/>
    <tableColumn id="5" xr3:uid="{00000000-0010-0000-8000-000005000000}" name="Entrada" dataDxfId="503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1000000}" name="os_entr_dia22" displayName="os_entr_dia22" ref="K14:M31" totalsRowShown="0" headerRowDxfId="502" dataDxfId="500" headerRowBorderDxfId="501" tableBorderDxfId="499" totalsRowBorderDxfId="498">
  <autoFilter ref="K14:M31" xr:uid="{00000000-0009-0000-0100-000089000000}"/>
  <tableColumns count="3">
    <tableColumn id="1" xr3:uid="{00000000-0010-0000-8100-000001000000}" name="OS" dataDxfId="497"/>
    <tableColumn id="2" xr3:uid="{00000000-0010-0000-8100-000002000000}" name="Vendedor" dataDxfId="496"/>
    <tableColumn id="3" xr3:uid="{00000000-0010-0000-8100-000003000000}" name="CARNE" dataDxfId="495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2000000}" name="rec_carn22" displayName="rec_carn22" ref="E34:I41" totalsRowShown="0" headerRowDxfId="494" dataDxfId="492" headerRowBorderDxfId="493" tableBorderDxfId="491" totalsRowBorderDxfId="490">
  <autoFilter ref="E34:I41" xr:uid="{00000000-0009-0000-0100-00008A000000}"/>
  <sortState xmlns:xlrd2="http://schemas.microsoft.com/office/spreadsheetml/2017/richdata2" ref="E35:I40">
    <sortCondition ref="E25:E31"/>
  </sortState>
  <tableColumns count="5">
    <tableColumn id="1" xr3:uid="{00000000-0010-0000-8200-000001000000}" name="OS" dataDxfId="489"/>
    <tableColumn id="2" xr3:uid="{00000000-0010-0000-8200-000002000000}" name="Cliente" dataDxfId="488"/>
    <tableColumn id="3" xr3:uid="{00000000-0010-0000-8200-000003000000}" name="Forma de Pgto" dataDxfId="487" dataCellStyle="Moeda"/>
    <tableColumn id="4" xr3:uid="{00000000-0010-0000-8200-000004000000}" name="Valor Parcela" dataDxfId="486" dataCellStyle="Porcentagem"/>
    <tableColumn id="5" xr3:uid="{00000000-0010-0000-8200-000005000000}" name="Nº Parcela" dataDxfId="485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3000000}" name="entr_carn22" displayName="entr_carn22" ref="K34:M41" totalsRowShown="0" headerRowDxfId="484" headerRowBorderDxfId="483" tableBorderDxfId="482" totalsRowBorderDxfId="481">
  <autoFilter ref="K34:M41" xr:uid="{00000000-0009-0000-0100-00008B000000}"/>
  <tableColumns count="3">
    <tableColumn id="1" xr3:uid="{00000000-0010-0000-8300-000001000000}" name="OS" dataDxfId="480"/>
    <tableColumn id="2" xr3:uid="{00000000-0010-0000-8300-000002000000}" name="Parcelas" dataDxfId="479"/>
    <tableColumn id="3" xr3:uid="{00000000-0010-0000-8300-000003000000}" name="Valor Total" dataDxfId="478">
      <calculatedColumnFormula>540</calculatedColumnFormula>
    </tableColumn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84000000}" name="vend23" displayName="vend23" ref="E5:I22" totalsRowShown="0" headerRowDxfId="477" dataDxfId="475" headerRowBorderDxfId="476" tableBorderDxfId="474" totalsRowBorderDxfId="473">
  <autoFilter ref="E5:I22" xr:uid="{00000000-0009-0000-0100-000003000000}"/>
  <sortState xmlns:xlrd2="http://schemas.microsoft.com/office/spreadsheetml/2017/richdata2" ref="E6:I22">
    <sortCondition ref="E5:E22"/>
  </sortState>
  <tableColumns count="5">
    <tableColumn id="1" xr3:uid="{00000000-0010-0000-8400-000001000000}" name="Nº Venda" dataDxfId="472" dataCellStyle="Moeda"/>
    <tableColumn id="5" xr3:uid="{00000000-0010-0000-8400-000005000000}" name="Cliente" dataDxfId="471" dataCellStyle="Moeda"/>
    <tableColumn id="2" xr3:uid="{00000000-0010-0000-8400-000002000000}" name="Forma de Pgto" dataDxfId="470" dataCellStyle="Moeda"/>
    <tableColumn id="3" xr3:uid="{00000000-0010-0000-8400-000003000000}" name="Valor Venda" dataDxfId="469" dataCellStyle="Porcentagem"/>
    <tableColumn id="4" xr3:uid="{00000000-0010-0000-8400-000004000000}" name="Entrada" dataDxfId="468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85000000}" name="desp23" displayName="desp23" ref="K5:M11" totalsRowShown="0" headerRowDxfId="467" dataDxfId="465" headerRowBorderDxfId="466" tableBorderDxfId="464" totalsRowBorderDxfId="463">
  <autoFilter ref="K5:M11" xr:uid="{00000000-0009-0000-0100-000075000000}"/>
  <tableColumns count="3">
    <tableColumn id="1" xr3:uid="{00000000-0010-0000-8500-000001000000}" name="Descrição" dataDxfId="462"/>
    <tableColumn id="2" xr3:uid="{00000000-0010-0000-8500-000002000000}" name="Tipo de Pagto" dataDxfId="461"/>
    <tableColumn id="3" xr3:uid="{00000000-0010-0000-8500-000003000000}" name="Valor" dataDxfId="460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86000000}" name="rest_entr23" displayName="rest_entr23" ref="E25:I31" totalsRowShown="0" headerRowDxfId="459" dataDxfId="457" headerRowBorderDxfId="458" tableBorderDxfId="456" totalsRowBorderDxfId="455">
  <autoFilter ref="E25:I31" xr:uid="{00000000-0009-0000-0100-000076000000}"/>
  <sortState xmlns:xlrd2="http://schemas.microsoft.com/office/spreadsheetml/2017/richdata2" ref="E26:I31">
    <sortCondition ref="E25:E31"/>
  </sortState>
  <tableColumns count="5">
    <tableColumn id="1" xr3:uid="{00000000-0010-0000-8600-000001000000}" name="Nº Venda" dataDxfId="454"/>
    <tableColumn id="2" xr3:uid="{00000000-0010-0000-8600-000002000000}" name="Cliente" dataDxfId="453"/>
    <tableColumn id="3" xr3:uid="{00000000-0010-0000-8600-000003000000}" name="Forma de Pgto" dataDxfId="452" dataCellStyle="Moeda"/>
    <tableColumn id="4" xr3:uid="{00000000-0010-0000-8600-000004000000}" name="Valor Venda" dataDxfId="451" dataCellStyle="Porcentagem"/>
    <tableColumn id="5" xr3:uid="{00000000-0010-0000-8600-000005000000}" name="Entrada" dataDxfId="450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87000000}" name="os_entr_dia23" displayName="os_entr_dia23" ref="K14:M31" totalsRowShown="0" headerRowDxfId="449" dataDxfId="447" headerRowBorderDxfId="448" tableBorderDxfId="446" totalsRowBorderDxfId="445">
  <autoFilter ref="K14:M31" xr:uid="{00000000-0009-0000-0100-000077000000}"/>
  <tableColumns count="3">
    <tableColumn id="1" xr3:uid="{00000000-0010-0000-8700-000001000000}" name="OS" dataDxfId="444"/>
    <tableColumn id="2" xr3:uid="{00000000-0010-0000-8700-000002000000}" name="Vendedor" dataDxfId="443"/>
    <tableColumn id="3" xr3:uid="{00000000-0010-0000-8700-000003000000}" name="CARNE" dataDxfId="442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88000000}" name="rec_carn23" displayName="rec_carn23" ref="E34:I41" totalsRowShown="0" headerRowDxfId="441" dataDxfId="439" headerRowBorderDxfId="440" tableBorderDxfId="438" totalsRowBorderDxfId="437">
  <autoFilter ref="E34:I41" xr:uid="{00000000-0009-0000-0100-000078000000}"/>
  <sortState xmlns:xlrd2="http://schemas.microsoft.com/office/spreadsheetml/2017/richdata2" ref="E35:I40">
    <sortCondition ref="E25:E31"/>
  </sortState>
  <tableColumns count="5">
    <tableColumn id="1" xr3:uid="{00000000-0010-0000-8800-000001000000}" name="OS" dataDxfId="436"/>
    <tableColumn id="2" xr3:uid="{00000000-0010-0000-8800-000002000000}" name="Cliente" dataDxfId="435"/>
    <tableColumn id="3" xr3:uid="{00000000-0010-0000-8800-000003000000}" name="Forma de Pgto" dataDxfId="434" dataCellStyle="Moeda"/>
    <tableColumn id="4" xr3:uid="{00000000-0010-0000-8800-000004000000}" name="Valor Parcela" dataDxfId="433" dataCellStyle="Porcentagem"/>
    <tableColumn id="5" xr3:uid="{00000000-0010-0000-8800-000005000000}" name="Nº Parcela" dataDxfId="432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89000000}" name="entr_carn23" displayName="entr_carn23" ref="K34:M41" totalsRowShown="0" headerRowDxfId="431" headerRowBorderDxfId="430" tableBorderDxfId="429" totalsRowBorderDxfId="428">
  <autoFilter ref="K34:M41" xr:uid="{00000000-0009-0000-0100-000079000000}"/>
  <tableColumns count="3">
    <tableColumn id="1" xr3:uid="{00000000-0010-0000-8900-000001000000}" name="OS" dataDxfId="427"/>
    <tableColumn id="2" xr3:uid="{00000000-0010-0000-8900-000002000000}" name="Parcelas" dataDxfId="426"/>
    <tableColumn id="3" xr3:uid="{00000000-0010-0000-8900-000003000000}" name="Valor Total" dataDxfId="425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A000000}" name="vend24" displayName="vend24" ref="E5:I22" totalsRowShown="0" headerRowDxfId="424" dataDxfId="422" headerRowBorderDxfId="423" tableBorderDxfId="421" totalsRowBorderDxfId="420">
  <autoFilter ref="E5:I22" xr:uid="{00000000-0009-0000-0100-000092000000}"/>
  <sortState xmlns:xlrd2="http://schemas.microsoft.com/office/spreadsheetml/2017/richdata2" ref="E6:I22">
    <sortCondition ref="E5:E22"/>
  </sortState>
  <tableColumns count="5">
    <tableColumn id="1" xr3:uid="{00000000-0010-0000-8A00-000001000000}" name="Nº Venda" dataDxfId="419" dataCellStyle="Moeda"/>
    <tableColumn id="5" xr3:uid="{00000000-0010-0000-8A00-000005000000}" name="Cliente" dataDxfId="418" dataCellStyle="Moeda"/>
    <tableColumn id="2" xr3:uid="{00000000-0010-0000-8A00-000002000000}" name="Forma de Pgto" dataDxfId="417" dataCellStyle="Moeda"/>
    <tableColumn id="3" xr3:uid="{00000000-0010-0000-8A00-000003000000}" name="Valor Venda" dataDxfId="416" dataCellStyle="Porcentagem"/>
    <tableColumn id="4" xr3:uid="{00000000-0010-0000-8A00-000004000000}" name="Entrada" dataDxfId="415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B000000}" name="desp24" displayName="desp24" ref="K5:M11" totalsRowShown="0" headerRowDxfId="414" dataDxfId="412" headerRowBorderDxfId="413" tableBorderDxfId="411" totalsRowBorderDxfId="410">
  <autoFilter ref="K5:M11" xr:uid="{00000000-0009-0000-0100-000093000000}"/>
  <tableColumns count="3">
    <tableColumn id="1" xr3:uid="{00000000-0010-0000-8B00-000001000000}" name="Descrição" dataDxfId="409"/>
    <tableColumn id="2" xr3:uid="{00000000-0010-0000-8B00-000002000000}" name="Tipo de Pagto" dataDxfId="408"/>
    <tableColumn id="3" xr3:uid="{00000000-0010-0000-8B00-000003000000}" name="Valor" dataDxfId="407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C000000}" name="rest_entr24" displayName="rest_entr24" ref="E25:I31" totalsRowShown="0" headerRowDxfId="406" headerRowBorderDxfId="405" tableBorderDxfId="404" totalsRowBorderDxfId="403">
  <autoFilter ref="E25:I31" xr:uid="{00000000-0009-0000-0100-000094000000}"/>
  <sortState xmlns:xlrd2="http://schemas.microsoft.com/office/spreadsheetml/2017/richdata2" ref="E26:I31">
    <sortCondition ref="E25:E31"/>
  </sortState>
  <tableColumns count="5">
    <tableColumn id="1" xr3:uid="{00000000-0010-0000-8C00-000001000000}" name="Nº Venda" dataDxfId="402"/>
    <tableColumn id="2" xr3:uid="{00000000-0010-0000-8C00-000002000000}" name="Cliente" dataDxfId="401"/>
    <tableColumn id="3" xr3:uid="{00000000-0010-0000-8C00-000003000000}" name="Forma de Pgto" dataDxfId="400" dataCellStyle="Moeda"/>
    <tableColumn id="4" xr3:uid="{00000000-0010-0000-8C00-000004000000}" name="Valor Venda" dataDxfId="399" dataCellStyle="Porcentagem"/>
    <tableColumn id="5" xr3:uid="{00000000-0010-0000-8C00-000005000000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8D000000}" name="os_entr_dia24" displayName="os_entr_dia24" ref="K14:M31" totalsRowShown="0" headerRowDxfId="397" dataDxfId="395" headerRowBorderDxfId="396" tableBorderDxfId="394" totalsRowBorderDxfId="393">
  <autoFilter ref="K14:M31" xr:uid="{00000000-0009-0000-0100-000095000000}"/>
  <tableColumns count="3">
    <tableColumn id="1" xr3:uid="{00000000-0010-0000-8D00-000001000000}" name="OS" dataDxfId="392"/>
    <tableColumn id="2" xr3:uid="{00000000-0010-0000-8D00-000002000000}" name="Vendedor" dataDxfId="391"/>
    <tableColumn id="3" xr3:uid="{00000000-0010-0000-8D00-000003000000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8E000000}" name="rec_carn24" displayName="rec_carn24" ref="E34:I41" totalsRowShown="0" headerRowDxfId="389" dataDxfId="387" headerRowBorderDxfId="388" tableBorderDxfId="386" totalsRowBorderDxfId="385">
  <autoFilter ref="E34:I41" xr:uid="{00000000-0009-0000-0100-000096000000}"/>
  <sortState xmlns:xlrd2="http://schemas.microsoft.com/office/spreadsheetml/2017/richdata2" ref="E35:I40">
    <sortCondition ref="E25:E31"/>
  </sortState>
  <tableColumns count="5">
    <tableColumn id="1" xr3:uid="{00000000-0010-0000-8E00-000001000000}" name="OS" dataDxfId="384"/>
    <tableColumn id="2" xr3:uid="{00000000-0010-0000-8E00-000002000000}" name="Cliente" dataDxfId="383"/>
    <tableColumn id="3" xr3:uid="{00000000-0010-0000-8E00-000003000000}" name="Forma de Pgto" dataDxfId="382" dataCellStyle="Moeda"/>
    <tableColumn id="4" xr3:uid="{00000000-0010-0000-8E00-000004000000}" name="Valor Parcela" dataDxfId="381" dataCellStyle="Porcentagem"/>
    <tableColumn id="5" xr3:uid="{00000000-0010-0000-8E00-000005000000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8F000000}" name="entr_carn24" displayName="entr_carn24" ref="K34:M41" totalsRowShown="0" headerRowDxfId="379" headerRowBorderDxfId="378" tableBorderDxfId="377" totalsRowBorderDxfId="376">
  <autoFilter ref="K34:M41" xr:uid="{00000000-0009-0000-0100-000097000000}"/>
  <tableColumns count="3">
    <tableColumn id="1" xr3:uid="{00000000-0010-0000-8F00-000001000000}" name="OS" dataDxfId="375"/>
    <tableColumn id="2" xr3:uid="{00000000-0010-0000-8F00-000002000000}" name="Parcelas" dataDxfId="374"/>
    <tableColumn id="3" xr3:uid="{00000000-0010-0000-8F00-000003000000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0000000}" name="vend25" displayName="vend25" ref="E5:I22" totalsRowShown="0" headerRowDxfId="372" dataDxfId="370" headerRowBorderDxfId="371" tableBorderDxfId="369" totalsRowBorderDxfId="368">
  <autoFilter ref="E5:I22" xr:uid="{00000000-0009-0000-0100-00009E000000}"/>
  <sortState xmlns:xlrd2="http://schemas.microsoft.com/office/spreadsheetml/2017/richdata2" ref="E6:I22">
    <sortCondition ref="E5:E22"/>
  </sortState>
  <tableColumns count="5">
    <tableColumn id="1" xr3:uid="{00000000-0010-0000-9000-000001000000}" name="Nº Venda" dataDxfId="367" dataCellStyle="Moeda"/>
    <tableColumn id="5" xr3:uid="{00000000-0010-0000-9000-000005000000}" name="Cliente" dataDxfId="366" dataCellStyle="Moeda"/>
    <tableColumn id="2" xr3:uid="{00000000-0010-0000-9000-000002000000}" name="Forma de Pgto" dataDxfId="365" dataCellStyle="Moeda"/>
    <tableColumn id="3" xr3:uid="{00000000-0010-0000-9000-000003000000}" name="Valor Venda" dataDxfId="364" dataCellStyle="Porcentagem"/>
    <tableColumn id="4" xr3:uid="{00000000-0010-0000-9000-000004000000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1000000}" name="desp25" displayName="desp25" ref="K5:M11" totalsRowShown="0" headerRowDxfId="362" dataDxfId="360" headerRowBorderDxfId="361" tableBorderDxfId="359" totalsRowBorderDxfId="358">
  <autoFilter ref="K5:M11" xr:uid="{00000000-0009-0000-0100-00009F000000}"/>
  <tableColumns count="3">
    <tableColumn id="1" xr3:uid="{00000000-0010-0000-9100-000001000000}" name="Descrição" dataDxfId="357"/>
    <tableColumn id="2" xr3:uid="{00000000-0010-0000-9100-000002000000}" name="Tipo de Pagto" dataDxfId="356"/>
    <tableColumn id="3" xr3:uid="{00000000-0010-0000-9100-000003000000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2000000}" name="rest_entr25" displayName="rest_entr25" ref="E25:I31" totalsRowShown="0" headerRowDxfId="354" dataDxfId="352" headerRowBorderDxfId="353" tableBorderDxfId="351" totalsRowBorderDxfId="350">
  <autoFilter ref="E25:I31" xr:uid="{00000000-0009-0000-0100-0000A0000000}"/>
  <sortState xmlns:xlrd2="http://schemas.microsoft.com/office/spreadsheetml/2017/richdata2" ref="E26:I31">
    <sortCondition ref="E25:E31"/>
  </sortState>
  <tableColumns count="5">
    <tableColumn id="1" xr3:uid="{00000000-0010-0000-9200-000001000000}" name="Nº Venda" dataDxfId="349"/>
    <tableColumn id="2" xr3:uid="{00000000-0010-0000-9200-000002000000}" name="Cliente" dataDxfId="348"/>
    <tableColumn id="3" xr3:uid="{00000000-0010-0000-9200-000003000000}" name="Forma de Pgto" dataDxfId="347" dataCellStyle="Moeda"/>
    <tableColumn id="4" xr3:uid="{00000000-0010-0000-9200-000004000000}" name="Valor Venda" dataDxfId="346" dataCellStyle="Porcentagem"/>
    <tableColumn id="5" xr3:uid="{00000000-0010-0000-9200-000005000000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3000000}" name="os_entr_dia25" displayName="os_entr_dia25" ref="K14:M31" totalsRowShown="0" headerRowDxfId="344" dataDxfId="342" headerRowBorderDxfId="343" tableBorderDxfId="341" totalsRowBorderDxfId="340">
  <autoFilter ref="K14:M31" xr:uid="{00000000-0009-0000-0100-0000A1000000}"/>
  <tableColumns count="3">
    <tableColumn id="1" xr3:uid="{00000000-0010-0000-9300-000001000000}" name="OS" dataDxfId="339"/>
    <tableColumn id="2" xr3:uid="{00000000-0010-0000-9300-000002000000}" name="Vendedor" dataDxfId="338"/>
    <tableColumn id="3" xr3:uid="{00000000-0010-0000-9300-000003000000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4000000}" name="rec_carn25" displayName="rec_carn25" ref="E34:I41" totalsRowShown="0" headerRowDxfId="336" dataDxfId="334" headerRowBorderDxfId="335" tableBorderDxfId="333" totalsRowBorderDxfId="332">
  <autoFilter ref="E34:I41" xr:uid="{00000000-0009-0000-0100-0000A2000000}"/>
  <sortState xmlns:xlrd2="http://schemas.microsoft.com/office/spreadsheetml/2017/richdata2" ref="E35:I40">
    <sortCondition ref="E25:E31"/>
  </sortState>
  <tableColumns count="5">
    <tableColumn id="1" xr3:uid="{00000000-0010-0000-9400-000001000000}" name="OS" dataDxfId="331"/>
    <tableColumn id="2" xr3:uid="{00000000-0010-0000-9400-000002000000}" name="Cliente" dataDxfId="330"/>
    <tableColumn id="3" xr3:uid="{00000000-0010-0000-9400-000003000000}" name="Forma de Pgto" dataDxfId="329" dataCellStyle="Moeda"/>
    <tableColumn id="4" xr3:uid="{00000000-0010-0000-9400-000004000000}" name="Valor Parcela" dataDxfId="328" dataCellStyle="Porcentagem"/>
    <tableColumn id="5" xr3:uid="{00000000-0010-0000-9400-000005000000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5000000}" name="entr_carn25" displayName="entr_carn25" ref="K34:M41" totalsRowShown="0" headerRowDxfId="326" headerRowBorderDxfId="325" tableBorderDxfId="324" totalsRowBorderDxfId="323">
  <autoFilter ref="K34:M41" xr:uid="{00000000-0009-0000-0100-0000A3000000}"/>
  <tableColumns count="3">
    <tableColumn id="1" xr3:uid="{00000000-0010-0000-9500-000001000000}" name="OS" dataDxfId="322"/>
    <tableColumn id="2" xr3:uid="{00000000-0010-0000-9500-000002000000}" name="Parcelas" dataDxfId="321"/>
    <tableColumn id="3" xr3:uid="{00000000-0010-0000-9500-000003000000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6000000}" name="vend26" displayName="vend26" ref="E5:I22" totalsRowShown="0" headerRowDxfId="319" dataDxfId="317" headerRowBorderDxfId="318" tableBorderDxfId="316" totalsRowBorderDxfId="315">
  <autoFilter ref="E5:I22" xr:uid="{00000000-0009-0000-0100-000098000000}"/>
  <sortState xmlns:xlrd2="http://schemas.microsoft.com/office/spreadsheetml/2017/richdata2" ref="E6:I22">
    <sortCondition ref="E5:E22"/>
  </sortState>
  <tableColumns count="5">
    <tableColumn id="1" xr3:uid="{00000000-0010-0000-9600-000001000000}" name="Nº Venda" dataDxfId="314" dataCellStyle="Moeda"/>
    <tableColumn id="5" xr3:uid="{00000000-0010-0000-9600-000005000000}" name="Cliente" dataDxfId="313" dataCellStyle="Moeda"/>
    <tableColumn id="2" xr3:uid="{00000000-0010-0000-9600-000002000000}" name="Forma de Pgto" dataDxfId="312" dataCellStyle="Moeda"/>
    <tableColumn id="3" xr3:uid="{00000000-0010-0000-9600-000003000000}" name="Valor Venda" dataDxfId="311" dataCellStyle="Porcentagem"/>
    <tableColumn id="4" xr3:uid="{00000000-0010-0000-9600-000004000000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7000000}" name="desp26" displayName="desp26" ref="K5:M11" totalsRowShown="0" headerRowDxfId="309" dataDxfId="307" headerRowBorderDxfId="308" tableBorderDxfId="306" totalsRowBorderDxfId="305">
  <autoFilter ref="K5:M11" xr:uid="{00000000-0009-0000-0100-000099000000}"/>
  <tableColumns count="3">
    <tableColumn id="1" xr3:uid="{00000000-0010-0000-9700-000001000000}" name="Descrição" dataDxfId="304"/>
    <tableColumn id="2" xr3:uid="{00000000-0010-0000-9700-000002000000}" name="Tipo de Pagto" dataDxfId="303"/>
    <tableColumn id="3" xr3:uid="{00000000-0010-0000-9700-000003000000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8000000}" name="rest_entr26" displayName="rest_entr26" ref="E25:I31" totalsRowShown="0" headerRowDxfId="301" dataDxfId="299" headerRowBorderDxfId="300" tableBorderDxfId="298" totalsRowBorderDxfId="297">
  <autoFilter ref="E25:I31" xr:uid="{00000000-0009-0000-0100-00009A000000}"/>
  <sortState xmlns:xlrd2="http://schemas.microsoft.com/office/spreadsheetml/2017/richdata2" ref="E26:I31">
    <sortCondition ref="E25:E31"/>
  </sortState>
  <tableColumns count="5">
    <tableColumn id="1" xr3:uid="{00000000-0010-0000-9800-000001000000}" name="Nº Venda" dataDxfId="296"/>
    <tableColumn id="2" xr3:uid="{00000000-0010-0000-9800-000002000000}" name="Cliente" dataDxfId="295"/>
    <tableColumn id="3" xr3:uid="{00000000-0010-0000-9800-000003000000}" name="Forma de Pgto" dataDxfId="294" dataCellStyle="Moeda"/>
    <tableColumn id="4" xr3:uid="{00000000-0010-0000-9800-000004000000}" name="Valor Venda" dataDxfId="293" dataCellStyle="Porcentagem"/>
    <tableColumn id="5" xr3:uid="{00000000-0010-0000-9800-000005000000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9000000}" name="os_entr_dia26" displayName="os_entr_dia26" ref="K14:M31" totalsRowShown="0" headerRowDxfId="291" dataDxfId="289" headerRowBorderDxfId="290" tableBorderDxfId="288" totalsRowBorderDxfId="287">
  <autoFilter ref="K14:M31" xr:uid="{00000000-0009-0000-0100-00009B000000}"/>
  <sortState xmlns:xlrd2="http://schemas.microsoft.com/office/spreadsheetml/2017/richdata2" ref="K15:M31">
    <sortCondition ref="M14:M31"/>
  </sortState>
  <tableColumns count="3">
    <tableColumn id="1" xr3:uid="{00000000-0010-0000-9900-000001000000}" name="OS" dataDxfId="286"/>
    <tableColumn id="2" xr3:uid="{00000000-0010-0000-9900-000002000000}" name="Vendedor" dataDxfId="285"/>
    <tableColumn id="3" xr3:uid="{00000000-0010-0000-9900-000003000000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A000000}" name="rec_carn26" displayName="rec_carn26" ref="E34:I41" totalsRowShown="0" headerRowDxfId="283" dataDxfId="281" headerRowBorderDxfId="282" tableBorderDxfId="280" totalsRowBorderDxfId="279">
  <autoFilter ref="E34:I41" xr:uid="{00000000-0009-0000-0100-00009C000000}"/>
  <sortState xmlns:xlrd2="http://schemas.microsoft.com/office/spreadsheetml/2017/richdata2" ref="E35:I40">
    <sortCondition ref="E25:E31"/>
  </sortState>
  <tableColumns count="5">
    <tableColumn id="1" xr3:uid="{00000000-0010-0000-9A00-000001000000}" name="OS" dataDxfId="278"/>
    <tableColumn id="2" xr3:uid="{00000000-0010-0000-9A00-000002000000}" name="Cliente" dataDxfId="277"/>
    <tableColumn id="3" xr3:uid="{00000000-0010-0000-9A00-000003000000}" name="Forma de Pgto" dataDxfId="276" dataCellStyle="Moeda"/>
    <tableColumn id="4" xr3:uid="{00000000-0010-0000-9A00-000004000000}" name="Valor Parcela" dataDxfId="275" dataCellStyle="Porcentagem"/>
    <tableColumn id="5" xr3:uid="{00000000-0010-0000-9A00-000005000000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B000000}" name="entr_carn26" displayName="entr_carn26" ref="K34:M41" totalsRowShown="0" headerRowDxfId="273" headerRowBorderDxfId="272" tableBorderDxfId="271" totalsRowBorderDxfId="270">
  <autoFilter ref="K34:M41" xr:uid="{00000000-0009-0000-0100-00009D000000}"/>
  <tableColumns count="3">
    <tableColumn id="1" xr3:uid="{00000000-0010-0000-9B00-000001000000}" name="OS" dataDxfId="269"/>
    <tableColumn id="2" xr3:uid="{00000000-0010-0000-9B00-000002000000}" name="Parcelas" dataDxfId="268"/>
    <tableColumn id="3" xr3:uid="{00000000-0010-0000-9B00-000003000000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9C000000}" name="vend27" displayName="vend27" ref="E5:I22" totalsRowShown="0" headerRowDxfId="266" dataDxfId="264" headerRowBorderDxfId="265" tableBorderDxfId="263" totalsRowBorderDxfId="262">
  <autoFilter ref="E5:I22" xr:uid="{00000000-0009-0000-0100-0000AA000000}"/>
  <sortState xmlns:xlrd2="http://schemas.microsoft.com/office/spreadsheetml/2017/richdata2" ref="E6:I22">
    <sortCondition ref="E5:E22"/>
  </sortState>
  <tableColumns count="5">
    <tableColumn id="1" xr3:uid="{00000000-0010-0000-9C00-000001000000}" name="Nº Venda" dataDxfId="261" dataCellStyle="Moeda"/>
    <tableColumn id="5" xr3:uid="{00000000-0010-0000-9C00-000005000000}" name="Cliente" dataDxfId="260" dataCellStyle="Moeda"/>
    <tableColumn id="2" xr3:uid="{00000000-0010-0000-9C00-000002000000}" name="Forma de Pgto" dataDxfId="259" dataCellStyle="Moeda"/>
    <tableColumn id="3" xr3:uid="{00000000-0010-0000-9C00-000003000000}" name="Valor Venda" dataDxfId="258" dataCellStyle="Porcentagem"/>
    <tableColumn id="4" xr3:uid="{00000000-0010-0000-9C00-000004000000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9D000000}" name="desp27" displayName="desp27" ref="K5:M11" totalsRowShown="0" headerRowDxfId="256" dataDxfId="254" headerRowBorderDxfId="255" tableBorderDxfId="253" totalsRowBorderDxfId="252">
  <autoFilter ref="K5:M11" xr:uid="{00000000-0009-0000-0100-0000AB000000}"/>
  <tableColumns count="3">
    <tableColumn id="1" xr3:uid="{00000000-0010-0000-9D00-000001000000}" name="Descrição" dataDxfId="251"/>
    <tableColumn id="2" xr3:uid="{00000000-0010-0000-9D00-000002000000}" name="Tipo de Pagto" dataDxfId="250"/>
    <tableColumn id="3" xr3:uid="{00000000-0010-0000-9D00-000003000000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9E000000}" name="rest_entr27" displayName="rest_entr27" ref="E25:I31" totalsRowShown="0" headerRowDxfId="248" dataDxfId="246" headerRowBorderDxfId="247" tableBorderDxfId="245" totalsRowBorderDxfId="244">
  <autoFilter ref="E25:I31" xr:uid="{00000000-0009-0000-0100-0000AC000000}"/>
  <sortState xmlns:xlrd2="http://schemas.microsoft.com/office/spreadsheetml/2017/richdata2" ref="E26:I31">
    <sortCondition ref="E25:E31"/>
  </sortState>
  <tableColumns count="5">
    <tableColumn id="1" xr3:uid="{00000000-0010-0000-9E00-000001000000}" name="Nº Venda" dataDxfId="243"/>
    <tableColumn id="2" xr3:uid="{00000000-0010-0000-9E00-000002000000}" name="Cliente" dataDxfId="242"/>
    <tableColumn id="3" xr3:uid="{00000000-0010-0000-9E00-000003000000}" name="Forma de Pgto" dataDxfId="241" dataCellStyle="Moeda"/>
    <tableColumn id="4" xr3:uid="{00000000-0010-0000-9E00-000004000000}" name="Valor Venda" dataDxfId="240" dataCellStyle="Porcentagem"/>
    <tableColumn id="5" xr3:uid="{00000000-0010-0000-9E00-00000500000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9F000000}" name="os_entr_dia27" displayName="os_entr_dia27" ref="K14:M31" totalsRowShown="0" headerRowDxfId="238" dataDxfId="236" headerRowBorderDxfId="237" tableBorderDxfId="235" totalsRowBorderDxfId="234">
  <autoFilter ref="K14:M31" xr:uid="{00000000-0009-0000-0100-0000AD000000}"/>
  <tableColumns count="3">
    <tableColumn id="1" xr3:uid="{00000000-0010-0000-9F00-000001000000}" name="OS" dataDxfId="233"/>
    <tableColumn id="2" xr3:uid="{00000000-0010-0000-9F00-000002000000}" name="Vendedor" dataDxfId="232"/>
    <tableColumn id="3" xr3:uid="{00000000-0010-0000-9F00-000003000000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0000000}" name="rec_carn27" displayName="rec_carn27" ref="E34:I41" totalsRowShown="0" headerRowDxfId="230" dataDxfId="228" headerRowBorderDxfId="229" tableBorderDxfId="227" totalsRowBorderDxfId="226">
  <autoFilter ref="E34:I41" xr:uid="{00000000-0009-0000-0100-0000AE000000}"/>
  <sortState xmlns:xlrd2="http://schemas.microsoft.com/office/spreadsheetml/2017/richdata2" ref="E35:I40">
    <sortCondition ref="E25:E31"/>
  </sortState>
  <tableColumns count="5">
    <tableColumn id="1" xr3:uid="{00000000-0010-0000-A000-000001000000}" name="OS" dataDxfId="225"/>
    <tableColumn id="2" xr3:uid="{00000000-0010-0000-A000-000002000000}" name="Cliente" dataDxfId="224"/>
    <tableColumn id="3" xr3:uid="{00000000-0010-0000-A000-000003000000}" name="Forma de Pgto" dataDxfId="223" dataCellStyle="Moeda"/>
    <tableColumn id="4" xr3:uid="{00000000-0010-0000-A000-000004000000}" name="Valor Parcela" dataDxfId="222" dataCellStyle="Porcentagem"/>
    <tableColumn id="5" xr3:uid="{00000000-0010-0000-A000-000005000000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1000000}" name="entr_carn27" displayName="entr_carn27" ref="K34:M41" totalsRowShown="0" headerRowDxfId="220" headerRowBorderDxfId="219" tableBorderDxfId="218" totalsRowBorderDxfId="217">
  <autoFilter ref="K34:M41" xr:uid="{00000000-0009-0000-0100-0000AF000000}"/>
  <tableColumns count="3">
    <tableColumn id="1" xr3:uid="{00000000-0010-0000-A100-000001000000}" name="OS" dataDxfId="216"/>
    <tableColumn id="2" xr3:uid="{00000000-0010-0000-A100-000002000000}" name="Parcelas" dataDxfId="215"/>
    <tableColumn id="3" xr3:uid="{00000000-0010-0000-A100-000003000000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2000000}" name="vend28" displayName="vend28" ref="E5:I22" totalsRowShown="0" headerRowDxfId="213" dataDxfId="211" headerRowBorderDxfId="212" tableBorderDxfId="210" totalsRowBorderDxfId="209">
  <autoFilter ref="E5:I22" xr:uid="{00000000-0009-0000-0100-0000A4000000}"/>
  <sortState xmlns:xlrd2="http://schemas.microsoft.com/office/spreadsheetml/2017/richdata2" ref="E6:I22">
    <sortCondition ref="E5:E22"/>
  </sortState>
  <tableColumns count="5">
    <tableColumn id="1" xr3:uid="{00000000-0010-0000-A200-000001000000}" name="Nº Venda" dataDxfId="208" dataCellStyle="Moeda"/>
    <tableColumn id="5" xr3:uid="{00000000-0010-0000-A200-000005000000}" name="Cliente" dataDxfId="207" dataCellStyle="Moeda"/>
    <tableColumn id="2" xr3:uid="{00000000-0010-0000-A200-000002000000}" name="Forma de Pgto" dataDxfId="206" dataCellStyle="Moeda"/>
    <tableColumn id="3" xr3:uid="{00000000-0010-0000-A200-000003000000}" name="Valor Venda" dataDxfId="205" dataCellStyle="Porcentagem"/>
    <tableColumn id="4" xr3:uid="{00000000-0010-0000-A200-000004000000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3000000}" name="desp28" displayName="desp28" ref="K5:M11" totalsRowShown="0" headerRowDxfId="203" dataDxfId="201" headerRowBorderDxfId="202" tableBorderDxfId="200" totalsRowBorderDxfId="199">
  <autoFilter ref="K5:M11" xr:uid="{00000000-0009-0000-0100-0000A5000000}"/>
  <tableColumns count="3">
    <tableColumn id="1" xr3:uid="{00000000-0010-0000-A300-000001000000}" name="Descrição" dataDxfId="198"/>
    <tableColumn id="2" xr3:uid="{00000000-0010-0000-A300-000002000000}" name="Tipo de Pagto" dataDxfId="197"/>
    <tableColumn id="3" xr3:uid="{00000000-0010-0000-A300-000003000000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4000000}" name="rest_entr28" displayName="rest_entr28" ref="E25:I31" totalsRowShown="0" headerRowDxfId="195" dataDxfId="193" headerRowBorderDxfId="194" tableBorderDxfId="192" totalsRowBorderDxfId="191">
  <autoFilter ref="E25:I31" xr:uid="{00000000-0009-0000-0100-0000A6000000}"/>
  <sortState xmlns:xlrd2="http://schemas.microsoft.com/office/spreadsheetml/2017/richdata2" ref="E26:I31">
    <sortCondition ref="E25:E31"/>
  </sortState>
  <tableColumns count="5">
    <tableColumn id="1" xr3:uid="{00000000-0010-0000-A400-000001000000}" name="Nº Venda" dataDxfId="190"/>
    <tableColumn id="2" xr3:uid="{00000000-0010-0000-A400-000002000000}" name="Cliente" dataDxfId="189"/>
    <tableColumn id="3" xr3:uid="{00000000-0010-0000-A400-000003000000}" name="Forma de Pgto" dataDxfId="188" dataCellStyle="Moeda"/>
    <tableColumn id="4" xr3:uid="{00000000-0010-0000-A400-000004000000}" name="Valor Venda" dataDxfId="187" dataCellStyle="Porcentagem"/>
    <tableColumn id="5" xr3:uid="{00000000-0010-0000-A400-000005000000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5000000}" name="os_entr_dia28" displayName="os_entr_dia28" ref="K14:M31" totalsRowShown="0" headerRowDxfId="185" dataDxfId="183" headerRowBorderDxfId="184" tableBorderDxfId="182" totalsRowBorderDxfId="181">
  <autoFilter ref="K14:M31" xr:uid="{00000000-0009-0000-0100-0000A7000000}"/>
  <tableColumns count="3">
    <tableColumn id="1" xr3:uid="{00000000-0010-0000-A500-000001000000}" name="OS" dataDxfId="180"/>
    <tableColumn id="2" xr3:uid="{00000000-0010-0000-A500-000002000000}" name="Vendedor" dataDxfId="179"/>
    <tableColumn id="3" xr3:uid="{00000000-0010-0000-A500-00000300000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6000000}" name="rec_carn28" displayName="rec_carn28" ref="E34:I41" totalsRowShown="0" headerRowDxfId="177" dataDxfId="175" headerRowBorderDxfId="176" tableBorderDxfId="174" totalsRowBorderDxfId="173">
  <autoFilter ref="E34:I41" xr:uid="{00000000-0009-0000-0100-0000A8000000}"/>
  <sortState xmlns:xlrd2="http://schemas.microsoft.com/office/spreadsheetml/2017/richdata2" ref="E35:I40">
    <sortCondition ref="E25:E31"/>
  </sortState>
  <tableColumns count="5">
    <tableColumn id="1" xr3:uid="{00000000-0010-0000-A600-000001000000}" name="OS" dataDxfId="172"/>
    <tableColumn id="2" xr3:uid="{00000000-0010-0000-A600-000002000000}" name="Cliente" dataDxfId="171"/>
    <tableColumn id="3" xr3:uid="{00000000-0010-0000-A600-000003000000}" name="Forma de Pgto" dataDxfId="170" dataCellStyle="Moeda"/>
    <tableColumn id="4" xr3:uid="{00000000-0010-0000-A600-000004000000}" name="Valor Parcela" dataDxfId="169" dataCellStyle="Porcentagem"/>
    <tableColumn id="5" xr3:uid="{00000000-0010-0000-A600-000005000000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7000000}" name="entr_carn28" displayName="entr_carn28" ref="K34:M41" totalsRowShown="0" headerRowDxfId="167" headerRowBorderDxfId="166" tableBorderDxfId="165" totalsRowBorderDxfId="164">
  <autoFilter ref="K34:M41" xr:uid="{00000000-0009-0000-0100-0000A9000000}"/>
  <tableColumns count="3">
    <tableColumn id="1" xr3:uid="{00000000-0010-0000-A700-000001000000}" name="OS" dataDxfId="163"/>
    <tableColumn id="2" xr3:uid="{00000000-0010-0000-A700-000002000000}" name="Parcelas" dataDxfId="162"/>
    <tableColumn id="3" xr3:uid="{00000000-0010-0000-A700-000003000000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A8000000}" name="vend29" displayName="vend29" ref="E5:I22" totalsRowShown="0" headerRowDxfId="160" dataDxfId="158" headerRowBorderDxfId="159" tableBorderDxfId="157" totalsRowBorderDxfId="156">
  <autoFilter ref="E5:I22" xr:uid="{00000000-0009-0000-0100-00008C000000}"/>
  <sortState xmlns:xlrd2="http://schemas.microsoft.com/office/spreadsheetml/2017/richdata2" ref="E6:I22">
    <sortCondition ref="E5:E22"/>
  </sortState>
  <tableColumns count="5">
    <tableColumn id="1" xr3:uid="{00000000-0010-0000-A800-000001000000}" name="Nº Venda" dataDxfId="155" dataCellStyle="Moeda"/>
    <tableColumn id="5" xr3:uid="{00000000-0010-0000-A800-000005000000}" name="Cliente" dataDxfId="154" dataCellStyle="Moeda"/>
    <tableColumn id="2" xr3:uid="{00000000-0010-0000-A800-000002000000}" name="Forma de Pgto" dataDxfId="153" dataCellStyle="Moeda"/>
    <tableColumn id="3" xr3:uid="{00000000-0010-0000-A800-000003000000}" name="Valor Venda" dataDxfId="152" dataCellStyle="Porcentagem"/>
    <tableColumn id="4" xr3:uid="{00000000-0010-0000-A800-000004000000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A9000000}" name="desp29" displayName="desp29" ref="K5:M11" totalsRowShown="0" headerRowDxfId="150" dataDxfId="148" headerRowBorderDxfId="149" tableBorderDxfId="147" totalsRowBorderDxfId="146">
  <autoFilter ref="K5:M11" xr:uid="{00000000-0009-0000-0100-00008D000000}"/>
  <tableColumns count="3">
    <tableColumn id="1" xr3:uid="{00000000-0010-0000-A900-000001000000}" name="Descrição" dataDxfId="145"/>
    <tableColumn id="2" xr3:uid="{00000000-0010-0000-A900-000002000000}" name="Tipo de Pagto" dataDxfId="144"/>
    <tableColumn id="3" xr3:uid="{00000000-0010-0000-A900-000003000000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AA000000}" name="rest_entr29" displayName="rest_entr29" ref="E25:I31" totalsRowShown="0" headerRowDxfId="142" dataDxfId="140" headerRowBorderDxfId="141" tableBorderDxfId="139" totalsRowBorderDxfId="138">
  <autoFilter ref="E25:I31" xr:uid="{00000000-0009-0000-0100-00008E000000}"/>
  <sortState xmlns:xlrd2="http://schemas.microsoft.com/office/spreadsheetml/2017/richdata2" ref="E26:I31">
    <sortCondition ref="E25:E31"/>
  </sortState>
  <tableColumns count="5">
    <tableColumn id="1" xr3:uid="{00000000-0010-0000-AA00-000001000000}" name="Nº Venda" dataDxfId="137"/>
    <tableColumn id="2" xr3:uid="{00000000-0010-0000-AA00-000002000000}" name="Cliente" dataDxfId="136"/>
    <tableColumn id="3" xr3:uid="{00000000-0010-0000-AA00-000003000000}" name="Forma de Pgto" dataDxfId="135" dataCellStyle="Moeda"/>
    <tableColumn id="4" xr3:uid="{00000000-0010-0000-AA00-000004000000}" name="Valor Venda" dataDxfId="134" dataCellStyle="Porcentagem"/>
    <tableColumn id="5" xr3:uid="{00000000-0010-0000-AA00-000005000000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AB000000}" name="os_entr_dia29" displayName="os_entr_dia29" ref="K14:M31" totalsRowShown="0" headerRowDxfId="132" dataDxfId="130" headerRowBorderDxfId="131" tableBorderDxfId="129" totalsRowBorderDxfId="128">
  <autoFilter ref="K14:M31" xr:uid="{00000000-0009-0000-0100-00008F000000}"/>
  <tableColumns count="3">
    <tableColumn id="1" xr3:uid="{00000000-0010-0000-AB00-000001000000}" name="OS" dataDxfId="127"/>
    <tableColumn id="2" xr3:uid="{00000000-0010-0000-AB00-000002000000}" name="Vendedor" dataDxfId="126"/>
    <tableColumn id="3" xr3:uid="{00000000-0010-0000-AB00-000003000000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AC000000}" name="rec_carn29" displayName="rec_carn29" ref="E34:I41" totalsRowShown="0" headerRowDxfId="124" dataDxfId="122" headerRowBorderDxfId="123" tableBorderDxfId="121" totalsRowBorderDxfId="120">
  <autoFilter ref="E34:I41" xr:uid="{00000000-0009-0000-0100-000090000000}"/>
  <sortState xmlns:xlrd2="http://schemas.microsoft.com/office/spreadsheetml/2017/richdata2" ref="E35:I40">
    <sortCondition ref="E25:E31"/>
  </sortState>
  <tableColumns count="5">
    <tableColumn id="1" xr3:uid="{00000000-0010-0000-AC00-000001000000}" name="OS" dataDxfId="119"/>
    <tableColumn id="2" xr3:uid="{00000000-0010-0000-AC00-000002000000}" name="Cliente" dataDxfId="118"/>
    <tableColumn id="3" xr3:uid="{00000000-0010-0000-AC00-000003000000}" name="Forma de Pgto" dataDxfId="117" dataCellStyle="Moeda"/>
    <tableColumn id="4" xr3:uid="{00000000-0010-0000-AC00-000004000000}" name="Valor Parcela" dataDxfId="116" dataCellStyle="Porcentagem"/>
    <tableColumn id="5" xr3:uid="{00000000-0010-0000-AC00-000005000000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AD000000}" name="entr_carn29" displayName="entr_carn29" ref="K34:M41" totalsRowShown="0" headerRowDxfId="114" headerRowBorderDxfId="113" tableBorderDxfId="112" totalsRowBorderDxfId="111">
  <autoFilter ref="K34:M41" xr:uid="{00000000-0009-0000-0100-000091000000}"/>
  <tableColumns count="3">
    <tableColumn id="1" xr3:uid="{00000000-0010-0000-AD00-000001000000}" name="OS" dataDxfId="110"/>
    <tableColumn id="2" xr3:uid="{00000000-0010-0000-AD00-000002000000}" name="Parcelas" dataDxfId="109"/>
    <tableColumn id="3" xr3:uid="{00000000-0010-0000-AD00-000003000000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AE000000}" name="vend30" displayName="vend30" ref="E5:I22" totalsRowShown="0" headerRowDxfId="107" dataDxfId="105" headerRowBorderDxfId="106" tableBorderDxfId="104" totalsRowBorderDxfId="103">
  <autoFilter ref="E5:I22" xr:uid="{00000000-0009-0000-0100-0000B6000000}"/>
  <sortState xmlns:xlrd2="http://schemas.microsoft.com/office/spreadsheetml/2017/richdata2" ref="E6:I22">
    <sortCondition ref="E5:E22"/>
  </sortState>
  <tableColumns count="5">
    <tableColumn id="1" xr3:uid="{00000000-0010-0000-AE00-000001000000}" name="Nº Venda" dataDxfId="102" dataCellStyle="Moeda"/>
    <tableColumn id="5" xr3:uid="{00000000-0010-0000-AE00-000005000000}" name="Cliente" dataDxfId="101" dataCellStyle="Moeda"/>
    <tableColumn id="2" xr3:uid="{00000000-0010-0000-AE00-000002000000}" name="Forma de Pgto" dataDxfId="100" dataCellStyle="Moeda"/>
    <tableColumn id="3" xr3:uid="{00000000-0010-0000-AE00-000003000000}" name="Valor Venda" dataDxfId="99" dataCellStyle="Porcentagem"/>
    <tableColumn id="4" xr3:uid="{00000000-0010-0000-AE00-000004000000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AF000000}" name="desp30" displayName="desp30" ref="K5:M11" totalsRowShown="0" headerRowDxfId="97" dataDxfId="95" headerRowBorderDxfId="96" tableBorderDxfId="94" totalsRowBorderDxfId="93">
  <autoFilter ref="K5:M11" xr:uid="{00000000-0009-0000-0100-0000B7000000}"/>
  <tableColumns count="3">
    <tableColumn id="1" xr3:uid="{00000000-0010-0000-AF00-000001000000}" name="Descrição" dataDxfId="92"/>
    <tableColumn id="2" xr3:uid="{00000000-0010-0000-AF00-000002000000}" name="Tipo de Pagto" dataDxfId="91"/>
    <tableColumn id="3" xr3:uid="{00000000-0010-0000-AF00-000003000000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0000000}" name="rest_entr30" displayName="rest_entr30" ref="E25:I31" totalsRowShown="0" headerRowDxfId="89" dataDxfId="87" headerRowBorderDxfId="88" tableBorderDxfId="86" totalsRowBorderDxfId="85">
  <autoFilter ref="E25:I31" xr:uid="{00000000-0009-0000-0100-0000B8000000}"/>
  <sortState xmlns:xlrd2="http://schemas.microsoft.com/office/spreadsheetml/2017/richdata2" ref="E26:I31">
    <sortCondition ref="E25:E31"/>
  </sortState>
  <tableColumns count="5">
    <tableColumn id="1" xr3:uid="{00000000-0010-0000-B000-000001000000}" name="Nº Venda" dataDxfId="84"/>
    <tableColumn id="2" xr3:uid="{00000000-0010-0000-B000-000002000000}" name="Cliente" dataDxfId="83"/>
    <tableColumn id="3" xr3:uid="{00000000-0010-0000-B000-000003000000}" name="Forma de Pgto" dataDxfId="82" dataCellStyle="Moeda"/>
    <tableColumn id="4" xr3:uid="{00000000-0010-0000-B000-000004000000}" name="Valor Venda" dataDxfId="81" dataCellStyle="Porcentagem"/>
    <tableColumn id="5" xr3:uid="{00000000-0010-0000-B000-000005000000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1000000}" name="os_entr_dia30" displayName="os_entr_dia30" ref="K14:M31" totalsRowShown="0" headerRowDxfId="79" dataDxfId="77" headerRowBorderDxfId="78" tableBorderDxfId="76" totalsRowBorderDxfId="75">
  <autoFilter ref="K14:M31" xr:uid="{00000000-0009-0000-0100-0000B9000000}"/>
  <tableColumns count="3">
    <tableColumn id="1" xr3:uid="{00000000-0010-0000-B100-000001000000}" name="OS" dataDxfId="74"/>
    <tableColumn id="2" xr3:uid="{00000000-0010-0000-B100-000002000000}" name="Vendedor" dataDxfId="73"/>
    <tableColumn id="3" xr3:uid="{00000000-0010-0000-B100-000003000000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2000000}" name="rec_carn30" displayName="rec_carn30" ref="E34:I41" totalsRowShown="0" headerRowDxfId="71" dataDxfId="69" headerRowBorderDxfId="70" tableBorderDxfId="68" totalsRowBorderDxfId="67">
  <autoFilter ref="E34:I41" xr:uid="{00000000-0009-0000-0100-0000BA000000}"/>
  <sortState xmlns:xlrd2="http://schemas.microsoft.com/office/spreadsheetml/2017/richdata2" ref="E35:I40">
    <sortCondition ref="E25:E31"/>
  </sortState>
  <tableColumns count="5">
    <tableColumn id="1" xr3:uid="{00000000-0010-0000-B200-000001000000}" name="OS" dataDxfId="66"/>
    <tableColumn id="2" xr3:uid="{00000000-0010-0000-B200-000002000000}" name="Cliente" dataDxfId="65"/>
    <tableColumn id="3" xr3:uid="{00000000-0010-0000-B200-000003000000}" name="Forma de Pgto" dataDxfId="64" dataCellStyle="Moeda"/>
    <tableColumn id="4" xr3:uid="{00000000-0010-0000-B200-000004000000}" name="Valor Parcela" dataDxfId="63" dataCellStyle="Porcentagem"/>
    <tableColumn id="5" xr3:uid="{00000000-0010-0000-B200-000005000000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3000000}" name="entr_carn30" displayName="entr_carn30" ref="K34:M41" totalsRowShown="0" headerRowDxfId="61" headerRowBorderDxfId="60" tableBorderDxfId="59" totalsRowBorderDxfId="58">
  <autoFilter ref="K34:M41" xr:uid="{00000000-0009-0000-0100-0000BB000000}"/>
  <tableColumns count="3">
    <tableColumn id="1" xr3:uid="{00000000-0010-0000-B300-000001000000}" name="OS" dataDxfId="57"/>
    <tableColumn id="2" xr3:uid="{00000000-0010-0000-B300-000002000000}" name="Parcelas" dataDxfId="56"/>
    <tableColumn id="3" xr3:uid="{00000000-0010-0000-B300-000003000000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B4000000}" name="vend31" displayName="vend31" ref="E5:I22" totalsRowShown="0" headerRowDxfId="54" dataDxfId="52" headerRowBorderDxfId="53" tableBorderDxfId="51" totalsRowBorderDxfId="50">
  <autoFilter ref="E5:I22" xr:uid="{00000000-0009-0000-0100-0000B0000000}"/>
  <sortState xmlns:xlrd2="http://schemas.microsoft.com/office/spreadsheetml/2017/richdata2" ref="E6:I22">
    <sortCondition ref="E5:E22"/>
  </sortState>
  <tableColumns count="5">
    <tableColumn id="1" xr3:uid="{00000000-0010-0000-B400-000001000000}" name="Nº Venda" dataDxfId="49" dataCellStyle="Moeda"/>
    <tableColumn id="5" xr3:uid="{00000000-0010-0000-B400-000005000000}" name="Cliente" dataDxfId="48" dataCellStyle="Moeda"/>
    <tableColumn id="2" xr3:uid="{00000000-0010-0000-B400-000002000000}" name="Forma de Pgto" dataDxfId="47" dataCellStyle="Moeda"/>
    <tableColumn id="3" xr3:uid="{00000000-0010-0000-B400-000003000000}" name="Valor Venda" dataDxfId="46" dataCellStyle="Porcentagem"/>
    <tableColumn id="4" xr3:uid="{00000000-0010-0000-B400-000004000000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5000000}" name="desp31" displayName="desp31" ref="K5:M11" totalsRowShown="0" headerRowDxfId="44" dataDxfId="42" headerRowBorderDxfId="43" tableBorderDxfId="41" totalsRowBorderDxfId="40">
  <autoFilter ref="K5:M11" xr:uid="{00000000-0009-0000-0100-0000B1000000}"/>
  <tableColumns count="3">
    <tableColumn id="1" xr3:uid="{00000000-0010-0000-B500-000001000000}" name="Descrição" dataDxfId="39"/>
    <tableColumn id="2" xr3:uid="{00000000-0010-0000-B500-000002000000}" name="Tipo de Pagto" dataDxfId="38"/>
    <tableColumn id="3" xr3:uid="{00000000-0010-0000-B500-000003000000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6000000}" name="rest_entr31" displayName="rest_entr31" ref="E25:I31" totalsRowShown="0" headerRowDxfId="36" dataDxfId="34" headerRowBorderDxfId="35" tableBorderDxfId="33" totalsRowBorderDxfId="32">
  <autoFilter ref="E25:I31" xr:uid="{00000000-0009-0000-0100-0000B2000000}"/>
  <sortState xmlns:xlrd2="http://schemas.microsoft.com/office/spreadsheetml/2017/richdata2" ref="E26:I31">
    <sortCondition ref="E25:E31"/>
  </sortState>
  <tableColumns count="5">
    <tableColumn id="1" xr3:uid="{00000000-0010-0000-B600-000001000000}" name="Nº Venda" dataDxfId="31"/>
    <tableColumn id="2" xr3:uid="{00000000-0010-0000-B600-000002000000}" name="Cliente" dataDxfId="30"/>
    <tableColumn id="3" xr3:uid="{00000000-0010-0000-B600-000003000000}" name="Forma de Pgto" dataDxfId="29" dataCellStyle="Moeda"/>
    <tableColumn id="4" xr3:uid="{00000000-0010-0000-B600-000004000000}" name="Valor Venda" dataDxfId="28" dataCellStyle="Porcentagem"/>
    <tableColumn id="5" xr3:uid="{00000000-0010-0000-B600-000005000000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7000000}" name="os_entr_dia31" displayName="os_entr_dia31" ref="K14:M31" totalsRowShown="0" headerRowDxfId="26" dataDxfId="24" headerRowBorderDxfId="25" tableBorderDxfId="23" totalsRowBorderDxfId="22">
  <autoFilter ref="K14:M31" xr:uid="{00000000-0009-0000-0100-0000B3000000}"/>
  <tableColumns count="3">
    <tableColumn id="1" xr3:uid="{00000000-0010-0000-B700-000001000000}" name="OS" dataDxfId="21"/>
    <tableColumn id="2" xr3:uid="{00000000-0010-0000-B700-000002000000}" name="Vendedor" dataDxfId="20"/>
    <tableColumn id="3" xr3:uid="{00000000-0010-0000-B700-000003000000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8000000}" name="rec_carn31" displayName="rec_carn31" ref="E34:I41" totalsRowShown="0" headerRowDxfId="18" dataDxfId="16" headerRowBorderDxfId="17" tableBorderDxfId="15" totalsRowBorderDxfId="14">
  <autoFilter ref="E34:I41" xr:uid="{00000000-0009-0000-0100-0000B4000000}"/>
  <sortState xmlns:xlrd2="http://schemas.microsoft.com/office/spreadsheetml/2017/richdata2" ref="E35:I40">
    <sortCondition ref="E25:E31"/>
  </sortState>
  <tableColumns count="5">
    <tableColumn id="1" xr3:uid="{00000000-0010-0000-B800-000001000000}" name="OS" dataDxfId="13"/>
    <tableColumn id="2" xr3:uid="{00000000-0010-0000-B800-000002000000}" name="Cliente" dataDxfId="12"/>
    <tableColumn id="3" xr3:uid="{00000000-0010-0000-B800-000003000000}" name="Forma de Pgto" dataDxfId="11" dataCellStyle="Moeda"/>
    <tableColumn id="4" xr3:uid="{00000000-0010-0000-B800-000004000000}" name="Valor Parcela" dataDxfId="10" dataCellStyle="Porcentagem"/>
    <tableColumn id="5" xr3:uid="{00000000-0010-0000-B800-000005000000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9000000}" name="entr_carn31" displayName="entr_carn31" ref="K34:M41" totalsRowShown="0" headerRowDxfId="8" headerRowBorderDxfId="7" tableBorderDxfId="6" totalsRowBorderDxfId="5">
  <autoFilter ref="K34:M41" xr:uid="{00000000-0009-0000-0100-0000B5000000}"/>
  <tableColumns count="3">
    <tableColumn id="1" xr3:uid="{00000000-0010-0000-B900-000001000000}" name="OS" dataDxfId="4"/>
    <tableColumn id="2" xr3:uid="{00000000-0010-0000-B900-000002000000}" name="Parcelas" dataDxfId="3"/>
    <tableColumn id="3" xr3:uid="{00000000-0010-0000-B900-000003000000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BA000000}" name="Tabela2" displayName="Tabela2" ref="A1:B9" totalsRowShown="0" headerRowDxfId="1">
  <autoFilter ref="A1:B9" xr:uid="{00000000-0009-0000-0100-000001000000}"/>
  <tableColumns count="2">
    <tableColumn id="1" xr3:uid="{00000000-0010-0000-BA00-000001000000}" name="Tipo Pagto"/>
    <tableColumn id="2" xr3:uid="{00000000-0010-0000-BA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ela188" displayName="Tabela188" ref="E1:E79" totalsRowShown="0" headerRowDxfId="0">
  <autoFilter ref="E1:E79" xr:uid="{00000000-0009-0000-0100-0000BC000000}"/>
  <tableColumns count="1">
    <tableColumn id="1" xr3:uid="{00000000-0010-0000-BB00-000001000000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B3" sqref="B3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22862.989999999998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17609.760000000002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70.62</v>
      </c>
    </row>
    <row r="6" spans="1:2" ht="15.75" x14ac:dyDescent="0.25">
      <c r="A6" s="28" t="s">
        <v>4</v>
      </c>
      <c r="B6" s="29">
        <f>SUM(B4:B5)</f>
        <v>17680.38</v>
      </c>
    </row>
    <row r="7" spans="1:2" ht="15" x14ac:dyDescent="0.25">
      <c r="A7" s="2"/>
      <c r="B7" s="2"/>
    </row>
    <row r="8" spans="1:2" ht="15" x14ac:dyDescent="0.2">
      <c r="A8" s="66" t="s">
        <v>5</v>
      </c>
      <c r="B8" s="66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2078.7600000000002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3012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200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12199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120</v>
      </c>
    </row>
    <row r="14" spans="1:2" ht="15.75" x14ac:dyDescent="0.25">
      <c r="A14" s="28" t="s">
        <v>11</v>
      </c>
      <c r="B14" s="32">
        <f>SUM(B9:B13)</f>
        <v>17609.760000000002</v>
      </c>
    </row>
    <row r="15" spans="1:2" ht="15" x14ac:dyDescent="0.25">
      <c r="A15" s="2"/>
      <c r="B15" s="2"/>
    </row>
    <row r="16" spans="1:2" ht="15" x14ac:dyDescent="0.2">
      <c r="A16" s="66" t="s">
        <v>12</v>
      </c>
      <c r="B16" s="66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2292.5</v>
      </c>
    </row>
    <row r="18" spans="1:2" ht="15.75" x14ac:dyDescent="0.25">
      <c r="A18" s="28" t="s">
        <v>11</v>
      </c>
      <c r="B18" s="32">
        <f>SUM(B17:B17)</f>
        <v>2292.5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45108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2649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2340</v>
      </c>
      <c r="D6" s="2"/>
      <c r="E6" s="18">
        <v>257</v>
      </c>
      <c r="F6" s="25" t="s">
        <v>21</v>
      </c>
      <c r="G6" s="26" t="s">
        <v>7</v>
      </c>
      <c r="H6" s="8">
        <v>500</v>
      </c>
      <c r="I6" s="8">
        <v>10</v>
      </c>
      <c r="J6" s="2"/>
      <c r="K6" s="25" t="s">
        <v>22</v>
      </c>
      <c r="L6" s="9" t="s">
        <v>7</v>
      </c>
      <c r="M6" s="16">
        <v>5.12</v>
      </c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5.12</v>
      </c>
      <c r="D7" s="2"/>
      <c r="E7" s="18">
        <v>258</v>
      </c>
      <c r="F7" s="25" t="s">
        <v>23</v>
      </c>
      <c r="G7" s="26" t="s">
        <v>9</v>
      </c>
      <c r="H7" s="8">
        <v>379</v>
      </c>
      <c r="I7" s="8">
        <v>379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24</v>
      </c>
      <c r="C8" s="29">
        <f>SUM(C6:C7)</f>
        <v>2345.12</v>
      </c>
      <c r="D8" s="2"/>
      <c r="E8" s="18">
        <v>259</v>
      </c>
      <c r="F8" s="25" t="s">
        <v>23</v>
      </c>
      <c r="G8" s="26" t="s">
        <v>9</v>
      </c>
      <c r="H8" s="8">
        <v>470</v>
      </c>
      <c r="I8" s="8">
        <v>121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>
        <v>260</v>
      </c>
      <c r="F9" s="25" t="s">
        <v>25</v>
      </c>
      <c r="G9" s="26" t="s">
        <v>9</v>
      </c>
      <c r="H9" s="8">
        <v>1300</v>
      </c>
      <c r="I9" s="8">
        <v>1300</v>
      </c>
      <c r="J9" s="2"/>
      <c r="K9" s="25"/>
      <c r="L9" s="9"/>
      <c r="M9" s="16"/>
      <c r="R9" s="1">
        <f>IF(vend1[[#This Row],[Nº Venda]]&gt;1,1,0)</f>
        <v>1</v>
      </c>
    </row>
    <row r="10" spans="2:18" ht="15.75" x14ac:dyDescent="0.25">
      <c r="B10" s="66" t="s">
        <v>5</v>
      </c>
      <c r="C10" s="66"/>
      <c r="D10" s="2"/>
      <c r="E10" s="18"/>
      <c r="F10" s="25"/>
      <c r="G10" s="54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490</v>
      </c>
      <c r="D11" s="2"/>
      <c r="E11" s="18"/>
      <c r="F11" s="25"/>
      <c r="G11" s="54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54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1800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2340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2649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7">
        <v>165</v>
      </c>
      <c r="F26" s="25" t="s">
        <v>32</v>
      </c>
      <c r="G26" s="26" t="s">
        <v>7</v>
      </c>
      <c r="H26" s="8"/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216</v>
      </c>
      <c r="F27" s="25" t="s">
        <v>33</v>
      </c>
      <c r="G27" s="26" t="s">
        <v>6</v>
      </c>
      <c r="H27" s="8"/>
      <c r="I27" s="8">
        <v>490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6" t="s">
        <v>27</v>
      </c>
      <c r="L34" s="6" t="s">
        <v>37</v>
      </c>
      <c r="M34" s="6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100-000000000000}">
      <formula1>"Sim, Não"</formula1>
    </dataValidation>
    <dataValidation type="list" allowBlank="1" showInputMessage="1" showErrorMessage="1" sqref="L35:L41" xr:uid="{00000000-0002-0000-0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0100-000003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0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showGridLines="0" topLeftCell="A11" zoomScale="71" zoomScaleNormal="71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45109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1390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710</v>
      </c>
      <c r="D6" s="2"/>
      <c r="E6" s="18">
        <v>341</v>
      </c>
      <c r="F6" s="25" t="s">
        <v>40</v>
      </c>
      <c r="G6" s="55" t="s">
        <v>9</v>
      </c>
      <c r="H6" s="8">
        <v>700</v>
      </c>
      <c r="I6" s="8">
        <v>700</v>
      </c>
      <c r="J6" s="2"/>
      <c r="K6" s="25" t="s">
        <v>41</v>
      </c>
      <c r="L6" s="9" t="s">
        <v>42</v>
      </c>
      <c r="M6" s="16">
        <v>12</v>
      </c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>
        <v>342</v>
      </c>
      <c r="F7" s="25" t="s">
        <v>43</v>
      </c>
      <c r="G7" s="55" t="s">
        <v>10</v>
      </c>
      <c r="H7" s="8">
        <v>690</v>
      </c>
      <c r="I7" s="8">
        <v>10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24</v>
      </c>
      <c r="C8" s="29">
        <f>SUM(C6:C7)</f>
        <v>722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700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25">
        <v>269</v>
      </c>
      <c r="L15" s="9" t="s">
        <v>44</v>
      </c>
      <c r="M15" s="16" t="s">
        <v>45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710</v>
      </c>
      <c r="D16" s="2"/>
      <c r="E16" s="18"/>
      <c r="F16" s="25"/>
      <c r="G16" s="26"/>
      <c r="H16" s="8"/>
      <c r="I16" s="8"/>
      <c r="J16" s="2"/>
      <c r="K16" s="25">
        <v>302</v>
      </c>
      <c r="L16" s="9" t="s">
        <v>44</v>
      </c>
      <c r="M16" s="16" t="s">
        <v>45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200-000000000000}">
      <formula1>"1,2,3,4,5,6,7,8,9,10"</formula1>
    </dataValidation>
    <dataValidation type="list" allowBlank="1" showInputMessage="1" showErrorMessage="1" sqref="M15:M31" xr:uid="{00000000-0002-0000-0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45110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1280</v>
      </c>
      <c r="D6" s="2"/>
      <c r="E6" s="18"/>
      <c r="F6" s="25"/>
      <c r="G6" s="26"/>
      <c r="H6" s="8"/>
      <c r="I6" s="8"/>
      <c r="J6" s="2"/>
      <c r="K6" s="25" t="s">
        <v>22</v>
      </c>
      <c r="L6" s="9" t="s">
        <v>7</v>
      </c>
      <c r="M6" s="16">
        <v>5.5</v>
      </c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17.5</v>
      </c>
      <c r="D7" s="2"/>
      <c r="E7" s="18"/>
      <c r="F7" s="25"/>
      <c r="G7" s="55"/>
      <c r="H7" s="8"/>
      <c r="I7" s="8"/>
      <c r="J7" s="2"/>
      <c r="K7" s="25" t="s">
        <v>41</v>
      </c>
      <c r="L7" s="9" t="s">
        <v>7</v>
      </c>
      <c r="M7" s="16">
        <v>12</v>
      </c>
      <c r="R7" s="1">
        <f>IF(vend3[[#This Row],[Nº Venda]]&gt;1,1,0)</f>
        <v>0</v>
      </c>
    </row>
    <row r="8" spans="2:18" ht="15.75" x14ac:dyDescent="0.25">
      <c r="B8" s="28" t="s">
        <v>24</v>
      </c>
      <c r="C8" s="29">
        <f>SUM(C6:C7)</f>
        <v>1297.5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1280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1280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248</v>
      </c>
      <c r="F26" s="25" t="s">
        <v>46</v>
      </c>
      <c r="G26" s="26" t="s">
        <v>9</v>
      </c>
      <c r="H26" s="8"/>
      <c r="I26" s="8">
        <v>1280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55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56"/>
      <c r="G30" s="55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300-000000000000}">
      <formula1>"Sim, Não"</formula1>
    </dataValidation>
    <dataValidation type="list" allowBlank="1" showInputMessage="1" showErrorMessage="1" sqref="L35:L41" xr:uid="{00000000-0002-0000-03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2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0300-000003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0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showGridLines="0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45111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00000000-0002-0000-0400-000000000000}">
      <formula1>"1,2,3,4,5,6,7,8,9,10"</formula1>
    </dataValidation>
    <dataValidation type="list" allowBlank="1" showInputMessage="1" showErrorMessage="1" sqref="M15:M31" xr:uid="{00000000-0002-0000-0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45112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263</v>
      </c>
      <c r="F6" s="25" t="s">
        <v>47</v>
      </c>
      <c r="G6" s="26" t="s">
        <v>48</v>
      </c>
      <c r="H6" s="8">
        <v>0</v>
      </c>
      <c r="I6" s="8" t="s">
        <v>49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264</v>
      </c>
      <c r="F7" s="25" t="s">
        <v>50</v>
      </c>
      <c r="G7" s="26" t="s">
        <v>6</v>
      </c>
      <c r="H7" s="8">
        <v>550</v>
      </c>
      <c r="I7" s="8">
        <v>150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24</v>
      </c>
      <c r="C8" s="29">
        <f>SUM(C6:C7)</f>
        <v>150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500-000000000000}">
      <formula1>"Sim, Não"</formula1>
    </dataValidation>
    <dataValidation type="list" allowBlank="1" showInputMessage="1" showErrorMessage="1" sqref="L35:L41" xr:uid="{00000000-0002-0000-0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2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0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1"/>
  <sheetViews>
    <sheetView showGridLines="0" topLeftCell="A11" zoomScale="71" zoomScaleNormal="71" workbookViewId="0">
      <selection activeCell="N35" sqref="N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45113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1</v>
      </c>
      <c r="C19" s="31">
        <f>SUM(entr_carn6[Valor Total])</f>
        <v>400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264</v>
      </c>
      <c r="L35" s="42">
        <v>8</v>
      </c>
      <c r="M35" s="16">
        <v>400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600-000000000000}">
      <formula1>"1,2,3,4,5,6,7,8,9,10"</formula1>
    </dataValidation>
    <dataValidation type="list" allowBlank="1" showInputMessage="1" showErrorMessage="1" sqref="M15:M31" xr:uid="{00000000-0002-0000-0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41"/>
  <sheetViews>
    <sheetView showGridLines="0" zoomScale="71" zoomScaleNormal="71" workbookViewId="0">
      <selection activeCell="G14" sqref="G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45114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3240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1780</v>
      </c>
      <c r="D6" s="2"/>
      <c r="E6" s="18">
        <v>265</v>
      </c>
      <c r="F6" s="25" t="s">
        <v>51</v>
      </c>
      <c r="G6" s="26" t="s">
        <v>7</v>
      </c>
      <c r="H6" s="8">
        <v>1690</v>
      </c>
      <c r="I6" s="8">
        <v>1000</v>
      </c>
      <c r="J6" s="2"/>
      <c r="K6" s="25"/>
      <c r="L6" s="9"/>
      <c r="M6" s="16"/>
      <c r="R6" s="1">
        <f>IF(vend7[[#This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266</v>
      </c>
      <c r="F7" s="25" t="s">
        <v>51</v>
      </c>
      <c r="G7" s="26" t="s">
        <v>48</v>
      </c>
      <c r="H7" s="8">
        <v>0</v>
      </c>
      <c r="I7" s="8">
        <v>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24</v>
      </c>
      <c r="C8" s="29">
        <f>SUM(C6:C7)</f>
        <v>1780</v>
      </c>
      <c r="D8" s="2"/>
      <c r="E8" s="18">
        <v>267</v>
      </c>
      <c r="F8" s="25" t="s">
        <v>52</v>
      </c>
      <c r="G8" s="26" t="s">
        <v>9</v>
      </c>
      <c r="H8" s="8">
        <v>450</v>
      </c>
      <c r="I8" s="8">
        <v>180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>
        <v>268</v>
      </c>
      <c r="F9" s="25" t="s">
        <v>53</v>
      </c>
      <c r="G9" s="26" t="s">
        <v>6</v>
      </c>
      <c r="H9" s="8">
        <v>600</v>
      </c>
      <c r="I9" s="8">
        <v>100</v>
      </c>
      <c r="J9" s="2"/>
      <c r="K9" s="25"/>
      <c r="L9" s="9"/>
      <c r="M9" s="16"/>
      <c r="R9" s="1">
        <f>IF(vend7[[#This Row],[Nº Venda]]&gt;1,1,0)</f>
        <v>1</v>
      </c>
    </row>
    <row r="10" spans="2:18" ht="15.75" x14ac:dyDescent="0.25">
      <c r="B10" s="66" t="s">
        <v>5</v>
      </c>
      <c r="C10" s="66"/>
      <c r="D10" s="2"/>
      <c r="E10" s="18">
        <v>268</v>
      </c>
      <c r="F10" s="25" t="s">
        <v>54</v>
      </c>
      <c r="G10" s="26" t="s">
        <v>9</v>
      </c>
      <c r="H10" s="8">
        <v>500</v>
      </c>
      <c r="I10" s="8">
        <v>500</v>
      </c>
      <c r="J10" s="2"/>
      <c r="K10" s="25"/>
      <c r="L10" s="9"/>
      <c r="M10" s="16"/>
      <c r="R10" s="1">
        <f>IF(vend7[[#This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>
        <v>269</v>
      </c>
      <c r="F11" s="25" t="s">
        <v>53</v>
      </c>
      <c r="G11" s="26" t="s">
        <v>48</v>
      </c>
      <c r="H11" s="8">
        <v>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680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1780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30</v>
      </c>
      <c r="C22" s="32">
        <f>C5</f>
        <v>3240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7"/>
      <c r="F26" s="58"/>
      <c r="G26" s="59"/>
      <c r="H26" s="60"/>
      <c r="I26" s="60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55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6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00000000-0002-0000-0700-000000000000}">
      <formula1>"Sim, Não"</formula1>
    </dataValidation>
    <dataValidation type="list" allowBlank="1" showInputMessage="1" showErrorMessage="1" sqref="L35:L41" xr:uid="{00000000-0002-0000-0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41"/>
  <sheetViews>
    <sheetView showGridLines="0" topLeftCell="A10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45115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1574</v>
      </c>
      <c r="D6" s="2"/>
      <c r="E6" s="49">
        <v>270</v>
      </c>
      <c r="F6" s="8" t="s">
        <v>55</v>
      </c>
      <c r="G6" s="8" t="s">
        <v>56</v>
      </c>
      <c r="H6" s="8">
        <v>100</v>
      </c>
      <c r="I6" s="8">
        <v>20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49">
        <v>271</v>
      </c>
      <c r="F7" s="8" t="s">
        <v>57</v>
      </c>
      <c r="G7" s="8" t="s">
        <v>58</v>
      </c>
      <c r="H7" s="8">
        <v>750</v>
      </c>
      <c r="I7" s="8">
        <v>750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24</v>
      </c>
      <c r="C8" s="29">
        <f>SUM(C6:C7)</f>
        <v>1574</v>
      </c>
      <c r="D8" s="2"/>
      <c r="E8" s="49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49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1554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1574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259</v>
      </c>
      <c r="F26" s="25" t="s">
        <v>23</v>
      </c>
      <c r="G26" s="26" t="s">
        <v>9</v>
      </c>
      <c r="H26" s="8"/>
      <c r="I26" s="8">
        <v>349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257</v>
      </c>
      <c r="F27" s="25" t="s">
        <v>21</v>
      </c>
      <c r="G27" s="26" t="s">
        <v>9</v>
      </c>
      <c r="H27" s="8"/>
      <c r="I27" s="8">
        <v>455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52"/>
      <c r="F28" s="53"/>
      <c r="G28" s="50"/>
      <c r="H28" s="51"/>
      <c r="I28" s="51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800-000000000000}">
      <formula1>"1,2,3,4,5,6,7,8,9,10"</formula1>
    </dataValidation>
    <dataValidation type="list" allowBlank="1" showInputMessage="1" showErrorMessage="1" sqref="M15:M31" xr:uid="{00000000-0002-0000-08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2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0800-000003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0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45116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900-000000000000}">
      <formula1>"Sim, Não"</formula1>
    </dataValidation>
    <dataValidation type="list" allowBlank="1" showInputMessage="1" showErrorMessage="1" sqref="L35:L41" xr:uid="{00000000-0002-0000-0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45117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1740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1867.5</v>
      </c>
      <c r="D6" s="2"/>
      <c r="E6" s="18">
        <v>272</v>
      </c>
      <c r="F6" s="25" t="s">
        <v>59</v>
      </c>
      <c r="G6" s="26" t="s">
        <v>48</v>
      </c>
      <c r="H6" s="8" t="s">
        <v>49</v>
      </c>
      <c r="I6" s="8"/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273</v>
      </c>
      <c r="F7" s="25" t="s">
        <v>60</v>
      </c>
      <c r="G7" s="26" t="s">
        <v>48</v>
      </c>
      <c r="H7" s="8" t="s">
        <v>61</v>
      </c>
      <c r="I7" s="8"/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24</v>
      </c>
      <c r="C8" s="29">
        <f>SUM(C6:C7)</f>
        <v>1867.5</v>
      </c>
      <c r="D8" s="2"/>
      <c r="E8" s="18">
        <v>274</v>
      </c>
      <c r="F8" s="25" t="s">
        <v>62</v>
      </c>
      <c r="G8" s="26" t="s">
        <v>9</v>
      </c>
      <c r="H8" s="8">
        <v>1290</v>
      </c>
      <c r="I8" s="8">
        <v>1290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275</v>
      </c>
      <c r="F9" s="25" t="s">
        <v>63</v>
      </c>
      <c r="G9" s="26" t="s">
        <v>9</v>
      </c>
      <c r="H9" s="8">
        <v>450</v>
      </c>
      <c r="I9" s="8">
        <v>450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66" t="s">
        <v>5</v>
      </c>
      <c r="C10" s="66"/>
      <c r="D10" s="2"/>
      <c r="E10" s="18"/>
      <c r="F10" s="25"/>
      <c r="G10" s="55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127.5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1740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1867.5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1740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217</v>
      </c>
      <c r="F26" s="25" t="s">
        <v>64</v>
      </c>
      <c r="G26" s="26" t="s">
        <v>6</v>
      </c>
      <c r="H26" s="8"/>
      <c r="I26" s="8">
        <v>127.5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A00-000000000000}">
      <formula1>"1,2,3,4,5,6,7,8,9,10"</formula1>
    </dataValidation>
    <dataValidation type="list" allowBlank="1" showInputMessage="1" showErrorMessage="1" sqref="M15:M31" xr:uid="{00000000-0002-0000-0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2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0A00-000003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0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45118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B00-000000000000}">
      <formula1>"1,2,3,4,5,6,7,8,9,10"</formula1>
    </dataValidation>
    <dataValidation type="list" allowBlank="1" showInputMessage="1" showErrorMessage="1" sqref="M15:M31" xr:uid="{00000000-0002-0000-0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45119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430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1210</v>
      </c>
      <c r="D6" s="2"/>
      <c r="E6" s="18">
        <v>276</v>
      </c>
      <c r="F6" s="25" t="s">
        <v>65</v>
      </c>
      <c r="G6" s="26" t="s">
        <v>48</v>
      </c>
      <c r="H6" s="8"/>
      <c r="I6" s="8" t="s">
        <v>66</v>
      </c>
      <c r="J6" s="2"/>
      <c r="K6" s="25"/>
      <c r="L6" s="9"/>
      <c r="M6" s="16"/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277</v>
      </c>
      <c r="F7" s="25" t="s">
        <v>67</v>
      </c>
      <c r="G7" s="26" t="s">
        <v>9</v>
      </c>
      <c r="H7" s="8">
        <v>150</v>
      </c>
      <c r="I7" s="8">
        <v>150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24</v>
      </c>
      <c r="C8" s="29">
        <f>SUM(C6:C7)</f>
        <v>1210</v>
      </c>
      <c r="D8" s="2"/>
      <c r="E8" s="18">
        <v>278</v>
      </c>
      <c r="F8" s="25" t="s">
        <v>68</v>
      </c>
      <c r="G8" s="26" t="s">
        <v>48</v>
      </c>
      <c r="H8" s="8"/>
      <c r="I8" s="8" t="s">
        <v>69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279</v>
      </c>
      <c r="F9" s="25" t="s">
        <v>70</v>
      </c>
      <c r="G9" s="26" t="s">
        <v>7</v>
      </c>
      <c r="H9" s="8">
        <v>280</v>
      </c>
      <c r="I9" s="8">
        <v>280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280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800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1210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253</v>
      </c>
      <c r="F26" s="25" t="s">
        <v>71</v>
      </c>
      <c r="G26" s="26" t="s">
        <v>9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254</v>
      </c>
      <c r="F27" s="25" t="s">
        <v>71</v>
      </c>
      <c r="G27" s="26" t="s">
        <v>9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165</v>
      </c>
      <c r="F28" s="25" t="s">
        <v>72</v>
      </c>
      <c r="G28" s="26" t="s">
        <v>6</v>
      </c>
      <c r="H28" s="8"/>
      <c r="I28" s="8">
        <v>130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C00-000000000000}">
      <formula1>"1,2,3,4,5,6,7,8,9,10"</formula1>
    </dataValidation>
    <dataValidation type="list" allowBlank="1" showInputMessage="1" showErrorMessage="1" sqref="M15:M31" xr:uid="{00000000-0002-0000-0C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2000000}">
          <x14:formula1>
            <xm:f>base!$A$2:$A$6</xm:f>
          </x14:formula1>
          <xm:sqref>G35:G41 G30:G31</xm:sqref>
        </x14:dataValidation>
        <x14:dataValidation type="list" allowBlank="1" showInputMessage="1" showErrorMessage="1" xr:uid="{00000000-0002-0000-0C00-000003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0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45120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9929.99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3360.6</v>
      </c>
      <c r="D6" s="2"/>
      <c r="E6" s="18">
        <v>280</v>
      </c>
      <c r="F6" s="25" t="s">
        <v>73</v>
      </c>
      <c r="G6" s="26" t="s">
        <v>7</v>
      </c>
      <c r="H6" s="8">
        <v>300</v>
      </c>
      <c r="I6" s="8">
        <v>10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281</v>
      </c>
      <c r="F7" s="25" t="s">
        <v>74</v>
      </c>
      <c r="G7" s="26" t="s">
        <v>6</v>
      </c>
      <c r="H7" s="8">
        <v>1000</v>
      </c>
      <c r="I7" s="8">
        <v>30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24</v>
      </c>
      <c r="C8" s="29">
        <f>SUM(C6:C7)</f>
        <v>3360.6</v>
      </c>
      <c r="D8" s="2"/>
      <c r="E8" s="18">
        <v>282</v>
      </c>
      <c r="F8" s="25" t="s">
        <v>75</v>
      </c>
      <c r="G8" s="26" t="s">
        <v>6</v>
      </c>
      <c r="H8" s="8">
        <v>880</v>
      </c>
      <c r="I8" s="8">
        <v>10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283</v>
      </c>
      <c r="F9" s="25" t="s">
        <v>76</v>
      </c>
      <c r="G9" s="26" t="s">
        <v>6</v>
      </c>
      <c r="H9" s="8">
        <v>690</v>
      </c>
      <c r="I9" s="8">
        <v>3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66" t="s">
        <v>5</v>
      </c>
      <c r="C10" s="66"/>
      <c r="D10" s="2"/>
      <c r="E10" s="18">
        <v>284</v>
      </c>
      <c r="F10" s="25" t="s">
        <v>77</v>
      </c>
      <c r="G10" s="26" t="s">
        <v>6</v>
      </c>
      <c r="H10" s="8">
        <v>900</v>
      </c>
      <c r="I10" s="8">
        <v>200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264.60000000000002</v>
      </c>
      <c r="D11" s="2"/>
      <c r="E11" s="18">
        <v>285</v>
      </c>
      <c r="F11" s="25" t="s">
        <v>78</v>
      </c>
      <c r="G11" s="26" t="s">
        <v>9</v>
      </c>
      <c r="H11" s="8">
        <v>690</v>
      </c>
      <c r="I11" s="8">
        <v>690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310</v>
      </c>
      <c r="D12" s="2"/>
      <c r="E12" s="18">
        <v>286</v>
      </c>
      <c r="F12" s="25" t="s">
        <v>79</v>
      </c>
      <c r="G12" s="26" t="s">
        <v>7</v>
      </c>
      <c r="H12" s="8">
        <v>600</v>
      </c>
      <c r="I12" s="8">
        <v>50</v>
      </c>
      <c r="J12" s="2"/>
      <c r="R12" s="1">
        <f>IF(vend13[[#This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287</v>
      </c>
      <c r="F13" s="25" t="s">
        <v>80</v>
      </c>
      <c r="G13" s="26" t="s">
        <v>9</v>
      </c>
      <c r="H13" s="8">
        <v>899</v>
      </c>
      <c r="I13" s="8">
        <v>899</v>
      </c>
      <c r="J13" s="2"/>
      <c r="K13" s="68" t="s">
        <v>26</v>
      </c>
      <c r="L13" s="69"/>
      <c r="M13" s="70"/>
      <c r="R13" s="1">
        <f>IF(vend13[[#This Row],[Nº Venda]]&gt;1,1,0)</f>
        <v>1</v>
      </c>
    </row>
    <row r="14" spans="2:18" ht="15.75" x14ac:dyDescent="0.25">
      <c r="B14" s="30" t="s">
        <v>9</v>
      </c>
      <c r="C14" s="31">
        <f t="shared" si="0"/>
        <v>2786</v>
      </c>
      <c r="D14" s="2"/>
      <c r="E14" s="18">
        <v>288</v>
      </c>
      <c r="F14" s="25" t="s">
        <v>81</v>
      </c>
      <c r="G14" s="26" t="s">
        <v>7</v>
      </c>
      <c r="H14" s="8">
        <v>175</v>
      </c>
      <c r="I14" s="8">
        <v>100</v>
      </c>
      <c r="J14" s="2"/>
      <c r="K14" s="14" t="s">
        <v>27</v>
      </c>
      <c r="L14" s="6" t="s">
        <v>28</v>
      </c>
      <c r="M14" s="15" t="s">
        <v>29</v>
      </c>
      <c r="R14" s="1">
        <f>IF(vend13[[#This Row],[Nº Venda]]&gt;1,1,0)</f>
        <v>1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>
        <v>289</v>
      </c>
      <c r="F15" s="25" t="s">
        <v>81</v>
      </c>
      <c r="G15" s="26" t="s">
        <v>7</v>
      </c>
      <c r="H15" s="8">
        <v>200</v>
      </c>
      <c r="I15" s="8">
        <v>100</v>
      </c>
      <c r="J15" s="2"/>
      <c r="K15" s="25"/>
      <c r="L15" s="9"/>
      <c r="M15" s="16"/>
      <c r="R15" s="1">
        <f>IF(vend13[[#This Row],[Nº Venda]]&gt;1,1,0)</f>
        <v>1</v>
      </c>
    </row>
    <row r="16" spans="2:18" ht="15.75" x14ac:dyDescent="0.25">
      <c r="B16" s="28" t="s">
        <v>11</v>
      </c>
      <c r="C16" s="32">
        <f>SUM(C11:C15)</f>
        <v>3360.6</v>
      </c>
      <c r="D16" s="2"/>
      <c r="E16" s="18">
        <v>290</v>
      </c>
      <c r="F16" s="25" t="s">
        <v>82</v>
      </c>
      <c r="G16" s="26" t="s">
        <v>6</v>
      </c>
      <c r="H16" s="8">
        <v>299.99</v>
      </c>
      <c r="I16" s="8">
        <v>1.6</v>
      </c>
      <c r="J16" s="2"/>
      <c r="K16" s="25"/>
      <c r="L16" s="9"/>
      <c r="M16" s="16"/>
      <c r="R16" s="1">
        <f>IF(vend13[[#This Row],[Nº Venda]]&gt;1,1,0)</f>
        <v>1</v>
      </c>
    </row>
    <row r="17" spans="2:18" ht="15.75" x14ac:dyDescent="0.25">
      <c r="B17" s="2"/>
      <c r="C17" s="2"/>
      <c r="D17" s="2"/>
      <c r="E17" s="18">
        <v>291</v>
      </c>
      <c r="F17" s="25" t="s">
        <v>83</v>
      </c>
      <c r="G17" s="26" t="s">
        <v>6</v>
      </c>
      <c r="H17" s="8">
        <v>650</v>
      </c>
      <c r="I17" s="8">
        <v>10</v>
      </c>
      <c r="J17" s="2"/>
      <c r="K17" s="25"/>
      <c r="L17" s="9"/>
      <c r="M17" s="16"/>
      <c r="R17" s="1">
        <f>IF(vend13[[#This Row],[Nº Venda]]&gt;1,1,0)</f>
        <v>1</v>
      </c>
    </row>
    <row r="18" spans="2:18" ht="15.75" x14ac:dyDescent="0.25">
      <c r="B18" s="66" t="s">
        <v>12</v>
      </c>
      <c r="C18" s="66"/>
      <c r="D18" s="2"/>
      <c r="E18" s="18">
        <v>292</v>
      </c>
      <c r="F18" s="25" t="s">
        <v>84</v>
      </c>
      <c r="G18" s="26" t="s">
        <v>6</v>
      </c>
      <c r="H18" s="8">
        <v>449</v>
      </c>
      <c r="I18" s="8">
        <v>10</v>
      </c>
      <c r="J18" s="2"/>
      <c r="K18" s="25"/>
      <c r="L18" s="9"/>
      <c r="M18" s="16"/>
      <c r="R18" s="1">
        <f>IF(vend13[[#This Row],[Nº Venda]]&gt;1,1,0)</f>
        <v>1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>
        <v>293</v>
      </c>
      <c r="F19" s="25" t="s">
        <v>85</v>
      </c>
      <c r="G19" s="26" t="s">
        <v>9</v>
      </c>
      <c r="H19" s="8">
        <v>599</v>
      </c>
      <c r="I19" s="8">
        <v>599</v>
      </c>
      <c r="J19" s="2"/>
      <c r="K19" s="25"/>
      <c r="L19" s="9"/>
      <c r="M19" s="16"/>
      <c r="R19" s="1">
        <f>IF(vend13[[#This Row],[Nº Venda]]&gt;1,1,0)</f>
        <v>1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>
        <v>294</v>
      </c>
      <c r="F20" s="26" t="s">
        <v>86</v>
      </c>
      <c r="G20" s="26" t="s">
        <v>9</v>
      </c>
      <c r="H20" s="8">
        <v>299</v>
      </c>
      <c r="I20" s="8">
        <v>299</v>
      </c>
      <c r="J20" s="2"/>
      <c r="K20" s="25"/>
      <c r="L20" s="9"/>
      <c r="M20" s="16"/>
      <c r="R20" s="1">
        <f>IF(vend13[[#This Row],[Nº Venda]]&gt;1,1,0)</f>
        <v>1</v>
      </c>
    </row>
    <row r="21" spans="2:18" ht="15.75" x14ac:dyDescent="0.25">
      <c r="B21" s="2"/>
      <c r="C21" s="2"/>
      <c r="D21" s="2"/>
      <c r="E21" s="18">
        <v>295</v>
      </c>
      <c r="F21" s="25" t="s">
        <v>87</v>
      </c>
      <c r="G21" s="26" t="s">
        <v>9</v>
      </c>
      <c r="H21" s="8">
        <v>299</v>
      </c>
      <c r="I21" s="8">
        <v>299</v>
      </c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9929.99</v>
      </c>
      <c r="D22" s="2"/>
      <c r="E22" s="18">
        <v>296</v>
      </c>
      <c r="F22" s="25" t="s">
        <v>88</v>
      </c>
      <c r="G22" s="26" t="s">
        <v>7</v>
      </c>
      <c r="H22" s="8">
        <v>1000</v>
      </c>
      <c r="I22" s="8">
        <v>50</v>
      </c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D00-000000000000}">
      <formula1>"Sim, Não"</formula1>
    </dataValidation>
    <dataValidation type="list" allowBlank="1" showInputMessage="1" showErrorMessage="1" sqref="L35:L41" xr:uid="{00000000-0002-0000-0D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45121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395</v>
      </c>
      <c r="D6" s="2"/>
      <c r="E6" s="18">
        <v>297</v>
      </c>
      <c r="F6" s="25" t="s">
        <v>89</v>
      </c>
      <c r="G6" s="26" t="s">
        <v>48</v>
      </c>
      <c r="H6" s="8">
        <v>600</v>
      </c>
      <c r="I6" s="8"/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24</v>
      </c>
      <c r="C8" s="29">
        <f>SUM(C6:C7)</f>
        <v>395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395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395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282</v>
      </c>
      <c r="F26" s="25" t="s">
        <v>90</v>
      </c>
      <c r="G26" s="26" t="s">
        <v>7</v>
      </c>
      <c r="H26" s="8"/>
      <c r="I26" s="8">
        <v>66.66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291</v>
      </c>
      <c r="F27" s="25" t="s">
        <v>91</v>
      </c>
      <c r="G27" s="26" t="s">
        <v>7</v>
      </c>
      <c r="H27" s="8"/>
      <c r="I27" s="8">
        <v>66.66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292</v>
      </c>
      <c r="F28" s="25" t="s">
        <v>92</v>
      </c>
      <c r="G28" s="26" t="s">
        <v>7</v>
      </c>
      <c r="H28" s="8"/>
      <c r="I28" s="8">
        <v>66.680000000000007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161</v>
      </c>
      <c r="F29" s="25" t="s">
        <v>93</v>
      </c>
      <c r="G29" s="26" t="s">
        <v>7</v>
      </c>
      <c r="H29" s="8"/>
      <c r="I29" s="8">
        <v>195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E00-000000000000}">
      <formula1>"Sim, Não"</formula1>
    </dataValidation>
    <dataValidation type="list" allowBlank="1" showInputMessage="1" showErrorMessage="1" sqref="L35:L41" xr:uid="{00000000-0002-0000-0E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2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0E00-000003000000}">
          <x14:formula1>
            <xm:f>base!$A$2:$A$6</xm:f>
          </x14:formula1>
          <xm:sqref>G35:G41 G30:G31</xm:sqref>
        </x14:dataValidation>
        <x14:dataValidation type="list" allowBlank="1" showInputMessage="1" showErrorMessage="1" xr:uid="{00000000-0002-0000-0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45122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</v>
      </c>
      <c r="D6" s="2"/>
      <c r="E6" s="18"/>
      <c r="F6" s="25"/>
      <c r="G6" s="55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55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24</v>
      </c>
      <c r="C8" s="29">
        <f>SUM(C6:C7)</f>
        <v>30</v>
      </c>
      <c r="D8" s="2"/>
      <c r="E8" s="18"/>
      <c r="F8" s="25"/>
      <c r="G8" s="55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55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55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30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290</v>
      </c>
      <c r="F26" s="25" t="s">
        <v>94</v>
      </c>
      <c r="G26" s="26" t="s">
        <v>10</v>
      </c>
      <c r="H26" s="8"/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F00-000000000000}">
      <formula1>"Sim, Não"</formula1>
    </dataValidation>
    <dataValidation type="list" allowBlank="1" showInputMessage="1" showErrorMessage="1" sqref="L35:L41" xr:uid="{00000000-0002-0000-0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45123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57"/>
      <c r="F6" s="58"/>
      <c r="G6" s="61"/>
      <c r="H6" s="60"/>
      <c r="I6" s="60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7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7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5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5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5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000-000000000000}">
      <formula1>"1,2,3,4,5,6,7,8,9,10"</formula1>
    </dataValidation>
    <dataValidation type="list" allowBlank="1" showInputMessage="1" showErrorMessage="1" sqref="M15:M31" xr:uid="{00000000-0002-0000-10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0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0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45124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199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410.65999999999997</v>
      </c>
      <c r="D6" s="2"/>
      <c r="E6" s="18">
        <v>298</v>
      </c>
      <c r="F6" s="25" t="s">
        <v>95</v>
      </c>
      <c r="G6" s="26" t="s">
        <v>9</v>
      </c>
      <c r="H6" s="8">
        <v>199</v>
      </c>
      <c r="I6" s="8">
        <v>199</v>
      </c>
      <c r="J6" s="2"/>
      <c r="K6" s="25" t="s">
        <v>41</v>
      </c>
      <c r="L6" s="9" t="s">
        <v>7</v>
      </c>
      <c r="M6" s="16">
        <v>12</v>
      </c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24</v>
      </c>
      <c r="C8" s="29">
        <f>SUM(C6:C7)</f>
        <v>422.65999999999997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211.66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199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410.65999999999997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200</v>
      </c>
      <c r="F26" s="25" t="s">
        <v>96</v>
      </c>
      <c r="G26" s="26" t="s">
        <v>6</v>
      </c>
      <c r="H26" s="8"/>
      <c r="I26" s="8">
        <v>105.83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200</v>
      </c>
      <c r="F27" s="25" t="s">
        <v>96</v>
      </c>
      <c r="G27" s="26" t="s">
        <v>6</v>
      </c>
      <c r="H27" s="8"/>
      <c r="I27" s="8">
        <v>105.83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100-000000000000}">
      <formula1>"Sim, Não"</formula1>
    </dataValidation>
    <dataValidation type="list" allowBlank="1" showInputMessage="1" showErrorMessage="1" sqref="L35:L41" xr:uid="{00000000-0002-0000-1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2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1100-000003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1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45125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299</v>
      </c>
      <c r="F6" s="25" t="s">
        <v>97</v>
      </c>
      <c r="G6" s="26" t="s">
        <v>8</v>
      </c>
      <c r="H6" s="8">
        <v>200</v>
      </c>
      <c r="I6" s="8">
        <v>200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24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280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256</v>
      </c>
      <c r="F26" s="25" t="s">
        <v>98</v>
      </c>
      <c r="G26" s="26" t="s">
        <v>7</v>
      </c>
      <c r="H26" s="8"/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256</v>
      </c>
      <c r="F27" s="25" t="s">
        <v>98</v>
      </c>
      <c r="G27" s="26" t="s">
        <v>9</v>
      </c>
      <c r="H27" s="8"/>
      <c r="I27" s="8">
        <v>280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200-000000000000}">
      <formula1>"1,2,3,4,5,6,7,8,9,10"</formula1>
    </dataValidation>
    <dataValidation type="list" allowBlank="1" showInputMessage="1" showErrorMessage="1" sqref="M15:M31" xr:uid="{00000000-0002-0000-1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2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1200-000003000000}">
          <x14:formula1>
            <xm:f>base!$A$2:$A$9</xm:f>
          </x14:formula1>
          <xm:sqref>G7:G22</xm:sqref>
        </x14:dataValidation>
        <x14:dataValidation type="list" allowBlank="1" showInputMessage="1" showErrorMessage="1" xr:uid="{00000000-0002-0000-1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45126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980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580</v>
      </c>
      <c r="D6" s="2"/>
      <c r="E6" s="18">
        <v>300</v>
      </c>
      <c r="F6" s="25" t="s">
        <v>99</v>
      </c>
      <c r="G6" s="26" t="s">
        <v>7</v>
      </c>
      <c r="H6" s="8">
        <v>600</v>
      </c>
      <c r="I6" s="8">
        <v>200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301</v>
      </c>
      <c r="F7" s="25" t="s">
        <v>100</v>
      </c>
      <c r="G7" s="26" t="s">
        <v>9</v>
      </c>
      <c r="H7" s="8">
        <v>380</v>
      </c>
      <c r="I7" s="8">
        <v>380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24</v>
      </c>
      <c r="C8" s="29">
        <f>SUM(C6:C7)</f>
        <v>580</v>
      </c>
      <c r="D8" s="2"/>
      <c r="E8" s="18">
        <v>302</v>
      </c>
      <c r="F8" s="25" t="s">
        <v>101</v>
      </c>
      <c r="G8" s="26" t="s">
        <v>48</v>
      </c>
      <c r="H8" s="8">
        <v>0</v>
      </c>
      <c r="I8" s="8" t="s">
        <v>49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>
        <v>303</v>
      </c>
      <c r="F9" s="25" t="s">
        <v>102</v>
      </c>
      <c r="G9" s="26" t="s">
        <v>48</v>
      </c>
      <c r="H9" s="8">
        <v>0</v>
      </c>
      <c r="I9" s="8" t="s">
        <v>103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380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580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1</v>
      </c>
      <c r="C19" s="31">
        <f>SUM(entr_carn19[Valor Total])</f>
        <v>430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430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980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346</v>
      </c>
      <c r="L35" s="42">
        <v>2</v>
      </c>
      <c r="M35" s="16">
        <v>430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300-000000000000}">
      <formula1>"1,2,3,4,5,6,7,8,9,10"</formula1>
    </dataValidation>
    <dataValidation type="list" allowBlank="1" showInputMessage="1" showErrorMessage="1" sqref="M15:M31" xr:uid="{00000000-0002-0000-13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300-000003000000}">
          <x14:formula1>
            <xm:f>base!$A$2:$A$9</xm:f>
          </x14:formula1>
          <xm:sqref>G10:G22</xm:sqref>
        </x14:dataValidation>
        <x14:dataValidation type="list" allowBlank="1" showInputMessage="1" showErrorMessage="1" xr:uid="{00000000-0002-0000-1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45127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400-000000000000}">
      <formula1>"1,2,3,4,5,6,7,8,9,10"</formula1>
    </dataValidation>
    <dataValidation type="list" allowBlank="1" showInputMessage="1" showErrorMessage="1" sqref="M15:M31" xr:uid="{00000000-0002-0000-1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U41"/>
  <sheetViews>
    <sheetView showGridLines="0" zoomScale="71" zoomScaleNormal="71" workbookViewId="0">
      <selection activeCell="M36" sqref="M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21" width="9.85546875" style="1" bestFit="1" customWidth="1"/>
    <col min="22" max="16384" width="9.140625" style="1"/>
  </cols>
  <sheetData>
    <row r="1" spans="2:18" ht="23.25" x14ac:dyDescent="0.35">
      <c r="B1" s="41">
        <f>'20'!B1+1</f>
        <v>45128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705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242</v>
      </c>
      <c r="D6" s="2"/>
      <c r="E6" s="63">
        <v>304</v>
      </c>
      <c r="F6" s="64" t="s">
        <v>104</v>
      </c>
      <c r="G6" s="64" t="s">
        <v>6</v>
      </c>
      <c r="H6" s="65">
        <v>5</v>
      </c>
      <c r="I6" s="65">
        <v>5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305</v>
      </c>
      <c r="F7" s="25" t="s">
        <v>105</v>
      </c>
      <c r="G7" s="26" t="s">
        <v>6</v>
      </c>
      <c r="H7" s="8">
        <v>700</v>
      </c>
      <c r="I7" s="8">
        <v>10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24</v>
      </c>
      <c r="C8" s="29">
        <f>SUM(C6:C7)</f>
        <v>242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177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242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472.5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472.5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705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230</v>
      </c>
      <c r="F26" s="25" t="s">
        <v>106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230</v>
      </c>
      <c r="F27" s="25" t="s">
        <v>106</v>
      </c>
      <c r="G27" s="26" t="s">
        <v>7</v>
      </c>
      <c r="H27" s="8"/>
      <c r="I27" s="8">
        <v>177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21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21" ht="15.75" x14ac:dyDescent="0.25">
      <c r="E35" s="18"/>
      <c r="F35" s="25"/>
      <c r="G35" s="26"/>
      <c r="H35" s="8"/>
      <c r="I35" s="8"/>
      <c r="K35" s="25">
        <v>230</v>
      </c>
      <c r="L35" s="42">
        <v>5</v>
      </c>
      <c r="M35" s="16">
        <v>472.5</v>
      </c>
      <c r="U35" s="3"/>
    </row>
    <row r="36" spans="2:21" ht="15.75" x14ac:dyDescent="0.25">
      <c r="E36" s="18"/>
      <c r="F36" s="25"/>
      <c r="G36" s="26"/>
      <c r="H36" s="8"/>
      <c r="I36" s="8"/>
      <c r="K36" s="25"/>
      <c r="L36" s="42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2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2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2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2</v>
      </c>
    </row>
    <row r="41" spans="2:21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500-000000000000}">
      <formula1>"Sim, Não"</formula1>
    </dataValidation>
    <dataValidation type="list" allowBlank="1" showInputMessage="1" showErrorMessage="1" sqref="L35:L41" xr:uid="{00000000-0002-0000-1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1500-000003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1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45129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320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24</v>
      </c>
      <c r="C8" s="29">
        <f>SUM(C6:C7)</f>
        <v>320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320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540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540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174</v>
      </c>
      <c r="F26" s="25" t="s">
        <v>107</v>
      </c>
      <c r="G26" s="26" t="s">
        <v>6</v>
      </c>
      <c r="H26" s="8"/>
      <c r="I26" s="8">
        <v>240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270</v>
      </c>
      <c r="F27" s="25" t="s">
        <v>108</v>
      </c>
      <c r="G27" s="26" t="s">
        <v>10</v>
      </c>
      <c r="H27" s="8"/>
      <c r="I27" s="8">
        <v>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351</v>
      </c>
      <c r="L35" s="42">
        <v>5</v>
      </c>
      <c r="M35" s="16">
        <f>540</f>
        <v>540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600-000000000000}">
      <formula1>"1,2,3,4,5,6,7,8,9,10"</formula1>
    </dataValidation>
    <dataValidation type="list" allowBlank="1" showInputMessage="1" showErrorMessage="1" sqref="M15:M31" xr:uid="{00000000-0002-0000-1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2000000}">
          <x14:formula1>
            <xm:f>base!$A$2:$A$6</xm:f>
          </x14:formula1>
          <xm:sqref>G35:G41 G28:G31</xm:sqref>
        </x14:dataValidation>
        <x14:dataValidation type="list" allowBlank="1" showInputMessage="1" showErrorMessage="1" xr:uid="{00000000-0002-0000-1600-000003000000}">
          <x14:formula1>
            <xm:f>base!$A$2:$A$9</xm:f>
          </x14:formula1>
          <xm:sqref>G8:G22</xm:sqref>
        </x14:dataValidation>
        <x14:dataValidation type="list" allowBlank="1" showInputMessage="1" showErrorMessage="1" xr:uid="{00000000-0002-0000-1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45130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57"/>
      <c r="F6" s="58"/>
      <c r="G6" s="62"/>
      <c r="H6" s="60"/>
      <c r="I6" s="60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700-000000000000}">
      <formula1>"Sim, Não"</formula1>
    </dataValidation>
    <dataValidation type="list" allowBlank="1" showInputMessage="1" showErrorMessage="1" sqref="L35:L41" xr:uid="{00000000-0002-0000-1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700-000003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1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R41"/>
  <sheetViews>
    <sheetView showGridLines="0" tabSelected="1" zoomScale="71" zoomScaleNormal="71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45131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860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24</v>
      </c>
      <c r="C8" s="29">
        <f>SUM(C6:C7)</f>
        <v>860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560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860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235</v>
      </c>
      <c r="F26" s="25" t="s">
        <v>109</v>
      </c>
      <c r="G26" s="26" t="s">
        <v>7</v>
      </c>
      <c r="H26" s="8"/>
      <c r="I26" s="8">
        <v>112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235</v>
      </c>
      <c r="F27" s="25" t="s">
        <v>109</v>
      </c>
      <c r="G27" s="26" t="s">
        <v>7</v>
      </c>
      <c r="H27" s="8"/>
      <c r="I27" s="8">
        <v>112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235</v>
      </c>
      <c r="F28" s="25" t="s">
        <v>109</v>
      </c>
      <c r="G28" s="26" t="s">
        <v>7</v>
      </c>
      <c r="H28" s="8"/>
      <c r="I28" s="8">
        <v>112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235</v>
      </c>
      <c r="F29" s="25" t="s">
        <v>109</v>
      </c>
      <c r="G29" s="26" t="s">
        <v>7</v>
      </c>
      <c r="H29" s="8"/>
      <c r="I29" s="8">
        <v>112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235</v>
      </c>
      <c r="F30" s="39" t="s">
        <v>109</v>
      </c>
      <c r="G30" s="26" t="s">
        <v>7</v>
      </c>
      <c r="H30" s="8"/>
      <c r="I30" s="8">
        <v>112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284</v>
      </c>
      <c r="F31" s="36" t="s">
        <v>110</v>
      </c>
      <c r="G31" s="37" t="s">
        <v>6</v>
      </c>
      <c r="H31" s="17"/>
      <c r="I31" s="17">
        <v>300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800-000000000000}">
      <formula1>"Sim, Não"</formula1>
    </dataValidation>
    <dataValidation type="list" allowBlank="1" showInputMessage="1" showErrorMessage="1" sqref="L35:L41" xr:uid="{00000000-0002-0000-18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800-000003000000}">
          <x14:formula1>
            <xm:f>base!$A$2:$A$6</xm:f>
          </x14:formula1>
          <xm:sqref>G35:G41</xm:sqref>
        </x14:dataValidation>
        <x14:dataValidation type="list" allowBlank="1" showInputMessage="1" showErrorMessage="1" xr:uid="{00000000-0002-0000-1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R41"/>
  <sheetViews>
    <sheetView showGridLines="0" zoomScale="71" zoomScaleNormal="71" workbookViewId="0">
      <selection activeCell="N35" sqref="N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45132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57"/>
      <c r="F6" s="58"/>
      <c r="G6" s="62"/>
      <c r="H6" s="60"/>
      <c r="I6" s="60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1</v>
      </c>
      <c r="C19" s="31">
        <f>SUM(entr_carn25[Valor Total])</f>
        <v>250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250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286</v>
      </c>
      <c r="L35" s="42">
        <v>8</v>
      </c>
      <c r="M35" s="16">
        <v>250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900-000000000000}">
      <formula1>"Sim, Não"</formula1>
    </dataValidation>
    <dataValidation type="list" allowBlank="1" showInputMessage="1" showErrorMessage="1" sqref="L35:L41" xr:uid="{00000000-0002-0000-1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45133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A00-000000000000}">
      <formula1>"1,2,3,4,5,6,7,8,9,10"</formula1>
    </dataValidation>
    <dataValidation type="list" allowBlank="1" showInputMessage="1" showErrorMessage="1" sqref="M15:M31" xr:uid="{00000000-0002-0000-1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45134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B00-000000000000}">
      <formula1>"1,2,3,4,5,6,7,8,9,10"</formula1>
    </dataValidation>
    <dataValidation type="list" allowBlank="1" showInputMessage="1" showErrorMessage="1" sqref="M15:M31" xr:uid="{00000000-0002-0000-1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R41"/>
  <sheetViews>
    <sheetView showGridLines="0" topLeftCell="A11" zoomScale="71" zoomScaleNormal="71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45135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41</v>
      </c>
      <c r="L6" s="9" t="s">
        <v>56</v>
      </c>
      <c r="M6" s="16">
        <v>24</v>
      </c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24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24</v>
      </c>
      <c r="C8" s="29">
        <f>SUM(C6:C7)</f>
        <v>24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341</v>
      </c>
      <c r="L15" s="9" t="s">
        <v>44</v>
      </c>
      <c r="M15" s="16" t="s">
        <v>45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359</v>
      </c>
      <c r="L16" s="9" t="s">
        <v>44</v>
      </c>
      <c r="M16" s="16" t="s">
        <v>45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C00-000000000000}">
      <formula1>"Sim, Não"</formula1>
    </dataValidation>
    <dataValidation type="list" allowBlank="1" showInputMessage="1" showErrorMessage="1" sqref="L35:L41" xr:uid="{00000000-0002-0000-1C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C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45136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D00-000000000000}">
      <formula1>"1,2,3,4,5,6,7,8,9,10"</formula1>
    </dataValidation>
    <dataValidation type="list" allowBlank="1" showInputMessage="1" showErrorMessage="1" sqref="M15:M31" xr:uid="{00000000-0002-0000-1D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D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R41"/>
  <sheetViews>
    <sheetView showGridLines="0" topLeftCell="A11" zoomScale="71" zoomScaleNormal="71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45137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57"/>
      <c r="F6" s="58"/>
      <c r="G6" s="62"/>
      <c r="H6" s="60"/>
      <c r="I6" s="60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E00-000000000000}">
      <formula1>"1,2,3,4,5,6,7,8,9,10"</formula1>
    </dataValidation>
    <dataValidation type="list" allowBlank="1" showInputMessage="1" showErrorMessage="1" sqref="M15:M31" xr:uid="{00000000-0002-0000-1E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E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E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R41"/>
  <sheetViews>
    <sheetView showGridLines="0" topLeftCell="A21" zoomScale="71" zoomScaleNormal="71" workbookViewId="0">
      <selection activeCell="F38" sqref="F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45138</v>
      </c>
    </row>
    <row r="2" spans="2:18" ht="18.75" x14ac:dyDescent="0.2">
      <c r="B2" s="71" t="s">
        <v>13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4" t="s">
        <v>1</v>
      </c>
      <c r="F4" s="74"/>
      <c r="G4" s="74"/>
      <c r="H4" s="74"/>
      <c r="I4" s="74"/>
      <c r="J4" s="22"/>
      <c r="K4" s="68" t="s">
        <v>3</v>
      </c>
      <c r="L4" s="69"/>
      <c r="M4" s="7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66" t="s">
        <v>5</v>
      </c>
      <c r="C10" s="6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8" t="s">
        <v>26</v>
      </c>
      <c r="L13" s="69"/>
      <c r="M13" s="70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27</v>
      </c>
      <c r="L14" s="6" t="s">
        <v>28</v>
      </c>
      <c r="M14" s="15" t="s">
        <v>29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66" t="s">
        <v>12</v>
      </c>
      <c r="C18" s="6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1</v>
      </c>
      <c r="C19" s="31">
        <f>SUM(entr_carn31[Valor Total])</f>
        <v>200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200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7" t="s">
        <v>31</v>
      </c>
      <c r="F24" s="67"/>
      <c r="G24" s="67"/>
      <c r="H24" s="67"/>
      <c r="I24" s="6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7" t="s">
        <v>34</v>
      </c>
      <c r="F33" s="67"/>
      <c r="G33" s="67"/>
      <c r="H33" s="67"/>
      <c r="I33" s="67"/>
      <c r="K33" s="68" t="s">
        <v>12</v>
      </c>
      <c r="L33" s="69"/>
      <c r="M33" s="70"/>
    </row>
    <row r="34" spans="2:18" ht="15" x14ac:dyDescent="0.25">
      <c r="E34" s="10" t="s">
        <v>27</v>
      </c>
      <c r="F34" s="10" t="s">
        <v>15</v>
      </c>
      <c r="G34" s="11" t="s">
        <v>16</v>
      </c>
      <c r="H34" s="12" t="s">
        <v>35</v>
      </c>
      <c r="I34" s="13" t="s">
        <v>36</v>
      </c>
      <c r="K34" s="14" t="s">
        <v>27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390</v>
      </c>
      <c r="L35" s="42">
        <v>2</v>
      </c>
      <c r="M35" s="16">
        <v>200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39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F00-000000000000}">
      <formula1>"Sim, Não"</formula1>
    </dataValidation>
    <dataValidation type="list" allowBlank="1" showInputMessage="1" showErrorMessage="1" sqref="L35:L41" xr:uid="{00000000-0002-0000-1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111</v>
      </c>
      <c r="B1" s="38" t="s">
        <v>112</v>
      </c>
      <c r="E1" s="38" t="s">
        <v>113</v>
      </c>
    </row>
    <row r="2" spans="1:5" x14ac:dyDescent="0.2">
      <c r="A2" s="38" t="s">
        <v>6</v>
      </c>
      <c r="B2" s="38" t="s">
        <v>114</v>
      </c>
      <c r="E2" t="s">
        <v>115</v>
      </c>
    </row>
    <row r="3" spans="1:5" x14ac:dyDescent="0.2">
      <c r="A3" s="38" t="s">
        <v>7</v>
      </c>
      <c r="B3" s="38" t="s">
        <v>116</v>
      </c>
      <c r="E3" t="s">
        <v>117</v>
      </c>
    </row>
    <row r="4" spans="1:5" x14ac:dyDescent="0.2">
      <c r="A4" s="38" t="s">
        <v>8</v>
      </c>
      <c r="B4" s="38" t="s">
        <v>118</v>
      </c>
      <c r="E4" t="s">
        <v>119</v>
      </c>
    </row>
    <row r="5" spans="1:5" x14ac:dyDescent="0.2">
      <c r="A5" s="38" t="s">
        <v>9</v>
      </c>
      <c r="B5" s="38" t="s">
        <v>120</v>
      </c>
      <c r="E5" t="s">
        <v>121</v>
      </c>
    </row>
    <row r="6" spans="1:5" x14ac:dyDescent="0.2">
      <c r="A6" s="38" t="s">
        <v>10</v>
      </c>
      <c r="B6" s="38" t="s">
        <v>10</v>
      </c>
      <c r="E6" t="s">
        <v>122</v>
      </c>
    </row>
    <row r="7" spans="1:5" x14ac:dyDescent="0.2">
      <c r="A7" s="38" t="s">
        <v>48</v>
      </c>
      <c r="B7" s="38" t="s">
        <v>123</v>
      </c>
      <c r="E7" t="s">
        <v>124</v>
      </c>
    </row>
    <row r="8" spans="1:5" x14ac:dyDescent="0.2">
      <c r="A8" t="s">
        <v>29</v>
      </c>
      <c r="B8" t="s">
        <v>125</v>
      </c>
      <c r="E8" t="s">
        <v>126</v>
      </c>
    </row>
    <row r="9" spans="1:5" x14ac:dyDescent="0.2">
      <c r="A9" s="38" t="s">
        <v>127</v>
      </c>
      <c r="B9" s="38" t="s">
        <v>128</v>
      </c>
      <c r="E9" t="s">
        <v>129</v>
      </c>
    </row>
    <row r="10" spans="1:5" x14ac:dyDescent="0.2">
      <c r="E10" t="s">
        <v>130</v>
      </c>
    </row>
    <row r="11" spans="1:5" x14ac:dyDescent="0.2">
      <c r="E11" t="s">
        <v>131</v>
      </c>
    </row>
    <row r="12" spans="1:5" x14ac:dyDescent="0.2">
      <c r="E12" t="s">
        <v>132</v>
      </c>
    </row>
    <row r="13" spans="1:5" x14ac:dyDescent="0.2">
      <c r="E13" t="s">
        <v>133</v>
      </c>
    </row>
    <row r="14" spans="1:5" x14ac:dyDescent="0.2">
      <c r="E14" t="s">
        <v>134</v>
      </c>
    </row>
    <row r="15" spans="1:5" x14ac:dyDescent="0.2">
      <c r="E15" t="s">
        <v>135</v>
      </c>
    </row>
    <row r="16" spans="1:5" x14ac:dyDescent="0.2">
      <c r="E16" t="s">
        <v>136</v>
      </c>
    </row>
    <row r="17" spans="5:5" x14ac:dyDescent="0.2">
      <c r="E17" t="s">
        <v>137</v>
      </c>
    </row>
    <row r="18" spans="5:5" x14ac:dyDescent="0.2">
      <c r="E18" t="s">
        <v>138</v>
      </c>
    </row>
    <row r="19" spans="5:5" x14ac:dyDescent="0.2">
      <c r="E19" t="s">
        <v>139</v>
      </c>
    </row>
    <row r="20" spans="5:5" x14ac:dyDescent="0.2">
      <c r="E20" t="s">
        <v>140</v>
      </c>
    </row>
    <row r="21" spans="5:5" x14ac:dyDescent="0.2">
      <c r="E21" t="s">
        <v>141</v>
      </c>
    </row>
    <row r="22" spans="5:5" x14ac:dyDescent="0.2">
      <c r="E22" t="s">
        <v>142</v>
      </c>
    </row>
    <row r="23" spans="5:5" x14ac:dyDescent="0.2">
      <c r="E23" t="s">
        <v>143</v>
      </c>
    </row>
    <row r="24" spans="5:5" x14ac:dyDescent="0.2">
      <c r="E24" t="s">
        <v>144</v>
      </c>
    </row>
    <row r="25" spans="5:5" x14ac:dyDescent="0.2">
      <c r="E25" t="s">
        <v>145</v>
      </c>
    </row>
    <row r="26" spans="5:5" x14ac:dyDescent="0.2">
      <c r="E26" t="s">
        <v>146</v>
      </c>
    </row>
    <row r="27" spans="5:5" x14ac:dyDescent="0.2">
      <c r="E27" t="s">
        <v>147</v>
      </c>
    </row>
    <row r="28" spans="5:5" x14ac:dyDescent="0.2">
      <c r="E28" t="s">
        <v>148</v>
      </c>
    </row>
    <row r="29" spans="5:5" x14ac:dyDescent="0.2">
      <c r="E29" t="s">
        <v>149</v>
      </c>
    </row>
    <row r="30" spans="5:5" x14ac:dyDescent="0.2">
      <c r="E30" t="s">
        <v>150</v>
      </c>
    </row>
    <row r="31" spans="5:5" x14ac:dyDescent="0.2">
      <c r="E31" t="s">
        <v>151</v>
      </c>
    </row>
    <row r="32" spans="5:5" x14ac:dyDescent="0.2">
      <c r="E32" t="s">
        <v>152</v>
      </c>
    </row>
    <row r="33" spans="5:5" x14ac:dyDescent="0.2">
      <c r="E33" t="s">
        <v>153</v>
      </c>
    </row>
    <row r="34" spans="5:5" x14ac:dyDescent="0.2">
      <c r="E34" t="s">
        <v>154</v>
      </c>
    </row>
    <row r="35" spans="5:5" x14ac:dyDescent="0.2">
      <c r="E35" t="s">
        <v>155</v>
      </c>
    </row>
    <row r="36" spans="5:5" x14ac:dyDescent="0.2">
      <c r="E36" t="s">
        <v>156</v>
      </c>
    </row>
    <row r="37" spans="5:5" x14ac:dyDescent="0.2">
      <c r="E37" t="s">
        <v>157</v>
      </c>
    </row>
    <row r="38" spans="5:5" x14ac:dyDescent="0.2">
      <c r="E38" t="s">
        <v>158</v>
      </c>
    </row>
    <row r="39" spans="5:5" x14ac:dyDescent="0.2">
      <c r="E39" t="s">
        <v>159</v>
      </c>
    </row>
    <row r="40" spans="5:5" x14ac:dyDescent="0.2">
      <c r="E40" t="s">
        <v>160</v>
      </c>
    </row>
    <row r="41" spans="5:5" x14ac:dyDescent="0.2">
      <c r="E41" t="s">
        <v>161</v>
      </c>
    </row>
    <row r="42" spans="5:5" x14ac:dyDescent="0.2">
      <c r="E42" t="s">
        <v>162</v>
      </c>
    </row>
    <row r="43" spans="5:5" x14ac:dyDescent="0.2">
      <c r="E43" t="s">
        <v>163</v>
      </c>
    </row>
    <row r="44" spans="5:5" x14ac:dyDescent="0.2">
      <c r="E44" t="s">
        <v>164</v>
      </c>
    </row>
    <row r="45" spans="5:5" x14ac:dyDescent="0.2">
      <c r="E45" t="s">
        <v>165</v>
      </c>
    </row>
    <row r="46" spans="5:5" x14ac:dyDescent="0.2">
      <c r="E46" t="s">
        <v>166</v>
      </c>
    </row>
    <row r="47" spans="5:5" x14ac:dyDescent="0.2">
      <c r="E47" t="s">
        <v>167</v>
      </c>
    </row>
    <row r="48" spans="5:5" x14ac:dyDescent="0.2">
      <c r="E48" t="s">
        <v>168</v>
      </c>
    </row>
    <row r="49" spans="5:5" x14ac:dyDescent="0.2">
      <c r="E49" t="s">
        <v>169</v>
      </c>
    </row>
    <row r="50" spans="5:5" x14ac:dyDescent="0.2">
      <c r="E50" t="s">
        <v>170</v>
      </c>
    </row>
    <row r="51" spans="5:5" x14ac:dyDescent="0.2">
      <c r="E51" t="s">
        <v>171</v>
      </c>
    </row>
    <row r="52" spans="5:5" x14ac:dyDescent="0.2">
      <c r="E52" t="s">
        <v>172</v>
      </c>
    </row>
    <row r="53" spans="5:5" x14ac:dyDescent="0.2">
      <c r="E53" t="s">
        <v>173</v>
      </c>
    </row>
    <row r="54" spans="5:5" x14ac:dyDescent="0.2">
      <c r="E54" t="s">
        <v>174</v>
      </c>
    </row>
    <row r="55" spans="5:5" x14ac:dyDescent="0.2">
      <c r="E55" t="s">
        <v>175</v>
      </c>
    </row>
    <row r="56" spans="5:5" x14ac:dyDescent="0.2">
      <c r="E56" t="s">
        <v>176</v>
      </c>
    </row>
    <row r="57" spans="5:5" x14ac:dyDescent="0.2">
      <c r="E57" t="s">
        <v>177</v>
      </c>
    </row>
    <row r="58" spans="5:5" x14ac:dyDescent="0.2">
      <c r="E58" t="s">
        <v>178</v>
      </c>
    </row>
    <row r="59" spans="5:5" x14ac:dyDescent="0.2">
      <c r="E59" t="s">
        <v>179</v>
      </c>
    </row>
    <row r="60" spans="5:5" x14ac:dyDescent="0.2">
      <c r="E60" t="s">
        <v>180</v>
      </c>
    </row>
    <row r="61" spans="5:5" x14ac:dyDescent="0.2">
      <c r="E61" t="s">
        <v>181</v>
      </c>
    </row>
    <row r="62" spans="5:5" x14ac:dyDescent="0.2">
      <c r="E62" t="s">
        <v>182</v>
      </c>
    </row>
    <row r="63" spans="5:5" x14ac:dyDescent="0.2">
      <c r="E63" t="s">
        <v>183</v>
      </c>
    </row>
    <row r="64" spans="5:5" x14ac:dyDescent="0.2">
      <c r="E64" t="s">
        <v>184</v>
      </c>
    </row>
    <row r="65" spans="5:5" x14ac:dyDescent="0.2">
      <c r="E65" t="s">
        <v>185</v>
      </c>
    </row>
    <row r="66" spans="5:5" x14ac:dyDescent="0.2">
      <c r="E66" t="s">
        <v>186</v>
      </c>
    </row>
    <row r="67" spans="5:5" x14ac:dyDescent="0.2">
      <c r="E67" t="s">
        <v>187</v>
      </c>
    </row>
    <row r="68" spans="5:5" x14ac:dyDescent="0.2">
      <c r="E68" t="s">
        <v>188</v>
      </c>
    </row>
    <row r="69" spans="5:5" x14ac:dyDescent="0.2">
      <c r="E69" t="s">
        <v>189</v>
      </c>
    </row>
    <row r="70" spans="5:5" x14ac:dyDescent="0.2">
      <c r="E70" t="s">
        <v>190</v>
      </c>
    </row>
    <row r="71" spans="5:5" x14ac:dyDescent="0.2">
      <c r="E71" t="s">
        <v>191</v>
      </c>
    </row>
    <row r="72" spans="5:5" x14ac:dyDescent="0.2">
      <c r="E72" t="s">
        <v>192</v>
      </c>
    </row>
    <row r="73" spans="5:5" x14ac:dyDescent="0.2">
      <c r="E73" t="s">
        <v>193</v>
      </c>
    </row>
    <row r="74" spans="5:5" x14ac:dyDescent="0.2">
      <c r="E74" t="s">
        <v>194</v>
      </c>
    </row>
    <row r="75" spans="5:5" x14ac:dyDescent="0.2">
      <c r="E75" t="s">
        <v>195</v>
      </c>
    </row>
    <row r="76" spans="5:5" x14ac:dyDescent="0.2">
      <c r="E76" t="s">
        <v>196</v>
      </c>
    </row>
    <row r="77" spans="5:5" x14ac:dyDescent="0.2">
      <c r="E77" t="s">
        <v>197</v>
      </c>
    </row>
    <row r="78" spans="5:5" x14ac:dyDescent="0.2">
      <c r="E78" t="s">
        <v>198</v>
      </c>
    </row>
    <row r="79" spans="5:5" x14ac:dyDescent="0.2">
      <c r="E79" t="s">
        <v>199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perus lojas</cp:lastModifiedBy>
  <cp:revision/>
  <dcterms:created xsi:type="dcterms:W3CDTF">2004-04-07T20:43:43Z</dcterms:created>
  <dcterms:modified xsi:type="dcterms:W3CDTF">2024-07-26T17:14:54Z</dcterms:modified>
  <cp:category/>
  <cp:contentStatus/>
</cp:coreProperties>
</file>